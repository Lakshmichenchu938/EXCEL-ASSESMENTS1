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5B82850-E772-4021-B1F2-DC5A4EE1AE8D}" xr6:coauthVersionLast="47" xr6:coauthVersionMax="47" xr10:uidLastSave="{00000000-0000-0000-0000-000000000000}"/>
  <bookViews>
    <workbookView xWindow="-110" yWindow="-110" windowWidth="19420" windowHeight="10300" activeTab="1" xr2:uid="{8912D70F-922A-47B8-8172-C064926AA70D}"/>
  </bookViews>
  <sheets>
    <sheet name="Instructions" sheetId="1" r:id="rId1"/>
    <sheet name="Data 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2" l="1"/>
  <c r="F66" i="2"/>
  <c r="F65" i="2"/>
  <c r="F57" i="2"/>
  <c r="F56" i="2"/>
  <c r="G49" i="2"/>
  <c r="G44" i="2"/>
  <c r="G40" i="2"/>
  <c r="G39" i="2"/>
  <c r="D36" i="2"/>
</calcChain>
</file>

<file path=xl/sharedStrings.xml><?xml version="1.0" encoding="utf-8"?>
<sst xmlns="http://schemas.openxmlformats.org/spreadsheetml/2006/main" count="180" uniqueCount="113">
  <si>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</si>
  <si>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</si>
  <si>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</si>
  <si>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</si>
  <si>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</si>
  <si>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</si>
  <si>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</si>
  <si>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</si>
  <si>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</si>
  <si>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</si>
  <si>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</si>
  <si>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</si>
  <si>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</si>
  <si>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</si>
  <si>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</si>
  <si>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</si>
  <si>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</si>
  <si>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</si>
  <si>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</si>
  <si>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</si>
  <si>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</si>
  <si>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</si>
  <si>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</si>
  <si>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</si>
  <si>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</si>
  <si>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</si>
  <si>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</si>
  <si>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</si>
  <si>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</si>
  <si>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</si>
  <si>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</si>
  <si>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</si>
  <si>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</si>
  <si>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</si>
  <si>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</si>
  <si>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</si>
  <si>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</si>
  <si>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</si>
  <si>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</si>
  <si>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</si>
  <si>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</si>
  <si>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</si>
  <si>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</si>
  <si>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</si>
  <si>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</si>
  <si>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</si>
  <si>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</si>
  <si>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</si>
  <si>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</si>
  <si>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</si>
  <si>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</si>
  <si>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</si>
  <si>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</si>
  <si>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</si>
  <si>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</si>
  <si>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</si>
  <si>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</si>
  <si>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</si>
  <si>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</si>
  <si>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</si>
  <si>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</si>
  <si>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</si>
  <si>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</si>
  <si>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</si>
  <si>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</si>
  <si>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</si>
  <si>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</si>
  <si>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</si>
  <si>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</si>
  <si>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</si>
  <si>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</si>
  <si>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</si>
  <si>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</si>
  <si>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</si>
  <si>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</si>
  <si>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</si>
  <si>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</si>
  <si>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</si>
  <si>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</si>
  <si>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</si>
  <si>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</si>
  <si>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</si>
  <si>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</si>
  <si>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</si>
  <si>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</si>
  <si>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</si>
  <si>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</si>
  <si>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</si>
  <si>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</si>
  <si>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</si>
  <si>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</si>
  <si>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</si>
  <si>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</si>
  <si>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</si>
  <si>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</si>
  <si>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</si>
  <si>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</si>
  <si>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</si>
  <si>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</si>
  <si>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</si>
  <si>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</si>
  <si>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</si>
  <si>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</si>
  <si>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</si>
  <si>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</si>
  <si>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</si>
  <si>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</si>
  <si>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</si>
  <si>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</si>
  <si>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</si>
  <si>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Ans:10,100</t>
  </si>
  <si>
    <t>Ans:</t>
  </si>
  <si>
    <t>Ans:30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</si>
</sst>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6" fillId="2" borderId="0" xfId="1" applyFont="1" applyFill="1" applyAlignment="1">
      <alignment horizontal="center"/>
    </xf>
    <xf numFmtId="0" fontId="7" fillId="0" borderId="0" xfId="1" applyFont="1"/>
    <xf numFmtId="0" fontId="7" fillId="3" borderId="0" xfId="1" applyFont="1" applyFill="1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2" borderId="0" xfId="1" applyFont="1" applyFill="1" applyAlignment="1">
      <alignment vertical="center"/>
    </xf>
    <xf numFmtId="0" fontId="7" fillId="0" borderId="0" xfId="1" applyFont="1" applyAlignment="1">
      <alignment vertical="center"/>
    </xf>
    <xf numFmtId="0" fontId="7" fillId="3" borderId="0" xfId="1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83B57171-6C1C-4091-9318-6C00AE6B8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6530-632C-4B58-B3A0-0294AB77C20E}">
  <dimension ref="A1:C32"/>
  <sheetViews>
    <sheetView topLeftCell="A10" workbookViewId="0">
      <selection activeCell="B19" sqref="B19:S23"/>
    </sheetView>
  </sheetViews>
  <sheetFormatPr defaultRowHeight="14.5" x14ac:dyDescent="0.35"/>
  <sheetData>
    <row r="1" spans="1:3" x14ac:dyDescent="0.35">
      <c r="A1" s="5" t="s">
        <v>93</v>
      </c>
      <c r="B1" s="4"/>
      <c r="C1" s="4"/>
    </row>
    <row r="2" spans="1:3" x14ac:dyDescent="0.35">
      <c r="A2" s="4"/>
      <c r="B2" s="4"/>
      <c r="C2" s="4"/>
    </row>
    <row r="3" spans="1:3" ht="15.5" x14ac:dyDescent="0.35">
      <c r="A3" s="4"/>
      <c r="B3" s="6" t="s">
        <v>94</v>
      </c>
      <c r="C3" s="4"/>
    </row>
    <row r="4" spans="1:3" ht="15.5" x14ac:dyDescent="0.35">
      <c r="A4" s="4"/>
      <c r="B4" s="6"/>
      <c r="C4" s="7" t="s">
        <v>95</v>
      </c>
    </row>
    <row r="5" spans="1:3" ht="15.5" x14ac:dyDescent="0.35">
      <c r="A5" s="4"/>
      <c r="B5" s="6"/>
      <c r="C5" s="7" t="s">
        <v>96</v>
      </c>
    </row>
    <row r="6" spans="1:3" ht="15.5" x14ac:dyDescent="0.35">
      <c r="A6" s="4"/>
      <c r="B6" s="6"/>
      <c r="C6" s="7" t="s">
        <v>97</v>
      </c>
    </row>
    <row r="7" spans="1:3" x14ac:dyDescent="0.35">
      <c r="A7" s="4"/>
      <c r="B7" s="8"/>
      <c r="C7" s="4"/>
    </row>
    <row r="8" spans="1:3" ht="15.5" x14ac:dyDescent="0.35">
      <c r="A8" s="4"/>
      <c r="B8" s="6" t="s">
        <v>98</v>
      </c>
      <c r="C8" s="4"/>
    </row>
    <row r="9" spans="1:3" ht="15.5" x14ac:dyDescent="0.35">
      <c r="A9" s="4"/>
      <c r="B9" s="4"/>
      <c r="C9" s="7" t="s">
        <v>99</v>
      </c>
    </row>
    <row r="10" spans="1:3" ht="15.5" x14ac:dyDescent="0.35">
      <c r="A10" s="4"/>
      <c r="B10" s="4"/>
      <c r="C10" s="7" t="s">
        <v>100</v>
      </c>
    </row>
    <row r="11" spans="1:3" x14ac:dyDescent="0.35">
      <c r="A11" s="4"/>
      <c r="B11" s="8"/>
      <c r="C11" s="4"/>
    </row>
    <row r="12" spans="1:3" ht="15.5" x14ac:dyDescent="0.35">
      <c r="A12" s="4"/>
      <c r="B12" s="6" t="s">
        <v>101</v>
      </c>
      <c r="C12" s="4"/>
    </row>
    <row r="13" spans="1:3" ht="15.5" x14ac:dyDescent="0.35">
      <c r="A13" s="4"/>
      <c r="B13" s="4"/>
      <c r="C13" s="7" t="s">
        <v>102</v>
      </c>
    </row>
    <row r="14" spans="1:3" x14ac:dyDescent="0.35">
      <c r="A14" s="4"/>
      <c r="B14" s="8"/>
      <c r="C14" s="4"/>
    </row>
    <row r="15" spans="1:3" ht="15.5" x14ac:dyDescent="0.35">
      <c r="A15" s="4"/>
      <c r="B15" s="6" t="s">
        <v>103</v>
      </c>
      <c r="C15" s="4"/>
    </row>
    <row r="16" spans="1:3" ht="15.5" x14ac:dyDescent="0.35">
      <c r="A16" s="4"/>
      <c r="B16" s="4"/>
      <c r="C16" s="7" t="s">
        <v>104</v>
      </c>
    </row>
    <row r="17" spans="2:3" ht="15.5" x14ac:dyDescent="0.35">
      <c r="B17" s="4"/>
      <c r="C17" s="7" t="s">
        <v>105</v>
      </c>
    </row>
    <row r="18" spans="2:3" x14ac:dyDescent="0.35">
      <c r="B18" s="8"/>
      <c r="C18" s="4"/>
    </row>
    <row r="19" spans="2:3" ht="15.5" x14ac:dyDescent="0.35">
      <c r="B19" s="6" t="s">
        <v>106</v>
      </c>
      <c r="C19" s="4"/>
    </row>
    <row r="20" spans="2:3" ht="15.5" x14ac:dyDescent="0.35">
      <c r="B20" s="4"/>
      <c r="C20" s="7" t="s">
        <v>107</v>
      </c>
    </row>
    <row r="21" spans="2:3" ht="15.5" x14ac:dyDescent="0.35">
      <c r="B21" s="4"/>
      <c r="C21" s="7" t="s">
        <v>108</v>
      </c>
    </row>
    <row r="22" spans="2:3" ht="15.5" x14ac:dyDescent="0.35">
      <c r="B22" s="4"/>
      <c r="C22" s="7" t="s">
        <v>109</v>
      </c>
    </row>
    <row r="23" spans="2:3" x14ac:dyDescent="0.35">
      <c r="B23" s="8"/>
      <c r="C23" s="4"/>
    </row>
    <row r="24" spans="2:3" x14ac:dyDescent="0.35">
      <c r="B24" s="4"/>
      <c r="C24" s="4"/>
    </row>
    <row r="25" spans="2:3" x14ac:dyDescent="0.35">
      <c r="B25" s="4"/>
      <c r="C25" s="4"/>
    </row>
    <row r="26" spans="2:3" x14ac:dyDescent="0.35">
      <c r="B26" s="4"/>
      <c r="C26" s="4"/>
    </row>
    <row r="27" spans="2:3" x14ac:dyDescent="0.35">
      <c r="B27" s="4"/>
      <c r="C27" s="4"/>
    </row>
    <row r="28" spans="2:3" x14ac:dyDescent="0.35">
      <c r="B28" s="4"/>
      <c r="C28" s="4"/>
    </row>
    <row r="29" spans="2:3" x14ac:dyDescent="0.35">
      <c r="B29" s="4"/>
      <c r="C29" s="4"/>
    </row>
    <row r="30" spans="2:3" x14ac:dyDescent="0.35">
      <c r="B30" s="4"/>
      <c r="C30" s="4"/>
    </row>
    <row r="31" spans="2:3" x14ac:dyDescent="0.35">
      <c r="B31" s="4"/>
      <c r="C31" s="4"/>
    </row>
    <row r="32" spans="2:3" x14ac:dyDescent="0.35">
      <c r="B32" s="4"/>
      <c r="C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9C8F-9158-4676-8334-7B16865E9FD2}">
  <dimension ref="A1:G67"/>
  <sheetViews>
    <sheetView tabSelected="1" workbookViewId="0">
      <selection activeCell="F68" sqref="F68"/>
    </sheetView>
  </sheetViews>
  <sheetFormatPr defaultRowHeight="14.5" x14ac:dyDescent="0.35"/>
  <cols>
    <col min="1" max="1" width="15.6328125" customWidth="1"/>
    <col min="2" max="2" width="14.7265625" customWidth="1"/>
    <col min="3" max="3" width="16.1796875" customWidth="1"/>
    <col min="4" max="4" width="14.81640625" customWidth="1"/>
    <col min="5" max="5" width="13.26953125" style="12" customWidth="1"/>
    <col min="6" max="6" width="17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1000</v>
      </c>
      <c r="E2" s="10">
        <v>30</v>
      </c>
      <c r="F2" s="2" t="s">
        <v>9</v>
      </c>
    </row>
    <row r="3" spans="1:6" x14ac:dyDescent="0.35">
      <c r="A3" s="3" t="s">
        <v>10</v>
      </c>
      <c r="B3" s="3" t="s">
        <v>11</v>
      </c>
      <c r="C3" s="3" t="s">
        <v>12</v>
      </c>
      <c r="D3" s="3">
        <v>80</v>
      </c>
      <c r="E3" s="11">
        <v>15</v>
      </c>
      <c r="F3" s="3" t="s">
        <v>13</v>
      </c>
    </row>
    <row r="4" spans="1:6" x14ac:dyDescent="0.35">
      <c r="A4" s="2" t="s">
        <v>14</v>
      </c>
      <c r="B4" s="2" t="s">
        <v>15</v>
      </c>
      <c r="C4" s="2" t="s">
        <v>16</v>
      </c>
      <c r="D4" s="2">
        <v>130</v>
      </c>
      <c r="E4" s="10">
        <v>40</v>
      </c>
      <c r="F4" s="2" t="s">
        <v>17</v>
      </c>
    </row>
    <row r="5" spans="1:6" x14ac:dyDescent="0.35">
      <c r="A5" s="3" t="s">
        <v>18</v>
      </c>
      <c r="B5" s="3" t="s">
        <v>19</v>
      </c>
      <c r="C5" s="3" t="s">
        <v>20</v>
      </c>
      <c r="D5" s="3">
        <v>900</v>
      </c>
      <c r="E5" s="11">
        <v>25</v>
      </c>
      <c r="F5" s="3" t="s">
        <v>9</v>
      </c>
    </row>
    <row r="6" spans="1:6" x14ac:dyDescent="0.35">
      <c r="A6" s="2" t="s">
        <v>21</v>
      </c>
      <c r="B6" s="2" t="s">
        <v>22</v>
      </c>
      <c r="C6" s="2" t="s">
        <v>23</v>
      </c>
      <c r="D6" s="2">
        <v>70</v>
      </c>
      <c r="E6" s="10">
        <v>20</v>
      </c>
      <c r="F6" s="2" t="s">
        <v>24</v>
      </c>
    </row>
    <row r="7" spans="1:6" x14ac:dyDescent="0.35">
      <c r="A7" s="3" t="s">
        <v>25</v>
      </c>
      <c r="B7" s="3" t="s">
        <v>26</v>
      </c>
      <c r="C7" s="3" t="s">
        <v>27</v>
      </c>
      <c r="D7" s="3">
        <v>200</v>
      </c>
      <c r="E7" s="11">
        <v>45</v>
      </c>
      <c r="F7" s="3" t="s">
        <v>9</v>
      </c>
    </row>
    <row r="8" spans="1:6" x14ac:dyDescent="0.35">
      <c r="A8" s="2" t="s">
        <v>28</v>
      </c>
      <c r="B8" s="2" t="s">
        <v>29</v>
      </c>
      <c r="C8" s="2" t="s">
        <v>30</v>
      </c>
      <c r="D8" s="2">
        <v>30</v>
      </c>
      <c r="E8" s="10">
        <v>5</v>
      </c>
      <c r="F8" s="2" t="s">
        <v>13</v>
      </c>
    </row>
    <row r="9" spans="1:6" x14ac:dyDescent="0.35">
      <c r="A9" s="3" t="s">
        <v>31</v>
      </c>
      <c r="B9" s="3" t="s">
        <v>32</v>
      </c>
      <c r="C9" s="3" t="s">
        <v>33</v>
      </c>
      <c r="D9" s="3">
        <v>90</v>
      </c>
      <c r="E9" s="11">
        <v>35</v>
      </c>
      <c r="F9" s="3" t="s">
        <v>17</v>
      </c>
    </row>
    <row r="10" spans="1:6" x14ac:dyDescent="0.35">
      <c r="A10" s="2" t="s">
        <v>34</v>
      </c>
      <c r="B10" s="2" t="s">
        <v>35</v>
      </c>
      <c r="C10" s="2" t="s">
        <v>36</v>
      </c>
      <c r="D10" s="2">
        <v>500</v>
      </c>
      <c r="E10" s="10">
        <v>50</v>
      </c>
      <c r="F10" s="2" t="s">
        <v>9</v>
      </c>
    </row>
    <row r="11" spans="1:6" x14ac:dyDescent="0.35">
      <c r="A11" s="3" t="s">
        <v>37</v>
      </c>
      <c r="B11" s="3" t="s">
        <v>38</v>
      </c>
      <c r="C11" s="3" t="s">
        <v>39</v>
      </c>
      <c r="D11" s="3">
        <v>130</v>
      </c>
      <c r="E11" s="11">
        <v>10</v>
      </c>
      <c r="F11" s="3" t="s">
        <v>24</v>
      </c>
    </row>
    <row r="12" spans="1:6" x14ac:dyDescent="0.35">
      <c r="A12" s="2" t="s">
        <v>40</v>
      </c>
      <c r="B12" s="2" t="s">
        <v>7</v>
      </c>
      <c r="C12" s="2" t="s">
        <v>41</v>
      </c>
      <c r="D12" s="2">
        <v>950</v>
      </c>
      <c r="E12" s="10">
        <v>25</v>
      </c>
      <c r="F12" s="2" t="s">
        <v>9</v>
      </c>
    </row>
    <row r="13" spans="1:6" x14ac:dyDescent="0.35">
      <c r="A13" s="3" t="s">
        <v>42</v>
      </c>
      <c r="B13" s="3" t="s">
        <v>11</v>
      </c>
      <c r="C13" s="3" t="s">
        <v>30</v>
      </c>
      <c r="D13" s="3">
        <v>90</v>
      </c>
      <c r="E13" s="11">
        <v>40</v>
      </c>
      <c r="F13" s="3" t="s">
        <v>13</v>
      </c>
    </row>
    <row r="14" spans="1:6" x14ac:dyDescent="0.35">
      <c r="A14" s="2" t="s">
        <v>43</v>
      </c>
      <c r="B14" s="2" t="s">
        <v>15</v>
      </c>
      <c r="C14" s="2" t="s">
        <v>44</v>
      </c>
      <c r="D14" s="2">
        <v>120</v>
      </c>
      <c r="E14" s="10">
        <v>35</v>
      </c>
      <c r="F14" s="2" t="s">
        <v>17</v>
      </c>
    </row>
    <row r="15" spans="1:6" x14ac:dyDescent="0.35">
      <c r="A15" s="3" t="s">
        <v>45</v>
      </c>
      <c r="B15" s="3" t="s">
        <v>46</v>
      </c>
      <c r="C15" s="3" t="s">
        <v>47</v>
      </c>
      <c r="D15" s="3">
        <v>150</v>
      </c>
      <c r="E15" s="11">
        <v>15</v>
      </c>
      <c r="F15" s="3" t="s">
        <v>9</v>
      </c>
    </row>
    <row r="16" spans="1:6" x14ac:dyDescent="0.35">
      <c r="A16" s="2" t="s">
        <v>48</v>
      </c>
      <c r="B16" s="2" t="s">
        <v>26</v>
      </c>
      <c r="C16" s="2" t="s">
        <v>49</v>
      </c>
      <c r="D16" s="2">
        <v>250</v>
      </c>
      <c r="E16" s="10">
        <v>20</v>
      </c>
      <c r="F16" s="2" t="s">
        <v>9</v>
      </c>
    </row>
    <row r="17" spans="1:6" x14ac:dyDescent="0.35">
      <c r="A17" s="3" t="s">
        <v>50</v>
      </c>
      <c r="B17" s="3" t="s">
        <v>51</v>
      </c>
      <c r="C17" s="3" t="s">
        <v>52</v>
      </c>
      <c r="D17" s="3">
        <v>50</v>
      </c>
      <c r="E17" s="11">
        <v>35</v>
      </c>
      <c r="F17" s="3" t="s">
        <v>53</v>
      </c>
    </row>
    <row r="18" spans="1:6" x14ac:dyDescent="0.35">
      <c r="A18" s="2" t="s">
        <v>54</v>
      </c>
      <c r="B18" s="2" t="s">
        <v>46</v>
      </c>
      <c r="C18" s="2" t="s">
        <v>55</v>
      </c>
      <c r="D18" s="2">
        <v>160</v>
      </c>
      <c r="E18" s="10">
        <v>15</v>
      </c>
      <c r="F18" s="2" t="s">
        <v>9</v>
      </c>
    </row>
    <row r="19" spans="1:6" x14ac:dyDescent="0.35">
      <c r="A19" s="3" t="s">
        <v>56</v>
      </c>
      <c r="B19" s="3" t="s">
        <v>7</v>
      </c>
      <c r="C19" s="3" t="s">
        <v>57</v>
      </c>
      <c r="D19" s="3">
        <v>980</v>
      </c>
      <c r="E19" s="11">
        <v>10</v>
      </c>
      <c r="F19" s="3" t="s">
        <v>9</v>
      </c>
    </row>
    <row r="20" spans="1:6" x14ac:dyDescent="0.35">
      <c r="A20" s="2" t="s">
        <v>58</v>
      </c>
      <c r="B20" s="2" t="s">
        <v>59</v>
      </c>
      <c r="C20" s="2" t="s">
        <v>60</v>
      </c>
      <c r="D20" s="2">
        <v>150</v>
      </c>
      <c r="E20" s="10">
        <v>15</v>
      </c>
      <c r="F20" s="2" t="s">
        <v>13</v>
      </c>
    </row>
    <row r="21" spans="1:6" x14ac:dyDescent="0.35">
      <c r="A21" s="3" t="s">
        <v>61</v>
      </c>
      <c r="B21" s="3" t="s">
        <v>62</v>
      </c>
      <c r="C21" s="3" t="s">
        <v>63</v>
      </c>
      <c r="D21" s="3">
        <v>200</v>
      </c>
      <c r="E21" s="11">
        <v>10</v>
      </c>
      <c r="F21" s="3" t="s">
        <v>24</v>
      </c>
    </row>
    <row r="22" spans="1:6" x14ac:dyDescent="0.35">
      <c r="A22" s="2" t="s">
        <v>64</v>
      </c>
      <c r="B22" s="2" t="s">
        <v>65</v>
      </c>
      <c r="C22" s="2" t="s">
        <v>66</v>
      </c>
      <c r="D22" s="2">
        <v>700</v>
      </c>
      <c r="E22" s="10">
        <v>50</v>
      </c>
      <c r="F22" s="2" t="s">
        <v>9</v>
      </c>
    </row>
    <row r="23" spans="1:6" x14ac:dyDescent="0.35">
      <c r="A23" s="3" t="s">
        <v>67</v>
      </c>
      <c r="B23" s="3" t="s">
        <v>68</v>
      </c>
      <c r="C23" s="3" t="s">
        <v>69</v>
      </c>
      <c r="D23" s="3">
        <v>80</v>
      </c>
      <c r="E23" s="11">
        <v>20</v>
      </c>
      <c r="F23" s="3" t="s">
        <v>17</v>
      </c>
    </row>
    <row r="24" spans="1:6" x14ac:dyDescent="0.35">
      <c r="A24" s="2" t="s">
        <v>70</v>
      </c>
      <c r="B24" s="2" t="s">
        <v>71</v>
      </c>
      <c r="C24" s="2" t="s">
        <v>72</v>
      </c>
      <c r="D24" s="2">
        <v>150</v>
      </c>
      <c r="E24" s="10">
        <v>30</v>
      </c>
      <c r="F24" s="2" t="s">
        <v>9</v>
      </c>
    </row>
    <row r="25" spans="1:6" x14ac:dyDescent="0.35">
      <c r="A25" s="3" t="s">
        <v>50</v>
      </c>
      <c r="B25" s="3" t="s">
        <v>51</v>
      </c>
      <c r="C25" s="3" t="s">
        <v>52</v>
      </c>
      <c r="D25" s="3">
        <v>50</v>
      </c>
      <c r="E25" s="11">
        <v>35</v>
      </c>
      <c r="F25" s="3" t="s">
        <v>53</v>
      </c>
    </row>
    <row r="26" spans="1:6" x14ac:dyDescent="0.35">
      <c r="A26" s="2" t="s">
        <v>73</v>
      </c>
      <c r="B26" s="2" t="s">
        <v>19</v>
      </c>
      <c r="C26" s="2" t="s">
        <v>74</v>
      </c>
      <c r="D26" s="2">
        <v>800</v>
      </c>
      <c r="E26" s="10">
        <v>45</v>
      </c>
      <c r="F26" s="2" t="s">
        <v>9</v>
      </c>
    </row>
    <row r="27" spans="1:6" x14ac:dyDescent="0.35">
      <c r="A27" s="3" t="s">
        <v>75</v>
      </c>
      <c r="B27" s="3" t="s">
        <v>59</v>
      </c>
      <c r="C27" s="3" t="s">
        <v>76</v>
      </c>
      <c r="D27" s="3">
        <v>130</v>
      </c>
      <c r="E27" s="11">
        <v>25</v>
      </c>
      <c r="F27" s="3" t="s">
        <v>13</v>
      </c>
    </row>
    <row r="28" spans="1:6" x14ac:dyDescent="0.35">
      <c r="A28" s="2" t="s">
        <v>77</v>
      </c>
      <c r="B28" s="2" t="s">
        <v>32</v>
      </c>
      <c r="C28" s="2" t="s">
        <v>78</v>
      </c>
      <c r="D28" s="2">
        <v>400</v>
      </c>
      <c r="E28" s="10">
        <v>40</v>
      </c>
      <c r="F28" s="2" t="s">
        <v>17</v>
      </c>
    </row>
    <row r="29" spans="1:6" x14ac:dyDescent="0.35">
      <c r="A29" s="3" t="s">
        <v>48</v>
      </c>
      <c r="B29" s="3" t="s">
        <v>26</v>
      </c>
      <c r="C29" s="3" t="s">
        <v>49</v>
      </c>
      <c r="D29" s="3">
        <v>230</v>
      </c>
      <c r="E29" s="11">
        <v>20</v>
      </c>
      <c r="F29" s="3" t="s">
        <v>9</v>
      </c>
    </row>
    <row r="30" spans="1:6" x14ac:dyDescent="0.35">
      <c r="A30" s="2" t="s">
        <v>79</v>
      </c>
      <c r="B30" s="2" t="s">
        <v>80</v>
      </c>
      <c r="C30" s="2" t="s">
        <v>81</v>
      </c>
      <c r="D30" s="2">
        <v>60</v>
      </c>
      <c r="E30" s="10">
        <v>30</v>
      </c>
      <c r="F30" s="2" t="s">
        <v>13</v>
      </c>
    </row>
    <row r="31" spans="1:6" x14ac:dyDescent="0.35">
      <c r="A31" s="3" t="s">
        <v>82</v>
      </c>
      <c r="B31" s="3" t="s">
        <v>83</v>
      </c>
      <c r="C31" s="3" t="s">
        <v>84</v>
      </c>
      <c r="D31" s="3">
        <v>40</v>
      </c>
      <c r="E31" s="11">
        <v>10</v>
      </c>
      <c r="F31" s="3" t="s">
        <v>17</v>
      </c>
    </row>
    <row r="32" spans="1:6" x14ac:dyDescent="0.35">
      <c r="A32" s="2" t="s">
        <v>85</v>
      </c>
      <c r="B32" s="2" t="s">
        <v>71</v>
      </c>
      <c r="C32" s="2" t="s">
        <v>86</v>
      </c>
      <c r="D32" s="2">
        <v>130</v>
      </c>
      <c r="E32" s="10">
        <v>5</v>
      </c>
      <c r="F32" s="2" t="s">
        <v>9</v>
      </c>
    </row>
    <row r="33" spans="1:7" x14ac:dyDescent="0.35">
      <c r="A33" s="3" t="s">
        <v>87</v>
      </c>
      <c r="B33" s="3" t="s">
        <v>88</v>
      </c>
      <c r="C33" s="3" t="s">
        <v>89</v>
      </c>
      <c r="D33" s="3">
        <v>50</v>
      </c>
      <c r="E33" s="11">
        <v>50</v>
      </c>
      <c r="F33" s="3" t="s">
        <v>13</v>
      </c>
    </row>
    <row r="34" spans="1:7" x14ac:dyDescent="0.35">
      <c r="A34" s="2" t="s">
        <v>40</v>
      </c>
      <c r="B34" s="2" t="s">
        <v>7</v>
      </c>
      <c r="C34" s="2" t="s">
        <v>41</v>
      </c>
      <c r="D34" s="2">
        <v>950</v>
      </c>
      <c r="E34" s="10">
        <v>25</v>
      </c>
      <c r="F34" s="2" t="s">
        <v>9</v>
      </c>
    </row>
    <row r="35" spans="1:7" x14ac:dyDescent="0.35">
      <c r="A35" s="3" t="s">
        <v>90</v>
      </c>
      <c r="B35" s="3" t="s">
        <v>91</v>
      </c>
      <c r="C35" s="3" t="s">
        <v>92</v>
      </c>
      <c r="D35" s="3">
        <v>100</v>
      </c>
      <c r="E35" s="11">
        <v>20</v>
      </c>
      <c r="F35" s="3" t="s">
        <v>53</v>
      </c>
    </row>
    <row r="36" spans="1:7" x14ac:dyDescent="0.35">
      <c r="D36">
        <f>SUM(D2:D35)</f>
        <v>10100</v>
      </c>
    </row>
    <row r="37" spans="1:7" ht="15.5" x14ac:dyDescent="0.35">
      <c r="A37" s="4"/>
      <c r="B37" s="6" t="s">
        <v>94</v>
      </c>
      <c r="C37" s="4"/>
      <c r="E37"/>
    </row>
    <row r="38" spans="1:7" ht="15.5" x14ac:dyDescent="0.35">
      <c r="A38" s="4"/>
      <c r="B38" s="6"/>
      <c r="C38" s="7" t="s">
        <v>95</v>
      </c>
      <c r="E38"/>
      <c r="G38" t="s">
        <v>110</v>
      </c>
    </row>
    <row r="39" spans="1:7" ht="15.5" x14ac:dyDescent="0.35">
      <c r="A39" s="4"/>
      <c r="B39" s="6"/>
      <c r="C39" s="7" t="s">
        <v>96</v>
      </c>
      <c r="E39"/>
      <c r="G39">
        <f>COUNT(D2:D35)</f>
        <v>34</v>
      </c>
    </row>
    <row r="40" spans="1:7" ht="15.5" x14ac:dyDescent="0.35">
      <c r="A40" s="4"/>
      <c r="B40" s="6"/>
      <c r="C40" s="7" t="s">
        <v>97</v>
      </c>
      <c r="E40"/>
      <c r="G40">
        <f>AVERAGE(D2:D35)</f>
        <v>297.05882352941177</v>
      </c>
    </row>
    <row r="42" spans="1:7" ht="15.5" x14ac:dyDescent="0.35">
      <c r="B42" s="6" t="s">
        <v>98</v>
      </c>
      <c r="C42" s="4"/>
      <c r="E42"/>
    </row>
    <row r="43" spans="1:7" ht="15.5" x14ac:dyDescent="0.35">
      <c r="B43" s="4"/>
      <c r="C43" s="7" t="s">
        <v>99</v>
      </c>
      <c r="E43"/>
      <c r="G43" t="s">
        <v>112</v>
      </c>
    </row>
    <row r="44" spans="1:7" ht="15.5" x14ac:dyDescent="0.35">
      <c r="B44" s="4"/>
      <c r="C44" s="7" t="s">
        <v>100</v>
      </c>
      <c r="E44"/>
      <c r="G44">
        <f>MAX(D2:D35)</f>
        <v>1000</v>
      </c>
    </row>
    <row r="46" spans="1:7" ht="15.5" x14ac:dyDescent="0.35">
      <c r="B46" s="6" t="s">
        <v>101</v>
      </c>
      <c r="C46" s="4"/>
      <c r="E46"/>
    </row>
    <row r="47" spans="1:7" ht="15.5" x14ac:dyDescent="0.35">
      <c r="B47" s="4"/>
      <c r="C47" s="7" t="s">
        <v>102</v>
      </c>
      <c r="E47"/>
    </row>
    <row r="49" spans="2:7" x14ac:dyDescent="0.35">
      <c r="F49" t="s">
        <v>111</v>
      </c>
      <c r="G49" t="str">
        <f>IF(D2&gt;=500,"High Price","Standard Price")</f>
        <v>High Price</v>
      </c>
    </row>
    <row r="53" spans="2:7" ht="15.5" x14ac:dyDescent="0.35">
      <c r="B53" s="6" t="s">
        <v>103</v>
      </c>
      <c r="C53" s="4"/>
      <c r="E53"/>
    </row>
    <row r="54" spans="2:7" ht="15.5" x14ac:dyDescent="0.35">
      <c r="B54" s="4"/>
      <c r="C54" s="7" t="s">
        <v>104</v>
      </c>
      <c r="E54"/>
    </row>
    <row r="55" spans="2:7" ht="15.5" x14ac:dyDescent="0.35">
      <c r="B55" s="4"/>
      <c r="C55" s="7" t="s">
        <v>105</v>
      </c>
      <c r="E55"/>
    </row>
    <row r="56" spans="2:7" x14ac:dyDescent="0.35">
      <c r="E56" s="12" t="s">
        <v>111</v>
      </c>
      <c r="F56">
        <f>SUMIF(F2:F35,"Electronics",D2:D35)</f>
        <v>8050</v>
      </c>
    </row>
    <row r="57" spans="2:7" x14ac:dyDescent="0.35">
      <c r="F57">
        <f>COUNTIF(D2:D35,"&lt;100")</f>
        <v>11</v>
      </c>
    </row>
    <row r="60" spans="2:7" ht="15.5" x14ac:dyDescent="0.35">
      <c r="B60" s="6" t="s">
        <v>106</v>
      </c>
      <c r="C60" s="4"/>
      <c r="E60"/>
    </row>
    <row r="61" spans="2:7" ht="15.5" x14ac:dyDescent="0.35">
      <c r="B61" s="4"/>
      <c r="C61" s="7" t="s">
        <v>107</v>
      </c>
      <c r="E61"/>
    </row>
    <row r="62" spans="2:7" ht="15.5" x14ac:dyDescent="0.35">
      <c r="B62" s="4"/>
      <c r="C62" s="7" t="s">
        <v>108</v>
      </c>
      <c r="E62"/>
    </row>
    <row r="63" spans="2:7" ht="15.5" x14ac:dyDescent="0.35">
      <c r="B63" s="4"/>
      <c r="C63" s="7" t="s">
        <v>109</v>
      </c>
      <c r="E63"/>
    </row>
    <row r="64" spans="2:7" x14ac:dyDescent="0.35">
      <c r="B64" s="8"/>
      <c r="C64" s="4"/>
      <c r="E64"/>
    </row>
    <row r="65" spans="5:6" x14ac:dyDescent="0.35">
      <c r="E65" s="12" t="s">
        <v>111</v>
      </c>
      <c r="F65" t="str">
        <f>LEFT(A2,2)</f>
        <v>28</v>
      </c>
    </row>
    <row r="66" spans="5:6" x14ac:dyDescent="0.35">
      <c r="F66" t="str">
        <f>RIGHT(A2,2)</f>
        <v>US</v>
      </c>
    </row>
    <row r="67" spans="5:6" x14ac:dyDescent="0.35">
      <c r="F67" t="str">
        <f>MID(A2,4,3)</f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2026-09-17T11:46:53Z</dcterms:created>
  <dcterms:modified xsi:type="dcterms:W3CDTF">2026-09-17T12:29:45Z</dcterms:modified>
</cp:coreProperties>
</file>