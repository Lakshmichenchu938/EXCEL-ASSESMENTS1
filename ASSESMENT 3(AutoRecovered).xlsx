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1A24744-D99F-40EF-9727-FD2A5B060D54}" xr6:coauthVersionLast="47" xr6:coauthVersionMax="47" xr10:uidLastSave="{00000000-0000-0000-0000-000000000000}"/>
  <bookViews>
    <workbookView xWindow="-110" yWindow="-110" windowWidth="19420" windowHeight="10300" tabRatio="608" firstSheet="5" activeTab="7" xr2:uid="{FFA2060A-3284-493B-B251-8BCDCE9E8EFE}"/>
  </bookViews>
  <sheets>
    <sheet name="Cstoumer Names" sheetId="1" r:id="rId1"/>
    <sheet name="Medical Examination" sheetId="2" r:id="rId2"/>
    <sheet name="Hospitalisation Detailes" sheetId="3" r:id="rId3"/>
    <sheet name="Health care" sheetId="4" r:id="rId4"/>
    <sheet name="Analysis pie and donut" sheetId="6" r:id="rId5"/>
    <sheet name="Column and Bar chart" sheetId="7" r:id="rId6"/>
    <sheet name="Weight and Diabetes" sheetId="8" r:id="rId7"/>
    <sheet name="Age vs BMI" sheetId="9" r:id="rId8"/>
  </sheets>
  <definedNames>
    <definedName name="_xlnm._FilterDatabase" localSheetId="2" hidden="1">'Hospitalisation Detailes'!$G$1:$G$2350</definedName>
  </definedNames>
  <calcPr calcId="191029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7" i="4"/>
  <c r="U2248" i="4"/>
  <c r="U2249" i="4"/>
  <c r="U2250" i="4"/>
  <c r="U2251" i="4"/>
  <c r="U2252" i="4"/>
  <c r="U2253" i="4"/>
  <c r="U2254" i="4"/>
  <c r="U2255" i="4"/>
  <c r="U2256" i="4"/>
  <c r="U225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2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4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" i="3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" i="2"/>
  <c r="B2339" i="2"/>
  <c r="H2356" i="3"/>
  <c r="H2355" i="3"/>
  <c r="H2354" i="3"/>
  <c r="G2356" i="3"/>
  <c r="G2355" i="3"/>
  <c r="G2354" i="3"/>
  <c r="B2350" i="3"/>
  <c r="H2339" i="2"/>
  <c r="F2339" i="2"/>
  <c r="E2339" i="2"/>
  <c r="D2339" i="2"/>
  <c r="I2346" i="3"/>
  <c r="H2346" i="3"/>
  <c r="G2346" i="3"/>
  <c r="F2346" i="3"/>
  <c r="E2346" i="3"/>
  <c r="D2346" i="3"/>
  <c r="C2346" i="3"/>
  <c r="B2346" i="3"/>
  <c r="A2346" i="3"/>
  <c r="A2339" i="2"/>
  <c r="G2339" i="2"/>
  <c r="C2339" i="2"/>
</calcChain>
</file>

<file path=xl/sharedStrings.xml><?xml version="1.0" encoding="utf-8"?>
<sst xmlns="http://schemas.openxmlformats.org/spreadsheetml/2006/main" count="57361" uniqueCount="5460">
  <si>
    <t>Customer ID</t>
  </si>
  <si>
    <t>name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</si>
  <si>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</si>
  <si>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</si>
  <si>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</si>
  <si>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</si>
  <si>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</si>
  <si>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</si>
  <si>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</si>
  <si>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</si>
  <si>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</si>
  <si>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</si>
  <si>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</si>
  <si>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</si>
  <si>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</si>
  <si>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</si>
  <si>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</si>
  <si>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</si>
  <si>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</si>
  <si>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</si>
  <si>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</si>
  <si>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</si>
  <si>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</si>
  <si>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</si>
  <si>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</si>
  <si>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</si>
  <si>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</si>
  <si>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</si>
  <si>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</si>
  <si>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</si>
  <si>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</si>
  <si>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</si>
  <si>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</si>
  <si>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</si>
  <si>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</si>
  <si>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</si>
  <si>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</si>
  <si>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</si>
  <si>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</si>
  <si>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</si>
  <si>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</si>
  <si>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</si>
  <si>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</si>
  <si>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</si>
  <si>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</si>
  <si>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</si>
  <si>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</si>
  <si>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</si>
  <si>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</si>
  <si>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</si>
  <si>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</si>
  <si>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</si>
  <si>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</si>
  <si>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</si>
  <si>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</si>
  <si>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</si>
  <si>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</si>
  <si>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</si>
  <si>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</si>
  <si>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</si>
  <si>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</si>
  <si>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</si>
  <si>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</si>
  <si>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</si>
  <si>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</si>
  <si>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</si>
  <si>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</si>
  <si>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</si>
  <si>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</si>
  <si>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</si>
  <si>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</si>
  <si>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</si>
  <si>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</si>
  <si>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</si>
  <si>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</si>
  <si>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</si>
  <si>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</si>
  <si>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</si>
  <si>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</si>
  <si>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</si>
  <si>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</si>
  <si>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</si>
  <si>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</si>
  <si>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</si>
  <si>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</si>
  <si>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</si>
  <si>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</si>
  <si>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</si>
  <si>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</si>
  <si>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</si>
  <si>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</si>
  <si>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</si>
  <si>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</si>
  <si>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</si>
  <si>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</si>
  <si>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</si>
  <si>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</si>
  <si>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</si>
  <si>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</si>
  <si>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</si>
  <si>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</si>
  <si>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</si>
  <si>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</si>
  <si>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</si>
  <si>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</si>
  <si>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</si>
  <si>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</si>
  <si>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</si>
  <si>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</si>
  <si>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</si>
  <si>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</si>
  <si>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</si>
  <si>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</si>
  <si>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</si>
  <si>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</si>
  <si>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</si>
  <si>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</si>
  <si>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</si>
  <si>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</si>
  <si>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</si>
  <si>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</si>
  <si>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</si>
  <si>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</si>
  <si>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</si>
  <si>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</si>
  <si>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</si>
  <si>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</si>
  <si>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</si>
  <si>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</si>
  <si>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</si>
  <si>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</si>
  <si>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</si>
  <si>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</si>
  <si>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</si>
  <si>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</si>
  <si>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</si>
  <si>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</si>
  <si>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</si>
  <si>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</si>
  <si>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</si>
  <si>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</si>
  <si>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</si>
  <si>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</si>
  <si>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</si>
  <si>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</si>
  <si>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</si>
  <si>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</si>
  <si>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</si>
  <si>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</si>
  <si>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</si>
  <si>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</si>
  <si>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</si>
  <si>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</si>
  <si>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</si>
  <si>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</si>
  <si>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</si>
  <si>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</si>
  <si>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</si>
  <si>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</si>
  <si>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</si>
  <si>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</si>
  <si>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</si>
  <si>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</si>
  <si>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</si>
  <si>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</si>
  <si>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</si>
  <si>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</si>
  <si>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</si>
  <si>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</si>
  <si>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</si>
  <si>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</si>
  <si>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</si>
  <si>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</si>
  <si>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</si>
  <si>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</si>
  <si>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</si>
  <si>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</si>
  <si>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</si>
  <si>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</si>
  <si>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</si>
  <si>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</si>
  <si>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</si>
  <si>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</si>
  <si>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</si>
  <si>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</si>
  <si>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</si>
  <si>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</si>
  <si>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</si>
  <si>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</si>
  <si>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</si>
  <si>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</si>
  <si>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</si>
  <si>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</si>
  <si>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</si>
  <si>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</si>
  <si>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</si>
  <si>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</si>
  <si>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</si>
  <si>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</si>
  <si>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</si>
  <si>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</si>
  <si>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</si>
  <si>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</si>
  <si>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</si>
  <si>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</si>
  <si>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</si>
  <si>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</si>
  <si>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</si>
  <si>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</si>
  <si>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</si>
  <si>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</si>
  <si>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</si>
  <si>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</si>
  <si>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</si>
  <si>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</si>
  <si>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</si>
  <si>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</si>
  <si>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</si>
  <si>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</si>
  <si>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</si>
  <si>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</si>
  <si>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</si>
  <si>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</si>
  <si>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</si>
  <si>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</si>
  <si>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</si>
  <si>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</si>
  <si>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</si>
  <si>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</si>
  <si>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</si>
  <si>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</si>
  <si>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</si>
  <si>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</si>
  <si>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</si>
  <si>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</si>
  <si>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</si>
  <si>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</si>
  <si>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</si>
  <si>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</si>
  <si>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</si>
  <si>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</si>
  <si>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</si>
  <si>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</si>
  <si>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</si>
  <si>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</si>
  <si>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</si>
  <si>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</si>
  <si>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</si>
  <si>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</si>
  <si>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</si>
  <si>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</si>
  <si>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</si>
  <si>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</si>
  <si>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</si>
  <si>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</si>
  <si>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</si>
  <si>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</si>
  <si>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</si>
  <si>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</si>
  <si>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</si>
  <si>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</si>
  <si>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</si>
  <si>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</si>
  <si>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</si>
  <si>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</si>
  <si>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</si>
  <si>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</si>
  <si>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</si>
  <si>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</si>
  <si>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</si>
  <si>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</si>
  <si>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</si>
  <si>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</si>
  <si>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</si>
  <si>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</si>
  <si>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</si>
  <si>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</si>
  <si>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</si>
  <si>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</si>
  <si>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</si>
  <si>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</si>
  <si>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</si>
  <si>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</si>
  <si>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</si>
  <si>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</si>
  <si>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</si>
  <si>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</si>
  <si>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</si>
  <si>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</si>
  <si>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</si>
  <si>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</si>
  <si>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</si>
  <si>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</si>
  <si>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</si>
  <si>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</si>
  <si>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</si>
  <si>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</si>
  <si>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</si>
  <si>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</si>
  <si>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</si>
  <si>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</si>
  <si>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</si>
  <si>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</si>
  <si>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</si>
  <si>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</si>
  <si>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</si>
  <si>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</si>
  <si>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</si>
  <si>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</si>
  <si>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</si>
  <si>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</si>
  <si>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</si>
  <si>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</si>
  <si>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</si>
  <si>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</si>
  <si>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</si>
  <si>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</si>
  <si>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</si>
  <si>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</si>
  <si>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</si>
  <si>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</si>
  <si>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</si>
  <si>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</si>
  <si>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</si>
  <si>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</si>
  <si>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</si>
  <si>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</si>
  <si>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</si>
  <si>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</si>
  <si>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</si>
  <si>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</si>
  <si>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</si>
  <si>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</si>
  <si>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</si>
  <si>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</si>
  <si>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</si>
  <si>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</si>
  <si>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</si>
  <si>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</si>
  <si>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</si>
  <si>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</si>
  <si>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</si>
  <si>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</si>
  <si>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</si>
  <si>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</si>
  <si>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</si>
  <si>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</si>
  <si>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</si>
  <si>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</si>
  <si>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</si>
  <si>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</si>
  <si>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</si>
  <si>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</si>
  <si>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</si>
  <si>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</si>
  <si>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</si>
  <si>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</si>
  <si>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</si>
  <si>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</si>
  <si>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</si>
  <si>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</si>
  <si>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</si>
  <si>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</si>
  <si>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</si>
  <si>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</si>
  <si>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</si>
  <si>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</si>
  <si>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</si>
  <si>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</si>
  <si>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</si>
  <si>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</si>
  <si>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</si>
  <si>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</si>
  <si>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</si>
  <si>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</si>
  <si>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</si>
  <si>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</si>
  <si>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</si>
  <si>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</si>
  <si>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</si>
  <si>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</si>
  <si>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</si>
  <si>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</si>
  <si>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</si>
  <si>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</si>
  <si>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</si>
  <si>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</si>
  <si>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</si>
  <si>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</si>
  <si>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</si>
  <si>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</si>
  <si>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</si>
  <si>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</si>
  <si>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</si>
  <si>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</si>
  <si>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</si>
  <si>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</si>
  <si>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</si>
  <si>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</si>
  <si>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</si>
  <si>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</si>
  <si>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</si>
  <si>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</si>
  <si>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</si>
  <si>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</si>
  <si>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</si>
  <si>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</si>
  <si>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</si>
  <si>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</si>
  <si>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</si>
  <si>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</si>
  <si>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</si>
  <si>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</si>
  <si>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</si>
  <si>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</si>
  <si>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</si>
  <si>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</si>
  <si>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</si>
  <si>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</si>
  <si>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</si>
  <si>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</si>
  <si>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</si>
  <si>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</si>
  <si>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</si>
  <si>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</si>
  <si>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</si>
  <si>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</si>
  <si>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</si>
  <si>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</si>
  <si>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</si>
  <si>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</si>
  <si>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</si>
  <si>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</si>
  <si>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</si>
  <si>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</si>
  <si>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</si>
  <si>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</si>
  <si>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</si>
  <si>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</si>
  <si>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</si>
  <si>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</si>
  <si>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</si>
  <si>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</si>
  <si>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</si>
  <si>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</si>
  <si>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</si>
  <si>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</si>
  <si>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</si>
  <si>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</si>
  <si>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</si>
  <si>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</si>
  <si>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</si>
  <si>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</si>
  <si>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</si>
  <si>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</si>
  <si>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</si>
  <si>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</si>
  <si>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</si>
  <si>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</si>
  <si>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</si>
  <si>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</si>
  <si>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</si>
  <si>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</si>
  <si>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</si>
  <si>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</si>
  <si>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</si>
  <si>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</si>
  <si>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</si>
  <si>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</si>
  <si>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</si>
  <si>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</si>
  <si>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</si>
  <si>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</si>
  <si>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</si>
  <si>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</si>
  <si>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</si>
  <si>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</si>
  <si>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</si>
  <si>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</si>
  <si>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</si>
  <si>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</si>
  <si>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</si>
  <si>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</si>
  <si>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</si>
  <si>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</si>
  <si>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</si>
  <si>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</si>
  <si>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</si>
  <si>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</si>
  <si>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</si>
  <si>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</si>
  <si>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</si>
  <si>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</si>
  <si>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</si>
  <si>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</si>
  <si>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</si>
  <si>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</si>
  <si>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</si>
  <si>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</si>
  <si>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</si>
  <si>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</si>
  <si>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</si>
  <si>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</si>
  <si>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</si>
  <si>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</si>
  <si>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</si>
  <si>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</si>
  <si>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</si>
  <si>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</si>
  <si>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</si>
  <si>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</si>
  <si>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</si>
  <si>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</si>
  <si>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</si>
  <si>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</si>
  <si>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</si>
  <si>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</si>
  <si>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</si>
  <si>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</si>
  <si>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</si>
  <si>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</si>
  <si>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</si>
  <si>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</si>
  <si>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</si>
  <si>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</si>
  <si>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</si>
  <si>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</si>
  <si>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</si>
  <si>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</si>
  <si>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</si>
  <si>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</si>
  <si>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</si>
  <si>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</si>
  <si>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</si>
  <si>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</si>
  <si>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</si>
  <si>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</si>
  <si>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</si>
  <si>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</si>
  <si>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</si>
  <si>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</si>
  <si>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</si>
  <si>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</si>
  <si>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</si>
  <si>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</si>
  <si>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</si>
  <si>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</si>
  <si>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</si>
  <si>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</si>
  <si>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</si>
  <si>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</si>
  <si>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</si>
  <si>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</si>
  <si>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</si>
  <si>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</si>
  <si>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</si>
  <si>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</si>
  <si>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</si>
  <si>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</si>
  <si>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</si>
  <si>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</si>
  <si>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</si>
  <si>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</si>
  <si>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</si>
  <si>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</si>
  <si>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</si>
  <si>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</si>
  <si>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</si>
  <si>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</si>
  <si>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</si>
  <si>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</si>
  <si>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</si>
  <si>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</si>
  <si>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</si>
  <si>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</si>
  <si>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</si>
  <si>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</si>
  <si>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</si>
  <si>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</si>
  <si>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</si>
  <si>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</si>
  <si>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</si>
  <si>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</si>
  <si>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</si>
  <si>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</si>
  <si>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</si>
  <si>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</si>
  <si>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</si>
  <si>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</si>
  <si>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</si>
  <si>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</si>
  <si>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</si>
  <si>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</si>
  <si>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</si>
  <si>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</si>
  <si>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</si>
  <si>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</si>
  <si>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</si>
  <si>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</si>
  <si>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</si>
  <si>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</si>
  <si>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</si>
  <si>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</si>
  <si>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</si>
  <si>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</si>
  <si>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</si>
  <si>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</si>
  <si>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</si>
  <si>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</si>
  <si>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</si>
  <si>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</si>
  <si>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</si>
  <si>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</si>
  <si>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</si>
  <si>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</si>
  <si>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</si>
  <si>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</si>
  <si>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</si>
  <si>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</si>
  <si>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</si>
  <si>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</si>
  <si>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</si>
  <si>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</si>
  <si>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</si>
  <si>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</si>
  <si>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</si>
  <si>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</si>
  <si>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</si>
  <si>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</si>
  <si>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</si>
  <si>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</si>
  <si>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</si>
  <si>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</si>
  <si>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</si>
  <si>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</si>
  <si>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</si>
  <si>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</si>
  <si>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</si>
  <si>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</si>
  <si>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</si>
  <si>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</si>
  <si>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</si>
  <si>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</si>
  <si>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</si>
  <si>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</si>
  <si>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</si>
  <si>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</si>
  <si>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</si>
  <si>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</si>
  <si>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</si>
  <si>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</si>
  <si>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</si>
  <si>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</si>
  <si>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</si>
  <si>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</si>
  <si>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</si>
  <si>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</si>
  <si>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</si>
  <si>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</si>
  <si>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</si>
  <si>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</si>
  <si>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</si>
  <si>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</si>
  <si>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</si>
  <si>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</si>
  <si>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</si>
  <si>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</si>
  <si>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</si>
  <si>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</si>
  <si>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</si>
  <si>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</si>
  <si>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</si>
  <si>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</si>
  <si>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</si>
  <si>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</si>
  <si>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</si>
  <si>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</si>
  <si>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</si>
  <si>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</si>
  <si>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</si>
  <si>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</si>
  <si>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</si>
  <si>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</si>
  <si>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</si>
  <si>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</si>
  <si>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</si>
  <si>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</si>
  <si>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</si>
  <si>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</si>
  <si>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</si>
  <si>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</si>
  <si>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</si>
  <si>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</si>
  <si>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</si>
  <si>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</si>
  <si>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</si>
  <si>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</si>
  <si>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</si>
  <si>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</si>
  <si>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</si>
  <si>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</si>
  <si>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</si>
  <si>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</si>
  <si>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</si>
  <si>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</si>
  <si>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</si>
  <si>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</si>
  <si>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</si>
  <si>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</si>
  <si>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</si>
  <si>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</si>
  <si>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</si>
  <si>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</si>
  <si>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</si>
  <si>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</si>
  <si>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</si>
  <si>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</si>
  <si>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</si>
  <si>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</si>
  <si>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</si>
  <si>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</si>
  <si>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</si>
  <si>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</si>
  <si>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</si>
  <si>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</si>
  <si>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</si>
  <si>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</si>
  <si>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</si>
  <si>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</si>
  <si>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</si>
  <si>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</si>
  <si>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</si>
  <si>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</si>
  <si>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</si>
  <si>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</si>
  <si>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</si>
  <si>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</si>
  <si>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</si>
  <si>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</si>
  <si>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</si>
  <si>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</si>
  <si>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</si>
  <si>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</si>
  <si>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</si>
  <si>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</si>
  <si>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</si>
  <si>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</si>
  <si>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</si>
  <si>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</si>
  <si>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</si>
  <si>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</si>
  <si>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</si>
  <si>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</si>
  <si>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</si>
  <si>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</si>
  <si>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</si>
  <si>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</si>
  <si>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</si>
  <si>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</si>
  <si>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</si>
  <si>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</si>
  <si>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</si>
  <si>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</si>
  <si>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</si>
  <si>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</si>
  <si>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</si>
  <si>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</si>
  <si>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</si>
  <si>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</si>
  <si>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</si>
  <si>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</si>
  <si>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</si>
  <si>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</si>
  <si>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</si>
  <si>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</si>
  <si>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</si>
  <si>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</si>
  <si>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</si>
  <si>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</si>
  <si>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</si>
  <si>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</si>
  <si>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</si>
  <si>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</si>
  <si>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</si>
  <si>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</si>
  <si>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</si>
  <si>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</si>
  <si>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</si>
  <si>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</si>
  <si>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</si>
  <si>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</si>
  <si>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</si>
  <si>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</si>
  <si>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</si>
  <si>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</si>
  <si>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</si>
  <si>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</si>
  <si>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</si>
  <si>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</si>
  <si>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</si>
  <si>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</si>
  <si>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</si>
  <si>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</si>
  <si>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</si>
  <si>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</si>
  <si>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</si>
  <si>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</si>
  <si>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</si>
  <si>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</si>
  <si>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</si>
  <si>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</si>
  <si>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</si>
  <si>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</si>
  <si>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</si>
  <si>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</si>
  <si>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</si>
  <si>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</si>
  <si>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</si>
  <si>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</si>
  <si>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</si>
  <si>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</si>
  <si>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</si>
  <si>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</si>
  <si>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</si>
  <si>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</si>
  <si>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</si>
  <si>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</si>
  <si>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</si>
  <si>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</si>
  <si>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</si>
  <si>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</si>
  <si>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</si>
  <si>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</si>
  <si>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</si>
  <si>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</si>
  <si>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</si>
  <si>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</si>
  <si>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</si>
  <si>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</si>
  <si>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</si>
  <si>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</si>
  <si>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</si>
  <si>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</si>
  <si>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</si>
  <si>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</si>
  <si>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</si>
  <si>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</si>
  <si>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</si>
  <si>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</si>
  <si>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</si>
  <si>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</si>
  <si>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</si>
  <si>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</si>
  <si>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</si>
  <si>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</si>
  <si>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</si>
  <si>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</si>
  <si>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</si>
  <si>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</si>
  <si>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</si>
  <si>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</si>
  <si>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</si>
  <si>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</si>
  <si>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</si>
  <si>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</si>
  <si>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</si>
  <si>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</si>
  <si>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</si>
  <si>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</si>
  <si>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</si>
  <si>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</si>
  <si>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</si>
  <si>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</si>
  <si>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</si>
  <si>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</si>
  <si>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</si>
  <si>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</si>
  <si>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</si>
  <si>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</si>
  <si>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</si>
  <si>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</si>
  <si>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</si>
  <si>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</si>
  <si>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</si>
  <si>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</si>
  <si>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</si>
  <si>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</si>
  <si>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</si>
  <si>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</si>
  <si>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</si>
  <si>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</si>
  <si>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</si>
  <si>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</si>
  <si>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</si>
  <si>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</si>
  <si>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</si>
  <si>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</si>
  <si>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</si>
  <si>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</si>
  <si>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</si>
  <si>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</si>
  <si>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</si>
  <si>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</si>
  <si>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</si>
  <si>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</si>
  <si>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</si>
  <si>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</si>
  <si>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</si>
  <si>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</si>
  <si>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</si>
  <si>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</si>
  <si>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</si>
  <si>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</si>
  <si>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</si>
  <si>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</si>
  <si>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</si>
  <si>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</si>
  <si>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</si>
  <si>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</si>
  <si>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</si>
  <si>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</si>
  <si>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</si>
  <si>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</si>
  <si>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</si>
  <si>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</si>
  <si>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</si>
  <si>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</si>
  <si>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</si>
  <si>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</si>
  <si>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</si>
  <si>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</si>
  <si>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</si>
  <si>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</si>
  <si>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</si>
  <si>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</si>
  <si>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</si>
  <si>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</si>
  <si>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</si>
  <si>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</si>
  <si>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</si>
  <si>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</si>
  <si>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</si>
  <si>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</si>
  <si>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</si>
  <si>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</si>
  <si>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</si>
  <si>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</si>
  <si>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</si>
  <si>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</si>
  <si>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</si>
  <si>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</si>
  <si>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</si>
  <si>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</si>
  <si>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</si>
  <si>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</si>
  <si>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</si>
  <si>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</si>
  <si>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</si>
  <si>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</si>
  <si>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</si>
  <si>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</si>
  <si>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</si>
  <si>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</si>
  <si>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</si>
  <si>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</si>
  <si>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</si>
  <si>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</si>
  <si>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</si>
  <si>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</si>
  <si>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</si>
  <si>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</si>
  <si>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</si>
  <si>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</si>
  <si>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</si>
  <si>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</si>
  <si>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</si>
  <si>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</si>
  <si>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</si>
  <si>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</si>
  <si>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</si>
  <si>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</si>
  <si>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</si>
  <si>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</si>
  <si>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</si>
  <si>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</si>
  <si>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</si>
  <si>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</si>
  <si>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</si>
  <si>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</si>
  <si>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</si>
  <si>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</si>
  <si>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</si>
  <si>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</si>
  <si>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</si>
  <si>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</si>
  <si>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</si>
  <si>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</si>
  <si>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</si>
  <si>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</si>
  <si>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</si>
  <si>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</si>
  <si>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</si>
  <si>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</si>
  <si>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</si>
  <si>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</si>
  <si>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</si>
  <si>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</si>
  <si>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</si>
  <si>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</si>
  <si>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</si>
  <si>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</si>
  <si>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</si>
  <si>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</si>
  <si>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</si>
  <si>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</si>
  <si>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</si>
  <si>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</si>
  <si>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</si>
  <si>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</si>
  <si>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</si>
  <si>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</si>
  <si>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</si>
  <si>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</si>
  <si>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</si>
  <si>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</si>
  <si>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</si>
  <si>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</si>
  <si>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</si>
  <si>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</si>
  <si>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</si>
  <si>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</si>
  <si>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</si>
  <si>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</si>
  <si>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</si>
  <si>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</si>
  <si>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</si>
  <si>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</si>
  <si>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</si>
  <si>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</si>
  <si>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</si>
  <si>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</si>
  <si>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</si>
  <si>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</si>
  <si>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</si>
  <si>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</si>
  <si>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</si>
  <si>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</si>
  <si>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</si>
  <si>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</si>
  <si>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</si>
  <si>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</si>
  <si>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</si>
  <si>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</si>
  <si>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</si>
  <si>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</si>
  <si>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</si>
  <si>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</si>
  <si>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</si>
  <si>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</si>
  <si>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</si>
  <si>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</si>
  <si>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</si>
  <si>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</si>
  <si>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</si>
  <si>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</si>
  <si>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</si>
  <si>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</si>
  <si>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</si>
  <si>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</si>
  <si>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</si>
  <si>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</si>
  <si>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</si>
  <si>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</si>
  <si>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</si>
  <si>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</si>
  <si>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</si>
  <si>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</si>
  <si>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</si>
  <si>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</si>
  <si>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</si>
  <si>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</si>
  <si>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</si>
  <si>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</si>
  <si>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</si>
  <si>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</si>
  <si>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</si>
  <si>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</si>
  <si>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</si>
  <si>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</si>
  <si>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</si>
  <si>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</si>
  <si>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</si>
  <si>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</si>
  <si>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</si>
  <si>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</si>
  <si>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</si>
  <si>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</si>
  <si>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</si>
  <si>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</si>
  <si>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</si>
  <si>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</si>
  <si>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</si>
  <si>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</si>
  <si>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</si>
  <si>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</si>
  <si>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</si>
  <si>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</si>
  <si>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</si>
  <si>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</si>
  <si>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</si>
  <si>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</si>
  <si>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</si>
  <si>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</si>
  <si>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</si>
  <si>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</si>
  <si>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</si>
  <si>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</si>
  <si>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</si>
  <si>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</si>
  <si>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</si>
  <si>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</si>
  <si>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</si>
  <si>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</si>
  <si>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</si>
  <si>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</si>
  <si>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</si>
  <si>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</si>
  <si>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</si>
  <si>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</si>
  <si>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</si>
  <si>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</si>
  <si>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</si>
  <si>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</si>
  <si>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</si>
  <si>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</si>
  <si>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</si>
  <si>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</si>
  <si>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</si>
  <si>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</si>
  <si>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</si>
  <si>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</si>
  <si>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</si>
  <si>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</si>
  <si>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</si>
  <si>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</si>
  <si>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</si>
  <si>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</si>
  <si>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</si>
  <si>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</si>
  <si>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</si>
  <si>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</si>
  <si>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</si>
  <si>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</si>
  <si>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</si>
  <si>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</si>
  <si>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</si>
  <si>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</si>
  <si>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</si>
  <si>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</si>
  <si>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</si>
  <si>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</si>
  <si>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</si>
  <si>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</si>
  <si>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</si>
  <si>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</si>
  <si>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</si>
  <si>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</si>
  <si>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</si>
  <si>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</si>
  <si>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</si>
  <si>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</si>
  <si>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</si>
  <si>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</si>
  <si>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</si>
  <si>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</si>
  <si>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</si>
  <si>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</si>
  <si>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</si>
  <si>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</si>
  <si>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</si>
  <si>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</si>
  <si>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</si>
  <si>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</si>
  <si>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</si>
  <si>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</si>
  <si>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</si>
  <si>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</si>
  <si>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</si>
  <si>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</si>
  <si>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</si>
  <si>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</si>
  <si>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</si>
  <si>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</si>
  <si>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</si>
  <si>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</si>
  <si>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</si>
  <si>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</si>
  <si>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</si>
  <si>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</si>
  <si>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</si>
  <si>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</si>
  <si>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</si>
  <si>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</si>
  <si>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</si>
  <si>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</si>
  <si>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</si>
  <si>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</si>
  <si>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</si>
  <si>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</si>
  <si>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</si>
  <si>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</si>
  <si>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</si>
  <si>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</si>
  <si>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</si>
  <si>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</si>
  <si>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</si>
  <si>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</si>
  <si>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</si>
  <si>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</si>
  <si>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</si>
  <si>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</si>
  <si>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</si>
  <si>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</si>
  <si>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</si>
  <si>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</si>
  <si>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</si>
  <si>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</si>
  <si>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</si>
  <si>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</si>
  <si>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</si>
  <si>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</si>
  <si>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</si>
  <si>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</si>
  <si>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</si>
  <si>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</si>
  <si>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</si>
  <si>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</si>
  <si>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</si>
  <si>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</si>
  <si>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</si>
  <si>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</si>
  <si>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</si>
  <si>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</si>
  <si>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</si>
  <si>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</si>
  <si>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</si>
  <si>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</si>
  <si>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</si>
  <si>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</si>
  <si>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</si>
  <si>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</si>
  <si>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</si>
  <si>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</si>
  <si>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</si>
  <si>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</si>
  <si>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</si>
  <si>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</si>
  <si>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</si>
  <si>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</si>
  <si>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</si>
  <si>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</si>
  <si>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</si>
  <si>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</si>
  <si>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</si>
  <si>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</si>
  <si>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</si>
  <si>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</si>
  <si>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</si>
  <si>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</si>
  <si>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</si>
  <si>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</si>
  <si>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</si>
  <si>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</si>
  <si>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</si>
  <si>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</si>
  <si>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</si>
  <si>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</si>
  <si>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</si>
  <si>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</si>
  <si>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</si>
  <si>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</si>
  <si>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</si>
  <si>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</si>
  <si>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</si>
  <si>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</si>
  <si>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</si>
  <si>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</si>
  <si>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</si>
  <si>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</si>
  <si>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</si>
  <si>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</si>
  <si>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</si>
  <si>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</si>
  <si>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</si>
  <si>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</si>
  <si>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</si>
  <si>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</si>
  <si>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</si>
  <si>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</si>
  <si>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</si>
  <si>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</si>
  <si>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</si>
  <si>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</si>
  <si>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</si>
  <si>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</si>
  <si>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</si>
  <si>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</si>
  <si>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</si>
  <si>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</si>
  <si>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</si>
  <si>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</si>
  <si>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</si>
  <si>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</si>
  <si>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</si>
  <si>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</si>
  <si>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</si>
  <si>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</si>
  <si>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</si>
  <si>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</si>
  <si>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</si>
  <si>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</si>
  <si>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</si>
  <si>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</si>
  <si>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</si>
  <si>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</si>
  <si>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</si>
  <si>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</si>
  <si>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</si>
  <si>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</si>
  <si>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</si>
  <si>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</si>
  <si>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</si>
  <si>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</si>
  <si>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</si>
  <si>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</si>
  <si>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</si>
  <si>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</si>
  <si>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</si>
  <si>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</si>
  <si>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</si>
  <si>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</si>
  <si>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</si>
  <si>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</si>
  <si>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</si>
  <si>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</si>
  <si>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</si>
  <si>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</si>
  <si>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</si>
  <si>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</si>
  <si>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</si>
  <si>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</si>
  <si>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</si>
  <si>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</si>
  <si>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</si>
  <si>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</si>
  <si>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</si>
  <si>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</si>
  <si>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</si>
  <si>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</si>
  <si>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</si>
  <si>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</si>
  <si>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</si>
  <si>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</si>
  <si>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</si>
  <si>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</si>
  <si>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</si>
  <si>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</si>
  <si>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</si>
  <si>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</si>
  <si>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</si>
  <si>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</si>
  <si>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</si>
  <si>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</si>
  <si>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</si>
  <si>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</si>
  <si>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</si>
  <si>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</si>
  <si>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</si>
  <si>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</si>
  <si>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</si>
  <si>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</si>
  <si>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</si>
  <si>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</si>
  <si>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</si>
  <si>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</si>
  <si>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</si>
  <si>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</si>
  <si>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</si>
  <si>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</si>
  <si>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</si>
  <si>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</si>
  <si>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</si>
  <si>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</si>
  <si>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</si>
  <si>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</si>
  <si>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</si>
  <si>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</si>
  <si>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</si>
  <si>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</si>
  <si>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</si>
  <si>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</si>
  <si>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</si>
  <si>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</si>
  <si>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</si>
  <si>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</si>
  <si>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</si>
  <si>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</si>
  <si>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</si>
  <si>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</si>
  <si>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</si>
  <si>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</si>
  <si>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</si>
  <si>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</si>
  <si>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</si>
  <si>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</si>
  <si>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</si>
  <si>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</si>
  <si>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</si>
  <si>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</si>
  <si>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</si>
  <si>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</si>
  <si>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</si>
  <si>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</si>
  <si>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</si>
  <si>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</si>
  <si>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</si>
  <si>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</si>
  <si>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</si>
  <si>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</si>
  <si>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</si>
  <si>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</si>
  <si>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</si>
  <si>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</si>
  <si>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</si>
  <si>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</si>
  <si>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</si>
  <si>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</si>
  <si>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</si>
  <si>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</si>
  <si>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</si>
  <si>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</si>
  <si>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</si>
  <si>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</si>
  <si>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</si>
  <si>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</si>
  <si>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</si>
  <si>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</si>
  <si>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</si>
  <si>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</si>
  <si>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</si>
  <si>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</si>
  <si>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</si>
  <si>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</si>
  <si>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</si>
  <si>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</si>
  <si>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</si>
  <si>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</si>
  <si>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</si>
  <si>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</si>
  <si>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</si>
  <si>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</si>
  <si>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</si>
  <si>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</si>
  <si>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</si>
  <si>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</si>
  <si>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</si>
  <si>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</si>
  <si>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</si>
  <si>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</si>
  <si>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</si>
  <si>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</si>
  <si>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</si>
  <si>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</si>
  <si>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</si>
  <si>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</si>
  <si>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</si>
  <si>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</si>
  <si>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</si>
  <si>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</si>
  <si>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</si>
  <si>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</si>
  <si>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</si>
  <si>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</si>
  <si>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</si>
  <si>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</si>
  <si>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</si>
  <si>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</si>
  <si>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</si>
  <si>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</si>
  <si>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</si>
  <si>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</si>
  <si>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</si>
  <si>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</si>
  <si>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</si>
  <si>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</si>
  <si>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</si>
  <si>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</si>
  <si>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</si>
  <si>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</si>
  <si>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</si>
  <si>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</si>
  <si>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</si>
  <si>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</si>
  <si>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</si>
  <si>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</si>
  <si>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</si>
  <si>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</si>
  <si>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</si>
  <si>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</si>
  <si>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</si>
  <si>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</si>
  <si>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</si>
  <si>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</si>
  <si>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</si>
  <si>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</si>
  <si>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</si>
  <si>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</si>
  <si>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</si>
  <si>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</si>
  <si>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</si>
  <si>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</si>
  <si>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</si>
  <si>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</si>
  <si>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</si>
  <si>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</si>
  <si>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</si>
  <si>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</si>
  <si>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</si>
  <si>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</si>
  <si>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</si>
  <si>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</si>
  <si>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</si>
  <si>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</si>
  <si>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</si>
  <si>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</si>
  <si>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</si>
  <si>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</si>
  <si>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</si>
  <si>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</si>
  <si>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</si>
  <si>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</si>
  <si>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</si>
  <si>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</si>
  <si>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</si>
  <si>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</si>
  <si>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</si>
  <si>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</si>
  <si>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</si>
  <si>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</si>
  <si>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</si>
  <si>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</si>
  <si>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</si>
  <si>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</si>
  <si>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</si>
  <si>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</si>
  <si>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</si>
  <si>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</si>
  <si>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</si>
  <si>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</si>
  <si>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</si>
  <si>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</si>
  <si>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</si>
  <si>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</si>
  <si>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</si>
  <si>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</si>
  <si>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</si>
  <si>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</si>
  <si>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</si>
  <si>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</si>
  <si>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</si>
  <si>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</si>
  <si>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</si>
  <si>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</si>
  <si>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</si>
  <si>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</si>
  <si>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</si>
  <si>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</si>
  <si>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</si>
  <si>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</si>
  <si>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</si>
  <si>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</si>
  <si>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</si>
  <si>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</si>
  <si>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</si>
  <si>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</si>
  <si>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</si>
  <si>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</si>
  <si>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</si>
  <si>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</si>
  <si>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</si>
  <si>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</si>
  <si>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</si>
  <si>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</si>
  <si>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</si>
  <si>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</si>
  <si>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</si>
  <si>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</si>
  <si>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</si>
  <si>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</si>
  <si>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</si>
  <si>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</si>
  <si>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</si>
  <si>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</si>
  <si>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</si>
  <si>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</si>
  <si>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</si>
  <si>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</si>
  <si>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</si>
  <si>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</si>
  <si>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</si>
  <si>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</si>
  <si>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</si>
  <si>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</si>
  <si>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</si>
  <si>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</si>
  <si>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</si>
  <si>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</si>
  <si>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</si>
  <si>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</si>
  <si>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</si>
  <si>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</si>
  <si>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</si>
  <si>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</si>
  <si>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</si>
  <si>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</si>
  <si>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</si>
  <si>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</si>
  <si>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</si>
  <si>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</si>
  <si>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</si>
  <si>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</si>
  <si>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</si>
  <si>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</si>
  <si>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</si>
  <si>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</si>
  <si>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</si>
  <si>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</si>
  <si>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</si>
  <si>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</si>
  <si>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</si>
  <si>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</si>
  <si>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</si>
  <si>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</si>
  <si>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</si>
  <si>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</si>
  <si>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</si>
  <si>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</si>
  <si>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</si>
  <si>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</si>
  <si>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</si>
  <si>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</si>
  <si>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</si>
  <si>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</si>
  <si>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</si>
  <si>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</si>
  <si>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</si>
  <si>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</si>
  <si>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</si>
  <si>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</si>
  <si>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</si>
  <si>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</si>
  <si>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</si>
  <si>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</si>
  <si>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</si>
  <si>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</si>
  <si>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</si>
  <si>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</si>
  <si>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</si>
  <si>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</si>
  <si>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</si>
  <si>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</si>
  <si>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</si>
  <si>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</si>
  <si>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</si>
  <si>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</si>
  <si>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</si>
  <si>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</si>
  <si>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</si>
  <si>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</si>
  <si>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</si>
  <si>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</si>
  <si>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</si>
  <si>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</si>
  <si>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</si>
  <si>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</si>
  <si>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</si>
  <si>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</si>
  <si>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</si>
  <si>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</si>
  <si>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</si>
  <si>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</si>
  <si>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</si>
  <si>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</si>
  <si>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</si>
  <si>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</si>
  <si>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</si>
  <si>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</si>
  <si>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</si>
  <si>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</si>
  <si>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</si>
  <si>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</si>
  <si>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</si>
  <si>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</si>
  <si>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</si>
  <si>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</si>
  <si>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</si>
  <si>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</si>
  <si>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</si>
  <si>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</si>
  <si>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</si>
  <si>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</si>
  <si>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</si>
  <si>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</si>
  <si>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</si>
  <si>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</si>
  <si>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</si>
  <si>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</si>
  <si>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</si>
  <si>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</si>
  <si>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</si>
  <si>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</si>
  <si>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</si>
  <si>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</si>
  <si>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</si>
  <si>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</si>
  <si>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</si>
  <si>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</si>
  <si>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</si>
  <si>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</si>
  <si>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</si>
  <si>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</si>
  <si>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</si>
  <si>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</si>
  <si>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</si>
  <si>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</si>
  <si>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</si>
  <si>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</si>
  <si>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</si>
  <si>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</si>
  <si>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</si>
  <si>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</si>
  <si>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</si>
  <si>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</si>
  <si>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</si>
  <si>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</si>
  <si>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</si>
  <si>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</si>
  <si>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</si>
  <si>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</si>
  <si>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</si>
  <si>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</si>
  <si>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</si>
  <si>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</si>
  <si>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</si>
  <si>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</si>
  <si>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</si>
  <si>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</si>
  <si>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</si>
  <si>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</si>
  <si>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</si>
  <si>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</si>
  <si>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</si>
  <si>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</si>
  <si>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</si>
  <si>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</si>
  <si>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</si>
  <si>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</si>
  <si>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</si>
  <si>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</si>
  <si>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</si>
  <si>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</si>
  <si>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</si>
  <si>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</si>
  <si>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</si>
  <si>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</si>
  <si>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</si>
  <si>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</si>
  <si>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</si>
  <si>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</si>
  <si>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</si>
  <si>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</si>
  <si>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</si>
  <si>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</si>
  <si>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</si>
  <si>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</si>
  <si>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</si>
  <si>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</si>
  <si>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</si>
  <si>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</si>
  <si>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</si>
  <si>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</si>
  <si>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</si>
  <si>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</si>
  <si>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</si>
  <si>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</si>
  <si>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</si>
  <si>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</si>
  <si>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</si>
  <si>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</si>
  <si>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</si>
  <si>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</si>
  <si>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</si>
  <si>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</si>
  <si>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</si>
  <si>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</si>
  <si>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</si>
  <si>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</si>
  <si>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</si>
  <si>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</si>
  <si>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</si>
  <si>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</si>
  <si>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</si>
  <si>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</si>
  <si>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</si>
  <si>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</si>
  <si>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</si>
  <si>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</si>
  <si>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</si>
  <si>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</si>
  <si>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</si>
  <si>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</si>
  <si>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</si>
  <si>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</si>
  <si>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</si>
  <si>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</si>
  <si>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</si>
  <si>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</si>
  <si>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</si>
  <si>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</si>
  <si>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</si>
  <si>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</si>
  <si>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</si>
  <si>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</si>
  <si>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</si>
  <si>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</si>
  <si>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</si>
  <si>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</si>
  <si>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</si>
  <si>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</si>
  <si>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</si>
  <si>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</si>
  <si>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</si>
  <si>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</si>
  <si>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</si>
  <si>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</si>
  <si>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</si>
  <si>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</si>
  <si>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</si>
  <si>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</si>
  <si>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</si>
  <si>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</si>
  <si>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</si>
  <si>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</si>
  <si>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</si>
  <si>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</si>
  <si>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</si>
  <si>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</si>
  <si>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</si>
  <si>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</si>
  <si>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</si>
  <si>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</si>
  <si>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</si>
  <si>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</si>
  <si>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</si>
  <si>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</si>
  <si>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</si>
  <si>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</si>
  <si>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</si>
  <si>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</si>
  <si>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</si>
  <si>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</si>
  <si>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</si>
  <si>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</si>
  <si>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</si>
  <si>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</si>
  <si>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</si>
  <si>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</si>
  <si>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</si>
  <si>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</si>
  <si>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</si>
  <si>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</si>
  <si>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</si>
  <si>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</si>
  <si>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</si>
  <si>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</si>
  <si>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</si>
  <si>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</si>
  <si>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</si>
  <si>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</si>
  <si>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</si>
  <si>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</si>
  <si>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</si>
  <si>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</si>
  <si>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</si>
  <si>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</si>
  <si>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</si>
  <si>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</si>
  <si>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</si>
  <si>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</si>
  <si>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</si>
  <si>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</si>
  <si>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</si>
  <si>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</si>
  <si>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</si>
  <si>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</si>
  <si>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</si>
  <si>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</si>
  <si>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</si>
  <si>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</si>
  <si>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</si>
  <si>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</si>
  <si>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</si>
  <si>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</si>
  <si>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</si>
  <si>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</si>
  <si>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</si>
  <si>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</si>
  <si>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</si>
  <si>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</si>
  <si>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</si>
  <si>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</si>
  <si>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</si>
  <si>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</si>
  <si>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</si>
  <si>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</si>
  <si>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</si>
  <si>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</si>
  <si>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</si>
  <si>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</si>
  <si>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</si>
  <si>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</si>
  <si>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</si>
  <si>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</si>
  <si>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</si>
  <si>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</si>
  <si>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</si>
  <si>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</si>
  <si>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</si>
  <si>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</si>
  <si>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</si>
  <si>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</si>
  <si>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</si>
  <si>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</si>
  <si>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</si>
  <si>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</si>
  <si>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</si>
  <si>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</si>
  <si>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</si>
  <si>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</si>
  <si>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</si>
  <si>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</si>
  <si>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</si>
  <si>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</si>
  <si>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</si>
  <si>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</si>
  <si>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</si>
  <si>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</si>
  <si>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</si>
  <si>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</si>
  <si>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</si>
  <si>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</si>
  <si>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</si>
  <si>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</si>
  <si>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</si>
  <si>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</si>
  <si>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</si>
  <si>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</si>
  <si>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</si>
  <si>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</si>
  <si>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</si>
  <si>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</si>
  <si>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</si>
  <si>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</si>
  <si>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</si>
  <si>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</si>
  <si>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</si>
  <si>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</si>
  <si>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</si>
  <si>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</si>
  <si>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</si>
  <si>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</si>
  <si>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</si>
  <si>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</si>
  <si>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</si>
  <si>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</si>
  <si>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</si>
  <si>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</si>
  <si>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</si>
  <si>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</si>
  <si>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</si>
  <si>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</si>
  <si>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</si>
  <si>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</si>
  <si>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</si>
  <si>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</si>
  <si>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</si>
  <si>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</si>
  <si>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</si>
  <si>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</si>
  <si>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</si>
  <si>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</si>
  <si>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</si>
  <si>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</si>
  <si>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</si>
  <si>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</si>
  <si>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</si>
  <si>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</si>
  <si>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</si>
  <si>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</si>
  <si>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</si>
  <si>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</si>
  <si>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</si>
  <si>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</si>
  <si>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</si>
  <si>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</si>
  <si>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</si>
  <si>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</si>
  <si>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</si>
  <si>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</si>
  <si>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</si>
  <si>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</si>
  <si>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</si>
  <si>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</si>
  <si>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</si>
  <si>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</si>
  <si>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</si>
  <si>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</si>
  <si>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</si>
  <si>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</si>
  <si>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</si>
  <si>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</si>
  <si>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</si>
  <si>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</si>
  <si>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</si>
  <si>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</si>
  <si>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</si>
  <si>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</si>
  <si>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</si>
  <si>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</si>
  <si>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</si>
  <si>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</si>
  <si>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</si>
  <si>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</si>
  <si>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</si>
  <si>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</si>
  <si>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</si>
  <si>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</si>
  <si>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</si>
  <si>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</si>
  <si>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</si>
  <si>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</si>
  <si>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</si>
  <si>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</si>
  <si>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</si>
  <si>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</si>
  <si>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</si>
  <si>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</si>
  <si>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</si>
  <si>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</si>
  <si>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</si>
  <si>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</si>
  <si>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</si>
  <si>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</si>
  <si>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</si>
  <si>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</si>
  <si>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</si>
  <si>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</si>
  <si>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</si>
  <si>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</si>
  <si>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</si>
  <si>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</si>
  <si>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</si>
  <si>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</si>
  <si>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</si>
  <si>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</si>
  <si>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</si>
  <si>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</si>
  <si>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</si>
  <si>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</si>
  <si>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</si>
  <si>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</si>
  <si>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</si>
  <si>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</si>
  <si>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</si>
  <si>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</si>
  <si>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</si>
  <si>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</si>
  <si>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</si>
  <si>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</si>
  <si>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</si>
  <si>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</si>
  <si>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</si>
  <si>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</si>
  <si>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</si>
  <si>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</si>
  <si>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</si>
  <si>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</si>
  <si>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</si>
  <si>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</si>
  <si>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</si>
  <si>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</si>
  <si>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</si>
  <si>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</si>
  <si>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</si>
  <si>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</si>
  <si>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</si>
  <si>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</si>
  <si>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</si>
  <si>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</si>
  <si>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</si>
  <si>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</si>
  <si>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</si>
  <si>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</si>
  <si>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</si>
  <si>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</si>
  <si>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</si>
  <si>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</si>
  <si>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</si>
  <si>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</si>
  <si>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</si>
  <si>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</si>
  <si>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</si>
  <si>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</si>
  <si>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</si>
  <si>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</si>
  <si>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</si>
  <si>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</si>
  <si>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</si>
  <si>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</si>
  <si>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</si>
  <si>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</si>
  <si>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</si>
  <si>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</si>
  <si>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</si>
  <si>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</si>
  <si>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</si>
  <si>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</si>
  <si>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</si>
  <si>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</si>
  <si>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</si>
  <si>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</si>
  <si>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</si>
  <si>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</si>
  <si>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</si>
  <si>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</si>
  <si>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</si>
  <si>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</si>
  <si>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</si>
  <si>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</si>
  <si>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</si>
  <si>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</si>
  <si>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</si>
  <si>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</si>
  <si>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</si>
  <si>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</si>
  <si>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</si>
  <si>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</si>
  <si>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</si>
  <si>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</si>
  <si>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</si>
  <si>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</si>
  <si>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</si>
  <si>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</si>
  <si>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</si>
  <si>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</si>
  <si>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</si>
  <si>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</si>
  <si>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</si>
  <si>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</si>
  <si>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</si>
  <si>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</si>
  <si>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</si>
  <si>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</si>
  <si>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</si>
  <si>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</si>
  <si>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</si>
  <si>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</si>
  <si>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</si>
  <si>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</si>
  <si>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</si>
  <si>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</si>
  <si>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</si>
  <si>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</si>
  <si>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</si>
  <si>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</si>
  <si>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</si>
  <si>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</si>
  <si>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</si>
  <si>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</si>
  <si>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</si>
  <si>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</si>
  <si>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</si>
  <si>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</si>
  <si>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</si>
  <si>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</si>
  <si>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</si>
  <si>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</si>
  <si>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</si>
  <si>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</si>
  <si>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</si>
  <si>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</si>
  <si>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</si>
  <si>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</si>
  <si>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</si>
  <si>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</si>
  <si>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</si>
  <si>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</si>
  <si>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</si>
  <si>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</si>
  <si>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</si>
  <si>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</si>
  <si>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</si>
  <si>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</si>
  <si>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</si>
  <si>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</si>
  <si>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</si>
  <si>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</si>
  <si>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</si>
  <si>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</si>
  <si>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</si>
  <si>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</si>
  <si>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</si>
  <si>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</si>
  <si>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</si>
  <si>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</si>
  <si>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</si>
  <si>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</si>
  <si>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</si>
  <si>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</si>
  <si>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</si>
  <si>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</si>
  <si>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</si>
  <si>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</si>
  <si>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</si>
  <si>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</si>
  <si>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</si>
  <si>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</si>
  <si>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</si>
  <si>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</si>
  <si>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</si>
  <si>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</si>
  <si>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</si>
  <si>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</si>
  <si>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</si>
  <si>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</si>
  <si>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</si>
  <si>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</si>
  <si>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</si>
  <si>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</si>
  <si>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</si>
  <si>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</si>
  <si>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</si>
  <si>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</si>
  <si>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</si>
  <si>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</si>
  <si>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</si>
  <si>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</si>
  <si>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</si>
  <si>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</si>
  <si>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</si>
  <si>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</si>
  <si>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</si>
  <si>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</si>
  <si>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</si>
  <si>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</si>
  <si>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</si>
  <si>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</si>
  <si>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</si>
  <si>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</si>
  <si>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</si>
  <si>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</si>
  <si>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</si>
  <si>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</si>
  <si>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</si>
  <si>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</si>
  <si>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</si>
  <si>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</si>
  <si>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</si>
  <si>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</si>
  <si>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</si>
  <si>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</si>
  <si>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</si>
  <si>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</si>
  <si>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</si>
  <si>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</si>
  <si>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</si>
  <si>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</si>
  <si>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</si>
  <si>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</si>
  <si>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</si>
  <si>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</si>
  <si>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</si>
  <si>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</si>
  <si>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</si>
  <si>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</si>
  <si>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</si>
  <si>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</si>
  <si>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</si>
  <si>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</si>
  <si>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</si>
  <si>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</si>
  <si>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</si>
  <si>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</si>
  <si>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</si>
  <si>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</si>
  <si>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</si>
  <si>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</si>
  <si>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</si>
  <si>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</si>
  <si>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</si>
  <si>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</si>
  <si>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</si>
  <si>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</si>
  <si>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</si>
  <si>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</si>
  <si>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</si>
  <si>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</si>
  <si>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</si>
  <si>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</si>
  <si>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</si>
  <si>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</si>
  <si>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</si>
  <si>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</si>
  <si>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</si>
  <si>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</si>
  <si>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</si>
  <si>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</si>
  <si>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</si>
  <si>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</si>
  <si>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</si>
  <si>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</si>
  <si>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</si>
  <si>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</si>
  <si>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</si>
  <si>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</si>
  <si>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</si>
  <si>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</si>
  <si>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</si>
  <si>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</si>
  <si>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</si>
  <si>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</si>
  <si>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</si>
  <si>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</si>
  <si>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</si>
  <si>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</si>
  <si>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</si>
  <si>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</si>
  <si>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</si>
  <si>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</si>
  <si>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</si>
  <si>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</si>
  <si>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</si>
  <si>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</si>
  <si>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</si>
  <si>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</si>
  <si>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</si>
  <si>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</si>
  <si>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</si>
  <si>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</si>
  <si>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</si>
  <si>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</si>
  <si>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</si>
  <si>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</si>
  <si>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</si>
  <si>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</si>
  <si>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</si>
  <si>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</si>
  <si>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</si>
  <si>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</si>
  <si>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</si>
  <si>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</si>
  <si>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</si>
  <si>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</si>
  <si>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</si>
  <si>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</si>
  <si>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</si>
  <si>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</si>
  <si>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</si>
  <si>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</si>
  <si>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</si>
  <si>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</si>
  <si>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</si>
  <si>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</si>
  <si>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</si>
  <si>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FIRST ANS</t>
  </si>
  <si>
    <t>SECOND ANS</t>
  </si>
  <si>
    <t>FIRST ANS:</t>
  </si>
  <si>
    <t>2 ND ANS:</t>
  </si>
  <si>
    <t>3 RD ANS:</t>
  </si>
  <si>
    <t>3 rd ANS:</t>
  </si>
  <si>
    <t>tier -1</t>
  </si>
  <si>
    <t>4 th ANS:</t>
  </si>
  <si>
    <t>NO MISSING VALUES</t>
  </si>
  <si>
    <t>Hawks,</t>
  </si>
  <si>
    <t>Ms.</t>
  </si>
  <si>
    <t>Kelly</t>
  </si>
  <si>
    <t>Lehner,</t>
  </si>
  <si>
    <t>Mr.</t>
  </si>
  <si>
    <t>Matthew</t>
  </si>
  <si>
    <t>D</t>
  </si>
  <si>
    <t>Lu,</t>
  </si>
  <si>
    <t>Phil</t>
  </si>
  <si>
    <t>Osborne,</t>
  </si>
  <si>
    <t>Kelsey</t>
  </si>
  <si>
    <t>Kadala,</t>
  </si>
  <si>
    <t>Kristyn</t>
  </si>
  <si>
    <t>Baker,</t>
  </si>
  <si>
    <t>Russell</t>
  </si>
  <si>
    <t>B.</t>
  </si>
  <si>
    <t>Macpherson,</t>
  </si>
  <si>
    <t>Scott</t>
  </si>
  <si>
    <t>Hallman,</t>
  </si>
  <si>
    <t>Stephen</t>
  </si>
  <si>
    <t>Moran,</t>
  </si>
  <si>
    <t>Patrick</t>
  </si>
  <si>
    <t>R.</t>
  </si>
  <si>
    <t>Benner,</t>
  </si>
  <si>
    <t>Brooke</t>
  </si>
  <si>
    <t>N.</t>
  </si>
  <si>
    <t>Fierro</t>
  </si>
  <si>
    <t>Vargas,</t>
  </si>
  <si>
    <t>Paola</t>
  </si>
  <si>
    <t>Andrea</t>
  </si>
  <si>
    <t>Franz,</t>
  </si>
  <si>
    <t>David</t>
  </si>
  <si>
    <t>Foster,</t>
  </si>
  <si>
    <t>Wade</t>
  </si>
  <si>
    <t>Tenorio,</t>
  </si>
  <si>
    <t>Franklin</t>
  </si>
  <si>
    <t>Rios,</t>
  </si>
  <si>
    <t>Leilani</t>
  </si>
  <si>
    <t>M.</t>
  </si>
  <si>
    <t>Viau-Dupuis,</t>
  </si>
  <si>
    <t>Philippe</t>
  </si>
  <si>
    <t>Cronin,</t>
  </si>
  <si>
    <t>Jennifer</t>
  </si>
  <si>
    <t>A.</t>
  </si>
  <si>
    <t>Noordstar,</t>
  </si>
  <si>
    <t>Christina</t>
  </si>
  <si>
    <t>Boudalia,</t>
  </si>
  <si>
    <t>Said</t>
  </si>
  <si>
    <t>Sr.</t>
  </si>
  <si>
    <t>Flor,</t>
  </si>
  <si>
    <t>John</t>
  </si>
  <si>
    <t>Fennon,</t>
  </si>
  <si>
    <t>Myles</t>
  </si>
  <si>
    <t>Hribar,</t>
  </si>
  <si>
    <t>Madelyn</t>
  </si>
  <si>
    <t>C</t>
  </si>
  <si>
    <t>Tassello,</t>
  </si>
  <si>
    <t>Nicole</t>
  </si>
  <si>
    <t>Mauricette,</t>
  </si>
  <si>
    <t>Eric</t>
  </si>
  <si>
    <t>Garcia,</t>
  </si>
  <si>
    <t>Emiliano</t>
  </si>
  <si>
    <t>I.</t>
  </si>
  <si>
    <t>Airoldi,</t>
  </si>
  <si>
    <t>Adam</t>
  </si>
  <si>
    <t>Cater-Cyker,</t>
  </si>
  <si>
    <t>Zach</t>
  </si>
  <si>
    <t>Hamm,</t>
  </si>
  <si>
    <t>Stephanie</t>
  </si>
  <si>
    <t>W.</t>
  </si>
  <si>
    <t>Cox,</t>
  </si>
  <si>
    <t>Sachrajda,</t>
  </si>
  <si>
    <t>Natalie</t>
  </si>
  <si>
    <t>Gareri,</t>
  </si>
  <si>
    <t>J.</t>
  </si>
  <si>
    <t>Welch,</t>
  </si>
  <si>
    <t>Jefferson</t>
  </si>
  <si>
    <t>Prindiville,</t>
  </si>
  <si>
    <t>Brendan</t>
  </si>
  <si>
    <t>D.</t>
  </si>
  <si>
    <t>Kincaid,</t>
  </si>
  <si>
    <t>Courtney</t>
  </si>
  <si>
    <t>Bruestle,</t>
  </si>
  <si>
    <t>Sydney</t>
  </si>
  <si>
    <t>L.</t>
  </si>
  <si>
    <t>Lachance,</t>
  </si>
  <si>
    <t>Julien</t>
  </si>
  <si>
    <t>Eason,</t>
  </si>
  <si>
    <t>Ryan</t>
  </si>
  <si>
    <t>M</t>
  </si>
  <si>
    <t>Grummon,</t>
  </si>
  <si>
    <t>Anna</t>
  </si>
  <si>
    <t>H.</t>
  </si>
  <si>
    <t>Vanwechel,</t>
  </si>
  <si>
    <t>Samantha</t>
  </si>
  <si>
    <t>Fisher,</t>
  </si>
  <si>
    <t>Robert</t>
  </si>
  <si>
    <t>Jenkins,</t>
  </si>
  <si>
    <t>James</t>
  </si>
  <si>
    <t>Peters,</t>
  </si>
  <si>
    <t>Roseann</t>
  </si>
  <si>
    <t>Aha,</t>
  </si>
  <si>
    <t>McElwain,</t>
  </si>
  <si>
    <t>Spencer</t>
  </si>
  <si>
    <t>Januszewski,</t>
  </si>
  <si>
    <t>W</t>
  </si>
  <si>
    <t>Rohne,</t>
  </si>
  <si>
    <t>Brianna</t>
  </si>
  <si>
    <t>L</t>
  </si>
  <si>
    <t>O'Grady,</t>
  </si>
  <si>
    <t>Thomas</t>
  </si>
  <si>
    <t>Melissa</t>
  </si>
  <si>
    <t>De</t>
  </si>
  <si>
    <t>Simone,</t>
  </si>
  <si>
    <t>Flavio</t>
  </si>
  <si>
    <t>Beckett,</t>
  </si>
  <si>
    <t>Sobrilsky,</t>
  </si>
  <si>
    <t>Anthony</t>
  </si>
  <si>
    <t>Wang,</t>
  </si>
  <si>
    <t>Alex</t>
  </si>
  <si>
    <t>Campa,</t>
  </si>
  <si>
    <t>Clifford,</t>
  </si>
  <si>
    <t>Andrew</t>
  </si>
  <si>
    <t>B</t>
  </si>
  <si>
    <t>Dalmata,</t>
  </si>
  <si>
    <t>Dara</t>
  </si>
  <si>
    <t>E</t>
  </si>
  <si>
    <t>Vishik,</t>
  </si>
  <si>
    <t>Inna</t>
  </si>
  <si>
    <t>Schorr,</t>
  </si>
  <si>
    <t>Ari</t>
  </si>
  <si>
    <t>Lusardi,</t>
  </si>
  <si>
    <t>Lindsey</t>
  </si>
  <si>
    <t>Rayner,</t>
  </si>
  <si>
    <t>Kenny</t>
  </si>
  <si>
    <t>Voghel,</t>
  </si>
  <si>
    <t>Louise</t>
  </si>
  <si>
    <t>Rieth,</t>
  </si>
  <si>
    <t>Cameron</t>
  </si>
  <si>
    <t>Gollotto,</t>
  </si>
  <si>
    <t>Katie</t>
  </si>
  <si>
    <t>T.</t>
  </si>
  <si>
    <t>Dunn,</t>
  </si>
  <si>
    <t>Casey</t>
  </si>
  <si>
    <t>Blitzer,</t>
  </si>
  <si>
    <t>Smith,</t>
  </si>
  <si>
    <t>Bryson</t>
  </si>
  <si>
    <t>C.</t>
  </si>
  <si>
    <t>Hyland,</t>
  </si>
  <si>
    <t>Megan</t>
  </si>
  <si>
    <t>Ducharme,</t>
  </si>
  <si>
    <t>Daniel</t>
  </si>
  <si>
    <t>Johnson,</t>
  </si>
  <si>
    <t>Steven</t>
  </si>
  <si>
    <t>Mutz,</t>
  </si>
  <si>
    <t>Jenna</t>
  </si>
  <si>
    <t>Lee,</t>
  </si>
  <si>
    <t>Freeman</t>
  </si>
  <si>
    <t>Turner,</t>
  </si>
  <si>
    <t>Jeff</t>
  </si>
  <si>
    <t>Rangel,</t>
  </si>
  <si>
    <t>Elenilton</t>
  </si>
  <si>
    <t>V.</t>
  </si>
  <si>
    <t>Lacey,</t>
  </si>
  <si>
    <t>Maurya</t>
  </si>
  <si>
    <t>Stiger,</t>
  </si>
  <si>
    <t>Caldwell,</t>
  </si>
  <si>
    <t>Bethany</t>
  </si>
  <si>
    <t>A</t>
  </si>
  <si>
    <t>Marmillod,</t>
  </si>
  <si>
    <t>Yves</t>
  </si>
  <si>
    <t>Cloutier-Simons,</t>
  </si>
  <si>
    <t>Danielle</t>
  </si>
  <si>
    <t>Vegas,</t>
  </si>
  <si>
    <t>Julia</t>
  </si>
  <si>
    <t>Cochran,</t>
  </si>
  <si>
    <t>Joshua</t>
  </si>
  <si>
    <t>Holtzapple,</t>
  </si>
  <si>
    <t>Meyer,</t>
  </si>
  <si>
    <t>Gwen</t>
  </si>
  <si>
    <t>Brickley,</t>
  </si>
  <si>
    <t>Magee,</t>
  </si>
  <si>
    <t>Kate</t>
  </si>
  <si>
    <t>Thoma,</t>
  </si>
  <si>
    <t>Kevin</t>
  </si>
  <si>
    <t>Heagy,</t>
  </si>
  <si>
    <t>II</t>
  </si>
  <si>
    <t>Regnier,</t>
  </si>
  <si>
    <t>Philip</t>
  </si>
  <si>
    <t>Parendo,</t>
  </si>
  <si>
    <t>Brett</t>
  </si>
  <si>
    <t>Schell,</t>
  </si>
  <si>
    <t>Rebecca</t>
  </si>
  <si>
    <t>Driscoll,</t>
  </si>
  <si>
    <t>Kelley</t>
  </si>
  <si>
    <t>Mitchell,</t>
  </si>
  <si>
    <t>Abigail</t>
  </si>
  <si>
    <t>K</t>
  </si>
  <si>
    <t>Cutler,</t>
  </si>
  <si>
    <t>Hope</t>
  </si>
  <si>
    <t>Derian,</t>
  </si>
  <si>
    <t>Elyse</t>
  </si>
  <si>
    <t>Farina,</t>
  </si>
  <si>
    <t>Nicholas</t>
  </si>
  <si>
    <t>Saunders,</t>
  </si>
  <si>
    <t>Kratz,</t>
  </si>
  <si>
    <t>Boland,</t>
  </si>
  <si>
    <t>Van</t>
  </si>
  <si>
    <t>Hout,</t>
  </si>
  <si>
    <t>Pamela</t>
  </si>
  <si>
    <t>Ramsey,</t>
  </si>
  <si>
    <t>Jessica</t>
  </si>
  <si>
    <t>Gage,</t>
  </si>
  <si>
    <t>Ron</t>
  </si>
  <si>
    <t>N</t>
  </si>
  <si>
    <t>Gollins,</t>
  </si>
  <si>
    <t>Benestad,</t>
  </si>
  <si>
    <t>Brian</t>
  </si>
  <si>
    <t>Aviv,</t>
  </si>
  <si>
    <t>Sari</t>
  </si>
  <si>
    <t>Burns,</t>
  </si>
  <si>
    <t>Maldonado,</t>
  </si>
  <si>
    <t>Ricardo</t>
  </si>
  <si>
    <t>Yitref,</t>
  </si>
  <si>
    <t>Gedion</t>
  </si>
  <si>
    <t>Loudon-Brown,</t>
  </si>
  <si>
    <t>Mark</t>
  </si>
  <si>
    <t>Sugathadasa,</t>
  </si>
  <si>
    <t>Gamini</t>
  </si>
  <si>
    <t>P.</t>
  </si>
  <si>
    <t>Ganley,</t>
  </si>
  <si>
    <t>Emily</t>
  </si>
  <si>
    <t>J</t>
  </si>
  <si>
    <t>Potter,</t>
  </si>
  <si>
    <t>Amanda</t>
  </si>
  <si>
    <t>Rasmussen,</t>
  </si>
  <si>
    <t>Robinson,</t>
  </si>
  <si>
    <t>Knox</t>
  </si>
  <si>
    <t>Antonopoulos,</t>
  </si>
  <si>
    <t>Yianna</t>
  </si>
  <si>
    <t>Groner,</t>
  </si>
  <si>
    <t>Roberta</t>
  </si>
  <si>
    <t>Zywicki,</t>
  </si>
  <si>
    <t>Benjamin</t>
  </si>
  <si>
    <t>Cardinal,</t>
  </si>
  <si>
    <t>Craig</t>
  </si>
  <si>
    <t>Alleman,</t>
  </si>
  <si>
    <t>Ann</t>
  </si>
  <si>
    <t>Stroffolino,</t>
  </si>
  <si>
    <t>Jamie</t>
  </si>
  <si>
    <t>P</t>
  </si>
  <si>
    <t>Clubb,</t>
  </si>
  <si>
    <t>McGoogan,</t>
  </si>
  <si>
    <t>Charlie</t>
  </si>
  <si>
    <t>Keflezighi,</t>
  </si>
  <si>
    <t>Meb</t>
  </si>
  <si>
    <t>Syed,</t>
  </si>
  <si>
    <t>Aaqib</t>
  </si>
  <si>
    <t>Segal,</t>
  </si>
  <si>
    <t>Defranco,</t>
  </si>
  <si>
    <t>Meredith</t>
  </si>
  <si>
    <t>Kells,</t>
  </si>
  <si>
    <t>Doug</t>
  </si>
  <si>
    <t>Lawton,</t>
  </si>
  <si>
    <t>Elizabeth</t>
  </si>
  <si>
    <t>Bejar,</t>
  </si>
  <si>
    <t>Navarro</t>
  </si>
  <si>
    <t>Castro,</t>
  </si>
  <si>
    <t>Guillermo</t>
  </si>
  <si>
    <t>Tice,</t>
  </si>
  <si>
    <t>Wolf,</t>
  </si>
  <si>
    <t>Dane</t>
  </si>
  <si>
    <t>Oppedal,</t>
  </si>
  <si>
    <t>Jonas</t>
  </si>
  <si>
    <t>Wright,</t>
  </si>
  <si>
    <t>George</t>
  </si>
  <si>
    <t>Ellis,</t>
  </si>
  <si>
    <t>Sara</t>
  </si>
  <si>
    <t>S</t>
  </si>
  <si>
    <t>Taormina,</t>
  </si>
  <si>
    <t>Nick</t>
  </si>
  <si>
    <t>Lynch,</t>
  </si>
  <si>
    <t>Timothy</t>
  </si>
  <si>
    <t>Tavella,</t>
  </si>
  <si>
    <t>Becky</t>
  </si>
  <si>
    <t>Neufeld,</t>
  </si>
  <si>
    <t>Steph</t>
  </si>
  <si>
    <t>K.</t>
  </si>
  <si>
    <t>Walhovd,</t>
  </si>
  <si>
    <t>Kristine</t>
  </si>
  <si>
    <t>Washburn,</t>
  </si>
  <si>
    <t>Taylor</t>
  </si>
  <si>
    <t>Mroz,</t>
  </si>
  <si>
    <t>William</t>
  </si>
  <si>
    <t>Canaday,</t>
  </si>
  <si>
    <t>Sage</t>
  </si>
  <si>
    <t>Atkins,</t>
  </si>
  <si>
    <t>Cole</t>
  </si>
  <si>
    <t>Kropelnicki,</t>
  </si>
  <si>
    <t>Jesse</t>
  </si>
  <si>
    <t>Braund,</t>
  </si>
  <si>
    <t>Tammi</t>
  </si>
  <si>
    <t>Anderson,</t>
  </si>
  <si>
    <t>S.</t>
  </si>
  <si>
    <t>Bilbrey,</t>
  </si>
  <si>
    <t>Curtis,</t>
  </si>
  <si>
    <t>Valeria</t>
  </si>
  <si>
    <t>R</t>
  </si>
  <si>
    <t>Michael</t>
  </si>
  <si>
    <t>Bardeesy,</t>
  </si>
  <si>
    <t>Rami</t>
  </si>
  <si>
    <t>Shanahan,</t>
  </si>
  <si>
    <t>Denis</t>
  </si>
  <si>
    <t>Sutter,</t>
  </si>
  <si>
    <t>Yesian,</t>
  </si>
  <si>
    <t>Bonnie</t>
  </si>
  <si>
    <t>Meers,</t>
  </si>
  <si>
    <t>Conlon,</t>
  </si>
  <si>
    <t>Paul</t>
  </si>
  <si>
    <t>Arnstein,</t>
  </si>
  <si>
    <t>Jurek,</t>
  </si>
  <si>
    <t>Samuel</t>
  </si>
  <si>
    <t>Thill,</t>
  </si>
  <si>
    <t>Glaz,</t>
  </si>
  <si>
    <t>Sampson,</t>
  </si>
  <si>
    <t>Syndy</t>
  </si>
  <si>
    <t>Duliba,</t>
  </si>
  <si>
    <t>Aleksandra</t>
  </si>
  <si>
    <t>Tanguay,</t>
  </si>
  <si>
    <t>Steeve</t>
  </si>
  <si>
    <t>T</t>
  </si>
  <si>
    <t>McClelland,</t>
  </si>
  <si>
    <t>Richard</t>
  </si>
  <si>
    <t>Gorman,</t>
  </si>
  <si>
    <t>Aaron</t>
  </si>
  <si>
    <t>Nishimura,</t>
  </si>
  <si>
    <t>Akira</t>
  </si>
  <si>
    <t>Brimble,</t>
  </si>
  <si>
    <t>Ben</t>
  </si>
  <si>
    <t>Trenk,</t>
  </si>
  <si>
    <t>Jana</t>
  </si>
  <si>
    <t>Wittmann,</t>
  </si>
  <si>
    <t>Jay</t>
  </si>
  <si>
    <t>Tremblay,</t>
  </si>
  <si>
    <t>Marie-Helene</t>
  </si>
  <si>
    <t>Scofield,</t>
  </si>
  <si>
    <t>Bret</t>
  </si>
  <si>
    <t>Yost,</t>
  </si>
  <si>
    <t>Gardner</t>
  </si>
  <si>
    <t>Torphy,</t>
  </si>
  <si>
    <t>Bobby</t>
  </si>
  <si>
    <t>Busby,</t>
  </si>
  <si>
    <t>Nguyen,</t>
  </si>
  <si>
    <t>Lina</t>
  </si>
  <si>
    <t>Hanley,</t>
  </si>
  <si>
    <t>Zebulon</t>
  </si>
  <si>
    <t>Scheer,</t>
  </si>
  <si>
    <t>Rankin,</t>
  </si>
  <si>
    <t>Greg</t>
  </si>
  <si>
    <t>Ricardi,</t>
  </si>
  <si>
    <t>Karkos,</t>
  </si>
  <si>
    <t>Price-Dierksen,</t>
  </si>
  <si>
    <t>Bronwen</t>
  </si>
  <si>
    <t>Knispel,</t>
  </si>
  <si>
    <t>Manuela</t>
  </si>
  <si>
    <t>King,</t>
  </si>
  <si>
    <t>Samuelson,</t>
  </si>
  <si>
    <t>Abby</t>
  </si>
  <si>
    <t>Fredsall,</t>
  </si>
  <si>
    <t>Tyler</t>
  </si>
  <si>
    <t>Eggleston,</t>
  </si>
  <si>
    <t>Jeffrey</t>
  </si>
  <si>
    <t>Palombaro,</t>
  </si>
  <si>
    <t>F</t>
  </si>
  <si>
    <t>Silva,</t>
  </si>
  <si>
    <t>Bugala,</t>
  </si>
  <si>
    <t>Amy</t>
  </si>
  <si>
    <t>Dublin,</t>
  </si>
  <si>
    <t>Cleland,</t>
  </si>
  <si>
    <t>V</t>
  </si>
  <si>
    <t>Evans,</t>
  </si>
  <si>
    <t>Sarah</t>
  </si>
  <si>
    <t>Boyd,</t>
  </si>
  <si>
    <t>Lara</t>
  </si>
  <si>
    <t>Roulier,</t>
  </si>
  <si>
    <t>Sebastien</t>
  </si>
  <si>
    <t>Mullins,</t>
  </si>
  <si>
    <t>Padraig</t>
  </si>
  <si>
    <t>Hofmann,</t>
  </si>
  <si>
    <t>Heather</t>
  </si>
  <si>
    <t>Garcia</t>
  </si>
  <si>
    <t>Jorge</t>
  </si>
  <si>
    <t>Klecker,</t>
  </si>
  <si>
    <t>Jack</t>
  </si>
  <si>
    <t>Cancre,</t>
  </si>
  <si>
    <t>Felix</t>
  </si>
  <si>
    <t>Denucci,</t>
  </si>
  <si>
    <t>Christopher</t>
  </si>
  <si>
    <t>Saldana,</t>
  </si>
  <si>
    <t>Weinberg,</t>
  </si>
  <si>
    <t>Jill</t>
  </si>
  <si>
    <t>Walsh,</t>
  </si>
  <si>
    <t>Pasten,</t>
  </si>
  <si>
    <t>Alejandro</t>
  </si>
  <si>
    <t>LaBelle,</t>
  </si>
  <si>
    <t>Ian</t>
  </si>
  <si>
    <t>E.</t>
  </si>
  <si>
    <t>Guzman,</t>
  </si>
  <si>
    <t>Hector</t>
  </si>
  <si>
    <t>Turnbull,</t>
  </si>
  <si>
    <t>Aguero,</t>
  </si>
  <si>
    <t>Matt</t>
  </si>
  <si>
    <t>Woodward,</t>
  </si>
  <si>
    <t>H</t>
  </si>
  <si>
    <t>McElroy,</t>
  </si>
  <si>
    <t>Grace</t>
  </si>
  <si>
    <t>Lopez,</t>
  </si>
  <si>
    <t>Jaime</t>
  </si>
  <si>
    <t>Cardosi,</t>
  </si>
  <si>
    <t>Calesse</t>
  </si>
  <si>
    <t>Looney,</t>
  </si>
  <si>
    <t>Zyryanov,</t>
  </si>
  <si>
    <t>Sergey</t>
  </si>
  <si>
    <t>Gavin,</t>
  </si>
  <si>
    <t>Littlefield,</t>
  </si>
  <si>
    <t>Shearer,</t>
  </si>
  <si>
    <t>Armstrong,</t>
  </si>
  <si>
    <t>Warriner,</t>
  </si>
  <si>
    <t>Lawrence</t>
  </si>
  <si>
    <t>White,</t>
  </si>
  <si>
    <t>Cordaro,</t>
  </si>
  <si>
    <t>Hamilton,</t>
  </si>
  <si>
    <t>Gavin</t>
  </si>
  <si>
    <t>Rick</t>
  </si>
  <si>
    <t>Duke,</t>
  </si>
  <si>
    <t>Malatesta,</t>
  </si>
  <si>
    <t>Hinrichsen,</t>
  </si>
  <si>
    <t>Erik</t>
  </si>
  <si>
    <t>Lucan,</t>
  </si>
  <si>
    <t>Kiley</t>
  </si>
  <si>
    <t>Koch,</t>
  </si>
  <si>
    <t>Chris</t>
  </si>
  <si>
    <t>O'Connor,</t>
  </si>
  <si>
    <t>Marian</t>
  </si>
  <si>
    <t>Kampwerth,</t>
  </si>
  <si>
    <t>Jeremy</t>
  </si>
  <si>
    <t>Federoff,</t>
  </si>
  <si>
    <t>Allison</t>
  </si>
  <si>
    <t>Goya,</t>
  </si>
  <si>
    <t>Hodges,</t>
  </si>
  <si>
    <t>Erickson,</t>
  </si>
  <si>
    <t>Anders</t>
  </si>
  <si>
    <t>Welleck,</t>
  </si>
  <si>
    <t>Sean</t>
  </si>
  <si>
    <t>Polen,</t>
  </si>
  <si>
    <t>Hufstader,</t>
  </si>
  <si>
    <t>Susannah</t>
  </si>
  <si>
    <t>Doak,</t>
  </si>
  <si>
    <t>Randy</t>
  </si>
  <si>
    <t>Noya,</t>
  </si>
  <si>
    <t>Leslie</t>
  </si>
  <si>
    <t>Heninger,</t>
  </si>
  <si>
    <t>Brittany</t>
  </si>
  <si>
    <t>Richardson,</t>
  </si>
  <si>
    <t>Cassie</t>
  </si>
  <si>
    <t>Deucher,</t>
  </si>
  <si>
    <t>Peter</t>
  </si>
  <si>
    <t>Wilson,</t>
  </si>
  <si>
    <t>Douglas</t>
  </si>
  <si>
    <t>Hall,</t>
  </si>
  <si>
    <t>Dan</t>
  </si>
  <si>
    <t>Reed,</t>
  </si>
  <si>
    <t>Frome,</t>
  </si>
  <si>
    <t>Creasy,</t>
  </si>
  <si>
    <t>Les</t>
  </si>
  <si>
    <t>Latimer,</t>
  </si>
  <si>
    <t>Wei,</t>
  </si>
  <si>
    <t>Y</t>
  </si>
  <si>
    <t>Hayes,</t>
  </si>
  <si>
    <t>Ashley</t>
  </si>
  <si>
    <t>Velardo,</t>
  </si>
  <si>
    <t>Kastes,</t>
  </si>
  <si>
    <t>Kylie</t>
  </si>
  <si>
    <t>Escorcia,</t>
  </si>
  <si>
    <t>Larscheid,</t>
  </si>
  <si>
    <t>Carrie</t>
  </si>
  <si>
    <t>O'Bannon,</t>
  </si>
  <si>
    <t>Ridgway,</t>
  </si>
  <si>
    <t>Black,</t>
  </si>
  <si>
    <t>Alan</t>
  </si>
  <si>
    <t>Canton,</t>
  </si>
  <si>
    <t>Nate</t>
  </si>
  <si>
    <t>Fine,</t>
  </si>
  <si>
    <t>G.</t>
  </si>
  <si>
    <t>Bui,</t>
  </si>
  <si>
    <t>Jason</t>
  </si>
  <si>
    <t>Riepma,</t>
  </si>
  <si>
    <t>Inman,</t>
  </si>
  <si>
    <t>Luke</t>
  </si>
  <si>
    <t>Kruzel,</t>
  </si>
  <si>
    <t>Jacy</t>
  </si>
  <si>
    <t>Lindsay,</t>
  </si>
  <si>
    <t>Simon</t>
  </si>
  <si>
    <t>Land,</t>
  </si>
  <si>
    <t>Ainsley</t>
  </si>
  <si>
    <t>Brecher,</t>
  </si>
  <si>
    <t>Erica</t>
  </si>
  <si>
    <t>Debolt,</t>
  </si>
  <si>
    <t>Oswalt,</t>
  </si>
  <si>
    <t>Erin</t>
  </si>
  <si>
    <t>Adrienne</t>
  </si>
  <si>
    <t>Bulewich,</t>
  </si>
  <si>
    <t>Fukuda,</t>
  </si>
  <si>
    <t>Yutaka</t>
  </si>
  <si>
    <t>Phillips,</t>
  </si>
  <si>
    <t>Maddison,</t>
  </si>
  <si>
    <t>Lockwood,</t>
  </si>
  <si>
    <t>Defilippi,</t>
  </si>
  <si>
    <t>Jackson,</t>
  </si>
  <si>
    <t>Shawn</t>
  </si>
  <si>
    <t>Ozahowski,</t>
  </si>
  <si>
    <t>Guthals,</t>
  </si>
  <si>
    <t>Nathaniel</t>
  </si>
  <si>
    <t>Yates,</t>
  </si>
  <si>
    <t>Joan</t>
  </si>
  <si>
    <t>Lemos,</t>
  </si>
  <si>
    <t>Seynders,</t>
  </si>
  <si>
    <t>Kacy</t>
  </si>
  <si>
    <t>Walker,</t>
  </si>
  <si>
    <t>Xaviour</t>
  </si>
  <si>
    <t>Lam,</t>
  </si>
  <si>
    <t>Sweigart,</t>
  </si>
  <si>
    <t>Bradley</t>
  </si>
  <si>
    <t>Sieczkowski,</t>
  </si>
  <si>
    <t>Jurgens,</t>
  </si>
  <si>
    <t>Nancy</t>
  </si>
  <si>
    <t>Hackman,</t>
  </si>
  <si>
    <t>Klarich,</t>
  </si>
  <si>
    <t>Lee</t>
  </si>
  <si>
    <t>Schulten,</t>
  </si>
  <si>
    <t>Fagerstrom,</t>
  </si>
  <si>
    <t>Bien,</t>
  </si>
  <si>
    <t>Rod</t>
  </si>
  <si>
    <t>Hess,</t>
  </si>
  <si>
    <t>Joey</t>
  </si>
  <si>
    <t>Shaw,</t>
  </si>
  <si>
    <t>Hillary</t>
  </si>
  <si>
    <t>Williams,</t>
  </si>
  <si>
    <t>Menzies,</t>
  </si>
  <si>
    <t>Nicolas</t>
  </si>
  <si>
    <t>Buehler,</t>
  </si>
  <si>
    <t>Marcel</t>
  </si>
  <si>
    <t>Degen,</t>
  </si>
  <si>
    <t>Arsenault,</t>
  </si>
  <si>
    <t>Evan</t>
  </si>
  <si>
    <t>Hoff,</t>
  </si>
  <si>
    <t>Krisana</t>
  </si>
  <si>
    <t>Kyle</t>
  </si>
  <si>
    <t>Ashley,</t>
  </si>
  <si>
    <t>Rindahl,</t>
  </si>
  <si>
    <t>Martin</t>
  </si>
  <si>
    <t>Clark,</t>
  </si>
  <si>
    <t>Stacey</t>
  </si>
  <si>
    <t>Irish,</t>
  </si>
  <si>
    <t>Christine</t>
  </si>
  <si>
    <t>Dewitt,</t>
  </si>
  <si>
    <t>Hickman,</t>
  </si>
  <si>
    <t>Gonzalez,</t>
  </si>
  <si>
    <t>Michele</t>
  </si>
  <si>
    <t>Difani,</t>
  </si>
  <si>
    <t>Nikki</t>
  </si>
  <si>
    <t>Widmann,</t>
  </si>
  <si>
    <t>Bryan</t>
  </si>
  <si>
    <t>Tunney,</t>
  </si>
  <si>
    <t>San</t>
  </si>
  <si>
    <t>Juan,</t>
  </si>
  <si>
    <t>Angielyn</t>
  </si>
  <si>
    <t>Croll,</t>
  </si>
  <si>
    <t>Jeanie</t>
  </si>
  <si>
    <t>Rolfes,</t>
  </si>
  <si>
    <t>Hinkle,</t>
  </si>
  <si>
    <t>Leuchanka,</t>
  </si>
  <si>
    <t>Aliaksandr</t>
  </si>
  <si>
    <t>Ayr,</t>
  </si>
  <si>
    <t>Siegel,</t>
  </si>
  <si>
    <t>Sheera</t>
  </si>
  <si>
    <t>Penrose,</t>
  </si>
  <si>
    <t>Janice</t>
  </si>
  <si>
    <t>Schuler,</t>
  </si>
  <si>
    <t>Stange,</t>
  </si>
  <si>
    <t>Roy,</t>
  </si>
  <si>
    <t>Marie-France</t>
  </si>
  <si>
    <t>Potere,</t>
  </si>
  <si>
    <t>F.</t>
  </si>
  <si>
    <t>Podgurski,</t>
  </si>
  <si>
    <t>Diamond,</t>
  </si>
  <si>
    <t>Sallade,</t>
  </si>
  <si>
    <t>Zhang,</t>
  </si>
  <si>
    <t>Yu</t>
  </si>
  <si>
    <t>Chatfield,</t>
  </si>
  <si>
    <t>Caleb</t>
  </si>
  <si>
    <t>Bruns,</t>
  </si>
  <si>
    <t>Yochum,</t>
  </si>
  <si>
    <t>Angela</t>
  </si>
  <si>
    <t>Freeburn,</t>
  </si>
  <si>
    <t>Keith</t>
  </si>
  <si>
    <t>Spencer,</t>
  </si>
  <si>
    <t>Emma</t>
  </si>
  <si>
    <t>Jarosik,</t>
  </si>
  <si>
    <t>Nathan</t>
  </si>
  <si>
    <t>Heinzen,</t>
  </si>
  <si>
    <t>Kathryn</t>
  </si>
  <si>
    <t>Kelley,</t>
  </si>
  <si>
    <t>Thacker,</t>
  </si>
  <si>
    <t>Jeseritz,</t>
  </si>
  <si>
    <t>Cheryl</t>
  </si>
  <si>
    <t>Hohman,</t>
  </si>
  <si>
    <t>Kimberly</t>
  </si>
  <si>
    <t>Hill,</t>
  </si>
  <si>
    <t>Cynthia</t>
  </si>
  <si>
    <t>Kuepfer,</t>
  </si>
  <si>
    <t>Kaczmarek,</t>
  </si>
  <si>
    <t>Bruce</t>
  </si>
  <si>
    <t>Pitt,</t>
  </si>
  <si>
    <t>Lorton,</t>
  </si>
  <si>
    <t>Castaneda,</t>
  </si>
  <si>
    <t>Gabriela</t>
  </si>
  <si>
    <t>Cherop,</t>
  </si>
  <si>
    <t>Sharon</t>
  </si>
  <si>
    <t>Howell,</t>
  </si>
  <si>
    <t>Palmer,</t>
  </si>
  <si>
    <t>Chelsey</t>
  </si>
  <si>
    <t>Olson,</t>
  </si>
  <si>
    <t>Devon</t>
  </si>
  <si>
    <t>Waldron,</t>
  </si>
  <si>
    <t>Joni</t>
  </si>
  <si>
    <t>Colin</t>
  </si>
  <si>
    <t>Stack,</t>
  </si>
  <si>
    <t>Rachael</t>
  </si>
  <si>
    <t>Sanchez</t>
  </si>
  <si>
    <t>Torres,</t>
  </si>
  <si>
    <t>Maricela</t>
  </si>
  <si>
    <t>Daniels,</t>
  </si>
  <si>
    <t>Marie</t>
  </si>
  <si>
    <t>Pepp,</t>
  </si>
  <si>
    <t>Frank</t>
  </si>
  <si>
    <t>Buechler,</t>
  </si>
  <si>
    <t>Jeffry</t>
  </si>
  <si>
    <t>Buenting,</t>
  </si>
  <si>
    <t>Mike</t>
  </si>
  <si>
    <t>Arcand,</t>
  </si>
  <si>
    <t>Pierre-Michel</t>
  </si>
  <si>
    <t>Kesack,</t>
  </si>
  <si>
    <t>Post,</t>
  </si>
  <si>
    <t>Dunne,</t>
  </si>
  <si>
    <t>Morgan</t>
  </si>
  <si>
    <t>Kilel,</t>
  </si>
  <si>
    <t>Caroline</t>
  </si>
  <si>
    <t>Nicholson,</t>
  </si>
  <si>
    <t>Drew</t>
  </si>
  <si>
    <t>Susmann,</t>
  </si>
  <si>
    <t>Austin</t>
  </si>
  <si>
    <t>Harsh,</t>
  </si>
  <si>
    <t>Berenice</t>
  </si>
  <si>
    <t>Pocasangre,</t>
  </si>
  <si>
    <t>Kenneth</t>
  </si>
  <si>
    <t>Martinez</t>
  </si>
  <si>
    <t>Miguel</t>
  </si>
  <si>
    <t>Riegel,</t>
  </si>
  <si>
    <t>Hadley</t>
  </si>
  <si>
    <t>Monson,</t>
  </si>
  <si>
    <t>Klubben,</t>
  </si>
  <si>
    <t>Tenielle</t>
  </si>
  <si>
    <t>Mascaro,</t>
  </si>
  <si>
    <t>Norvell,</t>
  </si>
  <si>
    <t>Nora</t>
  </si>
  <si>
    <t>Ornelas,</t>
  </si>
  <si>
    <t>Zachary</t>
  </si>
  <si>
    <t>Fitzpatrick,</t>
  </si>
  <si>
    <t>Bloomquist,</t>
  </si>
  <si>
    <t>Alyssa</t>
  </si>
  <si>
    <t>Wick,</t>
  </si>
  <si>
    <t>Zappala,</t>
  </si>
  <si>
    <t>Dante</t>
  </si>
  <si>
    <t>Earle,</t>
  </si>
  <si>
    <t>Majewski,</t>
  </si>
  <si>
    <t>Apfelbaum,</t>
  </si>
  <si>
    <t>Graham,</t>
  </si>
  <si>
    <t>Whitacre,</t>
  </si>
  <si>
    <t>Wegener,</t>
  </si>
  <si>
    <t>Joel</t>
  </si>
  <si>
    <t>Collie,</t>
  </si>
  <si>
    <t>Michelle</t>
  </si>
  <si>
    <t>Murphy,</t>
  </si>
  <si>
    <t>Butters,</t>
  </si>
  <si>
    <t>Cook,</t>
  </si>
  <si>
    <t>Summer</t>
  </si>
  <si>
    <t>Breen,</t>
  </si>
  <si>
    <t>Edward</t>
  </si>
  <si>
    <t>Fitzsimons,</t>
  </si>
  <si>
    <t>Houle,</t>
  </si>
  <si>
    <t>Kacee</t>
  </si>
  <si>
    <t>Dave</t>
  </si>
  <si>
    <t>Ray,</t>
  </si>
  <si>
    <t>Maryanna</t>
  </si>
  <si>
    <t>Jennings,</t>
  </si>
  <si>
    <t>Fuller,</t>
  </si>
  <si>
    <t>Deanna</t>
  </si>
  <si>
    <t>Lovisek,</t>
  </si>
  <si>
    <t>Painter,</t>
  </si>
  <si>
    <t>Edwards,</t>
  </si>
  <si>
    <t>Liebl,</t>
  </si>
  <si>
    <t>Gregory</t>
  </si>
  <si>
    <t>Kasabian-Larson,</t>
  </si>
  <si>
    <t>Creamer,</t>
  </si>
  <si>
    <t>Anne</t>
  </si>
  <si>
    <t>Elise</t>
  </si>
  <si>
    <t>Kimbel,</t>
  </si>
  <si>
    <t>Livensparger,</t>
  </si>
  <si>
    <t>Elliot</t>
  </si>
  <si>
    <t>Grange,</t>
  </si>
  <si>
    <t>Nunlist,</t>
  </si>
  <si>
    <t>Corey</t>
  </si>
  <si>
    <t>Cutter,</t>
  </si>
  <si>
    <t>Martin,</t>
  </si>
  <si>
    <t>Cooney,</t>
  </si>
  <si>
    <t>Bier,</t>
  </si>
  <si>
    <t>Raven</t>
  </si>
  <si>
    <t>Muskopf,</t>
  </si>
  <si>
    <t>Sirak,</t>
  </si>
  <si>
    <t>Kendra</t>
  </si>
  <si>
    <t>Nelsen,</t>
  </si>
  <si>
    <t>Jordan</t>
  </si>
  <si>
    <t>Schallner,</t>
  </si>
  <si>
    <t>Nils</t>
  </si>
  <si>
    <t>Dunlap,</t>
  </si>
  <si>
    <t>Messing,</t>
  </si>
  <si>
    <t>Bondell,</t>
  </si>
  <si>
    <t>Gaughan,</t>
  </si>
  <si>
    <t>Caitlin</t>
  </si>
  <si>
    <t>O.</t>
  </si>
  <si>
    <t>Gruman,</t>
  </si>
  <si>
    <t>Tracy</t>
  </si>
  <si>
    <t>Whitlow,</t>
  </si>
  <si>
    <t>Dustin</t>
  </si>
  <si>
    <t>Jenny</t>
  </si>
  <si>
    <t>Sabo,</t>
  </si>
  <si>
    <t>Nazarian,</t>
  </si>
  <si>
    <t>Fabienne</t>
  </si>
  <si>
    <t>Lerma,</t>
  </si>
  <si>
    <t>Dahl,</t>
  </si>
  <si>
    <t>Surtees,</t>
  </si>
  <si>
    <t>Taryn</t>
  </si>
  <si>
    <t>Spetner,</t>
  </si>
  <si>
    <t>Temima</t>
  </si>
  <si>
    <t>Brandon,</t>
  </si>
  <si>
    <t>Eley,</t>
  </si>
  <si>
    <t>Serena</t>
  </si>
  <si>
    <t>Sedicum,</t>
  </si>
  <si>
    <t>Victoria</t>
  </si>
  <si>
    <t>Markle,</t>
  </si>
  <si>
    <t>Phoebe</t>
  </si>
  <si>
    <t>Kunz,</t>
  </si>
  <si>
    <t>Wimert,</t>
  </si>
  <si>
    <t>Peterson,</t>
  </si>
  <si>
    <t>Mercier,</t>
  </si>
  <si>
    <t>Christian</t>
  </si>
  <si>
    <t>Laurie,</t>
  </si>
  <si>
    <t>Jonathon</t>
  </si>
  <si>
    <t>Sekaquaptewa,</t>
  </si>
  <si>
    <t>Frash,</t>
  </si>
  <si>
    <t>Bukowski,</t>
  </si>
  <si>
    <t>Nichole</t>
  </si>
  <si>
    <t>Sandahl,</t>
  </si>
  <si>
    <t>Denise</t>
  </si>
  <si>
    <t>Speight,</t>
  </si>
  <si>
    <t>Johnson</t>
  </si>
  <si>
    <t>Nielsen,</t>
  </si>
  <si>
    <t>Katherine</t>
  </si>
  <si>
    <t>Zirdok,</t>
  </si>
  <si>
    <t>Lynda</t>
  </si>
  <si>
    <t>Crudale,</t>
  </si>
  <si>
    <t>Koopmans,</t>
  </si>
  <si>
    <t>Linnea</t>
  </si>
  <si>
    <t>Milani,</t>
  </si>
  <si>
    <t>Massimiliano</t>
  </si>
  <si>
    <t>Kelly,</t>
  </si>
  <si>
    <t>Finelli,</t>
  </si>
  <si>
    <t>Lauren</t>
  </si>
  <si>
    <t>Xiao</t>
  </si>
  <si>
    <t>Beasley,</t>
  </si>
  <si>
    <t>Harper</t>
  </si>
  <si>
    <t>Bedbury,</t>
  </si>
  <si>
    <t>Stemberger,</t>
  </si>
  <si>
    <t>Chebet,</t>
  </si>
  <si>
    <t>Wilson</t>
  </si>
  <si>
    <t>Muir,</t>
  </si>
  <si>
    <t>Yang,</t>
  </si>
  <si>
    <t>Shizhong</t>
  </si>
  <si>
    <t>Gravel,</t>
  </si>
  <si>
    <t>Marie-Claire</t>
  </si>
  <si>
    <t>Todd</t>
  </si>
  <si>
    <t>Carolyn</t>
  </si>
  <si>
    <t>Jamieson,</t>
  </si>
  <si>
    <t>Marissa</t>
  </si>
  <si>
    <t>Dufeal,</t>
  </si>
  <si>
    <t>Jean</t>
  </si>
  <si>
    <t>Luc</t>
  </si>
  <si>
    <t>Sansonetti,</t>
  </si>
  <si>
    <t>Koneazny,</t>
  </si>
  <si>
    <t>Jim</t>
  </si>
  <si>
    <t>Glasson,</t>
  </si>
  <si>
    <t>Rachel</t>
  </si>
  <si>
    <t>Canitz,</t>
  </si>
  <si>
    <t>Corina</t>
  </si>
  <si>
    <t>Li,</t>
  </si>
  <si>
    <t>Guannan</t>
  </si>
  <si>
    <t>Parsons,</t>
  </si>
  <si>
    <t>Don</t>
  </si>
  <si>
    <t>Raulli,</t>
  </si>
  <si>
    <t>Sevcik,</t>
  </si>
  <si>
    <t>Narang,</t>
  </si>
  <si>
    <t>Jatin</t>
  </si>
  <si>
    <t>Royston,</t>
  </si>
  <si>
    <t>Tieri,</t>
  </si>
  <si>
    <t>Whitney,</t>
  </si>
  <si>
    <t>Blake</t>
  </si>
  <si>
    <t>Wandzilak,</t>
  </si>
  <si>
    <t>Valenzona,</t>
  </si>
  <si>
    <t>Damon</t>
  </si>
  <si>
    <t>Young,</t>
  </si>
  <si>
    <t>Richards,</t>
  </si>
  <si>
    <t>Malcolm</t>
  </si>
  <si>
    <t>Alexson,</t>
  </si>
  <si>
    <t>Margaret</t>
  </si>
  <si>
    <t>Helen</t>
  </si>
  <si>
    <t>McKenna,</t>
  </si>
  <si>
    <t>Argall,</t>
  </si>
  <si>
    <t>Mrs.</t>
  </si>
  <si>
    <t>Tara</t>
  </si>
  <si>
    <t>Patchell,</t>
  </si>
  <si>
    <t>Kristin</t>
  </si>
  <si>
    <t>Catoggio,</t>
  </si>
  <si>
    <t>Adams,</t>
  </si>
  <si>
    <t>Windt,</t>
  </si>
  <si>
    <t>Carly</t>
  </si>
  <si>
    <t>Ryan,</t>
  </si>
  <si>
    <t>Lisa</t>
  </si>
  <si>
    <t>Marion,</t>
  </si>
  <si>
    <t>Raffetto,</t>
  </si>
  <si>
    <t>Louis</t>
  </si>
  <si>
    <t>Oehlke,</t>
  </si>
  <si>
    <t>Sudol,</t>
  </si>
  <si>
    <t>Dawn</t>
  </si>
  <si>
    <t>Es,</t>
  </si>
  <si>
    <t>Dolge,</t>
  </si>
  <si>
    <t>Karen</t>
  </si>
  <si>
    <t>Marlier,</t>
  </si>
  <si>
    <t>Girard,</t>
  </si>
  <si>
    <t>Mathieu</t>
  </si>
  <si>
    <t>Kam</t>
  </si>
  <si>
    <t>Hubbard,</t>
  </si>
  <si>
    <t>Valerie</t>
  </si>
  <si>
    <t>Koester,</t>
  </si>
  <si>
    <t>Freya</t>
  </si>
  <si>
    <t>Matthews,</t>
  </si>
  <si>
    <t>Rubinich,</t>
  </si>
  <si>
    <t>Kara</t>
  </si>
  <si>
    <t>Alban,</t>
  </si>
  <si>
    <t>Corcoran,</t>
  </si>
  <si>
    <t>Sargent,</t>
  </si>
  <si>
    <t>Amber</t>
  </si>
  <si>
    <t>Watson,</t>
  </si>
  <si>
    <t>Esponda,</t>
  </si>
  <si>
    <t>Krall,</t>
  </si>
  <si>
    <t>Poskin,</t>
  </si>
  <si>
    <t>Brady</t>
  </si>
  <si>
    <t>Halfmann,</t>
  </si>
  <si>
    <t>Kameko</t>
  </si>
  <si>
    <t>Klapper,</t>
  </si>
  <si>
    <t>George,</t>
  </si>
  <si>
    <t>Hicks,</t>
  </si>
  <si>
    <t>Lockyer,</t>
  </si>
  <si>
    <t>Byrnes,</t>
  </si>
  <si>
    <t>Norris,</t>
  </si>
  <si>
    <t>Sabine</t>
  </si>
  <si>
    <t>Darda,</t>
  </si>
  <si>
    <t>Joseph</t>
  </si>
  <si>
    <t>Otstot,</t>
  </si>
  <si>
    <t>Bowley,</t>
  </si>
  <si>
    <t>Karolyn</t>
  </si>
  <si>
    <t>Rogers,</t>
  </si>
  <si>
    <t>Anita</t>
  </si>
  <si>
    <t>Mclaughlin,</t>
  </si>
  <si>
    <t>Laura</t>
  </si>
  <si>
    <t>Ziegler,</t>
  </si>
  <si>
    <t>Hughey,</t>
  </si>
  <si>
    <t>Knast,</t>
  </si>
  <si>
    <t>Stob,</t>
  </si>
  <si>
    <t>Jensen,</t>
  </si>
  <si>
    <t>Mutter,</t>
  </si>
  <si>
    <t>Ahern,</t>
  </si>
  <si>
    <t>Chviruk,</t>
  </si>
  <si>
    <t>Cathryn</t>
  </si>
  <si>
    <t>Meehan,</t>
  </si>
  <si>
    <t>Gammon,</t>
  </si>
  <si>
    <t>Shauna</t>
  </si>
  <si>
    <t>Terence</t>
  </si>
  <si>
    <t>Franco,</t>
  </si>
  <si>
    <t>Marisol</t>
  </si>
  <si>
    <t>Patterson,</t>
  </si>
  <si>
    <t>Lindsay</t>
  </si>
  <si>
    <t>Valdes,</t>
  </si>
  <si>
    <t>Craig,</t>
  </si>
  <si>
    <t>Whipple,</t>
  </si>
  <si>
    <t>Marton,</t>
  </si>
  <si>
    <t>Dylan</t>
  </si>
  <si>
    <t>Hildebrandt,</t>
  </si>
  <si>
    <t>Biggs,</t>
  </si>
  <si>
    <t>Shigezumi,</t>
  </si>
  <si>
    <t>Teiko</t>
  </si>
  <si>
    <t>Meineke,</t>
  </si>
  <si>
    <t>Ludington,</t>
  </si>
  <si>
    <t>Johannah</t>
  </si>
  <si>
    <t>Perrich,</t>
  </si>
  <si>
    <t>Cervantes,</t>
  </si>
  <si>
    <t>Andres</t>
  </si>
  <si>
    <t>Andrews,</t>
  </si>
  <si>
    <t>Ruvalcaba,</t>
  </si>
  <si>
    <t>Lizette</t>
  </si>
  <si>
    <t>Stone,</t>
  </si>
  <si>
    <t>Jeb</t>
  </si>
  <si>
    <t>Campbell,</t>
  </si>
  <si>
    <t>Asher,</t>
  </si>
  <si>
    <t>Mazzotta,</t>
  </si>
  <si>
    <t>G</t>
  </si>
  <si>
    <t>Huttl,</t>
  </si>
  <si>
    <t>Simonezitrone</t>
  </si>
  <si>
    <t>Ferron,</t>
  </si>
  <si>
    <t>Colarusso,</t>
  </si>
  <si>
    <t>Pearlman,</t>
  </si>
  <si>
    <t>Oz</t>
  </si>
  <si>
    <t>O'Mara,</t>
  </si>
  <si>
    <t>Niska,</t>
  </si>
  <si>
    <t>Schlich,</t>
  </si>
  <si>
    <t>Zidek,</t>
  </si>
  <si>
    <t>Ellgass,</t>
  </si>
  <si>
    <t>Lowe,</t>
  </si>
  <si>
    <t>Malone,</t>
  </si>
  <si>
    <t>Dumke,</t>
  </si>
  <si>
    <t>Haley</t>
  </si>
  <si>
    <t>Strong,</t>
  </si>
  <si>
    <t>Kayla</t>
  </si>
  <si>
    <t>Ferguson,</t>
  </si>
  <si>
    <t>Klein,</t>
  </si>
  <si>
    <t>Eusebio,</t>
  </si>
  <si>
    <t>Szolosi,</t>
  </si>
  <si>
    <t>Beth</t>
  </si>
  <si>
    <t>Butler,</t>
  </si>
  <si>
    <t>Fukuchi,</t>
  </si>
  <si>
    <t>Yoshinori</t>
  </si>
  <si>
    <t>Drucker,</t>
  </si>
  <si>
    <t>Aziz,</t>
  </si>
  <si>
    <t>Pak,</t>
  </si>
  <si>
    <t>Junyong</t>
  </si>
  <si>
    <t>Kieta,</t>
  </si>
  <si>
    <t>Kristen</t>
  </si>
  <si>
    <t>Velez,</t>
  </si>
  <si>
    <t>Maria</t>
  </si>
  <si>
    <t>Bussiere,</t>
  </si>
  <si>
    <t>Jonathan</t>
  </si>
  <si>
    <t>McCartney,</t>
  </si>
  <si>
    <t>Bambauer,</t>
  </si>
  <si>
    <t>Benjamina</t>
  </si>
  <si>
    <t>Mertz,</t>
  </si>
  <si>
    <t>Mason,</t>
  </si>
  <si>
    <t>Alison</t>
  </si>
  <si>
    <t>Rotich,</t>
  </si>
  <si>
    <t>Fetzer,</t>
  </si>
  <si>
    <t>Alexis</t>
  </si>
  <si>
    <t>Mattis,</t>
  </si>
  <si>
    <t>Shanda</t>
  </si>
  <si>
    <t>Lacey</t>
  </si>
  <si>
    <t>Balinsky,</t>
  </si>
  <si>
    <t>Laurette</t>
  </si>
  <si>
    <t>Reilly,</t>
  </si>
  <si>
    <t>Mary</t>
  </si>
  <si>
    <t>Petry,</t>
  </si>
  <si>
    <t>Kati</t>
  </si>
  <si>
    <t>Laleman,</t>
  </si>
  <si>
    <t>Colby,</t>
  </si>
  <si>
    <t>Greer</t>
  </si>
  <si>
    <t>Wathke,</t>
  </si>
  <si>
    <t>Brent</t>
  </si>
  <si>
    <t>Daly,</t>
  </si>
  <si>
    <t>Eugene</t>
  </si>
  <si>
    <t>Dillon,</t>
  </si>
  <si>
    <t>Pontes,</t>
  </si>
  <si>
    <t>Kamilla</t>
  </si>
  <si>
    <t>Spies,</t>
  </si>
  <si>
    <t>Wayne</t>
  </si>
  <si>
    <t>Greig,</t>
  </si>
  <si>
    <t>Scott,</t>
  </si>
  <si>
    <t>Erlandson,</t>
  </si>
  <si>
    <t>Autrey,</t>
  </si>
  <si>
    <t>Michalski,</t>
  </si>
  <si>
    <t>Grillo,</t>
  </si>
  <si>
    <t>Gianfilippo</t>
  </si>
  <si>
    <t>Coronado,</t>
  </si>
  <si>
    <t>Dewine,</t>
  </si>
  <si>
    <t>Carman,</t>
  </si>
  <si>
    <t>Aubri</t>
  </si>
  <si>
    <t>Neems,</t>
  </si>
  <si>
    <t>Justin</t>
  </si>
  <si>
    <t>Pesyna,</t>
  </si>
  <si>
    <t>Meling,</t>
  </si>
  <si>
    <t>Erika</t>
  </si>
  <si>
    <t>Widlowski,</t>
  </si>
  <si>
    <t>Nadar,</t>
  </si>
  <si>
    <t>Devin</t>
  </si>
  <si>
    <t>Leedham,</t>
  </si>
  <si>
    <t>Haglund,</t>
  </si>
  <si>
    <t>Mills,</t>
  </si>
  <si>
    <t>Drnjevich,</t>
  </si>
  <si>
    <t>Kristina</t>
  </si>
  <si>
    <t>Clay,</t>
  </si>
  <si>
    <t>Brad</t>
  </si>
  <si>
    <t>Marbury,</t>
  </si>
  <si>
    <t>O</t>
  </si>
  <si>
    <t>Coon,</t>
  </si>
  <si>
    <t>Vanttinen,</t>
  </si>
  <si>
    <t>Simo</t>
  </si>
  <si>
    <t>Garges,</t>
  </si>
  <si>
    <t>Rivel,</t>
  </si>
  <si>
    <t>Mario</t>
  </si>
  <si>
    <t>Lawson,</t>
  </si>
  <si>
    <t>Meghann</t>
  </si>
  <si>
    <t>Cale,</t>
  </si>
  <si>
    <t>Stewart,</t>
  </si>
  <si>
    <t>Drotz,</t>
  </si>
  <si>
    <t>Mutai,</t>
  </si>
  <si>
    <t>Lovlien,</t>
  </si>
  <si>
    <t>Maya</t>
  </si>
  <si>
    <t>Stoney,</t>
  </si>
  <si>
    <t>Hilda</t>
  </si>
  <si>
    <t>Markert,</t>
  </si>
  <si>
    <t>McLucas,</t>
  </si>
  <si>
    <t>Erwin,</t>
  </si>
  <si>
    <t>Sandra</t>
  </si>
  <si>
    <t>Otsuka,</t>
  </si>
  <si>
    <t>Takuo</t>
  </si>
  <si>
    <t>Myers,</t>
  </si>
  <si>
    <t>Cote,</t>
  </si>
  <si>
    <t>Benoit</t>
  </si>
  <si>
    <t>Ehrhardt,</t>
  </si>
  <si>
    <t>Petersen,</t>
  </si>
  <si>
    <t>Ertel,</t>
  </si>
  <si>
    <t>Monica</t>
  </si>
  <si>
    <t>Lanza,</t>
  </si>
  <si>
    <t>Picklesimer,</t>
  </si>
  <si>
    <t>Giles,</t>
  </si>
  <si>
    <t>Della</t>
  </si>
  <si>
    <t>Harmon,</t>
  </si>
  <si>
    <t>Pennings,</t>
  </si>
  <si>
    <t>Tseronis,</t>
  </si>
  <si>
    <t>Tasos</t>
  </si>
  <si>
    <t>Aliff,</t>
  </si>
  <si>
    <t>Willenberg,</t>
  </si>
  <si>
    <t>Lukasz</t>
  </si>
  <si>
    <t>Millett,</t>
  </si>
  <si>
    <t>Haley,</t>
  </si>
  <si>
    <t>Meta</t>
  </si>
  <si>
    <t>Ackerman,</t>
  </si>
  <si>
    <t>Valdez,</t>
  </si>
  <si>
    <t>Angelica</t>
  </si>
  <si>
    <t>Michaud,</t>
  </si>
  <si>
    <t>Kathleen</t>
  </si>
  <si>
    <t>Gunnink,</t>
  </si>
  <si>
    <t>Gabriel</t>
  </si>
  <si>
    <t>Knight,</t>
  </si>
  <si>
    <t>Grosscup,</t>
  </si>
  <si>
    <t>Neil</t>
  </si>
  <si>
    <t>Koniuch,</t>
  </si>
  <si>
    <t>Heitzman,</t>
  </si>
  <si>
    <t>Ariel</t>
  </si>
  <si>
    <t>Tatton,</t>
  </si>
  <si>
    <t>Flanagan,</t>
  </si>
  <si>
    <t>Funk,</t>
  </si>
  <si>
    <t>Molly</t>
  </si>
  <si>
    <t>Davenport,</t>
  </si>
  <si>
    <t>Lindbloom,</t>
  </si>
  <si>
    <t>Wijayaratne,</t>
  </si>
  <si>
    <t>Hiruni</t>
  </si>
  <si>
    <t>Ainsworth,</t>
  </si>
  <si>
    <t>Reina</t>
  </si>
  <si>
    <t>Gayagoy,</t>
  </si>
  <si>
    <t>Kristi</t>
  </si>
  <si>
    <t>Fitzmaurice,</t>
  </si>
  <si>
    <t>Rodriguez,</t>
  </si>
  <si>
    <t>Jocelyn</t>
  </si>
  <si>
    <t>Tsoucas,</t>
  </si>
  <si>
    <t>Daphne</t>
  </si>
  <si>
    <t>Muhly,</t>
  </si>
  <si>
    <t>Lund,</t>
  </si>
  <si>
    <t>Battaglino,</t>
  </si>
  <si>
    <t>Pena,</t>
  </si>
  <si>
    <t>Carolina</t>
  </si>
  <si>
    <t>Thomason,</t>
  </si>
  <si>
    <t>Hancox,</t>
  </si>
  <si>
    <t>Canarecci,</t>
  </si>
  <si>
    <t>Toupin,</t>
  </si>
  <si>
    <t>Marc-Olivier</t>
  </si>
  <si>
    <t>Mulley,</t>
  </si>
  <si>
    <t>Parry,</t>
  </si>
  <si>
    <t>Karine</t>
  </si>
  <si>
    <t>Mason</t>
  </si>
  <si>
    <t>Thompson,</t>
  </si>
  <si>
    <t>Nelson,</t>
  </si>
  <si>
    <t>Adriana</t>
  </si>
  <si>
    <t>Forte,</t>
  </si>
  <si>
    <t>Miranda</t>
  </si>
  <si>
    <t>Corona</t>
  </si>
  <si>
    <t>Iturriaga,</t>
  </si>
  <si>
    <t>Roberto</t>
  </si>
  <si>
    <t>McCollum,</t>
  </si>
  <si>
    <t>Hevner,</t>
  </si>
  <si>
    <t>Tiffany</t>
  </si>
  <si>
    <t>Looi,</t>
  </si>
  <si>
    <t>Alexander</t>
  </si>
  <si>
    <t>Power,</t>
  </si>
  <si>
    <t>Rich</t>
  </si>
  <si>
    <t>Routon,</t>
  </si>
  <si>
    <t>Dochelli,</t>
  </si>
  <si>
    <t>Gillespie,</t>
  </si>
  <si>
    <t>Oskvig,</t>
  </si>
  <si>
    <t>Daven</t>
  </si>
  <si>
    <t>Holland-Stergar,</t>
  </si>
  <si>
    <t>Brianne</t>
  </si>
  <si>
    <t>Arai,</t>
  </si>
  <si>
    <t>Hiroki</t>
  </si>
  <si>
    <t>Olausson,</t>
  </si>
  <si>
    <t>Wagner,</t>
  </si>
  <si>
    <t>Delong,</t>
  </si>
  <si>
    <t>Candace</t>
  </si>
  <si>
    <t>Mehech,</t>
  </si>
  <si>
    <t>Bruno</t>
  </si>
  <si>
    <t>Machiela,</t>
  </si>
  <si>
    <t>Dupere,</t>
  </si>
  <si>
    <t>Sally</t>
  </si>
  <si>
    <t>Iandolo,</t>
  </si>
  <si>
    <t>Meaghan</t>
  </si>
  <si>
    <t>Ito,</t>
  </si>
  <si>
    <t>Rina</t>
  </si>
  <si>
    <t>Barry,</t>
  </si>
  <si>
    <t>Boyce,</t>
  </si>
  <si>
    <t>Albert</t>
  </si>
  <si>
    <t>Lin,</t>
  </si>
  <si>
    <t>Shannon</t>
  </si>
  <si>
    <t>Nalven,</t>
  </si>
  <si>
    <t>Bourgeois,</t>
  </si>
  <si>
    <t>Orloff,</t>
  </si>
  <si>
    <t>Conrad</t>
  </si>
  <si>
    <t>Ramirez,</t>
  </si>
  <si>
    <t>Josh</t>
  </si>
  <si>
    <t>Fouquet,</t>
  </si>
  <si>
    <t>Maxime</t>
  </si>
  <si>
    <t>McPhillips,</t>
  </si>
  <si>
    <t>Burgin,</t>
  </si>
  <si>
    <t>Roberts,</t>
  </si>
  <si>
    <t>Nemec,</t>
  </si>
  <si>
    <t>Appman,</t>
  </si>
  <si>
    <t>Jr.</t>
  </si>
  <si>
    <t>Glotzbach,</t>
  </si>
  <si>
    <t>Tenforde,</t>
  </si>
  <si>
    <t>Armando</t>
  </si>
  <si>
    <t>Stanley</t>
  </si>
  <si>
    <t>Dana</t>
  </si>
  <si>
    <t>Vandongen,</t>
  </si>
  <si>
    <t>Liebald,</t>
  </si>
  <si>
    <t>Holte,</t>
  </si>
  <si>
    <t>Tanya</t>
  </si>
  <si>
    <t>Bartlett,</t>
  </si>
  <si>
    <t>Bergman,</t>
  </si>
  <si>
    <t>Aitken,</t>
  </si>
  <si>
    <t>Berger,</t>
  </si>
  <si>
    <t>Richey,</t>
  </si>
  <si>
    <t>Cary</t>
  </si>
  <si>
    <t>Trotter,</t>
  </si>
  <si>
    <t>Chavez,</t>
  </si>
  <si>
    <t>Orifice,</t>
  </si>
  <si>
    <t>Farkash,</t>
  </si>
  <si>
    <t>Crawford,</t>
  </si>
  <si>
    <t>Polly</t>
  </si>
  <si>
    <t>Sittlington,</t>
  </si>
  <si>
    <t>Silbert,</t>
  </si>
  <si>
    <t>Jessie</t>
  </si>
  <si>
    <t>Carrique,</t>
  </si>
  <si>
    <t>Kosla,</t>
  </si>
  <si>
    <t>Parker,</t>
  </si>
  <si>
    <t>Horton,</t>
  </si>
  <si>
    <t>Boller,</t>
  </si>
  <si>
    <t>Olaru,</t>
  </si>
  <si>
    <t>Nuta</t>
  </si>
  <si>
    <t>Prescott,</t>
  </si>
  <si>
    <t>Margie</t>
  </si>
  <si>
    <t>Hines,</t>
  </si>
  <si>
    <t>Heidi</t>
  </si>
  <si>
    <t>Blanton,</t>
  </si>
  <si>
    <t>Diego</t>
  </si>
  <si>
    <t>Bustamante,</t>
  </si>
  <si>
    <t>Enrique</t>
  </si>
  <si>
    <t>McCann,</t>
  </si>
  <si>
    <t>Schmole,</t>
  </si>
  <si>
    <t>Filip</t>
  </si>
  <si>
    <t>Barber,</t>
  </si>
  <si>
    <t>Rosemary</t>
  </si>
  <si>
    <t>Reichmann,</t>
  </si>
  <si>
    <t>Cavatorta,</t>
  </si>
  <si>
    <t>Yaeger,</t>
  </si>
  <si>
    <t>Hughes,</t>
  </si>
  <si>
    <t>Donahue,</t>
  </si>
  <si>
    <t>Greenwell,</t>
  </si>
  <si>
    <t>Steele,</t>
  </si>
  <si>
    <t>Gunter,</t>
  </si>
  <si>
    <t>Madeleine</t>
  </si>
  <si>
    <t>McDonough,</t>
  </si>
  <si>
    <t>Sweetland,</t>
  </si>
  <si>
    <t>Hammersmith,</t>
  </si>
  <si>
    <t>French,</t>
  </si>
  <si>
    <t>Garbe,</t>
  </si>
  <si>
    <t>Duncan,</t>
  </si>
  <si>
    <t>Wallace,</t>
  </si>
  <si>
    <t>Tillman,</t>
  </si>
  <si>
    <t>Taylor,</t>
  </si>
  <si>
    <t>Tennille</t>
  </si>
  <si>
    <t>McSween,</t>
  </si>
  <si>
    <t>Schubert,</t>
  </si>
  <si>
    <t>Lalanne,</t>
  </si>
  <si>
    <t>Shalane</t>
  </si>
  <si>
    <t>Arellano,</t>
  </si>
  <si>
    <t>Charette,</t>
  </si>
  <si>
    <t>Melanie</t>
  </si>
  <si>
    <t>Pena</t>
  </si>
  <si>
    <t>Reyes,</t>
  </si>
  <si>
    <t>Ruth</t>
  </si>
  <si>
    <t>Broderick,</t>
  </si>
  <si>
    <t>Una</t>
  </si>
  <si>
    <t>Summers,</t>
  </si>
  <si>
    <t>Taralyn</t>
  </si>
  <si>
    <t>Zhou,</t>
  </si>
  <si>
    <t>Ning</t>
  </si>
  <si>
    <t>Clarke-Ames,</t>
  </si>
  <si>
    <t>Staton,</t>
  </si>
  <si>
    <t>Forster,</t>
  </si>
  <si>
    <t>Brittney</t>
  </si>
  <si>
    <t>Monaghan,</t>
  </si>
  <si>
    <t>Sheila</t>
  </si>
  <si>
    <t>Kawamoto,</t>
  </si>
  <si>
    <t>Koji</t>
  </si>
  <si>
    <t>Dicharry,</t>
  </si>
  <si>
    <t>Berry,</t>
  </si>
  <si>
    <t>Colleen</t>
  </si>
  <si>
    <t>Porfirio,</t>
  </si>
  <si>
    <t>Deedra</t>
  </si>
  <si>
    <t>Thind,</t>
  </si>
  <si>
    <t>Kulwinder</t>
  </si>
  <si>
    <t>Horn,</t>
  </si>
  <si>
    <t>Sabadosa,</t>
  </si>
  <si>
    <t>Apryl</t>
  </si>
  <si>
    <t>Casady,</t>
  </si>
  <si>
    <t>Ilana</t>
  </si>
  <si>
    <t>Ahokas,</t>
  </si>
  <si>
    <t>Hebert,</t>
  </si>
  <si>
    <t>Karl</t>
  </si>
  <si>
    <t>Fair,</t>
  </si>
  <si>
    <t>Swenson,</t>
  </si>
  <si>
    <t>Will</t>
  </si>
  <si>
    <t>Revenis,</t>
  </si>
  <si>
    <t>Engnes,</t>
  </si>
  <si>
    <t>Wiltse,</t>
  </si>
  <si>
    <t>Fernandez,</t>
  </si>
  <si>
    <t>Tom</t>
  </si>
  <si>
    <t>Pinney,</t>
  </si>
  <si>
    <t>Levy,</t>
  </si>
  <si>
    <t>Takeda,</t>
  </si>
  <si>
    <t>Nobuyori</t>
  </si>
  <si>
    <t>Burke,</t>
  </si>
  <si>
    <t>Duarte,</t>
  </si>
  <si>
    <t>Marcos</t>
  </si>
  <si>
    <t>Nice,</t>
  </si>
  <si>
    <t>Andy</t>
  </si>
  <si>
    <t>Windler,</t>
  </si>
  <si>
    <t>Jones,</t>
  </si>
  <si>
    <t>Marcus</t>
  </si>
  <si>
    <t>Stevenson,</t>
  </si>
  <si>
    <t>Humphrey,</t>
  </si>
  <si>
    <t>Geoff</t>
  </si>
  <si>
    <t>Payne,</t>
  </si>
  <si>
    <t>Hails,</t>
  </si>
  <si>
    <t>Proctor,</t>
  </si>
  <si>
    <t>Kelli</t>
  </si>
  <si>
    <t>Maggie</t>
  </si>
  <si>
    <t>Gresh,</t>
  </si>
  <si>
    <t>Anis,</t>
  </si>
  <si>
    <t>Swartz,</t>
  </si>
  <si>
    <t>Schluneker,</t>
  </si>
  <si>
    <t>Bellemare,</t>
  </si>
  <si>
    <t>Vitalo,</t>
  </si>
  <si>
    <t>Antonia</t>
  </si>
  <si>
    <t>Casondra</t>
  </si>
  <si>
    <t>Marshall,</t>
  </si>
  <si>
    <t>Wendy</t>
  </si>
  <si>
    <t>Pittaway,</t>
  </si>
  <si>
    <t>Bill,</t>
  </si>
  <si>
    <t>Antrim,</t>
  </si>
  <si>
    <t>Amelia</t>
  </si>
  <si>
    <t>Doolittle-Crider,</t>
  </si>
  <si>
    <t>Ruhlman,</t>
  </si>
  <si>
    <t>Uchiyama,</t>
  </si>
  <si>
    <t>Mayumi</t>
  </si>
  <si>
    <t>Desota,</t>
  </si>
  <si>
    <t>Vanessa</t>
  </si>
  <si>
    <t>Edmonds,</t>
  </si>
  <si>
    <t>Natali</t>
  </si>
  <si>
    <t>Otto,</t>
  </si>
  <si>
    <t>Kurt,</t>
  </si>
  <si>
    <t>Duhaime,</t>
  </si>
  <si>
    <t>Swann,</t>
  </si>
  <si>
    <t>Andee</t>
  </si>
  <si>
    <t>Burton,</t>
  </si>
  <si>
    <t>Joslyn,</t>
  </si>
  <si>
    <t>Fred</t>
  </si>
  <si>
    <t>Bennie,</t>
  </si>
  <si>
    <t>Kanyane,</t>
  </si>
  <si>
    <t>McFadden,</t>
  </si>
  <si>
    <t>Connolly,</t>
  </si>
  <si>
    <t>Merino,</t>
  </si>
  <si>
    <t>Keila</t>
  </si>
  <si>
    <t>Baird,</t>
  </si>
  <si>
    <t>Zanae</t>
  </si>
  <si>
    <t>Locatelli,</t>
  </si>
  <si>
    <t>Brake,</t>
  </si>
  <si>
    <t>Jacobs,</t>
  </si>
  <si>
    <t>Vaught,</t>
  </si>
  <si>
    <t>Monteleone,</t>
  </si>
  <si>
    <t>Verdugo,</t>
  </si>
  <si>
    <t>Sellers,</t>
  </si>
  <si>
    <t>Chad</t>
  </si>
  <si>
    <t>Bowman,</t>
  </si>
  <si>
    <t>Marley,</t>
  </si>
  <si>
    <t>Grey,</t>
  </si>
  <si>
    <t>O'Rourke,</t>
  </si>
  <si>
    <t>Orla</t>
  </si>
  <si>
    <t>Fatehali,</t>
  </si>
  <si>
    <t>Shaista</t>
  </si>
  <si>
    <t>Piza-Taylor,</t>
  </si>
  <si>
    <t>Cavanaugh,</t>
  </si>
  <si>
    <t>Julie</t>
  </si>
  <si>
    <t>Amako,</t>
  </si>
  <si>
    <t>Megumi</t>
  </si>
  <si>
    <t>Musa,</t>
  </si>
  <si>
    <t>Skylar</t>
  </si>
  <si>
    <t>Phillippi,</t>
  </si>
  <si>
    <t>Hoskins,</t>
  </si>
  <si>
    <t>Imbalzano</t>
  </si>
  <si>
    <t>Zegar,</t>
  </si>
  <si>
    <t>Renee</t>
  </si>
  <si>
    <t>Triedman,</t>
  </si>
  <si>
    <t>Nellie</t>
  </si>
  <si>
    <t>Lovuolo,</t>
  </si>
  <si>
    <t>Tamara</t>
  </si>
  <si>
    <t>Chung,</t>
  </si>
  <si>
    <t>Newsom,</t>
  </si>
  <si>
    <t>Aimee</t>
  </si>
  <si>
    <t>Harrington,</t>
  </si>
  <si>
    <t>Suzanne</t>
  </si>
  <si>
    <t>Hoffman,</t>
  </si>
  <si>
    <t>Vugt,</t>
  </si>
  <si>
    <t>Bronwyn</t>
  </si>
  <si>
    <t>Feehley,</t>
  </si>
  <si>
    <t>Ashworth,</t>
  </si>
  <si>
    <t>Hansen,</t>
  </si>
  <si>
    <t>Czyz,</t>
  </si>
  <si>
    <t>Bauder,</t>
  </si>
  <si>
    <t>Mendoza,</t>
  </si>
  <si>
    <t>Francisco</t>
  </si>
  <si>
    <t>Glass,</t>
  </si>
  <si>
    <t>Rhonda</t>
  </si>
  <si>
    <t>Butcher,</t>
  </si>
  <si>
    <t>Traiser,</t>
  </si>
  <si>
    <t>Miles</t>
  </si>
  <si>
    <t>Mudy-Mader,</t>
  </si>
  <si>
    <t>Justyna</t>
  </si>
  <si>
    <t>Lucille</t>
  </si>
  <si>
    <t>Woo,</t>
  </si>
  <si>
    <t>April</t>
  </si>
  <si>
    <t>Sheppard,</t>
  </si>
  <si>
    <t>Doran,</t>
  </si>
  <si>
    <t>Labrosse,</t>
  </si>
  <si>
    <t>Emilie</t>
  </si>
  <si>
    <t>Thomas,</t>
  </si>
  <si>
    <t>Lesniak,</t>
  </si>
  <si>
    <t>Prowse,</t>
  </si>
  <si>
    <t>Seigel,</t>
  </si>
  <si>
    <t>Leah</t>
  </si>
  <si>
    <t>Blas,</t>
  </si>
  <si>
    <t>Simpson,</t>
  </si>
  <si>
    <t>Gierman,</t>
  </si>
  <si>
    <t>Floris</t>
  </si>
  <si>
    <t>Jeuland,</t>
  </si>
  <si>
    <t>Marc</t>
  </si>
  <si>
    <t>Chorney,</t>
  </si>
  <si>
    <t>Rook,</t>
  </si>
  <si>
    <t>Aharon</t>
  </si>
  <si>
    <t>Chin,</t>
  </si>
  <si>
    <t>Savage,</t>
  </si>
  <si>
    <t>Hitchings,</t>
  </si>
  <si>
    <t>Truitt,</t>
  </si>
  <si>
    <t>Chang,</t>
  </si>
  <si>
    <t>Chia</t>
  </si>
  <si>
    <t>Frey,</t>
  </si>
  <si>
    <t>Krishna,</t>
  </si>
  <si>
    <t>Aditi</t>
  </si>
  <si>
    <t>Maher,</t>
  </si>
  <si>
    <t>Boivin,</t>
  </si>
  <si>
    <t>Marianne</t>
  </si>
  <si>
    <t>McAlister,</t>
  </si>
  <si>
    <t>Carla</t>
  </si>
  <si>
    <t>Akhmedova,</t>
  </si>
  <si>
    <t>Oksana</t>
  </si>
  <si>
    <t>Tucker,</t>
  </si>
  <si>
    <t>Gramelspacher,</t>
  </si>
  <si>
    <t>Goldsmith,</t>
  </si>
  <si>
    <t>Tranter,</t>
  </si>
  <si>
    <t>Steve</t>
  </si>
  <si>
    <t>Tu,</t>
  </si>
  <si>
    <t>Kaczka,</t>
  </si>
  <si>
    <t>Hunter,</t>
  </si>
  <si>
    <t>Dale</t>
  </si>
  <si>
    <t>Ashby,</t>
  </si>
  <si>
    <t>Ausen,</t>
  </si>
  <si>
    <t>Ulrike</t>
  </si>
  <si>
    <t>O'Leary,</t>
  </si>
  <si>
    <t>Katlyn</t>
  </si>
  <si>
    <t>Scoville,</t>
  </si>
  <si>
    <t>Kaus,</t>
  </si>
  <si>
    <t>Rainey,</t>
  </si>
  <si>
    <t>Chandler</t>
  </si>
  <si>
    <t>Rasch,</t>
  </si>
  <si>
    <t>Silvana</t>
  </si>
  <si>
    <t>Plunkett,</t>
  </si>
  <si>
    <t>Natty</t>
  </si>
  <si>
    <t>Gusmer,</t>
  </si>
  <si>
    <t>Loftus,</t>
  </si>
  <si>
    <t>Antony</t>
  </si>
  <si>
    <t>Alvarez,</t>
  </si>
  <si>
    <t>Petersson,</t>
  </si>
  <si>
    <t>Liaw,</t>
  </si>
  <si>
    <t>Tripaldi,</t>
  </si>
  <si>
    <t>Cassandra</t>
  </si>
  <si>
    <t>Endara,</t>
  </si>
  <si>
    <t>Valle,</t>
  </si>
  <si>
    <t>Gerardo</t>
  </si>
  <si>
    <t>Germain,</t>
  </si>
  <si>
    <t>Finecey,</t>
  </si>
  <si>
    <t>Meghan</t>
  </si>
  <si>
    <t>Roe,</t>
  </si>
  <si>
    <t>Webb,</t>
  </si>
  <si>
    <t>Jane</t>
  </si>
  <si>
    <t>Stocker,</t>
  </si>
  <si>
    <t>Jacobson,</t>
  </si>
  <si>
    <t>Goodwin,</t>
  </si>
  <si>
    <t>Jillian</t>
  </si>
  <si>
    <t>Brock,</t>
  </si>
  <si>
    <t>Papp,</t>
  </si>
  <si>
    <t>Siragusa,</t>
  </si>
  <si>
    <t>Pizarro,</t>
  </si>
  <si>
    <t>Rachelle</t>
  </si>
  <si>
    <t>Strange,</t>
  </si>
  <si>
    <t>Eidinger,</t>
  </si>
  <si>
    <t>Ginsburg,</t>
  </si>
  <si>
    <t>Brandon</t>
  </si>
  <si>
    <t>Truex,</t>
  </si>
  <si>
    <t>Higgins,</t>
  </si>
  <si>
    <t>McCurdy,</t>
  </si>
  <si>
    <t>Bettina</t>
  </si>
  <si>
    <t>Varner,</t>
  </si>
  <si>
    <t>Dahmen,</t>
  </si>
  <si>
    <t>Holli</t>
  </si>
  <si>
    <t>Fraser,</t>
  </si>
  <si>
    <t>Deeg,</t>
  </si>
  <si>
    <t>Robertson,</t>
  </si>
  <si>
    <t>Peck,</t>
  </si>
  <si>
    <t>Graham</t>
  </si>
  <si>
    <t>Burger,</t>
  </si>
  <si>
    <t>Garrett</t>
  </si>
  <si>
    <t>Blain,</t>
  </si>
  <si>
    <t>Winters,</t>
  </si>
  <si>
    <t>Annabelle</t>
  </si>
  <si>
    <t>McCue,</t>
  </si>
  <si>
    <t>Webster,</t>
  </si>
  <si>
    <t>Deanne</t>
  </si>
  <si>
    <t>Chiappone,</t>
  </si>
  <si>
    <t>Opie,</t>
  </si>
  <si>
    <t>Jasmine</t>
  </si>
  <si>
    <t>Donnelly,</t>
  </si>
  <si>
    <t>Rall,</t>
  </si>
  <si>
    <t>Tracie</t>
  </si>
  <si>
    <t>Tristan</t>
  </si>
  <si>
    <t>Chen,</t>
  </si>
  <si>
    <t>Peiweng</t>
  </si>
  <si>
    <t>Tufaro,</t>
  </si>
  <si>
    <t>Theresa</t>
  </si>
  <si>
    <t>Susedik,</t>
  </si>
  <si>
    <t>Jose</t>
  </si>
  <si>
    <t>Deady,</t>
  </si>
  <si>
    <t>Schaefer,</t>
  </si>
  <si>
    <t>D'Alessandro,</t>
  </si>
  <si>
    <t>Wyss,</t>
  </si>
  <si>
    <t>Krista</t>
  </si>
  <si>
    <t>Rose,</t>
  </si>
  <si>
    <t>Jenessa</t>
  </si>
  <si>
    <t>Hopper,</t>
  </si>
  <si>
    <t>Finneran,</t>
  </si>
  <si>
    <t>Basham,</t>
  </si>
  <si>
    <t>Teresa</t>
  </si>
  <si>
    <t>Oscal,</t>
  </si>
  <si>
    <t>Dorian</t>
  </si>
  <si>
    <t>Craft,</t>
  </si>
  <si>
    <t>Kebede,</t>
  </si>
  <si>
    <t>Aberu</t>
  </si>
  <si>
    <t>Strobel,</t>
  </si>
  <si>
    <t>Dalton,</t>
  </si>
  <si>
    <t>Morimoto,</t>
  </si>
  <si>
    <t>Tania</t>
  </si>
  <si>
    <t>Manlove,</t>
  </si>
  <si>
    <t>Madzik,</t>
  </si>
  <si>
    <t>Hobson,</t>
  </si>
  <si>
    <t>Valery</t>
  </si>
  <si>
    <t>Joanna</t>
  </si>
  <si>
    <t>Tierney,</t>
  </si>
  <si>
    <t>Stefanie</t>
  </si>
  <si>
    <t>Gabris,</t>
  </si>
  <si>
    <t>Howard,</t>
  </si>
  <si>
    <t>Liza</t>
  </si>
  <si>
    <t>Kallay,</t>
  </si>
  <si>
    <t>Leguizamo,</t>
  </si>
  <si>
    <t>Claudia</t>
  </si>
  <si>
    <t>Escartin,</t>
  </si>
  <si>
    <t>Chorey,</t>
  </si>
  <si>
    <t>Billy</t>
  </si>
  <si>
    <t>McVay,</t>
  </si>
  <si>
    <t>Vinson,</t>
  </si>
  <si>
    <t>Tim</t>
  </si>
  <si>
    <t>Astrike-Davis,</t>
  </si>
  <si>
    <t>Harder,</t>
  </si>
  <si>
    <t>Bell,</t>
  </si>
  <si>
    <t>Dawes,</t>
  </si>
  <si>
    <t>Bridget</t>
  </si>
  <si>
    <t>Larios,</t>
  </si>
  <si>
    <t>Yaremczuk,</t>
  </si>
  <si>
    <t>Natasha</t>
  </si>
  <si>
    <t>Eversman,</t>
  </si>
  <si>
    <t>Hickory,</t>
  </si>
  <si>
    <t>Mckendree</t>
  </si>
  <si>
    <t>Mooney,</t>
  </si>
  <si>
    <t>Craighead,</t>
  </si>
  <si>
    <t>Gardner,</t>
  </si>
  <si>
    <t>Lohrenz,</t>
  </si>
  <si>
    <t>Demise,</t>
  </si>
  <si>
    <t>Shure</t>
  </si>
  <si>
    <t>Guitard,</t>
  </si>
  <si>
    <t>Brenda</t>
  </si>
  <si>
    <t>Navas,</t>
  </si>
  <si>
    <t>Ptucha,</t>
  </si>
  <si>
    <t>Kirouac,</t>
  </si>
  <si>
    <t>Kathya</t>
  </si>
  <si>
    <t>Toews,</t>
  </si>
  <si>
    <t>Wesley</t>
  </si>
  <si>
    <t>Perry,</t>
  </si>
  <si>
    <t>Kretz,</t>
  </si>
  <si>
    <t>Hempel,</t>
  </si>
  <si>
    <t>Alexandra</t>
  </si>
  <si>
    <t>McBroom,</t>
  </si>
  <si>
    <t>Yoo,</t>
  </si>
  <si>
    <t>Rand,</t>
  </si>
  <si>
    <t>Wolfe,</t>
  </si>
  <si>
    <t>Vance,</t>
  </si>
  <si>
    <t>Burnett,</t>
  </si>
  <si>
    <t>Clason,</t>
  </si>
  <si>
    <t>Gillian</t>
  </si>
  <si>
    <t>Brenn</t>
  </si>
  <si>
    <t>Pietz,</t>
  </si>
  <si>
    <t>Tegenkamp,</t>
  </si>
  <si>
    <t>Dover,</t>
  </si>
  <si>
    <t>Dockemeyer,</t>
  </si>
  <si>
    <t>III</t>
  </si>
  <si>
    <t>Harel,</t>
  </si>
  <si>
    <t>Gal</t>
  </si>
  <si>
    <t>Aguila,</t>
  </si>
  <si>
    <t>Anton</t>
  </si>
  <si>
    <t>Vallejo</t>
  </si>
  <si>
    <t>Sarmiento,</t>
  </si>
  <si>
    <t>Yazmin</t>
  </si>
  <si>
    <t>Beisheim,</t>
  </si>
  <si>
    <t>Florian</t>
  </si>
  <si>
    <t>Lenhoff,</t>
  </si>
  <si>
    <t>Wehrwein,</t>
  </si>
  <si>
    <t>Claire</t>
  </si>
  <si>
    <t>Markowitz,</t>
  </si>
  <si>
    <t>Lynn</t>
  </si>
  <si>
    <t>Vos,</t>
  </si>
  <si>
    <t>McLeod,</t>
  </si>
  <si>
    <t>Candice</t>
  </si>
  <si>
    <t>Balcom,</t>
  </si>
  <si>
    <t>Dirth,</t>
  </si>
  <si>
    <t>Inglish,</t>
  </si>
  <si>
    <t>Massa-Musiak,</t>
  </si>
  <si>
    <t>Elena</t>
  </si>
  <si>
    <t>Bailey,</t>
  </si>
  <si>
    <t>Jacoby,</t>
  </si>
  <si>
    <t>Bert</t>
  </si>
  <si>
    <t>Crimmings,</t>
  </si>
  <si>
    <t>Crane,</t>
  </si>
  <si>
    <t>Swartzfager,</t>
  </si>
  <si>
    <t>Clevenger,</t>
  </si>
  <si>
    <t>Reichardt,</t>
  </si>
  <si>
    <t>Morton,</t>
  </si>
  <si>
    <t>Sunstrum,</t>
  </si>
  <si>
    <t>Frownfelter,</t>
  </si>
  <si>
    <t>Milah</t>
  </si>
  <si>
    <t>Richter,</t>
  </si>
  <si>
    <t>Annette</t>
  </si>
  <si>
    <t>England,</t>
  </si>
  <si>
    <t>Yoko</t>
  </si>
  <si>
    <t>McLean,</t>
  </si>
  <si>
    <t>Tess</t>
  </si>
  <si>
    <t>Lane,</t>
  </si>
  <si>
    <t>Vonachen,</t>
  </si>
  <si>
    <t>Paige</t>
  </si>
  <si>
    <t>Kidwell,</t>
  </si>
  <si>
    <t>Betancourth,</t>
  </si>
  <si>
    <t>Henstrom,</t>
  </si>
  <si>
    <t>Pereira,</t>
  </si>
  <si>
    <t>Brown,</t>
  </si>
  <si>
    <t>Reasoner,</t>
  </si>
  <si>
    <t>Carver,</t>
  </si>
  <si>
    <t>Borror,</t>
  </si>
  <si>
    <t>Kaitlin</t>
  </si>
  <si>
    <t>Saad,</t>
  </si>
  <si>
    <t>Mohammad</t>
  </si>
  <si>
    <t>Paul,</t>
  </si>
  <si>
    <t>Trail,</t>
  </si>
  <si>
    <t>Benton,</t>
  </si>
  <si>
    <t>Bauman,</t>
  </si>
  <si>
    <t>Sheridan</t>
  </si>
  <si>
    <t>Bakula,</t>
  </si>
  <si>
    <t>Davis,</t>
  </si>
  <si>
    <t>Weiler,</t>
  </si>
  <si>
    <t>Schaaf,</t>
  </si>
  <si>
    <t>Gisele</t>
  </si>
  <si>
    <t>Sack,</t>
  </si>
  <si>
    <t>Myra</t>
  </si>
  <si>
    <t>Chenard,</t>
  </si>
  <si>
    <t>Williamson,</t>
  </si>
  <si>
    <t>Eleanor</t>
  </si>
  <si>
    <t>Dollas,</t>
  </si>
  <si>
    <t>Sprague,</t>
  </si>
  <si>
    <t>Michell,</t>
  </si>
  <si>
    <t>Datwyler,</t>
  </si>
  <si>
    <t>Mead,</t>
  </si>
  <si>
    <t>Kennedy,</t>
  </si>
  <si>
    <t>Mallory</t>
  </si>
  <si>
    <t>Czech,</t>
  </si>
  <si>
    <t>O'Brien,</t>
  </si>
  <si>
    <t>Bachman,</t>
  </si>
  <si>
    <t>Ariell</t>
  </si>
  <si>
    <t>Bednar,</t>
  </si>
  <si>
    <t>Daye,</t>
  </si>
  <si>
    <t>Clarke,</t>
  </si>
  <si>
    <t>Koren,</t>
  </si>
  <si>
    <t>Kuramoto,</t>
  </si>
  <si>
    <t>Lynn,</t>
  </si>
  <si>
    <t>Dierksen,</t>
  </si>
  <si>
    <t>Zoeller,</t>
  </si>
  <si>
    <t>Flesch,</t>
  </si>
  <si>
    <t>Maltby,</t>
  </si>
  <si>
    <t>Custance,</t>
  </si>
  <si>
    <t>Lucie</t>
  </si>
  <si>
    <t>Choi,</t>
  </si>
  <si>
    <t>Barnett,</t>
  </si>
  <si>
    <t>Carma</t>
  </si>
  <si>
    <t>Proulx,</t>
  </si>
  <si>
    <t>Lundine,</t>
  </si>
  <si>
    <t>Paullin,</t>
  </si>
  <si>
    <t>Delucia,</t>
  </si>
  <si>
    <t>Francesca</t>
  </si>
  <si>
    <t>Valentine,</t>
  </si>
  <si>
    <t>Mohara,</t>
  </si>
  <si>
    <t>Toshiyuki</t>
  </si>
  <si>
    <t>Fairbrother,</t>
  </si>
  <si>
    <t>Fagan,</t>
  </si>
  <si>
    <t>Toth,</t>
  </si>
  <si>
    <t>Guinn,</t>
  </si>
  <si>
    <t>Julee</t>
  </si>
  <si>
    <t>Diviney,</t>
  </si>
  <si>
    <t>Ciaran</t>
  </si>
  <si>
    <t>Marlatt,</t>
  </si>
  <si>
    <t>Ohler,</t>
  </si>
  <si>
    <t>Makie</t>
  </si>
  <si>
    <t>Mossler,</t>
  </si>
  <si>
    <t>Segall,</t>
  </si>
  <si>
    <t>Sprieser,</t>
  </si>
  <si>
    <t>Blanco,</t>
  </si>
  <si>
    <t>Antonio</t>
  </si>
  <si>
    <t>Sheptock,</t>
  </si>
  <si>
    <t>Tatiana</t>
  </si>
  <si>
    <t>Chruniak,</t>
  </si>
  <si>
    <t>Miller,</t>
  </si>
  <si>
    <t>Liisa</t>
  </si>
  <si>
    <t>Theis,</t>
  </si>
  <si>
    <t>Sadler,</t>
  </si>
  <si>
    <t>Maxwell</t>
  </si>
  <si>
    <t>Auger,</t>
  </si>
  <si>
    <t>Pascale</t>
  </si>
  <si>
    <t>Steadman,</t>
  </si>
  <si>
    <t>Becca</t>
  </si>
  <si>
    <t>McCarron,</t>
  </si>
  <si>
    <t>Roecker,</t>
  </si>
  <si>
    <t>Giumarra,</t>
  </si>
  <si>
    <t>Bower,</t>
  </si>
  <si>
    <t>Grant</t>
  </si>
  <si>
    <t>Sophia</t>
  </si>
  <si>
    <t>Capriccioso,</t>
  </si>
  <si>
    <t>Starbuck,</t>
  </si>
  <si>
    <t>Sam</t>
  </si>
  <si>
    <t>McMahon,</t>
  </si>
  <si>
    <t>Rissell,</t>
  </si>
  <si>
    <t>Ethan</t>
  </si>
  <si>
    <t>Kromroy,</t>
  </si>
  <si>
    <t>Manfredi,</t>
  </si>
  <si>
    <t>Manwaring,</t>
  </si>
  <si>
    <t>Kasey</t>
  </si>
  <si>
    <t>Tomaszewski,</t>
  </si>
  <si>
    <t>Gannon,</t>
  </si>
  <si>
    <t>Frye,</t>
  </si>
  <si>
    <t>Currier,</t>
  </si>
  <si>
    <t>Mary-Lynn</t>
  </si>
  <si>
    <t>Whittendale,</t>
  </si>
  <si>
    <t>Rixe,</t>
  </si>
  <si>
    <t>Ballon-Landa,</t>
  </si>
  <si>
    <t>Zaferos,</t>
  </si>
  <si>
    <t>Audrey</t>
  </si>
  <si>
    <t>Jacob</t>
  </si>
  <si>
    <t>Evans</t>
  </si>
  <si>
    <t>Marke,</t>
  </si>
  <si>
    <t>Samland,</t>
  </si>
  <si>
    <t>Shapiro,</t>
  </si>
  <si>
    <t>Snitzer,</t>
  </si>
  <si>
    <t>Herra</t>
  </si>
  <si>
    <t>Arroyo,</t>
  </si>
  <si>
    <t>Watters,</t>
  </si>
  <si>
    <t>Steele-Belkin,</t>
  </si>
  <si>
    <t>Christensen,</t>
  </si>
  <si>
    <t>Hodge,</t>
  </si>
  <si>
    <t>Rusterholz,</t>
  </si>
  <si>
    <t>Lafrance,</t>
  </si>
  <si>
    <t>Sylvain</t>
  </si>
  <si>
    <t>Hallis,</t>
  </si>
  <si>
    <t>Salowitz,</t>
  </si>
  <si>
    <t>Blake,</t>
  </si>
  <si>
    <t>Langerak,</t>
  </si>
  <si>
    <t>Bonilla,</t>
  </si>
  <si>
    <t>Veronica</t>
  </si>
  <si>
    <t>Ciabattoni,</t>
  </si>
  <si>
    <t>Warren</t>
  </si>
  <si>
    <t>Escanero</t>
  </si>
  <si>
    <t>Daniela</t>
  </si>
  <si>
    <t>Deirdre</t>
  </si>
  <si>
    <t>Osmark,</t>
  </si>
  <si>
    <t>Mathias</t>
  </si>
  <si>
    <t>Warwick,</t>
  </si>
  <si>
    <t>Kurt</t>
  </si>
  <si>
    <t>Magnuson,</t>
  </si>
  <si>
    <t>Marsh,</t>
  </si>
  <si>
    <t>Kari,</t>
  </si>
  <si>
    <t>Standiford,</t>
  </si>
  <si>
    <t>Sherwin,</t>
  </si>
  <si>
    <t>Alice</t>
  </si>
  <si>
    <t>Blekeli,</t>
  </si>
  <si>
    <t>Johannes</t>
  </si>
  <si>
    <t>Fiskerstand</t>
  </si>
  <si>
    <t>Vangampleare,</t>
  </si>
  <si>
    <t>Hiatt,</t>
  </si>
  <si>
    <t>Jon</t>
  </si>
  <si>
    <t>Tadesse,</t>
  </si>
  <si>
    <t>Fasil</t>
  </si>
  <si>
    <t>Jaswell,</t>
  </si>
  <si>
    <t>Phillips-Cook,</t>
  </si>
  <si>
    <t>Doron</t>
  </si>
  <si>
    <t>Katharina</t>
  </si>
  <si>
    <t>Desruisseaux,</t>
  </si>
  <si>
    <t>Carl</t>
  </si>
  <si>
    <t>Ripp,</t>
  </si>
  <si>
    <t>Harris,</t>
  </si>
  <si>
    <t>Shafer,</t>
  </si>
  <si>
    <t>Hemesath,</t>
  </si>
  <si>
    <t>Vinci,</t>
  </si>
  <si>
    <t>Diamond-Husmann,</t>
  </si>
  <si>
    <t>Soto,</t>
  </si>
  <si>
    <t>Juan</t>
  </si>
  <si>
    <t>Carlos</t>
  </si>
  <si>
    <t>Patrick,</t>
  </si>
  <si>
    <t>Dacko,</t>
  </si>
  <si>
    <t>Glassey,</t>
  </si>
  <si>
    <t>Frechette,</t>
  </si>
  <si>
    <t>Benitez,</t>
  </si>
  <si>
    <t>Braulio</t>
  </si>
  <si>
    <t>Gauthier,</t>
  </si>
  <si>
    <t>Anne-Marie</t>
  </si>
  <si>
    <t>Fazioli,</t>
  </si>
  <si>
    <t>Yuki</t>
  </si>
  <si>
    <t>Dannenhauer,</t>
  </si>
  <si>
    <t>Rafer</t>
  </si>
  <si>
    <t>McComb,</t>
  </si>
  <si>
    <t>Erynn</t>
  </si>
  <si>
    <t>Sambasivam,</t>
  </si>
  <si>
    <t>Mahesh</t>
  </si>
  <si>
    <t>Maina,</t>
  </si>
  <si>
    <t>Keshian,</t>
  </si>
  <si>
    <t>Maas,</t>
  </si>
  <si>
    <t>Sinasac,</t>
  </si>
  <si>
    <t>Kamp,</t>
  </si>
  <si>
    <t>Fritz</t>
  </si>
  <si>
    <t>Ruffo,</t>
  </si>
  <si>
    <t>Long,</t>
  </si>
  <si>
    <t>Rohde,</t>
  </si>
  <si>
    <t>Bonzi,</t>
  </si>
  <si>
    <t>Moore,</t>
  </si>
  <si>
    <t>McGrane,</t>
  </si>
  <si>
    <t>Stepnowski,</t>
  </si>
  <si>
    <t>Roxanne</t>
  </si>
  <si>
    <t>Merkle,</t>
  </si>
  <si>
    <t>Israel</t>
  </si>
  <si>
    <t>Samalya</t>
  </si>
  <si>
    <t>Vigneron,</t>
  </si>
  <si>
    <t>Mucci,</t>
  </si>
  <si>
    <t>Alicia</t>
  </si>
  <si>
    <t>MacDonald,</t>
  </si>
  <si>
    <t>Deng,</t>
  </si>
  <si>
    <t>Guomin</t>
  </si>
  <si>
    <t>Mata,</t>
  </si>
  <si>
    <t>Javier</t>
  </si>
  <si>
    <t>Strickland,</t>
  </si>
  <si>
    <t>Cheney,</t>
  </si>
  <si>
    <t>Godoy,</t>
  </si>
  <si>
    <t>Martha</t>
  </si>
  <si>
    <t>Patricia</t>
  </si>
  <si>
    <t>Rider,</t>
  </si>
  <si>
    <t>Walters,</t>
  </si>
  <si>
    <t>Eddie</t>
  </si>
  <si>
    <t>Leboeuf,</t>
  </si>
  <si>
    <t>Scheibel,</t>
  </si>
  <si>
    <t>Ritter,</t>
  </si>
  <si>
    <t>Pretot,</t>
  </si>
  <si>
    <t>Svetlana</t>
  </si>
  <si>
    <t>Willsey,</t>
  </si>
  <si>
    <t>Roach,</t>
  </si>
  <si>
    <t>Jacobsen,</t>
  </si>
  <si>
    <t>Torrey</t>
  </si>
  <si>
    <t>O'Hora,</t>
  </si>
  <si>
    <t>Amato,</t>
  </si>
  <si>
    <t>Wegner,</t>
  </si>
  <si>
    <t>Lana</t>
  </si>
  <si>
    <t>Bokun,</t>
  </si>
  <si>
    <t>Ainsley,</t>
  </si>
  <si>
    <t>Overpeck,</t>
  </si>
  <si>
    <t>Levine,</t>
  </si>
  <si>
    <t>Annie</t>
  </si>
  <si>
    <t>Jean,</t>
  </si>
  <si>
    <t>Wild,</t>
  </si>
  <si>
    <t>Tabor,</t>
  </si>
  <si>
    <t>Steffen,</t>
  </si>
  <si>
    <t>Tadich,</t>
  </si>
  <si>
    <t>Katarina</t>
  </si>
  <si>
    <t>Christenson,</t>
  </si>
  <si>
    <t>B.j.</t>
  </si>
  <si>
    <t>Shell,</t>
  </si>
  <si>
    <t>Rao,</t>
  </si>
  <si>
    <t>Hunter</t>
  </si>
  <si>
    <t>Gomez,</t>
  </si>
  <si>
    <t>Hemingway,</t>
  </si>
  <si>
    <t>Rodney</t>
  </si>
  <si>
    <t>Pett,</t>
  </si>
  <si>
    <t>Meingast,</t>
  </si>
  <si>
    <t>Maximilian</t>
  </si>
  <si>
    <t>McCarthy,</t>
  </si>
  <si>
    <t>Boyle,</t>
  </si>
  <si>
    <t>Gundersen,</t>
  </si>
  <si>
    <t>Eirik</t>
  </si>
  <si>
    <t>Wolswinkel,</t>
  </si>
  <si>
    <t>Rik</t>
  </si>
  <si>
    <t>Bomberger,</t>
  </si>
  <si>
    <t>Lapierre,</t>
  </si>
  <si>
    <t>Yannick</t>
  </si>
  <si>
    <t>Beaty,</t>
  </si>
  <si>
    <t>Hammer,</t>
  </si>
  <si>
    <t>Randolph,</t>
  </si>
  <si>
    <t>Masterson,</t>
  </si>
  <si>
    <t>Friess,</t>
  </si>
  <si>
    <t>Thibaud</t>
  </si>
  <si>
    <t>Mantoni,</t>
  </si>
  <si>
    <t>Bodeen,</t>
  </si>
  <si>
    <t>Gretchen</t>
  </si>
  <si>
    <t>McPherson,</t>
  </si>
  <si>
    <t>Martina</t>
  </si>
  <si>
    <t>Palko,</t>
  </si>
  <si>
    <t>Breathitt,</t>
  </si>
  <si>
    <t>Evora,</t>
  </si>
  <si>
    <t>Fischer,</t>
  </si>
  <si>
    <t>Saeger</t>
  </si>
  <si>
    <t>Deba,</t>
  </si>
  <si>
    <t>Buzunesh</t>
  </si>
  <si>
    <t>Leloup,</t>
  </si>
  <si>
    <t>Mirte</t>
  </si>
  <si>
    <t>Labare,</t>
  </si>
  <si>
    <t>Arouca,</t>
  </si>
  <si>
    <t>Kerry</t>
  </si>
  <si>
    <t>Reese,</t>
  </si>
  <si>
    <t>McCloskey,</t>
  </si>
  <si>
    <t>Tedsen,</t>
  </si>
  <si>
    <t>Koehlinger,</t>
  </si>
  <si>
    <t>Pielechaty,</t>
  </si>
  <si>
    <t>Korhonen,</t>
  </si>
  <si>
    <t>Kehr,</t>
  </si>
  <si>
    <t>Gina</t>
  </si>
  <si>
    <t>Montagna,</t>
  </si>
  <si>
    <t>Dino</t>
  </si>
  <si>
    <t>M√ºller,</t>
  </si>
  <si>
    <t>Jan</t>
  </si>
  <si>
    <t>Sidebottom,</t>
  </si>
  <si>
    <t>Morris,</t>
  </si>
  <si>
    <t>Chaisson,</t>
  </si>
  <si>
    <t>Stan</t>
  </si>
  <si>
    <t>Pigott,</t>
  </si>
  <si>
    <t>Cochrane,</t>
  </si>
  <si>
    <t>Krysta</t>
  </si>
  <si>
    <t>Armitage,</t>
  </si>
  <si>
    <t>Natascia</t>
  </si>
  <si>
    <t>Shen,</t>
  </si>
  <si>
    <t>O'Kelly,</t>
  </si>
  <si>
    <t>Huff,</t>
  </si>
  <si>
    <t>Dye,</t>
  </si>
  <si>
    <t>Willard,</t>
  </si>
  <si>
    <t>D'Addario,</t>
  </si>
  <si>
    <t>Buchanan,</t>
  </si>
  <si>
    <t>Angie</t>
  </si>
  <si>
    <t>Waterson,</t>
  </si>
  <si>
    <t>Piras,</t>
  </si>
  <si>
    <t>Sabina</t>
  </si>
  <si>
    <t>U</t>
  </si>
  <si>
    <t>Landberg,</t>
  </si>
  <si>
    <t>Flynn,</t>
  </si>
  <si>
    <t>Jackie</t>
  </si>
  <si>
    <t>Bishop,</t>
  </si>
  <si>
    <t>Devitt,</t>
  </si>
  <si>
    <t>Cindy</t>
  </si>
  <si>
    <t>Tramontano,</t>
  </si>
  <si>
    <t>Gennaro</t>
  </si>
  <si>
    <t>Davidson,</t>
  </si>
  <si>
    <t>Terry</t>
  </si>
  <si>
    <t>McGraw,</t>
  </si>
  <si>
    <t>Keara</t>
  </si>
  <si>
    <t>Fellure,</t>
  </si>
  <si>
    <t>Sanford,</t>
  </si>
  <si>
    <t>Katena</t>
  </si>
  <si>
    <t>Wrenn,</t>
  </si>
  <si>
    <t>Bean</t>
  </si>
  <si>
    <t>Lindsey,</t>
  </si>
  <si>
    <t>Krueger,</t>
  </si>
  <si>
    <t>Jan-Patrick</t>
  </si>
  <si>
    <t>Babler,</t>
  </si>
  <si>
    <t>Brezenski,</t>
  </si>
  <si>
    <t>Marschner,</t>
  </si>
  <si>
    <t>Marguerite</t>
  </si>
  <si>
    <t>Travis</t>
  </si>
  <si>
    <t>Montez,</t>
  </si>
  <si>
    <t>Ricky</t>
  </si>
  <si>
    <t>Hurt,</t>
  </si>
  <si>
    <t>Garey,</t>
  </si>
  <si>
    <t>Reddy,</t>
  </si>
  <si>
    <t>Mueller,</t>
  </si>
  <si>
    <t>Julia,</t>
  </si>
  <si>
    <t>Uribe,</t>
  </si>
  <si>
    <t>Hand,</t>
  </si>
  <si>
    <t>Mac-Thiong,</t>
  </si>
  <si>
    <t>Jean-Marc</t>
  </si>
  <si>
    <t>Steidl,</t>
  </si>
  <si>
    <t>Ulrich</t>
  </si>
  <si>
    <t>Alderfer,</t>
  </si>
  <si>
    <t>Hannah</t>
  </si>
  <si>
    <t>Ryland,</t>
  </si>
  <si>
    <t>Bethea,</t>
  </si>
  <si>
    <t>Blois,</t>
  </si>
  <si>
    <t>Dayton,</t>
  </si>
  <si>
    <t>Cloud,</t>
  </si>
  <si>
    <t>Shantel</t>
  </si>
  <si>
    <t>Betournay,</t>
  </si>
  <si>
    <t>Temple,</t>
  </si>
  <si>
    <t>Rollie,</t>
  </si>
  <si>
    <t>Roybal,</t>
  </si>
  <si>
    <t>Robyn</t>
  </si>
  <si>
    <t>Turgeon,</t>
  </si>
  <si>
    <t>Deingenis,</t>
  </si>
  <si>
    <t>Gibbs,</t>
  </si>
  <si>
    <t>Trom,</t>
  </si>
  <si>
    <t>Sizer,</t>
  </si>
  <si>
    <t>Ellison,</t>
  </si>
  <si>
    <t>Katelyn</t>
  </si>
  <si>
    <t>Sulkowski,</t>
  </si>
  <si>
    <t>Maringo,</t>
  </si>
  <si>
    <t>Lattin,</t>
  </si>
  <si>
    <t>Deblander,</t>
  </si>
  <si>
    <t>O'Neill,</t>
  </si>
  <si>
    <t>Eoghan</t>
  </si>
  <si>
    <t>Stanek,</t>
  </si>
  <si>
    <t>Kassie</t>
  </si>
  <si>
    <t>Manning,</t>
  </si>
  <si>
    <t>Barrera</t>
  </si>
  <si>
    <t>Munoz,</t>
  </si>
  <si>
    <t>Ruben</t>
  </si>
  <si>
    <t>Dario</t>
  </si>
  <si>
    <t>Schauwaers,</t>
  </si>
  <si>
    <t>Hartman,</t>
  </si>
  <si>
    <t>Fire,</t>
  </si>
  <si>
    <t>Waliaula,</t>
  </si>
  <si>
    <t>Blackshear,</t>
  </si>
  <si>
    <t>Nettik,</t>
  </si>
  <si>
    <t>Jenni</t>
  </si>
  <si>
    <t>Novales,</t>
  </si>
  <si>
    <t>Estuardo</t>
  </si>
  <si>
    <t>Rosauer,</t>
  </si>
  <si>
    <t>Ryder,</t>
  </si>
  <si>
    <t>Larsen,</t>
  </si>
  <si>
    <t>W√¶ver</t>
  </si>
  <si>
    <t>Keate,</t>
  </si>
  <si>
    <t>Starosciak,</t>
  </si>
  <si>
    <t>Kaye</t>
  </si>
  <si>
    <t>Henderson,</t>
  </si>
  <si>
    <t>Winkelman,</t>
  </si>
  <si>
    <t>Laurie</t>
  </si>
  <si>
    <t>Monette,</t>
  </si>
  <si>
    <t>Kramer,</t>
  </si>
  <si>
    <t>Shelby</t>
  </si>
  <si>
    <t>Goldstein,</t>
  </si>
  <si>
    <t>Leticia</t>
  </si>
  <si>
    <t>Barrett,</t>
  </si>
  <si>
    <t>Irwin,</t>
  </si>
  <si>
    <t>Glenn,</t>
  </si>
  <si>
    <t>O'Meara,</t>
  </si>
  <si>
    <t>Budrow,</t>
  </si>
  <si>
    <t>Nelly</t>
  </si>
  <si>
    <t>Douglas,</t>
  </si>
  <si>
    <t>Tecklenburg,</t>
  </si>
  <si>
    <t>Schenck,</t>
  </si>
  <si>
    <t>Blendell,</t>
  </si>
  <si>
    <t>Parodi,</t>
  </si>
  <si>
    <t>Katharine</t>
  </si>
  <si>
    <t>Morgan,</t>
  </si>
  <si>
    <t>Linden,</t>
  </si>
  <si>
    <t>Desiree</t>
  </si>
  <si>
    <t>Horning,</t>
  </si>
  <si>
    <t>Goode,</t>
  </si>
  <si>
    <t>Doden,</t>
  </si>
  <si>
    <t>Groff,</t>
  </si>
  <si>
    <t>Kuehler,</t>
  </si>
  <si>
    <t>Gibby,</t>
  </si>
  <si>
    <t>Busa,</t>
  </si>
  <si>
    <t>Moyo,</t>
  </si>
  <si>
    <t>Arturo</t>
  </si>
  <si>
    <t>Ketil</t>
  </si>
  <si>
    <t>Christi</t>
  </si>
  <si>
    <t>Ash,</t>
  </si>
  <si>
    <t>Do</t>
  </si>
  <si>
    <t>Prado,</t>
  </si>
  <si>
    <t>Edivaldo</t>
  </si>
  <si>
    <t>Eve</t>
  </si>
  <si>
    <t>Dever,</t>
  </si>
  <si>
    <t>Shaun</t>
  </si>
  <si>
    <t>Horvath,</t>
  </si>
  <si>
    <t>Adrian</t>
  </si>
  <si>
    <t>Danner,</t>
  </si>
  <si>
    <t>Weiss,</t>
  </si>
  <si>
    <t>D'Andrea,</t>
  </si>
  <si>
    <t>Olesky,</t>
  </si>
  <si>
    <t>Whitcraft,</t>
  </si>
  <si>
    <t>Salazar,</t>
  </si>
  <si>
    <t>Johann</t>
  </si>
  <si>
    <t>Todd,</t>
  </si>
  <si>
    <t>Robin</t>
  </si>
  <si>
    <t>Pond,</t>
  </si>
  <si>
    <t>Egan,</t>
  </si>
  <si>
    <t>Bersani,</t>
  </si>
  <si>
    <t>Creech,</t>
  </si>
  <si>
    <t>Byron</t>
  </si>
  <si>
    <t>Sudres,</t>
  </si>
  <si>
    <t>Carine</t>
  </si>
  <si>
    <t>Couture,</t>
  </si>
  <si>
    <t>Patronick,</t>
  </si>
  <si>
    <t>Depasquale,</t>
  </si>
  <si>
    <t>Lavergne,</t>
  </si>
  <si>
    <t>Kawakami,</t>
  </si>
  <si>
    <t>Ayako</t>
  </si>
  <si>
    <t>Gonsalves,</t>
  </si>
  <si>
    <t>Emilee</t>
  </si>
  <si>
    <t>Aure,</t>
  </si>
  <si>
    <t>Annemarie</t>
  </si>
  <si>
    <t>Mattingly,</t>
  </si>
  <si>
    <t>Stelpflug,</t>
  </si>
  <si>
    <t>Antognini,</t>
  </si>
  <si>
    <t>Mauricio</t>
  </si>
  <si>
    <t>Condon,</t>
  </si>
  <si>
    <t>Kieran</t>
  </si>
  <si>
    <t>Magato,</t>
  </si>
  <si>
    <t>Dombrowski,</t>
  </si>
  <si>
    <t>Zeke</t>
  </si>
  <si>
    <t>Ohara,</t>
  </si>
  <si>
    <t>Chip</t>
  </si>
  <si>
    <t>Cifuentes</t>
  </si>
  <si>
    <t>Fetiva,</t>
  </si>
  <si>
    <t>Angel</t>
  </si>
  <si>
    <t>Keno,</t>
  </si>
  <si>
    <t>Bruce,</t>
  </si>
  <si>
    <t>Lorch,</t>
  </si>
  <si>
    <t>Sullivan,</t>
  </si>
  <si>
    <t>Millicent</t>
  </si>
  <si>
    <t>Cave,</t>
  </si>
  <si>
    <t>Gudenkauf,</t>
  </si>
  <si>
    <t>Holley,</t>
  </si>
  <si>
    <t>Kemble,</t>
  </si>
  <si>
    <t>Traci</t>
  </si>
  <si>
    <t>Bentley,</t>
  </si>
  <si>
    <t>Logan</t>
  </si>
  <si>
    <t>Bellucci,</t>
  </si>
  <si>
    <t>Collins,</t>
  </si>
  <si>
    <t>Gillman,</t>
  </si>
  <si>
    <t>West,</t>
  </si>
  <si>
    <t>Leigh</t>
  </si>
  <si>
    <t>Chida,</t>
  </si>
  <si>
    <t>Yosuke</t>
  </si>
  <si>
    <t>Reisenauer,</t>
  </si>
  <si>
    <t>Rosenberg-Wohl,</t>
  </si>
  <si>
    <t>Theriault,</t>
  </si>
  <si>
    <t>Jodi</t>
  </si>
  <si>
    <t>Manuel,</t>
  </si>
  <si>
    <t>Demko,</t>
  </si>
  <si>
    <t>Misti</t>
  </si>
  <si>
    <t>Battaglia,</t>
  </si>
  <si>
    <t>Follo,</t>
  </si>
  <si>
    <t>Barana,</t>
  </si>
  <si>
    <t>Lysaght,</t>
  </si>
  <si>
    <t>Chalmers,</t>
  </si>
  <si>
    <t>MacPherson,</t>
  </si>
  <si>
    <t>Delfidio,</t>
  </si>
  <si>
    <t>Susan</t>
  </si>
  <si>
    <t>Cummings,</t>
  </si>
  <si>
    <t>Schroegel,</t>
  </si>
  <si>
    <t>Casey,</t>
  </si>
  <si>
    <t>Randall,</t>
  </si>
  <si>
    <t>Doyon,</t>
  </si>
  <si>
    <t>Sankey,</t>
  </si>
  <si>
    <t>Stilgenbauer,</t>
  </si>
  <si>
    <t>Jaskiewicz,</t>
  </si>
  <si>
    <t>Deppen,</t>
  </si>
  <si>
    <t>Hine,</t>
  </si>
  <si>
    <t>Mathews,</t>
  </si>
  <si>
    <t>Yabu,</t>
  </si>
  <si>
    <t>Yoshie</t>
  </si>
  <si>
    <t>Strang,</t>
  </si>
  <si>
    <t>Frank,</t>
  </si>
  <si>
    <t>Shanley,</t>
  </si>
  <si>
    <t>Mancebo</t>
  </si>
  <si>
    <t>Keehan,</t>
  </si>
  <si>
    <t>Jake</t>
  </si>
  <si>
    <t>Mahaney,</t>
  </si>
  <si>
    <t>Nolan,</t>
  </si>
  <si>
    <t>Sobrino,</t>
  </si>
  <si>
    <t>Gennaro,</t>
  </si>
  <si>
    <t>Mayer,</t>
  </si>
  <si>
    <t>Becker,</t>
  </si>
  <si>
    <t>Ezra</t>
  </si>
  <si>
    <t>Platt,</t>
  </si>
  <si>
    <t>Brodeur,</t>
  </si>
  <si>
    <t>Fanny</t>
  </si>
  <si>
    <t>Knight</t>
  </si>
  <si>
    <t>Pech,</t>
  </si>
  <si>
    <t>Jubinski,</t>
  </si>
  <si>
    <t>Catherine</t>
  </si>
  <si>
    <t>Wall,</t>
  </si>
  <si>
    <t>McKay,</t>
  </si>
  <si>
    <t>Janel</t>
  </si>
  <si>
    <t>Oh,</t>
  </si>
  <si>
    <t>Yann</t>
  </si>
  <si>
    <t>Kai</t>
  </si>
  <si>
    <t>Kessell,</t>
  </si>
  <si>
    <t>Hidalgo</t>
  </si>
  <si>
    <t>Zambrano,</t>
  </si>
  <si>
    <t>Caprario,</t>
  </si>
  <si>
    <t>Wong,</t>
  </si>
  <si>
    <t>Marina</t>
  </si>
  <si>
    <t>Lea,</t>
  </si>
  <si>
    <t>Ross</t>
  </si>
  <si>
    <t>Quigley,</t>
  </si>
  <si>
    <t>Aoife</t>
  </si>
  <si>
    <t>Korir,</t>
  </si>
  <si>
    <t>Downs,</t>
  </si>
  <si>
    <t>Barry</t>
  </si>
  <si>
    <t>Zywek,</t>
  </si>
  <si>
    <t>Maciej</t>
  </si>
  <si>
    <t>Faulkner,</t>
  </si>
  <si>
    <t>Jerry</t>
  </si>
  <si>
    <t>Erspamer,</t>
  </si>
  <si>
    <t>Cathi</t>
  </si>
  <si>
    <t>Addison,</t>
  </si>
  <si>
    <t>Wu,</t>
  </si>
  <si>
    <t>Liang</t>
  </si>
  <si>
    <t>Lexy</t>
  </si>
  <si>
    <t>Bosl,</t>
  </si>
  <si>
    <t>Goldberg,</t>
  </si>
  <si>
    <t>Johnston,</t>
  </si>
  <si>
    <t>Rochelle</t>
  </si>
  <si>
    <t>Keating,</t>
  </si>
  <si>
    <t>Paula</t>
  </si>
  <si>
    <t>Duhon,</t>
  </si>
  <si>
    <t>Madeline</t>
  </si>
  <si>
    <t>Briseno,</t>
  </si>
  <si>
    <t>Isabel</t>
  </si>
  <si>
    <t>Besse,</t>
  </si>
  <si>
    <t>Arthur</t>
  </si>
  <si>
    <t>Shillings,</t>
  </si>
  <si>
    <t>Tate,</t>
  </si>
  <si>
    <t>Sachiko</t>
  </si>
  <si>
    <t>Hengoed,</t>
  </si>
  <si>
    <t>Aller,</t>
  </si>
  <si>
    <t>Pisano,</t>
  </si>
  <si>
    <t>Sanca,</t>
  </si>
  <si>
    <t>Bond,</t>
  </si>
  <si>
    <t>Carron,</t>
  </si>
  <si>
    <t>Ellwanger,</t>
  </si>
  <si>
    <t>Chatham</t>
  </si>
  <si>
    <t>Hanson,</t>
  </si>
  <si>
    <t>Derek</t>
  </si>
  <si>
    <t>Kalvin</t>
  </si>
  <si>
    <t>Counts,</t>
  </si>
  <si>
    <t>Carson,</t>
  </si>
  <si>
    <t>Barbara</t>
  </si>
  <si>
    <t>Haines,</t>
  </si>
  <si>
    <t>Schnabel,</t>
  </si>
  <si>
    <t>Sunny</t>
  </si>
  <si>
    <t>Simon,</t>
  </si>
  <si>
    <t>Arciniaga,</t>
  </si>
  <si>
    <t>Lizak,</t>
  </si>
  <si>
    <t>Marisa</t>
  </si>
  <si>
    <t>Howery,</t>
  </si>
  <si>
    <t>Crain,</t>
  </si>
  <si>
    <t>Hotze,</t>
  </si>
  <si>
    <t>Chauhan,</t>
  </si>
  <si>
    <t>Raab,</t>
  </si>
  <si>
    <t>Lyazid</t>
  </si>
  <si>
    <t>McKown,</t>
  </si>
  <si>
    <t>Schiemann,</t>
  </si>
  <si>
    <t>Cress,</t>
  </si>
  <si>
    <t>Mawson,</t>
  </si>
  <si>
    <t>Leif</t>
  </si>
  <si>
    <t>Wigginton,</t>
  </si>
  <si>
    <t>Bo</t>
  </si>
  <si>
    <t>Schroeder,</t>
  </si>
  <si>
    <t>Leonard,</t>
  </si>
  <si>
    <t>Lynne</t>
  </si>
  <si>
    <t>Tissue,</t>
  </si>
  <si>
    <t>Wood,</t>
  </si>
  <si>
    <t>Denny,</t>
  </si>
  <si>
    <t>Testa,</t>
  </si>
  <si>
    <t>Allie</t>
  </si>
  <si>
    <t>Buchholtz,</t>
  </si>
  <si>
    <t>Trasi</t>
  </si>
  <si>
    <t>Hoyt,</t>
  </si>
  <si>
    <t>Cabada,</t>
  </si>
  <si>
    <t>Fernando</t>
  </si>
  <si>
    <t>Lobaciute,</t>
  </si>
  <si>
    <t>Ieva</t>
  </si>
  <si>
    <t>Oberndorfer,</t>
  </si>
  <si>
    <t>Hetherington,</t>
  </si>
  <si>
    <t>Murray,</t>
  </si>
  <si>
    <t>Higden,</t>
  </si>
  <si>
    <t>Rediger,</t>
  </si>
  <si>
    <t>Kris</t>
  </si>
  <si>
    <t>Alden</t>
  </si>
  <si>
    <t>Grise,</t>
  </si>
  <si>
    <t>Skildum,</t>
  </si>
  <si>
    <t>Z.</t>
  </si>
  <si>
    <t>Fischer-Daly,</t>
  </si>
  <si>
    <t>Fan</t>
  </si>
  <si>
    <t>Rudder,</t>
  </si>
  <si>
    <t>Cartmell,</t>
  </si>
  <si>
    <t>Troland,</t>
  </si>
  <si>
    <t>Berg,</t>
  </si>
  <si>
    <t>Engtrakul,</t>
  </si>
  <si>
    <t>Chaiwat</t>
  </si>
  <si>
    <t>Leonhardt,</t>
  </si>
  <si>
    <t>Kerri</t>
  </si>
  <si>
    <t>Goetz,</t>
  </si>
  <si>
    <t>Cacharelis,</t>
  </si>
  <si>
    <t>Kariolis,</t>
  </si>
  <si>
    <t>Vasilis</t>
  </si>
  <si>
    <t>Zelwin,</t>
  </si>
  <si>
    <t>Bannon,</t>
  </si>
  <si>
    <t>Annika</t>
  </si>
  <si>
    <t>Vetter,</t>
  </si>
  <si>
    <t>Jablonski,</t>
  </si>
  <si>
    <t>Jakubowitch,</t>
  </si>
  <si>
    <t>Altshuler,</t>
  </si>
  <si>
    <t>Ugarte,</t>
  </si>
  <si>
    <t>Patricio</t>
  </si>
  <si>
    <t>Tusso,</t>
  </si>
  <si>
    <t>Landry,</t>
  </si>
  <si>
    <t>McDonald,</t>
  </si>
  <si>
    <t>Larue,</t>
  </si>
  <si>
    <t>Bob</t>
  </si>
  <si>
    <t>Marcus,</t>
  </si>
  <si>
    <t>Daubert,</t>
  </si>
  <si>
    <t>Close,</t>
  </si>
  <si>
    <t>Roels,</t>
  </si>
  <si>
    <t>Guillaume</t>
  </si>
  <si>
    <t>Venosky,</t>
  </si>
  <si>
    <t>Kaylee</t>
  </si>
  <si>
    <t>Gosnell,</t>
  </si>
  <si>
    <t>Chewning-Kulick,</t>
  </si>
  <si>
    <t>Manion,</t>
  </si>
  <si>
    <t>Linda</t>
  </si>
  <si>
    <t>Owen</t>
  </si>
  <si>
    <t>Leblanc,</t>
  </si>
  <si>
    <t>Jacqueline</t>
  </si>
  <si>
    <t>Yefeng</t>
  </si>
  <si>
    <t>Goldsby,</t>
  </si>
  <si>
    <t>Ken</t>
  </si>
  <si>
    <t>Mahoney,</t>
  </si>
  <si>
    <t>McCracken,</t>
  </si>
  <si>
    <t>Noel</t>
  </si>
  <si>
    <t>Spewak,</t>
  </si>
  <si>
    <t>Cottini,</t>
  </si>
  <si>
    <t>Federica</t>
  </si>
  <si>
    <t>Findlay,</t>
  </si>
  <si>
    <t>Strasburg,</t>
  </si>
  <si>
    <t>Randall</t>
  </si>
  <si>
    <t>Deeter,</t>
  </si>
  <si>
    <t>Arpin,</t>
  </si>
  <si>
    <t>Azelie</t>
  </si>
  <si>
    <t>Schoeneck,</t>
  </si>
  <si>
    <t>Willits,</t>
  </si>
  <si>
    <t>Syring,</t>
  </si>
  <si>
    <t>Strike,</t>
  </si>
  <si>
    <t>Hennigar,</t>
  </si>
  <si>
    <t>May,</t>
  </si>
  <si>
    <t>Metcalf,</t>
  </si>
  <si>
    <t>Tiska,</t>
  </si>
  <si>
    <t>Fairley,</t>
  </si>
  <si>
    <t>Kim</t>
  </si>
  <si>
    <t>Piasta,</t>
  </si>
  <si>
    <t>Dariusz</t>
  </si>
  <si>
    <t>Olsen,</t>
  </si>
  <si>
    <t>Jesus,</t>
  </si>
  <si>
    <t>Guadalupe</t>
  </si>
  <si>
    <t>Bartus,</t>
  </si>
  <si>
    <t>Stevens,</t>
  </si>
  <si>
    <t>Rich,</t>
  </si>
  <si>
    <t>Holly</t>
  </si>
  <si>
    <t>Fayter,</t>
  </si>
  <si>
    <t>Parise,</t>
  </si>
  <si>
    <t>Andrew,</t>
  </si>
  <si>
    <t>Tricity</t>
  </si>
  <si>
    <t>Gryniewicz,</t>
  </si>
  <si>
    <t>Panora,</t>
  </si>
  <si>
    <t>Lambe,</t>
  </si>
  <si>
    <t>Casto,</t>
  </si>
  <si>
    <t>Trent</t>
  </si>
  <si>
    <t>Martelli,</t>
  </si>
  <si>
    <t>Naskret,</t>
  </si>
  <si>
    <t>Sawomir</t>
  </si>
  <si>
    <t>Micah</t>
  </si>
  <si>
    <t>Maloney,</t>
  </si>
  <si>
    <t>Amherst,</t>
  </si>
  <si>
    <t>Austen</t>
  </si>
  <si>
    <t>Johansen,</t>
  </si>
  <si>
    <t>Tory</t>
  </si>
  <si>
    <t>Chandler,</t>
  </si>
  <si>
    <t>Kaufmann,</t>
  </si>
  <si>
    <t>Barnes-Zurkinden,</t>
  </si>
  <si>
    <t>Flo</t>
  </si>
  <si>
    <t>Wolter,</t>
  </si>
  <si>
    <t>Pearson,</t>
  </si>
  <si>
    <t>Anabel</t>
  </si>
  <si>
    <t>Leon,</t>
  </si>
  <si>
    <t>Marriott,</t>
  </si>
  <si>
    <t>Wilkins,</t>
  </si>
  <si>
    <t>Saiter,</t>
  </si>
  <si>
    <t>Winrow,</t>
  </si>
  <si>
    <t>Marcia</t>
  </si>
  <si>
    <t>Gries,</t>
  </si>
  <si>
    <t>Strohschein,</t>
  </si>
  <si>
    <t>Coogan,</t>
  </si>
  <si>
    <t>Gagnon,</t>
  </si>
  <si>
    <t>Isabelle</t>
  </si>
  <si>
    <t>Brian,</t>
  </si>
  <si>
    <t>Fox,</t>
  </si>
  <si>
    <t>Traver,</t>
  </si>
  <si>
    <t>Quick,</t>
  </si>
  <si>
    <t>Theriot,</t>
  </si>
  <si>
    <t>Michalis,</t>
  </si>
  <si>
    <t>Pilar</t>
  </si>
  <si>
    <t>Tjong</t>
  </si>
  <si>
    <t>Clemons,</t>
  </si>
  <si>
    <t>Christie</t>
  </si>
  <si>
    <t>Palma,</t>
  </si>
  <si>
    <t>Takaoka,</t>
  </si>
  <si>
    <t>Masahiro</t>
  </si>
  <si>
    <t>Sherman,</t>
  </si>
  <si>
    <t>Andre,</t>
  </si>
  <si>
    <t>Switt,</t>
  </si>
  <si>
    <t>Britt</t>
  </si>
  <si>
    <t>Joyce</t>
  </si>
  <si>
    <t>Whitbeck,</t>
  </si>
  <si>
    <t>Auer,</t>
  </si>
  <si>
    <t>Attar,</t>
  </si>
  <si>
    <t>Misuraca,</t>
  </si>
  <si>
    <t>Spannaus,</t>
  </si>
  <si>
    <t>Michaela</t>
  </si>
  <si>
    <t>Tarbiat,</t>
  </si>
  <si>
    <t>Shalaleh</t>
  </si>
  <si>
    <t>Pulkkinen,</t>
  </si>
  <si>
    <t>Trnovcova,</t>
  </si>
  <si>
    <t>Zuzana</t>
  </si>
  <si>
    <t>Anthony,</t>
  </si>
  <si>
    <t>Hetrick,</t>
  </si>
  <si>
    <t>Stern,</t>
  </si>
  <si>
    <t>Newman,</t>
  </si>
  <si>
    <t>Nadine</t>
  </si>
  <si>
    <t>Mone,</t>
  </si>
  <si>
    <t>Powers,</t>
  </si>
  <si>
    <t>Ulery,</t>
  </si>
  <si>
    <t>Cho,</t>
  </si>
  <si>
    <t>Youngseong</t>
  </si>
  <si>
    <t>Reumann,</t>
  </si>
  <si>
    <t>Cooper,</t>
  </si>
  <si>
    <t>Cichon,</t>
  </si>
  <si>
    <t>Maroevic,</t>
  </si>
  <si>
    <t>Janez</t>
  </si>
  <si>
    <t>Schulz,</t>
  </si>
  <si>
    <t>Capriolo,</t>
  </si>
  <si>
    <t>Borleis,</t>
  </si>
  <si>
    <t>Conrad,</t>
  </si>
  <si>
    <t>Karakoyunlu,</t>
  </si>
  <si>
    <t>Deniz</t>
  </si>
  <si>
    <t>Desrosiers,</t>
  </si>
  <si>
    <t>Shabot</t>
  </si>
  <si>
    <t>Marcos,</t>
  </si>
  <si>
    <t>Alfredo</t>
  </si>
  <si>
    <t>Comment,</t>
  </si>
  <si>
    <t>Moss,</t>
  </si>
  <si>
    <t>Troy</t>
  </si>
  <si>
    <t>Clash,</t>
  </si>
  <si>
    <t>Blankenship,</t>
  </si>
  <si>
    <t>Lloyd,</t>
  </si>
  <si>
    <t>Jennefer</t>
  </si>
  <si>
    <t>Kong,</t>
  </si>
  <si>
    <t>Tracey</t>
  </si>
  <si>
    <t>Benson,</t>
  </si>
  <si>
    <t>Huntington,</t>
  </si>
  <si>
    <t>Kendall,</t>
  </si>
  <si>
    <t>Esther</t>
  </si>
  <si>
    <t>Gast,</t>
  </si>
  <si>
    <t>Scanlin,</t>
  </si>
  <si>
    <t>Philbrook,</t>
  </si>
  <si>
    <t>Cowan,</t>
  </si>
  <si>
    <t>Sousa,</t>
  </si>
  <si>
    <t>Hugo</t>
  </si>
  <si>
    <t>Stanton,</t>
  </si>
  <si>
    <t>Mollak,</t>
  </si>
  <si>
    <t>Weston,</t>
  </si>
  <si>
    <t>Rob</t>
  </si>
  <si>
    <t>Rabuzzi,</t>
  </si>
  <si>
    <t>Hendrix,</t>
  </si>
  <si>
    <t>Nielen,</t>
  </si>
  <si>
    <t>Schout,</t>
  </si>
  <si>
    <t>Schmaltz,</t>
  </si>
  <si>
    <t>Virginie</t>
  </si>
  <si>
    <t>Eagen,</t>
  </si>
  <si>
    <t>Rotramel,</t>
  </si>
  <si>
    <t>Prevost,</t>
  </si>
  <si>
    <t>Nyambaso,</t>
  </si>
  <si>
    <t>Zachariah</t>
  </si>
  <si>
    <t>Shaffer,</t>
  </si>
  <si>
    <t>Corkum,</t>
  </si>
  <si>
    <t>Pedersen,</t>
  </si>
  <si>
    <t>Melo,</t>
  </si>
  <si>
    <t>Breno</t>
  </si>
  <si>
    <t>Sakamoto,</t>
  </si>
  <si>
    <t>Takaya</t>
  </si>
  <si>
    <t>IV</t>
  </si>
  <si>
    <t>Lombardo,</t>
  </si>
  <si>
    <t>Bode,</t>
  </si>
  <si>
    <t>Ruby</t>
  </si>
  <si>
    <t>Bart</t>
  </si>
  <si>
    <t>Norcross,</t>
  </si>
  <si>
    <t>Lazrus,</t>
  </si>
  <si>
    <t>Tsegay,</t>
  </si>
  <si>
    <t>Yemane</t>
  </si>
  <si>
    <t>Adhane</t>
  </si>
  <si>
    <t>Schneider,</t>
  </si>
  <si>
    <t>Loreto,</t>
  </si>
  <si>
    <t>Bird</t>
  </si>
  <si>
    <t>Callahan,</t>
  </si>
  <si>
    <t>Timko,</t>
  </si>
  <si>
    <t>Achatz,</t>
  </si>
  <si>
    <t>Horwitz,</t>
  </si>
  <si>
    <t>Yuri</t>
  </si>
  <si>
    <t>Gordyan,</t>
  </si>
  <si>
    <t>Debbie</t>
  </si>
  <si>
    <t>Battoo,</t>
  </si>
  <si>
    <t>Barker,</t>
  </si>
  <si>
    <t>Daniell</t>
  </si>
  <si>
    <t>Saarnilehto,</t>
  </si>
  <si>
    <t>Janne</t>
  </si>
  <si>
    <t>Hillman,</t>
  </si>
  <si>
    <t>Bartel,</t>
  </si>
  <si>
    <t>Callie</t>
  </si>
  <si>
    <t>Potekhina,</t>
  </si>
  <si>
    <t>Lapp,</t>
  </si>
  <si>
    <t>McCormick,</t>
  </si>
  <si>
    <t>Coffed,</t>
  </si>
  <si>
    <t>Dougie</t>
  </si>
  <si>
    <t>Estes,</t>
  </si>
  <si>
    <t>Jeremiah</t>
  </si>
  <si>
    <t>Miles,</t>
  </si>
  <si>
    <t>Zamore,</t>
  </si>
  <si>
    <t>Turner</t>
  </si>
  <si>
    <t>Donaghy,</t>
  </si>
  <si>
    <t>Roger</t>
  </si>
  <si>
    <t>Fiorini,</t>
  </si>
  <si>
    <t>Alexander,</t>
  </si>
  <si>
    <t>Watkins,</t>
  </si>
  <si>
    <t>Cassel,</t>
  </si>
  <si>
    <t>Terri</t>
  </si>
  <si>
    <t>O'Sullivan,</t>
  </si>
  <si>
    <t>Chepkirui,</t>
  </si>
  <si>
    <t>Gurney,</t>
  </si>
  <si>
    <t>Francis,</t>
  </si>
  <si>
    <t>Tammara</t>
  </si>
  <si>
    <t>Gruca,</t>
  </si>
  <si>
    <t>Dorota</t>
  </si>
  <si>
    <t>Rojas</t>
  </si>
  <si>
    <t>Norberto</t>
  </si>
  <si>
    <t>Denton,</t>
  </si>
  <si>
    <t>Bryant</t>
  </si>
  <si>
    <t>Trout,</t>
  </si>
  <si>
    <t>Gilbert,</t>
  </si>
  <si>
    <t>Chong,</t>
  </si>
  <si>
    <t>Eduardo</t>
  </si>
  <si>
    <t>Henry,</t>
  </si>
  <si>
    <t>Brenneman,</t>
  </si>
  <si>
    <t>Kemp,</t>
  </si>
  <si>
    <t>Hillyard,</t>
  </si>
  <si>
    <t>Gonzales,</t>
  </si>
  <si>
    <t>Christin</t>
  </si>
  <si>
    <t>Sayre,</t>
  </si>
  <si>
    <t>Panke,</t>
  </si>
  <si>
    <t>Brennan,</t>
  </si>
  <si>
    <t>Ngo,</t>
  </si>
  <si>
    <t>Guerdan,</t>
  </si>
  <si>
    <t>Mills-Honarvar,</t>
  </si>
  <si>
    <t>Donna</t>
  </si>
  <si>
    <t>Farvard,</t>
  </si>
  <si>
    <t>Joe</t>
  </si>
  <si>
    <t>Skinner,</t>
  </si>
  <si>
    <t>Kayleigh</t>
  </si>
  <si>
    <t>Lorcan</t>
  </si>
  <si>
    <t>Shue,</t>
  </si>
  <si>
    <t>Blinn,</t>
  </si>
  <si>
    <t>Duyn,</t>
  </si>
  <si>
    <t>Wardian,</t>
  </si>
  <si>
    <t>Heuninck,</t>
  </si>
  <si>
    <t>Kipyego,</t>
  </si>
  <si>
    <t>Bernard</t>
  </si>
  <si>
    <t>Kuehl,</t>
  </si>
  <si>
    <t>Burkholder,</t>
  </si>
  <si>
    <t>Bryn</t>
  </si>
  <si>
    <t>Stadolnik,</t>
  </si>
  <si>
    <t>Shields,</t>
  </si>
  <si>
    <t>Margolis,</t>
  </si>
  <si>
    <t>Uffenbeck,</t>
  </si>
  <si>
    <t>Shelley</t>
  </si>
  <si>
    <t>Stepanova,</t>
  </si>
  <si>
    <t>Jekaterina</t>
  </si>
  <si>
    <t>Verdi,</t>
  </si>
  <si>
    <t>Pauline</t>
  </si>
  <si>
    <t>Mickelson,</t>
  </si>
  <si>
    <t>Aleah</t>
  </si>
  <si>
    <t>Dibaba,</t>
  </si>
  <si>
    <t>Mare</t>
  </si>
  <si>
    <t>Shilling,</t>
  </si>
  <si>
    <t>Bashaw,</t>
  </si>
  <si>
    <t>Jacob,</t>
  </si>
  <si>
    <t>McCutcheon,</t>
  </si>
  <si>
    <t>Murray</t>
  </si>
  <si>
    <t>Connor,</t>
  </si>
  <si>
    <t>Geoghegan,</t>
  </si>
  <si>
    <t>Seth</t>
  </si>
  <si>
    <t>McGinn,</t>
  </si>
  <si>
    <t>Quinteros,</t>
  </si>
  <si>
    <t>Loenser,</t>
  </si>
  <si>
    <t>Furrer,</t>
  </si>
  <si>
    <t>Konigs,</t>
  </si>
  <si>
    <t>Tesdahl,</t>
  </si>
  <si>
    <t>Brock</t>
  </si>
  <si>
    <t>Engel,</t>
  </si>
  <si>
    <t>Kuck,</t>
  </si>
  <si>
    <t>Missy</t>
  </si>
  <si>
    <t>Neuschel,</t>
  </si>
  <si>
    <t>Rosales</t>
  </si>
  <si>
    <t>Apolo</t>
  </si>
  <si>
    <t>U.</t>
  </si>
  <si>
    <t>Marquez,</t>
  </si>
  <si>
    <t>Alfons</t>
  </si>
  <si>
    <t>Green,</t>
  </si>
  <si>
    <t>Schubel,</t>
  </si>
  <si>
    <t>Jimenez,</t>
  </si>
  <si>
    <t>Lilia</t>
  </si>
  <si>
    <t>Zimny-Schmitt,</t>
  </si>
  <si>
    <t>Danny</t>
  </si>
  <si>
    <t>Brohart,</t>
  </si>
  <si>
    <t>Oka,</t>
  </si>
  <si>
    <t>Satomi</t>
  </si>
  <si>
    <t>Metzger,</t>
  </si>
  <si>
    <t>Manuel</t>
  </si>
  <si>
    <t>Vaughn,</t>
  </si>
  <si>
    <t>Kindsey</t>
  </si>
  <si>
    <t>Petty,</t>
  </si>
  <si>
    <t>Lasseron,</t>
  </si>
  <si>
    <t>Chloe</t>
  </si>
  <si>
    <t>Bushong,</t>
  </si>
  <si>
    <t>Cailtlin</t>
  </si>
  <si>
    <t>Dennison,</t>
  </si>
  <si>
    <t>Lira,</t>
  </si>
  <si>
    <t>Chuy</t>
  </si>
  <si>
    <t>Nahigian,</t>
  </si>
  <si>
    <t>Cackett,</t>
  </si>
  <si>
    <t>Hunter-Galvan,</t>
  </si>
  <si>
    <t>Pierret,</t>
  </si>
  <si>
    <t>O'Neil,</t>
  </si>
  <si>
    <t>Leitz,</t>
  </si>
  <si>
    <t>Aya</t>
  </si>
  <si>
    <t>Durfee,</t>
  </si>
  <si>
    <t>Maylone,</t>
  </si>
  <si>
    <t>Reiland,</t>
  </si>
  <si>
    <t>Hu,</t>
  </si>
  <si>
    <t>Ping</t>
  </si>
  <si>
    <t>Lessek,</t>
  </si>
  <si>
    <t>Colavincenzo,</t>
  </si>
  <si>
    <t>Mendez-Karr,</t>
  </si>
  <si>
    <t>Saulnier,</t>
  </si>
  <si>
    <t>Emmett</t>
  </si>
  <si>
    <t>Schoonover,</t>
  </si>
  <si>
    <t>Hass,</t>
  </si>
  <si>
    <t>Cadotte,</t>
  </si>
  <si>
    <t>Cacciapaglia,</t>
  </si>
  <si>
    <t>Mininger,</t>
  </si>
  <si>
    <t>Norman</t>
  </si>
  <si>
    <t>Mayo,</t>
  </si>
  <si>
    <t>Zicko,</t>
  </si>
  <si>
    <t>Tatyana</t>
  </si>
  <si>
    <t>Chrissy</t>
  </si>
  <si>
    <t>Cupp,</t>
  </si>
  <si>
    <t>Halle</t>
  </si>
  <si>
    <t>Klassen,</t>
  </si>
  <si>
    <t>Musal,</t>
  </si>
  <si>
    <t>Rasim</t>
  </si>
  <si>
    <t>Kitayama,</t>
  </si>
  <si>
    <t>Dina</t>
  </si>
  <si>
    <t>Altman,</t>
  </si>
  <si>
    <t>Demchko,</t>
  </si>
  <si>
    <t>Caitrin</t>
  </si>
  <si>
    <t>Betts,</t>
  </si>
  <si>
    <t>Vandeventer,</t>
  </si>
  <si>
    <t>Alix</t>
  </si>
  <si>
    <t>Hirano,</t>
  </si>
  <si>
    <t>Kakushin</t>
  </si>
  <si>
    <t>Davi,</t>
  </si>
  <si>
    <t>Sloan,</t>
  </si>
  <si>
    <t>Homich,</t>
  </si>
  <si>
    <t>Kristjansson,</t>
  </si>
  <si>
    <t>Valur</t>
  </si>
  <si>
    <t>Pitman,</t>
  </si>
  <si>
    <t>Curley,</t>
  </si>
  <si>
    <t>Zimmer,</t>
  </si>
  <si>
    <t>Lissa</t>
  </si>
  <si>
    <t>Granski,</t>
  </si>
  <si>
    <t>Alyson</t>
  </si>
  <si>
    <t>Regina,</t>
  </si>
  <si>
    <t>Chance</t>
  </si>
  <si>
    <t>Howe,</t>
  </si>
  <si>
    <t>Therese</t>
  </si>
  <si>
    <t>Atwater,</t>
  </si>
  <si>
    <t>Beau</t>
  </si>
  <si>
    <t>Gurganus,</t>
  </si>
  <si>
    <t>Holden,</t>
  </si>
  <si>
    <t>Parton,</t>
  </si>
  <si>
    <t>Deborah</t>
  </si>
  <si>
    <t>Dent,</t>
  </si>
  <si>
    <t>Chuck</t>
  </si>
  <si>
    <t>Ranti,</t>
  </si>
  <si>
    <t>Ishaq,</t>
  </si>
  <si>
    <t>Amany</t>
  </si>
  <si>
    <t>Wiles,</t>
  </si>
  <si>
    <t>Kipling</t>
  </si>
  <si>
    <t>Duncan</t>
  </si>
  <si>
    <t>Serafini,</t>
  </si>
  <si>
    <t>Button,</t>
  </si>
  <si>
    <t>Gaal,</t>
  </si>
  <si>
    <t>Ildiko</t>
  </si>
  <si>
    <t>Liptak,</t>
  </si>
  <si>
    <t>Melinda</t>
  </si>
  <si>
    <t>Kellam,</t>
  </si>
  <si>
    <t>Gordon,</t>
  </si>
  <si>
    <t>Wagoner,</t>
  </si>
  <si>
    <t>Goffi,</t>
  </si>
  <si>
    <t>Danilo</t>
  </si>
  <si>
    <t>Salovaara,</t>
  </si>
  <si>
    <t>Mikko</t>
  </si>
  <si>
    <t>Reid,</t>
  </si>
  <si>
    <t>Allan,</t>
  </si>
  <si>
    <t>Kirsten</t>
  </si>
  <si>
    <t>McLaughlin,</t>
  </si>
  <si>
    <t>Christy</t>
  </si>
  <si>
    <t>Tang,</t>
  </si>
  <si>
    <t>Jingjing</t>
  </si>
  <si>
    <t>Chepkwony,</t>
  </si>
  <si>
    <t>Frankline</t>
  </si>
  <si>
    <t>Szynkarczuk,</t>
  </si>
  <si>
    <t>Natalia</t>
  </si>
  <si>
    <t>Brill,</t>
  </si>
  <si>
    <t>Nunn,</t>
  </si>
  <si>
    <t>Blair,</t>
  </si>
  <si>
    <t>Sharkey,</t>
  </si>
  <si>
    <t>Scalard,</t>
  </si>
  <si>
    <t>Marny</t>
  </si>
  <si>
    <t>Burget,</t>
  </si>
  <si>
    <t>English,</t>
  </si>
  <si>
    <t>Hampton,</t>
  </si>
  <si>
    <t>Lucas,</t>
  </si>
  <si>
    <t>Cherewatti,</t>
  </si>
  <si>
    <t>Olle,</t>
  </si>
  <si>
    <t>Bernat</t>
  </si>
  <si>
    <t>Hamsi,</t>
  </si>
  <si>
    <t>Hicham</t>
  </si>
  <si>
    <t>Finnegan,</t>
  </si>
  <si>
    <t>Villa,</t>
  </si>
  <si>
    <t>Elisabetta</t>
  </si>
  <si>
    <t>Cable,</t>
  </si>
  <si>
    <t>Trevor</t>
  </si>
  <si>
    <t>Eiring,</t>
  </si>
  <si>
    <t>Friedman,</t>
  </si>
  <si>
    <t>Croker,</t>
  </si>
  <si>
    <t>Beganics,</t>
  </si>
  <si>
    <t>Huberty,</t>
  </si>
  <si>
    <t>Janae</t>
  </si>
  <si>
    <t>Hazlehurst,</t>
  </si>
  <si>
    <t>Marin,</t>
  </si>
  <si>
    <t>Dear,</t>
  </si>
  <si>
    <t>Lederer,</t>
  </si>
  <si>
    <t>Robson,</t>
  </si>
  <si>
    <t>Galvan,</t>
  </si>
  <si>
    <t>Teeuwen,</t>
  </si>
  <si>
    <t>Rosalie</t>
  </si>
  <si>
    <t>List,</t>
  </si>
  <si>
    <t>Shafar,</t>
  </si>
  <si>
    <t>Vitaliy</t>
  </si>
  <si>
    <t>Copenhaver,</t>
  </si>
  <si>
    <t>Stump,</t>
  </si>
  <si>
    <t>Wehrman,</t>
  </si>
  <si>
    <t>Sischo,</t>
  </si>
  <si>
    <t>Fonti,</t>
  </si>
  <si>
    <t>Merlis,</t>
  </si>
  <si>
    <t>Hasegawa,</t>
  </si>
  <si>
    <t>Kiyokatsu</t>
  </si>
  <si>
    <t>Haselden,</t>
  </si>
  <si>
    <t>Simonson,</t>
  </si>
  <si>
    <t>Montag,</t>
  </si>
  <si>
    <t>Deroian,</t>
  </si>
  <si>
    <t>Rhea</t>
  </si>
  <si>
    <t>Brady,</t>
  </si>
  <si>
    <t>Shamus</t>
  </si>
  <si>
    <t>Strickler,</t>
  </si>
  <si>
    <t>Von</t>
  </si>
  <si>
    <t>Rock,</t>
  </si>
  <si>
    <t>Hallie</t>
  </si>
  <si>
    <t>Woodard,</t>
  </si>
  <si>
    <t>Ji</t>
  </si>
  <si>
    <t>Sinda,</t>
  </si>
  <si>
    <t>Carissa</t>
  </si>
  <si>
    <t>Rydland,</t>
  </si>
  <si>
    <t>Mona</t>
  </si>
  <si>
    <t>Vespa,</t>
  </si>
  <si>
    <t>Meadows,</t>
  </si>
  <si>
    <t>Toppen,</t>
  </si>
  <si>
    <t>Ermer,</t>
  </si>
  <si>
    <t>Dionne,</t>
  </si>
  <si>
    <t>Hilary</t>
  </si>
  <si>
    <t>Stasulli,</t>
  </si>
  <si>
    <t>Dominique</t>
  </si>
  <si>
    <t>Duran,</t>
  </si>
  <si>
    <t>I</t>
  </si>
  <si>
    <t>Klundt,</t>
  </si>
  <si>
    <t>Waters,</t>
  </si>
  <si>
    <t>Rusk,</t>
  </si>
  <si>
    <t>Gersbach,</t>
  </si>
  <si>
    <t>Taylor-Watson,</t>
  </si>
  <si>
    <t>Danya</t>
  </si>
  <si>
    <t>Levitsky,</t>
  </si>
  <si>
    <t>Lorraine</t>
  </si>
  <si>
    <t>Carroll,</t>
  </si>
  <si>
    <t>Campos,</t>
  </si>
  <si>
    <t>Jesus</t>
  </si>
  <si>
    <t>Flajslik,</t>
  </si>
  <si>
    <t>Chua,</t>
  </si>
  <si>
    <t>Wilzbacher,</t>
  </si>
  <si>
    <t>Thayer,</t>
  </si>
  <si>
    <t>Brosseau,</t>
  </si>
  <si>
    <t>Phares,</t>
  </si>
  <si>
    <t>Marshall</t>
  </si>
  <si>
    <t>Lavar</t>
  </si>
  <si>
    <t>Padula,</t>
  </si>
  <si>
    <t>Gamirov,</t>
  </si>
  <si>
    <t>Briot,</t>
  </si>
  <si>
    <t>Hueck,</t>
  </si>
  <si>
    <t>Putt,</t>
  </si>
  <si>
    <t>Tammy</t>
  </si>
  <si>
    <t>Deiman,</t>
  </si>
  <si>
    <t>Lena</t>
  </si>
  <si>
    <t>Bonanni,</t>
  </si>
  <si>
    <t>Valentina</t>
  </si>
  <si>
    <t>Stein,</t>
  </si>
  <si>
    <t>Laumann,</t>
  </si>
  <si>
    <t>Galaviz,</t>
  </si>
  <si>
    <t>Piper,</t>
  </si>
  <si>
    <t>Cantini,</t>
  </si>
  <si>
    <t>Werhane,</t>
  </si>
  <si>
    <t>Davies,</t>
  </si>
  <si>
    <t>Geraint</t>
  </si>
  <si>
    <t>Hummel,</t>
  </si>
  <si>
    <t>Dj</t>
  </si>
  <si>
    <t>Lutz,</t>
  </si>
  <si>
    <t>Viglienzoni,</t>
  </si>
  <si>
    <t>Rathbun,</t>
  </si>
  <si>
    <t>crane,</t>
  </si>
  <si>
    <t>Ellen</t>
  </si>
  <si>
    <t>Conant,</t>
  </si>
  <si>
    <t>Huyser-Wierenga,</t>
  </si>
  <si>
    <t>Natalini,</t>
  </si>
  <si>
    <t>Robbins,</t>
  </si>
  <si>
    <t>Stanislav,</t>
  </si>
  <si>
    <t>Caitie</t>
  </si>
  <si>
    <t>Mears,</t>
  </si>
  <si>
    <t>Neill,</t>
  </si>
  <si>
    <t>Tola,</t>
  </si>
  <si>
    <t>Tadese</t>
  </si>
  <si>
    <t>Briskman,</t>
  </si>
  <si>
    <t>Ritzenhein,</t>
  </si>
  <si>
    <t>Dathan</t>
  </si>
  <si>
    <t>Malkowski,</t>
  </si>
  <si>
    <t>Andreyko,</t>
  </si>
  <si>
    <t>Lozier,</t>
  </si>
  <si>
    <t>Rodas,</t>
  </si>
  <si>
    <t>Harald</t>
  </si>
  <si>
    <t>Siobhan</t>
  </si>
  <si>
    <t>Karmen,</t>
  </si>
  <si>
    <t>Lippmann,</t>
  </si>
  <si>
    <t>Kiersten</t>
  </si>
  <si>
    <t>Klehm,</t>
  </si>
  <si>
    <t>Desisa,</t>
  </si>
  <si>
    <t>Lelisa</t>
  </si>
  <si>
    <t>Brooks,</t>
  </si>
  <si>
    <t>Weispfennig,</t>
  </si>
  <si>
    <t>Sorrell,</t>
  </si>
  <si>
    <t>Marek,</t>
  </si>
  <si>
    <t>Vajin</t>
  </si>
  <si>
    <t>Werner,</t>
  </si>
  <si>
    <t>Kirby</t>
  </si>
  <si>
    <t>Penny,</t>
  </si>
  <si>
    <t>Masayesva,</t>
  </si>
  <si>
    <t>Paavola,</t>
  </si>
  <si>
    <t>Gehlsen,</t>
  </si>
  <si>
    <t>Roche,</t>
  </si>
  <si>
    <t>Connor</t>
  </si>
  <si>
    <t>Hearn,</t>
  </si>
  <si>
    <t>Dimson,</t>
  </si>
  <si>
    <t>Slason,</t>
  </si>
  <si>
    <t>Gibson,</t>
  </si>
  <si>
    <t>Erdos,</t>
  </si>
  <si>
    <t>Elleree</t>
  </si>
  <si>
    <t>Cushman,</t>
  </si>
  <si>
    <t>Hammel,</t>
  </si>
  <si>
    <t>Ytterstad,</t>
  </si>
  <si>
    <t>Nina</t>
  </si>
  <si>
    <t>Wavik</t>
  </si>
  <si>
    <t>Prince,</t>
  </si>
  <si>
    <t>Dani</t>
  </si>
  <si>
    <t>Freeman,</t>
  </si>
  <si>
    <t>Petrulak,</t>
  </si>
  <si>
    <t>Zablocki,</t>
  </si>
  <si>
    <t>Meter,</t>
  </si>
  <si>
    <t>Babay,</t>
  </si>
  <si>
    <t>Moody,</t>
  </si>
  <si>
    <t>Swierzbinski,</t>
  </si>
  <si>
    <t>Schwartz,</t>
  </si>
  <si>
    <t>Sanseverino,</t>
  </si>
  <si>
    <t>Lawder,</t>
  </si>
  <si>
    <t>Hoerner,</t>
  </si>
  <si>
    <t>Pat</t>
  </si>
  <si>
    <t>Beaulne,</t>
  </si>
  <si>
    <t>Lunz,</t>
  </si>
  <si>
    <t>Kyle,</t>
  </si>
  <si>
    <t>Brackenwagen,</t>
  </si>
  <si>
    <t>Schmitt,</t>
  </si>
  <si>
    <t>Borden,</t>
  </si>
  <si>
    <t>Regan,</t>
  </si>
  <si>
    <t>Koenis,</t>
  </si>
  <si>
    <t>Maaikel</t>
  </si>
  <si>
    <t>Kittaka,</t>
  </si>
  <si>
    <t>Concannon,</t>
  </si>
  <si>
    <t>Schultz,</t>
  </si>
  <si>
    <t>Lyndsy</t>
  </si>
  <si>
    <t>Brannigan,</t>
  </si>
  <si>
    <t>Cavallo,</t>
  </si>
  <si>
    <t>Axelrod,</t>
  </si>
  <si>
    <t>Roberge,</t>
  </si>
  <si>
    <t>Schmidt,</t>
  </si>
  <si>
    <t>Kosters,</t>
  </si>
  <si>
    <t>Dykes,</t>
  </si>
  <si>
    <t>Velan,</t>
  </si>
  <si>
    <t>Goolik,</t>
  </si>
  <si>
    <t>Bain,</t>
  </si>
  <si>
    <t>Wieck,</t>
  </si>
  <si>
    <t>Sonja</t>
  </si>
  <si>
    <t>Friel,</t>
  </si>
  <si>
    <t>Santandreu,</t>
  </si>
  <si>
    <t>Gerber,</t>
  </si>
  <si>
    <t>Cliff</t>
  </si>
  <si>
    <t>Benadum,</t>
  </si>
  <si>
    <t>Blue</t>
  </si>
  <si>
    <t>Ragazzini,</t>
  </si>
  <si>
    <t>Kessinger,</t>
  </si>
  <si>
    <t>Bezgin,</t>
  </si>
  <si>
    <t>Woldesilassie,</t>
  </si>
  <si>
    <t>Ruiz</t>
  </si>
  <si>
    <t>Herrero,</t>
  </si>
  <si>
    <t>Bin</t>
  </si>
  <si>
    <t>Alias,</t>
  </si>
  <si>
    <t>Mohd</t>
  </si>
  <si>
    <t>Syahidan</t>
  </si>
  <si>
    <t>Pulliam,</t>
  </si>
  <si>
    <t>Guisinger,</t>
  </si>
  <si>
    <t>Arnerich,</t>
  </si>
  <si>
    <t>Nolette,</t>
  </si>
  <si>
    <t>Jerome</t>
  </si>
  <si>
    <t>Chabrier,</t>
  </si>
  <si>
    <t>Henry</t>
  </si>
  <si>
    <t>Knotts,</t>
  </si>
  <si>
    <t>Pultorak,</t>
  </si>
  <si>
    <t>Maxon,</t>
  </si>
  <si>
    <t>Kraai,</t>
  </si>
  <si>
    <t>Larosa,</t>
  </si>
  <si>
    <t>Ali</t>
  </si>
  <si>
    <t>Haney,</t>
  </si>
  <si>
    <t>Boulay,</t>
  </si>
  <si>
    <t>Pierre</t>
  </si>
  <si>
    <t>Luy,</t>
  </si>
  <si>
    <t>Fava,</t>
  </si>
  <si>
    <t>Montoya,</t>
  </si>
  <si>
    <t>Alvaro</t>
  </si>
  <si>
    <t>Albertson,</t>
  </si>
  <si>
    <t>Barger,</t>
  </si>
  <si>
    <t>Fraioli,</t>
  </si>
  <si>
    <t>April,</t>
  </si>
  <si>
    <t>Lusapho</t>
  </si>
  <si>
    <t>Talhelm,</t>
  </si>
  <si>
    <t>Treece,</t>
  </si>
  <si>
    <t>Beisel,</t>
  </si>
  <si>
    <t>Enke,</t>
  </si>
  <si>
    <t>Ruiz-Tagle</t>
  </si>
  <si>
    <t>Barros,</t>
  </si>
  <si>
    <t>Tomas</t>
  </si>
  <si>
    <t>Ferrell,</t>
  </si>
  <si>
    <t>Gates,</t>
  </si>
  <si>
    <t>Jeffers,</t>
  </si>
  <si>
    <t>Sulhanek,</t>
  </si>
  <si>
    <t>Roman</t>
  </si>
  <si>
    <t>Caron,</t>
  </si>
  <si>
    <t>Evelyn</t>
  </si>
  <si>
    <t>Fullarton,</t>
  </si>
  <si>
    <t>Lindgren,</t>
  </si>
  <si>
    <t>Akiha,</t>
  </si>
  <si>
    <t>Sweny,</t>
  </si>
  <si>
    <t>Tobin,</t>
  </si>
  <si>
    <t>Keys,</t>
  </si>
  <si>
    <t>Wilbur,</t>
  </si>
  <si>
    <t>Ditota,</t>
  </si>
  <si>
    <t>Horbol,</t>
  </si>
  <si>
    <t>Flannery</t>
  </si>
  <si>
    <t>Murakami,</t>
  </si>
  <si>
    <t>Petermann,</t>
  </si>
  <si>
    <t>Theodore</t>
  </si>
  <si>
    <t>Graves</t>
  </si>
  <si>
    <t>-</t>
  </si>
  <si>
    <t>Rostro,</t>
  </si>
  <si>
    <t>Lindy</t>
  </si>
  <si>
    <t>Danielson,</t>
  </si>
  <si>
    <t>Street,</t>
  </si>
  <si>
    <t>Buss,</t>
  </si>
  <si>
    <t>Duffy,</t>
  </si>
  <si>
    <t>Sebastian</t>
  </si>
  <si>
    <t>Avery,</t>
  </si>
  <si>
    <t>Bohinski,</t>
  </si>
  <si>
    <t>Kohls,</t>
  </si>
  <si>
    <t>Katy</t>
  </si>
  <si>
    <t>Brietzke,</t>
  </si>
  <si>
    <t>Riveros</t>
  </si>
  <si>
    <t>Albano,</t>
  </si>
  <si>
    <t>Rosendahl,</t>
  </si>
  <si>
    <t>German,</t>
  </si>
  <si>
    <t>Heart issues and smoker incosistencies  : Done ,Using contrl+H ,Replace Yes ans No</t>
  </si>
  <si>
    <t>yes/Yes and no/No</t>
  </si>
  <si>
    <t>4 Rth Ans:</t>
  </si>
  <si>
    <t>YYY-MM-DD</t>
  </si>
  <si>
    <t>Weight Status</t>
  </si>
  <si>
    <t>Diabetes Status</t>
  </si>
  <si>
    <t>Age</t>
  </si>
  <si>
    <t>VLOOKUP</t>
  </si>
  <si>
    <t>Row Labels</t>
  </si>
  <si>
    <t>Grand Total</t>
  </si>
  <si>
    <t>Column Labels</t>
  </si>
  <si>
    <t>Total Sum of NumberOfMajorSurgeries</t>
  </si>
  <si>
    <t>Sum of NumberOfMajorSurgeries</t>
  </si>
  <si>
    <t>Total Sum of NumberOfMajorSurgeries2</t>
  </si>
  <si>
    <t>Sum of NumberOfMajorSurgeries2</t>
  </si>
  <si>
    <t>Total Average of HBA1C</t>
  </si>
  <si>
    <t>Average of HBA1C</t>
  </si>
  <si>
    <t>Total Count of HBA1C</t>
  </si>
  <si>
    <t>Count of HBA1C</t>
  </si>
  <si>
    <t>Normal Weight</t>
  </si>
  <si>
    <t>Obesity</t>
  </si>
  <si>
    <t>Over weight</t>
  </si>
  <si>
    <t>Under Weight</t>
  </si>
  <si>
    <t>Diabetes</t>
  </si>
  <si>
    <t>Normal</t>
  </si>
  <si>
    <t>Prediabetes</t>
  </si>
  <si>
    <t>Average of charges</t>
  </si>
  <si>
    <t>Health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</si>
</sst>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dd\-mm\-yyyy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1" fillId="0" borderId="0" xfId="1"/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0" fillId="0" borderId="0" xfId="0" applyNumberFormat="1"/>
    <xf numFmtId="166" fontId="2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E6017999-B11B-48A2-A7CA-CF8E45CD6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 3(AutoRecovered).xlsx]Analysis pie and donut!PivotTable2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Major</a:t>
            </a:r>
            <a:r>
              <a:rPr lang="en-US" baseline="0"/>
              <a:t> Surgeries and Average HbA1 by Transplant History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'Analysis pie and donut'!$C$3:$C$5</c:f>
              <c:strCache>
                <c:ptCount val="1"/>
                <c:pt idx="0">
                  <c:v>No - Sum of NumberOfMajorSurgeries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'Analysis pie and donut'!$A$6:$A$12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'Analysis pie and donut'!$C$6:$C$12</c:f>
              <c:numCache>
                <c:formatCode>General</c:formatCode>
                <c:ptCount val="4"/>
                <c:pt idx="0">
                  <c:v>564</c:v>
                </c:pt>
                <c:pt idx="1">
                  <c:v>162</c:v>
                </c:pt>
                <c:pt idx="2">
                  <c:v>118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8-445D-9C6F-AF380C1B24DA}"/>
            </c:ext>
          </c:extLst>
        </c:ser>
        <c:ser>
          <c:idx val="3"/>
          <c:order val="3"/>
          <c:tx>
            <c:strRef>
              <c:f>'Analysis pie and donut'!$E$3:$E$5</c:f>
              <c:strCache>
                <c:ptCount val="1"/>
                <c:pt idx="0">
                  <c:v>Yes - Sum of NumberOfMajorSurgeries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'Analysis pie and donut'!$A$6:$A$12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'Analysis pie and donut'!$E$6:$E$12</c:f>
              <c:numCache>
                <c:formatCode>General</c:formatCode>
                <c:ptCount val="4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8-445D-9C6F-AF380C1B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275616"/>
        <c:axId val="923964928"/>
      </c:barChart>
      <c:lineChart>
        <c:grouping val="standard"/>
        <c:varyColors val="0"/>
        <c:ser>
          <c:idx val="0"/>
          <c:order val="0"/>
          <c:tx>
            <c:strRef>
              <c:f>'Analysis pie and donut'!$B$3:$B$5</c:f>
              <c:strCache>
                <c:ptCount val="1"/>
                <c:pt idx="0">
                  <c:v>No - Average of HBA1C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'Analysis pie and donut'!$A$6:$A$12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'Analysis pie and donut'!$B$6:$B$12</c:f>
              <c:numCache>
                <c:formatCode>General</c:formatCode>
                <c:ptCount val="4"/>
                <c:pt idx="0">
                  <c:v>6.8636073706590999</c:v>
                </c:pt>
                <c:pt idx="1">
                  <c:v>6.9411405835543727</c:v>
                </c:pt>
                <c:pt idx="2">
                  <c:v>5.2091452991453</c:v>
                </c:pt>
                <c:pt idx="3">
                  <c:v>5.0596153846153848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18-445D-9C6F-AF380C1B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275616"/>
        <c:axId val="923964928"/>
      </c:lineChart>
      <c:lineChart>
        <c:grouping val="standard"/>
        <c:varyColors val="0"/>
        <c:ser>
          <c:idx val="2"/>
          <c:order val="2"/>
          <c:tx>
            <c:strRef>
              <c:f>'Analysis pie and donut'!$D$3:$D$5</c:f>
              <c:strCache>
                <c:ptCount val="1"/>
                <c:pt idx="0">
                  <c:v>Yes - Average of HBA1C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'Analysis pie and donut'!$A$6:$A$12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'Analysis pie and donut'!$D$6:$D$12</c:f>
              <c:numCache>
                <c:formatCode>General</c:formatCode>
                <c:ptCount val="4"/>
                <c:pt idx="0">
                  <c:v>5.7818272425249155</c:v>
                </c:pt>
                <c:pt idx="1">
                  <c:v>5.5863095238095264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18-445D-9C6F-AF380C1B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105712"/>
        <c:axId val="1538409088"/>
      </c:lineChart>
      <c:catAx>
        <c:axId val="100427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964928"/>
        <c:crosses val="autoZero"/>
        <c:auto val="1"/>
        <c:lblAlgn val="ctr"/>
        <c:lblOffset val="100"/>
        <c:noMultiLvlLbl val="0"/>
      </c:catAx>
      <c:valAx>
        <c:axId val="9239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75616"/>
        <c:crosses val="autoZero"/>
        <c:crossBetween val="between"/>
      </c:valAx>
      <c:valAx>
        <c:axId val="1538409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05712"/>
        <c:crosses val="max"/>
        <c:crossBetween val="between"/>
      </c:valAx>
      <c:catAx>
        <c:axId val="163610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8409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 3(AutoRecovered).xlsx]Column and Bar chart!PivotTable1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and Bar chart'!$B$3:$B$5</c:f>
              <c:strCache>
                <c:ptCount val="1"/>
                <c:pt idx="0">
                  <c:v>No - Count of HBA1C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chart'!$B$6:$B$8</c:f>
              <c:numCache>
                <c:formatCode>General</c:formatCode>
                <c:ptCount val="2"/>
                <c:pt idx="0">
                  <c:v>1800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9-4212-A50F-F42D666BEB73}"/>
            </c:ext>
          </c:extLst>
        </c:ser>
        <c:ser>
          <c:idx val="2"/>
          <c:order val="2"/>
          <c:tx>
            <c:strRef>
              <c:f>'Column and Bar chart'!$D$3:$D$5</c:f>
              <c:strCache>
                <c:ptCount val="1"/>
                <c:pt idx="0">
                  <c:v>No - Sum of NumberOfMajorSurgeries2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chart'!$D$6:$D$8</c:f>
              <c:numCache>
                <c:formatCode>General</c:formatCode>
                <c:ptCount val="2"/>
                <c:pt idx="0">
                  <c:v>726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9-4212-A50F-F42D666BEB73}"/>
            </c:ext>
          </c:extLst>
        </c:ser>
        <c:ser>
          <c:idx val="3"/>
          <c:order val="3"/>
          <c:tx>
            <c:strRef>
              <c:f>'Column and Bar chart'!$E$3:$E$5</c:f>
              <c:strCache>
                <c:ptCount val="1"/>
                <c:pt idx="0">
                  <c:v>No - Sum of NumberOfMajorSurgeries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chart'!$E$6:$E$8</c:f>
              <c:numCache>
                <c:formatCode>General</c:formatCode>
                <c:ptCount val="2"/>
                <c:pt idx="0">
                  <c:v>726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D9-4212-A50F-F42D666BEB73}"/>
            </c:ext>
          </c:extLst>
        </c:ser>
        <c:ser>
          <c:idx val="4"/>
          <c:order val="4"/>
          <c:tx>
            <c:strRef>
              <c:f>'Column and Bar chart'!$F$3:$F$5</c:f>
              <c:strCache>
                <c:ptCount val="1"/>
                <c:pt idx="0">
                  <c:v>Yes - Count of HBA1C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chart'!$F$6:$F$8</c:f>
              <c:numCache>
                <c:formatCode>General</c:formatCode>
                <c:ptCount val="2"/>
                <c:pt idx="0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D9-4212-A50F-F42D666BEB73}"/>
            </c:ext>
          </c:extLst>
        </c:ser>
        <c:ser>
          <c:idx val="6"/>
          <c:order val="6"/>
          <c:tx>
            <c:strRef>
              <c:f>'Column and Bar chart'!$H$3:$H$5</c:f>
              <c:strCache>
                <c:ptCount val="1"/>
                <c:pt idx="0">
                  <c:v>Yes - Sum of NumberOfMajorSurgeries2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chart'!$H$6:$H$8</c:f>
              <c:numCache>
                <c:formatCode>General</c:formatCode>
                <c:ptCount val="2"/>
                <c:pt idx="0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D9-4212-A50F-F42D666BE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1638319"/>
        <c:axId val="1463234623"/>
      </c:barChart>
      <c:lineChart>
        <c:grouping val="standard"/>
        <c:varyColors val="0"/>
        <c:ser>
          <c:idx val="7"/>
          <c:order val="7"/>
          <c:tx>
            <c:strRef>
              <c:f>'Column and Bar chart'!$I$3:$I$5</c:f>
              <c:strCache>
                <c:ptCount val="1"/>
                <c:pt idx="0">
                  <c:v>Yes - Sum of NumberOfMajorSurgeries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chart'!$I$6:$I$8</c:f>
              <c:numCache>
                <c:formatCode>General</c:formatCode>
                <c:ptCount val="2"/>
                <c:pt idx="0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D9-4212-A50F-F42D666BE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638319"/>
        <c:axId val="1463234623"/>
      </c:lineChart>
      <c:lineChart>
        <c:grouping val="standard"/>
        <c:varyColors val="0"/>
        <c:ser>
          <c:idx val="1"/>
          <c:order val="1"/>
          <c:tx>
            <c:strRef>
              <c:f>'Column and Bar chart'!$C$3:$C$5</c:f>
              <c:strCache>
                <c:ptCount val="1"/>
                <c:pt idx="0">
                  <c:v>No - Average of HBA1C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chart'!$C$6:$C$8</c:f>
              <c:numCache>
                <c:formatCode>General</c:formatCode>
                <c:ptCount val="2"/>
                <c:pt idx="0">
                  <c:v>6.8799552572706979</c:v>
                </c:pt>
                <c:pt idx="1">
                  <c:v>5.1819580419580422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9-4212-A50F-F42D666BEB73}"/>
            </c:ext>
          </c:extLst>
        </c:ser>
        <c:ser>
          <c:idx val="5"/>
          <c:order val="5"/>
          <c:tx>
            <c:strRef>
              <c:f>'Column and Bar chart'!$G$3:$G$5</c:f>
              <c:strCache>
                <c:ptCount val="1"/>
                <c:pt idx="0">
                  <c:v>Yes - Average of HBA1C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'Column and Bar chart'!$A$6:$A$8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'Column and Bar chart'!$G$6:$G$8</c:f>
              <c:numCache>
                <c:formatCode>General</c:formatCode>
                <c:ptCount val="2"/>
                <c:pt idx="0">
                  <c:v>5.73916883116883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D9-4212-A50F-F42D666BE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275023"/>
        <c:axId val="1530874463"/>
      </c:lineChart>
      <c:catAx>
        <c:axId val="15916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234623"/>
        <c:crosses val="autoZero"/>
        <c:auto val="1"/>
        <c:lblAlgn val="ctr"/>
        <c:lblOffset val="100"/>
        <c:noMultiLvlLbl val="0"/>
      </c:catAx>
      <c:valAx>
        <c:axId val="14632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638319"/>
        <c:crosses val="autoZero"/>
        <c:crossBetween val="between"/>
      </c:valAx>
      <c:valAx>
        <c:axId val="15308744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75023"/>
        <c:crosses val="max"/>
        <c:crossBetween val="between"/>
      </c:valAx>
      <c:catAx>
        <c:axId val="1818275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087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 3(AutoRecovered).xlsx]Weight and Diabetes!PivotTable1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Healthcare Charges by </a:t>
            </a:r>
            <a:r>
              <a:rPr lang="en-US"/>
              <a:t>Weight</a:t>
            </a:r>
            <a:r>
              <a:rPr lang="en-US" baseline="0"/>
              <a:t> and Diabetes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 and Diabetes'!$B$3:$B$4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'Weight and Diabetes'!$A$5:$A$9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'Weight and Diabetes'!$B$5:$B$9</c:f>
              <c:numCache>
                <c:formatCode>"$"#,##0.00</c:formatCode>
                <c:ptCount val="4"/>
                <c:pt idx="0">
                  <c:v>11718.428741258742</c:v>
                </c:pt>
                <c:pt idx="1">
                  <c:v>7265.8143457943916</c:v>
                </c:pt>
                <c:pt idx="2">
                  <c:v>9369.4914285714294</c:v>
                </c:pt>
                <c:pt idx="3">
                  <c:v>17912.901076923074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A-4A45-9ACB-C567CB842B7C}"/>
            </c:ext>
          </c:extLst>
        </c:ser>
        <c:ser>
          <c:idx val="1"/>
          <c:order val="1"/>
          <c:tx>
            <c:strRef>
              <c:f>'Weight and Diabetes'!$C$3:$C$4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'Weight and Diabetes'!$A$5:$A$9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'Weight and Diabetes'!$C$5:$C$9</c:f>
              <c:numCache>
                <c:formatCode>"$"#,##0.00</c:formatCode>
                <c:ptCount val="4"/>
                <c:pt idx="0">
                  <c:v>20473.459389671363</c:v>
                </c:pt>
                <c:pt idx="1">
                  <c:v>12283.886207513418</c:v>
                </c:pt>
                <c:pt idx="2">
                  <c:v>15322.33892241379</c:v>
                </c:pt>
                <c:pt idx="3">
                  <c:v>26863.077560975609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A-4A45-9ACB-C567CB842B7C}"/>
            </c:ext>
          </c:extLst>
        </c:ser>
        <c:ser>
          <c:idx val="2"/>
          <c:order val="2"/>
          <c:tx>
            <c:strRef>
              <c:f>'Weight and Diabetes'!$D$3:$D$4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'Weight and Diabetes'!$A$5:$A$9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'Weight and Diabetes'!$D$5:$D$9</c:f>
              <c:numCache>
                <c:formatCode>"$"#,##0.00</c:formatCode>
                <c:ptCount val="4"/>
                <c:pt idx="0">
                  <c:v>18727.773580246911</c:v>
                </c:pt>
                <c:pt idx="1">
                  <c:v>12070.353760683762</c:v>
                </c:pt>
                <c:pt idx="2">
                  <c:v>16497.217685185187</c:v>
                </c:pt>
                <c:pt idx="3">
                  <c:v>25824.313103448276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A-4A45-9ACB-C567CB842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115280"/>
        <c:axId val="1538362048"/>
      </c:barChart>
      <c:catAx>
        <c:axId val="1537115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8362048"/>
        <c:crosses val="autoZero"/>
        <c:auto val="1"/>
        <c:lblAlgn val="ctr"/>
        <c:lblOffset val="100"/>
        <c:noMultiLvlLbl val="0"/>
      </c:catAx>
      <c:valAx>
        <c:axId val="153836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5371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Vs BMI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BMI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'Health care'!$T$2:$T$2336</c:f>
              <c:numCache>
                <c:formatCode>General</c:formatCode>
                <c:ptCount val="2335"/>
                <c:pt idx="0">
                  <c:v>34</c:v>
                </c:pt>
                <c:pt idx="1">
                  <c:v>34</c:v>
                </c:pt>
                <c:pt idx="2">
                  <c:v>33</c:v>
                </c:pt>
                <c:pt idx="3">
                  <c:v>34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31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27</c:v>
                </c:pt>
                <c:pt idx="12">
                  <c:v>27</c:v>
                </c:pt>
                <c:pt idx="13">
                  <c:v>24</c:v>
                </c:pt>
                <c:pt idx="14">
                  <c:v>33</c:v>
                </c:pt>
                <c:pt idx="15">
                  <c:v>30</c:v>
                </c:pt>
                <c:pt idx="16">
                  <c:v>33</c:v>
                </c:pt>
                <c:pt idx="17">
                  <c:v>30</c:v>
                </c:pt>
                <c:pt idx="18">
                  <c:v>31</c:v>
                </c:pt>
                <c:pt idx="19">
                  <c:v>22</c:v>
                </c:pt>
                <c:pt idx="20">
                  <c:v>26</c:v>
                </c:pt>
                <c:pt idx="21">
                  <c:v>33</c:v>
                </c:pt>
                <c:pt idx="22">
                  <c:v>32</c:v>
                </c:pt>
                <c:pt idx="23">
                  <c:v>31</c:v>
                </c:pt>
                <c:pt idx="24">
                  <c:v>25</c:v>
                </c:pt>
                <c:pt idx="25">
                  <c:v>32</c:v>
                </c:pt>
                <c:pt idx="26">
                  <c:v>26</c:v>
                </c:pt>
                <c:pt idx="27">
                  <c:v>27</c:v>
                </c:pt>
                <c:pt idx="28">
                  <c:v>31</c:v>
                </c:pt>
                <c:pt idx="29">
                  <c:v>32</c:v>
                </c:pt>
                <c:pt idx="30">
                  <c:v>24</c:v>
                </c:pt>
                <c:pt idx="31">
                  <c:v>24</c:v>
                </c:pt>
                <c:pt idx="32">
                  <c:v>31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28</c:v>
                </c:pt>
                <c:pt idx="37">
                  <c:v>24</c:v>
                </c:pt>
                <c:pt idx="38">
                  <c:v>22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24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25</c:v>
                </c:pt>
                <c:pt idx="49">
                  <c:v>22</c:v>
                </c:pt>
                <c:pt idx="50">
                  <c:v>24</c:v>
                </c:pt>
                <c:pt idx="51">
                  <c:v>22</c:v>
                </c:pt>
                <c:pt idx="52">
                  <c:v>23</c:v>
                </c:pt>
                <c:pt idx="53">
                  <c:v>22</c:v>
                </c:pt>
                <c:pt idx="54">
                  <c:v>32</c:v>
                </c:pt>
                <c:pt idx="55">
                  <c:v>22</c:v>
                </c:pt>
                <c:pt idx="56">
                  <c:v>24</c:v>
                </c:pt>
                <c:pt idx="57">
                  <c:v>25</c:v>
                </c:pt>
                <c:pt idx="58">
                  <c:v>30</c:v>
                </c:pt>
                <c:pt idx="59">
                  <c:v>29</c:v>
                </c:pt>
                <c:pt idx="60">
                  <c:v>24</c:v>
                </c:pt>
                <c:pt idx="61">
                  <c:v>27</c:v>
                </c:pt>
                <c:pt idx="62">
                  <c:v>34</c:v>
                </c:pt>
                <c:pt idx="63">
                  <c:v>22</c:v>
                </c:pt>
                <c:pt idx="64">
                  <c:v>30</c:v>
                </c:pt>
                <c:pt idx="65">
                  <c:v>22</c:v>
                </c:pt>
                <c:pt idx="66">
                  <c:v>22</c:v>
                </c:pt>
                <c:pt idx="67">
                  <c:v>28</c:v>
                </c:pt>
                <c:pt idx="68">
                  <c:v>24</c:v>
                </c:pt>
                <c:pt idx="69">
                  <c:v>28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29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24</c:v>
                </c:pt>
                <c:pt idx="82">
                  <c:v>29</c:v>
                </c:pt>
                <c:pt idx="83">
                  <c:v>22</c:v>
                </c:pt>
                <c:pt idx="84">
                  <c:v>22</c:v>
                </c:pt>
                <c:pt idx="85">
                  <c:v>26</c:v>
                </c:pt>
                <c:pt idx="86">
                  <c:v>28</c:v>
                </c:pt>
                <c:pt idx="87">
                  <c:v>25</c:v>
                </c:pt>
                <c:pt idx="88">
                  <c:v>24</c:v>
                </c:pt>
                <c:pt idx="89">
                  <c:v>27</c:v>
                </c:pt>
                <c:pt idx="90">
                  <c:v>24</c:v>
                </c:pt>
                <c:pt idx="91">
                  <c:v>27</c:v>
                </c:pt>
                <c:pt idx="92">
                  <c:v>28</c:v>
                </c:pt>
                <c:pt idx="93">
                  <c:v>31</c:v>
                </c:pt>
                <c:pt idx="94">
                  <c:v>29</c:v>
                </c:pt>
                <c:pt idx="95">
                  <c:v>28</c:v>
                </c:pt>
                <c:pt idx="96">
                  <c:v>24</c:v>
                </c:pt>
                <c:pt idx="97">
                  <c:v>27</c:v>
                </c:pt>
                <c:pt idx="98">
                  <c:v>24</c:v>
                </c:pt>
                <c:pt idx="99">
                  <c:v>24</c:v>
                </c:pt>
                <c:pt idx="100">
                  <c:v>28</c:v>
                </c:pt>
                <c:pt idx="101">
                  <c:v>29</c:v>
                </c:pt>
                <c:pt idx="102">
                  <c:v>30</c:v>
                </c:pt>
                <c:pt idx="103">
                  <c:v>25</c:v>
                </c:pt>
                <c:pt idx="104">
                  <c:v>29</c:v>
                </c:pt>
                <c:pt idx="105">
                  <c:v>26</c:v>
                </c:pt>
                <c:pt idx="106">
                  <c:v>29</c:v>
                </c:pt>
                <c:pt idx="107">
                  <c:v>23</c:v>
                </c:pt>
                <c:pt idx="108">
                  <c:v>28</c:v>
                </c:pt>
                <c:pt idx="109">
                  <c:v>29</c:v>
                </c:pt>
                <c:pt idx="110">
                  <c:v>31</c:v>
                </c:pt>
                <c:pt idx="111">
                  <c:v>28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34</c:v>
                </c:pt>
                <c:pt idx="117">
                  <c:v>22</c:v>
                </c:pt>
                <c:pt idx="118">
                  <c:v>22</c:v>
                </c:pt>
                <c:pt idx="119">
                  <c:v>31</c:v>
                </c:pt>
                <c:pt idx="120">
                  <c:v>23</c:v>
                </c:pt>
                <c:pt idx="121">
                  <c:v>22</c:v>
                </c:pt>
                <c:pt idx="122">
                  <c:v>22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23</c:v>
                </c:pt>
                <c:pt idx="130">
                  <c:v>23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28</c:v>
                </c:pt>
                <c:pt idx="162">
                  <c:v>23</c:v>
                </c:pt>
                <c:pt idx="163">
                  <c:v>24</c:v>
                </c:pt>
                <c:pt idx="164">
                  <c:v>27</c:v>
                </c:pt>
                <c:pt idx="165">
                  <c:v>22</c:v>
                </c:pt>
                <c:pt idx="166">
                  <c:v>27</c:v>
                </c:pt>
                <c:pt idx="167">
                  <c:v>27</c:v>
                </c:pt>
                <c:pt idx="168">
                  <c:v>23</c:v>
                </c:pt>
                <c:pt idx="169">
                  <c:v>23</c:v>
                </c:pt>
                <c:pt idx="170">
                  <c:v>27</c:v>
                </c:pt>
                <c:pt idx="171">
                  <c:v>23</c:v>
                </c:pt>
                <c:pt idx="172">
                  <c:v>32</c:v>
                </c:pt>
                <c:pt idx="173">
                  <c:v>22</c:v>
                </c:pt>
                <c:pt idx="174">
                  <c:v>30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25</c:v>
                </c:pt>
                <c:pt idx="180">
                  <c:v>32</c:v>
                </c:pt>
                <c:pt idx="181">
                  <c:v>25</c:v>
                </c:pt>
                <c:pt idx="182">
                  <c:v>25</c:v>
                </c:pt>
                <c:pt idx="183">
                  <c:v>24</c:v>
                </c:pt>
                <c:pt idx="184">
                  <c:v>24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24</c:v>
                </c:pt>
                <c:pt idx="189">
                  <c:v>28</c:v>
                </c:pt>
                <c:pt idx="190">
                  <c:v>24</c:v>
                </c:pt>
                <c:pt idx="191">
                  <c:v>28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22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37</c:v>
                </c:pt>
                <c:pt idx="203">
                  <c:v>23</c:v>
                </c:pt>
                <c:pt idx="204">
                  <c:v>22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29</c:v>
                </c:pt>
                <c:pt idx="210">
                  <c:v>23</c:v>
                </c:pt>
                <c:pt idx="211">
                  <c:v>22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32</c:v>
                </c:pt>
                <c:pt idx="218">
                  <c:v>35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32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23</c:v>
                </c:pt>
                <c:pt idx="233">
                  <c:v>26</c:v>
                </c:pt>
                <c:pt idx="234">
                  <c:v>26</c:v>
                </c:pt>
                <c:pt idx="235">
                  <c:v>24</c:v>
                </c:pt>
                <c:pt idx="236">
                  <c:v>24</c:v>
                </c:pt>
                <c:pt idx="237">
                  <c:v>35</c:v>
                </c:pt>
                <c:pt idx="238">
                  <c:v>37</c:v>
                </c:pt>
                <c:pt idx="239">
                  <c:v>30</c:v>
                </c:pt>
                <c:pt idx="240">
                  <c:v>22</c:v>
                </c:pt>
                <c:pt idx="241">
                  <c:v>30</c:v>
                </c:pt>
                <c:pt idx="242">
                  <c:v>23</c:v>
                </c:pt>
                <c:pt idx="243">
                  <c:v>28</c:v>
                </c:pt>
                <c:pt idx="244">
                  <c:v>24</c:v>
                </c:pt>
                <c:pt idx="245">
                  <c:v>38</c:v>
                </c:pt>
                <c:pt idx="246">
                  <c:v>27</c:v>
                </c:pt>
                <c:pt idx="247">
                  <c:v>27</c:v>
                </c:pt>
                <c:pt idx="248">
                  <c:v>25</c:v>
                </c:pt>
                <c:pt idx="249">
                  <c:v>27</c:v>
                </c:pt>
                <c:pt idx="250">
                  <c:v>27</c:v>
                </c:pt>
                <c:pt idx="251">
                  <c:v>24</c:v>
                </c:pt>
                <c:pt idx="252">
                  <c:v>28</c:v>
                </c:pt>
                <c:pt idx="253">
                  <c:v>24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22</c:v>
                </c:pt>
                <c:pt idx="262">
                  <c:v>35</c:v>
                </c:pt>
                <c:pt idx="263">
                  <c:v>29</c:v>
                </c:pt>
                <c:pt idx="264">
                  <c:v>26</c:v>
                </c:pt>
                <c:pt idx="265">
                  <c:v>29</c:v>
                </c:pt>
                <c:pt idx="266">
                  <c:v>36</c:v>
                </c:pt>
                <c:pt idx="267">
                  <c:v>35</c:v>
                </c:pt>
                <c:pt idx="268">
                  <c:v>24</c:v>
                </c:pt>
                <c:pt idx="269">
                  <c:v>24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29</c:v>
                </c:pt>
                <c:pt idx="274">
                  <c:v>26</c:v>
                </c:pt>
                <c:pt idx="275">
                  <c:v>26</c:v>
                </c:pt>
                <c:pt idx="276">
                  <c:v>30</c:v>
                </c:pt>
                <c:pt idx="277">
                  <c:v>32</c:v>
                </c:pt>
                <c:pt idx="278">
                  <c:v>32</c:v>
                </c:pt>
                <c:pt idx="279">
                  <c:v>27</c:v>
                </c:pt>
                <c:pt idx="280">
                  <c:v>30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29</c:v>
                </c:pt>
                <c:pt idx="286">
                  <c:v>38</c:v>
                </c:pt>
                <c:pt idx="287">
                  <c:v>29</c:v>
                </c:pt>
                <c:pt idx="288">
                  <c:v>23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29</c:v>
                </c:pt>
                <c:pt idx="293">
                  <c:v>22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22</c:v>
                </c:pt>
                <c:pt idx="298">
                  <c:v>23</c:v>
                </c:pt>
                <c:pt idx="299">
                  <c:v>26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33</c:v>
                </c:pt>
                <c:pt idx="304">
                  <c:v>33</c:v>
                </c:pt>
                <c:pt idx="305">
                  <c:v>30</c:v>
                </c:pt>
                <c:pt idx="306">
                  <c:v>26</c:v>
                </c:pt>
                <c:pt idx="307">
                  <c:v>27</c:v>
                </c:pt>
                <c:pt idx="308">
                  <c:v>30</c:v>
                </c:pt>
                <c:pt idx="309">
                  <c:v>30</c:v>
                </c:pt>
                <c:pt idx="310">
                  <c:v>23</c:v>
                </c:pt>
                <c:pt idx="311">
                  <c:v>30</c:v>
                </c:pt>
                <c:pt idx="312">
                  <c:v>24</c:v>
                </c:pt>
                <c:pt idx="313">
                  <c:v>31</c:v>
                </c:pt>
                <c:pt idx="314">
                  <c:v>39</c:v>
                </c:pt>
                <c:pt idx="315">
                  <c:v>35</c:v>
                </c:pt>
                <c:pt idx="316">
                  <c:v>24</c:v>
                </c:pt>
                <c:pt idx="317">
                  <c:v>38</c:v>
                </c:pt>
                <c:pt idx="318">
                  <c:v>29</c:v>
                </c:pt>
                <c:pt idx="319">
                  <c:v>28</c:v>
                </c:pt>
                <c:pt idx="320">
                  <c:v>28</c:v>
                </c:pt>
                <c:pt idx="321">
                  <c:v>29</c:v>
                </c:pt>
                <c:pt idx="322">
                  <c:v>24</c:v>
                </c:pt>
                <c:pt idx="323">
                  <c:v>32</c:v>
                </c:pt>
                <c:pt idx="324">
                  <c:v>37</c:v>
                </c:pt>
                <c:pt idx="325">
                  <c:v>31</c:v>
                </c:pt>
                <c:pt idx="326">
                  <c:v>25</c:v>
                </c:pt>
                <c:pt idx="327">
                  <c:v>39</c:v>
                </c:pt>
                <c:pt idx="328">
                  <c:v>27</c:v>
                </c:pt>
                <c:pt idx="329">
                  <c:v>32</c:v>
                </c:pt>
                <c:pt idx="330">
                  <c:v>33</c:v>
                </c:pt>
                <c:pt idx="331">
                  <c:v>25</c:v>
                </c:pt>
                <c:pt idx="332">
                  <c:v>32</c:v>
                </c:pt>
                <c:pt idx="333">
                  <c:v>32</c:v>
                </c:pt>
                <c:pt idx="334">
                  <c:v>30</c:v>
                </c:pt>
                <c:pt idx="335">
                  <c:v>30</c:v>
                </c:pt>
                <c:pt idx="336">
                  <c:v>26</c:v>
                </c:pt>
                <c:pt idx="337">
                  <c:v>25</c:v>
                </c:pt>
                <c:pt idx="338">
                  <c:v>30</c:v>
                </c:pt>
                <c:pt idx="339">
                  <c:v>29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35</c:v>
                </c:pt>
                <c:pt idx="345">
                  <c:v>32</c:v>
                </c:pt>
                <c:pt idx="346">
                  <c:v>32</c:v>
                </c:pt>
                <c:pt idx="347">
                  <c:v>25</c:v>
                </c:pt>
                <c:pt idx="348">
                  <c:v>23</c:v>
                </c:pt>
                <c:pt idx="349">
                  <c:v>30</c:v>
                </c:pt>
                <c:pt idx="350">
                  <c:v>23</c:v>
                </c:pt>
                <c:pt idx="351">
                  <c:v>23</c:v>
                </c:pt>
                <c:pt idx="352">
                  <c:v>29</c:v>
                </c:pt>
                <c:pt idx="353">
                  <c:v>35</c:v>
                </c:pt>
                <c:pt idx="354">
                  <c:v>33</c:v>
                </c:pt>
                <c:pt idx="355">
                  <c:v>31</c:v>
                </c:pt>
                <c:pt idx="356">
                  <c:v>33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22</c:v>
                </c:pt>
                <c:pt idx="362">
                  <c:v>30</c:v>
                </c:pt>
                <c:pt idx="363">
                  <c:v>25</c:v>
                </c:pt>
                <c:pt idx="364">
                  <c:v>40</c:v>
                </c:pt>
                <c:pt idx="365">
                  <c:v>26</c:v>
                </c:pt>
                <c:pt idx="366">
                  <c:v>39</c:v>
                </c:pt>
                <c:pt idx="367">
                  <c:v>23</c:v>
                </c:pt>
                <c:pt idx="368">
                  <c:v>33</c:v>
                </c:pt>
                <c:pt idx="369">
                  <c:v>22</c:v>
                </c:pt>
                <c:pt idx="370">
                  <c:v>30</c:v>
                </c:pt>
                <c:pt idx="371">
                  <c:v>30</c:v>
                </c:pt>
                <c:pt idx="372">
                  <c:v>27</c:v>
                </c:pt>
                <c:pt idx="373">
                  <c:v>28</c:v>
                </c:pt>
                <c:pt idx="374">
                  <c:v>23</c:v>
                </c:pt>
                <c:pt idx="375">
                  <c:v>38</c:v>
                </c:pt>
                <c:pt idx="376">
                  <c:v>34</c:v>
                </c:pt>
                <c:pt idx="377">
                  <c:v>32</c:v>
                </c:pt>
                <c:pt idx="378">
                  <c:v>31</c:v>
                </c:pt>
                <c:pt idx="379">
                  <c:v>31</c:v>
                </c:pt>
                <c:pt idx="380">
                  <c:v>45</c:v>
                </c:pt>
                <c:pt idx="381">
                  <c:v>38</c:v>
                </c:pt>
                <c:pt idx="382">
                  <c:v>31</c:v>
                </c:pt>
                <c:pt idx="383">
                  <c:v>25</c:v>
                </c:pt>
                <c:pt idx="384">
                  <c:v>40</c:v>
                </c:pt>
                <c:pt idx="385">
                  <c:v>27</c:v>
                </c:pt>
                <c:pt idx="386">
                  <c:v>29</c:v>
                </c:pt>
                <c:pt idx="387">
                  <c:v>27</c:v>
                </c:pt>
                <c:pt idx="388">
                  <c:v>38</c:v>
                </c:pt>
                <c:pt idx="389">
                  <c:v>36</c:v>
                </c:pt>
                <c:pt idx="390">
                  <c:v>41</c:v>
                </c:pt>
                <c:pt idx="391">
                  <c:v>34</c:v>
                </c:pt>
                <c:pt idx="392">
                  <c:v>36</c:v>
                </c:pt>
                <c:pt idx="393">
                  <c:v>34</c:v>
                </c:pt>
                <c:pt idx="394">
                  <c:v>42</c:v>
                </c:pt>
                <c:pt idx="395">
                  <c:v>23</c:v>
                </c:pt>
                <c:pt idx="396">
                  <c:v>45</c:v>
                </c:pt>
                <c:pt idx="397">
                  <c:v>31</c:v>
                </c:pt>
                <c:pt idx="398">
                  <c:v>38</c:v>
                </c:pt>
                <c:pt idx="399">
                  <c:v>37</c:v>
                </c:pt>
                <c:pt idx="400">
                  <c:v>22</c:v>
                </c:pt>
                <c:pt idx="401">
                  <c:v>40</c:v>
                </c:pt>
                <c:pt idx="402">
                  <c:v>32</c:v>
                </c:pt>
                <c:pt idx="403">
                  <c:v>33</c:v>
                </c:pt>
                <c:pt idx="404">
                  <c:v>40</c:v>
                </c:pt>
                <c:pt idx="405">
                  <c:v>35</c:v>
                </c:pt>
                <c:pt idx="406">
                  <c:v>35</c:v>
                </c:pt>
                <c:pt idx="407">
                  <c:v>35</c:v>
                </c:pt>
                <c:pt idx="408">
                  <c:v>32</c:v>
                </c:pt>
                <c:pt idx="409">
                  <c:v>39</c:v>
                </c:pt>
                <c:pt idx="410">
                  <c:v>45</c:v>
                </c:pt>
                <c:pt idx="411">
                  <c:v>38</c:v>
                </c:pt>
                <c:pt idx="412">
                  <c:v>27</c:v>
                </c:pt>
                <c:pt idx="413">
                  <c:v>45</c:v>
                </c:pt>
                <c:pt idx="414">
                  <c:v>32</c:v>
                </c:pt>
                <c:pt idx="415">
                  <c:v>35</c:v>
                </c:pt>
                <c:pt idx="416">
                  <c:v>25</c:v>
                </c:pt>
                <c:pt idx="417">
                  <c:v>25</c:v>
                </c:pt>
                <c:pt idx="418">
                  <c:v>36</c:v>
                </c:pt>
                <c:pt idx="419">
                  <c:v>35</c:v>
                </c:pt>
                <c:pt idx="420">
                  <c:v>30</c:v>
                </c:pt>
                <c:pt idx="421">
                  <c:v>22</c:v>
                </c:pt>
                <c:pt idx="422">
                  <c:v>33</c:v>
                </c:pt>
                <c:pt idx="423">
                  <c:v>45</c:v>
                </c:pt>
                <c:pt idx="424">
                  <c:v>29</c:v>
                </c:pt>
                <c:pt idx="425">
                  <c:v>41</c:v>
                </c:pt>
                <c:pt idx="426">
                  <c:v>26</c:v>
                </c:pt>
                <c:pt idx="427">
                  <c:v>24</c:v>
                </c:pt>
                <c:pt idx="428">
                  <c:v>38</c:v>
                </c:pt>
                <c:pt idx="429">
                  <c:v>33</c:v>
                </c:pt>
                <c:pt idx="430">
                  <c:v>33</c:v>
                </c:pt>
                <c:pt idx="431">
                  <c:v>27</c:v>
                </c:pt>
                <c:pt idx="432">
                  <c:v>31</c:v>
                </c:pt>
                <c:pt idx="433">
                  <c:v>36</c:v>
                </c:pt>
                <c:pt idx="434">
                  <c:v>30</c:v>
                </c:pt>
                <c:pt idx="435">
                  <c:v>30</c:v>
                </c:pt>
                <c:pt idx="436">
                  <c:v>36</c:v>
                </c:pt>
                <c:pt idx="437">
                  <c:v>36</c:v>
                </c:pt>
                <c:pt idx="438">
                  <c:v>37</c:v>
                </c:pt>
                <c:pt idx="439">
                  <c:v>26</c:v>
                </c:pt>
                <c:pt idx="440">
                  <c:v>34</c:v>
                </c:pt>
                <c:pt idx="441">
                  <c:v>42</c:v>
                </c:pt>
                <c:pt idx="442">
                  <c:v>43</c:v>
                </c:pt>
                <c:pt idx="443">
                  <c:v>33</c:v>
                </c:pt>
                <c:pt idx="444">
                  <c:v>38</c:v>
                </c:pt>
                <c:pt idx="445">
                  <c:v>33</c:v>
                </c:pt>
                <c:pt idx="446">
                  <c:v>31</c:v>
                </c:pt>
                <c:pt idx="447">
                  <c:v>43</c:v>
                </c:pt>
                <c:pt idx="448">
                  <c:v>24</c:v>
                </c:pt>
                <c:pt idx="449">
                  <c:v>36</c:v>
                </c:pt>
                <c:pt idx="450">
                  <c:v>36</c:v>
                </c:pt>
                <c:pt idx="451">
                  <c:v>32</c:v>
                </c:pt>
                <c:pt idx="452">
                  <c:v>35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28</c:v>
                </c:pt>
                <c:pt idx="457">
                  <c:v>42</c:v>
                </c:pt>
                <c:pt idx="458">
                  <c:v>37</c:v>
                </c:pt>
                <c:pt idx="459">
                  <c:v>31</c:v>
                </c:pt>
                <c:pt idx="460">
                  <c:v>29</c:v>
                </c:pt>
                <c:pt idx="461">
                  <c:v>28</c:v>
                </c:pt>
                <c:pt idx="462">
                  <c:v>34</c:v>
                </c:pt>
                <c:pt idx="463">
                  <c:v>35</c:v>
                </c:pt>
                <c:pt idx="464">
                  <c:v>35</c:v>
                </c:pt>
                <c:pt idx="465">
                  <c:v>44</c:v>
                </c:pt>
                <c:pt idx="466">
                  <c:v>31</c:v>
                </c:pt>
                <c:pt idx="467">
                  <c:v>43</c:v>
                </c:pt>
                <c:pt idx="468">
                  <c:v>34</c:v>
                </c:pt>
                <c:pt idx="469">
                  <c:v>23</c:v>
                </c:pt>
                <c:pt idx="470">
                  <c:v>26</c:v>
                </c:pt>
                <c:pt idx="471">
                  <c:v>38</c:v>
                </c:pt>
                <c:pt idx="472">
                  <c:v>32</c:v>
                </c:pt>
                <c:pt idx="473">
                  <c:v>32</c:v>
                </c:pt>
                <c:pt idx="474">
                  <c:v>35</c:v>
                </c:pt>
                <c:pt idx="475">
                  <c:v>32</c:v>
                </c:pt>
                <c:pt idx="476">
                  <c:v>35</c:v>
                </c:pt>
                <c:pt idx="477">
                  <c:v>36</c:v>
                </c:pt>
                <c:pt idx="478">
                  <c:v>29</c:v>
                </c:pt>
                <c:pt idx="479">
                  <c:v>44</c:v>
                </c:pt>
                <c:pt idx="480">
                  <c:v>38</c:v>
                </c:pt>
                <c:pt idx="481">
                  <c:v>40</c:v>
                </c:pt>
                <c:pt idx="482">
                  <c:v>40</c:v>
                </c:pt>
                <c:pt idx="483">
                  <c:v>38</c:v>
                </c:pt>
                <c:pt idx="484">
                  <c:v>34</c:v>
                </c:pt>
                <c:pt idx="485">
                  <c:v>32</c:v>
                </c:pt>
                <c:pt idx="486">
                  <c:v>33</c:v>
                </c:pt>
                <c:pt idx="487">
                  <c:v>33</c:v>
                </c:pt>
                <c:pt idx="488">
                  <c:v>32</c:v>
                </c:pt>
                <c:pt idx="489">
                  <c:v>32</c:v>
                </c:pt>
                <c:pt idx="490">
                  <c:v>35</c:v>
                </c:pt>
                <c:pt idx="491">
                  <c:v>32</c:v>
                </c:pt>
                <c:pt idx="492">
                  <c:v>36</c:v>
                </c:pt>
                <c:pt idx="493">
                  <c:v>36</c:v>
                </c:pt>
                <c:pt idx="494">
                  <c:v>35</c:v>
                </c:pt>
                <c:pt idx="495">
                  <c:v>27</c:v>
                </c:pt>
                <c:pt idx="496">
                  <c:v>22</c:v>
                </c:pt>
                <c:pt idx="497">
                  <c:v>34</c:v>
                </c:pt>
                <c:pt idx="498">
                  <c:v>38</c:v>
                </c:pt>
                <c:pt idx="499">
                  <c:v>29</c:v>
                </c:pt>
                <c:pt idx="500">
                  <c:v>44</c:v>
                </c:pt>
                <c:pt idx="501">
                  <c:v>46</c:v>
                </c:pt>
                <c:pt idx="502">
                  <c:v>23</c:v>
                </c:pt>
                <c:pt idx="503">
                  <c:v>39</c:v>
                </c:pt>
                <c:pt idx="504">
                  <c:v>38</c:v>
                </c:pt>
                <c:pt idx="505">
                  <c:v>34</c:v>
                </c:pt>
                <c:pt idx="506">
                  <c:v>33</c:v>
                </c:pt>
                <c:pt idx="507">
                  <c:v>38</c:v>
                </c:pt>
                <c:pt idx="508">
                  <c:v>36</c:v>
                </c:pt>
                <c:pt idx="509">
                  <c:v>22</c:v>
                </c:pt>
                <c:pt idx="510">
                  <c:v>36</c:v>
                </c:pt>
                <c:pt idx="511">
                  <c:v>30</c:v>
                </c:pt>
                <c:pt idx="512">
                  <c:v>37</c:v>
                </c:pt>
                <c:pt idx="513">
                  <c:v>26</c:v>
                </c:pt>
                <c:pt idx="514">
                  <c:v>28</c:v>
                </c:pt>
                <c:pt idx="515">
                  <c:v>41</c:v>
                </c:pt>
                <c:pt idx="516">
                  <c:v>30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47</c:v>
                </c:pt>
                <c:pt idx="521">
                  <c:v>23</c:v>
                </c:pt>
                <c:pt idx="522">
                  <c:v>36</c:v>
                </c:pt>
                <c:pt idx="523">
                  <c:v>23</c:v>
                </c:pt>
                <c:pt idx="524">
                  <c:v>49</c:v>
                </c:pt>
                <c:pt idx="525">
                  <c:v>45</c:v>
                </c:pt>
                <c:pt idx="526">
                  <c:v>34</c:v>
                </c:pt>
                <c:pt idx="527">
                  <c:v>34</c:v>
                </c:pt>
                <c:pt idx="528">
                  <c:v>32</c:v>
                </c:pt>
                <c:pt idx="529">
                  <c:v>46</c:v>
                </c:pt>
                <c:pt idx="530">
                  <c:v>40</c:v>
                </c:pt>
                <c:pt idx="531">
                  <c:v>35</c:v>
                </c:pt>
                <c:pt idx="532">
                  <c:v>22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34</c:v>
                </c:pt>
                <c:pt idx="537">
                  <c:v>39</c:v>
                </c:pt>
                <c:pt idx="538">
                  <c:v>37</c:v>
                </c:pt>
                <c:pt idx="539">
                  <c:v>37</c:v>
                </c:pt>
                <c:pt idx="540">
                  <c:v>39</c:v>
                </c:pt>
                <c:pt idx="541">
                  <c:v>37</c:v>
                </c:pt>
                <c:pt idx="542">
                  <c:v>48</c:v>
                </c:pt>
                <c:pt idx="543">
                  <c:v>45</c:v>
                </c:pt>
                <c:pt idx="544">
                  <c:v>31</c:v>
                </c:pt>
                <c:pt idx="545">
                  <c:v>24</c:v>
                </c:pt>
                <c:pt idx="546">
                  <c:v>26</c:v>
                </c:pt>
                <c:pt idx="547">
                  <c:v>34</c:v>
                </c:pt>
                <c:pt idx="548">
                  <c:v>42</c:v>
                </c:pt>
                <c:pt idx="549">
                  <c:v>31</c:v>
                </c:pt>
                <c:pt idx="550">
                  <c:v>47</c:v>
                </c:pt>
                <c:pt idx="551">
                  <c:v>52</c:v>
                </c:pt>
                <c:pt idx="552">
                  <c:v>25</c:v>
                </c:pt>
                <c:pt idx="553">
                  <c:v>31</c:v>
                </c:pt>
                <c:pt idx="554">
                  <c:v>37</c:v>
                </c:pt>
                <c:pt idx="555">
                  <c:v>29</c:v>
                </c:pt>
                <c:pt idx="556">
                  <c:v>40</c:v>
                </c:pt>
                <c:pt idx="557">
                  <c:v>40</c:v>
                </c:pt>
                <c:pt idx="558">
                  <c:v>37</c:v>
                </c:pt>
                <c:pt idx="559">
                  <c:v>36</c:v>
                </c:pt>
                <c:pt idx="560">
                  <c:v>38</c:v>
                </c:pt>
                <c:pt idx="561">
                  <c:v>33</c:v>
                </c:pt>
                <c:pt idx="562">
                  <c:v>45</c:v>
                </c:pt>
                <c:pt idx="563">
                  <c:v>24</c:v>
                </c:pt>
                <c:pt idx="564">
                  <c:v>33</c:v>
                </c:pt>
                <c:pt idx="565">
                  <c:v>35</c:v>
                </c:pt>
                <c:pt idx="566">
                  <c:v>35</c:v>
                </c:pt>
                <c:pt idx="567">
                  <c:v>52</c:v>
                </c:pt>
                <c:pt idx="568">
                  <c:v>35</c:v>
                </c:pt>
                <c:pt idx="569">
                  <c:v>53</c:v>
                </c:pt>
                <c:pt idx="570">
                  <c:v>38</c:v>
                </c:pt>
                <c:pt idx="571">
                  <c:v>25</c:v>
                </c:pt>
                <c:pt idx="572">
                  <c:v>38</c:v>
                </c:pt>
                <c:pt idx="573">
                  <c:v>49</c:v>
                </c:pt>
                <c:pt idx="574">
                  <c:v>38</c:v>
                </c:pt>
                <c:pt idx="575">
                  <c:v>38</c:v>
                </c:pt>
                <c:pt idx="576">
                  <c:v>41</c:v>
                </c:pt>
                <c:pt idx="577">
                  <c:v>35</c:v>
                </c:pt>
                <c:pt idx="578">
                  <c:v>40</c:v>
                </c:pt>
                <c:pt idx="579">
                  <c:v>29</c:v>
                </c:pt>
                <c:pt idx="580">
                  <c:v>25</c:v>
                </c:pt>
                <c:pt idx="581">
                  <c:v>29</c:v>
                </c:pt>
                <c:pt idx="582">
                  <c:v>46</c:v>
                </c:pt>
                <c:pt idx="583">
                  <c:v>33</c:v>
                </c:pt>
                <c:pt idx="584">
                  <c:v>48</c:v>
                </c:pt>
                <c:pt idx="585">
                  <c:v>29</c:v>
                </c:pt>
                <c:pt idx="586">
                  <c:v>27</c:v>
                </c:pt>
                <c:pt idx="587">
                  <c:v>39</c:v>
                </c:pt>
                <c:pt idx="588">
                  <c:v>38</c:v>
                </c:pt>
                <c:pt idx="589">
                  <c:v>39</c:v>
                </c:pt>
                <c:pt idx="590">
                  <c:v>38</c:v>
                </c:pt>
                <c:pt idx="591">
                  <c:v>33</c:v>
                </c:pt>
                <c:pt idx="592">
                  <c:v>42</c:v>
                </c:pt>
                <c:pt idx="593">
                  <c:v>36</c:v>
                </c:pt>
                <c:pt idx="594">
                  <c:v>36</c:v>
                </c:pt>
                <c:pt idx="595">
                  <c:v>35</c:v>
                </c:pt>
                <c:pt idx="596">
                  <c:v>42</c:v>
                </c:pt>
                <c:pt idx="597">
                  <c:v>47</c:v>
                </c:pt>
                <c:pt idx="598">
                  <c:v>22</c:v>
                </c:pt>
                <c:pt idx="599">
                  <c:v>43</c:v>
                </c:pt>
                <c:pt idx="600">
                  <c:v>33</c:v>
                </c:pt>
                <c:pt idx="601">
                  <c:v>27</c:v>
                </c:pt>
                <c:pt idx="602">
                  <c:v>31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</c:v>
                </c:pt>
                <c:pt idx="607">
                  <c:v>36</c:v>
                </c:pt>
                <c:pt idx="608">
                  <c:v>37</c:v>
                </c:pt>
                <c:pt idx="609">
                  <c:v>37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39</c:v>
                </c:pt>
                <c:pt idx="614">
                  <c:v>52</c:v>
                </c:pt>
                <c:pt idx="615">
                  <c:v>22</c:v>
                </c:pt>
                <c:pt idx="616">
                  <c:v>26</c:v>
                </c:pt>
                <c:pt idx="617">
                  <c:v>32</c:v>
                </c:pt>
                <c:pt idx="618">
                  <c:v>52</c:v>
                </c:pt>
                <c:pt idx="619">
                  <c:v>34</c:v>
                </c:pt>
                <c:pt idx="620">
                  <c:v>35</c:v>
                </c:pt>
                <c:pt idx="621">
                  <c:v>54</c:v>
                </c:pt>
                <c:pt idx="622">
                  <c:v>37</c:v>
                </c:pt>
                <c:pt idx="623">
                  <c:v>32</c:v>
                </c:pt>
                <c:pt idx="624">
                  <c:v>40</c:v>
                </c:pt>
                <c:pt idx="625">
                  <c:v>37</c:v>
                </c:pt>
                <c:pt idx="626">
                  <c:v>40</c:v>
                </c:pt>
                <c:pt idx="627">
                  <c:v>42</c:v>
                </c:pt>
                <c:pt idx="628">
                  <c:v>38</c:v>
                </c:pt>
                <c:pt idx="629">
                  <c:v>37</c:v>
                </c:pt>
                <c:pt idx="630">
                  <c:v>42</c:v>
                </c:pt>
                <c:pt idx="631">
                  <c:v>42</c:v>
                </c:pt>
                <c:pt idx="632">
                  <c:v>41</c:v>
                </c:pt>
                <c:pt idx="633">
                  <c:v>51</c:v>
                </c:pt>
                <c:pt idx="634">
                  <c:v>44</c:v>
                </c:pt>
                <c:pt idx="635">
                  <c:v>35</c:v>
                </c:pt>
                <c:pt idx="636">
                  <c:v>34</c:v>
                </c:pt>
                <c:pt idx="637">
                  <c:v>48</c:v>
                </c:pt>
                <c:pt idx="638">
                  <c:v>44</c:v>
                </c:pt>
                <c:pt idx="639">
                  <c:v>40</c:v>
                </c:pt>
                <c:pt idx="640">
                  <c:v>53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42</c:v>
                </c:pt>
                <c:pt idx="645">
                  <c:v>42</c:v>
                </c:pt>
                <c:pt idx="646">
                  <c:v>38</c:v>
                </c:pt>
                <c:pt idx="647">
                  <c:v>45</c:v>
                </c:pt>
                <c:pt idx="648">
                  <c:v>46</c:v>
                </c:pt>
                <c:pt idx="649">
                  <c:v>27</c:v>
                </c:pt>
                <c:pt idx="650">
                  <c:v>52</c:v>
                </c:pt>
                <c:pt idx="651">
                  <c:v>41</c:v>
                </c:pt>
                <c:pt idx="652">
                  <c:v>40</c:v>
                </c:pt>
                <c:pt idx="653">
                  <c:v>43</c:v>
                </c:pt>
                <c:pt idx="654">
                  <c:v>38</c:v>
                </c:pt>
                <c:pt idx="655">
                  <c:v>48</c:v>
                </c:pt>
                <c:pt idx="656">
                  <c:v>32</c:v>
                </c:pt>
                <c:pt idx="657">
                  <c:v>39</c:v>
                </c:pt>
                <c:pt idx="658">
                  <c:v>43</c:v>
                </c:pt>
                <c:pt idx="659">
                  <c:v>48</c:v>
                </c:pt>
                <c:pt idx="660">
                  <c:v>43</c:v>
                </c:pt>
                <c:pt idx="661">
                  <c:v>42</c:v>
                </c:pt>
                <c:pt idx="662">
                  <c:v>54</c:v>
                </c:pt>
                <c:pt idx="663">
                  <c:v>34</c:v>
                </c:pt>
                <c:pt idx="664">
                  <c:v>52</c:v>
                </c:pt>
                <c:pt idx="665">
                  <c:v>45</c:v>
                </c:pt>
                <c:pt idx="666">
                  <c:v>33</c:v>
                </c:pt>
                <c:pt idx="667">
                  <c:v>45</c:v>
                </c:pt>
                <c:pt idx="668">
                  <c:v>55</c:v>
                </c:pt>
                <c:pt idx="669">
                  <c:v>39</c:v>
                </c:pt>
                <c:pt idx="670">
                  <c:v>54</c:v>
                </c:pt>
                <c:pt idx="671">
                  <c:v>33</c:v>
                </c:pt>
                <c:pt idx="672">
                  <c:v>43</c:v>
                </c:pt>
                <c:pt idx="673">
                  <c:v>22</c:v>
                </c:pt>
                <c:pt idx="674">
                  <c:v>46</c:v>
                </c:pt>
                <c:pt idx="675">
                  <c:v>54</c:v>
                </c:pt>
                <c:pt idx="676">
                  <c:v>24</c:v>
                </c:pt>
                <c:pt idx="677">
                  <c:v>55</c:v>
                </c:pt>
                <c:pt idx="678">
                  <c:v>39</c:v>
                </c:pt>
                <c:pt idx="679">
                  <c:v>31</c:v>
                </c:pt>
                <c:pt idx="680">
                  <c:v>39</c:v>
                </c:pt>
                <c:pt idx="681">
                  <c:v>41</c:v>
                </c:pt>
                <c:pt idx="682">
                  <c:v>42</c:v>
                </c:pt>
                <c:pt idx="683">
                  <c:v>33</c:v>
                </c:pt>
                <c:pt idx="684">
                  <c:v>44</c:v>
                </c:pt>
                <c:pt idx="685">
                  <c:v>44</c:v>
                </c:pt>
                <c:pt idx="686">
                  <c:v>39</c:v>
                </c:pt>
                <c:pt idx="687">
                  <c:v>33</c:v>
                </c:pt>
                <c:pt idx="688">
                  <c:v>32</c:v>
                </c:pt>
                <c:pt idx="689">
                  <c:v>39</c:v>
                </c:pt>
                <c:pt idx="690">
                  <c:v>23</c:v>
                </c:pt>
                <c:pt idx="691">
                  <c:v>22</c:v>
                </c:pt>
                <c:pt idx="692">
                  <c:v>46</c:v>
                </c:pt>
                <c:pt idx="693">
                  <c:v>46</c:v>
                </c:pt>
                <c:pt idx="694">
                  <c:v>37</c:v>
                </c:pt>
                <c:pt idx="695">
                  <c:v>42</c:v>
                </c:pt>
                <c:pt idx="696">
                  <c:v>42</c:v>
                </c:pt>
                <c:pt idx="697">
                  <c:v>56</c:v>
                </c:pt>
                <c:pt idx="698">
                  <c:v>46</c:v>
                </c:pt>
                <c:pt idx="699">
                  <c:v>52</c:v>
                </c:pt>
                <c:pt idx="700">
                  <c:v>38</c:v>
                </c:pt>
                <c:pt idx="701">
                  <c:v>52</c:v>
                </c:pt>
                <c:pt idx="702">
                  <c:v>46</c:v>
                </c:pt>
                <c:pt idx="703">
                  <c:v>37</c:v>
                </c:pt>
                <c:pt idx="704">
                  <c:v>30</c:v>
                </c:pt>
                <c:pt idx="705">
                  <c:v>32</c:v>
                </c:pt>
                <c:pt idx="706">
                  <c:v>42</c:v>
                </c:pt>
                <c:pt idx="707">
                  <c:v>47</c:v>
                </c:pt>
                <c:pt idx="708">
                  <c:v>42</c:v>
                </c:pt>
                <c:pt idx="709">
                  <c:v>42</c:v>
                </c:pt>
                <c:pt idx="710">
                  <c:v>56</c:v>
                </c:pt>
                <c:pt idx="711">
                  <c:v>31</c:v>
                </c:pt>
                <c:pt idx="712">
                  <c:v>41</c:v>
                </c:pt>
                <c:pt idx="713">
                  <c:v>35</c:v>
                </c:pt>
                <c:pt idx="714">
                  <c:v>43</c:v>
                </c:pt>
                <c:pt idx="715">
                  <c:v>43</c:v>
                </c:pt>
                <c:pt idx="716">
                  <c:v>36</c:v>
                </c:pt>
                <c:pt idx="717">
                  <c:v>57</c:v>
                </c:pt>
                <c:pt idx="718">
                  <c:v>48</c:v>
                </c:pt>
                <c:pt idx="719">
                  <c:v>50</c:v>
                </c:pt>
                <c:pt idx="720">
                  <c:v>56</c:v>
                </c:pt>
                <c:pt idx="721">
                  <c:v>53</c:v>
                </c:pt>
                <c:pt idx="722">
                  <c:v>41</c:v>
                </c:pt>
                <c:pt idx="723">
                  <c:v>42</c:v>
                </c:pt>
                <c:pt idx="724">
                  <c:v>41</c:v>
                </c:pt>
                <c:pt idx="725">
                  <c:v>56</c:v>
                </c:pt>
                <c:pt idx="726">
                  <c:v>38</c:v>
                </c:pt>
                <c:pt idx="727">
                  <c:v>45</c:v>
                </c:pt>
                <c:pt idx="728">
                  <c:v>45</c:v>
                </c:pt>
                <c:pt idx="729">
                  <c:v>38</c:v>
                </c:pt>
                <c:pt idx="730">
                  <c:v>41</c:v>
                </c:pt>
                <c:pt idx="731">
                  <c:v>41</c:v>
                </c:pt>
                <c:pt idx="732">
                  <c:v>41</c:v>
                </c:pt>
                <c:pt idx="733">
                  <c:v>27</c:v>
                </c:pt>
                <c:pt idx="734">
                  <c:v>34</c:v>
                </c:pt>
                <c:pt idx="735">
                  <c:v>54</c:v>
                </c:pt>
                <c:pt idx="736">
                  <c:v>48</c:v>
                </c:pt>
                <c:pt idx="737">
                  <c:v>43</c:v>
                </c:pt>
                <c:pt idx="738">
                  <c:v>47</c:v>
                </c:pt>
                <c:pt idx="739">
                  <c:v>54</c:v>
                </c:pt>
                <c:pt idx="740">
                  <c:v>54</c:v>
                </c:pt>
                <c:pt idx="741">
                  <c:v>56</c:v>
                </c:pt>
                <c:pt idx="742">
                  <c:v>31</c:v>
                </c:pt>
                <c:pt idx="743">
                  <c:v>42</c:v>
                </c:pt>
                <c:pt idx="744">
                  <c:v>45</c:v>
                </c:pt>
                <c:pt idx="745">
                  <c:v>33</c:v>
                </c:pt>
                <c:pt idx="746">
                  <c:v>45</c:v>
                </c:pt>
                <c:pt idx="747">
                  <c:v>45</c:v>
                </c:pt>
                <c:pt idx="748">
                  <c:v>30</c:v>
                </c:pt>
                <c:pt idx="749">
                  <c:v>52</c:v>
                </c:pt>
                <c:pt idx="750">
                  <c:v>57</c:v>
                </c:pt>
                <c:pt idx="751">
                  <c:v>22</c:v>
                </c:pt>
                <c:pt idx="752">
                  <c:v>41</c:v>
                </c:pt>
                <c:pt idx="753">
                  <c:v>41</c:v>
                </c:pt>
                <c:pt idx="754">
                  <c:v>36</c:v>
                </c:pt>
                <c:pt idx="755">
                  <c:v>40</c:v>
                </c:pt>
                <c:pt idx="756">
                  <c:v>43</c:v>
                </c:pt>
                <c:pt idx="757">
                  <c:v>43</c:v>
                </c:pt>
                <c:pt idx="758">
                  <c:v>46</c:v>
                </c:pt>
                <c:pt idx="759">
                  <c:v>37</c:v>
                </c:pt>
                <c:pt idx="760">
                  <c:v>30</c:v>
                </c:pt>
                <c:pt idx="761">
                  <c:v>56</c:v>
                </c:pt>
                <c:pt idx="762">
                  <c:v>42</c:v>
                </c:pt>
                <c:pt idx="763">
                  <c:v>50</c:v>
                </c:pt>
                <c:pt idx="764">
                  <c:v>44</c:v>
                </c:pt>
                <c:pt idx="765">
                  <c:v>29</c:v>
                </c:pt>
                <c:pt idx="766">
                  <c:v>44</c:v>
                </c:pt>
                <c:pt idx="767">
                  <c:v>39</c:v>
                </c:pt>
                <c:pt idx="768">
                  <c:v>41</c:v>
                </c:pt>
                <c:pt idx="769">
                  <c:v>56</c:v>
                </c:pt>
                <c:pt idx="770">
                  <c:v>55</c:v>
                </c:pt>
                <c:pt idx="771">
                  <c:v>39</c:v>
                </c:pt>
                <c:pt idx="772">
                  <c:v>50</c:v>
                </c:pt>
                <c:pt idx="773">
                  <c:v>51</c:v>
                </c:pt>
                <c:pt idx="774">
                  <c:v>41</c:v>
                </c:pt>
                <c:pt idx="775">
                  <c:v>42</c:v>
                </c:pt>
                <c:pt idx="776">
                  <c:v>42</c:v>
                </c:pt>
                <c:pt idx="777">
                  <c:v>45</c:v>
                </c:pt>
                <c:pt idx="778">
                  <c:v>46</c:v>
                </c:pt>
                <c:pt idx="779">
                  <c:v>56</c:v>
                </c:pt>
                <c:pt idx="780">
                  <c:v>44</c:v>
                </c:pt>
                <c:pt idx="781">
                  <c:v>44</c:v>
                </c:pt>
                <c:pt idx="782">
                  <c:v>32</c:v>
                </c:pt>
                <c:pt idx="783">
                  <c:v>50</c:v>
                </c:pt>
                <c:pt idx="784">
                  <c:v>44</c:v>
                </c:pt>
                <c:pt idx="785">
                  <c:v>44</c:v>
                </c:pt>
                <c:pt idx="786">
                  <c:v>57</c:v>
                </c:pt>
                <c:pt idx="787">
                  <c:v>40</c:v>
                </c:pt>
                <c:pt idx="788">
                  <c:v>37</c:v>
                </c:pt>
                <c:pt idx="789">
                  <c:v>58</c:v>
                </c:pt>
                <c:pt idx="790">
                  <c:v>42</c:v>
                </c:pt>
                <c:pt idx="791">
                  <c:v>45</c:v>
                </c:pt>
                <c:pt idx="792">
                  <c:v>42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53</c:v>
                </c:pt>
                <c:pt idx="798">
                  <c:v>23</c:v>
                </c:pt>
                <c:pt idx="799">
                  <c:v>36</c:v>
                </c:pt>
                <c:pt idx="800">
                  <c:v>42</c:v>
                </c:pt>
                <c:pt idx="801">
                  <c:v>56</c:v>
                </c:pt>
                <c:pt idx="802">
                  <c:v>42</c:v>
                </c:pt>
                <c:pt idx="803">
                  <c:v>37</c:v>
                </c:pt>
                <c:pt idx="804">
                  <c:v>44</c:v>
                </c:pt>
                <c:pt idx="805">
                  <c:v>45</c:v>
                </c:pt>
                <c:pt idx="806">
                  <c:v>37</c:v>
                </c:pt>
                <c:pt idx="807">
                  <c:v>41</c:v>
                </c:pt>
                <c:pt idx="808">
                  <c:v>58</c:v>
                </c:pt>
                <c:pt idx="809">
                  <c:v>55</c:v>
                </c:pt>
                <c:pt idx="810">
                  <c:v>43</c:v>
                </c:pt>
                <c:pt idx="811">
                  <c:v>32</c:v>
                </c:pt>
                <c:pt idx="812">
                  <c:v>48</c:v>
                </c:pt>
                <c:pt idx="813">
                  <c:v>58</c:v>
                </c:pt>
                <c:pt idx="814">
                  <c:v>40</c:v>
                </c:pt>
                <c:pt idx="815">
                  <c:v>40</c:v>
                </c:pt>
                <c:pt idx="816">
                  <c:v>56</c:v>
                </c:pt>
                <c:pt idx="817">
                  <c:v>60</c:v>
                </c:pt>
                <c:pt idx="818">
                  <c:v>38</c:v>
                </c:pt>
                <c:pt idx="819">
                  <c:v>45</c:v>
                </c:pt>
                <c:pt idx="820">
                  <c:v>45</c:v>
                </c:pt>
                <c:pt idx="821">
                  <c:v>45</c:v>
                </c:pt>
                <c:pt idx="822">
                  <c:v>46</c:v>
                </c:pt>
                <c:pt idx="823">
                  <c:v>41</c:v>
                </c:pt>
                <c:pt idx="824">
                  <c:v>35</c:v>
                </c:pt>
                <c:pt idx="825">
                  <c:v>51</c:v>
                </c:pt>
                <c:pt idx="826">
                  <c:v>32</c:v>
                </c:pt>
                <c:pt idx="827">
                  <c:v>47</c:v>
                </c:pt>
                <c:pt idx="828">
                  <c:v>26</c:v>
                </c:pt>
                <c:pt idx="829">
                  <c:v>49</c:v>
                </c:pt>
                <c:pt idx="830">
                  <c:v>47</c:v>
                </c:pt>
                <c:pt idx="831">
                  <c:v>45</c:v>
                </c:pt>
                <c:pt idx="832">
                  <c:v>48</c:v>
                </c:pt>
                <c:pt idx="833">
                  <c:v>57</c:v>
                </c:pt>
                <c:pt idx="834">
                  <c:v>45</c:v>
                </c:pt>
                <c:pt idx="835">
                  <c:v>22</c:v>
                </c:pt>
                <c:pt idx="836">
                  <c:v>41</c:v>
                </c:pt>
                <c:pt idx="837">
                  <c:v>37</c:v>
                </c:pt>
                <c:pt idx="838">
                  <c:v>42</c:v>
                </c:pt>
                <c:pt idx="839">
                  <c:v>48</c:v>
                </c:pt>
                <c:pt idx="840">
                  <c:v>46</c:v>
                </c:pt>
                <c:pt idx="841">
                  <c:v>46</c:v>
                </c:pt>
                <c:pt idx="842">
                  <c:v>48</c:v>
                </c:pt>
                <c:pt idx="843">
                  <c:v>46</c:v>
                </c:pt>
                <c:pt idx="844">
                  <c:v>51</c:v>
                </c:pt>
                <c:pt idx="845">
                  <c:v>41</c:v>
                </c:pt>
                <c:pt idx="846">
                  <c:v>44</c:v>
                </c:pt>
                <c:pt idx="847">
                  <c:v>44</c:v>
                </c:pt>
                <c:pt idx="848">
                  <c:v>57</c:v>
                </c:pt>
                <c:pt idx="849">
                  <c:v>48</c:v>
                </c:pt>
                <c:pt idx="850">
                  <c:v>31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48</c:v>
                </c:pt>
                <c:pt idx="856">
                  <c:v>44</c:v>
                </c:pt>
                <c:pt idx="857">
                  <c:v>34</c:v>
                </c:pt>
                <c:pt idx="858">
                  <c:v>39</c:v>
                </c:pt>
                <c:pt idx="859">
                  <c:v>58</c:v>
                </c:pt>
                <c:pt idx="860">
                  <c:v>33</c:v>
                </c:pt>
                <c:pt idx="861">
                  <c:v>42</c:v>
                </c:pt>
                <c:pt idx="862">
                  <c:v>27</c:v>
                </c:pt>
                <c:pt idx="863">
                  <c:v>42</c:v>
                </c:pt>
                <c:pt idx="864">
                  <c:v>50</c:v>
                </c:pt>
                <c:pt idx="865">
                  <c:v>48</c:v>
                </c:pt>
                <c:pt idx="866">
                  <c:v>42</c:v>
                </c:pt>
                <c:pt idx="867">
                  <c:v>48</c:v>
                </c:pt>
                <c:pt idx="868">
                  <c:v>45</c:v>
                </c:pt>
                <c:pt idx="869">
                  <c:v>46</c:v>
                </c:pt>
                <c:pt idx="870">
                  <c:v>46</c:v>
                </c:pt>
                <c:pt idx="871">
                  <c:v>46</c:v>
                </c:pt>
                <c:pt idx="872">
                  <c:v>44</c:v>
                </c:pt>
                <c:pt idx="873">
                  <c:v>51</c:v>
                </c:pt>
                <c:pt idx="874">
                  <c:v>58</c:v>
                </c:pt>
                <c:pt idx="875">
                  <c:v>44</c:v>
                </c:pt>
                <c:pt idx="876">
                  <c:v>43</c:v>
                </c:pt>
                <c:pt idx="877">
                  <c:v>43</c:v>
                </c:pt>
                <c:pt idx="878">
                  <c:v>35</c:v>
                </c:pt>
                <c:pt idx="879">
                  <c:v>49</c:v>
                </c:pt>
                <c:pt idx="880">
                  <c:v>40</c:v>
                </c:pt>
                <c:pt idx="881">
                  <c:v>40</c:v>
                </c:pt>
                <c:pt idx="882">
                  <c:v>44</c:v>
                </c:pt>
                <c:pt idx="883">
                  <c:v>45</c:v>
                </c:pt>
                <c:pt idx="884">
                  <c:v>45</c:v>
                </c:pt>
                <c:pt idx="885">
                  <c:v>53</c:v>
                </c:pt>
                <c:pt idx="886">
                  <c:v>45</c:v>
                </c:pt>
                <c:pt idx="887">
                  <c:v>50</c:v>
                </c:pt>
                <c:pt idx="888">
                  <c:v>41</c:v>
                </c:pt>
                <c:pt idx="889">
                  <c:v>60</c:v>
                </c:pt>
                <c:pt idx="890">
                  <c:v>61</c:v>
                </c:pt>
                <c:pt idx="891">
                  <c:v>61</c:v>
                </c:pt>
                <c:pt idx="892">
                  <c:v>54</c:v>
                </c:pt>
                <c:pt idx="893">
                  <c:v>61</c:v>
                </c:pt>
                <c:pt idx="894">
                  <c:v>22</c:v>
                </c:pt>
                <c:pt idx="895">
                  <c:v>47</c:v>
                </c:pt>
                <c:pt idx="896">
                  <c:v>42</c:v>
                </c:pt>
                <c:pt idx="897">
                  <c:v>47</c:v>
                </c:pt>
                <c:pt idx="898">
                  <c:v>40</c:v>
                </c:pt>
                <c:pt idx="899">
                  <c:v>49</c:v>
                </c:pt>
                <c:pt idx="900">
                  <c:v>47</c:v>
                </c:pt>
                <c:pt idx="901">
                  <c:v>49</c:v>
                </c:pt>
                <c:pt idx="902">
                  <c:v>33</c:v>
                </c:pt>
                <c:pt idx="903">
                  <c:v>43</c:v>
                </c:pt>
                <c:pt idx="904">
                  <c:v>45</c:v>
                </c:pt>
                <c:pt idx="905">
                  <c:v>61</c:v>
                </c:pt>
                <c:pt idx="906">
                  <c:v>45</c:v>
                </c:pt>
                <c:pt idx="907">
                  <c:v>33</c:v>
                </c:pt>
                <c:pt idx="908">
                  <c:v>61</c:v>
                </c:pt>
                <c:pt idx="909">
                  <c:v>43</c:v>
                </c:pt>
                <c:pt idx="910">
                  <c:v>48</c:v>
                </c:pt>
                <c:pt idx="911">
                  <c:v>48</c:v>
                </c:pt>
                <c:pt idx="912">
                  <c:v>49</c:v>
                </c:pt>
                <c:pt idx="913">
                  <c:v>47</c:v>
                </c:pt>
                <c:pt idx="914">
                  <c:v>46</c:v>
                </c:pt>
                <c:pt idx="915">
                  <c:v>49</c:v>
                </c:pt>
                <c:pt idx="916">
                  <c:v>49</c:v>
                </c:pt>
                <c:pt idx="917">
                  <c:v>25</c:v>
                </c:pt>
                <c:pt idx="918">
                  <c:v>59</c:v>
                </c:pt>
                <c:pt idx="919">
                  <c:v>30</c:v>
                </c:pt>
                <c:pt idx="920">
                  <c:v>38</c:v>
                </c:pt>
                <c:pt idx="921">
                  <c:v>29</c:v>
                </c:pt>
                <c:pt idx="922">
                  <c:v>43</c:v>
                </c:pt>
                <c:pt idx="923">
                  <c:v>48</c:v>
                </c:pt>
                <c:pt idx="924">
                  <c:v>50</c:v>
                </c:pt>
                <c:pt idx="925">
                  <c:v>48</c:v>
                </c:pt>
                <c:pt idx="926">
                  <c:v>42</c:v>
                </c:pt>
                <c:pt idx="927">
                  <c:v>38</c:v>
                </c:pt>
                <c:pt idx="928">
                  <c:v>32</c:v>
                </c:pt>
                <c:pt idx="929">
                  <c:v>59</c:v>
                </c:pt>
                <c:pt idx="930">
                  <c:v>29</c:v>
                </c:pt>
                <c:pt idx="931">
                  <c:v>58</c:v>
                </c:pt>
                <c:pt idx="932">
                  <c:v>30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</c:v>
                </c:pt>
                <c:pt idx="937">
                  <c:v>25</c:v>
                </c:pt>
                <c:pt idx="938">
                  <c:v>46</c:v>
                </c:pt>
                <c:pt idx="939">
                  <c:v>46</c:v>
                </c:pt>
                <c:pt idx="940">
                  <c:v>27</c:v>
                </c:pt>
                <c:pt idx="941">
                  <c:v>46</c:v>
                </c:pt>
                <c:pt idx="942">
                  <c:v>33</c:v>
                </c:pt>
                <c:pt idx="943">
                  <c:v>28</c:v>
                </c:pt>
                <c:pt idx="944">
                  <c:v>61</c:v>
                </c:pt>
                <c:pt idx="945">
                  <c:v>50</c:v>
                </c:pt>
                <c:pt idx="946">
                  <c:v>30</c:v>
                </c:pt>
                <c:pt idx="947">
                  <c:v>31</c:v>
                </c:pt>
                <c:pt idx="948">
                  <c:v>55</c:v>
                </c:pt>
                <c:pt idx="949">
                  <c:v>45</c:v>
                </c:pt>
                <c:pt idx="950">
                  <c:v>44</c:v>
                </c:pt>
                <c:pt idx="951">
                  <c:v>39</c:v>
                </c:pt>
                <c:pt idx="952">
                  <c:v>48</c:v>
                </c:pt>
                <c:pt idx="953">
                  <c:v>47</c:v>
                </c:pt>
                <c:pt idx="954">
                  <c:v>46</c:v>
                </c:pt>
                <c:pt idx="955">
                  <c:v>48</c:v>
                </c:pt>
                <c:pt idx="956">
                  <c:v>49</c:v>
                </c:pt>
                <c:pt idx="957">
                  <c:v>61</c:v>
                </c:pt>
                <c:pt idx="958">
                  <c:v>48</c:v>
                </c:pt>
                <c:pt idx="959">
                  <c:v>50</c:v>
                </c:pt>
                <c:pt idx="960">
                  <c:v>45</c:v>
                </c:pt>
                <c:pt idx="961">
                  <c:v>29</c:v>
                </c:pt>
                <c:pt idx="962">
                  <c:v>52</c:v>
                </c:pt>
                <c:pt idx="963">
                  <c:v>27</c:v>
                </c:pt>
                <c:pt idx="964">
                  <c:v>29</c:v>
                </c:pt>
                <c:pt idx="965">
                  <c:v>52</c:v>
                </c:pt>
                <c:pt idx="966">
                  <c:v>35</c:v>
                </c:pt>
                <c:pt idx="967">
                  <c:v>37</c:v>
                </c:pt>
                <c:pt idx="968">
                  <c:v>25</c:v>
                </c:pt>
                <c:pt idx="969">
                  <c:v>32</c:v>
                </c:pt>
                <c:pt idx="970">
                  <c:v>64</c:v>
                </c:pt>
                <c:pt idx="971">
                  <c:v>49</c:v>
                </c:pt>
                <c:pt idx="972">
                  <c:v>39</c:v>
                </c:pt>
                <c:pt idx="973">
                  <c:v>60</c:v>
                </c:pt>
                <c:pt idx="974">
                  <c:v>45</c:v>
                </c:pt>
                <c:pt idx="975">
                  <c:v>56</c:v>
                </c:pt>
                <c:pt idx="976">
                  <c:v>51</c:v>
                </c:pt>
                <c:pt idx="977">
                  <c:v>54</c:v>
                </c:pt>
                <c:pt idx="978">
                  <c:v>43</c:v>
                </c:pt>
                <c:pt idx="979">
                  <c:v>43</c:v>
                </c:pt>
                <c:pt idx="980">
                  <c:v>64</c:v>
                </c:pt>
                <c:pt idx="981">
                  <c:v>31</c:v>
                </c:pt>
                <c:pt idx="982">
                  <c:v>46</c:v>
                </c:pt>
                <c:pt idx="983">
                  <c:v>37</c:v>
                </c:pt>
                <c:pt idx="984">
                  <c:v>48</c:v>
                </c:pt>
                <c:pt idx="985">
                  <c:v>50</c:v>
                </c:pt>
                <c:pt idx="986">
                  <c:v>49</c:v>
                </c:pt>
                <c:pt idx="987">
                  <c:v>23</c:v>
                </c:pt>
                <c:pt idx="988">
                  <c:v>41</c:v>
                </c:pt>
                <c:pt idx="989">
                  <c:v>44</c:v>
                </c:pt>
                <c:pt idx="990">
                  <c:v>56</c:v>
                </c:pt>
                <c:pt idx="991">
                  <c:v>51</c:v>
                </c:pt>
                <c:pt idx="992">
                  <c:v>61</c:v>
                </c:pt>
                <c:pt idx="993">
                  <c:v>51</c:v>
                </c:pt>
                <c:pt idx="994">
                  <c:v>61</c:v>
                </c:pt>
                <c:pt idx="995">
                  <c:v>33</c:v>
                </c:pt>
                <c:pt idx="996">
                  <c:v>25</c:v>
                </c:pt>
                <c:pt idx="997">
                  <c:v>32</c:v>
                </c:pt>
                <c:pt idx="998">
                  <c:v>51</c:v>
                </c:pt>
                <c:pt idx="999">
                  <c:v>59</c:v>
                </c:pt>
                <c:pt idx="1000">
                  <c:v>53</c:v>
                </c:pt>
                <c:pt idx="1001">
                  <c:v>48</c:v>
                </c:pt>
                <c:pt idx="1002">
                  <c:v>53</c:v>
                </c:pt>
                <c:pt idx="1003">
                  <c:v>53</c:v>
                </c:pt>
                <c:pt idx="1004">
                  <c:v>53</c:v>
                </c:pt>
                <c:pt idx="1005">
                  <c:v>36</c:v>
                </c:pt>
                <c:pt idx="1006">
                  <c:v>44</c:v>
                </c:pt>
                <c:pt idx="1007">
                  <c:v>63</c:v>
                </c:pt>
                <c:pt idx="1008">
                  <c:v>43</c:v>
                </c:pt>
                <c:pt idx="1009">
                  <c:v>29</c:v>
                </c:pt>
                <c:pt idx="1010">
                  <c:v>64</c:v>
                </c:pt>
                <c:pt idx="1011">
                  <c:v>48</c:v>
                </c:pt>
                <c:pt idx="1012">
                  <c:v>48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44</c:v>
                </c:pt>
                <c:pt idx="1017">
                  <c:v>62</c:v>
                </c:pt>
                <c:pt idx="1018">
                  <c:v>52</c:v>
                </c:pt>
                <c:pt idx="1019">
                  <c:v>26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48</c:v>
                </c:pt>
                <c:pt idx="1024">
                  <c:v>47</c:v>
                </c:pt>
                <c:pt idx="1025">
                  <c:v>33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63</c:v>
                </c:pt>
                <c:pt idx="1031">
                  <c:v>55</c:v>
                </c:pt>
                <c:pt idx="1032">
                  <c:v>55</c:v>
                </c:pt>
                <c:pt idx="1033">
                  <c:v>47</c:v>
                </c:pt>
                <c:pt idx="1034">
                  <c:v>49</c:v>
                </c:pt>
                <c:pt idx="1035">
                  <c:v>51</c:v>
                </c:pt>
                <c:pt idx="1036">
                  <c:v>63</c:v>
                </c:pt>
                <c:pt idx="1037">
                  <c:v>54</c:v>
                </c:pt>
                <c:pt idx="1038">
                  <c:v>54</c:v>
                </c:pt>
                <c:pt idx="1039">
                  <c:v>60</c:v>
                </c:pt>
                <c:pt idx="1040">
                  <c:v>42</c:v>
                </c:pt>
                <c:pt idx="1041">
                  <c:v>54</c:v>
                </c:pt>
                <c:pt idx="1042">
                  <c:v>34</c:v>
                </c:pt>
                <c:pt idx="1043">
                  <c:v>33</c:v>
                </c:pt>
                <c:pt idx="1044">
                  <c:v>49</c:v>
                </c:pt>
                <c:pt idx="1045">
                  <c:v>49</c:v>
                </c:pt>
                <c:pt idx="1046">
                  <c:v>49</c:v>
                </c:pt>
                <c:pt idx="1047">
                  <c:v>47</c:v>
                </c:pt>
                <c:pt idx="1048">
                  <c:v>49</c:v>
                </c:pt>
                <c:pt idx="1049">
                  <c:v>0</c:v>
                </c:pt>
                <c:pt idx="1050">
                  <c:v>45</c:v>
                </c:pt>
                <c:pt idx="1051">
                  <c:v>51</c:v>
                </c:pt>
                <c:pt idx="1052">
                  <c:v>0</c:v>
                </c:pt>
                <c:pt idx="1053">
                  <c:v>51</c:v>
                </c:pt>
                <c:pt idx="1054">
                  <c:v>51</c:v>
                </c:pt>
                <c:pt idx="1055">
                  <c:v>38</c:v>
                </c:pt>
                <c:pt idx="1056">
                  <c:v>51</c:v>
                </c:pt>
                <c:pt idx="1057">
                  <c:v>44</c:v>
                </c:pt>
                <c:pt idx="1058">
                  <c:v>39</c:v>
                </c:pt>
                <c:pt idx="1059">
                  <c:v>43</c:v>
                </c:pt>
                <c:pt idx="1060">
                  <c:v>43</c:v>
                </c:pt>
                <c:pt idx="1061">
                  <c:v>53</c:v>
                </c:pt>
                <c:pt idx="1062">
                  <c:v>49</c:v>
                </c:pt>
                <c:pt idx="1063">
                  <c:v>49</c:v>
                </c:pt>
                <c:pt idx="1064">
                  <c:v>49</c:v>
                </c:pt>
                <c:pt idx="1065">
                  <c:v>47</c:v>
                </c:pt>
                <c:pt idx="1066">
                  <c:v>49</c:v>
                </c:pt>
                <c:pt idx="1067">
                  <c:v>51</c:v>
                </c:pt>
                <c:pt idx="1068">
                  <c:v>61</c:v>
                </c:pt>
                <c:pt idx="1069">
                  <c:v>57</c:v>
                </c:pt>
                <c:pt idx="1070">
                  <c:v>52</c:v>
                </c:pt>
                <c:pt idx="1071">
                  <c:v>53</c:v>
                </c:pt>
                <c:pt idx="1072">
                  <c:v>46</c:v>
                </c:pt>
                <c:pt idx="1073">
                  <c:v>53</c:v>
                </c:pt>
                <c:pt idx="1074">
                  <c:v>50</c:v>
                </c:pt>
                <c:pt idx="1075">
                  <c:v>27</c:v>
                </c:pt>
                <c:pt idx="1076">
                  <c:v>57</c:v>
                </c:pt>
                <c:pt idx="1077">
                  <c:v>52</c:v>
                </c:pt>
                <c:pt idx="1078">
                  <c:v>55</c:v>
                </c:pt>
                <c:pt idx="1079">
                  <c:v>55</c:v>
                </c:pt>
                <c:pt idx="1080">
                  <c:v>61</c:v>
                </c:pt>
                <c:pt idx="1081">
                  <c:v>25</c:v>
                </c:pt>
                <c:pt idx="1082">
                  <c:v>50</c:v>
                </c:pt>
                <c:pt idx="1083">
                  <c:v>50</c:v>
                </c:pt>
                <c:pt idx="1084">
                  <c:v>38</c:v>
                </c:pt>
                <c:pt idx="1085">
                  <c:v>50</c:v>
                </c:pt>
                <c:pt idx="1086">
                  <c:v>54</c:v>
                </c:pt>
                <c:pt idx="1087">
                  <c:v>54</c:v>
                </c:pt>
                <c:pt idx="1088">
                  <c:v>52</c:v>
                </c:pt>
                <c:pt idx="1089">
                  <c:v>53</c:v>
                </c:pt>
                <c:pt idx="1090">
                  <c:v>48</c:v>
                </c:pt>
                <c:pt idx="1091">
                  <c:v>29</c:v>
                </c:pt>
                <c:pt idx="1092">
                  <c:v>59</c:v>
                </c:pt>
                <c:pt idx="1093">
                  <c:v>51</c:v>
                </c:pt>
                <c:pt idx="1094">
                  <c:v>54</c:v>
                </c:pt>
                <c:pt idx="1095">
                  <c:v>50</c:v>
                </c:pt>
                <c:pt idx="1096">
                  <c:v>34</c:v>
                </c:pt>
                <c:pt idx="1097">
                  <c:v>52</c:v>
                </c:pt>
                <c:pt idx="1098">
                  <c:v>43</c:v>
                </c:pt>
                <c:pt idx="1099">
                  <c:v>52</c:v>
                </c:pt>
                <c:pt idx="1100">
                  <c:v>52</c:v>
                </c:pt>
                <c:pt idx="1101">
                  <c:v>53</c:v>
                </c:pt>
                <c:pt idx="1102">
                  <c:v>47</c:v>
                </c:pt>
                <c:pt idx="1103">
                  <c:v>33</c:v>
                </c:pt>
                <c:pt idx="1104">
                  <c:v>54</c:v>
                </c:pt>
                <c:pt idx="1105">
                  <c:v>54</c:v>
                </c:pt>
                <c:pt idx="1106">
                  <c:v>49</c:v>
                </c:pt>
                <c:pt idx="1107">
                  <c:v>61</c:v>
                </c:pt>
                <c:pt idx="1108">
                  <c:v>49</c:v>
                </c:pt>
                <c:pt idx="1109">
                  <c:v>56</c:v>
                </c:pt>
                <c:pt idx="1110">
                  <c:v>56</c:v>
                </c:pt>
                <c:pt idx="1111">
                  <c:v>44</c:v>
                </c:pt>
                <c:pt idx="1112">
                  <c:v>36</c:v>
                </c:pt>
                <c:pt idx="1113">
                  <c:v>56</c:v>
                </c:pt>
                <c:pt idx="1114">
                  <c:v>55</c:v>
                </c:pt>
                <c:pt idx="1115">
                  <c:v>53</c:v>
                </c:pt>
                <c:pt idx="1116">
                  <c:v>50</c:v>
                </c:pt>
                <c:pt idx="1117">
                  <c:v>40</c:v>
                </c:pt>
                <c:pt idx="1118">
                  <c:v>45</c:v>
                </c:pt>
                <c:pt idx="1119">
                  <c:v>51</c:v>
                </c:pt>
                <c:pt idx="1120">
                  <c:v>46</c:v>
                </c:pt>
                <c:pt idx="1121">
                  <c:v>52</c:v>
                </c:pt>
                <c:pt idx="1122">
                  <c:v>55</c:v>
                </c:pt>
                <c:pt idx="1123">
                  <c:v>53</c:v>
                </c:pt>
                <c:pt idx="1124">
                  <c:v>55</c:v>
                </c:pt>
                <c:pt idx="1125">
                  <c:v>57</c:v>
                </c:pt>
                <c:pt idx="1126">
                  <c:v>53</c:v>
                </c:pt>
                <c:pt idx="1127">
                  <c:v>53</c:v>
                </c:pt>
                <c:pt idx="1128">
                  <c:v>50</c:v>
                </c:pt>
                <c:pt idx="1129">
                  <c:v>53</c:v>
                </c:pt>
                <c:pt idx="1130">
                  <c:v>63</c:v>
                </c:pt>
                <c:pt idx="1131">
                  <c:v>49</c:v>
                </c:pt>
                <c:pt idx="1132">
                  <c:v>38</c:v>
                </c:pt>
                <c:pt idx="1133">
                  <c:v>30</c:v>
                </c:pt>
                <c:pt idx="1134">
                  <c:v>38</c:v>
                </c:pt>
                <c:pt idx="1135">
                  <c:v>55</c:v>
                </c:pt>
                <c:pt idx="1136">
                  <c:v>57</c:v>
                </c:pt>
                <c:pt idx="1137">
                  <c:v>55</c:v>
                </c:pt>
                <c:pt idx="1138">
                  <c:v>51</c:v>
                </c:pt>
                <c:pt idx="1139">
                  <c:v>55</c:v>
                </c:pt>
                <c:pt idx="1140">
                  <c:v>55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52</c:v>
                </c:pt>
                <c:pt idx="1145">
                  <c:v>52</c:v>
                </c:pt>
                <c:pt idx="1146">
                  <c:v>39</c:v>
                </c:pt>
                <c:pt idx="1147">
                  <c:v>47</c:v>
                </c:pt>
                <c:pt idx="1148">
                  <c:v>57</c:v>
                </c:pt>
                <c:pt idx="1149">
                  <c:v>50</c:v>
                </c:pt>
                <c:pt idx="1150">
                  <c:v>57</c:v>
                </c:pt>
                <c:pt idx="1151">
                  <c:v>34</c:v>
                </c:pt>
                <c:pt idx="1152">
                  <c:v>55</c:v>
                </c:pt>
                <c:pt idx="1153">
                  <c:v>53</c:v>
                </c:pt>
                <c:pt idx="1154">
                  <c:v>51</c:v>
                </c:pt>
                <c:pt idx="1155">
                  <c:v>54</c:v>
                </c:pt>
                <c:pt idx="1156">
                  <c:v>54</c:v>
                </c:pt>
                <c:pt idx="1157">
                  <c:v>52</c:v>
                </c:pt>
                <c:pt idx="1158">
                  <c:v>53</c:v>
                </c:pt>
                <c:pt idx="1159">
                  <c:v>60</c:v>
                </c:pt>
                <c:pt idx="1160">
                  <c:v>53</c:v>
                </c:pt>
                <c:pt idx="1161">
                  <c:v>45</c:v>
                </c:pt>
                <c:pt idx="1162">
                  <c:v>62</c:v>
                </c:pt>
                <c:pt idx="1163">
                  <c:v>54</c:v>
                </c:pt>
                <c:pt idx="1164">
                  <c:v>44</c:v>
                </c:pt>
                <c:pt idx="1165">
                  <c:v>51</c:v>
                </c:pt>
                <c:pt idx="1166">
                  <c:v>56</c:v>
                </c:pt>
                <c:pt idx="1167">
                  <c:v>28</c:v>
                </c:pt>
                <c:pt idx="1168">
                  <c:v>47</c:v>
                </c:pt>
                <c:pt idx="1169">
                  <c:v>54</c:v>
                </c:pt>
                <c:pt idx="1170">
                  <c:v>58</c:v>
                </c:pt>
                <c:pt idx="1171">
                  <c:v>56</c:v>
                </c:pt>
                <c:pt idx="1172">
                  <c:v>55</c:v>
                </c:pt>
                <c:pt idx="1173">
                  <c:v>52</c:v>
                </c:pt>
                <c:pt idx="1174">
                  <c:v>45</c:v>
                </c:pt>
                <c:pt idx="1175">
                  <c:v>60</c:v>
                </c:pt>
                <c:pt idx="1176">
                  <c:v>62</c:v>
                </c:pt>
                <c:pt idx="1177">
                  <c:v>49</c:v>
                </c:pt>
                <c:pt idx="1178">
                  <c:v>54</c:v>
                </c:pt>
                <c:pt idx="1179">
                  <c:v>51</c:v>
                </c:pt>
                <c:pt idx="1180">
                  <c:v>56</c:v>
                </c:pt>
                <c:pt idx="1181">
                  <c:v>56</c:v>
                </c:pt>
                <c:pt idx="1182">
                  <c:v>56</c:v>
                </c:pt>
                <c:pt idx="1183">
                  <c:v>25</c:v>
                </c:pt>
                <c:pt idx="1184">
                  <c:v>61</c:v>
                </c:pt>
                <c:pt idx="1185">
                  <c:v>53</c:v>
                </c:pt>
                <c:pt idx="1186">
                  <c:v>30</c:v>
                </c:pt>
                <c:pt idx="1187">
                  <c:v>49</c:v>
                </c:pt>
                <c:pt idx="1188">
                  <c:v>53</c:v>
                </c:pt>
                <c:pt idx="1189">
                  <c:v>54</c:v>
                </c:pt>
                <c:pt idx="1190">
                  <c:v>54</c:v>
                </c:pt>
                <c:pt idx="1191">
                  <c:v>34</c:v>
                </c:pt>
                <c:pt idx="1192">
                  <c:v>58</c:v>
                </c:pt>
                <c:pt idx="1193">
                  <c:v>55</c:v>
                </c:pt>
                <c:pt idx="1194">
                  <c:v>55</c:v>
                </c:pt>
                <c:pt idx="1195">
                  <c:v>57</c:v>
                </c:pt>
                <c:pt idx="1196">
                  <c:v>55</c:v>
                </c:pt>
                <c:pt idx="1197">
                  <c:v>57</c:v>
                </c:pt>
                <c:pt idx="1198">
                  <c:v>28</c:v>
                </c:pt>
                <c:pt idx="1199">
                  <c:v>55</c:v>
                </c:pt>
                <c:pt idx="1200">
                  <c:v>55</c:v>
                </c:pt>
                <c:pt idx="1201">
                  <c:v>55</c:v>
                </c:pt>
                <c:pt idx="1202">
                  <c:v>55</c:v>
                </c:pt>
                <c:pt idx="1203">
                  <c:v>60</c:v>
                </c:pt>
                <c:pt idx="1204">
                  <c:v>30</c:v>
                </c:pt>
                <c:pt idx="1205">
                  <c:v>64</c:v>
                </c:pt>
                <c:pt idx="1206">
                  <c:v>54</c:v>
                </c:pt>
                <c:pt idx="1207">
                  <c:v>41</c:v>
                </c:pt>
                <c:pt idx="1208">
                  <c:v>43</c:v>
                </c:pt>
                <c:pt idx="1209">
                  <c:v>62</c:v>
                </c:pt>
                <c:pt idx="1210">
                  <c:v>55</c:v>
                </c:pt>
                <c:pt idx="1211">
                  <c:v>55</c:v>
                </c:pt>
                <c:pt idx="1212">
                  <c:v>56</c:v>
                </c:pt>
                <c:pt idx="1213">
                  <c:v>38</c:v>
                </c:pt>
                <c:pt idx="1214">
                  <c:v>47</c:v>
                </c:pt>
                <c:pt idx="1215">
                  <c:v>52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50</c:v>
                </c:pt>
                <c:pt idx="1220">
                  <c:v>54</c:v>
                </c:pt>
                <c:pt idx="1221">
                  <c:v>54</c:v>
                </c:pt>
                <c:pt idx="1222">
                  <c:v>51</c:v>
                </c:pt>
                <c:pt idx="1223">
                  <c:v>54</c:v>
                </c:pt>
                <c:pt idx="1224">
                  <c:v>29</c:v>
                </c:pt>
                <c:pt idx="1225">
                  <c:v>52</c:v>
                </c:pt>
                <c:pt idx="1226">
                  <c:v>45</c:v>
                </c:pt>
                <c:pt idx="1227">
                  <c:v>53</c:v>
                </c:pt>
                <c:pt idx="1228">
                  <c:v>54</c:v>
                </c:pt>
                <c:pt idx="1229">
                  <c:v>41</c:v>
                </c:pt>
                <c:pt idx="1230">
                  <c:v>56</c:v>
                </c:pt>
                <c:pt idx="1231">
                  <c:v>59</c:v>
                </c:pt>
                <c:pt idx="1232">
                  <c:v>59</c:v>
                </c:pt>
                <c:pt idx="1233">
                  <c:v>58</c:v>
                </c:pt>
                <c:pt idx="1234">
                  <c:v>51</c:v>
                </c:pt>
                <c:pt idx="1235">
                  <c:v>53</c:v>
                </c:pt>
                <c:pt idx="1236">
                  <c:v>53</c:v>
                </c:pt>
                <c:pt idx="1237">
                  <c:v>56</c:v>
                </c:pt>
                <c:pt idx="1238">
                  <c:v>38</c:v>
                </c:pt>
                <c:pt idx="1239">
                  <c:v>63</c:v>
                </c:pt>
                <c:pt idx="1240">
                  <c:v>64</c:v>
                </c:pt>
                <c:pt idx="1241">
                  <c:v>35</c:v>
                </c:pt>
                <c:pt idx="1242">
                  <c:v>35</c:v>
                </c:pt>
                <c:pt idx="1243">
                  <c:v>56</c:v>
                </c:pt>
                <c:pt idx="1244">
                  <c:v>44</c:v>
                </c:pt>
                <c:pt idx="1245">
                  <c:v>58</c:v>
                </c:pt>
                <c:pt idx="1246">
                  <c:v>53</c:v>
                </c:pt>
                <c:pt idx="1247">
                  <c:v>52</c:v>
                </c:pt>
                <c:pt idx="1248">
                  <c:v>57</c:v>
                </c:pt>
                <c:pt idx="1249">
                  <c:v>55</c:v>
                </c:pt>
                <c:pt idx="1250">
                  <c:v>53</c:v>
                </c:pt>
                <c:pt idx="1251">
                  <c:v>53</c:v>
                </c:pt>
                <c:pt idx="1252">
                  <c:v>57</c:v>
                </c:pt>
                <c:pt idx="1253">
                  <c:v>51</c:v>
                </c:pt>
                <c:pt idx="1254">
                  <c:v>46</c:v>
                </c:pt>
                <c:pt idx="1255">
                  <c:v>53</c:v>
                </c:pt>
                <c:pt idx="1256">
                  <c:v>47</c:v>
                </c:pt>
                <c:pt idx="1257">
                  <c:v>58</c:v>
                </c:pt>
                <c:pt idx="1258">
                  <c:v>58</c:v>
                </c:pt>
                <c:pt idx="1259">
                  <c:v>58</c:v>
                </c:pt>
                <c:pt idx="1260">
                  <c:v>58</c:v>
                </c:pt>
                <c:pt idx="1261">
                  <c:v>62</c:v>
                </c:pt>
                <c:pt idx="1262">
                  <c:v>50</c:v>
                </c:pt>
                <c:pt idx="1263">
                  <c:v>62</c:v>
                </c:pt>
                <c:pt idx="1264">
                  <c:v>57</c:v>
                </c:pt>
                <c:pt idx="1265">
                  <c:v>39</c:v>
                </c:pt>
                <c:pt idx="1266">
                  <c:v>48</c:v>
                </c:pt>
                <c:pt idx="1267">
                  <c:v>54</c:v>
                </c:pt>
                <c:pt idx="1268">
                  <c:v>49</c:v>
                </c:pt>
                <c:pt idx="1269">
                  <c:v>55</c:v>
                </c:pt>
                <c:pt idx="1270">
                  <c:v>55</c:v>
                </c:pt>
                <c:pt idx="1271">
                  <c:v>57</c:v>
                </c:pt>
                <c:pt idx="1272">
                  <c:v>60</c:v>
                </c:pt>
                <c:pt idx="1273">
                  <c:v>57</c:v>
                </c:pt>
                <c:pt idx="1274">
                  <c:v>60</c:v>
                </c:pt>
                <c:pt idx="1275">
                  <c:v>59</c:v>
                </c:pt>
                <c:pt idx="1276">
                  <c:v>54</c:v>
                </c:pt>
                <c:pt idx="1277">
                  <c:v>60</c:v>
                </c:pt>
                <c:pt idx="1278">
                  <c:v>59</c:v>
                </c:pt>
                <c:pt idx="1279">
                  <c:v>60</c:v>
                </c:pt>
                <c:pt idx="1280">
                  <c:v>61</c:v>
                </c:pt>
                <c:pt idx="1281">
                  <c:v>34</c:v>
                </c:pt>
                <c:pt idx="1282">
                  <c:v>36</c:v>
                </c:pt>
                <c:pt idx="1283">
                  <c:v>62</c:v>
                </c:pt>
                <c:pt idx="1284">
                  <c:v>50</c:v>
                </c:pt>
                <c:pt idx="1285">
                  <c:v>64</c:v>
                </c:pt>
                <c:pt idx="1286">
                  <c:v>49</c:v>
                </c:pt>
                <c:pt idx="1287">
                  <c:v>50</c:v>
                </c:pt>
                <c:pt idx="1288">
                  <c:v>54</c:v>
                </c:pt>
                <c:pt idx="1289">
                  <c:v>59</c:v>
                </c:pt>
                <c:pt idx="1290">
                  <c:v>59</c:v>
                </c:pt>
                <c:pt idx="1291">
                  <c:v>34</c:v>
                </c:pt>
                <c:pt idx="1292">
                  <c:v>52</c:v>
                </c:pt>
                <c:pt idx="1293">
                  <c:v>40</c:v>
                </c:pt>
                <c:pt idx="1294">
                  <c:v>37</c:v>
                </c:pt>
                <c:pt idx="1295">
                  <c:v>59</c:v>
                </c:pt>
                <c:pt idx="1296">
                  <c:v>27</c:v>
                </c:pt>
                <c:pt idx="1297">
                  <c:v>59</c:v>
                </c:pt>
                <c:pt idx="1298">
                  <c:v>56</c:v>
                </c:pt>
                <c:pt idx="1299">
                  <c:v>56</c:v>
                </c:pt>
                <c:pt idx="1300">
                  <c:v>59</c:v>
                </c:pt>
                <c:pt idx="1301">
                  <c:v>58</c:v>
                </c:pt>
                <c:pt idx="1302">
                  <c:v>55</c:v>
                </c:pt>
                <c:pt idx="1303">
                  <c:v>32</c:v>
                </c:pt>
                <c:pt idx="1304">
                  <c:v>58</c:v>
                </c:pt>
                <c:pt idx="1305">
                  <c:v>58</c:v>
                </c:pt>
                <c:pt idx="1306">
                  <c:v>57</c:v>
                </c:pt>
                <c:pt idx="1307">
                  <c:v>61</c:v>
                </c:pt>
                <c:pt idx="1308">
                  <c:v>57</c:v>
                </c:pt>
                <c:pt idx="1309">
                  <c:v>61</c:v>
                </c:pt>
                <c:pt idx="1310">
                  <c:v>60</c:v>
                </c:pt>
                <c:pt idx="1311">
                  <c:v>53</c:v>
                </c:pt>
                <c:pt idx="1312">
                  <c:v>61</c:v>
                </c:pt>
                <c:pt idx="1313">
                  <c:v>26</c:v>
                </c:pt>
                <c:pt idx="1314">
                  <c:v>58</c:v>
                </c:pt>
                <c:pt idx="1315">
                  <c:v>52</c:v>
                </c:pt>
                <c:pt idx="1316">
                  <c:v>35</c:v>
                </c:pt>
                <c:pt idx="1317">
                  <c:v>30</c:v>
                </c:pt>
                <c:pt idx="1318">
                  <c:v>52</c:v>
                </c:pt>
                <c:pt idx="1319">
                  <c:v>37</c:v>
                </c:pt>
                <c:pt idx="1320">
                  <c:v>52</c:v>
                </c:pt>
                <c:pt idx="1321">
                  <c:v>25</c:v>
                </c:pt>
                <c:pt idx="1322">
                  <c:v>26</c:v>
                </c:pt>
                <c:pt idx="1323">
                  <c:v>55</c:v>
                </c:pt>
                <c:pt idx="1324">
                  <c:v>60</c:v>
                </c:pt>
                <c:pt idx="1325">
                  <c:v>60</c:v>
                </c:pt>
                <c:pt idx="1326">
                  <c:v>59</c:v>
                </c:pt>
                <c:pt idx="1327">
                  <c:v>54</c:v>
                </c:pt>
                <c:pt idx="1328">
                  <c:v>60</c:v>
                </c:pt>
                <c:pt idx="1329">
                  <c:v>60</c:v>
                </c:pt>
                <c:pt idx="1330">
                  <c:v>46</c:v>
                </c:pt>
                <c:pt idx="1331">
                  <c:v>57</c:v>
                </c:pt>
                <c:pt idx="1332">
                  <c:v>57</c:v>
                </c:pt>
                <c:pt idx="1333">
                  <c:v>60</c:v>
                </c:pt>
                <c:pt idx="1334">
                  <c:v>54</c:v>
                </c:pt>
                <c:pt idx="1335">
                  <c:v>56</c:v>
                </c:pt>
                <c:pt idx="1336">
                  <c:v>50</c:v>
                </c:pt>
                <c:pt idx="1337">
                  <c:v>57</c:v>
                </c:pt>
                <c:pt idx="1338">
                  <c:v>37</c:v>
                </c:pt>
                <c:pt idx="1339">
                  <c:v>57</c:v>
                </c:pt>
                <c:pt idx="1340">
                  <c:v>45</c:v>
                </c:pt>
                <c:pt idx="1341">
                  <c:v>57</c:v>
                </c:pt>
                <c:pt idx="1342">
                  <c:v>55</c:v>
                </c:pt>
                <c:pt idx="1343">
                  <c:v>22</c:v>
                </c:pt>
                <c:pt idx="1344">
                  <c:v>59</c:v>
                </c:pt>
                <c:pt idx="1345">
                  <c:v>56</c:v>
                </c:pt>
                <c:pt idx="1346">
                  <c:v>38</c:v>
                </c:pt>
                <c:pt idx="1347">
                  <c:v>54</c:v>
                </c:pt>
                <c:pt idx="1348">
                  <c:v>58</c:v>
                </c:pt>
                <c:pt idx="1349">
                  <c:v>63</c:v>
                </c:pt>
                <c:pt idx="1350">
                  <c:v>31</c:v>
                </c:pt>
                <c:pt idx="1351">
                  <c:v>63</c:v>
                </c:pt>
                <c:pt idx="1352">
                  <c:v>24</c:v>
                </c:pt>
                <c:pt idx="1353">
                  <c:v>37</c:v>
                </c:pt>
                <c:pt idx="1354">
                  <c:v>58</c:v>
                </c:pt>
                <c:pt idx="1355">
                  <c:v>62</c:v>
                </c:pt>
                <c:pt idx="1356">
                  <c:v>61</c:v>
                </c:pt>
                <c:pt idx="1357">
                  <c:v>61</c:v>
                </c:pt>
                <c:pt idx="1358">
                  <c:v>62</c:v>
                </c:pt>
                <c:pt idx="1359">
                  <c:v>62</c:v>
                </c:pt>
                <c:pt idx="1360">
                  <c:v>62</c:v>
                </c:pt>
                <c:pt idx="1361">
                  <c:v>47</c:v>
                </c:pt>
                <c:pt idx="1362">
                  <c:v>54</c:v>
                </c:pt>
                <c:pt idx="1363">
                  <c:v>62</c:v>
                </c:pt>
                <c:pt idx="1364">
                  <c:v>29</c:v>
                </c:pt>
                <c:pt idx="1365">
                  <c:v>59</c:v>
                </c:pt>
                <c:pt idx="1366">
                  <c:v>56</c:v>
                </c:pt>
                <c:pt idx="1367">
                  <c:v>56</c:v>
                </c:pt>
                <c:pt idx="1368">
                  <c:v>43</c:v>
                </c:pt>
                <c:pt idx="1369">
                  <c:v>41</c:v>
                </c:pt>
                <c:pt idx="1370">
                  <c:v>46</c:v>
                </c:pt>
                <c:pt idx="1371">
                  <c:v>55</c:v>
                </c:pt>
                <c:pt idx="1372">
                  <c:v>60</c:v>
                </c:pt>
                <c:pt idx="1373">
                  <c:v>61</c:v>
                </c:pt>
                <c:pt idx="1374">
                  <c:v>60</c:v>
                </c:pt>
                <c:pt idx="1375">
                  <c:v>22</c:v>
                </c:pt>
                <c:pt idx="1376">
                  <c:v>56</c:v>
                </c:pt>
                <c:pt idx="1377">
                  <c:v>43</c:v>
                </c:pt>
                <c:pt idx="1378">
                  <c:v>57</c:v>
                </c:pt>
                <c:pt idx="1379">
                  <c:v>37</c:v>
                </c:pt>
                <c:pt idx="1380">
                  <c:v>58</c:v>
                </c:pt>
                <c:pt idx="1381">
                  <c:v>55</c:v>
                </c:pt>
                <c:pt idx="1382">
                  <c:v>38</c:v>
                </c:pt>
                <c:pt idx="1383">
                  <c:v>56</c:v>
                </c:pt>
                <c:pt idx="1384">
                  <c:v>61</c:v>
                </c:pt>
                <c:pt idx="1385">
                  <c:v>58</c:v>
                </c:pt>
                <c:pt idx="1386">
                  <c:v>55</c:v>
                </c:pt>
                <c:pt idx="1387">
                  <c:v>53</c:v>
                </c:pt>
                <c:pt idx="1388">
                  <c:v>61</c:v>
                </c:pt>
                <c:pt idx="1389">
                  <c:v>61</c:v>
                </c:pt>
                <c:pt idx="1390">
                  <c:v>61</c:v>
                </c:pt>
                <c:pt idx="1391">
                  <c:v>62</c:v>
                </c:pt>
                <c:pt idx="1392">
                  <c:v>40</c:v>
                </c:pt>
                <c:pt idx="1393">
                  <c:v>60</c:v>
                </c:pt>
                <c:pt idx="1394">
                  <c:v>32</c:v>
                </c:pt>
                <c:pt idx="1395">
                  <c:v>60</c:v>
                </c:pt>
                <c:pt idx="1396">
                  <c:v>60</c:v>
                </c:pt>
                <c:pt idx="1397">
                  <c:v>60</c:v>
                </c:pt>
                <c:pt idx="1398">
                  <c:v>56</c:v>
                </c:pt>
                <c:pt idx="1399">
                  <c:v>44</c:v>
                </c:pt>
                <c:pt idx="1400">
                  <c:v>57</c:v>
                </c:pt>
                <c:pt idx="1401">
                  <c:v>42</c:v>
                </c:pt>
                <c:pt idx="1402">
                  <c:v>62</c:v>
                </c:pt>
                <c:pt idx="1403">
                  <c:v>38</c:v>
                </c:pt>
                <c:pt idx="1404">
                  <c:v>57</c:v>
                </c:pt>
                <c:pt idx="1405">
                  <c:v>63</c:v>
                </c:pt>
                <c:pt idx="1406">
                  <c:v>62</c:v>
                </c:pt>
                <c:pt idx="1407">
                  <c:v>47</c:v>
                </c:pt>
                <c:pt idx="1408">
                  <c:v>60</c:v>
                </c:pt>
                <c:pt idx="1409">
                  <c:v>44</c:v>
                </c:pt>
                <c:pt idx="1410">
                  <c:v>61</c:v>
                </c:pt>
                <c:pt idx="1411">
                  <c:v>62</c:v>
                </c:pt>
                <c:pt idx="1412">
                  <c:v>62</c:v>
                </c:pt>
                <c:pt idx="1413">
                  <c:v>61</c:v>
                </c:pt>
                <c:pt idx="1414">
                  <c:v>62</c:v>
                </c:pt>
                <c:pt idx="1415">
                  <c:v>61</c:v>
                </c:pt>
                <c:pt idx="1416">
                  <c:v>62</c:v>
                </c:pt>
                <c:pt idx="1417">
                  <c:v>62</c:v>
                </c:pt>
                <c:pt idx="1418">
                  <c:v>52</c:v>
                </c:pt>
                <c:pt idx="1419">
                  <c:v>59</c:v>
                </c:pt>
                <c:pt idx="1420">
                  <c:v>59</c:v>
                </c:pt>
                <c:pt idx="1421">
                  <c:v>59</c:v>
                </c:pt>
                <c:pt idx="1422">
                  <c:v>22</c:v>
                </c:pt>
                <c:pt idx="1423">
                  <c:v>62</c:v>
                </c:pt>
                <c:pt idx="1424">
                  <c:v>62</c:v>
                </c:pt>
                <c:pt idx="1425">
                  <c:v>62</c:v>
                </c:pt>
                <c:pt idx="1426">
                  <c:v>35</c:v>
                </c:pt>
                <c:pt idx="1427">
                  <c:v>62</c:v>
                </c:pt>
                <c:pt idx="1428">
                  <c:v>61</c:v>
                </c:pt>
                <c:pt idx="1429">
                  <c:v>62</c:v>
                </c:pt>
                <c:pt idx="1430">
                  <c:v>59</c:v>
                </c:pt>
                <c:pt idx="1431">
                  <c:v>43</c:v>
                </c:pt>
                <c:pt idx="1432">
                  <c:v>33</c:v>
                </c:pt>
                <c:pt idx="1433">
                  <c:v>44</c:v>
                </c:pt>
                <c:pt idx="1434">
                  <c:v>61</c:v>
                </c:pt>
                <c:pt idx="1435">
                  <c:v>61</c:v>
                </c:pt>
                <c:pt idx="1436">
                  <c:v>47</c:v>
                </c:pt>
                <c:pt idx="1437">
                  <c:v>60</c:v>
                </c:pt>
                <c:pt idx="1438">
                  <c:v>40</c:v>
                </c:pt>
                <c:pt idx="1439">
                  <c:v>42</c:v>
                </c:pt>
                <c:pt idx="1440">
                  <c:v>58</c:v>
                </c:pt>
                <c:pt idx="1441">
                  <c:v>58</c:v>
                </c:pt>
                <c:pt idx="1442">
                  <c:v>58</c:v>
                </c:pt>
                <c:pt idx="1443">
                  <c:v>63</c:v>
                </c:pt>
                <c:pt idx="1444">
                  <c:v>63</c:v>
                </c:pt>
                <c:pt idx="1445">
                  <c:v>35</c:v>
                </c:pt>
                <c:pt idx="1446">
                  <c:v>52</c:v>
                </c:pt>
                <c:pt idx="1447">
                  <c:v>64</c:v>
                </c:pt>
                <c:pt idx="1448">
                  <c:v>64</c:v>
                </c:pt>
                <c:pt idx="1449">
                  <c:v>39</c:v>
                </c:pt>
                <c:pt idx="1450">
                  <c:v>35</c:v>
                </c:pt>
                <c:pt idx="1451">
                  <c:v>49</c:v>
                </c:pt>
                <c:pt idx="1452">
                  <c:v>62</c:v>
                </c:pt>
                <c:pt idx="1453">
                  <c:v>62</c:v>
                </c:pt>
                <c:pt idx="1454">
                  <c:v>62</c:v>
                </c:pt>
                <c:pt idx="1455">
                  <c:v>63</c:v>
                </c:pt>
                <c:pt idx="1456">
                  <c:v>62</c:v>
                </c:pt>
                <c:pt idx="1457">
                  <c:v>60</c:v>
                </c:pt>
                <c:pt idx="1458">
                  <c:v>63</c:v>
                </c:pt>
                <c:pt idx="1459">
                  <c:v>52</c:v>
                </c:pt>
                <c:pt idx="1460">
                  <c:v>37</c:v>
                </c:pt>
                <c:pt idx="1461">
                  <c:v>40</c:v>
                </c:pt>
                <c:pt idx="1462">
                  <c:v>60</c:v>
                </c:pt>
                <c:pt idx="1463">
                  <c:v>59</c:v>
                </c:pt>
                <c:pt idx="1464">
                  <c:v>59</c:v>
                </c:pt>
                <c:pt idx="1465">
                  <c:v>60</c:v>
                </c:pt>
                <c:pt idx="1466">
                  <c:v>36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60</c:v>
                </c:pt>
                <c:pt idx="1472">
                  <c:v>64</c:v>
                </c:pt>
                <c:pt idx="1473">
                  <c:v>37</c:v>
                </c:pt>
                <c:pt idx="1474">
                  <c:v>54</c:v>
                </c:pt>
                <c:pt idx="1475">
                  <c:v>47</c:v>
                </c:pt>
                <c:pt idx="1476">
                  <c:v>62</c:v>
                </c:pt>
                <c:pt idx="1477">
                  <c:v>31</c:v>
                </c:pt>
                <c:pt idx="1478">
                  <c:v>58</c:v>
                </c:pt>
                <c:pt idx="1479">
                  <c:v>58</c:v>
                </c:pt>
                <c:pt idx="1480">
                  <c:v>59</c:v>
                </c:pt>
                <c:pt idx="1481">
                  <c:v>58</c:v>
                </c:pt>
                <c:pt idx="1482">
                  <c:v>60</c:v>
                </c:pt>
                <c:pt idx="1483">
                  <c:v>64</c:v>
                </c:pt>
                <c:pt idx="1484">
                  <c:v>65</c:v>
                </c:pt>
                <c:pt idx="1485">
                  <c:v>65</c:v>
                </c:pt>
                <c:pt idx="1486">
                  <c:v>57</c:v>
                </c:pt>
                <c:pt idx="1487">
                  <c:v>56</c:v>
                </c:pt>
                <c:pt idx="1488">
                  <c:v>38</c:v>
                </c:pt>
                <c:pt idx="1489">
                  <c:v>28</c:v>
                </c:pt>
                <c:pt idx="1490">
                  <c:v>63</c:v>
                </c:pt>
                <c:pt idx="1491">
                  <c:v>56</c:v>
                </c:pt>
                <c:pt idx="1492">
                  <c:v>61</c:v>
                </c:pt>
                <c:pt idx="1493">
                  <c:v>64</c:v>
                </c:pt>
                <c:pt idx="1494">
                  <c:v>64</c:v>
                </c:pt>
                <c:pt idx="1495">
                  <c:v>54</c:v>
                </c:pt>
                <c:pt idx="1496">
                  <c:v>60</c:v>
                </c:pt>
                <c:pt idx="1497">
                  <c:v>64</c:v>
                </c:pt>
                <c:pt idx="1498">
                  <c:v>61</c:v>
                </c:pt>
                <c:pt idx="1499">
                  <c:v>64</c:v>
                </c:pt>
                <c:pt idx="1500">
                  <c:v>52</c:v>
                </c:pt>
                <c:pt idx="1501">
                  <c:v>34</c:v>
                </c:pt>
                <c:pt idx="1502">
                  <c:v>62</c:v>
                </c:pt>
                <c:pt idx="1503">
                  <c:v>56</c:v>
                </c:pt>
                <c:pt idx="1504">
                  <c:v>38</c:v>
                </c:pt>
                <c:pt idx="1505">
                  <c:v>64</c:v>
                </c:pt>
                <c:pt idx="1506">
                  <c:v>64</c:v>
                </c:pt>
                <c:pt idx="1507">
                  <c:v>51</c:v>
                </c:pt>
                <c:pt idx="1508">
                  <c:v>54</c:v>
                </c:pt>
                <c:pt idx="1509">
                  <c:v>63</c:v>
                </c:pt>
                <c:pt idx="1510">
                  <c:v>43</c:v>
                </c:pt>
                <c:pt idx="1511">
                  <c:v>48</c:v>
                </c:pt>
                <c:pt idx="1512">
                  <c:v>63</c:v>
                </c:pt>
                <c:pt idx="1513">
                  <c:v>59</c:v>
                </c:pt>
                <c:pt idx="1514">
                  <c:v>22</c:v>
                </c:pt>
                <c:pt idx="1515">
                  <c:v>33</c:v>
                </c:pt>
                <c:pt idx="1516">
                  <c:v>53</c:v>
                </c:pt>
                <c:pt idx="1517">
                  <c:v>63</c:v>
                </c:pt>
                <c:pt idx="1518">
                  <c:v>42</c:v>
                </c:pt>
                <c:pt idx="1519">
                  <c:v>22</c:v>
                </c:pt>
                <c:pt idx="1520">
                  <c:v>63</c:v>
                </c:pt>
                <c:pt idx="1521">
                  <c:v>63</c:v>
                </c:pt>
                <c:pt idx="1522">
                  <c:v>63</c:v>
                </c:pt>
                <c:pt idx="1523">
                  <c:v>60</c:v>
                </c:pt>
                <c:pt idx="1524">
                  <c:v>65</c:v>
                </c:pt>
                <c:pt idx="1525">
                  <c:v>66</c:v>
                </c:pt>
                <c:pt idx="1526">
                  <c:v>66</c:v>
                </c:pt>
                <c:pt idx="1527">
                  <c:v>66</c:v>
                </c:pt>
                <c:pt idx="1528">
                  <c:v>66</c:v>
                </c:pt>
                <c:pt idx="1529">
                  <c:v>47</c:v>
                </c:pt>
                <c:pt idx="1530">
                  <c:v>45</c:v>
                </c:pt>
                <c:pt idx="1531">
                  <c:v>64</c:v>
                </c:pt>
                <c:pt idx="1532">
                  <c:v>57</c:v>
                </c:pt>
                <c:pt idx="1533">
                  <c:v>54</c:v>
                </c:pt>
                <c:pt idx="1534">
                  <c:v>64</c:v>
                </c:pt>
                <c:pt idx="1535">
                  <c:v>62</c:v>
                </c:pt>
                <c:pt idx="1536">
                  <c:v>61</c:v>
                </c:pt>
                <c:pt idx="1537">
                  <c:v>65</c:v>
                </c:pt>
                <c:pt idx="1538">
                  <c:v>57</c:v>
                </c:pt>
                <c:pt idx="1539">
                  <c:v>59</c:v>
                </c:pt>
                <c:pt idx="1540">
                  <c:v>41</c:v>
                </c:pt>
                <c:pt idx="1541">
                  <c:v>65</c:v>
                </c:pt>
                <c:pt idx="1542">
                  <c:v>48</c:v>
                </c:pt>
                <c:pt idx="1543">
                  <c:v>55</c:v>
                </c:pt>
                <c:pt idx="1544">
                  <c:v>64</c:v>
                </c:pt>
                <c:pt idx="1545">
                  <c:v>34</c:v>
                </c:pt>
                <c:pt idx="1546">
                  <c:v>63</c:v>
                </c:pt>
                <c:pt idx="1547">
                  <c:v>27</c:v>
                </c:pt>
                <c:pt idx="1548">
                  <c:v>65</c:v>
                </c:pt>
                <c:pt idx="1549">
                  <c:v>65</c:v>
                </c:pt>
                <c:pt idx="1550">
                  <c:v>65</c:v>
                </c:pt>
                <c:pt idx="1551">
                  <c:v>64</c:v>
                </c:pt>
                <c:pt idx="1552">
                  <c:v>44</c:v>
                </c:pt>
                <c:pt idx="1553">
                  <c:v>64</c:v>
                </c:pt>
                <c:pt idx="1554">
                  <c:v>61</c:v>
                </c:pt>
                <c:pt idx="1555">
                  <c:v>64</c:v>
                </c:pt>
                <c:pt idx="1556">
                  <c:v>64</c:v>
                </c:pt>
                <c:pt idx="1557">
                  <c:v>32</c:v>
                </c:pt>
                <c:pt idx="1558">
                  <c:v>50</c:v>
                </c:pt>
                <c:pt idx="1559">
                  <c:v>66</c:v>
                </c:pt>
                <c:pt idx="1560">
                  <c:v>36</c:v>
                </c:pt>
                <c:pt idx="1561">
                  <c:v>62</c:v>
                </c:pt>
                <c:pt idx="1562">
                  <c:v>47</c:v>
                </c:pt>
                <c:pt idx="1563">
                  <c:v>42</c:v>
                </c:pt>
                <c:pt idx="1564">
                  <c:v>67</c:v>
                </c:pt>
                <c:pt idx="1565">
                  <c:v>67</c:v>
                </c:pt>
                <c:pt idx="1566">
                  <c:v>67</c:v>
                </c:pt>
                <c:pt idx="1567">
                  <c:v>34</c:v>
                </c:pt>
                <c:pt idx="1568">
                  <c:v>65</c:v>
                </c:pt>
                <c:pt idx="1569">
                  <c:v>32</c:v>
                </c:pt>
                <c:pt idx="1570">
                  <c:v>65</c:v>
                </c:pt>
                <c:pt idx="1571">
                  <c:v>60</c:v>
                </c:pt>
                <c:pt idx="1572">
                  <c:v>51</c:v>
                </c:pt>
                <c:pt idx="1573">
                  <c:v>66</c:v>
                </c:pt>
                <c:pt idx="1574">
                  <c:v>66</c:v>
                </c:pt>
                <c:pt idx="1575">
                  <c:v>66</c:v>
                </c:pt>
                <c:pt idx="1576">
                  <c:v>41</c:v>
                </c:pt>
                <c:pt idx="1577">
                  <c:v>66</c:v>
                </c:pt>
                <c:pt idx="1578">
                  <c:v>66</c:v>
                </c:pt>
                <c:pt idx="1579">
                  <c:v>51</c:v>
                </c:pt>
                <c:pt idx="1580">
                  <c:v>36</c:v>
                </c:pt>
                <c:pt idx="1581">
                  <c:v>63</c:v>
                </c:pt>
                <c:pt idx="1582">
                  <c:v>66</c:v>
                </c:pt>
                <c:pt idx="1583">
                  <c:v>58</c:v>
                </c:pt>
                <c:pt idx="1584">
                  <c:v>34</c:v>
                </c:pt>
                <c:pt idx="1585">
                  <c:v>62</c:v>
                </c:pt>
                <c:pt idx="1586">
                  <c:v>65</c:v>
                </c:pt>
                <c:pt idx="1587">
                  <c:v>57</c:v>
                </c:pt>
                <c:pt idx="1588">
                  <c:v>65</c:v>
                </c:pt>
                <c:pt idx="1589">
                  <c:v>42</c:v>
                </c:pt>
                <c:pt idx="1590">
                  <c:v>63</c:v>
                </c:pt>
                <c:pt idx="1591">
                  <c:v>41</c:v>
                </c:pt>
                <c:pt idx="1592">
                  <c:v>40</c:v>
                </c:pt>
                <c:pt idx="1593">
                  <c:v>45</c:v>
                </c:pt>
                <c:pt idx="1594">
                  <c:v>41</c:v>
                </c:pt>
                <c:pt idx="1595">
                  <c:v>57</c:v>
                </c:pt>
                <c:pt idx="1596">
                  <c:v>22</c:v>
                </c:pt>
                <c:pt idx="1597">
                  <c:v>67</c:v>
                </c:pt>
                <c:pt idx="1598">
                  <c:v>60</c:v>
                </c:pt>
                <c:pt idx="1599">
                  <c:v>40</c:v>
                </c:pt>
                <c:pt idx="1600">
                  <c:v>68</c:v>
                </c:pt>
                <c:pt idx="1601">
                  <c:v>68</c:v>
                </c:pt>
                <c:pt idx="1602">
                  <c:v>23</c:v>
                </c:pt>
                <c:pt idx="1603">
                  <c:v>66</c:v>
                </c:pt>
                <c:pt idx="1604">
                  <c:v>48</c:v>
                </c:pt>
                <c:pt idx="1605">
                  <c:v>67</c:v>
                </c:pt>
                <c:pt idx="1606">
                  <c:v>41</c:v>
                </c:pt>
                <c:pt idx="1607">
                  <c:v>67</c:v>
                </c:pt>
                <c:pt idx="1608">
                  <c:v>67</c:v>
                </c:pt>
                <c:pt idx="1609">
                  <c:v>64</c:v>
                </c:pt>
                <c:pt idx="1610">
                  <c:v>66</c:v>
                </c:pt>
                <c:pt idx="1611">
                  <c:v>67</c:v>
                </c:pt>
                <c:pt idx="1612">
                  <c:v>36</c:v>
                </c:pt>
                <c:pt idx="1613">
                  <c:v>67</c:v>
                </c:pt>
                <c:pt idx="1614">
                  <c:v>63</c:v>
                </c:pt>
                <c:pt idx="1615">
                  <c:v>63</c:v>
                </c:pt>
                <c:pt idx="1616">
                  <c:v>63</c:v>
                </c:pt>
                <c:pt idx="1617">
                  <c:v>66</c:v>
                </c:pt>
                <c:pt idx="1618">
                  <c:v>35</c:v>
                </c:pt>
                <c:pt idx="1619">
                  <c:v>50</c:v>
                </c:pt>
                <c:pt idx="1620">
                  <c:v>65</c:v>
                </c:pt>
                <c:pt idx="1621">
                  <c:v>22</c:v>
                </c:pt>
                <c:pt idx="1622">
                  <c:v>42</c:v>
                </c:pt>
                <c:pt idx="1623">
                  <c:v>58</c:v>
                </c:pt>
                <c:pt idx="1624">
                  <c:v>43</c:v>
                </c:pt>
                <c:pt idx="1625">
                  <c:v>68</c:v>
                </c:pt>
                <c:pt idx="1626">
                  <c:v>65</c:v>
                </c:pt>
                <c:pt idx="1627">
                  <c:v>67</c:v>
                </c:pt>
                <c:pt idx="1628">
                  <c:v>67</c:v>
                </c:pt>
                <c:pt idx="1629">
                  <c:v>52</c:v>
                </c:pt>
                <c:pt idx="1630">
                  <c:v>54</c:v>
                </c:pt>
                <c:pt idx="1631">
                  <c:v>22</c:v>
                </c:pt>
                <c:pt idx="1632">
                  <c:v>58</c:v>
                </c:pt>
                <c:pt idx="1633">
                  <c:v>68</c:v>
                </c:pt>
                <c:pt idx="1634">
                  <c:v>68</c:v>
                </c:pt>
                <c:pt idx="1635">
                  <c:v>57</c:v>
                </c:pt>
                <c:pt idx="1636">
                  <c:v>67</c:v>
                </c:pt>
                <c:pt idx="1637">
                  <c:v>59</c:v>
                </c:pt>
                <c:pt idx="1638">
                  <c:v>38</c:v>
                </c:pt>
                <c:pt idx="1639">
                  <c:v>63</c:v>
                </c:pt>
                <c:pt idx="1640">
                  <c:v>61</c:v>
                </c:pt>
                <c:pt idx="1641">
                  <c:v>68</c:v>
                </c:pt>
                <c:pt idx="1642">
                  <c:v>68</c:v>
                </c:pt>
                <c:pt idx="1643">
                  <c:v>68</c:v>
                </c:pt>
                <c:pt idx="1644">
                  <c:v>27</c:v>
                </c:pt>
                <c:pt idx="1645">
                  <c:v>59</c:v>
                </c:pt>
                <c:pt idx="1646">
                  <c:v>59</c:v>
                </c:pt>
                <c:pt idx="1647">
                  <c:v>67</c:v>
                </c:pt>
                <c:pt idx="1648">
                  <c:v>67</c:v>
                </c:pt>
                <c:pt idx="1649">
                  <c:v>30</c:v>
                </c:pt>
                <c:pt idx="1650">
                  <c:v>50</c:v>
                </c:pt>
                <c:pt idx="1651">
                  <c:v>67</c:v>
                </c:pt>
                <c:pt idx="1652">
                  <c:v>47</c:v>
                </c:pt>
                <c:pt idx="1653">
                  <c:v>37</c:v>
                </c:pt>
                <c:pt idx="1654">
                  <c:v>37</c:v>
                </c:pt>
                <c:pt idx="1655">
                  <c:v>28</c:v>
                </c:pt>
                <c:pt idx="1656">
                  <c:v>64</c:v>
                </c:pt>
                <c:pt idx="1657">
                  <c:v>63</c:v>
                </c:pt>
                <c:pt idx="1658">
                  <c:v>59</c:v>
                </c:pt>
                <c:pt idx="1659">
                  <c:v>61</c:v>
                </c:pt>
                <c:pt idx="1660">
                  <c:v>35</c:v>
                </c:pt>
                <c:pt idx="1661">
                  <c:v>59</c:v>
                </c:pt>
                <c:pt idx="1662">
                  <c:v>45</c:v>
                </c:pt>
                <c:pt idx="1663">
                  <c:v>57</c:v>
                </c:pt>
                <c:pt idx="1664">
                  <c:v>68</c:v>
                </c:pt>
                <c:pt idx="1665">
                  <c:v>44</c:v>
                </c:pt>
                <c:pt idx="1666">
                  <c:v>24</c:v>
                </c:pt>
                <c:pt idx="1667">
                  <c:v>64</c:v>
                </c:pt>
                <c:pt idx="1668">
                  <c:v>61</c:v>
                </c:pt>
                <c:pt idx="1669">
                  <c:v>51</c:v>
                </c:pt>
                <c:pt idx="1670">
                  <c:v>47</c:v>
                </c:pt>
                <c:pt idx="1671">
                  <c:v>45</c:v>
                </c:pt>
                <c:pt idx="1672">
                  <c:v>56</c:v>
                </c:pt>
                <c:pt idx="1673">
                  <c:v>68</c:v>
                </c:pt>
                <c:pt idx="1674">
                  <c:v>45</c:v>
                </c:pt>
                <c:pt idx="1675">
                  <c:v>58</c:v>
                </c:pt>
                <c:pt idx="1676">
                  <c:v>64</c:v>
                </c:pt>
                <c:pt idx="1677">
                  <c:v>68</c:v>
                </c:pt>
                <c:pt idx="1678">
                  <c:v>31</c:v>
                </c:pt>
                <c:pt idx="1679">
                  <c:v>66</c:v>
                </c:pt>
                <c:pt idx="1680">
                  <c:v>47</c:v>
                </c:pt>
                <c:pt idx="1681">
                  <c:v>56</c:v>
                </c:pt>
                <c:pt idx="1682">
                  <c:v>55</c:v>
                </c:pt>
                <c:pt idx="1683">
                  <c:v>58</c:v>
                </c:pt>
                <c:pt idx="1684">
                  <c:v>51</c:v>
                </c:pt>
                <c:pt idx="1685">
                  <c:v>54</c:v>
                </c:pt>
                <c:pt idx="1686">
                  <c:v>48</c:v>
                </c:pt>
                <c:pt idx="1687">
                  <c:v>55</c:v>
                </c:pt>
                <c:pt idx="1688">
                  <c:v>64</c:v>
                </c:pt>
                <c:pt idx="1689">
                  <c:v>67</c:v>
                </c:pt>
                <c:pt idx="1690">
                  <c:v>67</c:v>
                </c:pt>
                <c:pt idx="1691">
                  <c:v>64</c:v>
                </c:pt>
                <c:pt idx="1692">
                  <c:v>48</c:v>
                </c:pt>
                <c:pt idx="1693">
                  <c:v>66</c:v>
                </c:pt>
                <c:pt idx="1694">
                  <c:v>57</c:v>
                </c:pt>
                <c:pt idx="1695">
                  <c:v>63</c:v>
                </c:pt>
                <c:pt idx="1696">
                  <c:v>25</c:v>
                </c:pt>
                <c:pt idx="1697">
                  <c:v>38</c:v>
                </c:pt>
                <c:pt idx="1698">
                  <c:v>58</c:v>
                </c:pt>
                <c:pt idx="1699">
                  <c:v>64</c:v>
                </c:pt>
                <c:pt idx="1700">
                  <c:v>62</c:v>
                </c:pt>
                <c:pt idx="1701">
                  <c:v>36</c:v>
                </c:pt>
                <c:pt idx="1702">
                  <c:v>50</c:v>
                </c:pt>
                <c:pt idx="1703">
                  <c:v>22</c:v>
                </c:pt>
                <c:pt idx="1704">
                  <c:v>52</c:v>
                </c:pt>
                <c:pt idx="1705">
                  <c:v>67</c:v>
                </c:pt>
                <c:pt idx="1706">
                  <c:v>52</c:v>
                </c:pt>
                <c:pt idx="1707">
                  <c:v>61</c:v>
                </c:pt>
                <c:pt idx="1708">
                  <c:v>66</c:v>
                </c:pt>
                <c:pt idx="1709">
                  <c:v>38</c:v>
                </c:pt>
                <c:pt idx="1710">
                  <c:v>53</c:v>
                </c:pt>
                <c:pt idx="1711">
                  <c:v>50</c:v>
                </c:pt>
                <c:pt idx="1712">
                  <c:v>52</c:v>
                </c:pt>
                <c:pt idx="1713">
                  <c:v>29</c:v>
                </c:pt>
                <c:pt idx="1714">
                  <c:v>42</c:v>
                </c:pt>
                <c:pt idx="1715">
                  <c:v>44</c:v>
                </c:pt>
                <c:pt idx="1716">
                  <c:v>64</c:v>
                </c:pt>
                <c:pt idx="1717">
                  <c:v>46</c:v>
                </c:pt>
                <c:pt idx="1718">
                  <c:v>44</c:v>
                </c:pt>
                <c:pt idx="1719">
                  <c:v>46</c:v>
                </c:pt>
                <c:pt idx="1720">
                  <c:v>38</c:v>
                </c:pt>
                <c:pt idx="1721">
                  <c:v>48</c:v>
                </c:pt>
                <c:pt idx="1722">
                  <c:v>68</c:v>
                </c:pt>
                <c:pt idx="1723">
                  <c:v>68</c:v>
                </c:pt>
                <c:pt idx="1724">
                  <c:v>41</c:v>
                </c:pt>
                <c:pt idx="1725">
                  <c:v>33</c:v>
                </c:pt>
                <c:pt idx="1726">
                  <c:v>39</c:v>
                </c:pt>
                <c:pt idx="1727">
                  <c:v>33</c:v>
                </c:pt>
                <c:pt idx="1728">
                  <c:v>44</c:v>
                </c:pt>
                <c:pt idx="1729">
                  <c:v>52</c:v>
                </c:pt>
                <c:pt idx="1730">
                  <c:v>38</c:v>
                </c:pt>
                <c:pt idx="1731">
                  <c:v>38</c:v>
                </c:pt>
                <c:pt idx="1732">
                  <c:v>24</c:v>
                </c:pt>
                <c:pt idx="1733">
                  <c:v>54</c:v>
                </c:pt>
                <c:pt idx="1734">
                  <c:v>23</c:v>
                </c:pt>
                <c:pt idx="1735">
                  <c:v>57</c:v>
                </c:pt>
                <c:pt idx="1736">
                  <c:v>61</c:v>
                </c:pt>
                <c:pt idx="1737">
                  <c:v>31</c:v>
                </c:pt>
                <c:pt idx="1738">
                  <c:v>23</c:v>
                </c:pt>
                <c:pt idx="1739">
                  <c:v>68</c:v>
                </c:pt>
                <c:pt idx="1740">
                  <c:v>31</c:v>
                </c:pt>
                <c:pt idx="1741">
                  <c:v>25</c:v>
                </c:pt>
                <c:pt idx="1742">
                  <c:v>63</c:v>
                </c:pt>
                <c:pt idx="1743">
                  <c:v>56</c:v>
                </c:pt>
                <c:pt idx="1744">
                  <c:v>51</c:v>
                </c:pt>
                <c:pt idx="1745">
                  <c:v>49</c:v>
                </c:pt>
                <c:pt idx="1746">
                  <c:v>33</c:v>
                </c:pt>
                <c:pt idx="1747">
                  <c:v>52</c:v>
                </c:pt>
                <c:pt idx="1748">
                  <c:v>37</c:v>
                </c:pt>
                <c:pt idx="1749">
                  <c:v>64</c:v>
                </c:pt>
                <c:pt idx="1750">
                  <c:v>31</c:v>
                </c:pt>
                <c:pt idx="1751">
                  <c:v>52</c:v>
                </c:pt>
                <c:pt idx="1752">
                  <c:v>23</c:v>
                </c:pt>
                <c:pt idx="1753">
                  <c:v>58</c:v>
                </c:pt>
                <c:pt idx="1754">
                  <c:v>49</c:v>
                </c:pt>
                <c:pt idx="1755">
                  <c:v>46</c:v>
                </c:pt>
                <c:pt idx="1756">
                  <c:v>55</c:v>
                </c:pt>
                <c:pt idx="1757">
                  <c:v>30</c:v>
                </c:pt>
                <c:pt idx="1758">
                  <c:v>23</c:v>
                </c:pt>
                <c:pt idx="1759">
                  <c:v>24</c:v>
                </c:pt>
                <c:pt idx="1760">
                  <c:v>28</c:v>
                </c:pt>
                <c:pt idx="1761">
                  <c:v>61</c:v>
                </c:pt>
                <c:pt idx="1762">
                  <c:v>62</c:v>
                </c:pt>
                <c:pt idx="1763">
                  <c:v>22</c:v>
                </c:pt>
                <c:pt idx="1764">
                  <c:v>44</c:v>
                </c:pt>
                <c:pt idx="1765">
                  <c:v>51</c:v>
                </c:pt>
                <c:pt idx="1766">
                  <c:v>63</c:v>
                </c:pt>
                <c:pt idx="1767">
                  <c:v>23</c:v>
                </c:pt>
                <c:pt idx="1768">
                  <c:v>34</c:v>
                </c:pt>
                <c:pt idx="1769">
                  <c:v>23</c:v>
                </c:pt>
                <c:pt idx="1770">
                  <c:v>55</c:v>
                </c:pt>
                <c:pt idx="1771">
                  <c:v>36</c:v>
                </c:pt>
                <c:pt idx="1772">
                  <c:v>61</c:v>
                </c:pt>
                <c:pt idx="1773">
                  <c:v>58</c:v>
                </c:pt>
                <c:pt idx="1774">
                  <c:v>63</c:v>
                </c:pt>
                <c:pt idx="1775">
                  <c:v>24</c:v>
                </c:pt>
                <c:pt idx="1776">
                  <c:v>56</c:v>
                </c:pt>
                <c:pt idx="1777">
                  <c:v>36</c:v>
                </c:pt>
                <c:pt idx="1778">
                  <c:v>32</c:v>
                </c:pt>
                <c:pt idx="1779">
                  <c:v>23</c:v>
                </c:pt>
                <c:pt idx="1780">
                  <c:v>60</c:v>
                </c:pt>
                <c:pt idx="1781">
                  <c:v>47</c:v>
                </c:pt>
                <c:pt idx="1782">
                  <c:v>63</c:v>
                </c:pt>
                <c:pt idx="1783">
                  <c:v>50</c:v>
                </c:pt>
                <c:pt idx="1784">
                  <c:v>29</c:v>
                </c:pt>
                <c:pt idx="1785">
                  <c:v>47</c:v>
                </c:pt>
                <c:pt idx="1786">
                  <c:v>37</c:v>
                </c:pt>
                <c:pt idx="1787">
                  <c:v>49</c:v>
                </c:pt>
                <c:pt idx="1788">
                  <c:v>25</c:v>
                </c:pt>
                <c:pt idx="1789">
                  <c:v>51</c:v>
                </c:pt>
                <c:pt idx="1790">
                  <c:v>61</c:v>
                </c:pt>
                <c:pt idx="1791">
                  <c:v>27</c:v>
                </c:pt>
                <c:pt idx="1792">
                  <c:v>33</c:v>
                </c:pt>
                <c:pt idx="1793">
                  <c:v>63</c:v>
                </c:pt>
                <c:pt idx="1794">
                  <c:v>29</c:v>
                </c:pt>
                <c:pt idx="1795">
                  <c:v>22</c:v>
                </c:pt>
                <c:pt idx="1796">
                  <c:v>31</c:v>
                </c:pt>
                <c:pt idx="1797">
                  <c:v>34</c:v>
                </c:pt>
                <c:pt idx="1798">
                  <c:v>31</c:v>
                </c:pt>
                <c:pt idx="1799">
                  <c:v>27</c:v>
                </c:pt>
                <c:pt idx="1800">
                  <c:v>62</c:v>
                </c:pt>
                <c:pt idx="1801">
                  <c:v>40</c:v>
                </c:pt>
                <c:pt idx="1802">
                  <c:v>28</c:v>
                </c:pt>
                <c:pt idx="1803">
                  <c:v>56</c:v>
                </c:pt>
                <c:pt idx="1804">
                  <c:v>59</c:v>
                </c:pt>
                <c:pt idx="1805">
                  <c:v>34</c:v>
                </c:pt>
                <c:pt idx="1806">
                  <c:v>47</c:v>
                </c:pt>
                <c:pt idx="1807">
                  <c:v>31</c:v>
                </c:pt>
                <c:pt idx="1808">
                  <c:v>47</c:v>
                </c:pt>
                <c:pt idx="1809">
                  <c:v>64</c:v>
                </c:pt>
                <c:pt idx="1810">
                  <c:v>23</c:v>
                </c:pt>
                <c:pt idx="1811">
                  <c:v>63</c:v>
                </c:pt>
                <c:pt idx="1812">
                  <c:v>31</c:v>
                </c:pt>
                <c:pt idx="1813">
                  <c:v>57</c:v>
                </c:pt>
                <c:pt idx="1814">
                  <c:v>63</c:v>
                </c:pt>
                <c:pt idx="1815">
                  <c:v>28</c:v>
                </c:pt>
                <c:pt idx="1816">
                  <c:v>34</c:v>
                </c:pt>
                <c:pt idx="1817">
                  <c:v>38</c:v>
                </c:pt>
                <c:pt idx="1818">
                  <c:v>43</c:v>
                </c:pt>
                <c:pt idx="1819">
                  <c:v>37</c:v>
                </c:pt>
                <c:pt idx="1820">
                  <c:v>33</c:v>
                </c:pt>
                <c:pt idx="1821">
                  <c:v>47</c:v>
                </c:pt>
                <c:pt idx="1822">
                  <c:v>35</c:v>
                </c:pt>
                <c:pt idx="1823">
                  <c:v>41</c:v>
                </c:pt>
                <c:pt idx="1824">
                  <c:v>59</c:v>
                </c:pt>
                <c:pt idx="1825">
                  <c:v>60</c:v>
                </c:pt>
                <c:pt idx="1826">
                  <c:v>35</c:v>
                </c:pt>
                <c:pt idx="1827">
                  <c:v>39</c:v>
                </c:pt>
                <c:pt idx="1828">
                  <c:v>33</c:v>
                </c:pt>
                <c:pt idx="1829">
                  <c:v>44</c:v>
                </c:pt>
                <c:pt idx="1830">
                  <c:v>39</c:v>
                </c:pt>
                <c:pt idx="1831">
                  <c:v>46</c:v>
                </c:pt>
                <c:pt idx="1832">
                  <c:v>34</c:v>
                </c:pt>
                <c:pt idx="1833">
                  <c:v>41</c:v>
                </c:pt>
                <c:pt idx="1834">
                  <c:v>63</c:v>
                </c:pt>
                <c:pt idx="1835">
                  <c:v>48</c:v>
                </c:pt>
                <c:pt idx="1836">
                  <c:v>32</c:v>
                </c:pt>
                <c:pt idx="1837">
                  <c:v>36</c:v>
                </c:pt>
                <c:pt idx="1838">
                  <c:v>54</c:v>
                </c:pt>
                <c:pt idx="1839">
                  <c:v>47</c:v>
                </c:pt>
                <c:pt idx="1840">
                  <c:v>29</c:v>
                </c:pt>
                <c:pt idx="1841">
                  <c:v>46</c:v>
                </c:pt>
                <c:pt idx="1842">
                  <c:v>60</c:v>
                </c:pt>
                <c:pt idx="1843">
                  <c:v>38</c:v>
                </c:pt>
                <c:pt idx="1844">
                  <c:v>43</c:v>
                </c:pt>
                <c:pt idx="1845">
                  <c:v>24</c:v>
                </c:pt>
                <c:pt idx="1846">
                  <c:v>32</c:v>
                </c:pt>
                <c:pt idx="1847">
                  <c:v>39</c:v>
                </c:pt>
                <c:pt idx="1848">
                  <c:v>60</c:v>
                </c:pt>
                <c:pt idx="1849">
                  <c:v>33</c:v>
                </c:pt>
                <c:pt idx="1850">
                  <c:v>41</c:v>
                </c:pt>
                <c:pt idx="1851">
                  <c:v>64</c:v>
                </c:pt>
                <c:pt idx="1852">
                  <c:v>41</c:v>
                </c:pt>
                <c:pt idx="1853">
                  <c:v>64</c:v>
                </c:pt>
                <c:pt idx="1854">
                  <c:v>57</c:v>
                </c:pt>
                <c:pt idx="1855">
                  <c:v>60</c:v>
                </c:pt>
                <c:pt idx="1856">
                  <c:v>59</c:v>
                </c:pt>
                <c:pt idx="1857">
                  <c:v>61</c:v>
                </c:pt>
                <c:pt idx="1858">
                  <c:v>34</c:v>
                </c:pt>
                <c:pt idx="1859">
                  <c:v>40</c:v>
                </c:pt>
                <c:pt idx="1860">
                  <c:v>59</c:v>
                </c:pt>
                <c:pt idx="1861">
                  <c:v>51</c:v>
                </c:pt>
                <c:pt idx="1862">
                  <c:v>62</c:v>
                </c:pt>
                <c:pt idx="1863">
                  <c:v>39</c:v>
                </c:pt>
                <c:pt idx="1864">
                  <c:v>43</c:v>
                </c:pt>
                <c:pt idx="1865">
                  <c:v>49</c:v>
                </c:pt>
                <c:pt idx="1866">
                  <c:v>57</c:v>
                </c:pt>
                <c:pt idx="1867">
                  <c:v>52</c:v>
                </c:pt>
                <c:pt idx="1868">
                  <c:v>52</c:v>
                </c:pt>
                <c:pt idx="1869">
                  <c:v>46</c:v>
                </c:pt>
                <c:pt idx="1870">
                  <c:v>22</c:v>
                </c:pt>
                <c:pt idx="1871">
                  <c:v>46</c:v>
                </c:pt>
                <c:pt idx="1872">
                  <c:v>36</c:v>
                </c:pt>
                <c:pt idx="1873">
                  <c:v>27</c:v>
                </c:pt>
                <c:pt idx="1874">
                  <c:v>43</c:v>
                </c:pt>
                <c:pt idx="1875">
                  <c:v>64</c:v>
                </c:pt>
                <c:pt idx="1876">
                  <c:v>50</c:v>
                </c:pt>
                <c:pt idx="1877">
                  <c:v>47</c:v>
                </c:pt>
                <c:pt idx="1878">
                  <c:v>47</c:v>
                </c:pt>
                <c:pt idx="1879">
                  <c:v>63</c:v>
                </c:pt>
                <c:pt idx="1880">
                  <c:v>47</c:v>
                </c:pt>
                <c:pt idx="1881">
                  <c:v>23</c:v>
                </c:pt>
                <c:pt idx="1882">
                  <c:v>51</c:v>
                </c:pt>
                <c:pt idx="1883">
                  <c:v>37</c:v>
                </c:pt>
                <c:pt idx="1884">
                  <c:v>25</c:v>
                </c:pt>
                <c:pt idx="1885">
                  <c:v>46</c:v>
                </c:pt>
                <c:pt idx="1886">
                  <c:v>61</c:v>
                </c:pt>
                <c:pt idx="1887">
                  <c:v>55</c:v>
                </c:pt>
                <c:pt idx="1888">
                  <c:v>44</c:v>
                </c:pt>
                <c:pt idx="1889">
                  <c:v>27</c:v>
                </c:pt>
                <c:pt idx="1890">
                  <c:v>60</c:v>
                </c:pt>
                <c:pt idx="1891">
                  <c:v>43</c:v>
                </c:pt>
                <c:pt idx="1892">
                  <c:v>47</c:v>
                </c:pt>
                <c:pt idx="1893">
                  <c:v>23</c:v>
                </c:pt>
                <c:pt idx="1894">
                  <c:v>56</c:v>
                </c:pt>
                <c:pt idx="1895">
                  <c:v>51</c:v>
                </c:pt>
                <c:pt idx="1896">
                  <c:v>23</c:v>
                </c:pt>
                <c:pt idx="1897">
                  <c:v>29</c:v>
                </c:pt>
                <c:pt idx="1898">
                  <c:v>57</c:v>
                </c:pt>
                <c:pt idx="1899">
                  <c:v>32</c:v>
                </c:pt>
                <c:pt idx="1900">
                  <c:v>53</c:v>
                </c:pt>
                <c:pt idx="1901">
                  <c:v>51</c:v>
                </c:pt>
                <c:pt idx="1902">
                  <c:v>43</c:v>
                </c:pt>
                <c:pt idx="1903">
                  <c:v>52</c:v>
                </c:pt>
                <c:pt idx="1904">
                  <c:v>53</c:v>
                </c:pt>
                <c:pt idx="1905">
                  <c:v>56</c:v>
                </c:pt>
                <c:pt idx="1906">
                  <c:v>55</c:v>
                </c:pt>
                <c:pt idx="1907">
                  <c:v>23</c:v>
                </c:pt>
                <c:pt idx="1908">
                  <c:v>53</c:v>
                </c:pt>
                <c:pt idx="1909">
                  <c:v>52</c:v>
                </c:pt>
                <c:pt idx="1910">
                  <c:v>62</c:v>
                </c:pt>
                <c:pt idx="1911">
                  <c:v>22</c:v>
                </c:pt>
                <c:pt idx="1912">
                  <c:v>27</c:v>
                </c:pt>
                <c:pt idx="1913">
                  <c:v>56</c:v>
                </c:pt>
                <c:pt idx="1914">
                  <c:v>58</c:v>
                </c:pt>
                <c:pt idx="1915">
                  <c:v>65</c:v>
                </c:pt>
                <c:pt idx="1916">
                  <c:v>54</c:v>
                </c:pt>
                <c:pt idx="1917">
                  <c:v>51</c:v>
                </c:pt>
                <c:pt idx="1918">
                  <c:v>50</c:v>
                </c:pt>
                <c:pt idx="1919">
                  <c:v>56</c:v>
                </c:pt>
                <c:pt idx="1920">
                  <c:v>30</c:v>
                </c:pt>
                <c:pt idx="1921">
                  <c:v>34</c:v>
                </c:pt>
                <c:pt idx="1922">
                  <c:v>32</c:v>
                </c:pt>
                <c:pt idx="1923">
                  <c:v>31</c:v>
                </c:pt>
                <c:pt idx="1924">
                  <c:v>56</c:v>
                </c:pt>
                <c:pt idx="1925">
                  <c:v>57</c:v>
                </c:pt>
                <c:pt idx="1926">
                  <c:v>39</c:v>
                </c:pt>
                <c:pt idx="1927">
                  <c:v>51</c:v>
                </c:pt>
                <c:pt idx="1928">
                  <c:v>31</c:v>
                </c:pt>
                <c:pt idx="1929">
                  <c:v>28</c:v>
                </c:pt>
                <c:pt idx="1930">
                  <c:v>28</c:v>
                </c:pt>
                <c:pt idx="1931">
                  <c:v>51</c:v>
                </c:pt>
                <c:pt idx="1932">
                  <c:v>54</c:v>
                </c:pt>
                <c:pt idx="1933">
                  <c:v>58</c:v>
                </c:pt>
                <c:pt idx="1934">
                  <c:v>58</c:v>
                </c:pt>
                <c:pt idx="1935">
                  <c:v>25</c:v>
                </c:pt>
                <c:pt idx="1936">
                  <c:v>54</c:v>
                </c:pt>
                <c:pt idx="1937">
                  <c:v>63</c:v>
                </c:pt>
                <c:pt idx="1938">
                  <c:v>56</c:v>
                </c:pt>
                <c:pt idx="1939">
                  <c:v>25</c:v>
                </c:pt>
                <c:pt idx="1940">
                  <c:v>26</c:v>
                </c:pt>
                <c:pt idx="1941">
                  <c:v>60</c:v>
                </c:pt>
                <c:pt idx="1942">
                  <c:v>24</c:v>
                </c:pt>
                <c:pt idx="1943">
                  <c:v>53</c:v>
                </c:pt>
                <c:pt idx="1944">
                  <c:v>51</c:v>
                </c:pt>
                <c:pt idx="1945">
                  <c:v>22</c:v>
                </c:pt>
                <c:pt idx="1946">
                  <c:v>52</c:v>
                </c:pt>
                <c:pt idx="1947">
                  <c:v>56</c:v>
                </c:pt>
                <c:pt idx="1948">
                  <c:v>22</c:v>
                </c:pt>
                <c:pt idx="1949">
                  <c:v>38</c:v>
                </c:pt>
                <c:pt idx="1950">
                  <c:v>35</c:v>
                </c:pt>
                <c:pt idx="1951">
                  <c:v>68</c:v>
                </c:pt>
                <c:pt idx="1952">
                  <c:v>24</c:v>
                </c:pt>
                <c:pt idx="1953">
                  <c:v>26</c:v>
                </c:pt>
                <c:pt idx="1954">
                  <c:v>66</c:v>
                </c:pt>
                <c:pt idx="1955">
                  <c:v>68</c:v>
                </c:pt>
                <c:pt idx="1956">
                  <c:v>32</c:v>
                </c:pt>
                <c:pt idx="1957">
                  <c:v>36</c:v>
                </c:pt>
                <c:pt idx="1958">
                  <c:v>56</c:v>
                </c:pt>
                <c:pt idx="1959">
                  <c:v>61</c:v>
                </c:pt>
                <c:pt idx="1960">
                  <c:v>27</c:v>
                </c:pt>
                <c:pt idx="1961">
                  <c:v>58</c:v>
                </c:pt>
                <c:pt idx="1962">
                  <c:v>57</c:v>
                </c:pt>
                <c:pt idx="1963">
                  <c:v>38</c:v>
                </c:pt>
                <c:pt idx="1964">
                  <c:v>41</c:v>
                </c:pt>
                <c:pt idx="1965">
                  <c:v>45</c:v>
                </c:pt>
                <c:pt idx="1966">
                  <c:v>61</c:v>
                </c:pt>
                <c:pt idx="1967">
                  <c:v>42</c:v>
                </c:pt>
                <c:pt idx="1968">
                  <c:v>41</c:v>
                </c:pt>
                <c:pt idx="1969">
                  <c:v>34</c:v>
                </c:pt>
                <c:pt idx="1970">
                  <c:v>29</c:v>
                </c:pt>
                <c:pt idx="1971">
                  <c:v>29</c:v>
                </c:pt>
                <c:pt idx="1972">
                  <c:v>34</c:v>
                </c:pt>
                <c:pt idx="1973">
                  <c:v>24</c:v>
                </c:pt>
                <c:pt idx="1974">
                  <c:v>66</c:v>
                </c:pt>
                <c:pt idx="1975">
                  <c:v>41</c:v>
                </c:pt>
                <c:pt idx="1976">
                  <c:v>37</c:v>
                </c:pt>
                <c:pt idx="1977">
                  <c:v>35</c:v>
                </c:pt>
                <c:pt idx="1978">
                  <c:v>65</c:v>
                </c:pt>
                <c:pt idx="1979">
                  <c:v>27</c:v>
                </c:pt>
                <c:pt idx="1980">
                  <c:v>41</c:v>
                </c:pt>
                <c:pt idx="1981">
                  <c:v>66</c:v>
                </c:pt>
                <c:pt idx="1982">
                  <c:v>27</c:v>
                </c:pt>
                <c:pt idx="1983">
                  <c:v>63</c:v>
                </c:pt>
                <c:pt idx="1984">
                  <c:v>36</c:v>
                </c:pt>
                <c:pt idx="1985">
                  <c:v>49</c:v>
                </c:pt>
                <c:pt idx="1986">
                  <c:v>52</c:v>
                </c:pt>
                <c:pt idx="1987">
                  <c:v>44</c:v>
                </c:pt>
                <c:pt idx="1988">
                  <c:v>41</c:v>
                </c:pt>
                <c:pt idx="1989">
                  <c:v>36</c:v>
                </c:pt>
                <c:pt idx="1990">
                  <c:v>65</c:v>
                </c:pt>
                <c:pt idx="1991">
                  <c:v>64</c:v>
                </c:pt>
                <c:pt idx="1992">
                  <c:v>67</c:v>
                </c:pt>
                <c:pt idx="1993">
                  <c:v>23</c:v>
                </c:pt>
                <c:pt idx="1994">
                  <c:v>34</c:v>
                </c:pt>
                <c:pt idx="1995">
                  <c:v>46</c:v>
                </c:pt>
                <c:pt idx="1996">
                  <c:v>48</c:v>
                </c:pt>
                <c:pt idx="1997">
                  <c:v>65</c:v>
                </c:pt>
                <c:pt idx="1998">
                  <c:v>50</c:v>
                </c:pt>
                <c:pt idx="1999">
                  <c:v>57</c:v>
                </c:pt>
                <c:pt idx="2000">
                  <c:v>48</c:v>
                </c:pt>
                <c:pt idx="2001">
                  <c:v>68</c:v>
                </c:pt>
                <c:pt idx="2002">
                  <c:v>41</c:v>
                </c:pt>
                <c:pt idx="2003">
                  <c:v>39</c:v>
                </c:pt>
                <c:pt idx="2004">
                  <c:v>67</c:v>
                </c:pt>
                <c:pt idx="2005">
                  <c:v>51</c:v>
                </c:pt>
                <c:pt idx="2006">
                  <c:v>33</c:v>
                </c:pt>
                <c:pt idx="2007">
                  <c:v>53</c:v>
                </c:pt>
                <c:pt idx="2008">
                  <c:v>28</c:v>
                </c:pt>
                <c:pt idx="2009">
                  <c:v>45</c:v>
                </c:pt>
                <c:pt idx="2010">
                  <c:v>44</c:v>
                </c:pt>
                <c:pt idx="2011">
                  <c:v>37</c:v>
                </c:pt>
                <c:pt idx="2012">
                  <c:v>51</c:v>
                </c:pt>
                <c:pt idx="2013">
                  <c:v>38</c:v>
                </c:pt>
                <c:pt idx="2014">
                  <c:v>50</c:v>
                </c:pt>
                <c:pt idx="2015">
                  <c:v>35</c:v>
                </c:pt>
                <c:pt idx="2016">
                  <c:v>45</c:v>
                </c:pt>
                <c:pt idx="2017">
                  <c:v>59</c:v>
                </c:pt>
                <c:pt idx="2018">
                  <c:v>47</c:v>
                </c:pt>
                <c:pt idx="2019">
                  <c:v>55</c:v>
                </c:pt>
                <c:pt idx="2020">
                  <c:v>68</c:v>
                </c:pt>
                <c:pt idx="2021">
                  <c:v>63</c:v>
                </c:pt>
                <c:pt idx="2022">
                  <c:v>64</c:v>
                </c:pt>
                <c:pt idx="2023">
                  <c:v>54</c:v>
                </c:pt>
                <c:pt idx="2024">
                  <c:v>22</c:v>
                </c:pt>
                <c:pt idx="2025">
                  <c:v>57</c:v>
                </c:pt>
                <c:pt idx="2026">
                  <c:v>50</c:v>
                </c:pt>
                <c:pt idx="2027">
                  <c:v>28</c:v>
                </c:pt>
                <c:pt idx="2028">
                  <c:v>43</c:v>
                </c:pt>
                <c:pt idx="2029">
                  <c:v>40</c:v>
                </c:pt>
                <c:pt idx="2030">
                  <c:v>56</c:v>
                </c:pt>
                <c:pt idx="2031">
                  <c:v>27</c:v>
                </c:pt>
                <c:pt idx="2032">
                  <c:v>43</c:v>
                </c:pt>
                <c:pt idx="2033">
                  <c:v>38</c:v>
                </c:pt>
                <c:pt idx="2034">
                  <c:v>65</c:v>
                </c:pt>
                <c:pt idx="2035">
                  <c:v>22</c:v>
                </c:pt>
                <c:pt idx="2036">
                  <c:v>26</c:v>
                </c:pt>
                <c:pt idx="2037">
                  <c:v>58</c:v>
                </c:pt>
                <c:pt idx="2038">
                  <c:v>31</c:v>
                </c:pt>
                <c:pt idx="2039">
                  <c:v>52</c:v>
                </c:pt>
                <c:pt idx="2040">
                  <c:v>51</c:v>
                </c:pt>
                <c:pt idx="2041">
                  <c:v>66</c:v>
                </c:pt>
                <c:pt idx="2042">
                  <c:v>49</c:v>
                </c:pt>
                <c:pt idx="2043">
                  <c:v>42</c:v>
                </c:pt>
                <c:pt idx="2044">
                  <c:v>51</c:v>
                </c:pt>
                <c:pt idx="2045">
                  <c:v>54</c:v>
                </c:pt>
                <c:pt idx="2046">
                  <c:v>33</c:v>
                </c:pt>
                <c:pt idx="2047">
                  <c:v>48</c:v>
                </c:pt>
                <c:pt idx="2048">
                  <c:v>57</c:v>
                </c:pt>
                <c:pt idx="2049">
                  <c:v>32</c:v>
                </c:pt>
                <c:pt idx="2050">
                  <c:v>51</c:v>
                </c:pt>
                <c:pt idx="2051">
                  <c:v>40</c:v>
                </c:pt>
                <c:pt idx="2052">
                  <c:v>54</c:v>
                </c:pt>
                <c:pt idx="2053">
                  <c:v>50</c:v>
                </c:pt>
                <c:pt idx="2054">
                  <c:v>45</c:v>
                </c:pt>
                <c:pt idx="2055">
                  <c:v>50</c:v>
                </c:pt>
                <c:pt idx="2056">
                  <c:v>23</c:v>
                </c:pt>
                <c:pt idx="2057">
                  <c:v>36</c:v>
                </c:pt>
                <c:pt idx="2058">
                  <c:v>58</c:v>
                </c:pt>
                <c:pt idx="2059">
                  <c:v>36</c:v>
                </c:pt>
                <c:pt idx="2060">
                  <c:v>36</c:v>
                </c:pt>
                <c:pt idx="2061">
                  <c:v>52</c:v>
                </c:pt>
                <c:pt idx="2062">
                  <c:v>54</c:v>
                </c:pt>
                <c:pt idx="2063">
                  <c:v>46</c:v>
                </c:pt>
                <c:pt idx="2064">
                  <c:v>31</c:v>
                </c:pt>
                <c:pt idx="2065">
                  <c:v>45</c:v>
                </c:pt>
                <c:pt idx="2066">
                  <c:v>55</c:v>
                </c:pt>
                <c:pt idx="2067">
                  <c:v>31</c:v>
                </c:pt>
                <c:pt idx="2068">
                  <c:v>59</c:v>
                </c:pt>
                <c:pt idx="2069">
                  <c:v>32</c:v>
                </c:pt>
                <c:pt idx="2070">
                  <c:v>64</c:v>
                </c:pt>
                <c:pt idx="2071">
                  <c:v>57</c:v>
                </c:pt>
                <c:pt idx="2072">
                  <c:v>41</c:v>
                </c:pt>
                <c:pt idx="2073">
                  <c:v>36</c:v>
                </c:pt>
                <c:pt idx="2074">
                  <c:v>23</c:v>
                </c:pt>
                <c:pt idx="2075">
                  <c:v>54</c:v>
                </c:pt>
                <c:pt idx="2076">
                  <c:v>41</c:v>
                </c:pt>
                <c:pt idx="2077">
                  <c:v>56</c:v>
                </c:pt>
                <c:pt idx="2078">
                  <c:v>24</c:v>
                </c:pt>
                <c:pt idx="2079">
                  <c:v>42</c:v>
                </c:pt>
                <c:pt idx="2080">
                  <c:v>23</c:v>
                </c:pt>
                <c:pt idx="2081">
                  <c:v>33</c:v>
                </c:pt>
                <c:pt idx="2082">
                  <c:v>22</c:v>
                </c:pt>
                <c:pt idx="2083">
                  <c:v>23</c:v>
                </c:pt>
                <c:pt idx="2084">
                  <c:v>64</c:v>
                </c:pt>
                <c:pt idx="2085">
                  <c:v>26</c:v>
                </c:pt>
                <c:pt idx="2086">
                  <c:v>29</c:v>
                </c:pt>
                <c:pt idx="2087">
                  <c:v>26</c:v>
                </c:pt>
                <c:pt idx="2088">
                  <c:v>32</c:v>
                </c:pt>
                <c:pt idx="2089">
                  <c:v>54</c:v>
                </c:pt>
                <c:pt idx="2090">
                  <c:v>24</c:v>
                </c:pt>
                <c:pt idx="2091">
                  <c:v>27</c:v>
                </c:pt>
                <c:pt idx="2092">
                  <c:v>55</c:v>
                </c:pt>
                <c:pt idx="2093">
                  <c:v>51</c:v>
                </c:pt>
                <c:pt idx="2094">
                  <c:v>64</c:v>
                </c:pt>
                <c:pt idx="2095">
                  <c:v>28</c:v>
                </c:pt>
                <c:pt idx="2096">
                  <c:v>31</c:v>
                </c:pt>
                <c:pt idx="2097">
                  <c:v>40</c:v>
                </c:pt>
                <c:pt idx="2098">
                  <c:v>22</c:v>
                </c:pt>
                <c:pt idx="2099">
                  <c:v>43</c:v>
                </c:pt>
                <c:pt idx="2100">
                  <c:v>42</c:v>
                </c:pt>
                <c:pt idx="2101">
                  <c:v>23</c:v>
                </c:pt>
                <c:pt idx="2102">
                  <c:v>36</c:v>
                </c:pt>
                <c:pt idx="2103">
                  <c:v>28</c:v>
                </c:pt>
                <c:pt idx="2104">
                  <c:v>50</c:v>
                </c:pt>
                <c:pt idx="2105">
                  <c:v>22</c:v>
                </c:pt>
                <c:pt idx="2106">
                  <c:v>32</c:v>
                </c:pt>
                <c:pt idx="2107">
                  <c:v>23</c:v>
                </c:pt>
                <c:pt idx="2108">
                  <c:v>31</c:v>
                </c:pt>
                <c:pt idx="2109">
                  <c:v>23</c:v>
                </c:pt>
                <c:pt idx="2110">
                  <c:v>31</c:v>
                </c:pt>
                <c:pt idx="2111">
                  <c:v>43</c:v>
                </c:pt>
                <c:pt idx="2112">
                  <c:v>59</c:v>
                </c:pt>
                <c:pt idx="2113">
                  <c:v>28</c:v>
                </c:pt>
                <c:pt idx="2114">
                  <c:v>29</c:v>
                </c:pt>
                <c:pt idx="2115">
                  <c:v>44</c:v>
                </c:pt>
                <c:pt idx="2116">
                  <c:v>51</c:v>
                </c:pt>
                <c:pt idx="2117">
                  <c:v>49</c:v>
                </c:pt>
                <c:pt idx="2118">
                  <c:v>28</c:v>
                </c:pt>
                <c:pt idx="2119">
                  <c:v>59</c:v>
                </c:pt>
                <c:pt idx="2120">
                  <c:v>29</c:v>
                </c:pt>
                <c:pt idx="2121">
                  <c:v>38</c:v>
                </c:pt>
                <c:pt idx="2122">
                  <c:v>55</c:v>
                </c:pt>
                <c:pt idx="2123">
                  <c:v>38</c:v>
                </c:pt>
                <c:pt idx="2124">
                  <c:v>53</c:v>
                </c:pt>
                <c:pt idx="2125">
                  <c:v>34</c:v>
                </c:pt>
                <c:pt idx="2126">
                  <c:v>53</c:v>
                </c:pt>
                <c:pt idx="2127">
                  <c:v>62</c:v>
                </c:pt>
                <c:pt idx="2128">
                  <c:v>55</c:v>
                </c:pt>
                <c:pt idx="2129">
                  <c:v>26</c:v>
                </c:pt>
                <c:pt idx="2130">
                  <c:v>26</c:v>
                </c:pt>
                <c:pt idx="2131">
                  <c:v>26</c:v>
                </c:pt>
                <c:pt idx="2132">
                  <c:v>48</c:v>
                </c:pt>
                <c:pt idx="2133">
                  <c:v>52</c:v>
                </c:pt>
                <c:pt idx="2134">
                  <c:v>50</c:v>
                </c:pt>
                <c:pt idx="2135">
                  <c:v>34</c:v>
                </c:pt>
                <c:pt idx="2136">
                  <c:v>45</c:v>
                </c:pt>
                <c:pt idx="2137">
                  <c:v>27</c:v>
                </c:pt>
                <c:pt idx="2138">
                  <c:v>63</c:v>
                </c:pt>
                <c:pt idx="2139">
                  <c:v>30</c:v>
                </c:pt>
                <c:pt idx="2140">
                  <c:v>47</c:v>
                </c:pt>
                <c:pt idx="2141">
                  <c:v>29</c:v>
                </c:pt>
                <c:pt idx="2142">
                  <c:v>22</c:v>
                </c:pt>
                <c:pt idx="2143">
                  <c:v>52</c:v>
                </c:pt>
                <c:pt idx="2144">
                  <c:v>27</c:v>
                </c:pt>
                <c:pt idx="2145">
                  <c:v>33</c:v>
                </c:pt>
                <c:pt idx="2146">
                  <c:v>23</c:v>
                </c:pt>
                <c:pt idx="2147">
                  <c:v>22</c:v>
                </c:pt>
                <c:pt idx="2148">
                  <c:v>34</c:v>
                </c:pt>
                <c:pt idx="2149">
                  <c:v>59</c:v>
                </c:pt>
                <c:pt idx="2150">
                  <c:v>51</c:v>
                </c:pt>
                <c:pt idx="2151">
                  <c:v>23</c:v>
                </c:pt>
                <c:pt idx="2152">
                  <c:v>64</c:v>
                </c:pt>
                <c:pt idx="2153">
                  <c:v>53</c:v>
                </c:pt>
                <c:pt idx="2154">
                  <c:v>34</c:v>
                </c:pt>
                <c:pt idx="2155">
                  <c:v>65</c:v>
                </c:pt>
                <c:pt idx="2156">
                  <c:v>56</c:v>
                </c:pt>
                <c:pt idx="2157">
                  <c:v>61</c:v>
                </c:pt>
                <c:pt idx="2158">
                  <c:v>34</c:v>
                </c:pt>
                <c:pt idx="2159">
                  <c:v>34</c:v>
                </c:pt>
                <c:pt idx="2160">
                  <c:v>54</c:v>
                </c:pt>
                <c:pt idx="2161">
                  <c:v>23</c:v>
                </c:pt>
                <c:pt idx="2162">
                  <c:v>63</c:v>
                </c:pt>
                <c:pt idx="2163">
                  <c:v>35</c:v>
                </c:pt>
                <c:pt idx="2164">
                  <c:v>58</c:v>
                </c:pt>
                <c:pt idx="2165">
                  <c:v>49</c:v>
                </c:pt>
                <c:pt idx="2166">
                  <c:v>34</c:v>
                </c:pt>
                <c:pt idx="2167">
                  <c:v>34</c:v>
                </c:pt>
                <c:pt idx="2168">
                  <c:v>35</c:v>
                </c:pt>
                <c:pt idx="2169">
                  <c:v>38</c:v>
                </c:pt>
                <c:pt idx="2170">
                  <c:v>37</c:v>
                </c:pt>
                <c:pt idx="2171">
                  <c:v>31</c:v>
                </c:pt>
                <c:pt idx="2172">
                  <c:v>26</c:v>
                </c:pt>
                <c:pt idx="2173">
                  <c:v>36</c:v>
                </c:pt>
                <c:pt idx="2174">
                  <c:v>41</c:v>
                </c:pt>
                <c:pt idx="2175">
                  <c:v>51</c:v>
                </c:pt>
                <c:pt idx="2176">
                  <c:v>57</c:v>
                </c:pt>
                <c:pt idx="2177">
                  <c:v>47</c:v>
                </c:pt>
                <c:pt idx="2178">
                  <c:v>24</c:v>
                </c:pt>
                <c:pt idx="2179">
                  <c:v>26</c:v>
                </c:pt>
                <c:pt idx="2180">
                  <c:v>36</c:v>
                </c:pt>
                <c:pt idx="2181">
                  <c:v>44</c:v>
                </c:pt>
                <c:pt idx="2182">
                  <c:v>56</c:v>
                </c:pt>
                <c:pt idx="2183">
                  <c:v>38</c:v>
                </c:pt>
                <c:pt idx="2184">
                  <c:v>50</c:v>
                </c:pt>
                <c:pt idx="2185">
                  <c:v>40</c:v>
                </c:pt>
                <c:pt idx="2186">
                  <c:v>43</c:v>
                </c:pt>
                <c:pt idx="2187">
                  <c:v>47</c:v>
                </c:pt>
                <c:pt idx="2188">
                  <c:v>28</c:v>
                </c:pt>
                <c:pt idx="2189">
                  <c:v>54</c:v>
                </c:pt>
                <c:pt idx="2190">
                  <c:v>37</c:v>
                </c:pt>
                <c:pt idx="2191">
                  <c:v>62</c:v>
                </c:pt>
                <c:pt idx="2192">
                  <c:v>46</c:v>
                </c:pt>
                <c:pt idx="2193">
                  <c:v>37</c:v>
                </c:pt>
                <c:pt idx="2194">
                  <c:v>46</c:v>
                </c:pt>
                <c:pt idx="2195">
                  <c:v>24</c:v>
                </c:pt>
                <c:pt idx="2196">
                  <c:v>56</c:v>
                </c:pt>
                <c:pt idx="2197">
                  <c:v>55</c:v>
                </c:pt>
                <c:pt idx="2198">
                  <c:v>40</c:v>
                </c:pt>
                <c:pt idx="2199">
                  <c:v>27</c:v>
                </c:pt>
                <c:pt idx="2200">
                  <c:v>36</c:v>
                </c:pt>
                <c:pt idx="2201">
                  <c:v>40</c:v>
                </c:pt>
                <c:pt idx="2202">
                  <c:v>35</c:v>
                </c:pt>
                <c:pt idx="2203">
                  <c:v>35</c:v>
                </c:pt>
                <c:pt idx="2204">
                  <c:v>50</c:v>
                </c:pt>
                <c:pt idx="2205">
                  <c:v>35</c:v>
                </c:pt>
                <c:pt idx="2206">
                  <c:v>22</c:v>
                </c:pt>
                <c:pt idx="2207">
                  <c:v>47</c:v>
                </c:pt>
                <c:pt idx="2208">
                  <c:v>62</c:v>
                </c:pt>
                <c:pt idx="2209">
                  <c:v>59</c:v>
                </c:pt>
                <c:pt idx="2210">
                  <c:v>39</c:v>
                </c:pt>
                <c:pt idx="2211">
                  <c:v>50</c:v>
                </c:pt>
                <c:pt idx="2212">
                  <c:v>46</c:v>
                </c:pt>
                <c:pt idx="2213">
                  <c:v>48</c:v>
                </c:pt>
                <c:pt idx="2214">
                  <c:v>41</c:v>
                </c:pt>
                <c:pt idx="2215">
                  <c:v>44</c:v>
                </c:pt>
                <c:pt idx="2216">
                  <c:v>64</c:v>
                </c:pt>
                <c:pt idx="2217">
                  <c:v>34</c:v>
                </c:pt>
                <c:pt idx="2218">
                  <c:v>44</c:v>
                </c:pt>
                <c:pt idx="2219">
                  <c:v>48</c:v>
                </c:pt>
                <c:pt idx="2220">
                  <c:v>60</c:v>
                </c:pt>
                <c:pt idx="2221">
                  <c:v>48</c:v>
                </c:pt>
                <c:pt idx="2222">
                  <c:v>45</c:v>
                </c:pt>
                <c:pt idx="2223">
                  <c:v>31</c:v>
                </c:pt>
                <c:pt idx="2224">
                  <c:v>49</c:v>
                </c:pt>
                <c:pt idx="2225">
                  <c:v>58</c:v>
                </c:pt>
                <c:pt idx="2226">
                  <c:v>23</c:v>
                </c:pt>
                <c:pt idx="2227">
                  <c:v>49</c:v>
                </c:pt>
                <c:pt idx="2228">
                  <c:v>53</c:v>
                </c:pt>
                <c:pt idx="2229">
                  <c:v>39</c:v>
                </c:pt>
                <c:pt idx="2230">
                  <c:v>41</c:v>
                </c:pt>
                <c:pt idx="2231">
                  <c:v>43</c:v>
                </c:pt>
                <c:pt idx="2232">
                  <c:v>41</c:v>
                </c:pt>
                <c:pt idx="2233">
                  <c:v>51</c:v>
                </c:pt>
                <c:pt idx="2234">
                  <c:v>39</c:v>
                </c:pt>
                <c:pt idx="2235">
                  <c:v>44</c:v>
                </c:pt>
                <c:pt idx="2236">
                  <c:v>48</c:v>
                </c:pt>
                <c:pt idx="2237">
                  <c:v>60</c:v>
                </c:pt>
                <c:pt idx="2238">
                  <c:v>43</c:v>
                </c:pt>
                <c:pt idx="2239">
                  <c:v>41</c:v>
                </c:pt>
                <c:pt idx="2240">
                  <c:v>47</c:v>
                </c:pt>
                <c:pt idx="2241">
                  <c:v>45</c:v>
                </c:pt>
                <c:pt idx="2242">
                  <c:v>45</c:v>
                </c:pt>
                <c:pt idx="2243">
                  <c:v>49</c:v>
                </c:pt>
                <c:pt idx="2244">
                  <c:v>64</c:v>
                </c:pt>
                <c:pt idx="2245">
                  <c:v>60</c:v>
                </c:pt>
                <c:pt idx="2246">
                  <c:v>41</c:v>
                </c:pt>
                <c:pt idx="2247">
                  <c:v>51</c:v>
                </c:pt>
                <c:pt idx="2248">
                  <c:v>56</c:v>
                </c:pt>
                <c:pt idx="2249">
                  <c:v>50</c:v>
                </c:pt>
                <c:pt idx="2250">
                  <c:v>54</c:v>
                </c:pt>
                <c:pt idx="2251">
                  <c:v>27</c:v>
                </c:pt>
                <c:pt idx="2252">
                  <c:v>34</c:v>
                </c:pt>
                <c:pt idx="2253">
                  <c:v>47</c:v>
                </c:pt>
                <c:pt idx="2254">
                  <c:v>43</c:v>
                </c:pt>
                <c:pt idx="2255">
                  <c:v>52</c:v>
                </c:pt>
                <c:pt idx="2256">
                  <c:v>47</c:v>
                </c:pt>
                <c:pt idx="2257">
                  <c:v>54</c:v>
                </c:pt>
                <c:pt idx="2258">
                  <c:v>54</c:v>
                </c:pt>
                <c:pt idx="2259">
                  <c:v>57</c:v>
                </c:pt>
                <c:pt idx="2260">
                  <c:v>62</c:v>
                </c:pt>
                <c:pt idx="2261">
                  <c:v>49</c:v>
                </c:pt>
                <c:pt idx="2262">
                  <c:v>62</c:v>
                </c:pt>
                <c:pt idx="2263">
                  <c:v>55</c:v>
                </c:pt>
                <c:pt idx="2264">
                  <c:v>59</c:v>
                </c:pt>
                <c:pt idx="2265">
                  <c:v>52</c:v>
                </c:pt>
                <c:pt idx="2266">
                  <c:v>50</c:v>
                </c:pt>
                <c:pt idx="2267">
                  <c:v>51</c:v>
                </c:pt>
                <c:pt idx="2268">
                  <c:v>51</c:v>
                </c:pt>
                <c:pt idx="2269">
                  <c:v>64</c:v>
                </c:pt>
                <c:pt idx="2270">
                  <c:v>60</c:v>
                </c:pt>
                <c:pt idx="2271">
                  <c:v>54</c:v>
                </c:pt>
                <c:pt idx="2272">
                  <c:v>42</c:v>
                </c:pt>
                <c:pt idx="2273">
                  <c:v>58</c:v>
                </c:pt>
                <c:pt idx="2274">
                  <c:v>50</c:v>
                </c:pt>
                <c:pt idx="2275">
                  <c:v>29</c:v>
                </c:pt>
                <c:pt idx="2276">
                  <c:v>47</c:v>
                </c:pt>
                <c:pt idx="2277">
                  <c:v>53</c:v>
                </c:pt>
                <c:pt idx="2278">
                  <c:v>51</c:v>
                </c:pt>
                <c:pt idx="2279">
                  <c:v>59</c:v>
                </c:pt>
                <c:pt idx="2280">
                  <c:v>58</c:v>
                </c:pt>
                <c:pt idx="2281">
                  <c:v>59</c:v>
                </c:pt>
                <c:pt idx="2282">
                  <c:v>47</c:v>
                </c:pt>
                <c:pt idx="2283">
                  <c:v>55</c:v>
                </c:pt>
                <c:pt idx="2284">
                  <c:v>49</c:v>
                </c:pt>
                <c:pt idx="2285">
                  <c:v>61</c:v>
                </c:pt>
                <c:pt idx="2286">
                  <c:v>54</c:v>
                </c:pt>
                <c:pt idx="2287">
                  <c:v>51</c:v>
                </c:pt>
                <c:pt idx="2288">
                  <c:v>48</c:v>
                </c:pt>
                <c:pt idx="2289">
                  <c:v>61</c:v>
                </c:pt>
                <c:pt idx="2290">
                  <c:v>57</c:v>
                </c:pt>
                <c:pt idx="2291">
                  <c:v>61</c:v>
                </c:pt>
                <c:pt idx="2292">
                  <c:v>40</c:v>
                </c:pt>
                <c:pt idx="2293">
                  <c:v>60</c:v>
                </c:pt>
                <c:pt idx="2294">
                  <c:v>60</c:v>
                </c:pt>
                <c:pt idx="2295">
                  <c:v>46</c:v>
                </c:pt>
                <c:pt idx="2296">
                  <c:v>60</c:v>
                </c:pt>
                <c:pt idx="2297">
                  <c:v>38</c:v>
                </c:pt>
                <c:pt idx="2298">
                  <c:v>51</c:v>
                </c:pt>
                <c:pt idx="2299">
                  <c:v>58</c:v>
                </c:pt>
                <c:pt idx="2300">
                  <c:v>55</c:v>
                </c:pt>
                <c:pt idx="2301">
                  <c:v>59</c:v>
                </c:pt>
                <c:pt idx="2302">
                  <c:v>26</c:v>
                </c:pt>
                <c:pt idx="2303">
                  <c:v>33</c:v>
                </c:pt>
                <c:pt idx="2304">
                  <c:v>55</c:v>
                </c:pt>
                <c:pt idx="2305">
                  <c:v>64</c:v>
                </c:pt>
                <c:pt idx="2306">
                  <c:v>52</c:v>
                </c:pt>
                <c:pt idx="2307">
                  <c:v>66</c:v>
                </c:pt>
                <c:pt idx="2308">
                  <c:v>47</c:v>
                </c:pt>
                <c:pt idx="2309">
                  <c:v>41</c:v>
                </c:pt>
                <c:pt idx="2310">
                  <c:v>64</c:v>
                </c:pt>
                <c:pt idx="2311">
                  <c:v>50</c:v>
                </c:pt>
                <c:pt idx="2312">
                  <c:v>48</c:v>
                </c:pt>
                <c:pt idx="2313">
                  <c:v>55</c:v>
                </c:pt>
                <c:pt idx="2314">
                  <c:v>65</c:v>
                </c:pt>
                <c:pt idx="2315">
                  <c:v>57</c:v>
                </c:pt>
                <c:pt idx="2316">
                  <c:v>66</c:v>
                </c:pt>
                <c:pt idx="2317">
                  <c:v>68</c:v>
                </c:pt>
                <c:pt idx="2318">
                  <c:v>67</c:v>
                </c:pt>
                <c:pt idx="2319">
                  <c:v>56</c:v>
                </c:pt>
                <c:pt idx="2320">
                  <c:v>68</c:v>
                </c:pt>
                <c:pt idx="2321">
                  <c:v>67</c:v>
                </c:pt>
                <c:pt idx="2322">
                  <c:v>65</c:v>
                </c:pt>
                <c:pt idx="2323">
                  <c:v>55</c:v>
                </c:pt>
                <c:pt idx="2324">
                  <c:v>62</c:v>
                </c:pt>
                <c:pt idx="2325">
                  <c:v>63</c:v>
                </c:pt>
                <c:pt idx="2326">
                  <c:v>68</c:v>
                </c:pt>
                <c:pt idx="2327">
                  <c:v>64</c:v>
                </c:pt>
                <c:pt idx="2328">
                  <c:v>65</c:v>
                </c:pt>
                <c:pt idx="2329">
                  <c:v>58</c:v>
                </c:pt>
                <c:pt idx="2330">
                  <c:v>64</c:v>
                </c:pt>
                <c:pt idx="2331">
                  <c:v>61</c:v>
                </c:pt>
                <c:pt idx="2332">
                  <c:v>67</c:v>
                </c:pt>
                <c:pt idx="2333">
                  <c:v>48</c:v>
                </c:pt>
                <c:pt idx="2334">
                  <c:v>63</c:v>
                </c:pt>
              </c:numCache>
            </c:numRef>
          </c:xVal>
          <c:yVal>
            <c:numRef>
              <c:f>'Health care'!$C$2:$C$2336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5-491C-BA31-8FE12A200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537008"/>
        <c:axId val="1804447936"/>
      </c:scatterChart>
      <c:valAx>
        <c:axId val="163253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47936"/>
        <c:crosses val="autoZero"/>
        <c:crossBetween val="midCat"/>
      </c:valAx>
      <c:valAx>
        <c:axId val="1804447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layout>
            <c:manualLayout>
              <c:xMode val="edge"/>
              <c:yMode val="edge"/>
              <c:x val="2.6987947710775416E-2"/>
              <c:y val="0.4143462758518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25400</xdr:rowOff>
    </xdr:from>
    <xdr:to>
      <xdr:col>6</xdr:col>
      <xdr:colOff>615950</xdr:colOff>
      <xdr:row>17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15970C8-5FA4-EEDA-0CDA-0A3BCF23D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</xdr:row>
      <xdr:rowOff>127000</xdr:rowOff>
    </xdr:from>
    <xdr:to>
      <xdr:col>5</xdr:col>
      <xdr:colOff>692150</xdr:colOff>
      <xdr:row>16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86A43A-CF70-CACE-BD4F-FA1EC8B79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755650</xdr:colOff>
      <xdr:row>1</xdr:row>
      <xdr:rowOff>127000</xdr:rowOff>
    </xdr:from>
    <xdr:to>
      <xdr:col>7</xdr:col>
      <xdr:colOff>222250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EAF2C-C0E8-4F35-3697-16E6AD0D1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0</xdr:row>
      <xdr:rowOff>31750</xdr:rowOff>
    </xdr:from>
    <xdr:to>
      <xdr:col>16</xdr:col>
      <xdr:colOff>419100</xdr:colOff>
      <xdr:row>17</xdr:row>
      <xdr:rowOff>139699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1C51518-9B5E-C7A5-8E74-982460AD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10.297276620367" createdVersion="8" refreshedVersion="8" minRefreshableVersion="3" recordCount="2335" xr:uid="{761AA15C-DCE2-42C8-9B5C-7A9039E33060}">
  <cacheSource type="worksheet">
    <worksheetSource ref="A1:U2336" sheet="Health care"/>
  </cacheSource>
  <cacheFields count="21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MixedTypes="1" containsNumber="1" minValue="4.01" maxValue="12" count="663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s v="Yes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1" count="2">
        <n v="0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 weight"/>
        <s v="Normal Weight"/>
        <s v="Under Weight"/>
      </sharedItems>
    </cacheField>
    <cacheField name="Diabetes Status" numFmtId="0">
      <sharedItems count="3">
        <s v="Diabetes"/>
        <s v="Prediabetes"/>
        <s v="Normal"/>
      </sharedItems>
    </cacheField>
    <cacheField name="date" numFmtId="0">
      <sharedItems containsSemiMixedTypes="0" containsString="0" containsNumber="1" containsInteger="1" minValue="1" maxValue="30"/>
    </cacheField>
    <cacheField name="month" numFmtId="0">
      <sharedItems/>
    </cacheField>
    <cacheField name="year" numFmtId="0">
      <sharedItems containsMixedTypes="1" containsNumber="1" containsInteger="1" minValue="1958" maxValue="2004"/>
    </cacheField>
    <cacheField name="YYY-MM-DD" numFmtId="165">
      <sharedItems containsDate="1" containsMixedTypes="1" minDate="1958-06-05T00:00:00" maxDate="2004-12-28T00:00:00"/>
    </cacheField>
    <cacheField name="charges" numFmtId="166">
      <sharedItems containsSemiMixedTypes="0" containsString="0" containsNumber="1" minValue="563.84" maxValue="48970.25"/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  <cacheField name="Age" numFmtId="0">
      <sharedItems containsMixedTypes="1" containsNumber="1" containsInteger="1" minValue="22" maxValue="68"/>
    </cacheField>
    <cacheField name="VLOOKUP" numFmtId="0">
      <sharedItems containsSemiMixedTypes="0" containsString="0" containsNumber="1" minValue="15.01" maxValue="5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x v="0"/>
    <s v="Hawks,"/>
    <n v="47.41"/>
    <x v="0"/>
    <s v="No"/>
    <x v="0"/>
    <x v="0"/>
    <x v="0"/>
    <x v="0"/>
    <x v="0"/>
    <x v="0"/>
    <n v="9"/>
    <s v="Jul"/>
    <n v="1992"/>
    <d v="1992-07-09T00:00:00"/>
    <n v="563.84"/>
    <s v="tier - 2"/>
    <s v="tier - 3"/>
    <s v="R1013"/>
    <n v="34"/>
    <n v="47.41"/>
  </r>
  <r>
    <x v="1"/>
    <s v="Lehner,"/>
    <n v="30.36"/>
    <x v="1"/>
    <s v="No"/>
    <x v="0"/>
    <x v="0"/>
    <x v="0"/>
    <x v="0"/>
    <x v="0"/>
    <x v="1"/>
    <n v="30"/>
    <s v="Nov"/>
    <n v="1992"/>
    <d v="1992-11-30T00:00:00"/>
    <n v="570.62"/>
    <s v="tier - 2"/>
    <s v="tier - 1"/>
    <s v="R1013"/>
    <n v="34"/>
    <n v="30.36"/>
  </r>
  <r>
    <x v="2"/>
    <s v="Lu,"/>
    <n v="34.484999999999999"/>
    <x v="2"/>
    <s v="Yes"/>
    <x v="0"/>
    <x v="0"/>
    <x v="1"/>
    <x v="0"/>
    <x v="0"/>
    <x v="0"/>
    <n v="30"/>
    <s v="Jun"/>
    <n v="1993"/>
    <d v="1993-06-30T00:00:00"/>
    <n v="600"/>
    <s v="tier - 2"/>
    <s v="tier - 1"/>
    <s v="R1013"/>
    <n v="33"/>
    <n v="34.484999999999999"/>
  </r>
  <r>
    <x v="3"/>
    <s v="Osborne,"/>
    <n v="38.094999999999999"/>
    <x v="3"/>
    <s v="No"/>
    <x v="0"/>
    <x v="0"/>
    <x v="0"/>
    <x v="0"/>
    <x v="0"/>
    <x v="1"/>
    <n v="13"/>
    <s v="Sep"/>
    <n v="1992"/>
    <d v="1992-09-13T00:00:00"/>
    <n v="604.54"/>
    <s v="tier - 3"/>
    <s v="tier - 3"/>
    <s v="R1013"/>
    <n v="34"/>
    <n v="38.094999999999999"/>
  </r>
  <r>
    <x v="4"/>
    <s v="Kadala,"/>
    <n v="35.53"/>
    <x v="4"/>
    <s v="No"/>
    <x v="0"/>
    <x v="0"/>
    <x v="0"/>
    <x v="0"/>
    <x v="0"/>
    <x v="2"/>
    <n v="27"/>
    <s v="Jul"/>
    <n v="1998"/>
    <d v="1998-07-27T00:00:00"/>
    <n v="637.26"/>
    <s v="tier - 3"/>
    <s v="tier - 3"/>
    <s v="R1013"/>
    <n v="28"/>
    <n v="35.53"/>
  </r>
  <r>
    <x v="5"/>
    <s v="Baker,"/>
    <n v="32.799999999999997"/>
    <x v="5"/>
    <s v="No"/>
    <x v="0"/>
    <x v="0"/>
    <x v="0"/>
    <x v="0"/>
    <x v="0"/>
    <x v="0"/>
    <n v="20"/>
    <s v="Nov"/>
    <n v="2001"/>
    <d v="2001-11-20T00:00:00"/>
    <n v="646.14"/>
    <s v="tier - 3"/>
    <s v="tier - 3"/>
    <s v="R1012"/>
    <n v="25"/>
    <n v="32.799999999999997"/>
  </r>
  <r>
    <x v="6"/>
    <s v="Macpherson,"/>
    <n v="36.4"/>
    <x v="6"/>
    <s v="No"/>
    <x v="0"/>
    <x v="0"/>
    <x v="0"/>
    <x v="0"/>
    <x v="0"/>
    <x v="1"/>
    <n v="1"/>
    <s v="Jun"/>
    <n v="1993"/>
    <d v="1993-06-01T00:00:00"/>
    <n v="650"/>
    <s v="tier - 3"/>
    <s v="tier - 3"/>
    <s v="R1013"/>
    <n v="33"/>
    <n v="36.4"/>
  </r>
  <r>
    <x v="7"/>
    <s v="Hallman,"/>
    <n v="36.96"/>
    <x v="7"/>
    <s v="No"/>
    <x v="0"/>
    <x v="0"/>
    <x v="1"/>
    <x v="0"/>
    <x v="0"/>
    <x v="0"/>
    <n v="4"/>
    <s v="Jul"/>
    <n v="1995"/>
    <d v="1995-07-04T00:00:00"/>
    <n v="650"/>
    <s v="tier - 3"/>
    <s v="tier - 3"/>
    <s v="R1013"/>
    <n v="31"/>
    <n v="36.96"/>
  </r>
  <r>
    <x v="8"/>
    <s v="Moran,"/>
    <n v="41.14"/>
    <x v="8"/>
    <s v="Yes"/>
    <x v="0"/>
    <x v="1"/>
    <x v="1"/>
    <x v="0"/>
    <x v="0"/>
    <x v="0"/>
    <n v="29"/>
    <s v="Nov"/>
    <n v="2002"/>
    <d v="2002-11-29T00:00:00"/>
    <n v="668"/>
    <s v="tier - 3"/>
    <s v="tier - 2"/>
    <s v="R1012"/>
    <n v="24"/>
    <n v="41.14"/>
  </r>
  <r>
    <x v="9"/>
    <s v="Benner,"/>
    <n v="38.06"/>
    <x v="9"/>
    <s v="No"/>
    <x v="0"/>
    <x v="0"/>
    <x v="0"/>
    <x v="0"/>
    <x v="0"/>
    <x v="0"/>
    <n v="9"/>
    <s v="Nov"/>
    <n v="1997"/>
    <d v="1997-11-09T00:00:00"/>
    <n v="670"/>
    <s v="tier - 3"/>
    <s v="tier - 3"/>
    <s v="R1013"/>
    <n v="29"/>
    <n v="38.06"/>
  </r>
  <r>
    <x v="10"/>
    <s v="Fierro"/>
    <n v="37.700000000000003"/>
    <x v="10"/>
    <s v="Yes"/>
    <x v="0"/>
    <x v="0"/>
    <x v="1"/>
    <x v="0"/>
    <x v="0"/>
    <x v="1"/>
    <n v="12"/>
    <s v="Sep"/>
    <n v="2001"/>
    <d v="2001-09-12T00:00:00"/>
    <n v="687.54"/>
    <s v="tier - 3"/>
    <s v="tier - 2"/>
    <s v="R1013"/>
    <n v="25"/>
    <n v="37.700000000000003"/>
  </r>
  <r>
    <x v="11"/>
    <s v="Franz,"/>
    <n v="42.13"/>
    <x v="11"/>
    <s v="No"/>
    <x v="0"/>
    <x v="0"/>
    <x v="0"/>
    <x v="0"/>
    <x v="0"/>
    <x v="0"/>
    <n v="26"/>
    <s v="Dec"/>
    <n v="1999"/>
    <d v="1999-12-26T00:00:00"/>
    <n v="700"/>
    <s v="tier - 2"/>
    <s v="tier - 3"/>
    <s v="R1013"/>
    <n v="27"/>
    <n v="42.13"/>
  </r>
  <r>
    <x v="12"/>
    <s v="Foster,"/>
    <n v="40.92"/>
    <x v="12"/>
    <s v="No"/>
    <x v="0"/>
    <x v="0"/>
    <x v="0"/>
    <x v="0"/>
    <x v="0"/>
    <x v="0"/>
    <n v="14"/>
    <s v="Dec"/>
    <n v="1999"/>
    <d v="1999-12-14T00:00:00"/>
    <n v="722.99"/>
    <s v="tier - 3"/>
    <s v="tier - 1"/>
    <s v="R1013"/>
    <n v="27"/>
    <n v="40.92"/>
  </r>
  <r>
    <x v="13"/>
    <s v="Tenorio,"/>
    <n v="40.564999999999998"/>
    <x v="13"/>
    <s v="No"/>
    <x v="0"/>
    <x v="0"/>
    <x v="0"/>
    <x v="0"/>
    <x v="0"/>
    <x v="0"/>
    <n v="19"/>
    <s v="Sep"/>
    <n v="2002"/>
    <d v="2002-09-19T00:00:00"/>
    <n v="750"/>
    <s v="tier - 3"/>
    <s v="tier - 1"/>
    <s v="R1012"/>
    <n v="24"/>
    <n v="40.564999999999998"/>
  </r>
  <r>
    <x v="14"/>
    <s v="Rios,"/>
    <n v="36.384999999999998"/>
    <x v="14"/>
    <s v="Yes"/>
    <x v="0"/>
    <x v="0"/>
    <x v="1"/>
    <x v="0"/>
    <x v="0"/>
    <x v="0"/>
    <n v="9"/>
    <s v="Aug"/>
    <n v="1993"/>
    <d v="1993-08-09T00:00:00"/>
    <n v="760"/>
    <s v="tier - 3"/>
    <s v="tier - 1"/>
    <s v="R1013"/>
    <n v="33"/>
    <n v="36.384999999999998"/>
  </r>
  <r>
    <x v="15"/>
    <s v="Viau-Dupuis,"/>
    <n v="39.9"/>
    <x v="15"/>
    <s v="No"/>
    <x v="0"/>
    <x v="0"/>
    <x v="0"/>
    <x v="0"/>
    <x v="0"/>
    <x v="0"/>
    <n v="22"/>
    <s v="Oct"/>
    <n v="1996"/>
    <d v="1996-10-22T00:00:00"/>
    <n v="760"/>
    <s v="tier - 3"/>
    <s v="tier - 3"/>
    <s v="R1013"/>
    <n v="30"/>
    <n v="39.9"/>
  </r>
  <r>
    <x v="16"/>
    <s v="Cronin,"/>
    <n v="33.799999999999997"/>
    <x v="16"/>
    <s v="No"/>
    <x v="0"/>
    <x v="0"/>
    <x v="1"/>
    <x v="0"/>
    <x v="0"/>
    <x v="0"/>
    <n v="28"/>
    <s v="Jun"/>
    <n v="1993"/>
    <d v="1993-06-28T00:00:00"/>
    <n v="770"/>
    <s v="tier - 3"/>
    <s v="tier - 3"/>
    <s v="R1013"/>
    <n v="33"/>
    <n v="33.799999999999997"/>
  </r>
  <r>
    <x v="17"/>
    <s v="Noordstar,"/>
    <n v="36.765000000000001"/>
    <x v="17"/>
    <s v="Yes"/>
    <x v="0"/>
    <x v="1"/>
    <x v="1"/>
    <x v="0"/>
    <x v="0"/>
    <x v="0"/>
    <n v="18"/>
    <s v="Sep"/>
    <n v="1996"/>
    <d v="1996-09-18T00:00:00"/>
    <n v="770.38"/>
    <s v="tier - 3"/>
    <s v="tier - 2"/>
    <s v="R1012"/>
    <n v="30"/>
    <n v="36.765000000000001"/>
  </r>
  <r>
    <x v="18"/>
    <s v="Boudalia,"/>
    <n v="36.954999999999998"/>
    <x v="18"/>
    <s v="Yes"/>
    <x v="0"/>
    <x v="0"/>
    <x v="1"/>
    <x v="0"/>
    <x v="0"/>
    <x v="2"/>
    <n v="7"/>
    <s v="Dec"/>
    <n v="1995"/>
    <d v="1995-12-07T00:00:00"/>
    <n v="773.54"/>
    <s v="tier - 3"/>
    <s v="tier - 2"/>
    <s v="R1013"/>
    <n v="31"/>
    <n v="36.954999999999998"/>
  </r>
  <r>
    <x v="19"/>
    <s v="Flor,"/>
    <n v="42.9"/>
    <x v="19"/>
    <s v="No"/>
    <x v="0"/>
    <x v="0"/>
    <x v="0"/>
    <x v="0"/>
    <x v="0"/>
    <x v="0"/>
    <n v="7"/>
    <s v="Oct"/>
    <n v="2004"/>
    <d v="2004-10-07T00:00:00"/>
    <n v="830.52"/>
    <s v="tier - 3"/>
    <s v="tier - 2"/>
    <s v="R1011"/>
    <n v="22"/>
    <n v="42.9"/>
  </r>
  <r>
    <x v="20"/>
    <s v="Fennon,"/>
    <n v="36.299999999999997"/>
    <x v="20"/>
    <s v="Yes"/>
    <x v="0"/>
    <x v="0"/>
    <x v="1"/>
    <x v="0"/>
    <x v="0"/>
    <x v="0"/>
    <n v="18"/>
    <s v="Nov"/>
    <n v="2000"/>
    <d v="2000-11-18T00:00:00"/>
    <n v="865.41"/>
    <s v="tier - 3"/>
    <s v="tier - 1"/>
    <s v="R1013"/>
    <n v="26"/>
    <n v="36.299999999999997"/>
  </r>
  <r>
    <x v="21"/>
    <s v="Hribar,"/>
    <n v="32.200000000000003"/>
    <x v="21"/>
    <s v="Yes"/>
    <x v="0"/>
    <x v="0"/>
    <x v="1"/>
    <x v="0"/>
    <x v="0"/>
    <x v="1"/>
    <n v="27"/>
    <s v="Nov"/>
    <n v="1993"/>
    <d v="1993-11-27T00:00:00"/>
    <n v="896.21"/>
    <s v="tier - 3"/>
    <s v="tier - 1"/>
    <s v="R1013"/>
    <n v="33"/>
    <n v="32.200000000000003"/>
  </r>
  <r>
    <x v="22"/>
    <s v="Tassello,"/>
    <n v="31.3"/>
    <x v="22"/>
    <s v="No"/>
    <x v="0"/>
    <x v="0"/>
    <x v="1"/>
    <x v="0"/>
    <x v="0"/>
    <x v="0"/>
    <n v="30"/>
    <s v="Oct"/>
    <n v="1994"/>
    <d v="1994-10-30T00:00:00"/>
    <n v="915.07"/>
    <s v="tier - 3"/>
    <s v="tier - 1"/>
    <s v="R1013"/>
    <n v="32"/>
    <n v="31.3"/>
  </r>
  <r>
    <x v="23"/>
    <s v="Mauricette,"/>
    <n v="41.8"/>
    <x v="23"/>
    <s v="Yes"/>
    <x v="0"/>
    <x v="0"/>
    <x v="1"/>
    <x v="0"/>
    <x v="0"/>
    <x v="0"/>
    <n v="28"/>
    <s v="Oct"/>
    <n v="1995"/>
    <d v="1995-10-28T00:00:00"/>
    <n v="928.59"/>
    <s v="tier - 3"/>
    <s v="tier - 1"/>
    <s v="R1013"/>
    <n v="31"/>
    <n v="41.8"/>
  </r>
  <r>
    <x v="24"/>
    <s v="Garcia,"/>
    <n v="35.090000000000003"/>
    <x v="24"/>
    <s v="Yes"/>
    <x v="0"/>
    <x v="0"/>
    <x v="1"/>
    <x v="0"/>
    <x v="0"/>
    <x v="2"/>
    <n v="19"/>
    <s v="Aug"/>
    <n v="2001"/>
    <d v="2001-08-19T00:00:00"/>
    <n v="964.71"/>
    <s v="tier - 3"/>
    <s v="tier - 2"/>
    <s v="R1013"/>
    <n v="25"/>
    <n v="35.090000000000003"/>
  </r>
  <r>
    <x v="25"/>
    <s v="Airoldi,"/>
    <n v="33.880000000000003"/>
    <x v="25"/>
    <s v="No"/>
    <x v="0"/>
    <x v="0"/>
    <x v="1"/>
    <x v="0"/>
    <x v="0"/>
    <x v="0"/>
    <n v="22"/>
    <s v="Nov"/>
    <n v="1994"/>
    <d v="1994-11-22T00:00:00"/>
    <n v="1006.65"/>
    <s v="tier - 3"/>
    <s v="tier - 2"/>
    <s v="R1013"/>
    <n v="32"/>
    <n v="33.880000000000003"/>
  </r>
  <r>
    <x v="26"/>
    <s v="Cater-Cyker,"/>
    <n v="30.875"/>
    <x v="26"/>
    <s v="No"/>
    <x v="0"/>
    <x v="0"/>
    <x v="0"/>
    <x v="0"/>
    <x v="0"/>
    <x v="0"/>
    <n v="9"/>
    <s v="Oct"/>
    <n v="2000"/>
    <d v="2000-10-09T00:00:00"/>
    <n v="1012"/>
    <s v="tier - 3"/>
    <s v="tier - 2"/>
    <s v="R1013"/>
    <n v="26"/>
    <n v="30.875"/>
  </r>
  <r>
    <x v="27"/>
    <s v="Hamm,"/>
    <n v="36.86"/>
    <x v="27"/>
    <s v="Yes"/>
    <x v="0"/>
    <x v="1"/>
    <x v="1"/>
    <x v="0"/>
    <x v="0"/>
    <x v="2"/>
    <n v="5"/>
    <s v="Aug"/>
    <n v="1999"/>
    <d v="1999-08-05T00:00:00"/>
    <n v="1019"/>
    <s v="tier - 3"/>
    <s v="tier - 2"/>
    <s v="R1013"/>
    <n v="27"/>
    <n v="36.86"/>
  </r>
  <r>
    <x v="28"/>
    <s v="Cox,"/>
    <n v="35.86"/>
    <x v="28"/>
    <s v="Yes"/>
    <x v="0"/>
    <x v="0"/>
    <x v="1"/>
    <x v="0"/>
    <x v="0"/>
    <x v="0"/>
    <n v="5"/>
    <s v="Oct"/>
    <n v="1995"/>
    <d v="1995-10-05T00:00:00"/>
    <n v="1033.74"/>
    <s v="tier - 3"/>
    <s v="tier - 1"/>
    <s v="R1013"/>
    <n v="31"/>
    <n v="35.86"/>
  </r>
  <r>
    <x v="29"/>
    <s v="Sachrajda,"/>
    <n v="37.049999999999997"/>
    <x v="29"/>
    <s v="No"/>
    <x v="0"/>
    <x v="0"/>
    <x v="0"/>
    <x v="0"/>
    <x v="0"/>
    <x v="0"/>
    <n v="17"/>
    <s v="Nov"/>
    <n v="1994"/>
    <d v="1994-11-17T00:00:00"/>
    <n v="1044"/>
    <s v="tier - 3"/>
    <s v="tier - 2"/>
    <s v="R1013"/>
    <n v="32"/>
    <n v="37.049999999999997"/>
  </r>
  <r>
    <x v="30"/>
    <s v="Gareri,"/>
    <n v="43.89"/>
    <x v="30"/>
    <s v="No"/>
    <x v="0"/>
    <x v="0"/>
    <x v="0"/>
    <x v="0"/>
    <x v="0"/>
    <x v="0"/>
    <n v="20"/>
    <s v="Jul"/>
    <n v="2002"/>
    <d v="2002-07-20T00:00:00"/>
    <n v="1047"/>
    <s v="tier - 3"/>
    <s v="tier - 1"/>
    <s v="R1013"/>
    <n v="24"/>
    <n v="43.89"/>
  </r>
  <r>
    <x v="31"/>
    <s v="Welch,"/>
    <n v="42.35"/>
    <x v="31"/>
    <s v="Yes"/>
    <x v="0"/>
    <x v="0"/>
    <x v="0"/>
    <x v="0"/>
    <x v="0"/>
    <x v="2"/>
    <n v="1"/>
    <s v="Jul"/>
    <n v="2002"/>
    <d v="2002-07-01T00:00:00"/>
    <n v="1049"/>
    <s v="tier - 3"/>
    <s v="tier - 2"/>
    <s v="R1012"/>
    <n v="24"/>
    <n v="42.35"/>
  </r>
  <r>
    <x v="32"/>
    <s v="Prindiville,"/>
    <n v="31.35"/>
    <x v="32"/>
    <s v="No"/>
    <x v="0"/>
    <x v="0"/>
    <x v="0"/>
    <x v="0"/>
    <x v="0"/>
    <x v="0"/>
    <n v="1"/>
    <s v="Jun"/>
    <n v="1995"/>
    <d v="1995-06-01T00:00:00"/>
    <n v="1056"/>
    <s v="tier - 3"/>
    <s v="tier - 2"/>
    <s v="R1013"/>
    <n v="31"/>
    <n v="31.35"/>
  </r>
  <r>
    <x v="33"/>
    <s v="Kincaid,"/>
    <n v="47.6"/>
    <x v="33"/>
    <s v="Yes"/>
    <x v="0"/>
    <x v="0"/>
    <x v="0"/>
    <x v="0"/>
    <x v="0"/>
    <x v="1"/>
    <n v="28"/>
    <s v="Sep"/>
    <n v="1993"/>
    <d v="1993-09-28T00:00:00"/>
    <n v="1068"/>
    <s v="tier - 3"/>
    <s v="tier - 1"/>
    <s v="R1013"/>
    <n v="33"/>
    <n v="47.6"/>
  </r>
  <r>
    <x v="34"/>
    <s v="Bruestle,"/>
    <n v="46.2"/>
    <x v="34"/>
    <s v="No"/>
    <x v="0"/>
    <x v="1"/>
    <x v="1"/>
    <x v="0"/>
    <x v="0"/>
    <x v="1"/>
    <n v="24"/>
    <s v="Aug"/>
    <n v="2004"/>
    <d v="2004-08-24T00:00:00"/>
    <n v="1070"/>
    <s v="tier - 3"/>
    <s v="tier - 3"/>
    <s v="R1013"/>
    <n v="22"/>
    <n v="46.2"/>
  </r>
  <r>
    <x v="35"/>
    <s v="Lachance,"/>
    <n v="32.015000000000001"/>
    <x v="35"/>
    <s v="No"/>
    <x v="0"/>
    <x v="0"/>
    <x v="0"/>
    <x v="0"/>
    <x v="0"/>
    <x v="0"/>
    <n v="13"/>
    <s v="Aug"/>
    <n v="1997"/>
    <d v="1997-08-13T00:00:00"/>
    <n v="1071"/>
    <s v="tier - 3"/>
    <s v="tier - 3"/>
    <s v="R1013"/>
    <n v="29"/>
    <n v="32.015000000000001"/>
  </r>
  <r>
    <x v="36"/>
    <s v="Eason,"/>
    <n v="40.564999999999998"/>
    <x v="36"/>
    <s v="No"/>
    <x v="0"/>
    <x v="0"/>
    <x v="0"/>
    <x v="0"/>
    <x v="0"/>
    <x v="0"/>
    <n v="26"/>
    <s v="Dec"/>
    <n v="1998"/>
    <d v="1998-12-26T00:00:00"/>
    <n v="1082"/>
    <s v="tier - 3"/>
    <s v="tier - 2"/>
    <s v="R1013"/>
    <n v="28"/>
    <n v="40.564999999999998"/>
  </r>
  <r>
    <x v="37"/>
    <s v="Grummon,"/>
    <n v="32.450000000000003"/>
    <x v="37"/>
    <s v="No"/>
    <x v="0"/>
    <x v="0"/>
    <x v="0"/>
    <x v="0"/>
    <x v="0"/>
    <x v="0"/>
    <n v="13"/>
    <s v="Aug"/>
    <n v="2002"/>
    <d v="2002-08-13T00:00:00"/>
    <n v="1086"/>
    <s v="tier - 3"/>
    <s v="tier - 3"/>
    <s v="R1013"/>
    <n v="24"/>
    <n v="32.450000000000003"/>
  </r>
  <r>
    <x v="38"/>
    <s v="Vanwechel,"/>
    <n v="34.96"/>
    <x v="38"/>
    <s v="No"/>
    <x v="0"/>
    <x v="0"/>
    <x v="0"/>
    <x v="0"/>
    <x v="0"/>
    <x v="0"/>
    <n v="12"/>
    <s v="Nov"/>
    <n v="2004"/>
    <d v="2004-11-12T00:00:00"/>
    <n v="1121.8699999999999"/>
    <s v="tier - 3"/>
    <s v="tier - 1"/>
    <s v="R1013"/>
    <n v="22"/>
    <n v="34.96"/>
  </r>
  <r>
    <x v="39"/>
    <s v="Fisher,"/>
    <n v="35.5"/>
    <x v="39"/>
    <s v="No"/>
    <x v="0"/>
    <x v="1"/>
    <x v="1"/>
    <x v="0"/>
    <x v="0"/>
    <x v="2"/>
    <n v="14"/>
    <s v="Jun"/>
    <n v="2004"/>
    <d v="2004-06-14T00:00:00"/>
    <n v="1131.51"/>
    <s v="tier - 3"/>
    <s v="tier - 1"/>
    <s v="R1013"/>
    <n v="22"/>
    <n v="35.5"/>
  </r>
  <r>
    <x v="40"/>
    <s v="Jenkins,"/>
    <n v="52.58"/>
    <x v="40"/>
    <s v="No"/>
    <x v="1"/>
    <x v="0"/>
    <x v="1"/>
    <x v="0"/>
    <x v="0"/>
    <x v="2"/>
    <n v="19"/>
    <s v="Jul"/>
    <n v="2002"/>
    <d v="2002-07-19T00:00:00"/>
    <n v="1132"/>
    <s v="tier - 3"/>
    <s v="tier - 1"/>
    <s v="R1013"/>
    <n v="24"/>
    <n v="52.58"/>
  </r>
  <r>
    <x v="41"/>
    <s v="Peters,"/>
    <n v="35.200000000000003"/>
    <x v="41"/>
    <s v="Yes"/>
    <x v="0"/>
    <x v="0"/>
    <x v="0"/>
    <x v="0"/>
    <x v="0"/>
    <x v="0"/>
    <n v="6"/>
    <s v="Oct"/>
    <n v="2004"/>
    <d v="2004-10-06T00:00:00"/>
    <n v="1135"/>
    <s v="tier - 3"/>
    <s v="tier - 3"/>
    <s v="R1013"/>
    <n v="22"/>
    <n v="35.200000000000003"/>
  </r>
  <r>
    <x v="42"/>
    <s v="Aha,"/>
    <n v="38.06"/>
    <x v="42"/>
    <s v="No"/>
    <x v="0"/>
    <x v="0"/>
    <x v="0"/>
    <x v="0"/>
    <x v="0"/>
    <x v="0"/>
    <n v="11"/>
    <s v="Jun"/>
    <n v="2004"/>
    <d v="2004-06-11T00:00:00"/>
    <n v="1135.94"/>
    <s v="tier - 3"/>
    <s v="tier - 3"/>
    <s v="R1013"/>
    <n v="22"/>
    <n v="38.06"/>
  </r>
  <r>
    <x v="43"/>
    <s v="McElwain,"/>
    <n v="34.21"/>
    <x v="43"/>
    <s v="No"/>
    <x v="0"/>
    <x v="0"/>
    <x v="0"/>
    <x v="0"/>
    <x v="0"/>
    <x v="0"/>
    <n v="28"/>
    <s v="Nov"/>
    <n v="2004"/>
    <d v="2004-11-28T00:00:00"/>
    <n v="1136.4000000000001"/>
    <s v="tier - 3"/>
    <s v="tier - 3"/>
    <s v="R1013"/>
    <n v="22"/>
    <n v="34.21"/>
  </r>
  <r>
    <x v="44"/>
    <s v="Januszewski,"/>
    <n v="38.94"/>
    <x v="44"/>
    <s v="Yes"/>
    <x v="0"/>
    <x v="0"/>
    <x v="1"/>
    <x v="0"/>
    <x v="0"/>
    <x v="0"/>
    <n v="11"/>
    <s v="Aug"/>
    <n v="2002"/>
    <d v="2002-08-11T00:00:00"/>
    <n v="1137"/>
    <s v="tier - 3"/>
    <s v="tier - 1"/>
    <s v="R1013"/>
    <n v="24"/>
    <n v="38.94"/>
  </r>
  <r>
    <x v="45"/>
    <s v="Rohne,"/>
    <n v="30.21"/>
    <x v="45"/>
    <s v="Yes"/>
    <x v="0"/>
    <x v="0"/>
    <x v="1"/>
    <x v="0"/>
    <x v="0"/>
    <x v="2"/>
    <n v="6"/>
    <s v="Nov"/>
    <n v="2004"/>
    <d v="2004-11-06T00:00:00"/>
    <n v="1137.01"/>
    <s v="tier - 3"/>
    <s v="tier - 1"/>
    <s v="R1013"/>
    <n v="22"/>
    <n v="30.21"/>
  </r>
  <r>
    <x v="46"/>
    <s v="O'Grady,"/>
    <n v="33.630000000000003"/>
    <x v="46"/>
    <s v="Yes"/>
    <x v="0"/>
    <x v="0"/>
    <x v="1"/>
    <x v="0"/>
    <x v="0"/>
    <x v="2"/>
    <n v="15"/>
    <s v="Oct"/>
    <n v="2004"/>
    <d v="2004-10-15T00:00:00"/>
    <n v="1137.01"/>
    <s v="tier - 3"/>
    <s v="tier - 1"/>
    <s v="R1013"/>
    <n v="22"/>
    <n v="33.630000000000003"/>
  </r>
  <r>
    <x v="47"/>
    <s v="Peters,"/>
    <n v="40.369999999999997"/>
    <x v="47"/>
    <s v="No"/>
    <x v="0"/>
    <x v="0"/>
    <x v="0"/>
    <x v="0"/>
    <x v="0"/>
    <x v="2"/>
    <n v="27"/>
    <s v="Nov"/>
    <n v="2004"/>
    <d v="2004-11-27T00:00:00"/>
    <n v="1137.47"/>
    <s v="tier - 3"/>
    <s v="tier - 2"/>
    <s v="R1013"/>
    <n v="22"/>
    <n v="40.369999999999997"/>
  </r>
  <r>
    <x v="48"/>
    <s v="De"/>
    <n v="53.09"/>
    <x v="48"/>
    <s v="Yes"/>
    <x v="0"/>
    <x v="0"/>
    <x v="1"/>
    <x v="0"/>
    <x v="0"/>
    <x v="2"/>
    <n v="25"/>
    <s v="Oct"/>
    <n v="2001"/>
    <d v="2001-10-25T00:00:00"/>
    <n v="1141"/>
    <s v="tier - 3"/>
    <s v="tier - 1"/>
    <s v="R1013"/>
    <n v="25"/>
    <n v="53.09"/>
  </r>
  <r>
    <x v="49"/>
    <s v="Beckett,"/>
    <n v="31.79"/>
    <x v="49"/>
    <s v="Yes"/>
    <x v="0"/>
    <x v="0"/>
    <x v="1"/>
    <x v="0"/>
    <x v="0"/>
    <x v="2"/>
    <n v="12"/>
    <s v="Sep"/>
    <n v="2004"/>
    <d v="2004-09-12T00:00:00"/>
    <n v="1141.45"/>
    <s v="tier - 3"/>
    <s v="tier - 3"/>
    <s v="R1013"/>
    <n v="22"/>
    <n v="31.79"/>
  </r>
  <r>
    <x v="50"/>
    <s v="Sobrilsky,"/>
    <n v="41.895000000000003"/>
    <x v="50"/>
    <s v="Yes"/>
    <x v="0"/>
    <x v="0"/>
    <x v="1"/>
    <x v="0"/>
    <x v="0"/>
    <x v="0"/>
    <n v="1"/>
    <s v="Oct"/>
    <n v="2002"/>
    <d v="2002-10-01T00:00:00"/>
    <n v="1142"/>
    <s v="tier - 3"/>
    <s v="tier - 2"/>
    <s v="R1011"/>
    <n v="24"/>
    <n v="41.895000000000003"/>
  </r>
  <r>
    <x v="51"/>
    <s v="Wang,"/>
    <n v="31.16"/>
    <x v="51"/>
    <s v="No"/>
    <x v="0"/>
    <x v="0"/>
    <x v="0"/>
    <x v="0"/>
    <x v="0"/>
    <x v="0"/>
    <n v="10"/>
    <s v="Jun"/>
    <n v="2004"/>
    <d v="2004-06-10T00:00:00"/>
    <n v="1146.8"/>
    <s v="tier - 2"/>
    <s v="tier - 2"/>
    <s v="R1013"/>
    <n v="22"/>
    <n v="31.16"/>
  </r>
  <r>
    <x v="52"/>
    <s v="Campa,"/>
    <n v="34.104999999999997"/>
    <x v="52"/>
    <s v="Yes"/>
    <x v="0"/>
    <x v="1"/>
    <x v="1"/>
    <x v="0"/>
    <x v="0"/>
    <x v="2"/>
    <n v="12"/>
    <s v="Jun"/>
    <n v="2003"/>
    <d v="2003-06-12T00:00:00"/>
    <n v="1149"/>
    <s v="tier - 2"/>
    <s v="tier - 1"/>
    <s v="R1012"/>
    <n v="23"/>
    <n v="34.104999999999997"/>
  </r>
  <r>
    <x v="53"/>
    <s v="Clifford,"/>
    <n v="51.93"/>
    <x v="53"/>
    <s v="No"/>
    <x v="0"/>
    <x v="0"/>
    <x v="0"/>
    <x v="0"/>
    <x v="0"/>
    <x v="0"/>
    <n v="18"/>
    <s v="Jul"/>
    <n v="2004"/>
    <d v="2004-07-18T00:00:00"/>
    <n v="1149.4000000000001"/>
    <s v="tier - 2"/>
    <s v="tier - 2"/>
    <s v="R1013"/>
    <n v="22"/>
    <n v="51.93"/>
  </r>
  <r>
    <x v="54"/>
    <s v="Dalmata,"/>
    <n v="38.950000000000003"/>
    <x v="54"/>
    <s v="No"/>
    <x v="0"/>
    <x v="0"/>
    <x v="0"/>
    <x v="0"/>
    <x v="0"/>
    <x v="0"/>
    <n v="26"/>
    <s v="Jul"/>
    <n v="1994"/>
    <d v="1994-07-26T00:00:00"/>
    <n v="1158.32"/>
    <s v="tier - 2"/>
    <s v="tier - 1"/>
    <s v="R1013"/>
    <n v="32"/>
    <n v="38.950000000000003"/>
  </r>
  <r>
    <x v="55"/>
    <s v="Vishik,"/>
    <n v="36.630000000000003"/>
    <x v="55"/>
    <s v="Yes"/>
    <x v="0"/>
    <x v="0"/>
    <x v="1"/>
    <x v="0"/>
    <x v="0"/>
    <x v="0"/>
    <n v="11"/>
    <s v="Nov"/>
    <n v="2004"/>
    <d v="2004-11-11T00:00:00"/>
    <n v="1163.46"/>
    <s v="tier - 2"/>
    <s v="tier - 3"/>
    <s v="R1013"/>
    <n v="22"/>
    <n v="36.630000000000003"/>
  </r>
  <r>
    <x v="56"/>
    <s v="Schorr,"/>
    <n v="34.200000000000003"/>
    <x v="56"/>
    <s v="No"/>
    <x v="0"/>
    <x v="0"/>
    <x v="1"/>
    <x v="0"/>
    <x v="0"/>
    <x v="1"/>
    <n v="11"/>
    <s v="Jun"/>
    <n v="2002"/>
    <d v="2002-06-11T00:00:00"/>
    <n v="1165"/>
    <s v="tier - 2"/>
    <s v="tier - 3"/>
    <s v="R1012"/>
    <n v="24"/>
    <n v="34.200000000000003"/>
  </r>
  <r>
    <x v="57"/>
    <s v="Lusardi,"/>
    <n v="50.63"/>
    <x v="57"/>
    <s v="No"/>
    <x v="0"/>
    <x v="0"/>
    <x v="0"/>
    <x v="0"/>
    <x v="0"/>
    <x v="0"/>
    <n v="12"/>
    <s v="Nov"/>
    <n v="2001"/>
    <d v="2001-11-12T00:00:00"/>
    <n v="1167"/>
    <s v="tier - 2"/>
    <s v="tier - 1"/>
    <s v="R1013"/>
    <n v="25"/>
    <n v="50.63"/>
  </r>
  <r>
    <x v="58"/>
    <s v="Rayner,"/>
    <n v="36.479999999999997"/>
    <x v="58"/>
    <s v="No"/>
    <x v="0"/>
    <x v="0"/>
    <x v="0"/>
    <x v="0"/>
    <x v="0"/>
    <x v="1"/>
    <n v="11"/>
    <s v="Aug"/>
    <n v="1996"/>
    <d v="1996-08-11T00:00:00"/>
    <n v="1178"/>
    <s v="tier - 2"/>
    <s v="tier - 3"/>
    <s v="R1013"/>
    <n v="30"/>
    <n v="36.479999999999997"/>
  </r>
  <r>
    <x v="59"/>
    <s v="Voghel,"/>
    <n v="54.82"/>
    <x v="59"/>
    <s v="No"/>
    <x v="0"/>
    <x v="0"/>
    <x v="0"/>
    <x v="0"/>
    <x v="0"/>
    <x v="0"/>
    <n v="28"/>
    <s v="Jun"/>
    <n v="1997"/>
    <d v="1997-06-28T00:00:00"/>
    <n v="1178.07"/>
    <s v="tier - 2"/>
    <s v="tier - 2"/>
    <s v="R1013"/>
    <n v="29"/>
    <n v="54.82"/>
  </r>
  <r>
    <x v="60"/>
    <s v="Rieth,"/>
    <n v="38.06"/>
    <x v="60"/>
    <s v="No"/>
    <x v="0"/>
    <x v="1"/>
    <x v="1"/>
    <x v="0"/>
    <x v="0"/>
    <x v="1"/>
    <n v="26"/>
    <s v="Aug"/>
    <n v="2002"/>
    <d v="2002-08-26T00:00:00"/>
    <n v="1191"/>
    <s v="tier - 2"/>
    <s v="tier - 1"/>
    <s v="R1013"/>
    <n v="24"/>
    <n v="38.06"/>
  </r>
  <r>
    <x v="61"/>
    <s v="Gollotto,"/>
    <n v="51.48"/>
    <x v="61"/>
    <s v="Yes"/>
    <x v="0"/>
    <x v="0"/>
    <x v="0"/>
    <x v="0"/>
    <x v="0"/>
    <x v="0"/>
    <n v="28"/>
    <s v="Jun"/>
    <n v="1999"/>
    <d v="1999-06-28T00:00:00"/>
    <n v="1200"/>
    <s v="tier - 2"/>
    <s v="tier - 3"/>
    <s v="R1012"/>
    <n v="27"/>
    <n v="51.48"/>
  </r>
  <r>
    <x v="62"/>
    <s v="Dunn,"/>
    <n v="52.06"/>
    <x v="62"/>
    <s v="No"/>
    <x v="0"/>
    <x v="0"/>
    <x v="0"/>
    <x v="0"/>
    <x v="0"/>
    <x v="0"/>
    <n v="6"/>
    <s v="Oct"/>
    <n v="1992"/>
    <d v="1992-10-06T00:00:00"/>
    <n v="1200.55"/>
    <s v="tier - 2"/>
    <s v="tier - 3"/>
    <s v="R1013"/>
    <n v="34"/>
    <n v="52.06"/>
  </r>
  <r>
    <x v="63"/>
    <s v="Blitzer,"/>
    <n v="30.684999999999999"/>
    <x v="13"/>
    <s v="Yes"/>
    <x v="0"/>
    <x v="0"/>
    <x v="0"/>
    <x v="0"/>
    <x v="0"/>
    <x v="0"/>
    <n v="2"/>
    <s v="Jun"/>
    <n v="2004"/>
    <d v="2004-06-02T00:00:00"/>
    <n v="1210"/>
    <s v="tier - 2"/>
    <s v="tier - 1"/>
    <s v="R1013"/>
    <n v="22"/>
    <n v="30.684999999999999"/>
  </r>
  <r>
    <x v="64"/>
    <s v="Smith,"/>
    <n v="36.08"/>
    <x v="63"/>
    <s v="Yes"/>
    <x v="0"/>
    <x v="0"/>
    <x v="1"/>
    <x v="0"/>
    <x v="0"/>
    <x v="0"/>
    <n v="4"/>
    <s v="Nov"/>
    <n v="1996"/>
    <d v="1996-11-04T00:00:00"/>
    <n v="1220"/>
    <s v="tier - 2"/>
    <s v="tier - 3"/>
    <s v="R1012"/>
    <n v="30"/>
    <n v="36.08"/>
  </r>
  <r>
    <x v="65"/>
    <s v="Hyland,"/>
    <n v="54.99"/>
    <x v="64"/>
    <s v="No"/>
    <x v="0"/>
    <x v="0"/>
    <x v="1"/>
    <x v="0"/>
    <x v="0"/>
    <x v="0"/>
    <n v="9"/>
    <s v="Jul"/>
    <n v="2004"/>
    <d v="2004-07-09T00:00:00"/>
    <n v="1224"/>
    <s v="tier - 2"/>
    <s v="tier - 1"/>
    <s v="R1013"/>
    <n v="22"/>
    <n v="54.99"/>
  </r>
  <r>
    <x v="66"/>
    <s v="Ducharme,"/>
    <n v="35.97"/>
    <x v="65"/>
    <s v="No"/>
    <x v="0"/>
    <x v="1"/>
    <x v="1"/>
    <x v="0"/>
    <x v="0"/>
    <x v="1"/>
    <n v="16"/>
    <s v="Oct"/>
    <n v="2004"/>
    <d v="2004-10-16T00:00:00"/>
    <n v="1228"/>
    <s v="tier - 2"/>
    <s v="tier - 1"/>
    <s v="R1012"/>
    <n v="22"/>
    <n v="35.97"/>
  </r>
  <r>
    <x v="67"/>
    <s v="Johnson,"/>
    <n v="45.54"/>
    <x v="66"/>
    <s v="Yes"/>
    <x v="0"/>
    <x v="1"/>
    <x v="1"/>
    <x v="0"/>
    <x v="0"/>
    <x v="2"/>
    <n v="13"/>
    <s v="Jul"/>
    <n v="1998"/>
    <d v="1998-07-13T00:00:00"/>
    <n v="1234"/>
    <s v="tier - 2"/>
    <s v="tier - 1"/>
    <s v="R1013"/>
    <n v="28"/>
    <n v="45.54"/>
  </r>
  <r>
    <x v="68"/>
    <s v="Mutz,"/>
    <n v="35.53"/>
    <x v="67"/>
    <s v="Yes"/>
    <x v="0"/>
    <x v="0"/>
    <x v="0"/>
    <x v="0"/>
    <x v="0"/>
    <x v="2"/>
    <n v="12"/>
    <s v="Dec"/>
    <n v="2002"/>
    <d v="2002-12-12T00:00:00"/>
    <n v="1237"/>
    <s v="tier - 2"/>
    <s v="tier - 2"/>
    <s v="R1013"/>
    <n v="24"/>
    <n v="35.53"/>
  </r>
  <r>
    <x v="69"/>
    <s v="Lee,"/>
    <n v="30.8"/>
    <x v="68"/>
    <s v="No"/>
    <x v="0"/>
    <x v="0"/>
    <x v="0"/>
    <x v="0"/>
    <x v="0"/>
    <x v="0"/>
    <n v="11"/>
    <s v="Oct"/>
    <n v="1998"/>
    <d v="1998-10-11T00:00:00"/>
    <n v="1240"/>
    <s v="tier - 2"/>
    <s v="tier - 1"/>
    <s v="R1012"/>
    <n v="28"/>
    <n v="30.8"/>
  </r>
  <r>
    <x v="70"/>
    <s v="Turner,"/>
    <n v="38.39"/>
    <x v="69"/>
    <s v="No"/>
    <x v="0"/>
    <x v="0"/>
    <x v="1"/>
    <x v="0"/>
    <x v="0"/>
    <x v="2"/>
    <n v="1"/>
    <s v="Jul"/>
    <n v="2002"/>
    <d v="2002-07-01T00:00:00"/>
    <n v="1241"/>
    <s v="tier - 2"/>
    <s v="tier - 2"/>
    <s v="R1013"/>
    <n v="24"/>
    <n v="38.39"/>
  </r>
  <r>
    <x v="71"/>
    <s v="Rangel,"/>
    <n v="32.299999999999997"/>
    <x v="70"/>
    <s v="No"/>
    <x v="0"/>
    <x v="0"/>
    <x v="1"/>
    <x v="0"/>
    <x v="0"/>
    <x v="2"/>
    <n v="2"/>
    <s v="Aug"/>
    <n v="2003"/>
    <d v="2003-08-02T00:00:00"/>
    <n v="1241.57"/>
    <s v="tier - 2"/>
    <s v="tier - 2"/>
    <s v="R1011"/>
    <n v="23"/>
    <n v="32.299999999999997"/>
  </r>
  <r>
    <x v="72"/>
    <s v="Lacey,"/>
    <n v="48.8"/>
    <x v="21"/>
    <s v="Yes"/>
    <x v="0"/>
    <x v="0"/>
    <x v="1"/>
    <x v="0"/>
    <x v="0"/>
    <x v="1"/>
    <n v="15"/>
    <s v="Sep"/>
    <n v="2003"/>
    <d v="2003-09-15T00:00:00"/>
    <n v="1242.26"/>
    <s v="tier - 2"/>
    <s v="tier - 1"/>
    <s v="R1011"/>
    <n v="23"/>
    <n v="48.8"/>
  </r>
  <r>
    <x v="73"/>
    <s v="Stiger,"/>
    <n v="45.5"/>
    <x v="71"/>
    <s v="No"/>
    <x v="0"/>
    <x v="0"/>
    <x v="0"/>
    <x v="0"/>
    <x v="0"/>
    <x v="0"/>
    <n v="8"/>
    <s v="Sep"/>
    <n v="2003"/>
    <d v="2003-09-08T00:00:00"/>
    <n v="1242.82"/>
    <s v="tier - 2"/>
    <s v="tier - 1"/>
    <s v="R1011"/>
    <n v="23"/>
    <n v="45.5"/>
  </r>
  <r>
    <x v="74"/>
    <s v="Caldwell,"/>
    <n v="53.61"/>
    <x v="72"/>
    <s v="Yes"/>
    <x v="0"/>
    <x v="0"/>
    <x v="1"/>
    <x v="0"/>
    <x v="0"/>
    <x v="0"/>
    <n v="15"/>
    <s v="Sep"/>
    <n v="2003"/>
    <d v="2003-09-15T00:00:00"/>
    <n v="1252.4100000000001"/>
    <s v="tier - 2"/>
    <s v="tier - 3"/>
    <s v="R1011"/>
    <n v="23"/>
    <n v="53.61"/>
  </r>
  <r>
    <x v="75"/>
    <s v="Marmillod,"/>
    <n v="36.19"/>
    <x v="73"/>
    <s v="Yes"/>
    <x v="0"/>
    <x v="0"/>
    <x v="1"/>
    <x v="0"/>
    <x v="0"/>
    <x v="0"/>
    <n v="4"/>
    <s v="Nov"/>
    <n v="1997"/>
    <d v="1997-11-04T00:00:00"/>
    <n v="1253"/>
    <s v="tier - 2"/>
    <s v="tier - 2"/>
    <s v="R1013"/>
    <n v="29"/>
    <n v="36.19"/>
  </r>
  <r>
    <x v="76"/>
    <s v="Cloutier-Simons,"/>
    <n v="34.6"/>
    <x v="74"/>
    <s v="Yes"/>
    <x v="0"/>
    <x v="0"/>
    <x v="0"/>
    <x v="0"/>
    <x v="0"/>
    <x v="1"/>
    <n v="10"/>
    <s v="Dec"/>
    <n v="2003"/>
    <d v="2003-12-10T00:00:00"/>
    <n v="1253.94"/>
    <s v="tier - 2"/>
    <s v="tier - 2"/>
    <s v="R1011"/>
    <n v="23"/>
    <n v="34.6"/>
  </r>
  <r>
    <x v="77"/>
    <s v="Vegas,"/>
    <n v="54.12"/>
    <x v="75"/>
    <s v="No"/>
    <x v="0"/>
    <x v="0"/>
    <x v="0"/>
    <x v="0"/>
    <x v="0"/>
    <x v="0"/>
    <n v="13"/>
    <s v="Oct"/>
    <n v="2003"/>
    <d v="2003-10-13T00:00:00"/>
    <n v="1256.3"/>
    <s v="tier - 2"/>
    <s v="tier - 3"/>
    <s v="R1011"/>
    <n v="23"/>
    <n v="54.12"/>
  </r>
  <r>
    <x v="78"/>
    <s v="Cochran,"/>
    <n v="48.82"/>
    <x v="76"/>
    <s v="Yes"/>
    <x v="0"/>
    <x v="0"/>
    <x v="0"/>
    <x v="0"/>
    <x v="0"/>
    <x v="0"/>
    <n v="30"/>
    <s v="Oct"/>
    <n v="2003"/>
    <d v="2003-10-30T00:00:00"/>
    <n v="1261.44"/>
    <s v="tier - 2"/>
    <s v="tier - 3"/>
    <s v="R1011"/>
    <n v="23"/>
    <n v="48.82"/>
  </r>
  <r>
    <x v="79"/>
    <s v="Holtzapple,"/>
    <n v="51.01"/>
    <x v="77"/>
    <s v="No"/>
    <x v="0"/>
    <x v="0"/>
    <x v="0"/>
    <x v="0"/>
    <x v="0"/>
    <x v="0"/>
    <n v="15"/>
    <s v="Aug"/>
    <n v="2003"/>
    <d v="2003-08-15T00:00:00"/>
    <n v="1261.8599999999999"/>
    <s v="tier - 2"/>
    <s v="tier - 3"/>
    <s v="R1011"/>
    <n v="23"/>
    <n v="51.01"/>
  </r>
  <r>
    <x v="80"/>
    <s v="Meyer,"/>
    <n v="45.65"/>
    <x v="78"/>
    <s v="Yes"/>
    <x v="0"/>
    <x v="0"/>
    <x v="1"/>
    <x v="0"/>
    <x v="0"/>
    <x v="2"/>
    <n v="21"/>
    <s v="Nov"/>
    <n v="2003"/>
    <d v="2003-11-21T00:00:00"/>
    <n v="1263.25"/>
    <s v="tier - 2"/>
    <s v="tier - 3"/>
    <s v="R1011"/>
    <n v="23"/>
    <n v="45.65"/>
  </r>
  <r>
    <x v="81"/>
    <s v="Brickley,"/>
    <n v="52.9"/>
    <x v="45"/>
    <s v="No"/>
    <x v="0"/>
    <x v="0"/>
    <x v="0"/>
    <x v="0"/>
    <x v="0"/>
    <x v="2"/>
    <n v="4"/>
    <s v="Dec"/>
    <n v="2002"/>
    <d v="2002-12-04T00:00:00"/>
    <n v="1267"/>
    <s v="tier - 2"/>
    <s v="tier - 1"/>
    <s v="R1013"/>
    <n v="24"/>
    <n v="52.9"/>
  </r>
  <r>
    <x v="82"/>
    <s v="Magee,"/>
    <n v="45.41"/>
    <x v="79"/>
    <s v="Yes"/>
    <x v="0"/>
    <x v="0"/>
    <x v="1"/>
    <x v="0"/>
    <x v="0"/>
    <x v="2"/>
    <n v="26"/>
    <s v="Oct"/>
    <n v="1997"/>
    <d v="1997-10-26T00:00:00"/>
    <n v="1276"/>
    <s v="tier - 2"/>
    <s v="tier - 2"/>
    <s v="R1012"/>
    <n v="29"/>
    <n v="45.41"/>
  </r>
  <r>
    <x v="83"/>
    <s v="Thoma,"/>
    <n v="49.41"/>
    <x v="80"/>
    <s v="Yes"/>
    <x v="0"/>
    <x v="1"/>
    <x v="1"/>
    <x v="0"/>
    <x v="0"/>
    <x v="2"/>
    <n v="30"/>
    <s v="Sep"/>
    <n v="2004"/>
    <d v="2004-09-30T00:00:00"/>
    <n v="1283"/>
    <s v="tier - 2"/>
    <s v="tier - 1"/>
    <s v="R1013"/>
    <n v="22"/>
    <n v="49.41"/>
  </r>
  <r>
    <x v="84"/>
    <s v="Heagy,"/>
    <n v="31.824999999999999"/>
    <x v="81"/>
    <s v="No"/>
    <x v="0"/>
    <x v="0"/>
    <x v="1"/>
    <x v="0"/>
    <x v="0"/>
    <x v="2"/>
    <n v="28"/>
    <s v="Jul"/>
    <n v="2004"/>
    <d v="2004-07-28T00:00:00"/>
    <n v="1285"/>
    <s v="tier - 2"/>
    <s v="tier - 3"/>
    <s v="R1013"/>
    <n v="22"/>
    <n v="31.824999999999999"/>
  </r>
  <r>
    <x v="85"/>
    <s v="Regnier,"/>
    <n v="51.28"/>
    <x v="82"/>
    <s v="No"/>
    <x v="0"/>
    <x v="0"/>
    <x v="1"/>
    <x v="0"/>
    <x v="0"/>
    <x v="2"/>
    <n v="26"/>
    <s v="Jun"/>
    <n v="2000"/>
    <d v="2000-06-26T00:00:00"/>
    <n v="1286"/>
    <s v="tier - 2"/>
    <s v="tier - 2"/>
    <s v="R1013"/>
    <n v="26"/>
    <n v="51.28"/>
  </r>
  <r>
    <x v="86"/>
    <s v="Parendo,"/>
    <n v="34.96"/>
    <x v="83"/>
    <s v="No"/>
    <x v="0"/>
    <x v="1"/>
    <x v="1"/>
    <x v="0"/>
    <x v="0"/>
    <x v="2"/>
    <n v="4"/>
    <s v="Jun"/>
    <n v="1998"/>
    <d v="1998-06-04T00:00:00"/>
    <n v="1290.93"/>
    <s v="tier - 2"/>
    <s v="tier - 2"/>
    <s v="R1013"/>
    <n v="28"/>
    <n v="34.96"/>
  </r>
  <r>
    <x v="87"/>
    <s v="Schell,"/>
    <n v="33.11"/>
    <x v="84"/>
    <s v="No"/>
    <x v="0"/>
    <x v="0"/>
    <x v="0"/>
    <x v="0"/>
    <x v="0"/>
    <x v="0"/>
    <n v="29"/>
    <s v="Nov"/>
    <n v="2001"/>
    <d v="2001-11-29T00:00:00"/>
    <n v="1293"/>
    <s v="tier - 2"/>
    <s v="tier - 3"/>
    <s v="R1012"/>
    <n v="25"/>
    <n v="33.11"/>
  </r>
  <r>
    <x v="88"/>
    <s v="Driscoll,"/>
    <n v="54.74"/>
    <x v="85"/>
    <s v="Yes"/>
    <x v="0"/>
    <x v="1"/>
    <x v="1"/>
    <x v="0"/>
    <x v="0"/>
    <x v="1"/>
    <n v="10"/>
    <s v="Dec"/>
    <n v="2002"/>
    <d v="2002-12-10T00:00:00"/>
    <n v="1304"/>
    <s v="tier - 2"/>
    <s v="tier - 2"/>
    <s v="R1012"/>
    <n v="24"/>
    <n v="54.74"/>
  </r>
  <r>
    <x v="89"/>
    <s v="Mitchell,"/>
    <n v="32.56"/>
    <x v="86"/>
    <s v="No"/>
    <x v="0"/>
    <x v="1"/>
    <x v="1"/>
    <x v="0"/>
    <x v="0"/>
    <x v="2"/>
    <n v="2"/>
    <s v="Dec"/>
    <n v="1999"/>
    <d v="1999-12-02T00:00:00"/>
    <n v="1304"/>
    <s v="tier - 2"/>
    <s v="tier - 2"/>
    <s v="R1013"/>
    <n v="27"/>
    <n v="32.56"/>
  </r>
  <r>
    <x v="90"/>
    <s v="Cutler,"/>
    <n v="39.049999999999997"/>
    <x v="87"/>
    <s v="No"/>
    <x v="0"/>
    <x v="0"/>
    <x v="1"/>
    <x v="0"/>
    <x v="0"/>
    <x v="1"/>
    <n v="13"/>
    <s v="Oct"/>
    <n v="2002"/>
    <d v="2002-10-13T00:00:00"/>
    <n v="1315"/>
    <s v="tier - 2"/>
    <s v="tier - 2"/>
    <s v="R1013"/>
    <n v="24"/>
    <n v="39.049999999999997"/>
  </r>
  <r>
    <x v="91"/>
    <s v="Derian,"/>
    <n v="42.75"/>
    <x v="88"/>
    <s v="No"/>
    <x v="0"/>
    <x v="0"/>
    <x v="0"/>
    <x v="0"/>
    <x v="0"/>
    <x v="2"/>
    <n v="14"/>
    <s v="Oct"/>
    <n v="1999"/>
    <d v="1999-10-14T00:00:00"/>
    <n v="1329.17"/>
    <s v="tier - 2"/>
    <s v="tier - 3"/>
    <s v="R1013"/>
    <n v="27"/>
    <n v="42.75"/>
  </r>
  <r>
    <x v="92"/>
    <s v="Farina,"/>
    <n v="50.58"/>
    <x v="89"/>
    <s v="No"/>
    <x v="0"/>
    <x v="0"/>
    <x v="1"/>
    <x v="0"/>
    <x v="0"/>
    <x v="2"/>
    <n v="12"/>
    <s v="Jul"/>
    <n v="1998"/>
    <d v="1998-07-12T00:00:00"/>
    <n v="1332.61"/>
    <s v="tier - 2"/>
    <s v="tier - 3"/>
    <s v="R1013"/>
    <n v="28"/>
    <n v="50.58"/>
  </r>
  <r>
    <x v="93"/>
    <s v="Saunders,"/>
    <n v="30.495000000000001"/>
    <x v="90"/>
    <s v="Yes"/>
    <x v="0"/>
    <x v="0"/>
    <x v="0"/>
    <x v="0"/>
    <x v="0"/>
    <x v="2"/>
    <n v="30"/>
    <s v="Jul"/>
    <n v="1995"/>
    <d v="1995-07-30T00:00:00"/>
    <n v="1338"/>
    <s v="tier - 2"/>
    <s v="tier - 3"/>
    <s v="R1012"/>
    <n v="31"/>
    <n v="30.495000000000001"/>
  </r>
  <r>
    <x v="94"/>
    <s v="Kratz,"/>
    <n v="48.31"/>
    <x v="8"/>
    <s v="Yes"/>
    <x v="0"/>
    <x v="0"/>
    <x v="1"/>
    <x v="0"/>
    <x v="0"/>
    <x v="0"/>
    <n v="7"/>
    <s v="Nov"/>
    <n v="1997"/>
    <d v="1997-11-07T00:00:00"/>
    <n v="1341.16"/>
    <s v="tier - 2"/>
    <s v="tier - 2"/>
    <s v="R1012"/>
    <n v="29"/>
    <n v="48.31"/>
  </r>
  <r>
    <x v="95"/>
    <s v="Boland,"/>
    <n v="48.99"/>
    <x v="91"/>
    <s v="Yes"/>
    <x v="0"/>
    <x v="0"/>
    <x v="1"/>
    <x v="0"/>
    <x v="0"/>
    <x v="0"/>
    <n v="3"/>
    <s v="Dec"/>
    <n v="1998"/>
    <d v="1998-12-03T00:00:00"/>
    <n v="1359"/>
    <s v="tier - 2"/>
    <s v="tier - 1"/>
    <s v="R1013"/>
    <n v="28"/>
    <n v="48.99"/>
  </r>
  <r>
    <x v="96"/>
    <s v="Van"/>
    <n v="38.39"/>
    <x v="92"/>
    <s v="Yes"/>
    <x v="0"/>
    <x v="0"/>
    <x v="0"/>
    <x v="0"/>
    <x v="0"/>
    <x v="2"/>
    <n v="15"/>
    <s v="Aug"/>
    <n v="2002"/>
    <d v="2002-08-15T00:00:00"/>
    <n v="1382"/>
    <s v="tier - 2"/>
    <s v="tier - 1"/>
    <s v="R1013"/>
    <n v="24"/>
    <n v="38.39"/>
  </r>
  <r>
    <x v="97"/>
    <s v="Ramsey,"/>
    <n v="44.34"/>
    <x v="93"/>
    <s v="Yes"/>
    <x v="0"/>
    <x v="0"/>
    <x v="1"/>
    <x v="0"/>
    <x v="0"/>
    <x v="2"/>
    <n v="6"/>
    <s v="Jul"/>
    <n v="1999"/>
    <d v="1999-07-06T00:00:00"/>
    <n v="1389"/>
    <s v="tier - 2"/>
    <s v="tier - 2"/>
    <s v="R1013"/>
    <n v="27"/>
    <n v="44.34"/>
  </r>
  <r>
    <x v="98"/>
    <s v="Gage,"/>
    <n v="41.51"/>
    <x v="94"/>
    <s v="No"/>
    <x v="0"/>
    <x v="0"/>
    <x v="0"/>
    <x v="0"/>
    <x v="0"/>
    <x v="0"/>
    <n v="14"/>
    <s v="Nov"/>
    <n v="2002"/>
    <d v="2002-11-14T00:00:00"/>
    <n v="1390"/>
    <s v="tier - 2"/>
    <s v="tier - 2"/>
    <s v="R1013"/>
    <n v="24"/>
    <n v="41.51"/>
  </r>
  <r>
    <x v="99"/>
    <s v="Gollins,"/>
    <n v="48.2"/>
    <x v="95"/>
    <s v="No"/>
    <x v="0"/>
    <x v="0"/>
    <x v="0"/>
    <x v="0"/>
    <x v="0"/>
    <x v="2"/>
    <n v="22"/>
    <s v="Dec"/>
    <n v="2002"/>
    <d v="2002-12-22T00:00:00"/>
    <n v="1391.53"/>
    <s v="tier - 2"/>
    <s v="tier - 1"/>
    <s v="R1013"/>
    <n v="24"/>
    <n v="48.2"/>
  </r>
  <r>
    <x v="100"/>
    <s v="Benestad,"/>
    <n v="35.75"/>
    <x v="96"/>
    <s v="Yes"/>
    <x v="0"/>
    <x v="0"/>
    <x v="0"/>
    <x v="0"/>
    <x v="0"/>
    <x v="0"/>
    <n v="5"/>
    <s v="Sep"/>
    <n v="1998"/>
    <d v="1998-09-05T00:00:00"/>
    <n v="1400.44"/>
    <s v="tier - 2"/>
    <s v="tier - 2"/>
    <s v="R1013"/>
    <n v="28"/>
    <n v="35.75"/>
  </r>
  <r>
    <x v="101"/>
    <s v="Aviv,"/>
    <n v="53.81"/>
    <x v="97"/>
    <s v="Yes"/>
    <x v="0"/>
    <x v="0"/>
    <x v="0"/>
    <x v="0"/>
    <x v="0"/>
    <x v="0"/>
    <n v="27"/>
    <s v="Oct"/>
    <n v="1997"/>
    <d v="1997-10-27T00:00:00"/>
    <n v="1402"/>
    <s v="tier - 2"/>
    <s v="tier - 3"/>
    <s v="R1011"/>
    <n v="29"/>
    <n v="53.81"/>
  </r>
  <r>
    <x v="102"/>
    <s v="Burns,"/>
    <n v="49.48"/>
    <x v="98"/>
    <s v="No"/>
    <x v="0"/>
    <x v="1"/>
    <x v="1"/>
    <x v="0"/>
    <x v="0"/>
    <x v="2"/>
    <n v="23"/>
    <s v="Jun"/>
    <n v="1996"/>
    <d v="1996-06-23T00:00:00"/>
    <n v="1417"/>
    <s v="tier - 2"/>
    <s v="tier - 3"/>
    <s v="R1013"/>
    <n v="30"/>
    <n v="49.48"/>
  </r>
  <r>
    <x v="103"/>
    <s v="Maldonado,"/>
    <n v="34.1"/>
    <x v="46"/>
    <s v="Yes"/>
    <x v="0"/>
    <x v="0"/>
    <x v="0"/>
    <x v="0"/>
    <x v="0"/>
    <x v="2"/>
    <n v="23"/>
    <s v="Aug"/>
    <n v="2001"/>
    <d v="2001-08-23T00:00:00"/>
    <n v="1421"/>
    <s v="tier - 2"/>
    <s v="tier - 2"/>
    <s v="R1013"/>
    <n v="25"/>
    <n v="34.1"/>
  </r>
  <r>
    <x v="104"/>
    <s v="Yitref,"/>
    <n v="35.299999999999997"/>
    <x v="99"/>
    <s v="Yes"/>
    <x v="0"/>
    <x v="1"/>
    <x v="1"/>
    <x v="0"/>
    <x v="0"/>
    <x v="1"/>
    <n v="5"/>
    <s v="Dec"/>
    <n v="1997"/>
    <d v="1997-12-05T00:00:00"/>
    <n v="1422"/>
    <s v="tier - 2"/>
    <s v="tier - 2"/>
    <s v="R1013"/>
    <n v="29"/>
    <n v="35.299999999999997"/>
  </r>
  <r>
    <x v="105"/>
    <s v="Loudon-Brown,"/>
    <n v="43.83"/>
    <x v="100"/>
    <s v="Yes"/>
    <x v="0"/>
    <x v="0"/>
    <x v="1"/>
    <x v="0"/>
    <x v="0"/>
    <x v="1"/>
    <n v="1"/>
    <s v="Sep"/>
    <n v="2000"/>
    <d v="2000-09-01T00:00:00"/>
    <n v="1438"/>
    <s v="tier - 2"/>
    <s v="tier - 2"/>
    <s v="R1013"/>
    <n v="26"/>
    <n v="43.83"/>
  </r>
  <r>
    <x v="106"/>
    <s v="Sugathadasa,"/>
    <n v="50.07"/>
    <x v="101"/>
    <s v="No"/>
    <x v="0"/>
    <x v="0"/>
    <x v="0"/>
    <x v="0"/>
    <x v="0"/>
    <x v="0"/>
    <n v="19"/>
    <s v="Jun"/>
    <n v="1997"/>
    <d v="1997-06-19T00:00:00"/>
    <n v="1445"/>
    <s v="tier - 2"/>
    <s v="tier - 1"/>
    <s v="R1013"/>
    <n v="29"/>
    <n v="50.07"/>
  </r>
  <r>
    <x v="107"/>
    <s v="Ganley,"/>
    <n v="32.774999999999999"/>
    <x v="102"/>
    <s v="No"/>
    <x v="0"/>
    <x v="0"/>
    <x v="0"/>
    <x v="0"/>
    <x v="0"/>
    <x v="2"/>
    <n v="20"/>
    <s v="Jun"/>
    <n v="2003"/>
    <d v="2003-06-20T00:00:00"/>
    <n v="1467"/>
    <s v="tier - 2"/>
    <s v="tier - 2"/>
    <s v="R1013"/>
    <n v="23"/>
    <n v="32.774999999999999"/>
  </r>
  <r>
    <x v="108"/>
    <s v="Potter,"/>
    <n v="34.104999999999997"/>
    <x v="103"/>
    <s v="No"/>
    <x v="0"/>
    <x v="0"/>
    <x v="1"/>
    <x v="0"/>
    <x v="0"/>
    <x v="2"/>
    <n v="7"/>
    <s v="Dec"/>
    <n v="1998"/>
    <d v="1998-12-07T00:00:00"/>
    <n v="1477"/>
    <s v="tier - 2"/>
    <s v="tier - 1"/>
    <s v="R1013"/>
    <n v="28"/>
    <n v="34.104999999999997"/>
  </r>
  <r>
    <x v="109"/>
    <s v="Rasmussen,"/>
    <n v="48.93"/>
    <x v="104"/>
    <s v="Yes"/>
    <x v="0"/>
    <x v="0"/>
    <x v="1"/>
    <x v="0"/>
    <x v="0"/>
    <x v="0"/>
    <n v="9"/>
    <s v="Jun"/>
    <n v="1997"/>
    <d v="1997-06-09T00:00:00"/>
    <n v="1481"/>
    <s v="tier - 2"/>
    <s v="tier - 1"/>
    <s v="R1012"/>
    <n v="29"/>
    <n v="48.93"/>
  </r>
  <r>
    <x v="110"/>
    <s v="Robinson,"/>
    <n v="37.07"/>
    <x v="105"/>
    <s v="Yes"/>
    <x v="0"/>
    <x v="0"/>
    <x v="0"/>
    <x v="0"/>
    <x v="0"/>
    <x v="1"/>
    <n v="7"/>
    <s v="Oct"/>
    <n v="1995"/>
    <d v="1995-10-07T00:00:00"/>
    <n v="1493"/>
    <s v="tier - 2"/>
    <s v="tier - 3"/>
    <s v="R1013"/>
    <n v="31"/>
    <n v="37.07"/>
  </r>
  <r>
    <x v="111"/>
    <s v="Antonopoulos,"/>
    <n v="51.51"/>
    <x v="106"/>
    <s v="Yes"/>
    <x v="0"/>
    <x v="1"/>
    <x v="1"/>
    <x v="0"/>
    <x v="0"/>
    <x v="1"/>
    <n v="19"/>
    <s v="Jun"/>
    <n v="1998"/>
    <d v="1998-06-19T00:00:00"/>
    <n v="1497"/>
    <s v="tier - 2"/>
    <s v="tier - 2"/>
    <s v="R1013"/>
    <n v="28"/>
    <n v="51.51"/>
  </r>
  <r>
    <x v="112"/>
    <s v="Groner,"/>
    <n v="34.799999999999997"/>
    <x v="18"/>
    <s v="Yes"/>
    <x v="0"/>
    <x v="0"/>
    <x v="0"/>
    <x v="0"/>
    <x v="0"/>
    <x v="2"/>
    <n v="25"/>
    <s v="Aug"/>
    <n v="2001"/>
    <d v="2001-08-25T00:00:00"/>
    <n v="1515.34"/>
    <s v="tier - 2"/>
    <s v="tier - 3"/>
    <s v="R1013"/>
    <n v="25"/>
    <n v="34.799999999999997"/>
  </r>
  <r>
    <x v="113"/>
    <s v="Zywicki,"/>
    <n v="36.67"/>
    <x v="107"/>
    <s v="No"/>
    <x v="0"/>
    <x v="0"/>
    <x v="1"/>
    <x v="0"/>
    <x v="0"/>
    <x v="2"/>
    <n v="7"/>
    <s v="Jul"/>
    <n v="2001"/>
    <d v="2001-07-07T00:00:00"/>
    <n v="1526.31"/>
    <s v="tier - 2"/>
    <s v="tier - 3"/>
    <s v="R1011"/>
    <n v="25"/>
    <n v="36.67"/>
  </r>
  <r>
    <x v="114"/>
    <s v="Cardinal,"/>
    <n v="30.9"/>
    <x v="108"/>
    <s v="No"/>
    <x v="0"/>
    <x v="0"/>
    <x v="1"/>
    <x v="0"/>
    <x v="0"/>
    <x v="0"/>
    <n v="2"/>
    <s v="Jun"/>
    <n v="2001"/>
    <d v="2001-06-02T00:00:00"/>
    <n v="1532.47"/>
    <s v="tier - 2"/>
    <s v="tier - 2"/>
    <s v="R1013"/>
    <n v="25"/>
    <n v="30.9"/>
  </r>
  <r>
    <x v="115"/>
    <s v="Alleman,"/>
    <n v="30.495000000000001"/>
    <x v="109"/>
    <s v="No"/>
    <x v="0"/>
    <x v="0"/>
    <x v="0"/>
    <x v="0"/>
    <x v="0"/>
    <x v="1"/>
    <n v="5"/>
    <s v="Dec"/>
    <n v="2001"/>
    <d v="2001-12-05T00:00:00"/>
    <n v="1534.3"/>
    <s v="tier - 2"/>
    <s v="tier - 2"/>
    <s v="R1013"/>
    <n v="25"/>
    <n v="30.495000000000001"/>
  </r>
  <r>
    <x v="116"/>
    <s v="Stroffolino,"/>
    <n v="44.88"/>
    <x v="60"/>
    <s v="No"/>
    <x v="0"/>
    <x v="1"/>
    <x v="1"/>
    <x v="0"/>
    <x v="0"/>
    <x v="1"/>
    <n v="22"/>
    <s v="Sep"/>
    <n v="1992"/>
    <d v="1992-09-22T00:00:00"/>
    <n v="1566.88"/>
    <s v="tier - 2"/>
    <s v="tier - 1"/>
    <s v="R1013"/>
    <n v="34"/>
    <n v="44.88"/>
  </r>
  <r>
    <x v="117"/>
    <s v="Clubb,"/>
    <n v="44.32"/>
    <x v="110"/>
    <s v="No"/>
    <x v="0"/>
    <x v="0"/>
    <x v="0"/>
    <x v="0"/>
    <x v="0"/>
    <x v="0"/>
    <n v="19"/>
    <s v="Nov"/>
    <n v="2004"/>
    <d v="2004-11-19T00:00:00"/>
    <n v="1607.51"/>
    <s v="tier - 2"/>
    <s v="tier - 3"/>
    <s v="R1013"/>
    <n v="22"/>
    <n v="44.32"/>
  </r>
  <r>
    <x v="118"/>
    <s v="McGoogan,"/>
    <n v="46.39"/>
    <x v="111"/>
    <s v="No"/>
    <x v="0"/>
    <x v="0"/>
    <x v="0"/>
    <x v="0"/>
    <x v="0"/>
    <x v="2"/>
    <n v="22"/>
    <s v="Jul"/>
    <n v="2004"/>
    <d v="2004-07-22T00:00:00"/>
    <n v="1615.77"/>
    <s v="tier - 2"/>
    <s v="tier - 1"/>
    <s v="R1013"/>
    <n v="22"/>
    <n v="46.39"/>
  </r>
  <r>
    <x v="119"/>
    <s v="Keflezighi,"/>
    <n v="42.13"/>
    <x v="112"/>
    <s v="Yes"/>
    <x v="0"/>
    <x v="0"/>
    <x v="1"/>
    <x v="0"/>
    <x v="0"/>
    <x v="2"/>
    <n v="5"/>
    <s v="Aug"/>
    <n v="1995"/>
    <d v="1995-08-05T00:00:00"/>
    <n v="1617.16"/>
    <s v="tier - 2"/>
    <s v="tier - 1"/>
    <s v="R1013"/>
    <n v="31"/>
    <n v="42.13"/>
  </r>
  <r>
    <x v="120"/>
    <s v="Syed,"/>
    <n v="30.78"/>
    <x v="113"/>
    <s v="Yes"/>
    <x v="0"/>
    <x v="0"/>
    <x v="0"/>
    <x v="0"/>
    <x v="0"/>
    <x v="0"/>
    <n v="14"/>
    <s v="Sep"/>
    <n v="2003"/>
    <d v="2003-09-14T00:00:00"/>
    <n v="1621.34"/>
    <s v="tier - 2"/>
    <s v="tier - 2"/>
    <s v="R1012"/>
    <n v="23"/>
    <n v="30.78"/>
  </r>
  <r>
    <x v="121"/>
    <s v="Segal,"/>
    <n v="31.35"/>
    <x v="114"/>
    <s v="No"/>
    <x v="0"/>
    <x v="0"/>
    <x v="0"/>
    <x v="0"/>
    <x v="0"/>
    <x v="0"/>
    <n v="21"/>
    <s v="Aug"/>
    <n v="2004"/>
    <d v="2004-08-21T00:00:00"/>
    <n v="1621.88"/>
    <s v="tier - 2"/>
    <s v="tier - 2"/>
    <s v="R1013"/>
    <n v="22"/>
    <n v="31.35"/>
  </r>
  <r>
    <x v="122"/>
    <s v="Defranco,"/>
    <n v="41.46"/>
    <x v="115"/>
    <s v="Yes"/>
    <x v="0"/>
    <x v="0"/>
    <x v="1"/>
    <x v="0"/>
    <x v="0"/>
    <x v="2"/>
    <n v="25"/>
    <s v="Jul"/>
    <n v="2004"/>
    <d v="2004-07-25T00:00:00"/>
    <n v="1622.19"/>
    <s v="tier - 2"/>
    <s v="tier - 1"/>
    <s v="R1013"/>
    <n v="22"/>
    <n v="41.46"/>
  </r>
  <r>
    <x v="123"/>
    <s v="Kells,"/>
    <n v="48"/>
    <x v="116"/>
    <s v="No"/>
    <x v="0"/>
    <x v="0"/>
    <x v="0"/>
    <x v="0"/>
    <x v="0"/>
    <x v="0"/>
    <n v="9"/>
    <s v="Sep"/>
    <n v="2003"/>
    <d v="2003-09-09T00:00:00"/>
    <n v="1625.43"/>
    <s v="tier - 2"/>
    <s v="tier - 3"/>
    <s v="R1012"/>
    <n v="23"/>
    <n v="48"/>
  </r>
  <r>
    <x v="124"/>
    <s v="Lawton,"/>
    <n v="49.13"/>
    <x v="117"/>
    <s v="No"/>
    <x v="0"/>
    <x v="0"/>
    <x v="0"/>
    <x v="0"/>
    <x v="0"/>
    <x v="2"/>
    <n v="4"/>
    <s v="Dec"/>
    <n v="2003"/>
    <d v="2003-12-04T00:00:00"/>
    <n v="1627.28"/>
    <s v="tier - 2"/>
    <s v="tier - 2"/>
    <s v="R1012"/>
    <n v="23"/>
    <n v="49.13"/>
  </r>
  <r>
    <x v="125"/>
    <s v="Bejar,"/>
    <n v="37.799999999999997"/>
    <x v="109"/>
    <s v="No"/>
    <x v="0"/>
    <x v="0"/>
    <x v="1"/>
    <x v="0"/>
    <x v="0"/>
    <x v="1"/>
    <n v="17"/>
    <s v="Jul"/>
    <n v="2003"/>
    <d v="2003-07-17T00:00:00"/>
    <n v="1628.47"/>
    <s v="tier - 2"/>
    <s v="tier - 1"/>
    <s v="R1012"/>
    <n v="23"/>
    <n v="37.799999999999997"/>
  </r>
  <r>
    <x v="126"/>
    <s v="Navarro"/>
    <n v="38.299999999999997"/>
    <x v="118"/>
    <s v="No"/>
    <x v="0"/>
    <x v="0"/>
    <x v="0"/>
    <x v="0"/>
    <x v="0"/>
    <x v="0"/>
    <n v="4"/>
    <s v="Oct"/>
    <n v="2004"/>
    <d v="2004-10-04T00:00:00"/>
    <n v="1629.83"/>
    <s v="tier - 2"/>
    <s v="tier - 2"/>
    <s v="R1013"/>
    <n v="22"/>
    <n v="38.299999999999997"/>
  </r>
  <r>
    <x v="127"/>
    <s v="Tice,"/>
    <n v="32.774999999999999"/>
    <x v="18"/>
    <s v="No"/>
    <x v="0"/>
    <x v="0"/>
    <x v="0"/>
    <x v="0"/>
    <x v="0"/>
    <x v="2"/>
    <n v="5"/>
    <s v="Dec"/>
    <n v="2004"/>
    <d v="2004-12-05T00:00:00"/>
    <n v="1631.67"/>
    <s v="tier - 2"/>
    <s v="tier - 3"/>
    <s v="R1013"/>
    <n v="22"/>
    <n v="32.774999999999999"/>
  </r>
  <r>
    <x v="128"/>
    <s v="Wolf,"/>
    <n v="34.200000000000003"/>
    <x v="119"/>
    <s v="Yes"/>
    <x v="0"/>
    <x v="0"/>
    <x v="0"/>
    <x v="0"/>
    <x v="0"/>
    <x v="1"/>
    <n v="9"/>
    <s v="Jul"/>
    <n v="2004"/>
    <d v="2004-07-09T00:00:00"/>
    <n v="1631.82"/>
    <s v="tier - 2"/>
    <s v="tier - 1"/>
    <s v="R1013"/>
    <n v="22"/>
    <n v="34.200000000000003"/>
  </r>
  <r>
    <x v="129"/>
    <s v="Oppedal,"/>
    <n v="30.2"/>
    <x v="8"/>
    <s v="No"/>
    <x v="0"/>
    <x v="0"/>
    <x v="0"/>
    <x v="0"/>
    <x v="0"/>
    <x v="0"/>
    <n v="3"/>
    <s v="Oct"/>
    <n v="2003"/>
    <d v="2003-10-03T00:00:00"/>
    <n v="1632.04"/>
    <s v="tier - 2"/>
    <s v="tier - 2"/>
    <s v="R1012"/>
    <n v="23"/>
    <n v="30.2"/>
  </r>
  <r>
    <x v="130"/>
    <s v="Wright,"/>
    <n v="48.32"/>
    <x v="1"/>
    <s v="No"/>
    <x v="0"/>
    <x v="0"/>
    <x v="0"/>
    <x v="0"/>
    <x v="0"/>
    <x v="1"/>
    <n v="16"/>
    <s v="Sep"/>
    <n v="2003"/>
    <d v="2003-09-16T00:00:00"/>
    <n v="1632.56"/>
    <s v="tier - 2"/>
    <s v="tier - 2"/>
    <s v="R1012"/>
    <n v="23"/>
    <n v="48.32"/>
  </r>
  <r>
    <x v="131"/>
    <s v="Ellis,"/>
    <n v="44.86"/>
    <x v="24"/>
    <s v="Yes"/>
    <x v="0"/>
    <x v="0"/>
    <x v="0"/>
    <x v="0"/>
    <x v="0"/>
    <x v="2"/>
    <n v="13"/>
    <s v="Dec"/>
    <n v="2004"/>
    <d v="2004-12-13T00:00:00"/>
    <n v="1633.04"/>
    <s v="tier - 2"/>
    <s v="tier - 2"/>
    <s v="R1013"/>
    <n v="22"/>
    <n v="44.86"/>
  </r>
  <r>
    <x v="132"/>
    <s v="Taormina,"/>
    <n v="52.15"/>
    <x v="120"/>
    <s v="No"/>
    <x v="0"/>
    <x v="0"/>
    <x v="1"/>
    <x v="0"/>
    <x v="0"/>
    <x v="2"/>
    <n v="8"/>
    <s v="Aug"/>
    <n v="2004"/>
    <d v="2004-08-08T00:00:00"/>
    <n v="1633.96"/>
    <s v="tier - 2"/>
    <s v="tier - 1"/>
    <s v="R1013"/>
    <n v="22"/>
    <n v="52.15"/>
  </r>
  <r>
    <x v="133"/>
    <s v="Lynch,"/>
    <n v="41.12"/>
    <x v="121"/>
    <s v="Yes"/>
    <x v="0"/>
    <x v="0"/>
    <x v="0"/>
    <x v="0"/>
    <x v="0"/>
    <x v="0"/>
    <n v="13"/>
    <s v="Jun"/>
    <n v="2004"/>
    <d v="2004-06-13T00:00:00"/>
    <n v="1634.57"/>
    <s v="tier - 2"/>
    <s v="tier - 2"/>
    <s v="R1013"/>
    <n v="22"/>
    <n v="41.12"/>
  </r>
  <r>
    <x v="134"/>
    <s v="Tavella,"/>
    <n v="38.39"/>
    <x v="78"/>
    <s v="Yes"/>
    <x v="0"/>
    <x v="0"/>
    <x v="1"/>
    <x v="0"/>
    <x v="0"/>
    <x v="2"/>
    <n v="30"/>
    <s v="Dec"/>
    <n v="2003"/>
    <d v="2003-12-30T00:00:00"/>
    <n v="1635.73"/>
    <s v="tier - 2"/>
    <s v="tier - 3"/>
    <s v="R1012"/>
    <n v="23"/>
    <n v="38.39"/>
  </r>
  <r>
    <x v="135"/>
    <s v="Neufeld,"/>
    <n v="46.85"/>
    <x v="69"/>
    <s v="No"/>
    <x v="0"/>
    <x v="1"/>
    <x v="1"/>
    <x v="0"/>
    <x v="0"/>
    <x v="2"/>
    <n v="16"/>
    <s v="Sep"/>
    <n v="2003"/>
    <d v="2003-09-16T00:00:00"/>
    <n v="1639.56"/>
    <s v="tier - 2"/>
    <s v="tier - 2"/>
    <s v="R1012"/>
    <n v="23"/>
    <n v="46.85"/>
  </r>
  <r>
    <x v="136"/>
    <s v="Walhovd,"/>
    <n v="42.24"/>
    <x v="122"/>
    <s v="No"/>
    <x v="1"/>
    <x v="0"/>
    <x v="1"/>
    <x v="0"/>
    <x v="0"/>
    <x v="2"/>
    <n v="21"/>
    <s v="Aug"/>
    <n v="2003"/>
    <d v="2003-08-21T00:00:00"/>
    <n v="1639.56"/>
    <s v="tier - 2"/>
    <s v="tier - 2"/>
    <s v="R1012"/>
    <n v="23"/>
    <n v="42.24"/>
  </r>
  <r>
    <x v="137"/>
    <s v="Washburn,"/>
    <n v="34.39"/>
    <x v="123"/>
    <s v="No"/>
    <x v="0"/>
    <x v="0"/>
    <x v="0"/>
    <x v="0"/>
    <x v="0"/>
    <x v="1"/>
    <n v="30"/>
    <s v="Dec"/>
    <n v="2003"/>
    <d v="2003-12-30T00:00:00"/>
    <n v="1646.43"/>
    <s v="tier - 2"/>
    <s v="tier - 1"/>
    <s v="R1012"/>
    <n v="23"/>
    <n v="34.39"/>
  </r>
  <r>
    <x v="138"/>
    <s v="Mroz,"/>
    <n v="42.89"/>
    <x v="124"/>
    <s v="Yes"/>
    <x v="0"/>
    <x v="0"/>
    <x v="0"/>
    <x v="0"/>
    <x v="0"/>
    <x v="2"/>
    <n v="23"/>
    <s v="Oct"/>
    <n v="2000"/>
    <d v="2000-10-23T00:00:00"/>
    <n v="1665"/>
    <s v="tier - 2"/>
    <s v="tier - 2"/>
    <s v="R1013"/>
    <n v="26"/>
    <n v="42.89"/>
  </r>
  <r>
    <x v="139"/>
    <s v="Canaday,"/>
    <n v="36.299999999999997"/>
    <x v="125"/>
    <s v="No"/>
    <x v="0"/>
    <x v="0"/>
    <x v="0"/>
    <x v="0"/>
    <x v="0"/>
    <x v="2"/>
    <n v="10"/>
    <s v="Jun"/>
    <n v="2000"/>
    <d v="2000-06-10T00:00:00"/>
    <n v="1674.63"/>
    <s v="tier - 2"/>
    <s v="tier - 2"/>
    <s v="R1013"/>
    <n v="26"/>
    <n v="36.299999999999997"/>
  </r>
  <r>
    <x v="140"/>
    <s v="Atkins,"/>
    <n v="35.200000000000003"/>
    <x v="126"/>
    <s v="Yes"/>
    <x v="0"/>
    <x v="0"/>
    <x v="1"/>
    <x v="0"/>
    <x v="0"/>
    <x v="0"/>
    <n v="21"/>
    <s v="Oct"/>
    <n v="2000"/>
    <d v="2000-10-21T00:00:00"/>
    <n v="1682.6"/>
    <s v="tier - 2"/>
    <s v="tier - 2"/>
    <s v="R1011"/>
    <n v="26"/>
    <n v="35.200000000000003"/>
  </r>
  <r>
    <x v="141"/>
    <s v="Kropelnicki,"/>
    <n v="53.62"/>
    <x v="127"/>
    <s v="No"/>
    <x v="0"/>
    <x v="0"/>
    <x v="0"/>
    <x v="0"/>
    <x v="0"/>
    <x v="2"/>
    <n v="17"/>
    <s v="Nov"/>
    <n v="2004"/>
    <d v="2004-11-17T00:00:00"/>
    <n v="1694.8"/>
    <s v="tier - 2"/>
    <s v="tier - 2"/>
    <s v="R1015"/>
    <n v="22"/>
    <n v="53.62"/>
  </r>
  <r>
    <x v="142"/>
    <s v="Braund,"/>
    <n v="36.67"/>
    <x v="128"/>
    <s v="No"/>
    <x v="0"/>
    <x v="0"/>
    <x v="0"/>
    <x v="0"/>
    <x v="0"/>
    <x v="1"/>
    <n v="10"/>
    <s v="Dec"/>
    <n v="2004"/>
    <d v="2004-12-10T00:00:00"/>
    <n v="1702.46"/>
    <s v="tier - 2"/>
    <s v="tier - 3"/>
    <s v="R1019"/>
    <n v="22"/>
    <n v="36.67"/>
  </r>
  <r>
    <x v="143"/>
    <s v="Anderson,"/>
    <n v="33.4"/>
    <x v="129"/>
    <s v="Yes"/>
    <x v="0"/>
    <x v="0"/>
    <x v="1"/>
    <x v="0"/>
    <x v="0"/>
    <x v="0"/>
    <n v="7"/>
    <s v="Nov"/>
    <n v="2004"/>
    <d v="2004-11-07T00:00:00"/>
    <n v="1704.57"/>
    <s v="tier - 2"/>
    <s v="tier - 1"/>
    <s v="R1016"/>
    <n v="22"/>
    <n v="33.4"/>
  </r>
  <r>
    <x v="144"/>
    <s v="Bilbrey,"/>
    <n v="42.71"/>
    <x v="130"/>
    <s v="No"/>
    <x v="0"/>
    <x v="0"/>
    <x v="0"/>
    <x v="0"/>
    <x v="0"/>
    <x v="0"/>
    <n v="14"/>
    <s v="Dec"/>
    <n v="2004"/>
    <d v="2004-12-14T00:00:00"/>
    <n v="1704.7"/>
    <s v="tier - 2"/>
    <s v="tier - 3"/>
    <s v="R1018"/>
    <n v="22"/>
    <n v="42.71"/>
  </r>
  <r>
    <x v="145"/>
    <s v="Curtis,"/>
    <n v="41.52"/>
    <x v="131"/>
    <s v="Yes"/>
    <x v="0"/>
    <x v="0"/>
    <x v="1"/>
    <x v="0"/>
    <x v="0"/>
    <x v="0"/>
    <n v="6"/>
    <s v="Dec"/>
    <n v="2004"/>
    <d v="2004-12-06T00:00:00"/>
    <n v="1705.62"/>
    <s v="tier - 2"/>
    <s v="tier - 2"/>
    <s v="R1015"/>
    <n v="22"/>
    <n v="41.52"/>
  </r>
  <r>
    <x v="146"/>
    <s v="Meyer,"/>
    <n v="39.4"/>
    <x v="132"/>
    <s v="No"/>
    <x v="0"/>
    <x v="0"/>
    <x v="0"/>
    <x v="0"/>
    <x v="0"/>
    <x v="0"/>
    <n v="17"/>
    <s v="Oct"/>
    <n v="2004"/>
    <d v="2004-10-17T00:00:00"/>
    <n v="1708"/>
    <s v="tier - 3"/>
    <s v="tier - 2"/>
    <s v="R1016"/>
    <n v="22"/>
    <n v="39.4"/>
  </r>
  <r>
    <x v="147"/>
    <s v="Bardeesy,"/>
    <n v="46.45"/>
    <x v="133"/>
    <s v="No"/>
    <x v="0"/>
    <x v="0"/>
    <x v="0"/>
    <x v="0"/>
    <x v="0"/>
    <x v="2"/>
    <n v="12"/>
    <s v="Dec"/>
    <n v="2004"/>
    <d v="2004-12-12T00:00:00"/>
    <n v="1708.93"/>
    <s v="tier - 3"/>
    <s v="tier - 1"/>
    <s v="R1019"/>
    <n v="22"/>
    <n v="46.45"/>
  </r>
  <r>
    <x v="148"/>
    <s v="Shanahan,"/>
    <n v="35.75"/>
    <x v="40"/>
    <s v="No"/>
    <x v="0"/>
    <x v="0"/>
    <x v="0"/>
    <x v="0"/>
    <x v="0"/>
    <x v="2"/>
    <n v="19"/>
    <s v="Sep"/>
    <n v="2004"/>
    <d v="2004-09-19T00:00:00"/>
    <n v="1711.03"/>
    <s v="tier - 3"/>
    <s v="tier - 3"/>
    <s v="R1013"/>
    <n v="22"/>
    <n v="35.75"/>
  </r>
  <r>
    <x v="149"/>
    <s v="Sutter,"/>
    <n v="26.07"/>
    <x v="134"/>
    <s v="No"/>
    <x v="0"/>
    <x v="0"/>
    <x v="0"/>
    <x v="0"/>
    <x v="1"/>
    <x v="2"/>
    <n v="21"/>
    <s v="Sep"/>
    <n v="2004"/>
    <d v="2004-09-21T00:00:00"/>
    <n v="1712.23"/>
    <s v="tier - 3"/>
    <s v="tier - 1"/>
    <s v="R1016"/>
    <n v="22"/>
    <n v="26.07"/>
  </r>
  <r>
    <x v="150"/>
    <s v="Yesian,"/>
    <n v="36.54"/>
    <x v="135"/>
    <s v="Yes"/>
    <x v="0"/>
    <x v="0"/>
    <x v="1"/>
    <x v="0"/>
    <x v="0"/>
    <x v="2"/>
    <n v="10"/>
    <s v="Jun"/>
    <n v="2004"/>
    <d v="2004-06-10T00:00:00"/>
    <n v="1719.44"/>
    <s v="tier - 3"/>
    <s v="tier - 3"/>
    <s v="R1013"/>
    <n v="22"/>
    <n v="36.54"/>
  </r>
  <r>
    <x v="151"/>
    <s v="Meers,"/>
    <n v="51.64"/>
    <x v="120"/>
    <s v="No"/>
    <x v="0"/>
    <x v="0"/>
    <x v="0"/>
    <x v="0"/>
    <x v="0"/>
    <x v="2"/>
    <n v="11"/>
    <s v="Sep"/>
    <n v="2004"/>
    <d v="2004-09-11T00:00:00"/>
    <n v="1720.35"/>
    <s v="tier - 3"/>
    <s v="tier - 3"/>
    <s v="R1013"/>
    <n v="22"/>
    <n v="51.64"/>
  </r>
  <r>
    <x v="152"/>
    <s v="Conlon,"/>
    <n v="42.83"/>
    <x v="60"/>
    <s v="No"/>
    <x v="0"/>
    <x v="0"/>
    <x v="1"/>
    <x v="0"/>
    <x v="0"/>
    <x v="1"/>
    <n v="21"/>
    <s v="Oct"/>
    <n v="2004"/>
    <d v="2004-10-21T00:00:00"/>
    <n v="1725.55"/>
    <s v="tier - 3"/>
    <s v="tier - 2"/>
    <s v="R1013"/>
    <n v="22"/>
    <n v="42.83"/>
  </r>
  <r>
    <x v="153"/>
    <s v="Arnstein,"/>
    <n v="40.15"/>
    <x v="136"/>
    <s v="No"/>
    <x v="0"/>
    <x v="0"/>
    <x v="1"/>
    <x v="0"/>
    <x v="0"/>
    <x v="1"/>
    <n v="9"/>
    <s v="Sep"/>
    <n v="2004"/>
    <d v="2004-09-09T00:00:00"/>
    <n v="1727.54"/>
    <s v="tier - 3"/>
    <s v="tier - 1"/>
    <s v="R1013"/>
    <n v="22"/>
    <n v="40.15"/>
  </r>
  <r>
    <x v="154"/>
    <s v="Jurek,"/>
    <n v="27.8"/>
    <x v="67"/>
    <s v="No"/>
    <x v="0"/>
    <x v="1"/>
    <x v="1"/>
    <x v="0"/>
    <x v="1"/>
    <x v="2"/>
    <n v="21"/>
    <s v="Nov"/>
    <n v="2003"/>
    <d v="2003-11-21T00:00:00"/>
    <n v="1727.79"/>
    <s v="tier - 3"/>
    <s v="tier - 3"/>
    <s v="R1011"/>
    <n v="23"/>
    <n v="27.8"/>
  </r>
  <r>
    <x v="155"/>
    <s v="Thill,"/>
    <n v="45.81"/>
    <x v="70"/>
    <s v="Yes"/>
    <x v="0"/>
    <x v="1"/>
    <x v="1"/>
    <x v="0"/>
    <x v="0"/>
    <x v="2"/>
    <n v="1"/>
    <s v="Sep"/>
    <n v="2003"/>
    <d v="2003-09-01T00:00:00"/>
    <n v="1728.9"/>
    <s v="tier - 3"/>
    <s v="tier - 2"/>
    <s v="R1011"/>
    <n v="23"/>
    <n v="45.81"/>
  </r>
  <r>
    <x v="156"/>
    <s v="Glaz,"/>
    <n v="34.43"/>
    <x v="137"/>
    <s v="Yes"/>
    <x v="0"/>
    <x v="0"/>
    <x v="1"/>
    <x v="0"/>
    <x v="0"/>
    <x v="0"/>
    <n v="9"/>
    <s v="Nov"/>
    <n v="2003"/>
    <d v="2003-11-09T00:00:00"/>
    <n v="1731.68"/>
    <s v="tier - 3"/>
    <s v="tier - 2"/>
    <s v="R1011"/>
    <n v="23"/>
    <n v="34.43"/>
  </r>
  <r>
    <x v="157"/>
    <s v="Sampson,"/>
    <n v="41.33"/>
    <x v="138"/>
    <s v="Yes"/>
    <x v="0"/>
    <x v="0"/>
    <x v="0"/>
    <x v="0"/>
    <x v="0"/>
    <x v="2"/>
    <n v="14"/>
    <s v="Nov"/>
    <n v="2003"/>
    <d v="2003-11-14T00:00:00"/>
    <n v="1737.38"/>
    <s v="tier - 3"/>
    <s v="tier - 2"/>
    <s v="R1011"/>
    <n v="23"/>
    <n v="41.33"/>
  </r>
  <r>
    <x v="158"/>
    <s v="Duliba,"/>
    <n v="31.92"/>
    <x v="89"/>
    <s v="Yes"/>
    <x v="0"/>
    <x v="0"/>
    <x v="1"/>
    <x v="0"/>
    <x v="0"/>
    <x v="2"/>
    <n v="25"/>
    <s v="Jul"/>
    <n v="2003"/>
    <d v="2003-07-25T00:00:00"/>
    <n v="1743.21"/>
    <s v="tier - 3"/>
    <s v="tier - 1"/>
    <s v="R1011"/>
    <n v="23"/>
    <n v="31.92"/>
  </r>
  <r>
    <x v="159"/>
    <s v="Tanguay,"/>
    <n v="39.799999999999997"/>
    <x v="116"/>
    <s v="Yes"/>
    <x v="0"/>
    <x v="0"/>
    <x v="1"/>
    <x v="0"/>
    <x v="0"/>
    <x v="0"/>
    <n v="28"/>
    <s v="Jul"/>
    <n v="2003"/>
    <d v="2003-07-28T00:00:00"/>
    <n v="1744.47"/>
    <s v="tier - 3"/>
    <s v="tier - 1"/>
    <s v="R1011"/>
    <n v="23"/>
    <n v="39.799999999999997"/>
  </r>
  <r>
    <x v="160"/>
    <s v="McClelland,"/>
    <n v="42.82"/>
    <x v="139"/>
    <s v="No"/>
    <x v="0"/>
    <x v="0"/>
    <x v="0"/>
    <x v="0"/>
    <x v="0"/>
    <x v="2"/>
    <n v="26"/>
    <s v="Sep"/>
    <n v="2003"/>
    <d v="2003-09-26T00:00:00"/>
    <n v="1748.77"/>
    <s v="tier - 3"/>
    <s v="tier - 1"/>
    <s v="R1011"/>
    <n v="23"/>
    <n v="42.82"/>
  </r>
  <r>
    <x v="161"/>
    <s v="Gorman,"/>
    <n v="33.630000000000003"/>
    <x v="140"/>
    <s v="No"/>
    <x v="0"/>
    <x v="0"/>
    <x v="0"/>
    <x v="0"/>
    <x v="0"/>
    <x v="2"/>
    <n v="7"/>
    <s v="Oct"/>
    <n v="1998"/>
    <d v="1998-10-07T00:00:00"/>
    <n v="1756.6"/>
    <s v="tier - 3"/>
    <s v="tier - 3"/>
    <s v="R1013"/>
    <n v="28"/>
    <n v="33.630000000000003"/>
  </r>
  <r>
    <x v="162"/>
    <s v="Nishimura,"/>
    <n v="37.07"/>
    <x v="141"/>
    <s v="No"/>
    <x v="1"/>
    <x v="0"/>
    <x v="1"/>
    <x v="0"/>
    <x v="0"/>
    <x v="2"/>
    <n v="19"/>
    <s v="Nov"/>
    <n v="2003"/>
    <d v="2003-11-19T00:00:00"/>
    <n v="1759.34"/>
    <s v="tier - 3"/>
    <s v="tier - 1"/>
    <s v="R1011"/>
    <n v="23"/>
    <n v="37.07"/>
  </r>
  <r>
    <x v="163"/>
    <s v="Brimble,"/>
    <n v="35.625"/>
    <x v="142"/>
    <s v="No"/>
    <x v="0"/>
    <x v="0"/>
    <x v="0"/>
    <x v="0"/>
    <x v="0"/>
    <x v="0"/>
    <n v="13"/>
    <s v="Dec"/>
    <n v="2002"/>
    <d v="2002-12-13T00:00:00"/>
    <n v="1769.53"/>
    <s v="tier - 3"/>
    <s v="tier - 3"/>
    <s v="R1012"/>
    <n v="24"/>
    <n v="35.625"/>
  </r>
  <r>
    <x v="164"/>
    <s v="Trenk,"/>
    <n v="42.69"/>
    <x v="143"/>
    <s v="No"/>
    <x v="0"/>
    <x v="1"/>
    <x v="1"/>
    <x v="0"/>
    <x v="0"/>
    <x v="2"/>
    <n v="25"/>
    <s v="Sep"/>
    <n v="1999"/>
    <d v="1999-09-25T00:00:00"/>
    <n v="1815.88"/>
    <s v="tier - 3"/>
    <s v="tier - 3"/>
    <s v="R1013"/>
    <n v="27"/>
    <n v="42.69"/>
  </r>
  <r>
    <x v="165"/>
    <s v="Wittmann,"/>
    <n v="37.869999999999997"/>
    <x v="144"/>
    <s v="Yes"/>
    <x v="0"/>
    <x v="1"/>
    <x v="1"/>
    <x v="0"/>
    <x v="0"/>
    <x v="2"/>
    <n v="19"/>
    <s v="Aug"/>
    <n v="2004"/>
    <d v="2004-08-19T00:00:00"/>
    <n v="1822.54"/>
    <s v="tier - 3"/>
    <s v="tier - 1"/>
    <s v="R1012"/>
    <n v="22"/>
    <n v="37.869999999999997"/>
  </r>
  <r>
    <x v="166"/>
    <s v="Tremblay,"/>
    <n v="40.61"/>
    <x v="96"/>
    <s v="Yes"/>
    <x v="0"/>
    <x v="0"/>
    <x v="1"/>
    <x v="0"/>
    <x v="0"/>
    <x v="0"/>
    <n v="17"/>
    <s v="Nov"/>
    <n v="1999"/>
    <d v="1999-11-17T00:00:00"/>
    <n v="1824.29"/>
    <s v="tier - 3"/>
    <s v="tier - 3"/>
    <s v="R1013"/>
    <n v="27"/>
    <n v="40.61"/>
  </r>
  <r>
    <x v="167"/>
    <s v="Scofield,"/>
    <n v="30.78"/>
    <x v="145"/>
    <s v="Yes"/>
    <x v="0"/>
    <x v="0"/>
    <x v="0"/>
    <x v="0"/>
    <x v="0"/>
    <x v="2"/>
    <n v="1"/>
    <s v="Oct"/>
    <n v="1999"/>
    <d v="1999-10-01T00:00:00"/>
    <n v="1826.84"/>
    <s v="tier - 3"/>
    <s v="tier - 2"/>
    <s v="R1011"/>
    <n v="27"/>
    <n v="30.78"/>
  </r>
  <r>
    <x v="168"/>
    <s v="Yost,"/>
    <n v="49.49"/>
    <x v="146"/>
    <s v="No"/>
    <x v="0"/>
    <x v="0"/>
    <x v="0"/>
    <x v="0"/>
    <x v="0"/>
    <x v="2"/>
    <n v="11"/>
    <s v="Aug"/>
    <n v="2003"/>
    <d v="2003-08-11T00:00:00"/>
    <n v="1832.09"/>
    <s v="tier - 3"/>
    <s v="tier - 3"/>
    <s v="R1011"/>
    <n v="23"/>
    <n v="49.49"/>
  </r>
  <r>
    <x v="169"/>
    <s v="Torphy,"/>
    <n v="37.619999999999997"/>
    <x v="147"/>
    <s v="Yes"/>
    <x v="1"/>
    <x v="0"/>
    <x v="1"/>
    <x v="0"/>
    <x v="0"/>
    <x v="1"/>
    <n v="4"/>
    <s v="Aug"/>
    <n v="2003"/>
    <d v="2003-08-04T00:00:00"/>
    <n v="1837.24"/>
    <s v="tier - 3"/>
    <s v="tier - 2"/>
    <s v="R1011"/>
    <n v="23"/>
    <n v="37.619999999999997"/>
  </r>
  <r>
    <x v="170"/>
    <s v="Busby,"/>
    <n v="36.08"/>
    <x v="148"/>
    <s v="Yes"/>
    <x v="0"/>
    <x v="0"/>
    <x v="1"/>
    <x v="0"/>
    <x v="0"/>
    <x v="1"/>
    <n v="12"/>
    <s v="Dec"/>
    <n v="1999"/>
    <d v="1999-12-12T00:00:00"/>
    <n v="1837.28"/>
    <s v="tier - 3"/>
    <s v="tier - 2"/>
    <s v="R1013"/>
    <n v="27"/>
    <n v="36.08"/>
  </r>
  <r>
    <x v="171"/>
    <s v="Nguyen,"/>
    <n v="33.5"/>
    <x v="66"/>
    <s v="No"/>
    <x v="0"/>
    <x v="0"/>
    <x v="0"/>
    <x v="0"/>
    <x v="0"/>
    <x v="2"/>
    <n v="20"/>
    <s v="Jul"/>
    <n v="2003"/>
    <d v="2003-07-20T00:00:00"/>
    <n v="1842.52"/>
    <s v="tier - 3"/>
    <s v="tier - 2"/>
    <s v="R1011"/>
    <n v="23"/>
    <n v="33.5"/>
  </r>
  <r>
    <x v="172"/>
    <s v="Hanley,"/>
    <n v="47.46"/>
    <x v="149"/>
    <s v="Yes"/>
    <x v="0"/>
    <x v="0"/>
    <x v="1"/>
    <x v="0"/>
    <x v="0"/>
    <x v="1"/>
    <n v="6"/>
    <s v="Dec"/>
    <n v="1994"/>
    <d v="1994-12-06T00:00:00"/>
    <n v="1850.55"/>
    <s v="tier - 3"/>
    <s v="tier - 2"/>
    <s v="R1012"/>
    <n v="32"/>
    <n v="47.46"/>
  </r>
  <r>
    <x v="173"/>
    <s v="Scheer,"/>
    <n v="49.24"/>
    <x v="150"/>
    <s v="No"/>
    <x v="0"/>
    <x v="0"/>
    <x v="0"/>
    <x v="0"/>
    <x v="0"/>
    <x v="2"/>
    <n v="27"/>
    <s v="Dec"/>
    <n v="2004"/>
    <d v="2004-12-27T00:00:00"/>
    <n v="1863.45"/>
    <s v="tier - 3"/>
    <s v="tier - 1"/>
    <s v="R1025"/>
    <n v="22"/>
    <n v="49.24"/>
  </r>
  <r>
    <x v="174"/>
    <s v="Rankin,"/>
    <n v="54.4"/>
    <x v="151"/>
    <s v="No"/>
    <x v="0"/>
    <x v="0"/>
    <x v="1"/>
    <x v="0"/>
    <x v="0"/>
    <x v="2"/>
    <n v="2"/>
    <s v="Jul"/>
    <n v="1996"/>
    <d v="1996-07-02T00:00:00"/>
    <n v="1865.98"/>
    <s v="tier - 3"/>
    <s v="tier - 3"/>
    <s v="R1012"/>
    <n v="30"/>
    <n v="54.4"/>
  </r>
  <r>
    <x v="175"/>
    <s v="Ricardi,"/>
    <n v="35.53"/>
    <x v="152"/>
    <s v="No"/>
    <x v="0"/>
    <x v="0"/>
    <x v="1"/>
    <x v="0"/>
    <x v="0"/>
    <x v="2"/>
    <n v="22"/>
    <s v="Sep"/>
    <n v="2002"/>
    <d v="2002-09-22T00:00:00"/>
    <n v="1875.34"/>
    <s v="tier - 3"/>
    <s v="tier - 2"/>
    <s v="R1011"/>
    <n v="24"/>
    <n v="35.53"/>
  </r>
  <r>
    <x v="176"/>
    <s v="Karkos,"/>
    <n v="39.729999999999997"/>
    <x v="149"/>
    <s v="No"/>
    <x v="0"/>
    <x v="0"/>
    <x v="0"/>
    <x v="0"/>
    <x v="0"/>
    <x v="1"/>
    <n v="29"/>
    <s v="Oct"/>
    <n v="2002"/>
    <d v="2002-10-29T00:00:00"/>
    <n v="1877.93"/>
    <s v="tier - 3"/>
    <s v="tier - 1"/>
    <s v="R1013"/>
    <n v="24"/>
    <n v="39.729999999999997"/>
  </r>
  <r>
    <x v="177"/>
    <s v="Price-Dierksen,"/>
    <n v="35.68"/>
    <x v="153"/>
    <s v="No"/>
    <x v="0"/>
    <x v="0"/>
    <x v="0"/>
    <x v="0"/>
    <x v="0"/>
    <x v="0"/>
    <n v="29"/>
    <s v="Aug"/>
    <n v="2002"/>
    <d v="2002-08-29T00:00:00"/>
    <n v="1880.07"/>
    <s v="tier - 3"/>
    <s v="tier - 2"/>
    <s v="R1013"/>
    <n v="24"/>
    <n v="35.68"/>
  </r>
  <r>
    <x v="178"/>
    <s v="Knispel,"/>
    <n v="48.86"/>
    <x v="34"/>
    <s v="No"/>
    <x v="0"/>
    <x v="0"/>
    <x v="0"/>
    <x v="0"/>
    <x v="0"/>
    <x v="1"/>
    <n v="21"/>
    <s v="Aug"/>
    <n v="2002"/>
    <d v="2002-08-21T00:00:00"/>
    <n v="1880.49"/>
    <s v="tier - 3"/>
    <s v="tier - 1"/>
    <s v="R1011"/>
    <n v="24"/>
    <n v="48.86"/>
  </r>
  <r>
    <x v="179"/>
    <s v="King,"/>
    <n v="34.799999999999997"/>
    <x v="154"/>
    <s v="Yes"/>
    <x v="0"/>
    <x v="1"/>
    <x v="1"/>
    <x v="1"/>
    <x v="0"/>
    <x v="0"/>
    <n v="10"/>
    <s v="Aug"/>
    <n v="2001"/>
    <d v="2001-08-10T00:00:00"/>
    <n v="1906.36"/>
    <s v="tier - 3"/>
    <s v="tier - 1"/>
    <s v="R1012"/>
    <n v="25"/>
    <n v="34.799999999999997"/>
  </r>
  <r>
    <x v="180"/>
    <s v="Samuelson,"/>
    <n v="32.49"/>
    <x v="144"/>
    <s v="No"/>
    <x v="0"/>
    <x v="1"/>
    <x v="1"/>
    <x v="0"/>
    <x v="0"/>
    <x v="2"/>
    <n v="6"/>
    <s v="Oct"/>
    <n v="1994"/>
    <d v="1994-10-06T00:00:00"/>
    <n v="1908.9"/>
    <s v="tier - 3"/>
    <s v="tier - 3"/>
    <s v="R1013"/>
    <n v="32"/>
    <n v="32.49"/>
  </r>
  <r>
    <x v="181"/>
    <s v="Fredsall,"/>
    <n v="39"/>
    <x v="155"/>
    <s v="No"/>
    <x v="0"/>
    <x v="0"/>
    <x v="1"/>
    <x v="0"/>
    <x v="0"/>
    <x v="1"/>
    <n v="3"/>
    <s v="Aug"/>
    <n v="2001"/>
    <d v="2001-08-03T00:00:00"/>
    <n v="1909.53"/>
    <s v="tier - 3"/>
    <s v="tier - 3"/>
    <s v="R1012"/>
    <n v="25"/>
    <n v="39"/>
  </r>
  <r>
    <x v="182"/>
    <s v="Eggleston,"/>
    <n v="35.299999999999997"/>
    <x v="34"/>
    <s v="No"/>
    <x v="0"/>
    <x v="0"/>
    <x v="1"/>
    <x v="0"/>
    <x v="0"/>
    <x v="1"/>
    <n v="9"/>
    <s v="Dec"/>
    <n v="2001"/>
    <d v="2001-12-09T00:00:00"/>
    <n v="1917.32"/>
    <s v="tier - 3"/>
    <s v="tier - 2"/>
    <s v="R1012"/>
    <n v="25"/>
    <n v="35.299999999999997"/>
  </r>
  <r>
    <x v="183"/>
    <s v="Palombaro,"/>
    <n v="33.42"/>
    <x v="156"/>
    <s v="No"/>
    <x v="0"/>
    <x v="0"/>
    <x v="0"/>
    <x v="0"/>
    <x v="0"/>
    <x v="0"/>
    <n v="7"/>
    <s v="Sep"/>
    <n v="2002"/>
    <d v="2002-09-07T00:00:00"/>
    <n v="1964.78"/>
    <s v="tier - 3"/>
    <s v="tier - 1"/>
    <s v="R1011"/>
    <n v="24"/>
    <n v="33.42"/>
  </r>
  <r>
    <x v="184"/>
    <s v="Silva,"/>
    <n v="37.18"/>
    <x v="157"/>
    <s v="Yes"/>
    <x v="0"/>
    <x v="0"/>
    <x v="1"/>
    <x v="0"/>
    <x v="0"/>
    <x v="0"/>
    <n v="29"/>
    <s v="Jul"/>
    <n v="2002"/>
    <d v="2002-07-29T00:00:00"/>
    <n v="1967.02"/>
    <s v="tier - 3"/>
    <s v="tier - 2"/>
    <s v="R1016"/>
    <n v="24"/>
    <n v="37.18"/>
  </r>
  <r>
    <x v="185"/>
    <s v="Bugala,"/>
    <n v="33.33"/>
    <x v="158"/>
    <s v="Yes"/>
    <x v="0"/>
    <x v="0"/>
    <x v="1"/>
    <x v="1"/>
    <x v="0"/>
    <x v="0"/>
    <n v="28"/>
    <s v="Sep"/>
    <n v="1998"/>
    <d v="1998-09-28T00:00:00"/>
    <n v="1969.61"/>
    <s v="tier - 3"/>
    <s v="tier - 3"/>
    <s v="R1011"/>
    <n v="28"/>
    <n v="33.33"/>
  </r>
  <r>
    <x v="186"/>
    <s v="Dublin,"/>
    <n v="53.21"/>
    <x v="159"/>
    <s v="No"/>
    <x v="0"/>
    <x v="0"/>
    <x v="1"/>
    <x v="0"/>
    <x v="0"/>
    <x v="2"/>
    <n v="5"/>
    <s v="Oct"/>
    <n v="1998"/>
    <d v="1998-10-05T00:00:00"/>
    <n v="1972.95"/>
    <s v="tier - 3"/>
    <s v="tier - 1"/>
    <s v="R1011"/>
    <n v="28"/>
    <n v="53.21"/>
  </r>
  <r>
    <x v="187"/>
    <s v="Cleland,"/>
    <n v="38.729999999999997"/>
    <x v="73"/>
    <s v="No"/>
    <x v="0"/>
    <x v="0"/>
    <x v="1"/>
    <x v="0"/>
    <x v="0"/>
    <x v="0"/>
    <n v="29"/>
    <s v="Sep"/>
    <n v="1998"/>
    <d v="1998-09-29T00:00:00"/>
    <n v="1977.82"/>
    <s v="tier - 3"/>
    <s v="tier - 1"/>
    <s v="R1011"/>
    <n v="28"/>
    <n v="38.729999999999997"/>
  </r>
  <r>
    <x v="188"/>
    <s v="Evans,"/>
    <n v="29.73"/>
    <x v="160"/>
    <s v="No"/>
    <x v="0"/>
    <x v="0"/>
    <x v="0"/>
    <x v="0"/>
    <x v="1"/>
    <x v="0"/>
    <n v="16"/>
    <s v="Jul"/>
    <n v="2002"/>
    <d v="2002-07-16T00:00:00"/>
    <n v="1980.07"/>
    <s v="tier - 3"/>
    <s v="tier - 3"/>
    <s v="R1011"/>
    <n v="24"/>
    <n v="29.73"/>
  </r>
  <r>
    <x v="189"/>
    <s v="Boyd,"/>
    <n v="34.700000000000003"/>
    <x v="161"/>
    <s v="No"/>
    <x v="0"/>
    <x v="1"/>
    <x v="1"/>
    <x v="0"/>
    <x v="0"/>
    <x v="2"/>
    <n v="29"/>
    <s v="Dec"/>
    <n v="1998"/>
    <d v="1998-12-29T00:00:00"/>
    <n v="1981.58"/>
    <s v="tier - 3"/>
    <s v="tier - 1"/>
    <s v="R1013"/>
    <n v="28"/>
    <n v="34.700000000000003"/>
  </r>
  <r>
    <x v="190"/>
    <s v="Roulier,"/>
    <n v="38.28"/>
    <x v="162"/>
    <s v="Yes"/>
    <x v="0"/>
    <x v="0"/>
    <x v="1"/>
    <x v="0"/>
    <x v="0"/>
    <x v="0"/>
    <n v="29"/>
    <s v="Sep"/>
    <n v="2002"/>
    <d v="2002-09-29T00:00:00"/>
    <n v="1984.45"/>
    <s v="tier - 3"/>
    <s v="tier - 3"/>
    <s v="R1016"/>
    <n v="24"/>
    <n v="38.28"/>
  </r>
  <r>
    <x v="191"/>
    <s v="Mullins,"/>
    <n v="33.57"/>
    <x v="163"/>
    <s v="Yes"/>
    <x v="0"/>
    <x v="0"/>
    <x v="0"/>
    <x v="0"/>
    <x v="0"/>
    <x v="0"/>
    <n v="14"/>
    <s v="Sep"/>
    <n v="1998"/>
    <d v="1998-09-14T00:00:00"/>
    <n v="1986.93"/>
    <s v="tier - 3"/>
    <s v="tier - 2"/>
    <s v="R1013"/>
    <n v="28"/>
    <n v="33.57"/>
  </r>
  <r>
    <x v="192"/>
    <s v="Hofmann,"/>
    <n v="52.06"/>
    <x v="164"/>
    <s v="No"/>
    <x v="0"/>
    <x v="0"/>
    <x v="1"/>
    <x v="0"/>
    <x v="0"/>
    <x v="2"/>
    <n v="14"/>
    <s v="Aug"/>
    <n v="2001"/>
    <d v="2001-08-14T00:00:00"/>
    <n v="2007.95"/>
    <s v="tier - 3"/>
    <s v="tier - 2"/>
    <s v="R1011"/>
    <n v="25"/>
    <n v="52.06"/>
  </r>
  <r>
    <x v="193"/>
    <s v="Garcia"/>
    <n v="38.17"/>
    <x v="165"/>
    <s v="No"/>
    <x v="1"/>
    <x v="0"/>
    <x v="1"/>
    <x v="0"/>
    <x v="0"/>
    <x v="2"/>
    <n v="1"/>
    <s v="Jul"/>
    <n v="2001"/>
    <d v="2001-07-01T00:00:00"/>
    <n v="2020.18"/>
    <s v="tier - 3"/>
    <s v="tier - 1"/>
    <s v="R1011"/>
    <n v="25"/>
    <n v="38.17"/>
  </r>
  <r>
    <x v="194"/>
    <s v="Klecker,"/>
    <n v="36.954999999999998"/>
    <x v="85"/>
    <s v="No"/>
    <x v="0"/>
    <x v="1"/>
    <x v="1"/>
    <x v="0"/>
    <x v="0"/>
    <x v="1"/>
    <n v="6"/>
    <s v="Sep"/>
    <n v="2001"/>
    <d v="2001-09-06T00:00:00"/>
    <n v="2020.55"/>
    <s v="tier - 3"/>
    <s v="tier - 2"/>
    <s v="R1013"/>
    <n v="25"/>
    <n v="36.954999999999998"/>
  </r>
  <r>
    <x v="195"/>
    <s v="Cancre,"/>
    <n v="34.4"/>
    <x v="166"/>
    <s v="No"/>
    <x v="0"/>
    <x v="1"/>
    <x v="1"/>
    <x v="0"/>
    <x v="0"/>
    <x v="2"/>
    <n v="4"/>
    <s v="Aug"/>
    <n v="2001"/>
    <d v="2001-08-04T00:00:00"/>
    <n v="2026.97"/>
    <s v="tier - 3"/>
    <s v="tier - 2"/>
    <s v="R1013"/>
    <n v="25"/>
    <n v="34.4"/>
  </r>
  <r>
    <x v="196"/>
    <s v="Denucci,"/>
    <n v="31.73"/>
    <x v="167"/>
    <s v="No"/>
    <x v="0"/>
    <x v="0"/>
    <x v="0"/>
    <x v="0"/>
    <x v="0"/>
    <x v="2"/>
    <n v="2"/>
    <s v="Sep"/>
    <n v="2000"/>
    <d v="2000-09-02T00:00:00"/>
    <n v="2045.69"/>
    <s v="tier - 3"/>
    <s v="tier - 3"/>
    <s v="R1012"/>
    <n v="26"/>
    <n v="31.73"/>
  </r>
  <r>
    <x v="197"/>
    <s v="Saldana,"/>
    <n v="36.64"/>
    <x v="168"/>
    <s v="No"/>
    <x v="0"/>
    <x v="0"/>
    <x v="0"/>
    <x v="0"/>
    <x v="0"/>
    <x v="0"/>
    <n v="26"/>
    <s v="Jul"/>
    <n v="2000"/>
    <d v="2000-07-26T00:00:00"/>
    <n v="2055.3200000000002"/>
    <s v="tier - 3"/>
    <s v="tier - 3"/>
    <s v="R1012"/>
    <n v="26"/>
    <n v="36.64"/>
  </r>
  <r>
    <x v="198"/>
    <s v="Weinberg,"/>
    <n v="36.85"/>
    <x v="169"/>
    <s v="No"/>
    <x v="1"/>
    <x v="0"/>
    <x v="1"/>
    <x v="0"/>
    <x v="0"/>
    <x v="1"/>
    <n v="12"/>
    <s v="Jun"/>
    <n v="2004"/>
    <d v="2004-06-12T00:00:00"/>
    <n v="2094.1"/>
    <s v="tier - 3"/>
    <s v="tier - 2"/>
    <s v="R1025"/>
    <n v="22"/>
    <n v="36.85"/>
  </r>
  <r>
    <x v="199"/>
    <s v="Walsh,"/>
    <n v="33.33"/>
    <x v="170"/>
    <s v="Yes"/>
    <x v="0"/>
    <x v="1"/>
    <x v="1"/>
    <x v="0"/>
    <x v="0"/>
    <x v="2"/>
    <n v="14"/>
    <s v="Aug"/>
    <n v="2001"/>
    <d v="2001-08-14T00:00:00"/>
    <n v="2102.2600000000002"/>
    <s v="tier - 3"/>
    <s v="tier - 2"/>
    <s v="R1019"/>
    <n v="25"/>
    <n v="33.33"/>
  </r>
  <r>
    <x v="200"/>
    <s v="Pasten,"/>
    <n v="39.14"/>
    <x v="171"/>
    <s v="No"/>
    <x v="0"/>
    <x v="1"/>
    <x v="1"/>
    <x v="0"/>
    <x v="0"/>
    <x v="2"/>
    <n v="22"/>
    <s v="Jun"/>
    <n v="2001"/>
    <d v="2001-06-22T00:00:00"/>
    <n v="2103.08"/>
    <s v="tier - 3"/>
    <s v="tier - 2"/>
    <s v="R1011"/>
    <n v="25"/>
    <n v="39.14"/>
  </r>
  <r>
    <x v="201"/>
    <s v="LaBelle,"/>
    <n v="32.9"/>
    <x v="106"/>
    <s v="Yes"/>
    <x v="0"/>
    <x v="0"/>
    <x v="0"/>
    <x v="0"/>
    <x v="0"/>
    <x v="1"/>
    <n v="28"/>
    <s v="Nov"/>
    <n v="2001"/>
    <d v="2001-11-28T00:00:00"/>
    <n v="2104.11"/>
    <s v="tier - 2"/>
    <s v="tier - 1"/>
    <s v="R1016"/>
    <n v="25"/>
    <n v="32.9"/>
  </r>
  <r>
    <x v="202"/>
    <s v="Guzman,"/>
    <n v="29.78"/>
    <x v="172"/>
    <s v="Yes"/>
    <x v="0"/>
    <x v="1"/>
    <x v="1"/>
    <x v="0"/>
    <x v="1"/>
    <x v="0"/>
    <n v="21"/>
    <s v="Jul"/>
    <n v="1989"/>
    <d v="1989-07-21T00:00:00"/>
    <n v="2106.2600000000002"/>
    <s v="tier - 2"/>
    <s v="tier - 2"/>
    <s v="R1013"/>
    <n v="37"/>
    <n v="29.78"/>
  </r>
  <r>
    <x v="203"/>
    <s v="Turnbull,"/>
    <n v="32.78"/>
    <x v="173"/>
    <s v="No"/>
    <x v="0"/>
    <x v="0"/>
    <x v="0"/>
    <x v="0"/>
    <x v="0"/>
    <x v="2"/>
    <n v="30"/>
    <s v="Sep"/>
    <n v="2003"/>
    <d v="2003-09-30T00:00:00"/>
    <n v="2117.34"/>
    <s v="tier - 2"/>
    <s v="tier - 3"/>
    <s v="R1012"/>
    <n v="23"/>
    <n v="32.78"/>
  </r>
  <r>
    <x v="204"/>
    <s v="Aguero,"/>
    <n v="41.65"/>
    <x v="129"/>
    <s v="Yes"/>
    <x v="0"/>
    <x v="0"/>
    <x v="0"/>
    <x v="0"/>
    <x v="0"/>
    <x v="0"/>
    <n v="4"/>
    <s v="Nov"/>
    <n v="2004"/>
    <d v="2004-11-04T00:00:00"/>
    <n v="2118.61"/>
    <s v="tier - 2"/>
    <s v="tier - 1"/>
    <s v="R1012"/>
    <n v="22"/>
    <n v="41.65"/>
  </r>
  <r>
    <x v="205"/>
    <s v="Woodward,"/>
    <n v="50.79"/>
    <x v="150"/>
    <s v="No"/>
    <x v="0"/>
    <x v="0"/>
    <x v="1"/>
    <x v="0"/>
    <x v="0"/>
    <x v="2"/>
    <n v="30"/>
    <s v="Aug"/>
    <n v="2003"/>
    <d v="2003-08-30T00:00:00"/>
    <n v="2128.4299999999998"/>
    <s v="tier - 2"/>
    <s v="tier - 1"/>
    <s v="R1012"/>
    <n v="23"/>
    <n v="50.79"/>
  </r>
  <r>
    <x v="206"/>
    <s v="McElroy,"/>
    <n v="35.43"/>
    <x v="174"/>
    <s v="Yes"/>
    <x v="0"/>
    <x v="0"/>
    <x v="0"/>
    <x v="0"/>
    <x v="0"/>
    <x v="2"/>
    <n v="22"/>
    <s v="Dec"/>
    <n v="2003"/>
    <d v="2003-12-22T00:00:00"/>
    <n v="2130.6799999999998"/>
    <s v="tier - 2"/>
    <s v="tier - 3"/>
    <s v="R1012"/>
    <n v="23"/>
    <n v="35.43"/>
  </r>
  <r>
    <x v="207"/>
    <s v="Lopez,"/>
    <n v="35.25"/>
    <x v="118"/>
    <s v="No"/>
    <x v="0"/>
    <x v="0"/>
    <x v="0"/>
    <x v="0"/>
    <x v="0"/>
    <x v="0"/>
    <n v="1"/>
    <s v="Sep"/>
    <n v="2003"/>
    <d v="2003-09-01T00:00:00"/>
    <n v="2134.9"/>
    <s v="tier - 2"/>
    <s v="tier - 3"/>
    <s v="R1012"/>
    <n v="23"/>
    <n v="35.25"/>
  </r>
  <r>
    <x v="208"/>
    <s v="Cardosi,"/>
    <n v="36.85"/>
    <x v="175"/>
    <s v="No"/>
    <x v="0"/>
    <x v="0"/>
    <x v="0"/>
    <x v="0"/>
    <x v="0"/>
    <x v="0"/>
    <n v="26"/>
    <s v="Sep"/>
    <n v="2003"/>
    <d v="2003-09-26T00:00:00"/>
    <n v="2136.88"/>
    <s v="tier - 2"/>
    <s v="tier - 2"/>
    <s v="R1012"/>
    <n v="23"/>
    <n v="36.85"/>
  </r>
  <r>
    <x v="209"/>
    <s v="Looney,"/>
    <n v="31.02"/>
    <x v="176"/>
    <s v="No"/>
    <x v="1"/>
    <x v="0"/>
    <x v="1"/>
    <x v="0"/>
    <x v="0"/>
    <x v="2"/>
    <n v="3"/>
    <s v="Sep"/>
    <n v="1997"/>
    <d v="1997-09-03T00:00:00"/>
    <n v="2137.65"/>
    <s v="tier - 3"/>
    <s v="tier - 1"/>
    <s v="R1013"/>
    <n v="29"/>
    <n v="31.02"/>
  </r>
  <r>
    <x v="210"/>
    <s v="Zyryanov,"/>
    <n v="35.6"/>
    <x v="93"/>
    <s v="Yes"/>
    <x v="1"/>
    <x v="0"/>
    <x v="1"/>
    <x v="0"/>
    <x v="0"/>
    <x v="2"/>
    <n v="19"/>
    <s v="Aug"/>
    <n v="2003"/>
    <d v="2003-08-19T00:00:00"/>
    <n v="2138.0700000000002"/>
    <s v="tier - 2"/>
    <s v="tier - 1"/>
    <s v="R1012"/>
    <n v="23"/>
    <n v="35.6"/>
  </r>
  <r>
    <x v="211"/>
    <s v="Gavin,"/>
    <n v="34.39"/>
    <x v="177"/>
    <s v="No"/>
    <x v="0"/>
    <x v="0"/>
    <x v="0"/>
    <x v="0"/>
    <x v="0"/>
    <x v="0"/>
    <n v="4"/>
    <s v="Oct"/>
    <n v="2004"/>
    <d v="2004-10-04T00:00:00"/>
    <n v="2144.85"/>
    <s v="tier - 2"/>
    <s v="tier - 1"/>
    <s v="R1011"/>
    <n v="22"/>
    <n v="34.39"/>
  </r>
  <r>
    <x v="212"/>
    <s v="Littlefield,"/>
    <n v="29.06"/>
    <x v="178"/>
    <s v="Yes"/>
    <x v="0"/>
    <x v="0"/>
    <x v="1"/>
    <x v="0"/>
    <x v="1"/>
    <x v="1"/>
    <n v="27"/>
    <s v="Dec"/>
    <n v="2000"/>
    <d v="2000-12-27T00:00:00"/>
    <n v="2150.4699999999998"/>
    <s v="tier - 2"/>
    <s v="tier - 3"/>
    <s v="R1011"/>
    <n v="26"/>
    <n v="29.06"/>
  </r>
  <r>
    <x v="213"/>
    <s v="Shearer,"/>
    <n v="35.799999999999997"/>
    <x v="179"/>
    <s v="No"/>
    <x v="0"/>
    <x v="0"/>
    <x v="1"/>
    <x v="0"/>
    <x v="0"/>
    <x v="0"/>
    <n v="22"/>
    <s v="Oct"/>
    <n v="2000"/>
    <d v="2000-10-22T00:00:00"/>
    <n v="2154.36"/>
    <s v="tier - 2"/>
    <s v="tier - 2"/>
    <s v="R1011"/>
    <n v="26"/>
    <n v="35.799999999999997"/>
  </r>
  <r>
    <x v="214"/>
    <s v="Armstrong,"/>
    <n v="49.8"/>
    <x v="180"/>
    <s v="No"/>
    <x v="0"/>
    <x v="0"/>
    <x v="1"/>
    <x v="0"/>
    <x v="0"/>
    <x v="2"/>
    <n v="29"/>
    <s v="Nov"/>
    <n v="2000"/>
    <d v="2000-11-29T00:00:00"/>
    <n v="2155.6799999999998"/>
    <s v="tier - 2"/>
    <s v="tier - 3"/>
    <s v="R1013"/>
    <n v="26"/>
    <n v="49.8"/>
  </r>
  <r>
    <x v="215"/>
    <s v="Warriner,"/>
    <n v="35.71"/>
    <x v="181"/>
    <s v="No"/>
    <x v="0"/>
    <x v="0"/>
    <x v="1"/>
    <x v="0"/>
    <x v="0"/>
    <x v="0"/>
    <n v="10"/>
    <s v="Dec"/>
    <n v="2000"/>
    <d v="2000-12-10T00:00:00"/>
    <n v="2156.75"/>
    <s v="tier - 2"/>
    <s v="tier - 2"/>
    <s v="R1013"/>
    <n v="26"/>
    <n v="35.71"/>
  </r>
  <r>
    <x v="216"/>
    <s v="White,"/>
    <n v="30.8"/>
    <x v="182"/>
    <s v="Yes"/>
    <x v="0"/>
    <x v="0"/>
    <x v="1"/>
    <x v="0"/>
    <x v="0"/>
    <x v="2"/>
    <n v="23"/>
    <s v="Aug"/>
    <n v="2000"/>
    <d v="2000-08-23T00:00:00"/>
    <n v="2166.73"/>
    <s v="tier - 2"/>
    <s v="tier - 2"/>
    <s v="R1011"/>
    <n v="26"/>
    <n v="30.8"/>
  </r>
  <r>
    <x v="217"/>
    <s v="Cordaro,"/>
    <n v="33.69"/>
    <x v="183"/>
    <s v="No"/>
    <x v="0"/>
    <x v="0"/>
    <x v="0"/>
    <x v="0"/>
    <x v="0"/>
    <x v="0"/>
    <n v="27"/>
    <s v="Sep"/>
    <n v="1994"/>
    <d v="1994-09-27T00:00:00"/>
    <n v="2170.08"/>
    <s v="tier - 2"/>
    <s v="tier - 2"/>
    <s v="R1013"/>
    <n v="32"/>
    <n v="33.69"/>
  </r>
  <r>
    <x v="218"/>
    <s v="Hamilton,"/>
    <n v="42.27"/>
    <x v="3"/>
    <s v="Yes"/>
    <x v="0"/>
    <x v="0"/>
    <x v="1"/>
    <x v="0"/>
    <x v="0"/>
    <x v="1"/>
    <n v="16"/>
    <s v="Dec"/>
    <n v="1991"/>
    <d v="1991-12-16T00:00:00"/>
    <n v="2193.1999999999998"/>
    <s v="tier - 2"/>
    <s v="tier - 2"/>
    <s v="R1012"/>
    <n v="35"/>
    <n v="42.27"/>
  </r>
  <r>
    <x v="219"/>
    <s v="Meyer,"/>
    <n v="53.25"/>
    <x v="184"/>
    <s v="Yes"/>
    <x v="0"/>
    <x v="1"/>
    <x v="1"/>
    <x v="0"/>
    <x v="0"/>
    <x v="1"/>
    <n v="7"/>
    <s v="Dec"/>
    <n v="2004"/>
    <d v="2004-12-07T00:00:00"/>
    <n v="2196.4699999999998"/>
    <s v="tier - 2"/>
    <s v="tier - 3"/>
    <s v="R1024"/>
    <n v="22"/>
    <n v="53.25"/>
  </r>
  <r>
    <x v="220"/>
    <s v="Duke,"/>
    <n v="26.8"/>
    <x v="185"/>
    <s v="Yes"/>
    <x v="0"/>
    <x v="0"/>
    <x v="0"/>
    <x v="1"/>
    <x v="1"/>
    <x v="0"/>
    <n v="3"/>
    <s v="Sep"/>
    <n v="2004"/>
    <d v="2004-09-03T00:00:00"/>
    <n v="2198.19"/>
    <s v="tier - 2"/>
    <s v="tier - 1"/>
    <s v="R1023"/>
    <n v="22"/>
    <n v="26.8"/>
  </r>
  <r>
    <x v="221"/>
    <s v="Malatesta,"/>
    <n v="28.5"/>
    <x v="89"/>
    <s v="No"/>
    <x v="0"/>
    <x v="0"/>
    <x v="1"/>
    <x v="0"/>
    <x v="1"/>
    <x v="2"/>
    <n v="12"/>
    <s v="Sep"/>
    <n v="2004"/>
    <d v="2004-09-12T00:00:00"/>
    <n v="2200.83"/>
    <s v="tier - 2"/>
    <s v="tier - 2"/>
    <s v="R1024"/>
    <n v="22"/>
    <n v="28.5"/>
  </r>
  <r>
    <x v="222"/>
    <s v="Hinrichsen,"/>
    <n v="22.895"/>
    <x v="186"/>
    <s v="No"/>
    <x v="0"/>
    <x v="0"/>
    <x v="0"/>
    <x v="0"/>
    <x v="2"/>
    <x v="1"/>
    <n v="27"/>
    <s v="Jul"/>
    <n v="2004"/>
    <d v="2004-07-27T00:00:00"/>
    <n v="2201.1"/>
    <s v="tier - 2"/>
    <s v="tier - 3"/>
    <s v="R1013"/>
    <n v="22"/>
    <n v="22.895"/>
  </r>
  <r>
    <x v="223"/>
    <s v="Lucan,"/>
    <n v="34.06"/>
    <x v="187"/>
    <s v="Yes"/>
    <x v="0"/>
    <x v="0"/>
    <x v="1"/>
    <x v="0"/>
    <x v="0"/>
    <x v="0"/>
    <n v="6"/>
    <s v="Aug"/>
    <n v="2004"/>
    <d v="2004-08-06T00:00:00"/>
    <n v="2203.4699999999998"/>
    <s v="tier - 2"/>
    <s v="tier - 2"/>
    <s v="R1024"/>
    <n v="22"/>
    <n v="34.06"/>
  </r>
  <r>
    <x v="224"/>
    <s v="Koch,"/>
    <n v="36.409999999999997"/>
    <x v="188"/>
    <s v="No"/>
    <x v="0"/>
    <x v="0"/>
    <x v="0"/>
    <x v="0"/>
    <x v="0"/>
    <x v="2"/>
    <n v="28"/>
    <s v="Oct"/>
    <n v="2004"/>
    <d v="2004-10-28T00:00:00"/>
    <n v="2203.7399999999998"/>
    <s v="tier - 2"/>
    <s v="tier - 2"/>
    <s v="R1024"/>
    <n v="22"/>
    <n v="36.409999999999997"/>
  </r>
  <r>
    <x v="225"/>
    <s v="Smith,"/>
    <n v="52.3"/>
    <x v="189"/>
    <s v="Yes"/>
    <x v="0"/>
    <x v="1"/>
    <x v="1"/>
    <x v="0"/>
    <x v="0"/>
    <x v="2"/>
    <n v="13"/>
    <s v="Nov"/>
    <n v="2004"/>
    <d v="2004-11-13T00:00:00"/>
    <n v="2205.98"/>
    <s v="tier - 2"/>
    <s v="tier - 3"/>
    <s v="R1024"/>
    <n v="22"/>
    <n v="52.3"/>
  </r>
  <r>
    <x v="226"/>
    <s v="O'Connor,"/>
    <n v="52.66"/>
    <x v="150"/>
    <s v="No"/>
    <x v="0"/>
    <x v="0"/>
    <x v="1"/>
    <x v="0"/>
    <x v="0"/>
    <x v="2"/>
    <n v="6"/>
    <s v="Aug"/>
    <n v="2004"/>
    <d v="2004-08-06T00:00:00"/>
    <n v="2207.6999999999998"/>
    <s v="tier - 2"/>
    <s v="tier - 2"/>
    <s v="R1024"/>
    <n v="22"/>
    <n v="52.66"/>
  </r>
  <r>
    <x v="227"/>
    <s v="Kampwerth,"/>
    <n v="29.57"/>
    <x v="190"/>
    <s v="Yes"/>
    <x v="0"/>
    <x v="0"/>
    <x v="0"/>
    <x v="0"/>
    <x v="1"/>
    <x v="0"/>
    <n v="27"/>
    <s v="Jul"/>
    <n v="2004"/>
    <d v="2004-07-27T00:00:00"/>
    <n v="2211.13"/>
    <s v="tier - 2"/>
    <s v="tier - 2"/>
    <s v="R1024"/>
    <n v="22"/>
    <n v="29.57"/>
  </r>
  <r>
    <x v="228"/>
    <s v="Federoff,"/>
    <n v="36.99"/>
    <x v="191"/>
    <s v="Yes"/>
    <x v="0"/>
    <x v="1"/>
    <x v="1"/>
    <x v="0"/>
    <x v="0"/>
    <x v="2"/>
    <n v="17"/>
    <s v="Nov"/>
    <n v="1994"/>
    <d v="1994-11-17T00:00:00"/>
    <n v="2213.21"/>
    <s v="tier - 2"/>
    <s v="tier - 2"/>
    <s v="R1013"/>
    <n v="32"/>
    <n v="36.99"/>
  </r>
  <r>
    <x v="229"/>
    <s v="Goya,"/>
    <n v="31.4"/>
    <x v="192"/>
    <s v="Yes"/>
    <x v="0"/>
    <x v="0"/>
    <x v="1"/>
    <x v="0"/>
    <x v="0"/>
    <x v="2"/>
    <n v="13"/>
    <s v="Jun"/>
    <n v="2004"/>
    <d v="2004-06-13T00:00:00"/>
    <n v="2217.4699999999998"/>
    <s v="tier - 2"/>
    <s v="tier - 1"/>
    <s v="R1024"/>
    <n v="22"/>
    <n v="31.4"/>
  </r>
  <r>
    <x v="230"/>
    <s v="Hodges,"/>
    <n v="34.9"/>
    <x v="21"/>
    <s v="No"/>
    <x v="0"/>
    <x v="1"/>
    <x v="1"/>
    <x v="0"/>
    <x v="0"/>
    <x v="1"/>
    <n v="25"/>
    <s v="Sep"/>
    <n v="2004"/>
    <d v="2004-09-25T00:00:00"/>
    <n v="2217.6"/>
    <s v="tier - 2"/>
    <s v="tier - 1"/>
    <s v="R1024"/>
    <n v="22"/>
    <n v="34.9"/>
  </r>
  <r>
    <x v="231"/>
    <s v="Erickson,"/>
    <n v="31.13"/>
    <x v="193"/>
    <s v="Yes"/>
    <x v="0"/>
    <x v="0"/>
    <x v="1"/>
    <x v="0"/>
    <x v="0"/>
    <x v="2"/>
    <n v="12"/>
    <s v="Dec"/>
    <n v="2004"/>
    <d v="2004-12-12T00:00:00"/>
    <n v="2219.4499999999998"/>
    <s v="tier - 2"/>
    <s v="tier - 1"/>
    <s v="R1013"/>
    <n v="22"/>
    <n v="31.13"/>
  </r>
  <r>
    <x v="232"/>
    <s v="Welleck,"/>
    <n v="34.799999999999997"/>
    <x v="194"/>
    <s v="No"/>
    <x v="0"/>
    <x v="1"/>
    <x v="1"/>
    <x v="0"/>
    <x v="0"/>
    <x v="1"/>
    <n v="10"/>
    <s v="Dec"/>
    <n v="2003"/>
    <d v="2003-12-10T00:00:00"/>
    <n v="2221.56"/>
    <s v="tier - 2"/>
    <s v="tier - 3"/>
    <s v="R1012"/>
    <n v="23"/>
    <n v="34.799999999999997"/>
  </r>
  <r>
    <x v="233"/>
    <s v="Polen,"/>
    <n v="31.68"/>
    <x v="171"/>
    <s v="No"/>
    <x v="0"/>
    <x v="0"/>
    <x v="0"/>
    <x v="0"/>
    <x v="0"/>
    <x v="2"/>
    <n v="30"/>
    <s v="Jun"/>
    <n v="2000"/>
    <d v="2000-06-30T00:00:00"/>
    <n v="2250.84"/>
    <s v="tier - 2"/>
    <s v="tier - 2"/>
    <s v="R1018"/>
    <n v="26"/>
    <n v="31.68"/>
  </r>
  <r>
    <x v="234"/>
    <s v="Lynch,"/>
    <n v="33.534999999999997"/>
    <x v="195"/>
    <s v="No"/>
    <x v="1"/>
    <x v="0"/>
    <x v="1"/>
    <x v="0"/>
    <x v="0"/>
    <x v="1"/>
    <n v="11"/>
    <s v="Dec"/>
    <n v="2000"/>
    <d v="2000-12-11T00:00:00"/>
    <n v="2254.8000000000002"/>
    <s v="tier - 2"/>
    <s v="tier - 3"/>
    <s v="R1016"/>
    <n v="26"/>
    <n v="33.534999999999997"/>
  </r>
  <r>
    <x v="235"/>
    <s v="Hufstader,"/>
    <n v="31.92"/>
    <x v="196"/>
    <s v="Yes"/>
    <x v="0"/>
    <x v="0"/>
    <x v="0"/>
    <x v="0"/>
    <x v="0"/>
    <x v="2"/>
    <n v="15"/>
    <s v="Jul"/>
    <n v="2002"/>
    <d v="2002-07-15T00:00:00"/>
    <n v="2257.48"/>
    <s v="tier - 2"/>
    <s v="tier - 1"/>
    <s v="R1012"/>
    <n v="24"/>
    <n v="31.92"/>
  </r>
  <r>
    <x v="236"/>
    <s v="Doak,"/>
    <n v="32.700000000000003"/>
    <x v="197"/>
    <s v="No"/>
    <x v="0"/>
    <x v="0"/>
    <x v="1"/>
    <x v="0"/>
    <x v="0"/>
    <x v="2"/>
    <n v="12"/>
    <s v="Nov"/>
    <n v="2002"/>
    <d v="2002-11-12T00:00:00"/>
    <n v="2261.5700000000002"/>
    <s v="tier - 2"/>
    <s v="tier - 1"/>
    <s v="R1012"/>
    <n v="24"/>
    <n v="32.700000000000003"/>
  </r>
  <r>
    <x v="237"/>
    <s v="Noya,"/>
    <n v="41.25"/>
    <x v="27"/>
    <s v="No"/>
    <x v="0"/>
    <x v="0"/>
    <x v="0"/>
    <x v="0"/>
    <x v="0"/>
    <x v="2"/>
    <n v="16"/>
    <s v="Jun"/>
    <n v="1991"/>
    <d v="1991-06-16T00:00:00"/>
    <n v="2277.7199999999998"/>
    <s v="tier - 2"/>
    <s v="tier - 1"/>
    <s v="R1013"/>
    <n v="35"/>
    <n v="41.25"/>
  </r>
  <r>
    <x v="238"/>
    <s v="Heninger,"/>
    <n v="33.11"/>
    <x v="198"/>
    <s v="No"/>
    <x v="0"/>
    <x v="1"/>
    <x v="1"/>
    <x v="0"/>
    <x v="0"/>
    <x v="2"/>
    <n v="5"/>
    <s v="Oct"/>
    <n v="1989"/>
    <d v="1989-10-05T00:00:00"/>
    <n v="2295.2399999999998"/>
    <s v="tier - 2"/>
    <s v="tier - 1"/>
    <s v="R1013"/>
    <n v="37"/>
    <n v="33.11"/>
  </r>
  <r>
    <x v="239"/>
    <s v="Richardson,"/>
    <n v="36.159999999999997"/>
    <x v="199"/>
    <s v="No"/>
    <x v="0"/>
    <x v="0"/>
    <x v="1"/>
    <x v="0"/>
    <x v="0"/>
    <x v="2"/>
    <n v="28"/>
    <s v="Nov"/>
    <n v="1996"/>
    <d v="1996-11-28T00:00:00"/>
    <n v="2302.3000000000002"/>
    <s v="tier - 1"/>
    <s v="tier - 2"/>
    <s v="R1011"/>
    <n v="30"/>
    <n v="36.159999999999997"/>
  </r>
  <r>
    <x v="240"/>
    <s v="Deucher,"/>
    <n v="33.72"/>
    <x v="200"/>
    <s v="Yes"/>
    <x v="0"/>
    <x v="1"/>
    <x v="1"/>
    <x v="0"/>
    <x v="0"/>
    <x v="1"/>
    <n v="6"/>
    <s v="Sep"/>
    <n v="2004"/>
    <d v="2004-09-06T00:00:00"/>
    <n v="2304"/>
    <s v="tier - 2"/>
    <s v="tier - 3"/>
    <s v="R1013"/>
    <n v="22"/>
    <n v="33.72"/>
  </r>
  <r>
    <x v="241"/>
    <s v="Wilson,"/>
    <n v="37.74"/>
    <x v="201"/>
    <s v="Yes"/>
    <x v="0"/>
    <x v="0"/>
    <x v="1"/>
    <x v="0"/>
    <x v="0"/>
    <x v="0"/>
    <n v="17"/>
    <s v="Dec"/>
    <n v="1996"/>
    <d v="1996-12-17T00:00:00"/>
    <n v="2322.62"/>
    <s v="tier - 2"/>
    <s v="tier - 1"/>
    <s v="R1013"/>
    <n v="30"/>
    <n v="37.74"/>
  </r>
  <r>
    <x v="242"/>
    <s v="Hall,"/>
    <n v="48.75"/>
    <x v="202"/>
    <s v="Yes"/>
    <x v="0"/>
    <x v="0"/>
    <x v="1"/>
    <x v="0"/>
    <x v="0"/>
    <x v="2"/>
    <n v="18"/>
    <s v="Nov"/>
    <n v="2003"/>
    <d v="2003-11-18T00:00:00"/>
    <n v="2331.52"/>
    <s v="tier - 2"/>
    <s v="tier - 3"/>
    <s v="R1011"/>
    <n v="23"/>
    <n v="48.75"/>
  </r>
  <r>
    <x v="243"/>
    <s v="Reed,"/>
    <n v="31.065000000000001"/>
    <x v="203"/>
    <s v="No"/>
    <x v="0"/>
    <x v="0"/>
    <x v="1"/>
    <x v="0"/>
    <x v="0"/>
    <x v="2"/>
    <n v="21"/>
    <s v="Oct"/>
    <n v="1998"/>
    <d v="1998-10-21T00:00:00"/>
    <n v="2352.9699999999998"/>
    <s v="tier - 3"/>
    <s v="tier - 3"/>
    <s v="R1012"/>
    <n v="28"/>
    <n v="31.065000000000001"/>
  </r>
  <r>
    <x v="244"/>
    <s v="Frome,"/>
    <n v="23.55"/>
    <x v="204"/>
    <s v="No"/>
    <x v="0"/>
    <x v="0"/>
    <x v="0"/>
    <x v="0"/>
    <x v="2"/>
    <x v="0"/>
    <n v="5"/>
    <s v="Nov"/>
    <n v="2002"/>
    <d v="2002-11-05T00:00:00"/>
    <n v="2362.23"/>
    <s v="tier - 2"/>
    <s v="tier - 1"/>
    <s v="R1012"/>
    <n v="24"/>
    <n v="23.55"/>
  </r>
  <r>
    <x v="245"/>
    <s v="Creasy,"/>
    <n v="30.18"/>
    <x v="205"/>
    <s v="Yes"/>
    <x v="0"/>
    <x v="0"/>
    <x v="1"/>
    <x v="0"/>
    <x v="0"/>
    <x v="0"/>
    <n v="12"/>
    <s v="Dec"/>
    <n v="1988"/>
    <d v="1988-12-12T00:00:00"/>
    <n v="2373.3000000000002"/>
    <s v="tier - 2"/>
    <s v="tier - 2"/>
    <s v="R1013"/>
    <n v="38"/>
    <n v="30.18"/>
  </r>
  <r>
    <x v="246"/>
    <s v="Latimer,"/>
    <n v="29.94"/>
    <x v="14"/>
    <s v="No"/>
    <x v="0"/>
    <x v="0"/>
    <x v="0"/>
    <x v="0"/>
    <x v="1"/>
    <x v="0"/>
    <n v="17"/>
    <s v="Dec"/>
    <n v="1999"/>
    <d v="1999-12-17T00:00:00"/>
    <n v="2395.17"/>
    <s v="tier - 2"/>
    <s v="tier - 1"/>
    <s v="R1014"/>
    <n v="27"/>
    <n v="29.94"/>
  </r>
  <r>
    <x v="247"/>
    <s v="Wei,"/>
    <n v="31.4"/>
    <x v="206"/>
    <s v="No"/>
    <x v="0"/>
    <x v="0"/>
    <x v="0"/>
    <x v="0"/>
    <x v="0"/>
    <x v="2"/>
    <n v="10"/>
    <s v="Aug"/>
    <n v="1999"/>
    <d v="1999-08-10T00:00:00"/>
    <n v="2396.1"/>
    <s v="tier - 2"/>
    <s v="tier - 1"/>
    <s v="R1019"/>
    <n v="27"/>
    <n v="31.4"/>
  </r>
  <r>
    <x v="248"/>
    <s v="Hayes,"/>
    <n v="53.06"/>
    <x v="41"/>
    <s v="No"/>
    <x v="0"/>
    <x v="0"/>
    <x v="0"/>
    <x v="0"/>
    <x v="0"/>
    <x v="0"/>
    <n v="3"/>
    <s v="Jun"/>
    <n v="2001"/>
    <d v="2001-06-03T00:00:00"/>
    <n v="2404.73"/>
    <s v="tier - 2"/>
    <s v="tier - 3"/>
    <s v="R1012"/>
    <n v="25"/>
    <n v="53.06"/>
  </r>
  <r>
    <x v="249"/>
    <s v="Velardo,"/>
    <n v="30.25"/>
    <x v="40"/>
    <s v="No"/>
    <x v="0"/>
    <x v="0"/>
    <x v="1"/>
    <x v="0"/>
    <x v="0"/>
    <x v="2"/>
    <n v="12"/>
    <s v="Nov"/>
    <n v="1999"/>
    <d v="1999-11-12T00:00:00"/>
    <n v="2416.96"/>
    <s v="tier - 2"/>
    <s v="tier - 2"/>
    <s v="R1011"/>
    <n v="27"/>
    <n v="30.25"/>
  </r>
  <r>
    <x v="250"/>
    <s v="Kastes,"/>
    <n v="46.68"/>
    <x v="138"/>
    <s v="No"/>
    <x v="0"/>
    <x v="0"/>
    <x v="0"/>
    <x v="0"/>
    <x v="0"/>
    <x v="2"/>
    <n v="21"/>
    <s v="Nov"/>
    <n v="1999"/>
    <d v="1999-11-21T00:00:00"/>
    <n v="2438.06"/>
    <s v="tier - 2"/>
    <s v="tier - 2"/>
    <s v="R1013"/>
    <n v="27"/>
    <n v="46.68"/>
  </r>
  <r>
    <x v="251"/>
    <s v="Escorcia,"/>
    <n v="30.4"/>
    <x v="119"/>
    <s v="No"/>
    <x v="1"/>
    <x v="0"/>
    <x v="1"/>
    <x v="0"/>
    <x v="0"/>
    <x v="1"/>
    <n v="29"/>
    <s v="Jul"/>
    <n v="2002"/>
    <d v="2002-07-29T00:00:00"/>
    <n v="2457.21"/>
    <s v="tier - 2"/>
    <s v="tier - 1"/>
    <s v="R1024"/>
    <n v="24"/>
    <n v="30.4"/>
  </r>
  <r>
    <x v="252"/>
    <s v="Larscheid,"/>
    <n v="30.2"/>
    <x v="47"/>
    <s v="Yes"/>
    <x v="0"/>
    <x v="1"/>
    <x v="1"/>
    <x v="0"/>
    <x v="0"/>
    <x v="2"/>
    <n v="19"/>
    <s v="Nov"/>
    <n v="1998"/>
    <d v="1998-11-19T00:00:00"/>
    <n v="2457.5"/>
    <s v="tier - 2"/>
    <s v="tier - 1"/>
    <s v="R1011"/>
    <n v="28"/>
    <n v="30.2"/>
  </r>
  <r>
    <x v="253"/>
    <s v="O'Bannon,"/>
    <n v="51.18"/>
    <x v="176"/>
    <s v="Yes"/>
    <x v="1"/>
    <x v="0"/>
    <x v="1"/>
    <x v="0"/>
    <x v="0"/>
    <x v="2"/>
    <n v="11"/>
    <s v="Jul"/>
    <n v="2002"/>
    <d v="2002-07-11T00:00:00"/>
    <n v="2459.7199999999998"/>
    <s v="tier - 2"/>
    <s v="tier - 2"/>
    <s v="R1024"/>
    <n v="24"/>
    <n v="51.18"/>
  </r>
  <r>
    <x v="254"/>
    <s v="Ridgway,"/>
    <n v="22.18"/>
    <x v="207"/>
    <s v="No"/>
    <x v="0"/>
    <x v="0"/>
    <x v="0"/>
    <x v="0"/>
    <x v="2"/>
    <x v="0"/>
    <n v="17"/>
    <s v="Aug"/>
    <n v="1998"/>
    <d v="1998-08-17T00:00:00"/>
    <n v="2464.62"/>
    <s v="tier - 2"/>
    <s v="tier - 3"/>
    <s v="R1013"/>
    <n v="28"/>
    <n v="22.18"/>
  </r>
  <r>
    <x v="255"/>
    <s v="Black,"/>
    <n v="31.92"/>
    <x v="78"/>
    <s v="No"/>
    <x v="0"/>
    <x v="1"/>
    <x v="1"/>
    <x v="0"/>
    <x v="0"/>
    <x v="2"/>
    <n v="2"/>
    <s v="Jul"/>
    <n v="1998"/>
    <d v="1998-07-02T00:00:00"/>
    <n v="2473.33"/>
    <s v="tier - 2"/>
    <s v="tier - 3"/>
    <s v="R1013"/>
    <n v="28"/>
    <n v="31.92"/>
  </r>
  <r>
    <x v="256"/>
    <s v="Canton,"/>
    <n v="31.73"/>
    <x v="208"/>
    <s v="No"/>
    <x v="1"/>
    <x v="0"/>
    <x v="1"/>
    <x v="0"/>
    <x v="0"/>
    <x v="1"/>
    <n v="20"/>
    <s v="Jun"/>
    <n v="1998"/>
    <d v="1998-06-20T00:00:00"/>
    <n v="2480.98"/>
    <s v="tier - 2"/>
    <s v="tier - 2"/>
    <s v="R1013"/>
    <n v="28"/>
    <n v="31.73"/>
  </r>
  <r>
    <x v="257"/>
    <s v="Fine,"/>
    <n v="45.52"/>
    <x v="60"/>
    <s v="No"/>
    <x v="0"/>
    <x v="1"/>
    <x v="1"/>
    <x v="0"/>
    <x v="0"/>
    <x v="1"/>
    <n v="6"/>
    <s v="Nov"/>
    <n v="1995"/>
    <d v="1995-11-06T00:00:00"/>
    <n v="2483.7399999999998"/>
    <s v="tier - 3"/>
    <s v="tier - 2"/>
    <s v="R1013"/>
    <n v="31"/>
    <n v="45.52"/>
  </r>
  <r>
    <x v="258"/>
    <s v="Bui,"/>
    <n v="52.81"/>
    <x v="27"/>
    <s v="No"/>
    <x v="0"/>
    <x v="1"/>
    <x v="1"/>
    <x v="0"/>
    <x v="0"/>
    <x v="2"/>
    <n v="14"/>
    <s v="Oct"/>
    <n v="1995"/>
    <d v="1995-10-14T00:00:00"/>
    <n v="2494.02"/>
    <s v="tier - 3"/>
    <s v="tier - 1"/>
    <s v="R1011"/>
    <n v="31"/>
    <n v="52.81"/>
  </r>
  <r>
    <x v="259"/>
    <s v="Riepma,"/>
    <n v="33.58"/>
    <x v="209"/>
    <s v="No"/>
    <x v="0"/>
    <x v="0"/>
    <x v="1"/>
    <x v="0"/>
    <x v="0"/>
    <x v="2"/>
    <n v="9"/>
    <s v="Jul"/>
    <n v="1995"/>
    <d v="1995-07-09T00:00:00"/>
    <n v="2497.04"/>
    <s v="tier - 3"/>
    <s v="tier - 3"/>
    <s v="R1013"/>
    <n v="31"/>
    <n v="33.58"/>
  </r>
  <r>
    <x v="260"/>
    <s v="Inman,"/>
    <n v="30.684999999999999"/>
    <x v="210"/>
    <s v="No"/>
    <x v="0"/>
    <x v="0"/>
    <x v="0"/>
    <x v="0"/>
    <x v="0"/>
    <x v="0"/>
    <n v="15"/>
    <s v="Oct"/>
    <n v="1995"/>
    <d v="1995-10-15T00:00:00"/>
    <n v="2498.41"/>
    <s v="tier - 3"/>
    <s v="tier - 3"/>
    <s v="R1013"/>
    <n v="31"/>
    <n v="30.684999999999999"/>
  </r>
  <r>
    <x v="261"/>
    <s v="Kruzel,"/>
    <n v="37.524999999999999"/>
    <x v="211"/>
    <s v="Yes"/>
    <x v="0"/>
    <x v="0"/>
    <x v="1"/>
    <x v="1"/>
    <x v="0"/>
    <x v="0"/>
    <n v="6"/>
    <s v="Sep"/>
    <n v="2004"/>
    <d v="2004-09-06T00:00:00"/>
    <n v="2500.9299999999998"/>
    <s v="tier - 2"/>
    <s v="tier - 2"/>
    <s v="R1012"/>
    <n v="22"/>
    <n v="37.524999999999999"/>
  </r>
  <r>
    <x v="262"/>
    <s v="Lindsay,"/>
    <n v="34.5"/>
    <x v="212"/>
    <s v="Yes"/>
    <x v="0"/>
    <x v="0"/>
    <x v="0"/>
    <x v="0"/>
    <x v="0"/>
    <x v="2"/>
    <n v="5"/>
    <s v="Aug"/>
    <n v="1991"/>
    <d v="1991-08-05T00:00:00"/>
    <n v="2510.79"/>
    <s v="tier - 2"/>
    <s v="tier - 1"/>
    <s v="R1013"/>
    <n v="35"/>
    <n v="34.5"/>
  </r>
  <r>
    <x v="263"/>
    <s v="Land,"/>
    <n v="28.16"/>
    <x v="1"/>
    <s v="No"/>
    <x v="0"/>
    <x v="0"/>
    <x v="1"/>
    <x v="0"/>
    <x v="1"/>
    <x v="1"/>
    <n v="2"/>
    <s v="Nov"/>
    <n v="1997"/>
    <d v="1997-11-02T00:00:00"/>
    <n v="2523.17"/>
    <s v="tier - 3"/>
    <s v="tier - 1"/>
    <s v="R1012"/>
    <n v="29"/>
    <n v="28.16"/>
  </r>
  <r>
    <x v="264"/>
    <s v="Brecher,"/>
    <n v="30.02"/>
    <x v="213"/>
    <s v="No"/>
    <x v="0"/>
    <x v="1"/>
    <x v="1"/>
    <x v="0"/>
    <x v="0"/>
    <x v="1"/>
    <n v="25"/>
    <s v="Aug"/>
    <n v="2000"/>
    <d v="2000-08-25T00:00:00"/>
    <n v="2527.8200000000002"/>
    <s v="tier - 2"/>
    <s v="tier - 3"/>
    <s v="R1012"/>
    <n v="26"/>
    <n v="30.02"/>
  </r>
  <r>
    <x v="265"/>
    <s v="Debolt,"/>
    <n v="37.82"/>
    <x v="214"/>
    <s v="No"/>
    <x v="0"/>
    <x v="0"/>
    <x v="0"/>
    <x v="0"/>
    <x v="0"/>
    <x v="1"/>
    <n v="28"/>
    <s v="Jul"/>
    <n v="1997"/>
    <d v="1997-07-28T00:00:00"/>
    <n v="2534.39"/>
    <s v="tier - 3"/>
    <s v="tier - 3"/>
    <s v="R1012"/>
    <n v="29"/>
    <n v="37.82"/>
  </r>
  <r>
    <x v="266"/>
    <s v="Oswalt,"/>
    <n v="33.14"/>
    <x v="215"/>
    <s v="Yes"/>
    <x v="0"/>
    <x v="0"/>
    <x v="0"/>
    <x v="0"/>
    <x v="0"/>
    <x v="2"/>
    <n v="1"/>
    <s v="Oct"/>
    <n v="1990"/>
    <d v="1990-10-01T00:00:00"/>
    <n v="2540.39"/>
    <s v="tier - 2"/>
    <s v="tier - 2"/>
    <s v="R1013"/>
    <n v="36"/>
    <n v="33.14"/>
  </r>
  <r>
    <x v="267"/>
    <s v="Boyd,"/>
    <n v="25.14"/>
    <x v="216"/>
    <s v="Yes"/>
    <x v="0"/>
    <x v="1"/>
    <x v="1"/>
    <x v="0"/>
    <x v="1"/>
    <x v="1"/>
    <n v="17"/>
    <s v="Nov"/>
    <n v="1991"/>
    <d v="1991-11-17T00:00:00"/>
    <n v="2545.6799999999998"/>
    <s v="tier - 2"/>
    <s v="tier - 1"/>
    <s v="R1013"/>
    <n v="35"/>
    <n v="25.14"/>
  </r>
  <r>
    <x v="268"/>
    <s v="Bulewich,"/>
    <n v="20.18"/>
    <x v="217"/>
    <s v="No"/>
    <x v="0"/>
    <x v="0"/>
    <x v="0"/>
    <x v="0"/>
    <x v="2"/>
    <x v="0"/>
    <n v="11"/>
    <s v="Oct"/>
    <n v="2002"/>
    <d v="2002-10-11T00:00:00"/>
    <n v="2566.4699999999998"/>
    <s v="tier - 2"/>
    <s v="tier - 3"/>
    <s v="R1013"/>
    <n v="24"/>
    <n v="20.18"/>
  </r>
  <r>
    <x v="269"/>
    <s v="Fukuda,"/>
    <n v="44.36"/>
    <x v="78"/>
    <s v="No"/>
    <x v="0"/>
    <x v="0"/>
    <x v="0"/>
    <x v="0"/>
    <x v="0"/>
    <x v="2"/>
    <n v="20"/>
    <s v="Jul"/>
    <n v="2002"/>
    <d v="2002-07-20T00:00:00"/>
    <n v="2585.04"/>
    <s v="tier - 2"/>
    <s v="tier - 2"/>
    <s v="R1021"/>
    <n v="24"/>
    <n v="44.36"/>
  </r>
  <r>
    <x v="270"/>
    <s v="Phillips,"/>
    <n v="23.82"/>
    <x v="218"/>
    <s v="Yes"/>
    <x v="0"/>
    <x v="0"/>
    <x v="0"/>
    <x v="0"/>
    <x v="2"/>
    <x v="0"/>
    <n v="15"/>
    <s v="Oct"/>
    <n v="2001"/>
    <d v="2001-10-15T00:00:00"/>
    <n v="2585.27"/>
    <s v="tier - 2"/>
    <s v="tier - 3"/>
    <s v="R1011"/>
    <n v="25"/>
    <n v="23.82"/>
  </r>
  <r>
    <x v="271"/>
    <s v="Maddison,"/>
    <n v="45"/>
    <x v="219"/>
    <s v="Yes"/>
    <x v="0"/>
    <x v="0"/>
    <x v="1"/>
    <x v="0"/>
    <x v="0"/>
    <x v="2"/>
    <n v="28"/>
    <s v="Jul"/>
    <n v="2001"/>
    <d v="2001-07-28T00:00:00"/>
    <n v="2585.85"/>
    <s v="tier - 2"/>
    <s v="tier - 2"/>
    <s v="R1024"/>
    <n v="25"/>
    <n v="45"/>
  </r>
  <r>
    <x v="272"/>
    <s v="Lockwood,"/>
    <n v="26.62"/>
    <x v="220"/>
    <s v="No"/>
    <x v="0"/>
    <x v="0"/>
    <x v="0"/>
    <x v="0"/>
    <x v="1"/>
    <x v="0"/>
    <n v="26"/>
    <s v="Aug"/>
    <n v="2001"/>
    <d v="2001-08-26T00:00:00"/>
    <n v="2597.7800000000002"/>
    <s v="tier - 2"/>
    <s v="tier - 1"/>
    <s v="R1011"/>
    <n v="25"/>
    <n v="26.62"/>
  </r>
  <r>
    <x v="273"/>
    <s v="Defilippi,"/>
    <n v="32.67"/>
    <x v="221"/>
    <s v="Yes"/>
    <x v="0"/>
    <x v="0"/>
    <x v="0"/>
    <x v="0"/>
    <x v="0"/>
    <x v="0"/>
    <n v="26"/>
    <s v="Aug"/>
    <n v="1997"/>
    <d v="1997-08-26T00:00:00"/>
    <n v="2632.99"/>
    <s v="tier - 2"/>
    <s v="tier - 1"/>
    <s v="R1011"/>
    <n v="29"/>
    <n v="32.67"/>
  </r>
  <r>
    <x v="274"/>
    <s v="Jackson,"/>
    <n v="44.44"/>
    <x v="166"/>
    <s v="Yes"/>
    <x v="0"/>
    <x v="0"/>
    <x v="1"/>
    <x v="0"/>
    <x v="0"/>
    <x v="2"/>
    <n v="24"/>
    <s v="Jun"/>
    <n v="2000"/>
    <d v="2000-06-24T00:00:00"/>
    <n v="2639.04"/>
    <s v="tier - 2"/>
    <s v="tier - 2"/>
    <s v="R1012"/>
    <n v="26"/>
    <n v="44.44"/>
  </r>
  <r>
    <x v="275"/>
    <s v="Ozahowski,"/>
    <n v="28.31"/>
    <x v="196"/>
    <s v="No"/>
    <x v="0"/>
    <x v="0"/>
    <x v="0"/>
    <x v="0"/>
    <x v="1"/>
    <x v="2"/>
    <n v="9"/>
    <s v="Dec"/>
    <n v="2000"/>
    <d v="2000-12-09T00:00:00"/>
    <n v="2643.27"/>
    <s v="tier - 2"/>
    <s v="tier - 1"/>
    <s v="R1012"/>
    <n v="26"/>
    <n v="28.31"/>
  </r>
  <r>
    <x v="276"/>
    <s v="Guthals,"/>
    <n v="25.05"/>
    <x v="152"/>
    <s v="No"/>
    <x v="0"/>
    <x v="0"/>
    <x v="1"/>
    <x v="0"/>
    <x v="1"/>
    <x v="2"/>
    <n v="5"/>
    <s v="Aug"/>
    <n v="1996"/>
    <d v="1996-08-05T00:00:00"/>
    <n v="2680.95"/>
    <s v="tier - 3"/>
    <s v="tier - 2"/>
    <s v="R1012"/>
    <n v="30"/>
    <n v="25.05"/>
  </r>
  <r>
    <x v="277"/>
    <s v="Yates,"/>
    <n v="28.34"/>
    <x v="222"/>
    <s v="No"/>
    <x v="0"/>
    <x v="0"/>
    <x v="0"/>
    <x v="0"/>
    <x v="1"/>
    <x v="0"/>
    <n v="17"/>
    <s v="Sep"/>
    <n v="1994"/>
    <d v="1994-09-17T00:00:00"/>
    <n v="2684.69"/>
    <s v="tier - 2"/>
    <s v="tier - 2"/>
    <s v="R1013"/>
    <n v="32"/>
    <n v="28.34"/>
  </r>
  <r>
    <x v="278"/>
    <s v="Samuelson,"/>
    <n v="17.765000000000001"/>
    <x v="133"/>
    <s v="No"/>
    <x v="0"/>
    <x v="0"/>
    <x v="0"/>
    <x v="0"/>
    <x v="3"/>
    <x v="2"/>
    <n v="2"/>
    <s v="Oct"/>
    <n v="1994"/>
    <d v="1994-10-02T00:00:00"/>
    <n v="2689.5"/>
    <s v="tier - 3"/>
    <s v="tier - 2"/>
    <s v="R1013"/>
    <n v="32"/>
    <n v="17.765000000000001"/>
  </r>
  <r>
    <x v="279"/>
    <s v="Lemos,"/>
    <n v="36.119999999999997"/>
    <x v="99"/>
    <s v="No"/>
    <x v="0"/>
    <x v="0"/>
    <x v="0"/>
    <x v="0"/>
    <x v="0"/>
    <x v="1"/>
    <n v="11"/>
    <s v="Jun"/>
    <n v="1999"/>
    <d v="1999-06-11T00:00:00"/>
    <n v="2690.11"/>
    <s v="tier - 2"/>
    <s v="tier - 2"/>
    <s v="R1012"/>
    <n v="27"/>
    <n v="36.119999999999997"/>
  </r>
  <r>
    <x v="280"/>
    <s v="Seynders,"/>
    <n v="23.19"/>
    <x v="223"/>
    <s v="No"/>
    <x v="0"/>
    <x v="0"/>
    <x v="0"/>
    <x v="0"/>
    <x v="2"/>
    <x v="0"/>
    <n v="13"/>
    <s v="Jun"/>
    <n v="1996"/>
    <d v="1996-06-13T00:00:00"/>
    <n v="2699.57"/>
    <s v="tier - 2"/>
    <s v="tier - 1"/>
    <s v="R1012"/>
    <n v="30"/>
    <n v="23.19"/>
  </r>
  <r>
    <x v="281"/>
    <s v="Saunders,"/>
    <n v="35.99"/>
    <x v="80"/>
    <s v="No"/>
    <x v="0"/>
    <x v="0"/>
    <x v="0"/>
    <x v="0"/>
    <x v="0"/>
    <x v="2"/>
    <n v="17"/>
    <s v="Jul"/>
    <n v="2003"/>
    <d v="2003-07-17T00:00:00"/>
    <n v="2709.11"/>
    <s v="tier - 2"/>
    <s v="tier - 2"/>
    <s v="R1012"/>
    <n v="23"/>
    <n v="35.99"/>
  </r>
  <r>
    <x v="282"/>
    <s v="Walker,"/>
    <n v="30.25"/>
    <x v="224"/>
    <s v="No"/>
    <x v="0"/>
    <x v="1"/>
    <x v="1"/>
    <x v="0"/>
    <x v="0"/>
    <x v="2"/>
    <n v="21"/>
    <s v="Nov"/>
    <n v="2003"/>
    <d v="2003-11-21T00:00:00"/>
    <n v="2709.24"/>
    <s v="tier - 2"/>
    <s v="tier - 2"/>
    <s v="R1012"/>
    <n v="23"/>
    <n v="30.25"/>
  </r>
  <r>
    <x v="283"/>
    <s v="Lam,"/>
    <n v="26.24"/>
    <x v="106"/>
    <s v="Yes"/>
    <x v="0"/>
    <x v="0"/>
    <x v="0"/>
    <x v="0"/>
    <x v="1"/>
    <x v="1"/>
    <n v="1"/>
    <s v="Dec"/>
    <n v="2003"/>
    <d v="2003-12-01T00:00:00"/>
    <n v="2710.83"/>
    <s v="tier - 2"/>
    <s v="tier - 3"/>
    <s v="R1012"/>
    <n v="23"/>
    <n v="26.24"/>
  </r>
  <r>
    <x v="284"/>
    <s v="Sweigart,"/>
    <n v="31.36"/>
    <x v="225"/>
    <s v="Yes"/>
    <x v="0"/>
    <x v="0"/>
    <x v="0"/>
    <x v="0"/>
    <x v="0"/>
    <x v="0"/>
    <n v="6"/>
    <s v="Aug"/>
    <n v="2003"/>
    <d v="2003-08-06T00:00:00"/>
    <n v="2719.28"/>
    <s v="tier - 2"/>
    <s v="tier - 2"/>
    <s v="R1012"/>
    <n v="23"/>
    <n v="31.36"/>
  </r>
  <r>
    <x v="285"/>
    <s v="Sieczkowski,"/>
    <n v="25.69"/>
    <x v="226"/>
    <s v="Yes"/>
    <x v="0"/>
    <x v="0"/>
    <x v="0"/>
    <x v="0"/>
    <x v="1"/>
    <x v="2"/>
    <n v="30"/>
    <s v="Oct"/>
    <n v="1997"/>
    <d v="1997-10-30T00:00:00"/>
    <n v="2721.32"/>
    <s v="tier - 1"/>
    <s v="tier - 3"/>
    <s v="R1014"/>
    <n v="29"/>
    <n v="25.69"/>
  </r>
  <r>
    <x v="286"/>
    <s v="Jurgens,"/>
    <n v="25.46"/>
    <x v="100"/>
    <s v="No"/>
    <x v="0"/>
    <x v="0"/>
    <x v="1"/>
    <x v="0"/>
    <x v="1"/>
    <x v="1"/>
    <n v="20"/>
    <s v="Aug"/>
    <n v="1988"/>
    <d v="1988-08-20T00:00:00"/>
    <n v="2726.06"/>
    <s v="tier - 2"/>
    <s v="tier - 2"/>
    <s v="R1013"/>
    <n v="38"/>
    <n v="25.46"/>
  </r>
  <r>
    <x v="287"/>
    <s v="Hackman,"/>
    <n v="31.83"/>
    <x v="227"/>
    <s v="Yes"/>
    <x v="0"/>
    <x v="0"/>
    <x v="1"/>
    <x v="0"/>
    <x v="0"/>
    <x v="0"/>
    <n v="6"/>
    <s v="Oct"/>
    <n v="1997"/>
    <d v="1997-10-06T00:00:00"/>
    <n v="2727.4"/>
    <s v="tier - 3"/>
    <s v="tier - 3"/>
    <s v="R1016"/>
    <n v="29"/>
    <n v="31.83"/>
  </r>
  <r>
    <x v="288"/>
    <s v="Klarich,"/>
    <n v="24.43"/>
    <x v="14"/>
    <s v="Yes"/>
    <x v="0"/>
    <x v="0"/>
    <x v="1"/>
    <x v="0"/>
    <x v="2"/>
    <x v="0"/>
    <n v="3"/>
    <s v="Dec"/>
    <n v="2003"/>
    <d v="2003-12-03T00:00:00"/>
    <n v="2730.11"/>
    <s v="tier - 2"/>
    <s v="tier - 3"/>
    <s v="R1012"/>
    <n v="23"/>
    <n v="24.43"/>
  </r>
  <r>
    <x v="289"/>
    <s v="Schulten,"/>
    <n v="41.9"/>
    <x v="228"/>
    <s v="No"/>
    <x v="0"/>
    <x v="0"/>
    <x v="0"/>
    <x v="0"/>
    <x v="0"/>
    <x v="2"/>
    <n v="17"/>
    <s v="Dec"/>
    <n v="2000"/>
    <d v="2000-12-17T00:00:00"/>
    <n v="2731.91"/>
    <s v="tier - 2"/>
    <s v="tier - 3"/>
    <s v="R1024"/>
    <n v="26"/>
    <n v="41.9"/>
  </r>
  <r>
    <x v="290"/>
    <s v="Fagerstrom,"/>
    <n v="22.88"/>
    <x v="229"/>
    <s v="Yes"/>
    <x v="0"/>
    <x v="1"/>
    <x v="1"/>
    <x v="0"/>
    <x v="2"/>
    <x v="1"/>
    <n v="3"/>
    <s v="Oct"/>
    <n v="2000"/>
    <d v="2000-10-03T00:00:00"/>
    <n v="2741.95"/>
    <s v="tier - 2"/>
    <s v="tier - 3"/>
    <s v="R1024"/>
    <n v="26"/>
    <n v="22.88"/>
  </r>
  <r>
    <x v="291"/>
    <s v="Bien,"/>
    <n v="29.734999999999999"/>
    <x v="230"/>
    <s v="No"/>
    <x v="0"/>
    <x v="0"/>
    <x v="0"/>
    <x v="1"/>
    <x v="1"/>
    <x v="0"/>
    <n v="11"/>
    <s v="Oct"/>
    <n v="2000"/>
    <d v="2000-10-11T00:00:00"/>
    <n v="2755.02"/>
    <s v="tier - 2"/>
    <s v="tier - 1"/>
    <s v="R1024"/>
    <n v="26"/>
    <n v="29.734999999999999"/>
  </r>
  <r>
    <x v="292"/>
    <s v="Hess,"/>
    <n v="40.74"/>
    <x v="124"/>
    <s v="No"/>
    <x v="0"/>
    <x v="1"/>
    <x v="1"/>
    <x v="0"/>
    <x v="0"/>
    <x v="2"/>
    <n v="10"/>
    <s v="Aug"/>
    <n v="1997"/>
    <d v="1997-08-10T00:00:00"/>
    <n v="2758.99"/>
    <s v="tier - 2"/>
    <s v="tier - 1"/>
    <s v="R1012"/>
    <n v="29"/>
    <n v="40.74"/>
  </r>
  <r>
    <x v="293"/>
    <s v="Shaw,"/>
    <n v="24.14"/>
    <x v="231"/>
    <s v="No"/>
    <x v="0"/>
    <x v="0"/>
    <x v="1"/>
    <x v="0"/>
    <x v="2"/>
    <x v="1"/>
    <n v="14"/>
    <s v="Nov"/>
    <n v="2004"/>
    <d v="2004-11-14T00:00:00"/>
    <n v="2773.46"/>
    <s v="tier - 2"/>
    <s v="tier - 1"/>
    <s v="R1021"/>
    <n v="22"/>
    <n v="24.14"/>
  </r>
  <r>
    <x v="294"/>
    <s v="Williams,"/>
    <n v="25.15"/>
    <x v="232"/>
    <s v="Yes"/>
    <x v="0"/>
    <x v="0"/>
    <x v="1"/>
    <x v="0"/>
    <x v="1"/>
    <x v="0"/>
    <n v="9"/>
    <s v="Jun"/>
    <n v="1999"/>
    <d v="1999-06-09T00:00:00"/>
    <n v="2775.19"/>
    <s v="tier - 2"/>
    <s v="tier - 1"/>
    <s v="R1012"/>
    <n v="27"/>
    <n v="25.15"/>
  </r>
  <r>
    <x v="295"/>
    <s v="Menzies,"/>
    <n v="28.71"/>
    <x v="112"/>
    <s v="No"/>
    <x v="0"/>
    <x v="0"/>
    <x v="1"/>
    <x v="0"/>
    <x v="1"/>
    <x v="2"/>
    <n v="29"/>
    <s v="Aug"/>
    <n v="1999"/>
    <d v="1999-08-29T00:00:00"/>
    <n v="2775.19"/>
    <s v="tier - 2"/>
    <s v="tier - 1"/>
    <s v="R1012"/>
    <n v="27"/>
    <n v="28.71"/>
  </r>
  <r>
    <x v="296"/>
    <s v="Buehler,"/>
    <n v="23"/>
    <x v="233"/>
    <s v="No"/>
    <x v="0"/>
    <x v="0"/>
    <x v="0"/>
    <x v="0"/>
    <x v="2"/>
    <x v="2"/>
    <n v="24"/>
    <s v="Dec"/>
    <n v="1999"/>
    <d v="1999-12-24T00:00:00"/>
    <n v="2789.06"/>
    <s v="tier - 2"/>
    <s v="tier - 3"/>
    <s v="R1012"/>
    <n v="27"/>
    <n v="23"/>
  </r>
  <r>
    <x v="297"/>
    <s v="Degen,"/>
    <n v="36.86"/>
    <x v="54"/>
    <s v="No"/>
    <x v="0"/>
    <x v="0"/>
    <x v="0"/>
    <x v="1"/>
    <x v="0"/>
    <x v="0"/>
    <n v="4"/>
    <s v="Aug"/>
    <n v="2004"/>
    <d v="2004-08-04T00:00:00"/>
    <n v="2801.26"/>
    <s v="tier - 2"/>
    <s v="tier - 3"/>
    <s v="R1013"/>
    <n v="22"/>
    <n v="36.86"/>
  </r>
  <r>
    <x v="298"/>
    <s v="Arsenault,"/>
    <n v="24.25"/>
    <x v="234"/>
    <s v="Yes"/>
    <x v="0"/>
    <x v="0"/>
    <x v="1"/>
    <x v="0"/>
    <x v="2"/>
    <x v="0"/>
    <n v="23"/>
    <s v="Sep"/>
    <n v="2003"/>
    <d v="2003-09-23T00:00:00"/>
    <n v="2803.7"/>
    <s v="tier - 2"/>
    <s v="tier - 1"/>
    <s v="R1012"/>
    <n v="23"/>
    <n v="24.25"/>
  </r>
  <r>
    <x v="299"/>
    <s v="Hoff,"/>
    <n v="23.85"/>
    <x v="235"/>
    <s v="No"/>
    <x v="0"/>
    <x v="0"/>
    <x v="0"/>
    <x v="0"/>
    <x v="2"/>
    <x v="0"/>
    <n v="1"/>
    <s v="Oct"/>
    <n v="2000"/>
    <d v="2000-10-01T00:00:00"/>
    <n v="2819.51"/>
    <s v="tier - 2"/>
    <s v="tier - 3"/>
    <s v="R1011"/>
    <n v="26"/>
    <n v="23.85"/>
  </r>
  <r>
    <x v="300"/>
    <s v="Hall,"/>
    <n v="40.020000000000003"/>
    <x v="27"/>
    <s v="Yes"/>
    <x v="0"/>
    <x v="0"/>
    <x v="1"/>
    <x v="0"/>
    <x v="0"/>
    <x v="2"/>
    <n v="15"/>
    <s v="Nov"/>
    <n v="1998"/>
    <d v="1998-11-15T00:00:00"/>
    <n v="2842.76"/>
    <s v="tier - 2"/>
    <s v="tier - 3"/>
    <s v="R1012"/>
    <n v="28"/>
    <n v="40.020000000000003"/>
  </r>
  <r>
    <x v="301"/>
    <s v="Ashley,"/>
    <n v="19.170000000000002"/>
    <x v="12"/>
    <s v="No"/>
    <x v="0"/>
    <x v="0"/>
    <x v="0"/>
    <x v="0"/>
    <x v="2"/>
    <x v="0"/>
    <n v="17"/>
    <s v="Jun"/>
    <n v="1998"/>
    <d v="1998-06-17T00:00:00"/>
    <n v="2850.68"/>
    <s v="tier - 2"/>
    <s v="tier - 3"/>
    <s v="R1012"/>
    <n v="28"/>
    <n v="19.170000000000002"/>
  </r>
  <r>
    <x v="302"/>
    <s v="Rindahl,"/>
    <n v="43.53"/>
    <x v="236"/>
    <s v="Yes"/>
    <x v="1"/>
    <x v="0"/>
    <x v="1"/>
    <x v="0"/>
    <x v="0"/>
    <x v="1"/>
    <n v="4"/>
    <s v="Sep"/>
    <n v="1998"/>
    <d v="1998-09-04T00:00:00"/>
    <n v="2855.44"/>
    <s v="tier - 2"/>
    <s v="tier - 3"/>
    <s v="R1012"/>
    <n v="28"/>
    <n v="43.53"/>
  </r>
  <r>
    <x v="303"/>
    <s v="Clark,"/>
    <n v="46.06"/>
    <x v="237"/>
    <s v="No"/>
    <x v="1"/>
    <x v="0"/>
    <x v="1"/>
    <x v="0"/>
    <x v="0"/>
    <x v="2"/>
    <n v="1"/>
    <s v="Nov"/>
    <n v="1993"/>
    <d v="1993-11-01T00:00:00"/>
    <n v="2866.09"/>
    <s v="tier - 3"/>
    <s v="tier - 3"/>
    <s v="R1011"/>
    <n v="33"/>
    <n v="46.06"/>
  </r>
  <r>
    <x v="304"/>
    <s v="Irish,"/>
    <n v="29.92"/>
    <x v="238"/>
    <s v="Yes"/>
    <x v="0"/>
    <x v="0"/>
    <x v="1"/>
    <x v="0"/>
    <x v="1"/>
    <x v="0"/>
    <n v="12"/>
    <s v="Aug"/>
    <n v="1993"/>
    <d v="1993-08-12T00:00:00"/>
    <n v="2867.12"/>
    <s v="tier - 1"/>
    <s v="tier - 3"/>
    <s v="R1013"/>
    <n v="33"/>
    <n v="29.92"/>
  </r>
  <r>
    <x v="305"/>
    <s v="Richardson,"/>
    <n v="28.46"/>
    <x v="239"/>
    <s v="Yes"/>
    <x v="0"/>
    <x v="0"/>
    <x v="1"/>
    <x v="0"/>
    <x v="1"/>
    <x v="2"/>
    <n v="21"/>
    <s v="Jun"/>
    <n v="1996"/>
    <d v="1996-06-21T00:00:00"/>
    <n v="2897.32"/>
    <s v="tier - 3"/>
    <s v="tier - 3"/>
    <s v="R1016"/>
    <n v="30"/>
    <n v="28.46"/>
  </r>
  <r>
    <x v="306"/>
    <s v="Dewitt,"/>
    <n v="24.56"/>
    <x v="194"/>
    <s v="Yes"/>
    <x v="0"/>
    <x v="1"/>
    <x v="1"/>
    <x v="0"/>
    <x v="2"/>
    <x v="1"/>
    <n v="14"/>
    <s v="Jul"/>
    <n v="2000"/>
    <d v="2000-07-14T00:00:00"/>
    <n v="2897.46"/>
    <s v="tier - 2"/>
    <s v="tier - 1"/>
    <s v="R1012"/>
    <n v="26"/>
    <n v="24.56"/>
  </r>
  <r>
    <x v="307"/>
    <s v="Hickman,"/>
    <n v="41.19"/>
    <x v="240"/>
    <s v="No"/>
    <x v="0"/>
    <x v="0"/>
    <x v="0"/>
    <x v="0"/>
    <x v="0"/>
    <x v="1"/>
    <n v="1"/>
    <s v="Nov"/>
    <n v="1999"/>
    <d v="1999-11-01T00:00:00"/>
    <n v="2899.49"/>
    <s v="tier - 2"/>
    <s v="tier - 2"/>
    <s v="R1024"/>
    <n v="27"/>
    <n v="41.19"/>
  </r>
  <r>
    <x v="308"/>
    <s v="Gonzalez,"/>
    <n v="18.63"/>
    <x v="241"/>
    <s v="Yes"/>
    <x v="0"/>
    <x v="0"/>
    <x v="1"/>
    <x v="0"/>
    <x v="2"/>
    <x v="0"/>
    <n v="24"/>
    <s v="Oct"/>
    <n v="1996"/>
    <d v="1996-10-24T00:00:00"/>
    <n v="2902.91"/>
    <s v="tier - 2"/>
    <s v="tier - 2"/>
    <s v="R1013"/>
    <n v="30"/>
    <n v="18.63"/>
  </r>
  <r>
    <x v="309"/>
    <s v="Difani,"/>
    <n v="26.26"/>
    <x v="242"/>
    <s v="Yes"/>
    <x v="0"/>
    <x v="0"/>
    <x v="1"/>
    <x v="0"/>
    <x v="1"/>
    <x v="0"/>
    <n v="13"/>
    <s v="Jun"/>
    <n v="1996"/>
    <d v="1996-06-13T00:00:00"/>
    <n v="2904.09"/>
    <s v="tier - 2"/>
    <s v="tier - 2"/>
    <s v="R1011"/>
    <n v="30"/>
    <n v="26.26"/>
  </r>
  <r>
    <x v="310"/>
    <s v="Turner,"/>
    <n v="22.37"/>
    <x v="236"/>
    <s v="Yes"/>
    <x v="0"/>
    <x v="1"/>
    <x v="1"/>
    <x v="0"/>
    <x v="2"/>
    <x v="1"/>
    <n v="5"/>
    <s v="Jun"/>
    <n v="2003"/>
    <d v="2003-06-05T00:00:00"/>
    <n v="2913.57"/>
    <s v="tier - 2"/>
    <s v="tier - 2"/>
    <s v="R1011"/>
    <n v="23"/>
    <n v="22.37"/>
  </r>
  <r>
    <x v="311"/>
    <s v="Widmann,"/>
    <n v="39.619999999999997"/>
    <x v="141"/>
    <s v="No"/>
    <x v="0"/>
    <x v="0"/>
    <x v="1"/>
    <x v="0"/>
    <x v="0"/>
    <x v="2"/>
    <n v="30"/>
    <s v="Jun"/>
    <n v="1996"/>
    <d v="1996-06-30T00:00:00"/>
    <n v="2927.06"/>
    <s v="tier - 2"/>
    <s v="tier - 2"/>
    <s v="R1013"/>
    <n v="30"/>
    <n v="39.619999999999997"/>
  </r>
  <r>
    <x v="312"/>
    <s v="Tunney,"/>
    <n v="18.329999999999998"/>
    <x v="243"/>
    <s v="Yes"/>
    <x v="0"/>
    <x v="0"/>
    <x v="0"/>
    <x v="0"/>
    <x v="3"/>
    <x v="2"/>
    <n v="30"/>
    <s v="Sep"/>
    <n v="2002"/>
    <d v="2002-09-30T00:00:00"/>
    <n v="2943.41"/>
    <s v="tier - 2"/>
    <s v="tier - 3"/>
    <s v="R1012"/>
    <n v="24"/>
    <n v="18.329999999999998"/>
  </r>
  <r>
    <x v="313"/>
    <s v="San"/>
    <n v="17.11"/>
    <x v="244"/>
    <s v="Yes"/>
    <x v="0"/>
    <x v="1"/>
    <x v="1"/>
    <x v="0"/>
    <x v="3"/>
    <x v="2"/>
    <n v="24"/>
    <s v="Sep"/>
    <n v="1995"/>
    <d v="1995-09-24T00:00:00"/>
    <n v="2974.13"/>
    <s v="tier - 2"/>
    <s v="tier - 1"/>
    <s v="R1011"/>
    <n v="31"/>
    <n v="17.11"/>
  </r>
  <r>
    <x v="314"/>
    <s v="Croll,"/>
    <n v="43.5"/>
    <x v="245"/>
    <s v="No"/>
    <x v="1"/>
    <x v="0"/>
    <x v="1"/>
    <x v="0"/>
    <x v="0"/>
    <x v="1"/>
    <n v="18"/>
    <s v="Jun"/>
    <n v="1987"/>
    <d v="1987-06-18T00:00:00"/>
    <n v="2979.52"/>
    <s v="tier - 2"/>
    <s v="tier - 3"/>
    <s v="R1013"/>
    <n v="39"/>
    <n v="43.5"/>
  </r>
  <r>
    <x v="315"/>
    <s v="Rolfes,"/>
    <n v="25.364999999999998"/>
    <x v="27"/>
    <s v="No"/>
    <x v="0"/>
    <x v="0"/>
    <x v="1"/>
    <x v="1"/>
    <x v="1"/>
    <x v="2"/>
    <n v="20"/>
    <s v="Nov"/>
    <n v="1991"/>
    <d v="1991-11-20T00:00:00"/>
    <n v="2985.67"/>
    <s v="tier - 2"/>
    <s v="tier - 2"/>
    <s v="R1013"/>
    <n v="35"/>
    <n v="25.364999999999998"/>
  </r>
  <r>
    <x v="316"/>
    <s v="Hinkle,"/>
    <n v="28.594999999999999"/>
    <x v="246"/>
    <s v="No"/>
    <x v="0"/>
    <x v="0"/>
    <x v="0"/>
    <x v="1"/>
    <x v="1"/>
    <x v="0"/>
    <n v="15"/>
    <s v="Dec"/>
    <n v="2002"/>
    <d v="2002-12-15T00:00:00"/>
    <n v="3012.22"/>
    <s v="tier - 2"/>
    <s v="tier - 3"/>
    <s v="R1012"/>
    <n v="24"/>
    <n v="28.594999999999999"/>
  </r>
  <r>
    <x v="317"/>
    <s v="Leuchanka,"/>
    <n v="29.83"/>
    <x v="247"/>
    <s v="Yes"/>
    <x v="0"/>
    <x v="1"/>
    <x v="1"/>
    <x v="0"/>
    <x v="1"/>
    <x v="0"/>
    <n v="28"/>
    <s v="Sep"/>
    <n v="1988"/>
    <d v="1988-09-28T00:00:00"/>
    <n v="3018.04"/>
    <s v="tier - 2"/>
    <s v="tier - 2"/>
    <s v="R1012"/>
    <n v="38"/>
    <n v="29.83"/>
  </r>
  <r>
    <x v="318"/>
    <s v="Ayr,"/>
    <n v="24.7"/>
    <x v="248"/>
    <s v="No"/>
    <x v="0"/>
    <x v="0"/>
    <x v="1"/>
    <x v="1"/>
    <x v="2"/>
    <x v="0"/>
    <n v="19"/>
    <s v="Dec"/>
    <n v="1997"/>
    <d v="1997-12-19T00:00:00"/>
    <n v="3021.81"/>
    <s v="tier - 2"/>
    <s v="tier - 3"/>
    <s v="R1012"/>
    <n v="29"/>
    <n v="24.7"/>
  </r>
  <r>
    <x v="319"/>
    <s v="Siegel,"/>
    <n v="17.940000000000001"/>
    <x v="68"/>
    <s v="No"/>
    <x v="0"/>
    <x v="0"/>
    <x v="0"/>
    <x v="0"/>
    <x v="3"/>
    <x v="0"/>
    <n v="15"/>
    <s v="Sep"/>
    <n v="1998"/>
    <d v="1998-09-15T00:00:00"/>
    <n v="3044.21"/>
    <s v="tier - 2"/>
    <s v="tier - 3"/>
    <s v="R1024"/>
    <n v="28"/>
    <n v="17.940000000000001"/>
  </r>
  <r>
    <x v="320"/>
    <s v="Penrose,"/>
    <n v="21.08"/>
    <x v="249"/>
    <s v="No"/>
    <x v="0"/>
    <x v="1"/>
    <x v="1"/>
    <x v="0"/>
    <x v="2"/>
    <x v="2"/>
    <n v="9"/>
    <s v="Aug"/>
    <n v="1998"/>
    <d v="1998-08-09T00:00:00"/>
    <n v="3046.06"/>
    <s v="tier - 2"/>
    <s v="tier - 1"/>
    <s v="R1023"/>
    <n v="28"/>
    <n v="21.08"/>
  </r>
  <r>
    <x v="321"/>
    <s v="Schuler,"/>
    <n v="37.715000000000003"/>
    <x v="250"/>
    <s v="Yes"/>
    <x v="0"/>
    <x v="0"/>
    <x v="0"/>
    <x v="1"/>
    <x v="0"/>
    <x v="0"/>
    <n v="22"/>
    <s v="Dec"/>
    <n v="1997"/>
    <d v="1997-12-22T00:00:00"/>
    <n v="3051.73"/>
    <s v="tier - 2"/>
    <s v="tier - 2"/>
    <s v="R1011"/>
    <n v="29"/>
    <n v="37.715000000000003"/>
  </r>
  <r>
    <x v="322"/>
    <s v="Walker,"/>
    <n v="22.39"/>
    <x v="201"/>
    <s v="Yes"/>
    <x v="0"/>
    <x v="0"/>
    <x v="0"/>
    <x v="0"/>
    <x v="2"/>
    <x v="0"/>
    <n v="21"/>
    <s v="Jun"/>
    <n v="2002"/>
    <d v="2002-06-21T00:00:00"/>
    <n v="3056.39"/>
    <s v="tier - 2"/>
    <s v="tier - 3"/>
    <s v="R1013"/>
    <n v="24"/>
    <n v="22.39"/>
  </r>
  <r>
    <x v="323"/>
    <s v="Stange,"/>
    <n v="28.78"/>
    <x v="251"/>
    <s v="No"/>
    <x v="0"/>
    <x v="0"/>
    <x v="0"/>
    <x v="0"/>
    <x v="1"/>
    <x v="2"/>
    <n v="26"/>
    <s v="Sep"/>
    <n v="1994"/>
    <d v="1994-09-26T00:00:00"/>
    <n v="3062.51"/>
    <s v="tier - 3"/>
    <s v="tier - 1"/>
    <s v="R1012"/>
    <n v="32"/>
    <n v="28.78"/>
  </r>
  <r>
    <x v="324"/>
    <s v="Roy,"/>
    <n v="18.329999999999998"/>
    <x v="252"/>
    <s v="Yes"/>
    <x v="0"/>
    <x v="0"/>
    <x v="0"/>
    <x v="0"/>
    <x v="3"/>
    <x v="2"/>
    <n v="1"/>
    <s v="Oct"/>
    <n v="1989"/>
    <d v="1989-10-01T00:00:00"/>
    <n v="3065.49"/>
    <s v="tier - 2"/>
    <s v="tier - 1"/>
    <s v="R1012"/>
    <n v="37"/>
    <n v="18.329999999999998"/>
  </r>
  <r>
    <x v="325"/>
    <s v="Potere,"/>
    <n v="26.39"/>
    <x v="253"/>
    <s v="Yes"/>
    <x v="0"/>
    <x v="0"/>
    <x v="1"/>
    <x v="0"/>
    <x v="1"/>
    <x v="2"/>
    <n v="10"/>
    <s v="Sep"/>
    <n v="1995"/>
    <d v="1995-09-10T00:00:00"/>
    <n v="3070.81"/>
    <s v="tier - 3"/>
    <s v="tier - 1"/>
    <s v="R1017"/>
    <n v="31"/>
    <n v="26.39"/>
  </r>
  <r>
    <x v="326"/>
    <s v="Podgurski,"/>
    <n v="19.260000000000002"/>
    <x v="254"/>
    <s v="Yes"/>
    <x v="0"/>
    <x v="0"/>
    <x v="1"/>
    <x v="0"/>
    <x v="2"/>
    <x v="0"/>
    <n v="13"/>
    <s v="Oct"/>
    <n v="2001"/>
    <d v="2001-10-13T00:00:00"/>
    <n v="3077.1"/>
    <s v="tier - 2"/>
    <s v="tier - 1"/>
    <s v="R1012"/>
    <n v="25"/>
    <n v="19.260000000000002"/>
  </r>
  <r>
    <x v="327"/>
    <s v="Diamond,"/>
    <n v="26.92"/>
    <x v="34"/>
    <s v="No"/>
    <x v="0"/>
    <x v="0"/>
    <x v="0"/>
    <x v="0"/>
    <x v="1"/>
    <x v="1"/>
    <n v="1"/>
    <s v="Aug"/>
    <n v="1987"/>
    <d v="1987-08-01T00:00:00"/>
    <n v="3088.06"/>
    <s v="tier - 2"/>
    <s v="tier - 2"/>
    <s v="R1013"/>
    <n v="39"/>
    <n v="26.92"/>
  </r>
  <r>
    <x v="328"/>
    <s v="Sallade,"/>
    <n v="19.73"/>
    <x v="67"/>
    <s v="No"/>
    <x v="0"/>
    <x v="0"/>
    <x v="0"/>
    <x v="0"/>
    <x v="2"/>
    <x v="2"/>
    <n v="25"/>
    <s v="Jun"/>
    <n v="1999"/>
    <d v="1999-06-25T00:00:00"/>
    <n v="3128.35"/>
    <s v="tier - 2"/>
    <s v="tier - 3"/>
    <s v="R1021"/>
    <n v="27"/>
    <n v="19.73"/>
  </r>
  <r>
    <x v="329"/>
    <s v="Zhang,"/>
    <n v="23.56"/>
    <x v="255"/>
    <s v="Yes"/>
    <x v="0"/>
    <x v="0"/>
    <x v="0"/>
    <x v="0"/>
    <x v="2"/>
    <x v="0"/>
    <n v="10"/>
    <s v="Jul"/>
    <n v="1994"/>
    <d v="1994-07-10T00:00:00"/>
    <n v="3161.45"/>
    <s v="tier - 2"/>
    <s v="tier - 1"/>
    <s v="R1011"/>
    <n v="32"/>
    <n v="23.56"/>
  </r>
  <r>
    <x v="330"/>
    <s v="Chatfield,"/>
    <n v="37.67"/>
    <x v="256"/>
    <s v="No"/>
    <x v="0"/>
    <x v="0"/>
    <x v="1"/>
    <x v="0"/>
    <x v="0"/>
    <x v="1"/>
    <n v="25"/>
    <s v="Sep"/>
    <n v="1993"/>
    <d v="1993-09-25T00:00:00"/>
    <n v="3162.02"/>
    <s v="tier - 2"/>
    <s v="tier - 3"/>
    <s v="R1013"/>
    <n v="33"/>
    <n v="37.67"/>
  </r>
  <r>
    <x v="331"/>
    <s v="Bruns,"/>
    <n v="18.73"/>
    <x v="257"/>
    <s v="No"/>
    <x v="0"/>
    <x v="0"/>
    <x v="1"/>
    <x v="0"/>
    <x v="2"/>
    <x v="0"/>
    <n v="29"/>
    <s v="Aug"/>
    <n v="2001"/>
    <d v="2001-08-29T00:00:00"/>
    <n v="3167.46"/>
    <s v="tier - 2"/>
    <s v="tier - 3"/>
    <s v="R1024"/>
    <n v="25"/>
    <n v="18.73"/>
  </r>
  <r>
    <x v="332"/>
    <s v="Yochum,"/>
    <n v="33.090000000000003"/>
    <x v="87"/>
    <s v="No"/>
    <x v="0"/>
    <x v="1"/>
    <x v="1"/>
    <x v="0"/>
    <x v="0"/>
    <x v="1"/>
    <n v="25"/>
    <s v="Oct"/>
    <n v="1994"/>
    <d v="1994-10-25T00:00:00"/>
    <n v="3171.61"/>
    <s v="tier - 2"/>
    <s v="tier - 3"/>
    <s v="R1013"/>
    <n v="32"/>
    <n v="33.090000000000003"/>
  </r>
  <r>
    <x v="333"/>
    <s v="Freeburn,"/>
    <n v="18.329999999999998"/>
    <x v="258"/>
    <s v="Yes"/>
    <x v="0"/>
    <x v="0"/>
    <x v="1"/>
    <x v="0"/>
    <x v="3"/>
    <x v="0"/>
    <n v="6"/>
    <s v="Jul"/>
    <n v="1994"/>
    <d v="1994-07-06T00:00:00"/>
    <n v="3172.02"/>
    <s v="tier - 2"/>
    <s v="tier - 1"/>
    <s v="R1011"/>
    <n v="32"/>
    <n v="18.329999999999998"/>
  </r>
  <r>
    <x v="334"/>
    <s v="Spencer,"/>
    <n v="27.74"/>
    <x v="82"/>
    <s v="Yes"/>
    <x v="0"/>
    <x v="0"/>
    <x v="1"/>
    <x v="0"/>
    <x v="1"/>
    <x v="2"/>
    <n v="14"/>
    <s v="Aug"/>
    <n v="1996"/>
    <d v="1996-08-14T00:00:00"/>
    <n v="3176.29"/>
    <s v="tier - 2"/>
    <s v="tier - 2"/>
    <s v="R1012"/>
    <n v="30"/>
    <n v="27.74"/>
  </r>
  <r>
    <x v="335"/>
    <s v="Jarosik,"/>
    <n v="24.2"/>
    <x v="259"/>
    <s v="No"/>
    <x v="0"/>
    <x v="0"/>
    <x v="1"/>
    <x v="0"/>
    <x v="2"/>
    <x v="1"/>
    <n v="3"/>
    <s v="Jul"/>
    <n v="1996"/>
    <d v="1996-07-03T00:00:00"/>
    <n v="3176.82"/>
    <s v="tier - 2"/>
    <s v="tier - 1"/>
    <s v="R1012"/>
    <n v="30"/>
    <n v="24.2"/>
  </r>
  <r>
    <x v="336"/>
    <s v="Heinzen,"/>
    <n v="22.03"/>
    <x v="141"/>
    <s v="Yes"/>
    <x v="0"/>
    <x v="0"/>
    <x v="0"/>
    <x v="0"/>
    <x v="2"/>
    <x v="2"/>
    <n v="23"/>
    <s v="Sep"/>
    <n v="2000"/>
    <d v="2000-09-23T00:00:00"/>
    <n v="3179.96"/>
    <s v="tier - 2"/>
    <s v="tier - 2"/>
    <s v="R1012"/>
    <n v="26"/>
    <n v="22.03"/>
  </r>
  <r>
    <x v="337"/>
    <s v="Kelley,"/>
    <n v="26.885000000000002"/>
    <x v="260"/>
    <s v="No"/>
    <x v="0"/>
    <x v="0"/>
    <x v="1"/>
    <x v="0"/>
    <x v="1"/>
    <x v="0"/>
    <n v="2"/>
    <s v="Sep"/>
    <n v="2001"/>
    <d v="2001-09-02T00:00:00"/>
    <n v="3180.51"/>
    <s v="tier - 2"/>
    <s v="tier - 2"/>
    <s v="R1013"/>
    <n v="25"/>
    <n v="26.885000000000002"/>
  </r>
  <r>
    <x v="338"/>
    <s v="Thacker,"/>
    <n v="16.36"/>
    <x v="217"/>
    <s v="No"/>
    <x v="0"/>
    <x v="0"/>
    <x v="0"/>
    <x v="0"/>
    <x v="3"/>
    <x v="0"/>
    <n v="11"/>
    <s v="Oct"/>
    <n v="1996"/>
    <d v="1996-10-11T00:00:00"/>
    <n v="3201.25"/>
    <s v="tier - 2"/>
    <s v="tier - 3"/>
    <s v="R1012"/>
    <n v="30"/>
    <n v="16.36"/>
  </r>
  <r>
    <x v="339"/>
    <s v="Jeseritz,"/>
    <n v="32.299999999999997"/>
    <x v="143"/>
    <s v="Yes"/>
    <x v="0"/>
    <x v="1"/>
    <x v="1"/>
    <x v="1"/>
    <x v="0"/>
    <x v="2"/>
    <n v="5"/>
    <s v="Jul"/>
    <n v="1997"/>
    <d v="1997-07-05T00:00:00"/>
    <n v="3206.49"/>
    <s v="tier - 2"/>
    <s v="tier - 3"/>
    <s v="R1024"/>
    <n v="29"/>
    <n v="32.299999999999997"/>
  </r>
  <r>
    <x v="340"/>
    <s v="Hohman,"/>
    <n v="16.05"/>
    <x v="261"/>
    <s v="Yes"/>
    <x v="0"/>
    <x v="0"/>
    <x v="0"/>
    <x v="0"/>
    <x v="3"/>
    <x v="2"/>
    <n v="22"/>
    <s v="Dec"/>
    <n v="1997"/>
    <d v="1997-12-22T00:00:00"/>
    <n v="3208.79"/>
    <s v="tier - 2"/>
    <s v="tier - 3"/>
    <s v="R1011"/>
    <n v="29"/>
    <n v="16.05"/>
  </r>
  <r>
    <x v="341"/>
    <s v="Hill,"/>
    <n v="29.07"/>
    <x v="262"/>
    <s v="Yes"/>
    <x v="0"/>
    <x v="0"/>
    <x v="1"/>
    <x v="0"/>
    <x v="1"/>
    <x v="0"/>
    <n v="6"/>
    <s v="Jul"/>
    <n v="1997"/>
    <d v="1997-07-06T00:00:00"/>
    <n v="3213.62"/>
    <s v="tier - 2"/>
    <s v="tier - 2"/>
    <s v="R1024"/>
    <n v="29"/>
    <n v="29.07"/>
  </r>
  <r>
    <x v="342"/>
    <s v="Kuepfer,"/>
    <n v="17.43"/>
    <x v="263"/>
    <s v="No"/>
    <x v="0"/>
    <x v="0"/>
    <x v="0"/>
    <x v="0"/>
    <x v="3"/>
    <x v="0"/>
    <n v="2"/>
    <s v="Aug"/>
    <n v="1997"/>
    <d v="1997-08-02T00:00:00"/>
    <n v="3227.12"/>
    <s v="tier - 2"/>
    <s v="tier - 3"/>
    <s v="R1013"/>
    <n v="29"/>
    <n v="17.43"/>
  </r>
  <r>
    <x v="343"/>
    <s v="Kaczmarek,"/>
    <n v="19.329999999999998"/>
    <x v="159"/>
    <s v="No"/>
    <x v="0"/>
    <x v="0"/>
    <x v="0"/>
    <x v="0"/>
    <x v="2"/>
    <x v="2"/>
    <n v="2"/>
    <s v="Sep"/>
    <n v="1997"/>
    <d v="1997-09-02T00:00:00"/>
    <n v="3238.44"/>
    <s v="tier - 2"/>
    <s v="tier - 3"/>
    <s v="R1013"/>
    <n v="29"/>
    <n v="19.329999999999998"/>
  </r>
  <r>
    <x v="344"/>
    <s v="Pitt,"/>
    <n v="30.52"/>
    <x v="139"/>
    <s v="No"/>
    <x v="0"/>
    <x v="0"/>
    <x v="1"/>
    <x v="0"/>
    <x v="0"/>
    <x v="2"/>
    <n v="13"/>
    <s v="Nov"/>
    <n v="1991"/>
    <d v="1991-11-13T00:00:00"/>
    <n v="3260.2"/>
    <s v="tier - 3"/>
    <s v="tier - 2"/>
    <s v="R1011"/>
    <n v="35"/>
    <n v="30.52"/>
  </r>
  <r>
    <x v="345"/>
    <s v="Lorton,"/>
    <n v="39.21"/>
    <x v="264"/>
    <s v="No"/>
    <x v="0"/>
    <x v="1"/>
    <x v="1"/>
    <x v="0"/>
    <x v="0"/>
    <x v="2"/>
    <n v="2"/>
    <s v="Dec"/>
    <n v="1994"/>
    <d v="1994-12-02T00:00:00"/>
    <n v="3268.85"/>
    <s v="tier - 3"/>
    <s v="tier - 1"/>
    <s v="R1016"/>
    <n v="32"/>
    <n v="39.21"/>
  </r>
  <r>
    <x v="346"/>
    <s v="Castaneda,"/>
    <n v="26.98"/>
    <x v="127"/>
    <s v="Yes"/>
    <x v="0"/>
    <x v="0"/>
    <x v="1"/>
    <x v="0"/>
    <x v="1"/>
    <x v="2"/>
    <n v="1"/>
    <s v="Jul"/>
    <n v="1994"/>
    <d v="1994-07-01T00:00:00"/>
    <n v="3277.16"/>
    <s v="tier - 2"/>
    <s v="tier - 3"/>
    <s v="R1011"/>
    <n v="32"/>
    <n v="26.98"/>
  </r>
  <r>
    <x v="347"/>
    <s v="Cherop,"/>
    <n v="25.84"/>
    <x v="265"/>
    <s v="No"/>
    <x v="0"/>
    <x v="0"/>
    <x v="0"/>
    <x v="1"/>
    <x v="1"/>
    <x v="0"/>
    <n v="6"/>
    <s v="Oct"/>
    <n v="2001"/>
    <d v="2001-10-06T00:00:00"/>
    <n v="3279.87"/>
    <s v="tier - 2"/>
    <s v="tier - 1"/>
    <s v="R1017"/>
    <n v="25"/>
    <n v="25.84"/>
  </r>
  <r>
    <x v="348"/>
    <s v="Howell,"/>
    <n v="28.31"/>
    <x v="266"/>
    <s v="Yes"/>
    <x v="0"/>
    <x v="0"/>
    <x v="1"/>
    <x v="0"/>
    <x v="1"/>
    <x v="0"/>
    <n v="3"/>
    <s v="Jul"/>
    <n v="2003"/>
    <d v="2003-07-03T00:00:00"/>
    <n v="3280.22"/>
    <s v="tier - 2"/>
    <s v="tier - 3"/>
    <s v="R1011"/>
    <n v="23"/>
    <n v="28.31"/>
  </r>
  <r>
    <x v="349"/>
    <s v="Palmer,"/>
    <n v="23.94"/>
    <x v="267"/>
    <s v="No"/>
    <x v="0"/>
    <x v="0"/>
    <x v="0"/>
    <x v="0"/>
    <x v="2"/>
    <x v="2"/>
    <n v="17"/>
    <s v="Nov"/>
    <n v="1996"/>
    <d v="1996-11-17T00:00:00"/>
    <n v="3292.53"/>
    <s v="tier - 2"/>
    <s v="tier - 2"/>
    <s v="R1012"/>
    <n v="30"/>
    <n v="23.94"/>
  </r>
  <r>
    <x v="350"/>
    <s v="Olson,"/>
    <n v="20.03"/>
    <x v="105"/>
    <s v="Yes"/>
    <x v="0"/>
    <x v="0"/>
    <x v="0"/>
    <x v="0"/>
    <x v="2"/>
    <x v="1"/>
    <n v="5"/>
    <s v="Dec"/>
    <n v="2003"/>
    <d v="2003-12-05T00:00:00"/>
    <n v="3300.7"/>
    <s v="tier - 2"/>
    <s v="tier - 2"/>
    <s v="R1025"/>
    <n v="23"/>
    <n v="20.03"/>
  </r>
  <r>
    <x v="351"/>
    <s v="Waldron,"/>
    <n v="41.42"/>
    <x v="6"/>
    <s v="No"/>
    <x v="0"/>
    <x v="0"/>
    <x v="0"/>
    <x v="1"/>
    <x v="0"/>
    <x v="1"/>
    <n v="18"/>
    <s v="Nov"/>
    <n v="2003"/>
    <d v="2003-11-18T00:00:00"/>
    <n v="3308.46"/>
    <s v="tier - 2"/>
    <s v="tier - 1"/>
    <s v="R1021"/>
    <n v="23"/>
    <n v="41.42"/>
  </r>
  <r>
    <x v="352"/>
    <s v="Meyer,"/>
    <n v="36.67"/>
    <x v="246"/>
    <s v="No"/>
    <x v="0"/>
    <x v="0"/>
    <x v="0"/>
    <x v="1"/>
    <x v="0"/>
    <x v="0"/>
    <n v="20"/>
    <s v="Jun"/>
    <n v="1997"/>
    <d v="1997-06-20T00:00:00"/>
    <n v="3309.79"/>
    <s v="tier - 3"/>
    <s v="tier - 3"/>
    <s v="R1017"/>
    <n v="29"/>
    <n v="36.67"/>
  </r>
  <r>
    <x v="353"/>
    <s v="Stack,"/>
    <n v="27.645"/>
    <x v="164"/>
    <s v="No"/>
    <x v="0"/>
    <x v="0"/>
    <x v="0"/>
    <x v="1"/>
    <x v="1"/>
    <x v="2"/>
    <n v="1"/>
    <s v="Sep"/>
    <n v="1991"/>
    <d v="1991-09-01T00:00:00"/>
    <n v="3342.79"/>
    <s v="tier - 2"/>
    <s v="tier - 1"/>
    <s v="R1013"/>
    <n v="35"/>
    <n v="27.645"/>
  </r>
  <r>
    <x v="354"/>
    <s v="Sanchez"/>
    <n v="22.72"/>
    <x v="268"/>
    <s v="No"/>
    <x v="0"/>
    <x v="0"/>
    <x v="0"/>
    <x v="0"/>
    <x v="2"/>
    <x v="1"/>
    <n v="28"/>
    <s v="Oct"/>
    <n v="1993"/>
    <d v="1993-10-28T00:00:00"/>
    <n v="3353.28"/>
    <s v="tier - 2"/>
    <s v="tier - 1"/>
    <s v="R1011"/>
    <n v="33"/>
    <n v="22.72"/>
  </r>
  <r>
    <x v="355"/>
    <s v="Daniels,"/>
    <n v="36.520000000000003"/>
    <x v="269"/>
    <s v="Yes"/>
    <x v="0"/>
    <x v="1"/>
    <x v="1"/>
    <x v="1"/>
    <x v="0"/>
    <x v="0"/>
    <n v="23"/>
    <s v="Jun"/>
    <n v="1995"/>
    <d v="1995-06-23T00:00:00"/>
    <n v="3353.47"/>
    <s v="tier - 2"/>
    <s v="tier - 3"/>
    <s v="R1012"/>
    <n v="31"/>
    <n v="36.520000000000003"/>
  </r>
  <r>
    <x v="356"/>
    <s v="Pepp,"/>
    <n v="33.96"/>
    <x v="115"/>
    <s v="No"/>
    <x v="0"/>
    <x v="0"/>
    <x v="0"/>
    <x v="0"/>
    <x v="0"/>
    <x v="2"/>
    <n v="7"/>
    <s v="Oct"/>
    <n v="1993"/>
    <d v="1993-10-07T00:00:00"/>
    <n v="3366.67"/>
    <s v="tier - 2"/>
    <s v="tier - 2"/>
    <s v="R1013"/>
    <n v="33"/>
    <n v="33.96"/>
  </r>
  <r>
    <x v="357"/>
    <s v="Buechler,"/>
    <n v="26.695"/>
    <x v="205"/>
    <s v="No"/>
    <x v="0"/>
    <x v="0"/>
    <x v="0"/>
    <x v="0"/>
    <x v="1"/>
    <x v="0"/>
    <n v="14"/>
    <s v="Dec"/>
    <n v="1996"/>
    <d v="1996-12-14T00:00:00"/>
    <n v="3378.91"/>
    <s v="tier - 2"/>
    <s v="tier - 1"/>
    <s v="R1011"/>
    <n v="30"/>
    <n v="26.695"/>
  </r>
  <r>
    <x v="358"/>
    <s v="Buenting,"/>
    <n v="18.45"/>
    <x v="103"/>
    <s v="Yes"/>
    <x v="0"/>
    <x v="0"/>
    <x v="0"/>
    <x v="0"/>
    <x v="3"/>
    <x v="2"/>
    <n v="13"/>
    <s v="Nov"/>
    <n v="1996"/>
    <d v="1996-11-13T00:00:00"/>
    <n v="3385.4"/>
    <s v="tier - 2"/>
    <s v="tier - 2"/>
    <s v="R1024"/>
    <n v="30"/>
    <n v="18.45"/>
  </r>
  <r>
    <x v="359"/>
    <s v="Evans,"/>
    <n v="33.18"/>
    <x v="270"/>
    <s v="No"/>
    <x v="0"/>
    <x v="0"/>
    <x v="0"/>
    <x v="0"/>
    <x v="0"/>
    <x v="2"/>
    <n v="10"/>
    <s v="Aug"/>
    <n v="1996"/>
    <d v="1996-08-10T00:00:00"/>
    <n v="3392.37"/>
    <s v="tier - 2"/>
    <s v="tier - 3"/>
    <s v="R1013"/>
    <n v="30"/>
    <n v="33.18"/>
  </r>
  <r>
    <x v="360"/>
    <s v="Arcand,"/>
    <n v="36.1"/>
    <x v="271"/>
    <s v="Yes"/>
    <x v="0"/>
    <x v="0"/>
    <x v="1"/>
    <x v="1"/>
    <x v="0"/>
    <x v="0"/>
    <n v="27"/>
    <s v="Oct"/>
    <n v="1996"/>
    <d v="1996-10-27T00:00:00"/>
    <n v="3392.98"/>
    <s v="tier - 2"/>
    <s v="tier - 3"/>
    <s v="R1013"/>
    <n v="30"/>
    <n v="36.1"/>
  </r>
  <r>
    <x v="361"/>
    <s v="Kesack,"/>
    <n v="22.77"/>
    <x v="96"/>
    <s v="No"/>
    <x v="0"/>
    <x v="0"/>
    <x v="0"/>
    <x v="0"/>
    <x v="2"/>
    <x v="0"/>
    <n v="16"/>
    <s v="Jul"/>
    <n v="2004"/>
    <d v="2004-07-16T00:00:00"/>
    <n v="3393.36"/>
    <s v="tier - 2"/>
    <s v="tier - 2"/>
    <s v="R1023"/>
    <n v="22"/>
    <n v="22.77"/>
  </r>
  <r>
    <x v="362"/>
    <s v="Post,"/>
    <n v="21.24"/>
    <x v="272"/>
    <s v="No"/>
    <x v="0"/>
    <x v="0"/>
    <x v="0"/>
    <x v="0"/>
    <x v="2"/>
    <x v="2"/>
    <n v="19"/>
    <s v="Dec"/>
    <n v="1996"/>
    <d v="1996-12-19T00:00:00"/>
    <n v="3410.32"/>
    <s v="tier - 2"/>
    <s v="tier - 2"/>
    <s v="R1011"/>
    <n v="30"/>
    <n v="21.24"/>
  </r>
  <r>
    <x v="363"/>
    <s v="Dunne,"/>
    <n v="17.600000000000001"/>
    <x v="273"/>
    <s v="Yes"/>
    <x v="0"/>
    <x v="0"/>
    <x v="0"/>
    <x v="0"/>
    <x v="3"/>
    <x v="2"/>
    <n v="26"/>
    <s v="Dec"/>
    <n v="2001"/>
    <d v="2001-12-26T00:00:00"/>
    <n v="3434.38"/>
    <s v="tier - 2"/>
    <s v="tier - 2"/>
    <s v="R1011"/>
    <n v="25"/>
    <n v="17.600000000000001"/>
  </r>
  <r>
    <x v="364"/>
    <s v="Kilel,"/>
    <n v="26.29"/>
    <x v="181"/>
    <s v="No"/>
    <x v="0"/>
    <x v="0"/>
    <x v="0"/>
    <x v="0"/>
    <x v="1"/>
    <x v="0"/>
    <n v="27"/>
    <s v="Aug"/>
    <n v="1986"/>
    <d v="1986-08-27T00:00:00"/>
    <n v="3436.5"/>
    <s v="tier - 2"/>
    <s v="tier - 1"/>
    <s v="R1013"/>
    <n v="40"/>
    <n v="26.29"/>
  </r>
  <r>
    <x v="365"/>
    <s v="Nicholson,"/>
    <n v="35.31"/>
    <x v="274"/>
    <s v="No"/>
    <x v="0"/>
    <x v="0"/>
    <x v="0"/>
    <x v="1"/>
    <x v="0"/>
    <x v="0"/>
    <n v="20"/>
    <s v="Jun"/>
    <n v="2000"/>
    <d v="2000-06-20T00:00:00"/>
    <n v="3443.06"/>
    <s v="tier - 2"/>
    <s v="tier - 1"/>
    <s v="R1011"/>
    <n v="26"/>
    <n v="35.31"/>
  </r>
  <r>
    <x v="366"/>
    <s v="Susmann,"/>
    <n v="27.04"/>
    <x v="275"/>
    <s v="No"/>
    <x v="0"/>
    <x v="0"/>
    <x v="1"/>
    <x v="0"/>
    <x v="1"/>
    <x v="2"/>
    <n v="14"/>
    <s v="Sep"/>
    <n v="1987"/>
    <d v="1987-09-14T00:00:00"/>
    <n v="3453.77"/>
    <s v="tier - 2"/>
    <s v="tier - 1"/>
    <s v="R1011"/>
    <n v="39"/>
    <n v="27.04"/>
  </r>
  <r>
    <x v="367"/>
    <s v="Harsh,"/>
    <n v="30.23"/>
    <x v="80"/>
    <s v="Yes"/>
    <x v="0"/>
    <x v="1"/>
    <x v="1"/>
    <x v="0"/>
    <x v="0"/>
    <x v="2"/>
    <n v="29"/>
    <s v="Jul"/>
    <n v="2003"/>
    <d v="2003-07-29T00:00:00"/>
    <n v="3463.51"/>
    <s v="tier - 2"/>
    <s v="tier - 1"/>
    <s v="R1025"/>
    <n v="23"/>
    <n v="30.23"/>
  </r>
  <r>
    <x v="368"/>
    <s v="Pocasangre,"/>
    <n v="30.6"/>
    <x v="276"/>
    <s v="Yes"/>
    <x v="0"/>
    <x v="1"/>
    <x v="1"/>
    <x v="0"/>
    <x v="0"/>
    <x v="1"/>
    <n v="12"/>
    <s v="Oct"/>
    <n v="1993"/>
    <d v="1993-10-12T00:00:00"/>
    <n v="3471.41"/>
    <s v="tier - 2"/>
    <s v="tier - 2"/>
    <s v="R1013"/>
    <n v="33"/>
    <n v="30.6"/>
  </r>
  <r>
    <x v="369"/>
    <s v="Martinez"/>
    <n v="26.8"/>
    <x v="102"/>
    <s v="No"/>
    <x v="0"/>
    <x v="0"/>
    <x v="1"/>
    <x v="0"/>
    <x v="1"/>
    <x v="2"/>
    <n v="26"/>
    <s v="Jun"/>
    <n v="2004"/>
    <d v="2004-06-26T00:00:00"/>
    <n v="3481.87"/>
    <s v="tier - 2"/>
    <s v="tier - 3"/>
    <s v="R1016"/>
    <n v="22"/>
    <n v="26.8"/>
  </r>
  <r>
    <x v="370"/>
    <s v="Riegel,"/>
    <n v="16.86"/>
    <x v="212"/>
    <s v="Yes"/>
    <x v="0"/>
    <x v="0"/>
    <x v="0"/>
    <x v="0"/>
    <x v="3"/>
    <x v="2"/>
    <n v="19"/>
    <s v="Sep"/>
    <n v="1996"/>
    <d v="1996-09-19T00:00:00"/>
    <n v="3484.33"/>
    <s v="tier - 3"/>
    <s v="tier - 3"/>
    <s v="R1011"/>
    <n v="30"/>
    <n v="16.86"/>
  </r>
  <r>
    <x v="371"/>
    <s v="Monson,"/>
    <n v="16.3"/>
    <x v="49"/>
    <s v="No"/>
    <x v="0"/>
    <x v="0"/>
    <x v="1"/>
    <x v="0"/>
    <x v="3"/>
    <x v="2"/>
    <n v="18"/>
    <s v="Sep"/>
    <n v="1996"/>
    <d v="1996-09-18T00:00:00"/>
    <n v="3490.55"/>
    <s v="tier - 1"/>
    <s v="tier - 2"/>
    <s v="R1015"/>
    <n v="30"/>
    <n v="16.3"/>
  </r>
  <r>
    <x v="372"/>
    <s v="Klubben,"/>
    <n v="29.81"/>
    <x v="277"/>
    <s v="No"/>
    <x v="0"/>
    <x v="0"/>
    <x v="0"/>
    <x v="0"/>
    <x v="1"/>
    <x v="0"/>
    <n v="22"/>
    <s v="Sep"/>
    <n v="1999"/>
    <d v="1999-09-22T00:00:00"/>
    <n v="3500.61"/>
    <s v="tier - 2"/>
    <s v="tier - 2"/>
    <s v="R1013"/>
    <n v="27"/>
    <n v="29.81"/>
  </r>
  <r>
    <x v="373"/>
    <s v="Mascaro,"/>
    <n v="16.329999999999998"/>
    <x v="278"/>
    <s v="Yes"/>
    <x v="0"/>
    <x v="0"/>
    <x v="0"/>
    <x v="0"/>
    <x v="3"/>
    <x v="0"/>
    <n v="16"/>
    <s v="Sep"/>
    <n v="1998"/>
    <d v="1998-09-16T00:00:00"/>
    <n v="3537.7"/>
    <s v="tier - 3"/>
    <s v="tier - 3"/>
    <s v="R1012"/>
    <n v="28"/>
    <n v="16.329999999999998"/>
  </r>
  <r>
    <x v="374"/>
    <s v="Norvell,"/>
    <n v="16.37"/>
    <x v="270"/>
    <s v="Yes"/>
    <x v="0"/>
    <x v="0"/>
    <x v="0"/>
    <x v="0"/>
    <x v="3"/>
    <x v="2"/>
    <n v="24"/>
    <s v="Aug"/>
    <n v="2003"/>
    <d v="2003-08-24T00:00:00"/>
    <n v="3538.9"/>
    <s v="tier - 2"/>
    <s v="tier - 2"/>
    <s v="R1012"/>
    <n v="23"/>
    <n v="16.37"/>
  </r>
  <r>
    <x v="375"/>
    <s v="Ornelas,"/>
    <n v="22.42"/>
    <x v="82"/>
    <s v="Yes"/>
    <x v="0"/>
    <x v="0"/>
    <x v="1"/>
    <x v="1"/>
    <x v="2"/>
    <x v="2"/>
    <n v="15"/>
    <s v="Oct"/>
    <n v="1988"/>
    <d v="1988-10-15T00:00:00"/>
    <n v="3540.12"/>
    <s v="tier - 2"/>
    <s v="tier - 1"/>
    <s v="R1013"/>
    <n v="38"/>
    <n v="22.42"/>
  </r>
  <r>
    <x v="376"/>
    <s v="Fitzpatrick,"/>
    <n v="31.35"/>
    <x v="279"/>
    <s v="Yes"/>
    <x v="0"/>
    <x v="1"/>
    <x v="1"/>
    <x v="1"/>
    <x v="0"/>
    <x v="2"/>
    <n v="22"/>
    <s v="Dec"/>
    <n v="1992"/>
    <d v="1992-12-22T00:00:00"/>
    <n v="3554.2"/>
    <s v="tier - 2"/>
    <s v="tier - 3"/>
    <s v="R1011"/>
    <n v="34"/>
    <n v="31.35"/>
  </r>
  <r>
    <x v="377"/>
    <s v="Bloomquist,"/>
    <n v="31.9"/>
    <x v="57"/>
    <s v="No"/>
    <x v="0"/>
    <x v="0"/>
    <x v="0"/>
    <x v="1"/>
    <x v="0"/>
    <x v="0"/>
    <n v="24"/>
    <s v="Sep"/>
    <n v="1994"/>
    <d v="1994-09-24T00:00:00"/>
    <n v="3556.92"/>
    <s v="tier - 2"/>
    <s v="tier - 3"/>
    <s v="R1012"/>
    <n v="32"/>
    <n v="31.9"/>
  </r>
  <r>
    <x v="378"/>
    <s v="Wick,"/>
    <n v="30.6"/>
    <x v="219"/>
    <s v="No"/>
    <x v="0"/>
    <x v="0"/>
    <x v="0"/>
    <x v="0"/>
    <x v="0"/>
    <x v="2"/>
    <n v="9"/>
    <s v="Oct"/>
    <n v="1995"/>
    <d v="1995-10-09T00:00:00"/>
    <n v="3558.62"/>
    <s v="tier - 2"/>
    <s v="tier - 3"/>
    <s v="R1024"/>
    <n v="31"/>
    <n v="30.6"/>
  </r>
  <r>
    <x v="379"/>
    <s v="Zappala,"/>
    <n v="28.975000000000001"/>
    <x v="280"/>
    <s v="No"/>
    <x v="0"/>
    <x v="0"/>
    <x v="0"/>
    <x v="0"/>
    <x v="1"/>
    <x v="0"/>
    <n v="16"/>
    <s v="Jun"/>
    <n v="1995"/>
    <d v="1995-06-16T00:00:00"/>
    <n v="3561.89"/>
    <s v="tier - 2"/>
    <s v="tier - 1"/>
    <s v="R1013"/>
    <n v="31"/>
    <n v="28.975000000000001"/>
  </r>
  <r>
    <x v="380"/>
    <s v="Earle,"/>
    <n v="24.86"/>
    <x v="281"/>
    <s v="Yes"/>
    <x v="0"/>
    <x v="0"/>
    <x v="1"/>
    <x v="1"/>
    <x v="2"/>
    <x v="0"/>
    <n v="10"/>
    <s v="Oct"/>
    <n v="1981"/>
    <d v="1981-10-10T00:00:00"/>
    <n v="3562.87"/>
    <s v="tier - 2"/>
    <s v="tier - 1"/>
    <s v="R1013"/>
    <n v="45"/>
    <n v="24.86"/>
  </r>
  <r>
    <x v="381"/>
    <s v="Majewski,"/>
    <n v="19.54"/>
    <x v="191"/>
    <s v="No"/>
    <x v="0"/>
    <x v="0"/>
    <x v="0"/>
    <x v="0"/>
    <x v="2"/>
    <x v="2"/>
    <n v="18"/>
    <s v="Aug"/>
    <n v="1988"/>
    <d v="1988-08-18T00:00:00"/>
    <n v="3569.96"/>
    <s v="tier - 2"/>
    <s v="tier - 1"/>
    <s v="R1012"/>
    <n v="38"/>
    <n v="19.54"/>
  </r>
  <r>
    <x v="382"/>
    <s v="Apfelbaum,"/>
    <n v="26.74"/>
    <x v="282"/>
    <s v="No"/>
    <x v="0"/>
    <x v="0"/>
    <x v="0"/>
    <x v="0"/>
    <x v="1"/>
    <x v="2"/>
    <n v="23"/>
    <s v="Aug"/>
    <n v="1995"/>
    <d v="1995-08-23T00:00:00"/>
    <n v="3578"/>
    <s v="tier - 2"/>
    <s v="tier - 3"/>
    <s v="R1011"/>
    <n v="31"/>
    <n v="26.74"/>
  </r>
  <r>
    <x v="383"/>
    <s v="Graham,"/>
    <n v="22.99"/>
    <x v="283"/>
    <s v="No"/>
    <x v="0"/>
    <x v="0"/>
    <x v="1"/>
    <x v="0"/>
    <x v="2"/>
    <x v="0"/>
    <n v="11"/>
    <s v="Nov"/>
    <n v="2001"/>
    <d v="2001-11-11T00:00:00"/>
    <n v="3579.83"/>
    <s v="tier - 2"/>
    <s v="tier - 2"/>
    <s v="R1012"/>
    <n v="25"/>
    <n v="22.99"/>
  </r>
  <r>
    <x v="384"/>
    <s v="Whitacre,"/>
    <n v="31.46"/>
    <x v="284"/>
    <s v="No"/>
    <x v="0"/>
    <x v="0"/>
    <x v="0"/>
    <x v="1"/>
    <x v="0"/>
    <x v="0"/>
    <n v="27"/>
    <s v="Dec"/>
    <n v="1986"/>
    <d v="1986-12-27T00:00:00"/>
    <n v="3589.14"/>
    <s v="tier - 2"/>
    <s v="tier - 2"/>
    <s v="R1013"/>
    <n v="40"/>
    <n v="31.46"/>
  </r>
  <r>
    <x v="385"/>
    <s v="Wegener,"/>
    <n v="30.86"/>
    <x v="194"/>
    <s v="No"/>
    <x v="1"/>
    <x v="0"/>
    <x v="1"/>
    <x v="0"/>
    <x v="0"/>
    <x v="1"/>
    <n v="6"/>
    <s v="Jun"/>
    <n v="1999"/>
    <d v="1999-06-06T00:00:00"/>
    <n v="3591.48"/>
    <s v="tier - 2"/>
    <s v="tier - 3"/>
    <s v="R1011"/>
    <n v="27"/>
    <n v="30.86"/>
  </r>
  <r>
    <x v="386"/>
    <s v="Collie,"/>
    <n v="31.96"/>
    <x v="285"/>
    <s v="No"/>
    <x v="0"/>
    <x v="0"/>
    <x v="0"/>
    <x v="0"/>
    <x v="0"/>
    <x v="0"/>
    <n v="4"/>
    <s v="Nov"/>
    <n v="1997"/>
    <d v="1997-11-04T00:00:00"/>
    <n v="3594.17"/>
    <s v="tier - 2"/>
    <s v="tier - 2"/>
    <s v="R1012"/>
    <n v="29"/>
    <n v="31.96"/>
  </r>
  <r>
    <x v="387"/>
    <s v="Murphy,"/>
    <n v="23.76"/>
    <x v="286"/>
    <s v="No"/>
    <x v="0"/>
    <x v="0"/>
    <x v="1"/>
    <x v="0"/>
    <x v="2"/>
    <x v="0"/>
    <n v="12"/>
    <s v="Aug"/>
    <n v="1999"/>
    <d v="1999-08-12T00:00:00"/>
    <n v="3597.6"/>
    <s v="tier - 2"/>
    <s v="tier - 2"/>
    <s v="R1011"/>
    <n v="27"/>
    <n v="23.76"/>
  </r>
  <r>
    <x v="388"/>
    <s v="Butters,"/>
    <n v="19.38"/>
    <x v="287"/>
    <s v="No"/>
    <x v="0"/>
    <x v="0"/>
    <x v="0"/>
    <x v="0"/>
    <x v="2"/>
    <x v="1"/>
    <n v="4"/>
    <s v="Nov"/>
    <n v="1988"/>
    <d v="1988-11-04T00:00:00"/>
    <n v="3603.6"/>
    <s v="tier - 2"/>
    <s v="tier - 1"/>
    <s v="R1013"/>
    <n v="38"/>
    <n v="19.38"/>
  </r>
  <r>
    <x v="389"/>
    <s v="Cook,"/>
    <n v="16.21"/>
    <x v="109"/>
    <s v="Yes"/>
    <x v="0"/>
    <x v="0"/>
    <x v="1"/>
    <x v="0"/>
    <x v="3"/>
    <x v="1"/>
    <n v="11"/>
    <s v="Oct"/>
    <n v="1990"/>
    <d v="1990-10-11T00:00:00"/>
    <n v="3606.43"/>
    <s v="tier - 2"/>
    <s v="tier - 1"/>
    <s v="R1013"/>
    <n v="36"/>
    <n v="16.21"/>
  </r>
  <r>
    <x v="390"/>
    <s v="Breen,"/>
    <n v="32.54"/>
    <x v="93"/>
    <s v="No"/>
    <x v="1"/>
    <x v="0"/>
    <x v="1"/>
    <x v="0"/>
    <x v="0"/>
    <x v="2"/>
    <n v="14"/>
    <s v="Jun"/>
    <n v="1985"/>
    <d v="1985-06-14T00:00:00"/>
    <n v="3622.13"/>
    <s v="tier - 2"/>
    <s v="tier - 1"/>
    <s v="R1013"/>
    <n v="41"/>
    <n v="32.54"/>
  </r>
  <r>
    <x v="391"/>
    <s v="Fitzsimons,"/>
    <n v="36.765000000000001"/>
    <x v="54"/>
    <s v="Yes"/>
    <x v="0"/>
    <x v="0"/>
    <x v="1"/>
    <x v="1"/>
    <x v="0"/>
    <x v="0"/>
    <n v="17"/>
    <s v="Nov"/>
    <n v="1992"/>
    <d v="1992-11-17T00:00:00"/>
    <n v="3645.09"/>
    <s v="tier - 1"/>
    <s v="tier - 2"/>
    <s v="R1014"/>
    <n v="34"/>
    <n v="36.765000000000001"/>
  </r>
  <r>
    <x v="392"/>
    <s v="Houle,"/>
    <n v="35.909999999999997"/>
    <x v="30"/>
    <s v="No"/>
    <x v="0"/>
    <x v="0"/>
    <x v="0"/>
    <x v="1"/>
    <x v="0"/>
    <x v="0"/>
    <n v="8"/>
    <s v="Nov"/>
    <n v="1990"/>
    <d v="1990-11-08T00:00:00"/>
    <n v="3653.29"/>
    <s v="tier - 2"/>
    <s v="tier - 3"/>
    <s v="R1011"/>
    <n v="36"/>
    <n v="35.909999999999997"/>
  </r>
  <r>
    <x v="393"/>
    <s v="Woodward,"/>
    <n v="32.06"/>
    <x v="145"/>
    <s v="No"/>
    <x v="1"/>
    <x v="0"/>
    <x v="1"/>
    <x v="0"/>
    <x v="0"/>
    <x v="2"/>
    <n v="14"/>
    <s v="Sep"/>
    <n v="1992"/>
    <d v="1992-09-14T00:00:00"/>
    <n v="3659.35"/>
    <s v="tier - 3"/>
    <s v="tier - 1"/>
    <s v="R1011"/>
    <n v="34"/>
    <n v="32.06"/>
  </r>
  <r>
    <x v="394"/>
    <s v="Ray,"/>
    <n v="24.1"/>
    <x v="288"/>
    <s v="Yes"/>
    <x v="0"/>
    <x v="0"/>
    <x v="1"/>
    <x v="1"/>
    <x v="2"/>
    <x v="0"/>
    <n v="6"/>
    <s v="Jul"/>
    <n v="1984"/>
    <d v="1984-07-06T00:00:00"/>
    <n v="3678.86"/>
    <s v="tier - 2"/>
    <s v="tier - 3"/>
    <s v="R1013"/>
    <n v="42"/>
    <n v="24.1"/>
  </r>
  <r>
    <x v="395"/>
    <s v="Jennings,"/>
    <n v="27.1"/>
    <x v="289"/>
    <s v="No"/>
    <x v="0"/>
    <x v="0"/>
    <x v="1"/>
    <x v="1"/>
    <x v="1"/>
    <x v="0"/>
    <n v="10"/>
    <s v="Jul"/>
    <n v="2003"/>
    <d v="2003-07-10T00:00:00"/>
    <n v="3688.35"/>
    <s v="tier - 2"/>
    <s v="tier - 2"/>
    <s v="R1021"/>
    <n v="23"/>
    <n v="27.1"/>
  </r>
  <r>
    <x v="396"/>
    <s v="Fuller,"/>
    <n v="24.42"/>
    <x v="290"/>
    <s v="No"/>
    <x v="0"/>
    <x v="0"/>
    <x v="0"/>
    <x v="0"/>
    <x v="2"/>
    <x v="0"/>
    <n v="14"/>
    <s v="Dec"/>
    <n v="1981"/>
    <d v="1981-12-14T00:00:00"/>
    <n v="3688.38"/>
    <s v="tier - 2"/>
    <s v="tier - 2"/>
    <s v="R1013"/>
    <n v="45"/>
    <n v="24.42"/>
  </r>
  <r>
    <x v="397"/>
    <s v="Lovisek,"/>
    <n v="26.695"/>
    <x v="82"/>
    <s v="Yes"/>
    <x v="0"/>
    <x v="0"/>
    <x v="1"/>
    <x v="0"/>
    <x v="1"/>
    <x v="2"/>
    <n v="21"/>
    <s v="Oct"/>
    <n v="1995"/>
    <d v="1995-10-21T00:00:00"/>
    <n v="3693.43"/>
    <s v="tier - 2"/>
    <s v="tier - 3"/>
    <s v="R1011"/>
    <n v="31"/>
    <n v="26.695"/>
  </r>
  <r>
    <x v="398"/>
    <s v="Painter,"/>
    <n v="27.79"/>
    <x v="3"/>
    <s v="Yes"/>
    <x v="1"/>
    <x v="0"/>
    <x v="1"/>
    <x v="0"/>
    <x v="1"/>
    <x v="1"/>
    <n v="18"/>
    <s v="Aug"/>
    <n v="1988"/>
    <d v="1988-08-18T00:00:00"/>
    <n v="3699.54"/>
    <s v="tier - 2"/>
    <s v="tier - 3"/>
    <s v="R1013"/>
    <n v="38"/>
    <n v="27.79"/>
  </r>
  <r>
    <x v="399"/>
    <s v="Edwards,"/>
    <n v="32.68"/>
    <x v="82"/>
    <s v="Yes"/>
    <x v="0"/>
    <x v="0"/>
    <x v="0"/>
    <x v="1"/>
    <x v="0"/>
    <x v="2"/>
    <n v="2"/>
    <s v="Dec"/>
    <n v="1989"/>
    <d v="1989-12-02T00:00:00"/>
    <n v="3704.35"/>
    <s v="tier - 2"/>
    <s v="tier - 2"/>
    <s v="R1013"/>
    <n v="37"/>
    <n v="32.68"/>
  </r>
  <r>
    <x v="400"/>
    <s v="Liebl,"/>
    <n v="26.4"/>
    <x v="291"/>
    <s v="Yes"/>
    <x v="0"/>
    <x v="0"/>
    <x v="1"/>
    <x v="1"/>
    <x v="1"/>
    <x v="0"/>
    <n v="5"/>
    <s v="Nov"/>
    <n v="2004"/>
    <d v="2004-11-05T00:00:00"/>
    <n v="3722.23"/>
    <s v="tier - 2"/>
    <s v="tier - 2"/>
    <s v="R1025"/>
    <n v="22"/>
    <n v="26.4"/>
  </r>
  <r>
    <x v="401"/>
    <s v="Kasabian-Larson,"/>
    <n v="23.655000000000001"/>
    <x v="292"/>
    <s v="Yes"/>
    <x v="0"/>
    <x v="1"/>
    <x v="1"/>
    <x v="0"/>
    <x v="2"/>
    <x v="0"/>
    <n v="1"/>
    <s v="Dec"/>
    <n v="1986"/>
    <d v="1986-12-01T00:00:00"/>
    <n v="3731.6"/>
    <s v="tier - 2"/>
    <s v="tier - 2"/>
    <s v="R1013"/>
    <n v="40"/>
    <n v="23.655000000000001"/>
  </r>
  <r>
    <x v="402"/>
    <s v="Creamer,"/>
    <n v="27.36"/>
    <x v="169"/>
    <s v="No"/>
    <x v="0"/>
    <x v="0"/>
    <x v="1"/>
    <x v="1"/>
    <x v="1"/>
    <x v="1"/>
    <n v="22"/>
    <s v="Aug"/>
    <n v="1994"/>
    <d v="1994-08-22T00:00:00"/>
    <n v="3732.63"/>
    <s v="tier - 2"/>
    <s v="tier - 3"/>
    <s v="R1024"/>
    <n v="32"/>
    <n v="27.36"/>
  </r>
  <r>
    <x v="403"/>
    <s v="Kimbel,"/>
    <n v="27.82"/>
    <x v="219"/>
    <s v="Yes"/>
    <x v="0"/>
    <x v="0"/>
    <x v="0"/>
    <x v="0"/>
    <x v="1"/>
    <x v="2"/>
    <n v="22"/>
    <s v="Jun"/>
    <n v="1993"/>
    <d v="1993-06-22T00:00:00"/>
    <n v="3736.46"/>
    <s v="tier - 2"/>
    <s v="tier - 2"/>
    <s v="R1012"/>
    <n v="33"/>
    <n v="27.82"/>
  </r>
  <r>
    <x v="404"/>
    <s v="Livensparger,"/>
    <n v="25.46"/>
    <x v="35"/>
    <s v="No"/>
    <x v="0"/>
    <x v="0"/>
    <x v="0"/>
    <x v="1"/>
    <x v="1"/>
    <x v="0"/>
    <n v="9"/>
    <s v="Sep"/>
    <n v="1986"/>
    <d v="1986-09-09T00:00:00"/>
    <n v="3748.56"/>
    <s v="tier - 2"/>
    <s v="tier - 2"/>
    <s v="R1013"/>
    <n v="40"/>
    <n v="25.46"/>
  </r>
  <r>
    <x v="405"/>
    <s v="Grange,"/>
    <n v="25.1"/>
    <x v="293"/>
    <s v="No"/>
    <x v="0"/>
    <x v="0"/>
    <x v="0"/>
    <x v="0"/>
    <x v="1"/>
    <x v="0"/>
    <n v="28"/>
    <s v="Oct"/>
    <n v="1991"/>
    <d v="1991-10-28T00:00:00"/>
    <n v="3756.62"/>
    <s v="tier - 2"/>
    <s v="tier - 2"/>
    <s v="R1013"/>
    <n v="35"/>
    <n v="25.1"/>
  </r>
  <r>
    <x v="406"/>
    <s v="Nunlist,"/>
    <n v="32.11"/>
    <x v="70"/>
    <s v="No"/>
    <x v="0"/>
    <x v="0"/>
    <x v="1"/>
    <x v="1"/>
    <x v="0"/>
    <x v="2"/>
    <n v="25"/>
    <s v="Aug"/>
    <n v="1991"/>
    <d v="1991-08-25T00:00:00"/>
    <n v="3757.84"/>
    <s v="tier - 2"/>
    <s v="tier - 1"/>
    <s v="R1013"/>
    <n v="35"/>
    <n v="32.11"/>
  </r>
  <r>
    <x v="407"/>
    <s v="Cutter,"/>
    <n v="29.8"/>
    <x v="294"/>
    <s v="Yes"/>
    <x v="0"/>
    <x v="0"/>
    <x v="1"/>
    <x v="0"/>
    <x v="1"/>
    <x v="0"/>
    <n v="24"/>
    <s v="Oct"/>
    <n v="1991"/>
    <d v="1991-10-24T00:00:00"/>
    <n v="3761.29"/>
    <s v="tier - 2"/>
    <s v="tier - 3"/>
    <s v="R1011"/>
    <n v="35"/>
    <n v="29.8"/>
  </r>
  <r>
    <x v="408"/>
    <s v="Martin,"/>
    <n v="24.01"/>
    <x v="70"/>
    <s v="No"/>
    <x v="0"/>
    <x v="0"/>
    <x v="1"/>
    <x v="0"/>
    <x v="2"/>
    <x v="2"/>
    <n v="21"/>
    <s v="Nov"/>
    <n v="1994"/>
    <d v="1994-11-21T00:00:00"/>
    <n v="3766.88"/>
    <s v="tier - 2"/>
    <s v="tier - 1"/>
    <s v="R1013"/>
    <n v="32"/>
    <n v="24.01"/>
  </r>
  <r>
    <x v="409"/>
    <s v="Cooney,"/>
    <n v="23.21"/>
    <x v="100"/>
    <s v="No"/>
    <x v="0"/>
    <x v="0"/>
    <x v="1"/>
    <x v="1"/>
    <x v="2"/>
    <x v="1"/>
    <n v="24"/>
    <s v="Oct"/>
    <n v="1987"/>
    <d v="1987-10-24T00:00:00"/>
    <n v="3773.23"/>
    <s v="tier - 2"/>
    <s v="tier - 3"/>
    <s v="R1013"/>
    <n v="39"/>
    <n v="23.21"/>
  </r>
  <r>
    <x v="410"/>
    <s v="Bier,"/>
    <n v="21.2"/>
    <x v="212"/>
    <s v="Yes"/>
    <x v="0"/>
    <x v="0"/>
    <x v="1"/>
    <x v="0"/>
    <x v="2"/>
    <x v="2"/>
    <n v="13"/>
    <s v="Dec"/>
    <n v="1981"/>
    <d v="1981-12-13T00:00:00"/>
    <n v="3785.77"/>
    <s v="tier - 2"/>
    <s v="tier - 1"/>
    <s v="R1013"/>
    <n v="45"/>
    <n v="21.2"/>
  </r>
  <r>
    <x v="411"/>
    <s v="Muskopf,"/>
    <n v="28.215"/>
    <x v="295"/>
    <s v="Yes"/>
    <x v="0"/>
    <x v="0"/>
    <x v="1"/>
    <x v="0"/>
    <x v="1"/>
    <x v="0"/>
    <n v="28"/>
    <s v="Aug"/>
    <n v="1988"/>
    <d v="1988-08-28T00:00:00"/>
    <n v="3793.55"/>
    <s v="tier - 2"/>
    <s v="tier - 3"/>
    <s v="R1013"/>
    <n v="38"/>
    <n v="28.215"/>
  </r>
  <r>
    <x v="412"/>
    <s v="Sirak,"/>
    <n v="38.094999999999999"/>
    <x v="70"/>
    <s v="No"/>
    <x v="0"/>
    <x v="0"/>
    <x v="1"/>
    <x v="1"/>
    <x v="0"/>
    <x v="2"/>
    <n v="24"/>
    <s v="Jun"/>
    <n v="1999"/>
    <d v="1999-06-24T00:00:00"/>
    <n v="3796.36"/>
    <s v="tier - 2"/>
    <s v="tier - 3"/>
    <s v="R1012"/>
    <n v="27"/>
    <n v="38.094999999999999"/>
  </r>
  <r>
    <x v="413"/>
    <s v="Nelsen,"/>
    <n v="22.61"/>
    <x v="296"/>
    <s v="Yes"/>
    <x v="0"/>
    <x v="1"/>
    <x v="1"/>
    <x v="0"/>
    <x v="2"/>
    <x v="1"/>
    <n v="29"/>
    <s v="Sep"/>
    <n v="1981"/>
    <d v="1981-09-29T00:00:00"/>
    <n v="3797.2"/>
    <s v="tier - 2"/>
    <s v="tier - 3"/>
    <s v="R1012"/>
    <n v="45"/>
    <n v="22.61"/>
  </r>
  <r>
    <x v="414"/>
    <s v="Schallner,"/>
    <n v="24.32"/>
    <x v="297"/>
    <s v="Yes"/>
    <x v="0"/>
    <x v="0"/>
    <x v="1"/>
    <x v="0"/>
    <x v="2"/>
    <x v="0"/>
    <n v="12"/>
    <s v="Aug"/>
    <n v="1994"/>
    <d v="1994-08-12T00:00:00"/>
    <n v="3847.67"/>
    <s v="tier - 3"/>
    <s v="tier - 2"/>
    <s v="R1011"/>
    <n v="32"/>
    <n v="24.32"/>
  </r>
  <r>
    <x v="415"/>
    <s v="Dunlap,"/>
    <n v="20.96"/>
    <x v="298"/>
    <s v="Yes"/>
    <x v="0"/>
    <x v="0"/>
    <x v="1"/>
    <x v="0"/>
    <x v="2"/>
    <x v="2"/>
    <n v="19"/>
    <s v="Aug"/>
    <n v="1991"/>
    <d v="1991-08-19T00:00:00"/>
    <n v="3857.76"/>
    <s v="tier - 3"/>
    <s v="tier - 1"/>
    <s v="R1016"/>
    <n v="35"/>
    <n v="20.96"/>
  </r>
  <r>
    <x v="416"/>
    <s v="Messing,"/>
    <n v="19.68"/>
    <x v="299"/>
    <s v="No"/>
    <x v="0"/>
    <x v="0"/>
    <x v="0"/>
    <x v="0"/>
    <x v="2"/>
    <x v="1"/>
    <n v="6"/>
    <s v="Jun"/>
    <n v="2001"/>
    <d v="2001-06-06T00:00:00"/>
    <n v="3858.51"/>
    <s v="tier - 2"/>
    <s v="tier - 3"/>
    <s v="R1025"/>
    <n v="25"/>
    <n v="19.68"/>
  </r>
  <r>
    <x v="417"/>
    <s v="Bondell,"/>
    <n v="18.100000000000001"/>
    <x v="300"/>
    <s v="No"/>
    <x v="0"/>
    <x v="0"/>
    <x v="1"/>
    <x v="0"/>
    <x v="3"/>
    <x v="1"/>
    <n v="18"/>
    <s v="Oct"/>
    <n v="2001"/>
    <d v="2001-10-18T00:00:00"/>
    <n v="3861.21"/>
    <s v="tier - 2"/>
    <s v="tier - 2"/>
    <s v="R1016"/>
    <n v="25"/>
    <n v="18.100000000000001"/>
  </r>
  <r>
    <x v="418"/>
    <s v="Gaughan,"/>
    <n v="29.64"/>
    <x v="141"/>
    <s v="Yes"/>
    <x v="0"/>
    <x v="0"/>
    <x v="0"/>
    <x v="1"/>
    <x v="1"/>
    <x v="2"/>
    <n v="24"/>
    <s v="Jun"/>
    <n v="1990"/>
    <d v="1990-06-24T00:00:00"/>
    <n v="3866.86"/>
    <s v="tier - 1"/>
    <s v="tier - 1"/>
    <s v="R1012"/>
    <n v="36"/>
    <n v="29.64"/>
  </r>
  <r>
    <x v="419"/>
    <s v="Gruman,"/>
    <n v="25.3"/>
    <x v="301"/>
    <s v="Yes"/>
    <x v="0"/>
    <x v="0"/>
    <x v="1"/>
    <x v="0"/>
    <x v="1"/>
    <x v="0"/>
    <n v="25"/>
    <s v="Jul"/>
    <n v="1991"/>
    <d v="1991-07-25T00:00:00"/>
    <n v="3875.73"/>
    <s v="tier - 2"/>
    <s v="tier - 3"/>
    <s v="R1013"/>
    <n v="35"/>
    <n v="25.3"/>
  </r>
  <r>
    <x v="420"/>
    <s v="Whitlow,"/>
    <n v="27.6"/>
    <x v="239"/>
    <s v="Yes"/>
    <x v="0"/>
    <x v="0"/>
    <x v="0"/>
    <x v="1"/>
    <x v="1"/>
    <x v="2"/>
    <n v="23"/>
    <s v="Oct"/>
    <n v="1996"/>
    <d v="1996-10-23T00:00:00"/>
    <n v="3877.3"/>
    <s v="tier - 1"/>
    <s v="tier - 3"/>
    <s v="R1012"/>
    <n v="30"/>
    <n v="27.6"/>
  </r>
  <r>
    <x v="421"/>
    <s v="Robinson,"/>
    <n v="27.645"/>
    <x v="302"/>
    <s v="Yes"/>
    <x v="0"/>
    <x v="0"/>
    <x v="1"/>
    <x v="0"/>
    <x v="1"/>
    <x v="0"/>
    <n v="13"/>
    <s v="Jul"/>
    <n v="2004"/>
    <d v="2004-07-13T00:00:00"/>
    <n v="3889.2"/>
    <s v="tier - 2"/>
    <s v="tier - 2"/>
    <s v="R1012"/>
    <n v="22"/>
    <n v="27.645"/>
  </r>
  <r>
    <x v="422"/>
    <s v="Sabo,"/>
    <n v="27.6"/>
    <x v="151"/>
    <s v="No"/>
    <x v="0"/>
    <x v="0"/>
    <x v="1"/>
    <x v="0"/>
    <x v="1"/>
    <x v="2"/>
    <n v="14"/>
    <s v="Sep"/>
    <n v="1993"/>
    <d v="1993-09-14T00:00:00"/>
    <n v="3898.35"/>
    <s v="tier - 2"/>
    <s v="tier - 2"/>
    <s v="R1012"/>
    <n v="33"/>
    <n v="27.6"/>
  </r>
  <r>
    <x v="423"/>
    <s v="Nazarian,"/>
    <n v="25.08"/>
    <x v="303"/>
    <s v="Yes"/>
    <x v="0"/>
    <x v="0"/>
    <x v="1"/>
    <x v="1"/>
    <x v="1"/>
    <x v="0"/>
    <n v="27"/>
    <s v="Aug"/>
    <n v="1981"/>
    <d v="1981-08-27T00:00:00"/>
    <n v="3902.07"/>
    <s v="tier - 2"/>
    <s v="tier - 2"/>
    <s v="R1013"/>
    <n v="45"/>
    <n v="25.08"/>
  </r>
  <r>
    <x v="424"/>
    <s v="Lerma,"/>
    <n v="30.02"/>
    <x v="304"/>
    <s v="No"/>
    <x v="0"/>
    <x v="0"/>
    <x v="0"/>
    <x v="1"/>
    <x v="0"/>
    <x v="0"/>
    <n v="24"/>
    <s v="Nov"/>
    <n v="1997"/>
    <d v="1997-11-24T00:00:00"/>
    <n v="3906.13"/>
    <s v="tier - 3"/>
    <s v="tier - 3"/>
    <s v="R1011"/>
    <n v="29"/>
    <n v="30.02"/>
  </r>
  <r>
    <x v="425"/>
    <s v="Dahl,"/>
    <n v="27.36"/>
    <x v="305"/>
    <s v="Yes"/>
    <x v="0"/>
    <x v="0"/>
    <x v="1"/>
    <x v="0"/>
    <x v="1"/>
    <x v="0"/>
    <n v="5"/>
    <s v="Jul"/>
    <n v="1985"/>
    <d v="1985-07-05T00:00:00"/>
    <n v="3910.44"/>
    <s v="tier - 2"/>
    <s v="tier - 2"/>
    <s v="R1013"/>
    <n v="41"/>
    <n v="27.36"/>
  </r>
  <r>
    <x v="426"/>
    <s v="Surtees,"/>
    <n v="22.2"/>
    <x v="49"/>
    <s v="No"/>
    <x v="0"/>
    <x v="0"/>
    <x v="0"/>
    <x v="0"/>
    <x v="2"/>
    <x v="2"/>
    <n v="10"/>
    <s v="Jul"/>
    <n v="2000"/>
    <d v="2000-07-10T00:00:00"/>
    <n v="3925.76"/>
    <s v="tier - 2"/>
    <s v="tier - 2"/>
    <s v="R1024"/>
    <n v="26"/>
    <n v="22.2"/>
  </r>
  <r>
    <x v="427"/>
    <s v="Spetner,"/>
    <n v="25.71"/>
    <x v="237"/>
    <s v="No"/>
    <x v="1"/>
    <x v="0"/>
    <x v="1"/>
    <x v="0"/>
    <x v="1"/>
    <x v="2"/>
    <n v="15"/>
    <s v="Jun"/>
    <n v="2002"/>
    <d v="2002-06-15T00:00:00"/>
    <n v="3931.51"/>
    <s v="tier - 2"/>
    <s v="tier - 3"/>
    <s v="R1011"/>
    <n v="24"/>
    <n v="25.71"/>
  </r>
  <r>
    <x v="428"/>
    <s v="Brandon,"/>
    <n v="41.91"/>
    <x v="213"/>
    <s v="Yes"/>
    <x v="0"/>
    <x v="0"/>
    <x v="1"/>
    <x v="1"/>
    <x v="0"/>
    <x v="1"/>
    <n v="24"/>
    <s v="Oct"/>
    <n v="1988"/>
    <d v="1988-10-24T00:00:00"/>
    <n v="3935.18"/>
    <s v="tier - 3"/>
    <s v="tier - 1"/>
    <s v="R1013"/>
    <n v="38"/>
    <n v="41.91"/>
  </r>
  <r>
    <x v="429"/>
    <s v="Eley,"/>
    <n v="25.85"/>
    <x v="306"/>
    <s v="No"/>
    <x v="0"/>
    <x v="0"/>
    <x v="0"/>
    <x v="0"/>
    <x v="1"/>
    <x v="0"/>
    <n v="29"/>
    <s v="Sep"/>
    <n v="1993"/>
    <d v="1993-09-29T00:00:00"/>
    <n v="3943.6"/>
    <s v="tier - 2"/>
    <s v="tier - 3"/>
    <s v="R1024"/>
    <n v="33"/>
    <n v="25.85"/>
  </r>
  <r>
    <x v="430"/>
    <s v="Sedicum,"/>
    <n v="23.844999999999999"/>
    <x v="307"/>
    <s v="No"/>
    <x v="0"/>
    <x v="0"/>
    <x v="1"/>
    <x v="0"/>
    <x v="2"/>
    <x v="0"/>
    <n v="11"/>
    <s v="Nov"/>
    <n v="1993"/>
    <d v="1993-11-11T00:00:00"/>
    <n v="3947.41"/>
    <s v="tier - 2"/>
    <s v="tier - 2"/>
    <s v="R1013"/>
    <n v="33"/>
    <n v="23.844999999999999"/>
  </r>
  <r>
    <x v="431"/>
    <s v="Markle,"/>
    <n v="30.59"/>
    <x v="182"/>
    <s v="No"/>
    <x v="0"/>
    <x v="1"/>
    <x v="1"/>
    <x v="1"/>
    <x v="0"/>
    <x v="2"/>
    <n v="10"/>
    <s v="Jul"/>
    <n v="1999"/>
    <d v="1999-07-10T00:00:00"/>
    <n v="3955.98"/>
    <s v="tier - 2"/>
    <s v="tier - 3"/>
    <s v="R1021"/>
    <n v="27"/>
    <n v="30.59"/>
  </r>
  <r>
    <x v="432"/>
    <s v="Kunz,"/>
    <n v="24.795000000000002"/>
    <x v="308"/>
    <s v="No"/>
    <x v="0"/>
    <x v="0"/>
    <x v="0"/>
    <x v="0"/>
    <x v="2"/>
    <x v="0"/>
    <n v="11"/>
    <s v="Jul"/>
    <n v="1995"/>
    <d v="1995-07-11T00:00:00"/>
    <n v="3956.07"/>
    <s v="tier - 2"/>
    <s v="tier - 2"/>
    <s v="R1012"/>
    <n v="31"/>
    <n v="24.795000000000002"/>
  </r>
  <r>
    <x v="433"/>
    <s v="Wimert,"/>
    <n v="24.13"/>
    <x v="309"/>
    <s v="Yes"/>
    <x v="0"/>
    <x v="0"/>
    <x v="1"/>
    <x v="0"/>
    <x v="2"/>
    <x v="0"/>
    <n v="29"/>
    <s v="Jul"/>
    <n v="1990"/>
    <d v="1990-07-29T00:00:00"/>
    <n v="3972.92"/>
    <s v="tier - 2"/>
    <s v="tier - 3"/>
    <s v="R1013"/>
    <n v="36"/>
    <n v="24.13"/>
  </r>
  <r>
    <x v="434"/>
    <s v="Peterson,"/>
    <n v="25.84"/>
    <x v="310"/>
    <s v="No"/>
    <x v="0"/>
    <x v="0"/>
    <x v="1"/>
    <x v="0"/>
    <x v="1"/>
    <x v="0"/>
    <n v="17"/>
    <s v="Aug"/>
    <n v="1996"/>
    <d v="1996-08-17T00:00:00"/>
    <n v="3981.98"/>
    <s v="tier - 2"/>
    <s v="tier - 2"/>
    <s v="R1013"/>
    <n v="30"/>
    <n v="25.84"/>
  </r>
  <r>
    <x v="435"/>
    <s v="Mercier,"/>
    <n v="28"/>
    <x v="130"/>
    <s v="No"/>
    <x v="0"/>
    <x v="0"/>
    <x v="0"/>
    <x v="0"/>
    <x v="1"/>
    <x v="0"/>
    <n v="8"/>
    <s v="Sep"/>
    <n v="1996"/>
    <d v="1996-09-08T00:00:00"/>
    <n v="3987.93"/>
    <s v="tier - 2"/>
    <s v="tier - 2"/>
    <s v="R1011"/>
    <n v="30"/>
    <n v="28"/>
  </r>
  <r>
    <x v="436"/>
    <s v="Laurie,"/>
    <n v="34.1"/>
    <x v="138"/>
    <s v="Yes"/>
    <x v="0"/>
    <x v="1"/>
    <x v="1"/>
    <x v="1"/>
    <x v="0"/>
    <x v="2"/>
    <n v="22"/>
    <s v="Nov"/>
    <n v="1990"/>
    <d v="1990-11-22T00:00:00"/>
    <n v="3989.84"/>
    <s v="tier - 2"/>
    <s v="tier - 2"/>
    <s v="R1011"/>
    <n v="36"/>
    <n v="34.1"/>
  </r>
  <r>
    <x v="437"/>
    <s v="Sekaquaptewa,"/>
    <n v="26.125"/>
    <x v="311"/>
    <s v="Yes"/>
    <x v="0"/>
    <x v="0"/>
    <x v="1"/>
    <x v="0"/>
    <x v="1"/>
    <x v="0"/>
    <n v="1"/>
    <s v="Nov"/>
    <n v="1990"/>
    <d v="1990-11-01T00:00:00"/>
    <n v="3994.18"/>
    <s v="tier - 2"/>
    <s v="tier - 2"/>
    <s v="R1013"/>
    <n v="36"/>
    <n v="26.125"/>
  </r>
  <r>
    <x v="438"/>
    <s v="Frash,"/>
    <n v="25.6"/>
    <x v="312"/>
    <s v="No"/>
    <x v="0"/>
    <x v="0"/>
    <x v="1"/>
    <x v="0"/>
    <x v="1"/>
    <x v="0"/>
    <n v="10"/>
    <s v="Jul"/>
    <n v="1989"/>
    <d v="1989-07-10T00:00:00"/>
    <n v="4002.36"/>
    <s v="tier - 2"/>
    <s v="tier - 1"/>
    <s v="R1013"/>
    <n v="37"/>
    <n v="25.6"/>
  </r>
  <r>
    <x v="439"/>
    <s v="Bukowski,"/>
    <n v="24.32"/>
    <x v="313"/>
    <s v="No"/>
    <x v="0"/>
    <x v="0"/>
    <x v="0"/>
    <x v="1"/>
    <x v="2"/>
    <x v="1"/>
    <n v="13"/>
    <s v="Sep"/>
    <n v="2000"/>
    <d v="2000-09-13T00:00:00"/>
    <n v="4005.42"/>
    <s v="tier - 2"/>
    <s v="tier - 1"/>
    <s v="R1015"/>
    <n v="26"/>
    <n v="24.32"/>
  </r>
  <r>
    <x v="440"/>
    <s v="Sandahl,"/>
    <n v="22.88"/>
    <x v="268"/>
    <s v="Yes"/>
    <x v="0"/>
    <x v="1"/>
    <x v="1"/>
    <x v="0"/>
    <x v="2"/>
    <x v="1"/>
    <n v="11"/>
    <s v="Oct"/>
    <n v="1992"/>
    <d v="1992-10-11T00:00:00"/>
    <n v="4032.24"/>
    <s v="tier - 3"/>
    <s v="tier - 3"/>
    <s v="R1012"/>
    <n v="34"/>
    <n v="22.88"/>
  </r>
  <r>
    <x v="441"/>
    <s v="Speight,"/>
    <n v="24.984999999999999"/>
    <x v="46"/>
    <s v="Yes"/>
    <x v="0"/>
    <x v="1"/>
    <x v="1"/>
    <x v="1"/>
    <x v="2"/>
    <x v="2"/>
    <n v="7"/>
    <s v="Jul"/>
    <n v="1984"/>
    <d v="1984-07-07T00:00:00"/>
    <n v="4038.41"/>
    <s v="tier - 2"/>
    <s v="tier - 1"/>
    <s v="R1013"/>
    <n v="42"/>
    <n v="24.984999999999999"/>
  </r>
  <r>
    <x v="442"/>
    <s v="Lee,"/>
    <n v="33.1"/>
    <x v="314"/>
    <s v="No"/>
    <x v="0"/>
    <x v="1"/>
    <x v="1"/>
    <x v="1"/>
    <x v="0"/>
    <x v="2"/>
    <n v="10"/>
    <s v="Nov"/>
    <n v="1983"/>
    <d v="1983-11-10T00:00:00"/>
    <n v="4039.9"/>
    <s v="tier - 2"/>
    <s v="tier - 1"/>
    <s v="R1013"/>
    <n v="43"/>
    <n v="33.1"/>
  </r>
  <r>
    <x v="443"/>
    <s v="Nielsen,"/>
    <n v="27.83"/>
    <x v="77"/>
    <s v="Yes"/>
    <x v="0"/>
    <x v="0"/>
    <x v="1"/>
    <x v="0"/>
    <x v="1"/>
    <x v="0"/>
    <n v="26"/>
    <s v="Dec"/>
    <n v="1993"/>
    <d v="1993-12-26T00:00:00"/>
    <n v="4040.56"/>
    <s v="tier - 3"/>
    <s v="tier - 3"/>
    <s v="R1015"/>
    <n v="33"/>
    <n v="27.83"/>
  </r>
  <r>
    <x v="444"/>
    <s v="Zirdok,"/>
    <n v="30.875"/>
    <x v="221"/>
    <s v="Yes"/>
    <x v="0"/>
    <x v="0"/>
    <x v="1"/>
    <x v="1"/>
    <x v="0"/>
    <x v="0"/>
    <n v="30"/>
    <s v="Nov"/>
    <n v="1988"/>
    <d v="1988-11-30T00:00:00"/>
    <n v="4047.94"/>
    <s v="tier - 2"/>
    <s v="tier - 1"/>
    <s v="R1013"/>
    <n v="38"/>
    <n v="30.875"/>
  </r>
  <r>
    <x v="445"/>
    <s v="Crudale,"/>
    <n v="27.265000000000001"/>
    <x v="69"/>
    <s v="No"/>
    <x v="0"/>
    <x v="1"/>
    <x v="1"/>
    <x v="1"/>
    <x v="1"/>
    <x v="2"/>
    <n v="13"/>
    <s v="Aug"/>
    <n v="1993"/>
    <d v="1993-08-13T00:00:00"/>
    <n v="4058.12"/>
    <s v="tier - 2"/>
    <s v="tier - 1"/>
    <s v="R1013"/>
    <n v="33"/>
    <n v="27.265000000000001"/>
  </r>
  <r>
    <x v="446"/>
    <s v="Koopmans,"/>
    <n v="26.7"/>
    <x v="182"/>
    <s v="No"/>
    <x v="0"/>
    <x v="1"/>
    <x v="1"/>
    <x v="0"/>
    <x v="1"/>
    <x v="2"/>
    <n v="14"/>
    <s v="Sep"/>
    <n v="1995"/>
    <d v="1995-09-14T00:00:00"/>
    <n v="4058.71"/>
    <s v="tier - 3"/>
    <s v="tier - 3"/>
    <s v="R1012"/>
    <n v="31"/>
    <n v="26.7"/>
  </r>
  <r>
    <x v="447"/>
    <s v="Milani,"/>
    <n v="29.925000000000001"/>
    <x v="10"/>
    <s v="Yes"/>
    <x v="0"/>
    <x v="1"/>
    <x v="1"/>
    <x v="0"/>
    <x v="1"/>
    <x v="1"/>
    <n v="16"/>
    <s v="Sep"/>
    <n v="1983"/>
    <d v="1983-09-16T00:00:00"/>
    <n v="4070.42"/>
    <s v="tier - 2"/>
    <s v="tier - 1"/>
    <s v="R1013"/>
    <n v="43"/>
    <n v="29.925000000000001"/>
  </r>
  <r>
    <x v="448"/>
    <s v="Kelly,"/>
    <n v="19.95"/>
    <x v="144"/>
    <s v="Yes"/>
    <x v="0"/>
    <x v="0"/>
    <x v="1"/>
    <x v="0"/>
    <x v="2"/>
    <x v="2"/>
    <n v="18"/>
    <s v="Oct"/>
    <n v="2002"/>
    <d v="2002-10-18T00:00:00"/>
    <n v="4070.51"/>
    <s v="tier - 2"/>
    <s v="tier - 1"/>
    <s v="R1012"/>
    <n v="24"/>
    <n v="19.95"/>
  </r>
  <r>
    <x v="449"/>
    <s v="Finelli,"/>
    <n v="24.225000000000001"/>
    <x v="197"/>
    <s v="No"/>
    <x v="0"/>
    <x v="0"/>
    <x v="0"/>
    <x v="1"/>
    <x v="2"/>
    <x v="2"/>
    <n v="1"/>
    <s v="Dec"/>
    <n v="1990"/>
    <d v="1990-12-01T00:00:00"/>
    <n v="4074.45"/>
    <s v="tier - 3"/>
    <s v="tier - 2"/>
    <s v="R1013"/>
    <n v="36"/>
    <n v="24.225000000000001"/>
  </r>
  <r>
    <x v="450"/>
    <s v="Palmer,"/>
    <n v="28.12"/>
    <x v="315"/>
    <s v="No"/>
    <x v="0"/>
    <x v="0"/>
    <x v="0"/>
    <x v="0"/>
    <x v="1"/>
    <x v="2"/>
    <n v="14"/>
    <s v="Dec"/>
    <n v="1990"/>
    <d v="1990-12-14T00:00:00"/>
    <n v="4076.5"/>
    <s v="tier - 2"/>
    <s v="tier - 3"/>
    <s v="R1011"/>
    <n v="36"/>
    <n v="28.12"/>
  </r>
  <r>
    <x v="451"/>
    <s v="Wang,"/>
    <n v="23.21"/>
    <x v="132"/>
    <s v="No"/>
    <x v="0"/>
    <x v="0"/>
    <x v="0"/>
    <x v="0"/>
    <x v="2"/>
    <x v="0"/>
    <n v="21"/>
    <s v="Aug"/>
    <n v="1994"/>
    <d v="1994-08-21T00:00:00"/>
    <n v="4133.6400000000003"/>
    <s v="tier - 2"/>
    <s v="tier - 3"/>
    <s v="R1012"/>
    <n v="32"/>
    <n v="23.21"/>
  </r>
  <r>
    <x v="452"/>
    <s v="Beasley,"/>
    <n v="23.98"/>
    <x v="156"/>
    <s v="No"/>
    <x v="0"/>
    <x v="0"/>
    <x v="0"/>
    <x v="1"/>
    <x v="2"/>
    <x v="0"/>
    <n v="6"/>
    <s v="Aug"/>
    <n v="1991"/>
    <d v="1991-08-06T00:00:00"/>
    <n v="4134.08"/>
    <s v="tier - 2"/>
    <s v="tier - 1"/>
    <s v="R1012"/>
    <n v="35"/>
    <n v="23.98"/>
  </r>
  <r>
    <x v="453"/>
    <s v="Bedbury,"/>
    <n v="30"/>
    <x v="200"/>
    <s v="No"/>
    <x v="0"/>
    <x v="0"/>
    <x v="0"/>
    <x v="0"/>
    <x v="0"/>
    <x v="1"/>
    <n v="18"/>
    <s v="Jun"/>
    <n v="1992"/>
    <d v="1992-06-18T00:00:00"/>
    <n v="4137.5200000000004"/>
    <s v="tier - 2"/>
    <s v="tier - 3"/>
    <s v="R1024"/>
    <n v="34"/>
    <n v="30"/>
  </r>
  <r>
    <x v="454"/>
    <s v="Stemberger,"/>
    <n v="17.350000000000001"/>
    <x v="52"/>
    <s v="Yes"/>
    <x v="0"/>
    <x v="0"/>
    <x v="0"/>
    <x v="0"/>
    <x v="3"/>
    <x v="2"/>
    <n v="28"/>
    <s v="Jun"/>
    <n v="1992"/>
    <d v="1992-06-28T00:00:00"/>
    <n v="4149.74"/>
    <s v="tier - 2"/>
    <s v="tier - 1"/>
    <s v="R1011"/>
    <n v="34"/>
    <n v="17.350000000000001"/>
  </r>
  <r>
    <x v="455"/>
    <s v="Chebet,"/>
    <n v="22.704999999999998"/>
    <x v="173"/>
    <s v="No"/>
    <x v="0"/>
    <x v="0"/>
    <x v="0"/>
    <x v="1"/>
    <x v="2"/>
    <x v="2"/>
    <n v="4"/>
    <s v="Aug"/>
    <n v="1992"/>
    <d v="1992-08-04T00:00:00"/>
    <n v="4151.03"/>
    <s v="tier - 2"/>
    <s v="tier - 2"/>
    <s v="R1013"/>
    <n v="34"/>
    <n v="22.704999999999998"/>
  </r>
  <r>
    <x v="456"/>
    <s v="Muir,"/>
    <n v="25.41"/>
    <x v="316"/>
    <s v="Yes"/>
    <x v="0"/>
    <x v="0"/>
    <x v="1"/>
    <x v="0"/>
    <x v="1"/>
    <x v="0"/>
    <n v="26"/>
    <s v="Nov"/>
    <n v="1998"/>
    <d v="1998-11-26T00:00:00"/>
    <n v="4154.97"/>
    <s v="tier - 2"/>
    <s v="tier - 1"/>
    <s v="R1012"/>
    <n v="28"/>
    <n v="25.41"/>
  </r>
  <r>
    <x v="457"/>
    <s v="Yang,"/>
    <n v="18.23"/>
    <x v="123"/>
    <s v="No"/>
    <x v="0"/>
    <x v="1"/>
    <x v="1"/>
    <x v="0"/>
    <x v="3"/>
    <x v="1"/>
    <n v="16"/>
    <s v="Sep"/>
    <n v="1984"/>
    <d v="1984-09-16T00:00:00"/>
    <n v="4163.21"/>
    <s v="tier - 2"/>
    <s v="tier - 2"/>
    <s v="R1012"/>
    <n v="42"/>
    <n v="18.23"/>
  </r>
  <r>
    <x v="458"/>
    <s v="Gravel,"/>
    <n v="24.7"/>
    <x v="67"/>
    <s v="No"/>
    <x v="0"/>
    <x v="1"/>
    <x v="1"/>
    <x v="0"/>
    <x v="2"/>
    <x v="2"/>
    <n v="25"/>
    <s v="Jun"/>
    <n v="1989"/>
    <d v="1989-06-25T00:00:00"/>
    <n v="4185.1000000000004"/>
    <s v="tier - 2"/>
    <s v="tier - 3"/>
    <s v="R1013"/>
    <n v="37"/>
    <n v="24.7"/>
  </r>
  <r>
    <x v="459"/>
    <s v="Smith,"/>
    <n v="37.4"/>
    <x v="317"/>
    <s v="Yes"/>
    <x v="0"/>
    <x v="1"/>
    <x v="1"/>
    <x v="1"/>
    <x v="0"/>
    <x v="0"/>
    <n v="3"/>
    <s v="Oct"/>
    <n v="1995"/>
    <d v="1995-10-03T00:00:00"/>
    <n v="4188.7299999999996"/>
    <s v="tier - 2"/>
    <s v="tier - 2"/>
    <s v="R1025"/>
    <n v="31"/>
    <n v="37.4"/>
  </r>
  <r>
    <x v="460"/>
    <s v="Williams,"/>
    <n v="26.885000000000002"/>
    <x v="107"/>
    <s v="No"/>
    <x v="0"/>
    <x v="1"/>
    <x v="1"/>
    <x v="0"/>
    <x v="1"/>
    <x v="2"/>
    <n v="6"/>
    <s v="Sep"/>
    <n v="1997"/>
    <d v="1997-09-06T00:00:00"/>
    <n v="4189.1099999999997"/>
    <s v="tier - 2"/>
    <s v="tier - 2"/>
    <s v="R1012"/>
    <n v="29"/>
    <n v="26.885000000000002"/>
  </r>
  <r>
    <x v="461"/>
    <s v="Meyer,"/>
    <n v="25.27"/>
    <x v="318"/>
    <s v="No"/>
    <x v="0"/>
    <x v="1"/>
    <x v="1"/>
    <x v="0"/>
    <x v="1"/>
    <x v="2"/>
    <n v="14"/>
    <s v="Dec"/>
    <n v="1998"/>
    <d v="1998-12-14T00:00:00"/>
    <n v="4234.93"/>
    <s v="tier - 2"/>
    <s v="tier - 1"/>
    <s v="R1011"/>
    <n v="28"/>
    <n v="25.27"/>
  </r>
  <r>
    <x v="462"/>
    <s v="Jamieson,"/>
    <n v="23.655000000000001"/>
    <x v="319"/>
    <s v="Yes"/>
    <x v="0"/>
    <x v="0"/>
    <x v="0"/>
    <x v="0"/>
    <x v="2"/>
    <x v="2"/>
    <n v="27"/>
    <s v="Jun"/>
    <n v="1992"/>
    <d v="1992-06-27T00:00:00"/>
    <n v="4237.13"/>
    <s v="tier - 3"/>
    <s v="tier - 1"/>
    <s v="R1016"/>
    <n v="34"/>
    <n v="23.655000000000001"/>
  </r>
  <r>
    <x v="463"/>
    <s v="Dufeal,"/>
    <n v="55.05"/>
    <x v="223"/>
    <s v="No"/>
    <x v="0"/>
    <x v="0"/>
    <x v="0"/>
    <x v="1"/>
    <x v="0"/>
    <x v="0"/>
    <n v="3"/>
    <s v="Nov"/>
    <n v="1991"/>
    <d v="1991-11-03T00:00:00"/>
    <n v="4239.8900000000003"/>
    <s v="tier - 2"/>
    <s v="tier - 2"/>
    <s v="R1012"/>
    <n v="35"/>
    <n v="55.05"/>
  </r>
  <r>
    <x v="464"/>
    <s v="Sansonetti,"/>
    <n v="24.89"/>
    <x v="148"/>
    <s v="Yes"/>
    <x v="0"/>
    <x v="1"/>
    <x v="1"/>
    <x v="0"/>
    <x v="2"/>
    <x v="1"/>
    <n v="1"/>
    <s v="Dec"/>
    <n v="1991"/>
    <d v="1991-12-01T00:00:00"/>
    <n v="4243.59"/>
    <s v="tier - 3"/>
    <s v="tier - 1"/>
    <s v="R1012"/>
    <n v="35"/>
    <n v="24.89"/>
  </r>
  <r>
    <x v="465"/>
    <s v="Koneazny,"/>
    <n v="18.715"/>
    <x v="320"/>
    <s v="No"/>
    <x v="0"/>
    <x v="0"/>
    <x v="0"/>
    <x v="1"/>
    <x v="2"/>
    <x v="2"/>
    <n v="16"/>
    <s v="Jun"/>
    <n v="1982"/>
    <d v="1982-06-16T00:00:00"/>
    <n v="4250.24"/>
    <s v="tier - 2"/>
    <s v="tier - 3"/>
    <s v="R1013"/>
    <n v="44"/>
    <n v="18.715"/>
  </r>
  <r>
    <x v="466"/>
    <s v="Johnson,"/>
    <n v="28.12"/>
    <x v="259"/>
    <s v="No"/>
    <x v="0"/>
    <x v="0"/>
    <x v="0"/>
    <x v="0"/>
    <x v="1"/>
    <x v="1"/>
    <n v="14"/>
    <s v="Oct"/>
    <n v="1995"/>
    <d v="1995-10-14T00:00:00"/>
    <n v="4260.74"/>
    <s v="tier - 3"/>
    <s v="tier - 2"/>
    <s v="R1011"/>
    <n v="31"/>
    <n v="28.12"/>
  </r>
  <r>
    <x v="467"/>
    <s v="Glasson,"/>
    <n v="26.6"/>
    <x v="165"/>
    <s v="No"/>
    <x v="0"/>
    <x v="0"/>
    <x v="0"/>
    <x v="0"/>
    <x v="1"/>
    <x v="2"/>
    <n v="20"/>
    <s v="Nov"/>
    <n v="1983"/>
    <d v="1983-11-20T00:00:00"/>
    <n v="4265.01"/>
    <s v="tier - 2"/>
    <s v="tier - 1"/>
    <s v="R1012"/>
    <n v="43"/>
    <n v="26.6"/>
  </r>
  <r>
    <x v="468"/>
    <s v="Canitz,"/>
    <n v="30.114999999999998"/>
    <x v="233"/>
    <s v="No"/>
    <x v="1"/>
    <x v="0"/>
    <x v="1"/>
    <x v="1"/>
    <x v="0"/>
    <x v="2"/>
    <n v="18"/>
    <s v="Jun"/>
    <n v="1992"/>
    <d v="1992-06-18T00:00:00"/>
    <n v="4266.17"/>
    <s v="tier - 3"/>
    <s v="tier - 2"/>
    <s v="R1013"/>
    <n v="34"/>
    <n v="30.114999999999998"/>
  </r>
  <r>
    <x v="469"/>
    <s v="Li,"/>
    <n v="24.605"/>
    <x v="233"/>
    <s v="No"/>
    <x v="0"/>
    <x v="0"/>
    <x v="0"/>
    <x v="0"/>
    <x v="2"/>
    <x v="2"/>
    <n v="8"/>
    <s v="Jun"/>
    <n v="2003"/>
    <d v="2003-06-08T00:00:00"/>
    <n v="4278.55"/>
    <s v="tier - 2"/>
    <s v="tier - 1"/>
    <s v="R1021"/>
    <n v="23"/>
    <n v="24.605"/>
  </r>
  <r>
    <x v="470"/>
    <s v="Parsons,"/>
    <n v="29.6"/>
    <x v="321"/>
    <s v="No"/>
    <x v="0"/>
    <x v="0"/>
    <x v="0"/>
    <x v="1"/>
    <x v="1"/>
    <x v="0"/>
    <n v="25"/>
    <s v="Nov"/>
    <n v="2000"/>
    <d v="2000-11-25T00:00:00"/>
    <n v="4296.2700000000004"/>
    <s v="tier - 2"/>
    <s v="tier - 3"/>
    <s v="R1012"/>
    <n v="26"/>
    <n v="29.6"/>
  </r>
  <r>
    <x v="471"/>
    <s v="Raulli,"/>
    <n v="24.42"/>
    <x v="322"/>
    <s v="No"/>
    <x v="0"/>
    <x v="0"/>
    <x v="0"/>
    <x v="0"/>
    <x v="2"/>
    <x v="0"/>
    <n v="19"/>
    <s v="Dec"/>
    <n v="1988"/>
    <d v="1988-12-19T00:00:00"/>
    <n v="4320.41"/>
    <s v="tier - 2"/>
    <s v="tier - 1"/>
    <s v="R1012"/>
    <n v="38"/>
    <n v="24.42"/>
  </r>
  <r>
    <x v="472"/>
    <s v="Frome,"/>
    <n v="20.9"/>
    <x v="188"/>
    <s v="Yes"/>
    <x v="0"/>
    <x v="1"/>
    <x v="1"/>
    <x v="0"/>
    <x v="2"/>
    <x v="2"/>
    <n v="2"/>
    <s v="Nov"/>
    <n v="1994"/>
    <d v="1994-11-02T00:00:00"/>
    <n v="4337.74"/>
    <s v="tier - 2"/>
    <s v="tier - 1"/>
    <s v="R1024"/>
    <n v="32"/>
    <n v="20.9"/>
  </r>
  <r>
    <x v="473"/>
    <s v="Sevcik,"/>
    <n v="22.895"/>
    <x v="100"/>
    <s v="No"/>
    <x v="0"/>
    <x v="0"/>
    <x v="0"/>
    <x v="0"/>
    <x v="2"/>
    <x v="1"/>
    <n v="26"/>
    <s v="Oct"/>
    <n v="1994"/>
    <d v="1994-10-26T00:00:00"/>
    <n v="4340.4399999999996"/>
    <s v="tier - 2"/>
    <s v="tier - 1"/>
    <s v="R1013"/>
    <n v="32"/>
    <n v="22.895"/>
  </r>
  <r>
    <x v="474"/>
    <s v="Narang,"/>
    <n v="28.3"/>
    <x v="323"/>
    <s v="Yes"/>
    <x v="0"/>
    <x v="1"/>
    <x v="1"/>
    <x v="0"/>
    <x v="1"/>
    <x v="2"/>
    <n v="1"/>
    <s v="Jun"/>
    <n v="1991"/>
    <d v="1991-06-01T00:00:00"/>
    <n v="4347.0200000000004"/>
    <s v="tier - 2"/>
    <s v="tier - 1"/>
    <s v="R1024"/>
    <n v="35"/>
    <n v="28.3"/>
  </r>
  <r>
    <x v="475"/>
    <s v="Royston,"/>
    <n v="54.3"/>
    <x v="324"/>
    <s v="Yes"/>
    <x v="0"/>
    <x v="0"/>
    <x v="1"/>
    <x v="1"/>
    <x v="0"/>
    <x v="2"/>
    <n v="1"/>
    <s v="Nov"/>
    <n v="1994"/>
    <d v="1994-11-01T00:00:00"/>
    <n v="4349.46"/>
    <s v="tier - 2"/>
    <s v="tier - 2"/>
    <s v="R1013"/>
    <n v="32"/>
    <n v="54.3"/>
  </r>
  <r>
    <x v="476"/>
    <s v="Tieri,"/>
    <n v="33.344999999999999"/>
    <x v="15"/>
    <s v="Yes"/>
    <x v="0"/>
    <x v="0"/>
    <x v="1"/>
    <x v="1"/>
    <x v="0"/>
    <x v="0"/>
    <n v="13"/>
    <s v="Sep"/>
    <n v="1991"/>
    <d v="1991-09-13T00:00:00"/>
    <n v="4350.51"/>
    <s v="tier - 2"/>
    <s v="tier - 2"/>
    <s v="R1013"/>
    <n v="35"/>
    <n v="33.344999999999999"/>
  </r>
  <r>
    <x v="477"/>
    <s v="Whitney,"/>
    <n v="33"/>
    <x v="118"/>
    <s v="Yes"/>
    <x v="0"/>
    <x v="0"/>
    <x v="0"/>
    <x v="1"/>
    <x v="0"/>
    <x v="0"/>
    <n v="28"/>
    <s v="Aug"/>
    <n v="1990"/>
    <d v="1990-08-28T00:00:00"/>
    <n v="4357.04"/>
    <s v="tier - 2"/>
    <s v="tier - 3"/>
    <s v="R1012"/>
    <n v="36"/>
    <n v="33"/>
  </r>
  <r>
    <x v="478"/>
    <s v="Wandzilak,"/>
    <n v="28.024999999999999"/>
    <x v="16"/>
    <s v="Yes"/>
    <x v="0"/>
    <x v="0"/>
    <x v="1"/>
    <x v="0"/>
    <x v="1"/>
    <x v="0"/>
    <n v="29"/>
    <s v="Nov"/>
    <n v="1997"/>
    <d v="1997-11-29T00:00:00"/>
    <n v="4391.6499999999996"/>
    <s v="tier - 2"/>
    <s v="tier - 2"/>
    <s v="R1011"/>
    <n v="29"/>
    <n v="28.024999999999999"/>
  </r>
  <r>
    <x v="479"/>
    <s v="Valenzona,"/>
    <n v="28.69"/>
    <x v="195"/>
    <s v="No"/>
    <x v="0"/>
    <x v="0"/>
    <x v="1"/>
    <x v="0"/>
    <x v="1"/>
    <x v="1"/>
    <n v="29"/>
    <s v="Jun"/>
    <n v="1982"/>
    <d v="1982-06-29T00:00:00"/>
    <n v="4392.7"/>
    <s v="tier - 2"/>
    <s v="tier - 2"/>
    <s v="R1013"/>
    <n v="44"/>
    <n v="28.69"/>
  </r>
  <r>
    <x v="480"/>
    <s v="Young,"/>
    <n v="40.28"/>
    <x v="142"/>
    <s v="No"/>
    <x v="0"/>
    <x v="0"/>
    <x v="0"/>
    <x v="1"/>
    <x v="0"/>
    <x v="0"/>
    <n v="18"/>
    <s v="Jul"/>
    <n v="1988"/>
    <d v="1988-07-18T00:00:00"/>
    <n v="4397.3100000000004"/>
    <s v="tier - 2"/>
    <s v="tier - 2"/>
    <s v="R1013"/>
    <n v="38"/>
    <n v="40.28"/>
  </r>
  <r>
    <x v="481"/>
    <s v="Richards,"/>
    <n v="37.299999999999997"/>
    <x v="230"/>
    <s v="Yes"/>
    <x v="0"/>
    <x v="0"/>
    <x v="0"/>
    <x v="1"/>
    <x v="0"/>
    <x v="0"/>
    <n v="11"/>
    <s v="Aug"/>
    <n v="1986"/>
    <d v="1986-08-11T00:00:00"/>
    <n v="4399.7299999999996"/>
    <s v="tier - 3"/>
    <s v="tier - 2"/>
    <s v="R1013"/>
    <n v="40"/>
    <n v="37.299999999999997"/>
  </r>
  <r>
    <x v="482"/>
    <s v="Alexson,"/>
    <n v="54.47"/>
    <x v="325"/>
    <s v="Yes"/>
    <x v="0"/>
    <x v="0"/>
    <x v="1"/>
    <x v="1"/>
    <x v="0"/>
    <x v="2"/>
    <n v="13"/>
    <s v="Jul"/>
    <n v="1986"/>
    <d v="1986-07-13T00:00:00"/>
    <n v="4402.2299999999996"/>
    <s v="tier - 2"/>
    <s v="tier - 2"/>
    <s v="R1011"/>
    <n v="40"/>
    <n v="54.47"/>
  </r>
  <r>
    <x v="483"/>
    <s v="Wright,"/>
    <n v="38.06"/>
    <x v="219"/>
    <s v="Yes"/>
    <x v="0"/>
    <x v="1"/>
    <x v="1"/>
    <x v="1"/>
    <x v="0"/>
    <x v="2"/>
    <n v="16"/>
    <s v="Sep"/>
    <n v="1988"/>
    <d v="1988-09-16T00:00:00"/>
    <n v="4415.16"/>
    <s v="tier - 2"/>
    <s v="tier - 1"/>
    <s v="R1013"/>
    <n v="38"/>
    <n v="38.06"/>
  </r>
  <r>
    <x v="484"/>
    <s v="McKenna,"/>
    <n v="51.47"/>
    <x v="326"/>
    <s v="No"/>
    <x v="0"/>
    <x v="0"/>
    <x v="0"/>
    <x v="1"/>
    <x v="0"/>
    <x v="0"/>
    <n v="15"/>
    <s v="Aug"/>
    <n v="1992"/>
    <d v="1992-08-15T00:00:00"/>
    <n v="4420.95"/>
    <s v="tier - 2"/>
    <s v="tier - 3"/>
    <s v="R1020"/>
    <n v="34"/>
    <n v="51.47"/>
  </r>
  <r>
    <x v="485"/>
    <s v="Sallade,"/>
    <n v="29.8"/>
    <x v="123"/>
    <s v="Yes"/>
    <x v="0"/>
    <x v="0"/>
    <x v="0"/>
    <x v="1"/>
    <x v="1"/>
    <x v="1"/>
    <n v="29"/>
    <s v="Dec"/>
    <n v="1994"/>
    <d v="1994-12-29T00:00:00"/>
    <n v="4428.8900000000003"/>
    <s v="tier - 3"/>
    <s v="tier - 1"/>
    <s v="R1017"/>
    <n v="32"/>
    <n v="29.8"/>
  </r>
  <r>
    <x v="486"/>
    <s v="Argall,"/>
    <n v="49.77"/>
    <x v="13"/>
    <s v="No"/>
    <x v="0"/>
    <x v="0"/>
    <x v="0"/>
    <x v="1"/>
    <x v="0"/>
    <x v="0"/>
    <n v="4"/>
    <s v="Sep"/>
    <n v="1993"/>
    <d v="1993-09-04T00:00:00"/>
    <n v="4433.3900000000003"/>
    <s v="tier - 2"/>
    <s v="tier - 3"/>
    <s v="R1012"/>
    <n v="33"/>
    <n v="49.77"/>
  </r>
  <r>
    <x v="487"/>
    <s v="Patchell,"/>
    <n v="25.555"/>
    <x v="197"/>
    <s v="Yes"/>
    <x v="0"/>
    <x v="0"/>
    <x v="0"/>
    <x v="0"/>
    <x v="1"/>
    <x v="2"/>
    <n v="23"/>
    <s v="Dec"/>
    <n v="1993"/>
    <d v="1993-12-23T00:00:00"/>
    <n v="4433.92"/>
    <s v="tier - 2"/>
    <s v="tier - 2"/>
    <s v="R1012"/>
    <n v="33"/>
    <n v="25.555"/>
  </r>
  <r>
    <x v="488"/>
    <s v="Catoggio,"/>
    <n v="29.64"/>
    <x v="327"/>
    <s v="No"/>
    <x v="0"/>
    <x v="1"/>
    <x v="1"/>
    <x v="1"/>
    <x v="1"/>
    <x v="2"/>
    <n v="8"/>
    <s v="Oct"/>
    <n v="1994"/>
    <d v="1994-10-08T00:00:00"/>
    <n v="4435.09"/>
    <s v="tier - 3"/>
    <s v="tier - 2"/>
    <s v="R1016"/>
    <n v="32"/>
    <n v="29.64"/>
  </r>
  <r>
    <x v="489"/>
    <s v="Adams,"/>
    <n v="53.93"/>
    <x v="45"/>
    <s v="Yes"/>
    <x v="0"/>
    <x v="0"/>
    <x v="1"/>
    <x v="1"/>
    <x v="0"/>
    <x v="2"/>
    <n v="24"/>
    <s v="Oct"/>
    <n v="1994"/>
    <d v="1994-10-24T00:00:00"/>
    <n v="4438.26"/>
    <s v="tier - 2"/>
    <s v="tier - 3"/>
    <s v="R1017"/>
    <n v="32"/>
    <n v="53.93"/>
  </r>
  <r>
    <x v="490"/>
    <s v="Windt,"/>
    <n v="28.024999999999999"/>
    <x v="120"/>
    <s v="No"/>
    <x v="0"/>
    <x v="0"/>
    <x v="1"/>
    <x v="0"/>
    <x v="1"/>
    <x v="2"/>
    <n v="3"/>
    <s v="Sep"/>
    <n v="1991"/>
    <d v="1991-09-03T00:00:00"/>
    <n v="4441.21"/>
    <s v="tier - 1"/>
    <s v="tier - 2"/>
    <s v="R1014"/>
    <n v="35"/>
    <n v="28.024999999999999"/>
  </r>
  <r>
    <x v="491"/>
    <s v="Ryan,"/>
    <n v="27.5"/>
    <x v="325"/>
    <s v="No"/>
    <x v="0"/>
    <x v="0"/>
    <x v="0"/>
    <x v="1"/>
    <x v="1"/>
    <x v="2"/>
    <n v="28"/>
    <s v="Jun"/>
    <n v="1994"/>
    <d v="1994-06-28T00:00:00"/>
    <n v="4449.46"/>
    <s v="tier - 1"/>
    <s v="tier - 2"/>
    <s v="R1013"/>
    <n v="32"/>
    <n v="27.5"/>
  </r>
  <r>
    <x v="492"/>
    <s v="Marion,"/>
    <n v="21.8"/>
    <x v="110"/>
    <s v="No"/>
    <x v="0"/>
    <x v="0"/>
    <x v="0"/>
    <x v="0"/>
    <x v="2"/>
    <x v="0"/>
    <n v="8"/>
    <s v="Aug"/>
    <n v="1990"/>
    <d v="1990-08-08T00:00:00"/>
    <n v="4454.3999999999996"/>
    <s v="tier - 2"/>
    <s v="tier - 3"/>
    <s v="R1012"/>
    <n v="36"/>
    <n v="21.8"/>
  </r>
  <r>
    <x v="493"/>
    <s v="Raffetto,"/>
    <n v="26.41"/>
    <x v="328"/>
    <s v="Yes"/>
    <x v="0"/>
    <x v="1"/>
    <x v="1"/>
    <x v="0"/>
    <x v="1"/>
    <x v="2"/>
    <n v="15"/>
    <s v="Jul"/>
    <n v="1990"/>
    <d v="1990-07-15T00:00:00"/>
    <n v="4462.72"/>
    <s v="tier - 2"/>
    <s v="tier - 3"/>
    <s v="R1012"/>
    <n v="36"/>
    <n v="26.41"/>
  </r>
  <r>
    <x v="494"/>
    <s v="Young,"/>
    <n v="27.835000000000001"/>
    <x v="229"/>
    <s v="Yes"/>
    <x v="0"/>
    <x v="0"/>
    <x v="1"/>
    <x v="0"/>
    <x v="1"/>
    <x v="1"/>
    <n v="4"/>
    <s v="Jul"/>
    <n v="1991"/>
    <d v="1991-07-04T00:00:00"/>
    <n v="4463.21"/>
    <s v="tier - 3"/>
    <s v="tier - 3"/>
    <s v="R1013"/>
    <n v="35"/>
    <n v="27.835000000000001"/>
  </r>
  <r>
    <x v="495"/>
    <s v="Oehlke,"/>
    <n v="51.74"/>
    <x v="244"/>
    <s v="Yes"/>
    <x v="0"/>
    <x v="0"/>
    <x v="1"/>
    <x v="1"/>
    <x v="0"/>
    <x v="2"/>
    <n v="20"/>
    <s v="Nov"/>
    <n v="1999"/>
    <d v="1999-11-20T00:00:00"/>
    <n v="4466.62"/>
    <s v="tier - 2"/>
    <s v="tier - 2"/>
    <s v="R1012"/>
    <n v="27"/>
    <n v="51.74"/>
  </r>
  <r>
    <x v="496"/>
    <s v="Sudol,"/>
    <n v="23.37"/>
    <x v="329"/>
    <s v="No"/>
    <x v="0"/>
    <x v="0"/>
    <x v="0"/>
    <x v="0"/>
    <x v="2"/>
    <x v="1"/>
    <n v="18"/>
    <s v="Jul"/>
    <n v="2004"/>
    <d v="2004-07-18T00:00:00"/>
    <n v="4468.25"/>
    <s v="tier - 2"/>
    <s v="tier - 2"/>
    <s v="R1012"/>
    <n v="22"/>
    <n v="23.37"/>
  </r>
  <r>
    <x v="497"/>
    <s v="Van"/>
    <n v="29.7"/>
    <x v="200"/>
    <s v="Yes"/>
    <x v="0"/>
    <x v="1"/>
    <x v="1"/>
    <x v="0"/>
    <x v="1"/>
    <x v="1"/>
    <n v="12"/>
    <s v="Jul"/>
    <n v="1992"/>
    <d v="1992-07-12T00:00:00"/>
    <n v="4488.58"/>
    <s v="tier - 2"/>
    <s v="tier - 3"/>
    <s v="R1012"/>
    <n v="34"/>
    <n v="29.7"/>
  </r>
  <r>
    <x v="498"/>
    <s v="Dolge,"/>
    <n v="20.045000000000002"/>
    <x v="330"/>
    <s v="No"/>
    <x v="0"/>
    <x v="1"/>
    <x v="1"/>
    <x v="0"/>
    <x v="2"/>
    <x v="1"/>
    <n v="26"/>
    <s v="Jun"/>
    <n v="1988"/>
    <d v="1988-06-26T00:00:00"/>
    <n v="4500.34"/>
    <s v="tier - 2"/>
    <s v="tier - 1"/>
    <s v="R1017"/>
    <n v="38"/>
    <n v="20.045000000000002"/>
  </r>
  <r>
    <x v="499"/>
    <s v="Marlier,"/>
    <n v="27.83"/>
    <x v="331"/>
    <s v="No"/>
    <x v="0"/>
    <x v="0"/>
    <x v="1"/>
    <x v="1"/>
    <x v="1"/>
    <x v="2"/>
    <n v="13"/>
    <s v="Oct"/>
    <n v="1997"/>
    <d v="1997-10-13T00:00:00"/>
    <n v="4504.66"/>
    <s v="tier - 1"/>
    <s v="tier - 2"/>
    <s v="R1013"/>
    <n v="29"/>
    <n v="27.83"/>
  </r>
  <r>
    <x v="500"/>
    <s v="Girard,"/>
    <n v="28.93"/>
    <x v="112"/>
    <s v="No"/>
    <x v="0"/>
    <x v="0"/>
    <x v="0"/>
    <x v="0"/>
    <x v="1"/>
    <x v="2"/>
    <n v="27"/>
    <s v="Sep"/>
    <n v="1982"/>
    <d v="1982-09-27T00:00:00"/>
    <n v="4511.41"/>
    <s v="tier - 2"/>
    <s v="tier - 3"/>
    <s v="R1013"/>
    <n v="44"/>
    <n v="28.93"/>
  </r>
  <r>
    <x v="501"/>
    <s v="Lee,"/>
    <n v="33.82"/>
    <x v="140"/>
    <s v="No"/>
    <x v="0"/>
    <x v="0"/>
    <x v="0"/>
    <x v="1"/>
    <x v="0"/>
    <x v="2"/>
    <n v="16"/>
    <s v="Jun"/>
    <n v="1980"/>
    <d v="1980-06-16T00:00:00"/>
    <n v="4515.71"/>
    <s v="tier - 2"/>
    <s v="tier - 3"/>
    <s v="R1013"/>
    <n v="46"/>
    <n v="33.82"/>
  </r>
  <r>
    <x v="502"/>
    <s v="Hubbard,"/>
    <n v="20.234999999999999"/>
    <x v="181"/>
    <s v="No"/>
    <x v="0"/>
    <x v="0"/>
    <x v="0"/>
    <x v="0"/>
    <x v="2"/>
    <x v="0"/>
    <n v="2"/>
    <s v="Oct"/>
    <n v="2003"/>
    <d v="2003-10-02T00:00:00"/>
    <n v="4518.3999999999996"/>
    <s v="tier - 2"/>
    <s v="tier - 3"/>
    <s v="R1026"/>
    <n v="23"/>
    <n v="20.234999999999999"/>
  </r>
  <r>
    <x v="503"/>
    <s v="Koester,"/>
    <n v="49.2"/>
    <x v="332"/>
    <s v="Yes"/>
    <x v="0"/>
    <x v="1"/>
    <x v="1"/>
    <x v="1"/>
    <x v="0"/>
    <x v="0"/>
    <n v="5"/>
    <s v="Dec"/>
    <n v="1987"/>
    <d v="1987-12-05T00:00:00"/>
    <n v="4518.7700000000004"/>
    <s v="tier - 2"/>
    <s v="tier - 3"/>
    <s v="R1012"/>
    <n v="39"/>
    <n v="49.2"/>
  </r>
  <r>
    <x v="504"/>
    <s v="Matthews,"/>
    <n v="26.4"/>
    <x v="189"/>
    <s v="Yes"/>
    <x v="0"/>
    <x v="0"/>
    <x v="0"/>
    <x v="0"/>
    <x v="1"/>
    <x v="2"/>
    <n v="21"/>
    <s v="Dec"/>
    <n v="1988"/>
    <d v="1988-12-21T00:00:00"/>
    <n v="4518.83"/>
    <s v="tier - 2"/>
    <s v="tier - 2"/>
    <s v="R1017"/>
    <n v="38"/>
    <n v="26.4"/>
  </r>
  <r>
    <x v="505"/>
    <s v="Rubinich,"/>
    <n v="28.38"/>
    <x v="6"/>
    <s v="No"/>
    <x v="0"/>
    <x v="0"/>
    <x v="1"/>
    <x v="0"/>
    <x v="1"/>
    <x v="1"/>
    <n v="13"/>
    <s v="Aug"/>
    <n v="1992"/>
    <d v="1992-08-13T00:00:00"/>
    <n v="4527.18"/>
    <s v="tier - 2"/>
    <s v="tier - 2"/>
    <s v="R1012"/>
    <n v="34"/>
    <n v="28.38"/>
  </r>
  <r>
    <x v="506"/>
    <s v="Alban,"/>
    <n v="24.64"/>
    <x v="279"/>
    <s v="No"/>
    <x v="0"/>
    <x v="0"/>
    <x v="0"/>
    <x v="0"/>
    <x v="2"/>
    <x v="2"/>
    <n v="29"/>
    <s v="Jun"/>
    <n v="1993"/>
    <d v="1993-06-29T00:00:00"/>
    <n v="4529.4799999999996"/>
    <s v="tier - 2"/>
    <s v="tier - 1"/>
    <s v="R1011"/>
    <n v="33"/>
    <n v="24.64"/>
  </r>
  <r>
    <x v="507"/>
    <s v="Corcoran,"/>
    <n v="39.71"/>
    <x v="333"/>
    <s v="No"/>
    <x v="0"/>
    <x v="0"/>
    <x v="1"/>
    <x v="1"/>
    <x v="0"/>
    <x v="1"/>
    <n v="13"/>
    <s v="Jun"/>
    <n v="1988"/>
    <d v="1988-06-13T00:00:00"/>
    <n v="4536.26"/>
    <s v="tier - 2"/>
    <s v="tier - 2"/>
    <s v="R1011"/>
    <n v="38"/>
    <n v="39.71"/>
  </r>
  <r>
    <x v="508"/>
    <s v="Sargent,"/>
    <n v="22.22"/>
    <x v="334"/>
    <s v="No"/>
    <x v="0"/>
    <x v="0"/>
    <x v="0"/>
    <x v="0"/>
    <x v="2"/>
    <x v="2"/>
    <n v="17"/>
    <s v="Nov"/>
    <n v="1990"/>
    <d v="1990-11-17T00:00:00"/>
    <n v="4544.2299999999996"/>
    <s v="tier - 2"/>
    <s v="tier - 1"/>
    <s v="R1024"/>
    <n v="36"/>
    <n v="22.22"/>
  </r>
  <r>
    <x v="509"/>
    <s v="Watson,"/>
    <n v="33.344999999999999"/>
    <x v="270"/>
    <s v="No"/>
    <x v="0"/>
    <x v="1"/>
    <x v="1"/>
    <x v="1"/>
    <x v="0"/>
    <x v="2"/>
    <n v="22"/>
    <s v="Dec"/>
    <n v="2004"/>
    <d v="2004-12-22T00:00:00"/>
    <n v="4561.1899999999996"/>
    <s v="tier - 2"/>
    <s v="tier - 2"/>
    <s v="R1024"/>
    <n v="22"/>
    <n v="33.344999999999999"/>
  </r>
  <r>
    <x v="510"/>
    <s v="Esponda,"/>
    <n v="24.42"/>
    <x v="335"/>
    <s v="No"/>
    <x v="0"/>
    <x v="0"/>
    <x v="1"/>
    <x v="0"/>
    <x v="2"/>
    <x v="1"/>
    <n v="20"/>
    <s v="Sep"/>
    <n v="1990"/>
    <d v="1990-09-20T00:00:00"/>
    <n v="4562.84"/>
    <s v="tier - 2"/>
    <s v="tier - 2"/>
    <s v="R1013"/>
    <n v="36"/>
    <n v="24.42"/>
  </r>
  <r>
    <x v="511"/>
    <s v="Krall,"/>
    <n v="29.81"/>
    <x v="224"/>
    <s v="No"/>
    <x v="0"/>
    <x v="0"/>
    <x v="0"/>
    <x v="0"/>
    <x v="1"/>
    <x v="2"/>
    <n v="25"/>
    <s v="Dec"/>
    <n v="1996"/>
    <d v="1996-12-25T00:00:00"/>
    <n v="4564.1899999999996"/>
    <s v="tier - 2"/>
    <s v="tier - 2"/>
    <s v="R1024"/>
    <n v="30"/>
    <n v="29.81"/>
  </r>
  <r>
    <x v="512"/>
    <s v="Poskin,"/>
    <n v="51.18"/>
    <x v="171"/>
    <s v="Yes"/>
    <x v="0"/>
    <x v="0"/>
    <x v="1"/>
    <x v="1"/>
    <x v="0"/>
    <x v="2"/>
    <n v="18"/>
    <s v="Sep"/>
    <n v="1989"/>
    <d v="1989-09-18T00:00:00"/>
    <n v="4571.41"/>
    <s v="tier - 2"/>
    <s v="tier - 2"/>
    <s v="R1012"/>
    <n v="37"/>
    <n v="51.18"/>
  </r>
  <r>
    <x v="513"/>
    <s v="Halfmann,"/>
    <n v="51.37"/>
    <x v="222"/>
    <s v="Yes"/>
    <x v="0"/>
    <x v="0"/>
    <x v="0"/>
    <x v="1"/>
    <x v="0"/>
    <x v="0"/>
    <n v="2"/>
    <s v="Jul"/>
    <n v="2000"/>
    <d v="2000-07-02T00:00:00"/>
    <n v="4608.03"/>
    <s v="tier - 2"/>
    <s v="tier - 3"/>
    <s v="R1011"/>
    <n v="26"/>
    <n v="51.37"/>
  </r>
  <r>
    <x v="514"/>
    <s v="Klapper,"/>
    <n v="36.19"/>
    <x v="314"/>
    <s v="Yes"/>
    <x v="0"/>
    <x v="0"/>
    <x v="0"/>
    <x v="1"/>
    <x v="0"/>
    <x v="2"/>
    <n v="29"/>
    <s v="Jun"/>
    <n v="1998"/>
    <d v="1998-06-29T00:00:00"/>
    <n v="4618.08"/>
    <s v="tier - 2"/>
    <s v="tier - 1"/>
    <s v="R1012"/>
    <n v="28"/>
    <n v="36.19"/>
  </r>
  <r>
    <x v="515"/>
    <s v="George,"/>
    <n v="25.9"/>
    <x v="95"/>
    <s v="No"/>
    <x v="0"/>
    <x v="0"/>
    <x v="0"/>
    <x v="0"/>
    <x v="1"/>
    <x v="2"/>
    <n v="22"/>
    <s v="Jun"/>
    <n v="1985"/>
    <d v="1985-06-22T00:00:00"/>
    <n v="4646.76"/>
    <s v="tier - 1"/>
    <s v="tier - 1"/>
    <s v="R1011"/>
    <n v="41"/>
    <n v="25.9"/>
  </r>
  <r>
    <x v="516"/>
    <s v="Hicks,"/>
    <n v="35.72"/>
    <x v="336"/>
    <s v="No"/>
    <x v="0"/>
    <x v="1"/>
    <x v="1"/>
    <x v="1"/>
    <x v="0"/>
    <x v="2"/>
    <n v="25"/>
    <s v="Oct"/>
    <n v="1996"/>
    <d v="1996-10-25T00:00:00"/>
    <n v="4661.29"/>
    <s v="tier - 2"/>
    <s v="tier - 1"/>
    <s v="R1017"/>
    <n v="30"/>
    <n v="35.72"/>
  </r>
  <r>
    <x v="517"/>
    <s v="Lockyer,"/>
    <n v="27.94"/>
    <x v="337"/>
    <s v="No"/>
    <x v="0"/>
    <x v="1"/>
    <x v="1"/>
    <x v="0"/>
    <x v="1"/>
    <x v="2"/>
    <n v="5"/>
    <s v="Aug"/>
    <n v="1990"/>
    <d v="1990-08-05T00:00:00"/>
    <n v="4667.6099999999997"/>
    <s v="tier - 3"/>
    <s v="tier - 3"/>
    <s v="R1016"/>
    <n v="36"/>
    <n v="27.94"/>
  </r>
  <r>
    <x v="518"/>
    <s v="Byrnes,"/>
    <n v="27.1"/>
    <x v="208"/>
    <s v="No"/>
    <x v="0"/>
    <x v="0"/>
    <x v="0"/>
    <x v="0"/>
    <x v="1"/>
    <x v="1"/>
    <n v="26"/>
    <s v="Sep"/>
    <n v="1990"/>
    <d v="1990-09-26T00:00:00"/>
    <n v="4670.6400000000003"/>
    <s v="tier - 2"/>
    <s v="tier - 2"/>
    <s v="R1011"/>
    <n v="36"/>
    <n v="27.1"/>
  </r>
  <r>
    <x v="519"/>
    <s v="Norris,"/>
    <n v="18.3"/>
    <x v="338"/>
    <s v="Yes"/>
    <x v="0"/>
    <x v="1"/>
    <x v="1"/>
    <x v="0"/>
    <x v="3"/>
    <x v="2"/>
    <n v="13"/>
    <s v="Jul"/>
    <n v="1990"/>
    <d v="1990-07-13T00:00:00"/>
    <n v="4673.3900000000003"/>
    <s v="tier - 2"/>
    <s v="tier - 1"/>
    <s v="R1013"/>
    <n v="36"/>
    <n v="18.3"/>
  </r>
  <r>
    <x v="520"/>
    <s v="Darda,"/>
    <n v="25.3"/>
    <x v="339"/>
    <s v="Yes"/>
    <x v="0"/>
    <x v="0"/>
    <x v="1"/>
    <x v="0"/>
    <x v="1"/>
    <x v="2"/>
    <n v="18"/>
    <s v="Oct"/>
    <n v="1979"/>
    <d v="1979-10-18T00:00:00"/>
    <n v="4674.2"/>
    <s v="tier - 2"/>
    <s v="tier - 1"/>
    <s v="R1013"/>
    <n v="47"/>
    <n v="25.3"/>
  </r>
  <r>
    <x v="521"/>
    <s v="Otstot,"/>
    <n v="38.83"/>
    <x v="340"/>
    <s v="No"/>
    <x v="0"/>
    <x v="0"/>
    <x v="1"/>
    <x v="1"/>
    <x v="0"/>
    <x v="1"/>
    <n v="4"/>
    <s v="Oct"/>
    <n v="2003"/>
    <d v="2003-10-04T00:00:00"/>
    <n v="4678.8"/>
    <s v="tier - 2"/>
    <s v="tier - 1"/>
    <s v="R1021"/>
    <n v="23"/>
    <n v="38.83"/>
  </r>
  <r>
    <x v="522"/>
    <s v="Bowley,"/>
    <n v="27.6"/>
    <x v="331"/>
    <s v="No"/>
    <x v="0"/>
    <x v="0"/>
    <x v="1"/>
    <x v="1"/>
    <x v="1"/>
    <x v="2"/>
    <n v="4"/>
    <s v="Sep"/>
    <n v="1990"/>
    <d v="1990-09-04T00:00:00"/>
    <n v="4686.3900000000003"/>
    <s v="tier - 3"/>
    <s v="tier - 3"/>
    <s v="R1013"/>
    <n v="36"/>
    <n v="27.6"/>
  </r>
  <r>
    <x v="523"/>
    <s v="Rogers,"/>
    <n v="46.4"/>
    <x v="341"/>
    <s v="Yes"/>
    <x v="0"/>
    <x v="1"/>
    <x v="1"/>
    <x v="1"/>
    <x v="0"/>
    <x v="0"/>
    <n v="22"/>
    <s v="Jun"/>
    <n v="2003"/>
    <d v="2003-06-22T00:00:00"/>
    <n v="4687.8"/>
    <s v="tier - 2"/>
    <s v="tier - 3"/>
    <s v="R1011"/>
    <n v="23"/>
    <n v="46.4"/>
  </r>
  <r>
    <x v="524"/>
    <s v="Mclaughlin,"/>
    <n v="51.92"/>
    <x v="107"/>
    <s v="Yes"/>
    <x v="0"/>
    <x v="1"/>
    <x v="1"/>
    <x v="1"/>
    <x v="0"/>
    <x v="2"/>
    <n v="4"/>
    <s v="Dec"/>
    <n v="1977"/>
    <d v="1977-12-04T00:00:00"/>
    <n v="4699.47"/>
    <s v="tier - 2"/>
    <s v="tier - 3"/>
    <s v="R1013"/>
    <n v="49"/>
    <n v="51.92"/>
  </r>
  <r>
    <x v="525"/>
    <s v="Ziegler,"/>
    <n v="32.395000000000003"/>
    <x v="251"/>
    <s v="Yes"/>
    <x v="0"/>
    <x v="0"/>
    <x v="1"/>
    <x v="1"/>
    <x v="0"/>
    <x v="2"/>
    <n v="12"/>
    <s v="Aug"/>
    <n v="1981"/>
    <d v="1981-08-12T00:00:00"/>
    <n v="4712.12"/>
    <s v="tier - 2"/>
    <s v="tier - 3"/>
    <s v="R1011"/>
    <n v="45"/>
    <n v="32.395000000000003"/>
  </r>
  <r>
    <x v="526"/>
    <s v="Hughey,"/>
    <n v="46.19"/>
    <x v="342"/>
    <s v="Yes"/>
    <x v="0"/>
    <x v="1"/>
    <x v="1"/>
    <x v="1"/>
    <x v="0"/>
    <x v="0"/>
    <n v="9"/>
    <s v="Oct"/>
    <n v="1992"/>
    <d v="1992-10-09T00:00:00"/>
    <n v="4718.2"/>
    <s v="tier - 2"/>
    <s v="tier - 3"/>
    <s v="R1024"/>
    <n v="34"/>
    <n v="46.19"/>
  </r>
  <r>
    <x v="527"/>
    <s v="Knast,"/>
    <n v="27.93"/>
    <x v="145"/>
    <s v="No"/>
    <x v="0"/>
    <x v="1"/>
    <x v="1"/>
    <x v="1"/>
    <x v="1"/>
    <x v="2"/>
    <n v="28"/>
    <s v="Sep"/>
    <n v="1992"/>
    <d v="1992-09-28T00:00:00"/>
    <n v="4719.5200000000004"/>
    <s v="tier - 2"/>
    <s v="tier - 2"/>
    <s v="R1024"/>
    <n v="34"/>
    <n v="27.93"/>
  </r>
  <r>
    <x v="528"/>
    <s v="Stob,"/>
    <n v="45.62"/>
    <x v="343"/>
    <s v="No"/>
    <x v="0"/>
    <x v="0"/>
    <x v="0"/>
    <x v="1"/>
    <x v="0"/>
    <x v="0"/>
    <n v="12"/>
    <s v="Aug"/>
    <n v="1994"/>
    <d v="1994-08-12T00:00:00"/>
    <n v="4719.74"/>
    <s v="tier - 2"/>
    <s v="tier - 1"/>
    <s v="R1012"/>
    <n v="32"/>
    <n v="45.62"/>
  </r>
  <r>
    <x v="529"/>
    <s v="Jensen,"/>
    <n v="35.31"/>
    <x v="231"/>
    <s v="No"/>
    <x v="0"/>
    <x v="1"/>
    <x v="1"/>
    <x v="1"/>
    <x v="0"/>
    <x v="1"/>
    <n v="2"/>
    <s v="Jul"/>
    <n v="1980"/>
    <d v="1980-07-02T00:00:00"/>
    <n v="4728.71"/>
    <s v="tier - 2"/>
    <s v="tier - 3"/>
    <s v="R1012"/>
    <n v="46"/>
    <n v="35.31"/>
  </r>
  <r>
    <x v="530"/>
    <s v="Mutter,"/>
    <n v="30.4"/>
    <x v="212"/>
    <s v="Yes"/>
    <x v="0"/>
    <x v="0"/>
    <x v="1"/>
    <x v="1"/>
    <x v="0"/>
    <x v="2"/>
    <n v="5"/>
    <s v="Sep"/>
    <n v="1986"/>
    <d v="1986-09-05T00:00:00"/>
    <n v="4734.6400000000003"/>
    <s v="tier - 2"/>
    <s v="tier - 1"/>
    <s v="R1013"/>
    <n v="40"/>
    <n v="30.4"/>
  </r>
  <r>
    <x v="531"/>
    <s v="Ahern,"/>
    <n v="20.13"/>
    <x v="344"/>
    <s v="No"/>
    <x v="0"/>
    <x v="1"/>
    <x v="1"/>
    <x v="0"/>
    <x v="2"/>
    <x v="1"/>
    <n v="12"/>
    <s v="Oct"/>
    <n v="1991"/>
    <d v="1991-10-12T00:00:00"/>
    <n v="4738.2700000000004"/>
    <s v="tier - 2"/>
    <s v="tier - 3"/>
    <s v="R1012"/>
    <n v="35"/>
    <n v="20.13"/>
  </r>
  <r>
    <x v="532"/>
    <s v="Chviruk,"/>
    <n v="23.655000000000001"/>
    <x v="39"/>
    <s v="No"/>
    <x v="0"/>
    <x v="0"/>
    <x v="1"/>
    <x v="0"/>
    <x v="2"/>
    <x v="2"/>
    <n v="24"/>
    <s v="Nov"/>
    <n v="2004"/>
    <d v="2004-11-24T00:00:00"/>
    <n v="4740.78"/>
    <s v="tier - 2"/>
    <s v="tier - 3"/>
    <s v="R1021"/>
    <n v="22"/>
    <n v="23.655000000000001"/>
  </r>
  <r>
    <x v="533"/>
    <s v="Meehan,"/>
    <n v="49.05"/>
    <x v="68"/>
    <s v="Yes"/>
    <x v="0"/>
    <x v="0"/>
    <x v="0"/>
    <x v="1"/>
    <x v="0"/>
    <x v="0"/>
    <n v="5"/>
    <s v="Jun"/>
    <n v="1987"/>
    <d v="1987-06-05T00:00:00"/>
    <n v="4746.34"/>
    <s v="tier - 2"/>
    <s v="tier - 2"/>
    <s v="R1011"/>
    <n v="39"/>
    <n v="49.05"/>
  </r>
  <r>
    <x v="534"/>
    <s v="Gammon,"/>
    <n v="51.94"/>
    <x v="63"/>
    <s v="Yes"/>
    <x v="0"/>
    <x v="0"/>
    <x v="1"/>
    <x v="1"/>
    <x v="0"/>
    <x v="0"/>
    <n v="2"/>
    <s v="Sep"/>
    <n v="1987"/>
    <d v="1987-09-02T00:00:00"/>
    <n v="4747.05"/>
    <s v="tier - 2"/>
    <s v="tier - 2"/>
    <s v="R1013"/>
    <n v="39"/>
    <n v="51.94"/>
  </r>
  <r>
    <x v="535"/>
    <s v="Lee,"/>
    <n v="29.83"/>
    <x v="85"/>
    <s v="No"/>
    <x v="0"/>
    <x v="0"/>
    <x v="1"/>
    <x v="0"/>
    <x v="1"/>
    <x v="1"/>
    <n v="22"/>
    <s v="Nov"/>
    <n v="1987"/>
    <d v="1987-11-22T00:00:00"/>
    <n v="4751.07"/>
    <s v="tier - 3"/>
    <s v="tier - 1"/>
    <s v="R1011"/>
    <n v="39"/>
    <n v="29.83"/>
  </r>
  <r>
    <x v="536"/>
    <s v="Franco,"/>
    <n v="22.6"/>
    <x v="345"/>
    <s v="Yes"/>
    <x v="0"/>
    <x v="0"/>
    <x v="1"/>
    <x v="0"/>
    <x v="2"/>
    <x v="0"/>
    <n v="16"/>
    <s v="Aug"/>
    <n v="1992"/>
    <d v="1992-08-16T00:00:00"/>
    <n v="4753.6400000000003"/>
    <s v="tier - 2"/>
    <s v="tier - 3"/>
    <s v="R1013"/>
    <n v="34"/>
    <n v="22.6"/>
  </r>
  <r>
    <x v="537"/>
    <s v="Patterson,"/>
    <n v="46.69"/>
    <x v="69"/>
    <s v="Yes"/>
    <x v="0"/>
    <x v="0"/>
    <x v="1"/>
    <x v="1"/>
    <x v="0"/>
    <x v="2"/>
    <n v="27"/>
    <s v="Sep"/>
    <n v="1987"/>
    <d v="1987-09-27T00:00:00"/>
    <n v="4762.33"/>
    <s v="tier - 3"/>
    <s v="tier - 3"/>
    <s v="R1011"/>
    <n v="39"/>
    <n v="46.69"/>
  </r>
  <r>
    <x v="538"/>
    <s v="Valdes,"/>
    <n v="28.49"/>
    <x v="143"/>
    <s v="No"/>
    <x v="0"/>
    <x v="0"/>
    <x v="0"/>
    <x v="0"/>
    <x v="1"/>
    <x v="2"/>
    <n v="1"/>
    <s v="Aug"/>
    <n v="1989"/>
    <d v="1989-08-01T00:00:00"/>
    <n v="4766.0200000000004"/>
    <s v="tier - 2"/>
    <s v="tier - 3"/>
    <s v="R1011"/>
    <n v="37"/>
    <n v="28.49"/>
  </r>
  <r>
    <x v="539"/>
    <s v="Craig,"/>
    <n v="28.5"/>
    <x v="122"/>
    <s v="Yes"/>
    <x v="0"/>
    <x v="0"/>
    <x v="1"/>
    <x v="0"/>
    <x v="1"/>
    <x v="2"/>
    <n v="9"/>
    <s v="Dec"/>
    <n v="1989"/>
    <d v="1989-12-09T00:00:00"/>
    <n v="4779.6000000000004"/>
    <s v="tier - 2"/>
    <s v="tier - 3"/>
    <s v="R1013"/>
    <n v="37"/>
    <n v="28.5"/>
  </r>
  <r>
    <x v="540"/>
    <s v="Whipple,"/>
    <n v="24.4"/>
    <x v="193"/>
    <s v="No"/>
    <x v="0"/>
    <x v="0"/>
    <x v="1"/>
    <x v="0"/>
    <x v="2"/>
    <x v="2"/>
    <n v="22"/>
    <s v="Jun"/>
    <n v="1987"/>
    <d v="1987-06-22T00:00:00"/>
    <n v="4787.42"/>
    <s v="tier - 2"/>
    <s v="tier - 3"/>
    <s v="R1013"/>
    <n v="39"/>
    <n v="24.4"/>
  </r>
  <r>
    <x v="541"/>
    <s v="Marton,"/>
    <n v="29.15"/>
    <x v="150"/>
    <s v="Yes"/>
    <x v="0"/>
    <x v="0"/>
    <x v="1"/>
    <x v="0"/>
    <x v="1"/>
    <x v="2"/>
    <n v="16"/>
    <s v="Dec"/>
    <n v="1989"/>
    <d v="1989-12-16T00:00:00"/>
    <n v="4795.66"/>
    <s v="tier - 2"/>
    <s v="tier - 1"/>
    <s v="R1013"/>
    <n v="37"/>
    <n v="29.15"/>
  </r>
  <r>
    <x v="542"/>
    <s v="Hildebrandt,"/>
    <n v="27.28"/>
    <x v="18"/>
    <s v="No"/>
    <x v="1"/>
    <x v="0"/>
    <x v="1"/>
    <x v="0"/>
    <x v="1"/>
    <x v="2"/>
    <n v="3"/>
    <s v="Oct"/>
    <n v="1978"/>
    <d v="1978-10-03T00:00:00"/>
    <n v="4812.34"/>
    <s v="tier - 2"/>
    <s v="tier - 3"/>
    <s v="R1013"/>
    <n v="48"/>
    <n v="27.28"/>
  </r>
  <r>
    <x v="543"/>
    <s v="Biggs,"/>
    <n v="32.229999999999997"/>
    <x v="346"/>
    <s v="Yes"/>
    <x v="0"/>
    <x v="1"/>
    <x v="1"/>
    <x v="1"/>
    <x v="0"/>
    <x v="2"/>
    <n v="3"/>
    <s v="Jul"/>
    <n v="1981"/>
    <d v="1981-07-03T00:00:00"/>
    <n v="4827.1000000000004"/>
    <s v="tier - 2"/>
    <s v="tier - 1"/>
    <s v="R1013"/>
    <n v="45"/>
    <n v="32.229999999999997"/>
  </r>
  <r>
    <x v="544"/>
    <s v="Shigezumi,"/>
    <n v="44.2"/>
    <x v="168"/>
    <s v="Yes"/>
    <x v="0"/>
    <x v="1"/>
    <x v="1"/>
    <x v="1"/>
    <x v="0"/>
    <x v="0"/>
    <n v="1"/>
    <s v="Dec"/>
    <n v="1995"/>
    <d v="1995-12-01T00:00:00"/>
    <n v="4827.8999999999996"/>
    <s v="tier - 1"/>
    <s v="tier - 2"/>
    <s v="?"/>
    <n v="31"/>
    <n v="44.2"/>
  </r>
  <r>
    <x v="545"/>
    <s v="Meineke,"/>
    <n v="29.734999999999999"/>
    <x v="165"/>
    <s v="No"/>
    <x v="0"/>
    <x v="1"/>
    <x v="1"/>
    <x v="1"/>
    <x v="1"/>
    <x v="2"/>
    <n v="27"/>
    <s v="Jun"/>
    <n v="2002"/>
    <d v="2002-06-27T00:00:00"/>
    <n v="4830.63"/>
    <s v="tier - 2"/>
    <s v="tier - 1"/>
    <s v="R1011"/>
    <n v="24"/>
    <n v="29.734999999999999"/>
  </r>
  <r>
    <x v="546"/>
    <s v="Ludington,"/>
    <n v="28.31"/>
    <x v="347"/>
    <s v="No"/>
    <x v="0"/>
    <x v="0"/>
    <x v="0"/>
    <x v="0"/>
    <x v="1"/>
    <x v="1"/>
    <n v="11"/>
    <s v="Dec"/>
    <n v="2000"/>
    <d v="2000-12-11T00:00:00"/>
    <n v="4835.43"/>
    <s v="tier - 2"/>
    <s v="tier - 2"/>
    <s v="R1021"/>
    <n v="26"/>
    <n v="28.31"/>
  </r>
  <r>
    <x v="547"/>
    <s v="Perrich,"/>
    <n v="46.62"/>
    <x v="348"/>
    <s v="No"/>
    <x v="0"/>
    <x v="0"/>
    <x v="0"/>
    <x v="1"/>
    <x v="0"/>
    <x v="0"/>
    <n v="10"/>
    <s v="Sep"/>
    <n v="1992"/>
    <d v="1992-09-10T00:00:00"/>
    <n v="4837.58"/>
    <s v="tier - 3"/>
    <s v="tier - 2"/>
    <s v="R1013"/>
    <n v="34"/>
    <n v="46.62"/>
  </r>
  <r>
    <x v="548"/>
    <s v="Cervantes,"/>
    <n v="51.75"/>
    <x v="349"/>
    <s v="Yes"/>
    <x v="0"/>
    <x v="0"/>
    <x v="1"/>
    <x v="1"/>
    <x v="0"/>
    <x v="0"/>
    <n v="15"/>
    <s v="Oct"/>
    <n v="1984"/>
    <d v="1984-10-15T00:00:00"/>
    <n v="4839.18"/>
    <s v="tier - 2"/>
    <s v="tier - 1"/>
    <s v="R1012"/>
    <n v="42"/>
    <n v="51.75"/>
  </r>
  <r>
    <x v="549"/>
    <s v="Andrews,"/>
    <n v="25.7"/>
    <x v="350"/>
    <s v="Yes"/>
    <x v="0"/>
    <x v="0"/>
    <x v="0"/>
    <x v="0"/>
    <x v="1"/>
    <x v="2"/>
    <n v="29"/>
    <s v="Sep"/>
    <n v="1995"/>
    <d v="1995-09-29T00:00:00"/>
    <n v="4840.95"/>
    <s v="tier - 2"/>
    <s v="tier - 1"/>
    <s v="R1021"/>
    <n v="31"/>
    <n v="25.7"/>
  </r>
  <r>
    <x v="550"/>
    <s v="Ruvalcaba,"/>
    <n v="31.79"/>
    <x v="188"/>
    <s v="No"/>
    <x v="0"/>
    <x v="0"/>
    <x v="0"/>
    <x v="1"/>
    <x v="0"/>
    <x v="2"/>
    <n v="13"/>
    <s v="Dec"/>
    <n v="1979"/>
    <d v="1979-12-13T00:00:00"/>
    <n v="4843.79"/>
    <s v="tier - 2"/>
    <s v="tier - 3"/>
    <s v="R1013"/>
    <n v="47"/>
    <n v="31.79"/>
  </r>
  <r>
    <x v="551"/>
    <s v="King,"/>
    <n v="24.795000000000002"/>
    <x v="193"/>
    <s v="No"/>
    <x v="0"/>
    <x v="0"/>
    <x v="0"/>
    <x v="0"/>
    <x v="2"/>
    <x v="2"/>
    <n v="11"/>
    <s v="Sep"/>
    <n v="1974"/>
    <d v="1974-09-11T00:00:00"/>
    <n v="4844.67"/>
    <s v="tier - 2"/>
    <s v="tier - 2"/>
    <s v="R1013"/>
    <n v="52"/>
    <n v="24.795000000000002"/>
  </r>
  <r>
    <x v="552"/>
    <s v="Stone,"/>
    <n v="53.98"/>
    <x v="103"/>
    <s v="No"/>
    <x v="0"/>
    <x v="1"/>
    <x v="1"/>
    <x v="1"/>
    <x v="0"/>
    <x v="2"/>
    <n v="7"/>
    <s v="Jun"/>
    <n v="2001"/>
    <d v="2001-06-07T00:00:00"/>
    <n v="4846.53"/>
    <s v="tier - 2"/>
    <s v="tier - 3"/>
    <s v="R1021"/>
    <n v="25"/>
    <n v="53.98"/>
  </r>
  <r>
    <x v="553"/>
    <s v="Campbell,"/>
    <n v="41.325000000000003"/>
    <x v="298"/>
    <s v="Yes"/>
    <x v="0"/>
    <x v="1"/>
    <x v="1"/>
    <x v="1"/>
    <x v="0"/>
    <x v="2"/>
    <n v="27"/>
    <s v="Dec"/>
    <n v="1995"/>
    <d v="1995-12-27T00:00:00"/>
    <n v="4846.92"/>
    <s v="tier - 2"/>
    <s v="tier - 3"/>
    <s v="R1017"/>
    <n v="31"/>
    <n v="41.325000000000003"/>
  </r>
  <r>
    <x v="554"/>
    <s v="Asher,"/>
    <n v="51.65"/>
    <x v="351"/>
    <s v="Yes"/>
    <x v="0"/>
    <x v="0"/>
    <x v="0"/>
    <x v="1"/>
    <x v="0"/>
    <x v="2"/>
    <n v="1"/>
    <s v="Sep"/>
    <n v="1989"/>
    <d v="1989-09-01T00:00:00"/>
    <n v="4859.8900000000003"/>
    <s v="tier - 2"/>
    <s v="tier - 3"/>
    <s v="R1011"/>
    <n v="37"/>
    <n v="51.65"/>
  </r>
  <r>
    <x v="555"/>
    <s v="Mazzotta,"/>
    <n v="44.52"/>
    <x v="263"/>
    <s v="Yes"/>
    <x v="0"/>
    <x v="1"/>
    <x v="1"/>
    <x v="1"/>
    <x v="0"/>
    <x v="0"/>
    <n v="29"/>
    <s v="Sep"/>
    <n v="1997"/>
    <d v="1997-09-29T00:00:00"/>
    <n v="4877.9799999999996"/>
    <s v="tier - 2"/>
    <s v="tier - 3"/>
    <s v="R1012"/>
    <n v="29"/>
    <n v="44.52"/>
  </r>
  <r>
    <x v="556"/>
    <s v="Huttl,"/>
    <n v="53.29"/>
    <x v="79"/>
    <s v="No"/>
    <x v="0"/>
    <x v="1"/>
    <x v="1"/>
    <x v="1"/>
    <x v="0"/>
    <x v="2"/>
    <n v="23"/>
    <s v="Dec"/>
    <n v="1986"/>
    <d v="1986-12-23T00:00:00"/>
    <n v="4883.87"/>
    <s v="tier - 2"/>
    <s v="tier - 1"/>
    <s v="R1011"/>
    <n v="40"/>
    <n v="53.29"/>
  </r>
  <r>
    <x v="557"/>
    <s v="Ferron,"/>
    <n v="46.63"/>
    <x v="228"/>
    <s v="Yes"/>
    <x v="0"/>
    <x v="0"/>
    <x v="1"/>
    <x v="1"/>
    <x v="0"/>
    <x v="2"/>
    <n v="27"/>
    <s v="Oct"/>
    <n v="1986"/>
    <d v="1986-10-27T00:00:00"/>
    <n v="4889.04"/>
    <s v="tier - 2"/>
    <s v="tier - 1"/>
    <s v="R1013"/>
    <n v="40"/>
    <n v="46.63"/>
  </r>
  <r>
    <x v="558"/>
    <s v="Colarusso,"/>
    <n v="28.88"/>
    <x v="352"/>
    <s v="No"/>
    <x v="0"/>
    <x v="1"/>
    <x v="1"/>
    <x v="0"/>
    <x v="1"/>
    <x v="2"/>
    <n v="10"/>
    <s v="Jul"/>
    <n v="1989"/>
    <d v="1989-07-10T00:00:00"/>
    <n v="4890"/>
    <s v="tier - 3"/>
    <s v="tier - 2"/>
    <s v="R1013"/>
    <n v="37"/>
    <n v="28.88"/>
  </r>
  <r>
    <x v="559"/>
    <s v="Pearlman,"/>
    <n v="23.98"/>
    <x v="166"/>
    <s v="No"/>
    <x v="0"/>
    <x v="0"/>
    <x v="0"/>
    <x v="0"/>
    <x v="2"/>
    <x v="2"/>
    <n v="28"/>
    <s v="Nov"/>
    <n v="1990"/>
    <d v="1990-11-28T00:00:00"/>
    <n v="4894.3900000000003"/>
    <s v="tier - 2"/>
    <s v="tier - 3"/>
    <s v="R1013"/>
    <n v="36"/>
    <n v="23.98"/>
  </r>
  <r>
    <x v="560"/>
    <s v="O'Mara,"/>
    <n v="23.65"/>
    <x v="146"/>
    <s v="No"/>
    <x v="0"/>
    <x v="0"/>
    <x v="0"/>
    <x v="1"/>
    <x v="2"/>
    <x v="2"/>
    <n v="23"/>
    <s v="Sep"/>
    <n v="1988"/>
    <d v="1988-09-23T00:00:00"/>
    <n v="4894.75"/>
    <s v="tier - 3"/>
    <s v="tier - 3"/>
    <s v="R1012"/>
    <n v="38"/>
    <n v="23.65"/>
  </r>
  <r>
    <x v="561"/>
    <s v="Niska,"/>
    <n v="49.09"/>
    <x v="353"/>
    <s v="Yes"/>
    <x v="0"/>
    <x v="0"/>
    <x v="1"/>
    <x v="1"/>
    <x v="0"/>
    <x v="0"/>
    <n v="10"/>
    <s v="Jul"/>
    <n v="1993"/>
    <d v="1993-07-10T00:00:00"/>
    <n v="4906.41"/>
    <s v="tier - 2"/>
    <s v="tier - 1"/>
    <s v="R1012"/>
    <n v="33"/>
    <n v="49.09"/>
  </r>
  <r>
    <x v="562"/>
    <s v="Schlich,"/>
    <n v="28.024999999999999"/>
    <x v="354"/>
    <s v="No"/>
    <x v="0"/>
    <x v="0"/>
    <x v="0"/>
    <x v="0"/>
    <x v="1"/>
    <x v="0"/>
    <n v="18"/>
    <s v="Oct"/>
    <n v="1981"/>
    <d v="1981-10-18T00:00:00"/>
    <n v="4911.8900000000003"/>
    <s v="tier - 2"/>
    <s v="tier - 3"/>
    <s v="R1013"/>
    <n v="45"/>
    <n v="28.024999999999999"/>
  </r>
  <r>
    <x v="563"/>
    <s v="Zidek,"/>
    <n v="43.32"/>
    <x v="355"/>
    <s v="Yes"/>
    <x v="0"/>
    <x v="1"/>
    <x v="1"/>
    <x v="1"/>
    <x v="0"/>
    <x v="0"/>
    <n v="21"/>
    <s v="Aug"/>
    <n v="2002"/>
    <d v="2002-08-21T00:00:00"/>
    <n v="4915.0600000000004"/>
    <s v="tier - 2"/>
    <s v="tier - 1"/>
    <s v="R1017"/>
    <n v="24"/>
    <n v="43.32"/>
  </r>
  <r>
    <x v="564"/>
    <s v="Ellgass,"/>
    <n v="45.92"/>
    <x v="118"/>
    <s v="No"/>
    <x v="0"/>
    <x v="0"/>
    <x v="0"/>
    <x v="1"/>
    <x v="0"/>
    <x v="0"/>
    <n v="10"/>
    <s v="Aug"/>
    <n v="1993"/>
    <d v="1993-08-10T00:00:00"/>
    <n v="4922.92"/>
    <s v="tier - 2"/>
    <s v="tier - 2"/>
    <s v="R1012"/>
    <n v="33"/>
    <n v="45.92"/>
  </r>
  <r>
    <x v="565"/>
    <s v="Lowe,"/>
    <n v="44.03"/>
    <x v="356"/>
    <s v="No"/>
    <x v="0"/>
    <x v="0"/>
    <x v="0"/>
    <x v="1"/>
    <x v="0"/>
    <x v="0"/>
    <n v="23"/>
    <s v="Aug"/>
    <n v="1991"/>
    <d v="1991-08-23T00:00:00"/>
    <n v="4931.6499999999996"/>
    <s v="tier - 2"/>
    <s v="tier - 3"/>
    <s v="R1011"/>
    <n v="35"/>
    <n v="44.03"/>
  </r>
  <r>
    <x v="566"/>
    <s v="Malone,"/>
    <n v="24.6"/>
    <x v="357"/>
    <s v="No"/>
    <x v="0"/>
    <x v="0"/>
    <x v="0"/>
    <x v="0"/>
    <x v="2"/>
    <x v="2"/>
    <n v="27"/>
    <s v="Nov"/>
    <n v="1991"/>
    <d v="1991-11-27T00:00:00"/>
    <n v="4934.71"/>
    <s v="tier - 2"/>
    <s v="tier - 3"/>
    <s v="R1011"/>
    <n v="35"/>
    <n v="24.6"/>
  </r>
  <r>
    <x v="567"/>
    <s v="Dumke,"/>
    <n v="49.15"/>
    <x v="358"/>
    <s v="No"/>
    <x v="0"/>
    <x v="0"/>
    <x v="0"/>
    <x v="1"/>
    <x v="0"/>
    <x v="0"/>
    <n v="26"/>
    <s v="Jun"/>
    <n v="1974"/>
    <d v="1974-06-26T00:00:00"/>
    <n v="4942.0600000000004"/>
    <s v="tier - 2"/>
    <s v="tier - 2"/>
    <s v="R1013"/>
    <n v="52"/>
    <n v="49.15"/>
  </r>
  <r>
    <x v="568"/>
    <s v="Strong,"/>
    <n v="28.31"/>
    <x v="109"/>
    <s v="No"/>
    <x v="0"/>
    <x v="1"/>
    <x v="1"/>
    <x v="0"/>
    <x v="1"/>
    <x v="1"/>
    <n v="30"/>
    <s v="Aug"/>
    <n v="1991"/>
    <d v="1991-08-30T00:00:00"/>
    <n v="4949.76"/>
    <s v="tier - 2"/>
    <s v="tier - 1"/>
    <s v="R1013"/>
    <n v="35"/>
    <n v="28.31"/>
  </r>
  <r>
    <x v="569"/>
    <s v="Ferguson,"/>
    <n v="22.99"/>
    <x v="109"/>
    <s v="No"/>
    <x v="0"/>
    <x v="0"/>
    <x v="1"/>
    <x v="0"/>
    <x v="2"/>
    <x v="1"/>
    <n v="7"/>
    <s v="Nov"/>
    <n v="1973"/>
    <d v="1973-11-07T00:00:00"/>
    <n v="4985.22"/>
    <s v="tier - 2"/>
    <s v="tier - 3"/>
    <s v="R1013"/>
    <n v="53"/>
    <n v="22.99"/>
  </r>
  <r>
    <x v="570"/>
    <s v="Klein,"/>
    <n v="29.07"/>
    <x v="89"/>
    <s v="No"/>
    <x v="0"/>
    <x v="1"/>
    <x v="1"/>
    <x v="0"/>
    <x v="1"/>
    <x v="2"/>
    <n v="24"/>
    <s v="Jun"/>
    <n v="1988"/>
    <d v="1988-06-24T00:00:00"/>
    <n v="4992.38"/>
    <s v="tier - 2"/>
    <s v="tier - 3"/>
    <s v="R1024"/>
    <n v="38"/>
    <n v="29.07"/>
  </r>
  <r>
    <x v="571"/>
    <s v="Eusebio,"/>
    <n v="42.02"/>
    <x v="359"/>
    <s v="Yes"/>
    <x v="0"/>
    <x v="1"/>
    <x v="1"/>
    <x v="1"/>
    <x v="0"/>
    <x v="0"/>
    <n v="5"/>
    <s v="Oct"/>
    <n v="2001"/>
    <d v="2001-10-05T00:00:00"/>
    <n v="4999.04"/>
    <s v="tier - 2"/>
    <s v="tier - 2"/>
    <s v="R1011"/>
    <n v="25"/>
    <n v="42.02"/>
  </r>
  <r>
    <x v="572"/>
    <s v="Szolosi,"/>
    <n v="49.07"/>
    <x v="232"/>
    <s v="Yes"/>
    <x v="0"/>
    <x v="0"/>
    <x v="1"/>
    <x v="1"/>
    <x v="0"/>
    <x v="0"/>
    <n v="4"/>
    <s v="Sep"/>
    <n v="1988"/>
    <d v="1988-09-04T00:00:00"/>
    <n v="5002.78"/>
    <s v="tier - 2"/>
    <s v="tier - 2"/>
    <s v="R1013"/>
    <n v="38"/>
    <n v="49.07"/>
  </r>
  <r>
    <x v="573"/>
    <s v="Butler,"/>
    <n v="19.8"/>
    <x v="48"/>
    <s v="No"/>
    <x v="0"/>
    <x v="0"/>
    <x v="0"/>
    <x v="0"/>
    <x v="2"/>
    <x v="2"/>
    <n v="9"/>
    <s v="Jun"/>
    <n v="1977"/>
    <d v="1977-06-09T00:00:00"/>
    <n v="5003.7700000000004"/>
    <s v="tier - 2"/>
    <s v="tier - 3"/>
    <s v="R1013"/>
    <n v="49"/>
    <n v="19.8"/>
  </r>
  <r>
    <x v="574"/>
    <s v="Fukuchi,"/>
    <n v="27.36"/>
    <x v="346"/>
    <s v="No"/>
    <x v="1"/>
    <x v="0"/>
    <x v="1"/>
    <x v="0"/>
    <x v="1"/>
    <x v="2"/>
    <n v="8"/>
    <s v="Jul"/>
    <n v="1988"/>
    <d v="1988-07-08T00:00:00"/>
    <n v="5003.8500000000004"/>
    <s v="tier - 2"/>
    <s v="tier - 3"/>
    <s v="R1011"/>
    <n v="38"/>
    <n v="27.36"/>
  </r>
  <r>
    <x v="575"/>
    <s v="Drucker,"/>
    <n v="42.95"/>
    <x v="360"/>
    <s v="Yes"/>
    <x v="0"/>
    <x v="0"/>
    <x v="1"/>
    <x v="1"/>
    <x v="0"/>
    <x v="2"/>
    <n v="9"/>
    <s v="Nov"/>
    <n v="1988"/>
    <d v="1988-11-09T00:00:00"/>
    <n v="5012.47"/>
    <s v="tier - 2"/>
    <s v="tier - 3"/>
    <s v="R1011"/>
    <n v="38"/>
    <n v="42.95"/>
  </r>
  <r>
    <x v="576"/>
    <s v="Aziz,"/>
    <n v="42.66"/>
    <x v="361"/>
    <s v="No"/>
    <x v="0"/>
    <x v="0"/>
    <x v="0"/>
    <x v="1"/>
    <x v="0"/>
    <x v="0"/>
    <n v="28"/>
    <s v="Dec"/>
    <n v="1985"/>
    <d v="1985-12-28T00:00:00"/>
    <n v="5028.1499999999996"/>
    <s v="tier - 1"/>
    <s v="tier - 2"/>
    <s v="R1012"/>
    <n v="41"/>
    <n v="42.66"/>
  </r>
  <r>
    <x v="577"/>
    <s v="Pak,"/>
    <n v="33.630000000000003"/>
    <x v="362"/>
    <s v="No"/>
    <x v="0"/>
    <x v="0"/>
    <x v="1"/>
    <x v="1"/>
    <x v="0"/>
    <x v="2"/>
    <n v="10"/>
    <s v="Sep"/>
    <n v="1991"/>
    <d v="1991-09-10T00:00:00"/>
    <n v="5031.2700000000004"/>
    <s v="tier - 3"/>
    <s v="tier - 1"/>
    <s v="R1016"/>
    <n v="35"/>
    <n v="33.630000000000003"/>
  </r>
  <r>
    <x v="578"/>
    <s v="Kieta,"/>
    <n v="26.84"/>
    <x v="363"/>
    <s v="No"/>
    <x v="0"/>
    <x v="0"/>
    <x v="0"/>
    <x v="0"/>
    <x v="1"/>
    <x v="0"/>
    <n v="29"/>
    <s v="Jun"/>
    <n v="1986"/>
    <d v="1986-06-29T00:00:00"/>
    <n v="5034.1000000000004"/>
    <s v="tier - 2"/>
    <s v="tier - 2"/>
    <s v="R1013"/>
    <n v="40"/>
    <n v="26.84"/>
  </r>
  <r>
    <x v="579"/>
    <s v="Velez,"/>
    <n v="28.3"/>
    <x v="208"/>
    <s v="No"/>
    <x v="0"/>
    <x v="1"/>
    <x v="1"/>
    <x v="0"/>
    <x v="1"/>
    <x v="1"/>
    <n v="4"/>
    <s v="Dec"/>
    <n v="1997"/>
    <d v="1997-12-04T00:00:00"/>
    <n v="5038.57"/>
    <s v="tier - 2"/>
    <s v="tier - 2"/>
    <s v="R1025"/>
    <n v="29"/>
    <n v="28.3"/>
  </r>
  <r>
    <x v="580"/>
    <s v="Bussiere,"/>
    <n v="27.06"/>
    <x v="299"/>
    <s v="Yes"/>
    <x v="0"/>
    <x v="0"/>
    <x v="0"/>
    <x v="0"/>
    <x v="1"/>
    <x v="1"/>
    <n v="16"/>
    <s v="Oct"/>
    <n v="2001"/>
    <d v="2001-10-16T00:00:00"/>
    <n v="5043.13"/>
    <s v="tier - 2"/>
    <s v="tier - 3"/>
    <s v="R1011"/>
    <n v="25"/>
    <n v="27.06"/>
  </r>
  <r>
    <x v="581"/>
    <s v="McCartney,"/>
    <n v="47.13"/>
    <x v="234"/>
    <s v="No"/>
    <x v="0"/>
    <x v="0"/>
    <x v="0"/>
    <x v="1"/>
    <x v="0"/>
    <x v="0"/>
    <n v="29"/>
    <s v="Jul"/>
    <n v="1997"/>
    <d v="1997-07-29T00:00:00"/>
    <n v="5045.1499999999996"/>
    <s v="tier - 2"/>
    <s v="tier - 2"/>
    <s v="R1012"/>
    <n v="29"/>
    <n v="47.13"/>
  </r>
  <r>
    <x v="582"/>
    <s v="Bambauer,"/>
    <n v="51.72"/>
    <x v="111"/>
    <s v="No"/>
    <x v="0"/>
    <x v="0"/>
    <x v="0"/>
    <x v="1"/>
    <x v="0"/>
    <x v="2"/>
    <n v="7"/>
    <s v="Sep"/>
    <n v="1980"/>
    <d v="1980-09-07T00:00:00"/>
    <n v="5054.05"/>
    <s v="tier - 2"/>
    <s v="tier - 2"/>
    <s v="R1013"/>
    <n v="46"/>
    <n v="51.72"/>
  </r>
  <r>
    <x v="583"/>
    <s v="Mertz,"/>
    <n v="48.59"/>
    <x v="252"/>
    <s v="No"/>
    <x v="0"/>
    <x v="0"/>
    <x v="0"/>
    <x v="1"/>
    <x v="0"/>
    <x v="2"/>
    <n v="11"/>
    <s v="Jun"/>
    <n v="1993"/>
    <d v="1993-06-11T00:00:00"/>
    <n v="5059.5600000000004"/>
    <s v="tier - 2"/>
    <s v="tier - 1"/>
    <s v="R1021"/>
    <n v="33"/>
    <n v="48.59"/>
  </r>
  <r>
    <x v="584"/>
    <s v="Mason,"/>
    <n v="45.18"/>
    <x v="50"/>
    <s v="No"/>
    <x v="0"/>
    <x v="0"/>
    <x v="0"/>
    <x v="1"/>
    <x v="0"/>
    <x v="0"/>
    <n v="22"/>
    <s v="Nov"/>
    <n v="1978"/>
    <d v="1978-11-22T00:00:00"/>
    <n v="5077.1899999999996"/>
    <s v="tier - 2"/>
    <s v="tier - 3"/>
    <s v="R1012"/>
    <n v="48"/>
    <n v="45.18"/>
  </r>
  <r>
    <x v="585"/>
    <s v="Rotich,"/>
    <n v="27.9"/>
    <x v="216"/>
    <s v="No"/>
    <x v="0"/>
    <x v="1"/>
    <x v="1"/>
    <x v="0"/>
    <x v="1"/>
    <x v="1"/>
    <n v="14"/>
    <s v="Jul"/>
    <n v="1997"/>
    <d v="1997-07-14T00:00:00"/>
    <n v="5080.1000000000004"/>
    <s v="tier - 3"/>
    <s v="tier - 2"/>
    <s v="R1011"/>
    <n v="29"/>
    <n v="27.9"/>
  </r>
  <r>
    <x v="586"/>
    <s v="Fetzer,"/>
    <n v="51.33"/>
    <x v="96"/>
    <s v="No"/>
    <x v="0"/>
    <x v="0"/>
    <x v="0"/>
    <x v="1"/>
    <x v="0"/>
    <x v="0"/>
    <n v="19"/>
    <s v="Jun"/>
    <n v="1999"/>
    <d v="1999-06-19T00:00:00"/>
    <n v="5087.92"/>
    <s v="tier - 2"/>
    <s v="tier - 2"/>
    <s v="R1026"/>
    <n v="27"/>
    <n v="51.33"/>
  </r>
  <r>
    <x v="587"/>
    <s v="Mattis,"/>
    <n v="30.59"/>
    <x v="209"/>
    <s v="Yes"/>
    <x v="0"/>
    <x v="0"/>
    <x v="1"/>
    <x v="1"/>
    <x v="0"/>
    <x v="2"/>
    <n v="18"/>
    <s v="Nov"/>
    <n v="1987"/>
    <d v="1987-11-18T00:00:00"/>
    <n v="5116.5"/>
    <s v="tier - 2"/>
    <s v="tier - 2"/>
    <s v="R1012"/>
    <n v="39"/>
    <n v="30.59"/>
  </r>
  <r>
    <x v="588"/>
    <s v="Cochran,"/>
    <n v="39.229999999999997"/>
    <x v="113"/>
    <s v="No"/>
    <x v="0"/>
    <x v="0"/>
    <x v="0"/>
    <x v="1"/>
    <x v="0"/>
    <x v="0"/>
    <n v="1"/>
    <s v="Nov"/>
    <n v="1988"/>
    <d v="1988-11-01T00:00:00"/>
    <n v="5124.1899999999996"/>
    <s v="tier - 2"/>
    <s v="tier - 3"/>
    <s v="R1013"/>
    <n v="38"/>
    <n v="39.229999999999997"/>
  </r>
  <r>
    <x v="589"/>
    <s v="Balinsky,"/>
    <n v="19.094999999999999"/>
    <x v="364"/>
    <s v="No"/>
    <x v="0"/>
    <x v="0"/>
    <x v="0"/>
    <x v="0"/>
    <x v="2"/>
    <x v="1"/>
    <n v="13"/>
    <s v="Sep"/>
    <n v="1987"/>
    <d v="1987-09-13T00:00:00"/>
    <n v="5125.22"/>
    <s v="tier - 1"/>
    <s v="tier - 2"/>
    <s v="R1012"/>
    <n v="39"/>
    <n v="19.094999999999999"/>
  </r>
  <r>
    <x v="590"/>
    <s v="Reilly,"/>
    <n v="49.72"/>
    <x v="365"/>
    <s v="No"/>
    <x v="0"/>
    <x v="0"/>
    <x v="0"/>
    <x v="1"/>
    <x v="0"/>
    <x v="0"/>
    <n v="15"/>
    <s v="Sep"/>
    <n v="1988"/>
    <d v="1988-09-15T00:00:00"/>
    <n v="5136.75"/>
    <s v="tier - 2"/>
    <s v="tier - 1"/>
    <s v="R1013"/>
    <n v="38"/>
    <n v="49.72"/>
  </r>
  <r>
    <x v="591"/>
    <s v="Johnson,"/>
    <n v="21.754999999999999"/>
    <x v="366"/>
    <s v="No"/>
    <x v="0"/>
    <x v="1"/>
    <x v="1"/>
    <x v="0"/>
    <x v="2"/>
    <x v="2"/>
    <n v="10"/>
    <s v="Dec"/>
    <n v="1993"/>
    <d v="1993-12-10T00:00:00"/>
    <n v="5138.26"/>
    <s v="tier - 2"/>
    <s v="tier - 2"/>
    <s v="R1013"/>
    <n v="33"/>
    <n v="21.754999999999999"/>
  </r>
  <r>
    <x v="592"/>
    <s v="Petry,"/>
    <n v="48.39"/>
    <x v="152"/>
    <s v="No"/>
    <x v="0"/>
    <x v="0"/>
    <x v="0"/>
    <x v="1"/>
    <x v="0"/>
    <x v="2"/>
    <n v="22"/>
    <s v="Aug"/>
    <n v="1984"/>
    <d v="1984-08-22T00:00:00"/>
    <n v="5144.18"/>
    <s v="tier - 2"/>
    <s v="tier - 1"/>
    <s v="R1013"/>
    <n v="42"/>
    <n v="48.39"/>
  </r>
  <r>
    <x v="593"/>
    <s v="Laleman,"/>
    <n v="47.15"/>
    <x v="201"/>
    <s v="Yes"/>
    <x v="0"/>
    <x v="0"/>
    <x v="1"/>
    <x v="1"/>
    <x v="0"/>
    <x v="0"/>
    <n v="22"/>
    <s v="Aug"/>
    <n v="1990"/>
    <d v="1990-08-22T00:00:00"/>
    <n v="5148.55"/>
    <s v="tier - 2"/>
    <s v="tier - 2"/>
    <s v="R1024"/>
    <n v="36"/>
    <n v="47.15"/>
  </r>
  <r>
    <x v="594"/>
    <s v="Colby,"/>
    <n v="47.59"/>
    <x v="367"/>
    <s v="Yes"/>
    <x v="0"/>
    <x v="0"/>
    <x v="1"/>
    <x v="1"/>
    <x v="0"/>
    <x v="0"/>
    <n v="9"/>
    <s v="Oct"/>
    <n v="1990"/>
    <d v="1990-10-09T00:00:00"/>
    <n v="5152.13"/>
    <s v="tier - 2"/>
    <s v="tier - 2"/>
    <s v="R1011"/>
    <n v="36"/>
    <n v="47.59"/>
  </r>
  <r>
    <x v="595"/>
    <s v="Wathke,"/>
    <n v="39.81"/>
    <x v="368"/>
    <s v="Yes"/>
    <x v="0"/>
    <x v="1"/>
    <x v="1"/>
    <x v="1"/>
    <x v="0"/>
    <x v="0"/>
    <n v="29"/>
    <s v="Aug"/>
    <n v="1991"/>
    <d v="1991-08-29T00:00:00"/>
    <n v="5166.96"/>
    <s v="tier - 2"/>
    <s v="tier - 2"/>
    <s v="R1012"/>
    <n v="35"/>
    <n v="39.81"/>
  </r>
  <r>
    <x v="596"/>
    <s v="Daly,"/>
    <n v="31.02"/>
    <x v="231"/>
    <s v="Yes"/>
    <x v="0"/>
    <x v="0"/>
    <x v="0"/>
    <x v="1"/>
    <x v="0"/>
    <x v="1"/>
    <n v="16"/>
    <s v="Oct"/>
    <n v="1984"/>
    <d v="1984-10-16T00:00:00"/>
    <n v="5177.12"/>
    <s v="tier - 2"/>
    <s v="tier - 1"/>
    <s v="R1013"/>
    <n v="42"/>
    <n v="31.02"/>
  </r>
  <r>
    <x v="597"/>
    <s v="Dillon,"/>
    <n v="24.75"/>
    <x v="67"/>
    <s v="Yes"/>
    <x v="0"/>
    <x v="0"/>
    <x v="1"/>
    <x v="0"/>
    <x v="2"/>
    <x v="2"/>
    <n v="12"/>
    <s v="Sep"/>
    <n v="1979"/>
    <d v="1979-09-12T00:00:00"/>
    <n v="5195.58"/>
    <s v="tier - 2"/>
    <s v="tier - 2"/>
    <s v="R1013"/>
    <n v="47"/>
    <n v="24.75"/>
  </r>
  <r>
    <x v="598"/>
    <s v="Pontes,"/>
    <n v="30.114999999999998"/>
    <x v="369"/>
    <s v="No"/>
    <x v="0"/>
    <x v="0"/>
    <x v="1"/>
    <x v="1"/>
    <x v="0"/>
    <x v="0"/>
    <n v="6"/>
    <s v="Jun"/>
    <n v="2004"/>
    <d v="2004-06-06T00:00:00"/>
    <n v="5198.6899999999996"/>
    <s v="tier - 2"/>
    <s v="tier - 2"/>
    <s v="R1022"/>
    <n v="22"/>
    <n v="30.114999999999998"/>
  </r>
  <r>
    <x v="599"/>
    <s v="Spies,"/>
    <n v="26.03"/>
    <x v="138"/>
    <s v="No"/>
    <x v="0"/>
    <x v="1"/>
    <x v="1"/>
    <x v="0"/>
    <x v="1"/>
    <x v="2"/>
    <n v="24"/>
    <s v="Oct"/>
    <n v="1983"/>
    <d v="1983-10-24T00:00:00"/>
    <n v="5207.97"/>
    <s v="tier - 2"/>
    <s v="tier - 2"/>
    <s v="R1012"/>
    <n v="43"/>
    <n v="26.03"/>
  </r>
  <r>
    <x v="600"/>
    <s v="Greig,"/>
    <n v="20.045000000000002"/>
    <x v="370"/>
    <s v="Yes"/>
    <x v="0"/>
    <x v="0"/>
    <x v="1"/>
    <x v="0"/>
    <x v="2"/>
    <x v="2"/>
    <n v="17"/>
    <s v="Jun"/>
    <n v="1993"/>
    <d v="1993-06-17T00:00:00"/>
    <n v="5209.58"/>
    <s v="tier - 3"/>
    <s v="tier - 3"/>
    <s v="R1017"/>
    <n v="33"/>
    <n v="20.045000000000002"/>
  </r>
  <r>
    <x v="601"/>
    <s v="Scott,"/>
    <n v="40.24"/>
    <x v="371"/>
    <s v="No"/>
    <x v="0"/>
    <x v="0"/>
    <x v="0"/>
    <x v="1"/>
    <x v="0"/>
    <x v="0"/>
    <n v="1"/>
    <s v="Dec"/>
    <n v="1999"/>
    <d v="1999-12-01T00:00:00"/>
    <n v="5213.22"/>
    <s v="tier - 2"/>
    <s v="tier - 1"/>
    <s v="R1012"/>
    <n v="27"/>
    <n v="40.24"/>
  </r>
  <r>
    <x v="602"/>
    <s v="Erlandson,"/>
    <n v="43.15"/>
    <x v="105"/>
    <s v="Yes"/>
    <x v="0"/>
    <x v="1"/>
    <x v="1"/>
    <x v="1"/>
    <x v="0"/>
    <x v="1"/>
    <n v="6"/>
    <s v="Jun"/>
    <n v="1995"/>
    <d v="1995-06-06T00:00:00"/>
    <n v="5216.4799999999996"/>
    <s v="tier - 2"/>
    <s v="tier - 2"/>
    <s v="R1025"/>
    <n v="31"/>
    <n v="43.15"/>
  </r>
  <r>
    <x v="603"/>
    <s v="Autrey,"/>
    <n v="27.7"/>
    <x v="372"/>
    <s v="No"/>
    <x v="0"/>
    <x v="1"/>
    <x v="1"/>
    <x v="0"/>
    <x v="1"/>
    <x v="2"/>
    <n v="29"/>
    <s v="Jun"/>
    <n v="1987"/>
    <d v="1987-06-29T00:00:00"/>
    <n v="5227.99"/>
    <s v="tier - 2"/>
    <s v="tier - 1"/>
    <s v="R1024"/>
    <n v="39"/>
    <n v="27.7"/>
  </r>
  <r>
    <x v="604"/>
    <s v="Alleman,"/>
    <n v="45.68"/>
    <x v="373"/>
    <s v="No"/>
    <x v="0"/>
    <x v="0"/>
    <x v="1"/>
    <x v="1"/>
    <x v="0"/>
    <x v="2"/>
    <n v="26"/>
    <s v="Dec"/>
    <n v="1987"/>
    <d v="1987-12-26T00:00:00"/>
    <n v="5240.7700000000004"/>
    <s v="tier - 2"/>
    <s v="tier - 2"/>
    <s v="R1011"/>
    <n v="39"/>
    <n v="45.68"/>
  </r>
  <r>
    <x v="605"/>
    <s v="Michalski,"/>
    <n v="27.3"/>
    <x v="57"/>
    <s v="No"/>
    <x v="0"/>
    <x v="0"/>
    <x v="0"/>
    <x v="0"/>
    <x v="1"/>
    <x v="0"/>
    <n v="5"/>
    <s v="Jul"/>
    <n v="1987"/>
    <d v="1987-07-05T00:00:00"/>
    <n v="5245.23"/>
    <s v="tier - 2"/>
    <s v="tier - 2"/>
    <s v="R1013"/>
    <n v="39"/>
    <n v="27.3"/>
  </r>
  <r>
    <x v="606"/>
    <s v="Grillo,"/>
    <n v="54.45"/>
    <x v="374"/>
    <s v="Yes"/>
    <x v="0"/>
    <x v="0"/>
    <x v="1"/>
    <x v="1"/>
    <x v="0"/>
    <x v="2"/>
    <n v="9"/>
    <s v="Sep"/>
    <n v="1987"/>
    <d v="1987-09-09T00:00:00"/>
    <n v="5246.05"/>
    <s v="tier - 2"/>
    <s v="tier - 3"/>
    <s v="R1011"/>
    <n v="39"/>
    <n v="54.45"/>
  </r>
  <r>
    <x v="607"/>
    <s v="Coronado,"/>
    <n v="54.43"/>
    <x v="152"/>
    <s v="Yes"/>
    <x v="0"/>
    <x v="0"/>
    <x v="1"/>
    <x v="1"/>
    <x v="0"/>
    <x v="2"/>
    <n v="6"/>
    <s v="Jul"/>
    <n v="1990"/>
    <d v="1990-07-06T00:00:00"/>
    <n v="5253.52"/>
    <s v="tier - 3"/>
    <s v="tier - 3"/>
    <s v="R1011"/>
    <n v="36"/>
    <n v="54.43"/>
  </r>
  <r>
    <x v="608"/>
    <s v="Dewine,"/>
    <n v="48.01"/>
    <x v="375"/>
    <s v="No"/>
    <x v="0"/>
    <x v="0"/>
    <x v="0"/>
    <x v="1"/>
    <x v="0"/>
    <x v="0"/>
    <n v="25"/>
    <s v="Nov"/>
    <n v="1989"/>
    <d v="1989-11-25T00:00:00"/>
    <n v="5257.51"/>
    <s v="tier - 2"/>
    <s v="tier - 2"/>
    <s v="R1012"/>
    <n v="37"/>
    <n v="48.01"/>
  </r>
  <r>
    <x v="609"/>
    <s v="Carman,"/>
    <n v="48.32"/>
    <x v="169"/>
    <s v="No"/>
    <x v="0"/>
    <x v="0"/>
    <x v="0"/>
    <x v="1"/>
    <x v="0"/>
    <x v="1"/>
    <n v="19"/>
    <s v="Jul"/>
    <n v="1989"/>
    <d v="1989-07-19T00:00:00"/>
    <n v="5261.47"/>
    <s v="tier - 2"/>
    <s v="tier - 2"/>
    <s v="R1012"/>
    <n v="37"/>
    <n v="48.32"/>
  </r>
  <r>
    <x v="610"/>
    <s v="Neems,"/>
    <n v="22.895"/>
    <x v="81"/>
    <s v="No"/>
    <x v="0"/>
    <x v="1"/>
    <x v="1"/>
    <x v="0"/>
    <x v="2"/>
    <x v="2"/>
    <n v="25"/>
    <s v="Oct"/>
    <n v="1986"/>
    <d v="1986-10-25T00:00:00"/>
    <n v="5266.37"/>
    <s v="tier - 2"/>
    <s v="tier - 2"/>
    <s v="R1012"/>
    <n v="40"/>
    <n v="22.895"/>
  </r>
  <r>
    <x v="611"/>
    <s v="Pesyna,"/>
    <n v="54.85"/>
    <x v="166"/>
    <s v="No"/>
    <x v="0"/>
    <x v="0"/>
    <x v="1"/>
    <x v="1"/>
    <x v="0"/>
    <x v="2"/>
    <n v="20"/>
    <s v="Sep"/>
    <n v="1986"/>
    <d v="1986-09-20T00:00:00"/>
    <n v="5267.82"/>
    <s v="tier - 2"/>
    <s v="tier - 2"/>
    <s v="R1012"/>
    <n v="40"/>
    <n v="54.85"/>
  </r>
  <r>
    <x v="612"/>
    <s v="Meling,"/>
    <n v="21.85"/>
    <x v="314"/>
    <s v="No"/>
    <x v="0"/>
    <x v="1"/>
    <x v="1"/>
    <x v="0"/>
    <x v="2"/>
    <x v="2"/>
    <n v="20"/>
    <s v="Oct"/>
    <n v="1986"/>
    <d v="1986-10-20T00:00:00"/>
    <n v="5272.18"/>
    <s v="tier - 2"/>
    <s v="tier - 3"/>
    <s v="R1012"/>
    <n v="40"/>
    <n v="21.85"/>
  </r>
  <r>
    <x v="613"/>
    <s v="Widlowski,"/>
    <n v="51.86"/>
    <x v="112"/>
    <s v="Yes"/>
    <x v="0"/>
    <x v="0"/>
    <x v="0"/>
    <x v="1"/>
    <x v="0"/>
    <x v="2"/>
    <n v="1"/>
    <s v="Sep"/>
    <n v="1987"/>
    <d v="1987-09-01T00:00:00"/>
    <n v="5275.86"/>
    <s v="tier - 2"/>
    <s v="tier - 2"/>
    <s v="R1013"/>
    <n v="39"/>
    <n v="51.86"/>
  </r>
  <r>
    <x v="614"/>
    <s v="Nadar,"/>
    <n v="39.049999999999997"/>
    <x v="14"/>
    <s v="No"/>
    <x v="0"/>
    <x v="0"/>
    <x v="1"/>
    <x v="1"/>
    <x v="0"/>
    <x v="0"/>
    <n v="12"/>
    <s v="Nov"/>
    <n v="1974"/>
    <d v="1974-11-12T00:00:00"/>
    <n v="5291.71"/>
    <s v="tier - 2"/>
    <s v="tier - 2"/>
    <s v="R1012"/>
    <n v="52"/>
    <n v="39.049999999999997"/>
  </r>
  <r>
    <x v="615"/>
    <s v="Turner,"/>
    <n v="31.824999999999999"/>
    <x v="376"/>
    <s v="No"/>
    <x v="0"/>
    <x v="0"/>
    <x v="1"/>
    <x v="1"/>
    <x v="0"/>
    <x v="0"/>
    <n v="22"/>
    <s v="Aug"/>
    <n v="2004"/>
    <d v="2004-08-22T00:00:00"/>
    <n v="5293.67"/>
    <s v="tier - 2"/>
    <s v="tier - 2"/>
    <s v="R1022"/>
    <n v="22"/>
    <n v="31.824999999999999"/>
  </r>
  <r>
    <x v="616"/>
    <s v="Walker,"/>
    <n v="46.43"/>
    <x v="377"/>
    <s v="No"/>
    <x v="0"/>
    <x v="0"/>
    <x v="0"/>
    <x v="1"/>
    <x v="0"/>
    <x v="0"/>
    <n v="9"/>
    <s v="Sep"/>
    <n v="2000"/>
    <d v="2000-09-09T00:00:00"/>
    <n v="5306.7"/>
    <s v="tier - 2"/>
    <s v="tier - 3"/>
    <s v="R1012"/>
    <n v="26"/>
    <n v="46.43"/>
  </r>
  <r>
    <x v="617"/>
    <s v="Leedham,"/>
    <n v="53.63"/>
    <x v="323"/>
    <s v="Yes"/>
    <x v="0"/>
    <x v="0"/>
    <x v="1"/>
    <x v="1"/>
    <x v="0"/>
    <x v="2"/>
    <n v="13"/>
    <s v="Nov"/>
    <n v="1994"/>
    <d v="1994-11-13T00:00:00"/>
    <n v="5312.17"/>
    <s v="tier - 2"/>
    <s v="tier - 2"/>
    <s v="R1012"/>
    <n v="32"/>
    <n v="53.63"/>
  </r>
  <r>
    <x v="618"/>
    <s v="Haglund,"/>
    <n v="48.7"/>
    <x v="378"/>
    <s v="No"/>
    <x v="0"/>
    <x v="0"/>
    <x v="0"/>
    <x v="1"/>
    <x v="0"/>
    <x v="2"/>
    <n v="2"/>
    <s v="Sep"/>
    <n v="1974"/>
    <d v="1974-09-02T00:00:00"/>
    <n v="5322.24"/>
    <s v="tier - 2"/>
    <s v="tier - 1"/>
    <s v="R1012"/>
    <n v="52"/>
    <n v="48.7"/>
  </r>
  <r>
    <x v="619"/>
    <s v="Mills,"/>
    <n v="48.81"/>
    <x v="206"/>
    <s v="No"/>
    <x v="0"/>
    <x v="0"/>
    <x v="0"/>
    <x v="1"/>
    <x v="0"/>
    <x v="2"/>
    <n v="18"/>
    <s v="Jun"/>
    <n v="1992"/>
    <d v="1992-06-18T00:00:00"/>
    <n v="5325.65"/>
    <s v="tier - 2"/>
    <s v="tier - 1"/>
    <s v="R1011"/>
    <n v="34"/>
    <n v="48.81"/>
  </r>
  <r>
    <x v="620"/>
    <s v="Drnjevich,"/>
    <n v="47.53"/>
    <x v="18"/>
    <s v="No"/>
    <x v="0"/>
    <x v="0"/>
    <x v="0"/>
    <x v="1"/>
    <x v="0"/>
    <x v="2"/>
    <n v="28"/>
    <s v="Aug"/>
    <n v="1991"/>
    <d v="1991-08-28T00:00:00"/>
    <n v="5327.4"/>
    <s v="tier - 2"/>
    <s v="tier - 1"/>
    <s v="R1012"/>
    <n v="35"/>
    <n v="47.53"/>
  </r>
  <r>
    <x v="621"/>
    <s v="Clay,"/>
    <n v="36.85"/>
    <x v="379"/>
    <s v="No"/>
    <x v="0"/>
    <x v="0"/>
    <x v="0"/>
    <x v="1"/>
    <x v="0"/>
    <x v="0"/>
    <n v="15"/>
    <s v="Dec"/>
    <n v="1972"/>
    <d v="1972-12-15T00:00:00"/>
    <n v="5344.81"/>
    <s v="tier - 2"/>
    <s v="tier - 3"/>
    <s v="R1013"/>
    <n v="54"/>
    <n v="36.85"/>
  </r>
  <r>
    <x v="622"/>
    <s v="Marbury,"/>
    <n v="29.3"/>
    <x v="334"/>
    <s v="No"/>
    <x v="0"/>
    <x v="0"/>
    <x v="0"/>
    <x v="1"/>
    <x v="1"/>
    <x v="2"/>
    <n v="7"/>
    <s v="Nov"/>
    <n v="1989"/>
    <d v="1989-11-07T00:00:00"/>
    <n v="5354.07"/>
    <s v="tier - 2"/>
    <s v="tier - 3"/>
    <s v="R1024"/>
    <n v="37"/>
    <n v="29.3"/>
  </r>
  <r>
    <x v="623"/>
    <s v="Coon,"/>
    <n v="19.3"/>
    <x v="135"/>
    <s v="No"/>
    <x v="0"/>
    <x v="0"/>
    <x v="1"/>
    <x v="0"/>
    <x v="2"/>
    <x v="2"/>
    <n v="7"/>
    <s v="Dec"/>
    <n v="1994"/>
    <d v="1994-12-07T00:00:00"/>
    <n v="5364.66"/>
    <s v="tier - 2"/>
    <s v="tier - 1"/>
    <s v="R1011"/>
    <n v="32"/>
    <n v="19.3"/>
  </r>
  <r>
    <x v="624"/>
    <s v="Vanttinen,"/>
    <n v="24.13"/>
    <x v="318"/>
    <s v="Yes"/>
    <x v="0"/>
    <x v="1"/>
    <x v="1"/>
    <x v="0"/>
    <x v="2"/>
    <x v="2"/>
    <n v="1"/>
    <s v="Jun"/>
    <n v="1986"/>
    <d v="1986-06-01T00:00:00"/>
    <n v="5373.36"/>
    <s v="tier - 2"/>
    <s v="tier - 2"/>
    <s v="R1012"/>
    <n v="40"/>
    <n v="24.13"/>
  </r>
  <r>
    <x v="625"/>
    <s v="Garges,"/>
    <n v="46.7"/>
    <x v="380"/>
    <s v="No"/>
    <x v="0"/>
    <x v="0"/>
    <x v="0"/>
    <x v="1"/>
    <x v="0"/>
    <x v="0"/>
    <n v="18"/>
    <s v="Nov"/>
    <n v="1989"/>
    <d v="1989-11-18T00:00:00"/>
    <n v="5375.04"/>
    <s v="tier - 2"/>
    <s v="tier - 1"/>
    <s v="R1011"/>
    <n v="37"/>
    <n v="46.7"/>
  </r>
  <r>
    <x v="626"/>
    <s v="Rivel,"/>
    <n v="45.27"/>
    <x v="112"/>
    <s v="Yes"/>
    <x v="0"/>
    <x v="0"/>
    <x v="0"/>
    <x v="1"/>
    <x v="0"/>
    <x v="2"/>
    <n v="22"/>
    <s v="Jul"/>
    <n v="1986"/>
    <d v="1986-07-22T00:00:00"/>
    <n v="5377.46"/>
    <s v="tier - 2"/>
    <s v="tier - 3"/>
    <s v="R1012"/>
    <n v="40"/>
    <n v="45.27"/>
  </r>
  <r>
    <x v="627"/>
    <s v="Lawson,"/>
    <n v="44.29"/>
    <x v="381"/>
    <s v="No"/>
    <x v="0"/>
    <x v="0"/>
    <x v="1"/>
    <x v="1"/>
    <x v="0"/>
    <x v="0"/>
    <n v="1"/>
    <s v="Jun"/>
    <n v="1984"/>
    <d v="1984-06-01T00:00:00"/>
    <n v="5383.54"/>
    <s v="tier - 2"/>
    <s v="tier - 3"/>
    <s v="R1011"/>
    <n v="42"/>
    <n v="44.29"/>
  </r>
  <r>
    <x v="628"/>
    <s v="Cale,"/>
    <n v="54.59"/>
    <x v="88"/>
    <s v="Yes"/>
    <x v="0"/>
    <x v="0"/>
    <x v="1"/>
    <x v="1"/>
    <x v="0"/>
    <x v="2"/>
    <n v="8"/>
    <s v="Aug"/>
    <n v="1988"/>
    <d v="1988-08-08T00:00:00"/>
    <n v="5385.34"/>
    <s v="tier - 2"/>
    <s v="tier - 3"/>
    <s v="R1012"/>
    <n v="38"/>
    <n v="54.59"/>
  </r>
  <r>
    <x v="629"/>
    <s v="Phillips,"/>
    <n v="32.965000000000003"/>
    <x v="382"/>
    <s v="No"/>
    <x v="0"/>
    <x v="0"/>
    <x v="0"/>
    <x v="1"/>
    <x v="0"/>
    <x v="0"/>
    <n v="6"/>
    <s v="Nov"/>
    <n v="1989"/>
    <d v="1989-11-06T00:00:00"/>
    <n v="5396.44"/>
    <s v="tier - 2"/>
    <s v="tier - 3"/>
    <s v="R1013"/>
    <n v="37"/>
    <n v="32.965000000000003"/>
  </r>
  <r>
    <x v="630"/>
    <s v="Stewart,"/>
    <n v="38.049999999999997"/>
    <x v="383"/>
    <s v="No"/>
    <x v="0"/>
    <x v="0"/>
    <x v="0"/>
    <x v="1"/>
    <x v="0"/>
    <x v="0"/>
    <n v="3"/>
    <s v="Sep"/>
    <n v="1984"/>
    <d v="1984-09-03T00:00:00"/>
    <n v="5397.62"/>
    <s v="tier - 2"/>
    <s v="tier - 2"/>
    <s v="R1013"/>
    <n v="42"/>
    <n v="38.049999999999997"/>
  </r>
  <r>
    <x v="631"/>
    <s v="Drotz,"/>
    <n v="46.14"/>
    <x v="384"/>
    <s v="No"/>
    <x v="0"/>
    <x v="0"/>
    <x v="0"/>
    <x v="1"/>
    <x v="0"/>
    <x v="0"/>
    <n v="1"/>
    <s v="Aug"/>
    <n v="1984"/>
    <d v="1984-08-01T00:00:00"/>
    <n v="5400.98"/>
    <s v="tier - 2"/>
    <s v="tier - 2"/>
    <s v="R1013"/>
    <n v="42"/>
    <n v="46.14"/>
  </r>
  <r>
    <x v="632"/>
    <s v="Mutai,"/>
    <n v="41.325000000000003"/>
    <x v="78"/>
    <s v="Yes"/>
    <x v="0"/>
    <x v="0"/>
    <x v="1"/>
    <x v="1"/>
    <x v="0"/>
    <x v="2"/>
    <n v="23"/>
    <s v="Dec"/>
    <n v="1985"/>
    <d v="1985-12-23T00:00:00"/>
    <n v="5402.89"/>
    <s v="tier - 2"/>
    <s v="tier - 1"/>
    <s v="R1013"/>
    <n v="41"/>
    <n v="41.325000000000003"/>
  </r>
  <r>
    <x v="633"/>
    <s v="Lovlien,"/>
    <n v="44.64"/>
    <x v="385"/>
    <s v="No"/>
    <x v="0"/>
    <x v="0"/>
    <x v="0"/>
    <x v="1"/>
    <x v="0"/>
    <x v="0"/>
    <n v="27"/>
    <s v="Sep"/>
    <n v="1975"/>
    <d v="1975-09-27T00:00:00"/>
    <n v="5411.99"/>
    <s v="tier - 2"/>
    <s v="tier - 3"/>
    <s v="R1012"/>
    <n v="51"/>
    <n v="44.64"/>
  </r>
  <r>
    <x v="634"/>
    <s v="Bruns,"/>
    <n v="25.175000000000001"/>
    <x v="98"/>
    <s v="No"/>
    <x v="1"/>
    <x v="0"/>
    <x v="1"/>
    <x v="0"/>
    <x v="1"/>
    <x v="2"/>
    <n v="27"/>
    <s v="Sep"/>
    <n v="1982"/>
    <d v="1982-09-27T00:00:00"/>
    <n v="5415.66"/>
    <s v="tier - 2"/>
    <s v="tier - 3"/>
    <s v="R1013"/>
    <n v="44"/>
    <n v="25.175000000000001"/>
  </r>
  <r>
    <x v="635"/>
    <s v="Stoney,"/>
    <n v="43.11"/>
    <x v="145"/>
    <s v="Yes"/>
    <x v="0"/>
    <x v="0"/>
    <x v="0"/>
    <x v="1"/>
    <x v="0"/>
    <x v="2"/>
    <n v="6"/>
    <s v="Jul"/>
    <n v="1991"/>
    <d v="1991-07-06T00:00:00"/>
    <n v="5425.02"/>
    <s v="tier - 2"/>
    <s v="tier - 1"/>
    <s v="R1012"/>
    <n v="35"/>
    <n v="43.11"/>
  </r>
  <r>
    <x v="636"/>
    <s v="Markert,"/>
    <n v="53.32"/>
    <x v="386"/>
    <s v="No"/>
    <x v="0"/>
    <x v="0"/>
    <x v="0"/>
    <x v="1"/>
    <x v="0"/>
    <x v="2"/>
    <n v="17"/>
    <s v="Sep"/>
    <n v="1992"/>
    <d v="1992-09-17T00:00:00"/>
    <n v="5428.73"/>
    <s v="tier - 3"/>
    <s v="tier - 1"/>
    <s v="R1017"/>
    <n v="34"/>
    <n v="53.32"/>
  </r>
  <r>
    <x v="637"/>
    <s v="McLucas,"/>
    <n v="38.04"/>
    <x v="339"/>
    <s v="Yes"/>
    <x v="0"/>
    <x v="0"/>
    <x v="1"/>
    <x v="1"/>
    <x v="0"/>
    <x v="2"/>
    <n v="8"/>
    <s v="Jun"/>
    <n v="1978"/>
    <d v="1978-06-08T00:00:00"/>
    <n v="5428.98"/>
    <s v="tier - 2"/>
    <s v="tier - 2"/>
    <s v="R1012"/>
    <n v="48"/>
    <n v="38.04"/>
  </r>
  <r>
    <x v="638"/>
    <s v="Erwin,"/>
    <n v="37.9"/>
    <x v="387"/>
    <s v="No"/>
    <x v="0"/>
    <x v="0"/>
    <x v="0"/>
    <x v="1"/>
    <x v="0"/>
    <x v="0"/>
    <n v="25"/>
    <s v="Aug"/>
    <n v="1982"/>
    <d v="1982-08-25T00:00:00"/>
    <n v="5438.75"/>
    <s v="tier - 3"/>
    <s v="tier - 2"/>
    <s v="R1013"/>
    <n v="44"/>
    <n v="37.9"/>
  </r>
  <r>
    <x v="639"/>
    <s v="Osborne,"/>
    <n v="39.6"/>
    <x v="388"/>
    <s v="No"/>
    <x v="0"/>
    <x v="0"/>
    <x v="0"/>
    <x v="1"/>
    <x v="0"/>
    <x v="0"/>
    <n v="25"/>
    <s v="Dec"/>
    <n v="1986"/>
    <d v="1986-12-25T00:00:00"/>
    <n v="5458.05"/>
    <s v="tier - 2"/>
    <s v="tier - 2"/>
    <s v="R1024"/>
    <n v="40"/>
    <n v="39.6"/>
  </r>
  <r>
    <x v="640"/>
    <s v="Otsuka,"/>
    <n v="50.92"/>
    <x v="389"/>
    <s v="Yes"/>
    <x v="0"/>
    <x v="0"/>
    <x v="1"/>
    <x v="1"/>
    <x v="0"/>
    <x v="2"/>
    <n v="24"/>
    <s v="Oct"/>
    <n v="1973"/>
    <d v="1973-10-24T00:00:00"/>
    <n v="5466.88"/>
    <s v="tier - 2"/>
    <s v="tier - 2"/>
    <s v="R1013"/>
    <n v="53"/>
    <n v="50.92"/>
  </r>
  <r>
    <x v="641"/>
    <s v="Smith,"/>
    <n v="21.85"/>
    <x v="209"/>
    <s v="Yes"/>
    <x v="0"/>
    <x v="0"/>
    <x v="0"/>
    <x v="0"/>
    <x v="2"/>
    <x v="2"/>
    <n v="2"/>
    <s v="Dec"/>
    <n v="1986"/>
    <d v="1986-12-02T00:00:00"/>
    <n v="5469.01"/>
    <s v="tier - 2"/>
    <s v="tier - 2"/>
    <s v="R1024"/>
    <n v="40"/>
    <n v="21.85"/>
  </r>
  <r>
    <x v="642"/>
    <s v="Myers,"/>
    <n v="36.08"/>
    <x v="390"/>
    <s v="Yes"/>
    <x v="0"/>
    <x v="1"/>
    <x v="1"/>
    <x v="1"/>
    <x v="0"/>
    <x v="0"/>
    <n v="12"/>
    <s v="Jul"/>
    <n v="1986"/>
    <d v="1986-07-12T00:00:00"/>
    <n v="5472.45"/>
    <s v="tier - 2"/>
    <s v="tier - 3"/>
    <s v="R1011"/>
    <n v="40"/>
    <n v="36.08"/>
  </r>
  <r>
    <x v="643"/>
    <s v="Cote,"/>
    <n v="40.44"/>
    <x v="272"/>
    <s v="Yes"/>
    <x v="0"/>
    <x v="1"/>
    <x v="1"/>
    <x v="1"/>
    <x v="0"/>
    <x v="2"/>
    <n v="30"/>
    <s v="Sep"/>
    <n v="1986"/>
    <d v="1986-09-30T00:00:00"/>
    <n v="5478.04"/>
    <s v="tier - 2"/>
    <s v="tier - 3"/>
    <s v="R1013"/>
    <n v="40"/>
    <n v="40.44"/>
  </r>
  <r>
    <x v="644"/>
    <s v="Ehrhardt,"/>
    <n v="38.094999999999999"/>
    <x v="391"/>
    <s v="No"/>
    <x v="0"/>
    <x v="0"/>
    <x v="0"/>
    <x v="1"/>
    <x v="0"/>
    <x v="0"/>
    <n v="26"/>
    <s v="Aug"/>
    <n v="1984"/>
    <d v="1984-08-26T00:00:00"/>
    <n v="5484.47"/>
    <s v="tier - 2"/>
    <s v="tier - 2"/>
    <s v="R1013"/>
    <n v="42"/>
    <n v="38.094999999999999"/>
  </r>
  <r>
    <x v="645"/>
    <s v="Petersen,"/>
    <n v="44.95"/>
    <x v="392"/>
    <s v="No"/>
    <x v="0"/>
    <x v="0"/>
    <x v="0"/>
    <x v="1"/>
    <x v="0"/>
    <x v="0"/>
    <n v="17"/>
    <s v="Aug"/>
    <n v="1984"/>
    <d v="1984-08-17T00:00:00"/>
    <n v="5488.26"/>
    <s v="tier - 2"/>
    <s v="tier - 3"/>
    <s v="R1011"/>
    <n v="42"/>
    <n v="44.95"/>
  </r>
  <r>
    <x v="646"/>
    <s v="Ertel,"/>
    <n v="35.54"/>
    <x v="156"/>
    <s v="No"/>
    <x v="0"/>
    <x v="0"/>
    <x v="0"/>
    <x v="1"/>
    <x v="0"/>
    <x v="0"/>
    <n v="29"/>
    <s v="Jul"/>
    <n v="1988"/>
    <d v="1988-07-29T00:00:00"/>
    <n v="5503.36"/>
    <s v="tier - 2"/>
    <s v="tier - 2"/>
    <s v="R1012"/>
    <n v="38"/>
    <n v="35.54"/>
  </r>
  <r>
    <x v="647"/>
    <s v="Lanza,"/>
    <n v="39.799999999999997"/>
    <x v="346"/>
    <s v="Yes"/>
    <x v="0"/>
    <x v="0"/>
    <x v="1"/>
    <x v="1"/>
    <x v="0"/>
    <x v="2"/>
    <n v="7"/>
    <s v="Nov"/>
    <n v="1981"/>
    <d v="1981-11-07T00:00:00"/>
    <n v="5539.4"/>
    <s v="tier - 2"/>
    <s v="tier - 2"/>
    <s v="R1013"/>
    <n v="45"/>
    <n v="39.799999999999997"/>
  </r>
  <r>
    <x v="648"/>
    <s v="Picklesimer,"/>
    <n v="33.659999999999997"/>
    <x v="120"/>
    <s v="Yes"/>
    <x v="0"/>
    <x v="0"/>
    <x v="1"/>
    <x v="1"/>
    <x v="0"/>
    <x v="2"/>
    <n v="7"/>
    <s v="Dec"/>
    <n v="1980"/>
    <d v="1980-12-07T00:00:00"/>
    <n v="5540.35"/>
    <s v="tier - 2"/>
    <s v="tier - 2"/>
    <s v="R1012"/>
    <n v="46"/>
    <n v="33.659999999999997"/>
  </r>
  <r>
    <x v="649"/>
    <s v="Giles,"/>
    <n v="35.5"/>
    <x v="393"/>
    <s v="No"/>
    <x v="0"/>
    <x v="0"/>
    <x v="0"/>
    <x v="1"/>
    <x v="0"/>
    <x v="0"/>
    <n v="22"/>
    <s v="Sep"/>
    <n v="1999"/>
    <d v="1999-09-22T00:00:00"/>
    <n v="5552.61"/>
    <s v="tier - 2"/>
    <s v="tier - 3"/>
    <s v="R1026"/>
    <n v="27"/>
    <n v="35.5"/>
  </r>
  <r>
    <x v="650"/>
    <s v="Harmon,"/>
    <n v="41.63"/>
    <x v="394"/>
    <s v="No"/>
    <x v="0"/>
    <x v="0"/>
    <x v="0"/>
    <x v="1"/>
    <x v="0"/>
    <x v="0"/>
    <n v="18"/>
    <s v="Sep"/>
    <n v="1974"/>
    <d v="1974-09-18T00:00:00"/>
    <n v="5576.35"/>
    <s v="tier - 2"/>
    <s v="tier - 3"/>
    <s v="R1013"/>
    <n v="52"/>
    <n v="41.63"/>
  </r>
  <r>
    <x v="651"/>
    <s v="Pennings,"/>
    <n v="46.49"/>
    <x v="395"/>
    <s v="No"/>
    <x v="0"/>
    <x v="0"/>
    <x v="0"/>
    <x v="1"/>
    <x v="0"/>
    <x v="0"/>
    <n v="5"/>
    <s v="Sep"/>
    <n v="1985"/>
    <d v="1985-09-05T00:00:00"/>
    <n v="5582.95"/>
    <s v="tier - 2"/>
    <s v="tier - 1"/>
    <s v="R1012"/>
    <n v="41"/>
    <n v="46.49"/>
  </r>
  <r>
    <x v="652"/>
    <s v="Tseronis,"/>
    <n v="43.29"/>
    <x v="352"/>
    <s v="No"/>
    <x v="0"/>
    <x v="0"/>
    <x v="1"/>
    <x v="1"/>
    <x v="0"/>
    <x v="2"/>
    <n v="21"/>
    <s v="Nov"/>
    <n v="1986"/>
    <d v="1986-11-21T00:00:00"/>
    <n v="5584.31"/>
    <s v="tier - 3"/>
    <s v="tier - 1"/>
    <s v="R1013"/>
    <n v="40"/>
    <n v="43.29"/>
  </r>
  <r>
    <x v="653"/>
    <s v="Aliff,"/>
    <n v="43.08"/>
    <x v="254"/>
    <s v="Yes"/>
    <x v="0"/>
    <x v="0"/>
    <x v="1"/>
    <x v="1"/>
    <x v="0"/>
    <x v="0"/>
    <n v="3"/>
    <s v="Oct"/>
    <n v="1983"/>
    <d v="1983-10-03T00:00:00"/>
    <n v="5587.59"/>
    <s v="tier - 2"/>
    <s v="tier - 1"/>
    <s v="R1013"/>
    <n v="43"/>
    <n v="43.08"/>
  </r>
  <r>
    <x v="654"/>
    <s v="Willenberg,"/>
    <n v="39.07"/>
    <x v="396"/>
    <s v="No"/>
    <x v="0"/>
    <x v="0"/>
    <x v="0"/>
    <x v="1"/>
    <x v="0"/>
    <x v="0"/>
    <n v="18"/>
    <s v="Nov"/>
    <n v="1988"/>
    <d v="1988-11-18T00:00:00"/>
    <n v="5594.85"/>
    <s v="tier - 2"/>
    <s v="tier - 3"/>
    <s v="R1024"/>
    <n v="38"/>
    <n v="39.07"/>
  </r>
  <r>
    <x v="655"/>
    <s v="Millett,"/>
    <n v="41.3"/>
    <x v="397"/>
    <s v="No"/>
    <x v="0"/>
    <x v="0"/>
    <x v="0"/>
    <x v="1"/>
    <x v="0"/>
    <x v="0"/>
    <n v="11"/>
    <s v="Sep"/>
    <n v="1978"/>
    <d v="1978-09-11T00:00:00"/>
    <n v="5612.83"/>
    <s v="tier - 2"/>
    <s v="tier - 3"/>
    <s v="R1013"/>
    <n v="48"/>
    <n v="41.3"/>
  </r>
  <r>
    <x v="656"/>
    <s v="Haley,"/>
    <n v="42.95"/>
    <x v="26"/>
    <s v="Yes"/>
    <x v="0"/>
    <x v="0"/>
    <x v="1"/>
    <x v="1"/>
    <x v="0"/>
    <x v="0"/>
    <n v="15"/>
    <s v="Nov"/>
    <n v="1994"/>
    <d v="1994-11-15T00:00:00"/>
    <n v="5615.37"/>
    <s v="tier - 2"/>
    <s v="tier - 3"/>
    <s v="R1011"/>
    <n v="32"/>
    <n v="42.95"/>
  </r>
  <r>
    <x v="657"/>
    <s v="Ackerman,"/>
    <n v="46.96"/>
    <x v="202"/>
    <s v="No"/>
    <x v="0"/>
    <x v="1"/>
    <x v="1"/>
    <x v="1"/>
    <x v="0"/>
    <x v="2"/>
    <n v="9"/>
    <s v="Dec"/>
    <n v="1987"/>
    <d v="1987-12-09T00:00:00"/>
    <n v="5630.46"/>
    <s v="tier - 2"/>
    <s v="tier - 3"/>
    <s v="R1012"/>
    <n v="39"/>
    <n v="46.96"/>
  </r>
  <r>
    <x v="658"/>
    <s v="Valdez,"/>
    <n v="30.495000000000001"/>
    <x v="201"/>
    <s v="No"/>
    <x v="0"/>
    <x v="0"/>
    <x v="0"/>
    <x v="1"/>
    <x v="0"/>
    <x v="0"/>
    <n v="8"/>
    <s v="Jun"/>
    <n v="1983"/>
    <d v="1983-06-08T00:00:00"/>
    <n v="5649.72"/>
    <s v="tier - 2"/>
    <s v="tier - 3"/>
    <s v="R1011"/>
    <n v="43"/>
    <n v="30.495000000000001"/>
  </r>
  <r>
    <x v="659"/>
    <s v="Michaud,"/>
    <n v="17.954999999999998"/>
    <x v="318"/>
    <s v="Yes"/>
    <x v="0"/>
    <x v="0"/>
    <x v="1"/>
    <x v="0"/>
    <x v="3"/>
    <x v="2"/>
    <n v="27"/>
    <s v="Sep"/>
    <n v="1978"/>
    <d v="1978-09-27T00:00:00"/>
    <n v="5650.14"/>
    <s v="tier - 2"/>
    <s v="tier - 1"/>
    <s v="R1013"/>
    <n v="48"/>
    <n v="17.954999999999998"/>
  </r>
  <r>
    <x v="660"/>
    <s v="Gunnink,"/>
    <n v="25.6"/>
    <x v="398"/>
    <s v="No"/>
    <x v="0"/>
    <x v="0"/>
    <x v="1"/>
    <x v="1"/>
    <x v="1"/>
    <x v="0"/>
    <n v="3"/>
    <s v="Sep"/>
    <n v="1983"/>
    <d v="1983-09-03T00:00:00"/>
    <n v="5662.23"/>
    <s v="tier - 2"/>
    <s v="tier - 1"/>
    <s v="R1013"/>
    <n v="43"/>
    <n v="25.6"/>
  </r>
  <r>
    <x v="661"/>
    <s v="Knight,"/>
    <n v="34.21"/>
    <x v="399"/>
    <s v="No"/>
    <x v="0"/>
    <x v="0"/>
    <x v="0"/>
    <x v="1"/>
    <x v="0"/>
    <x v="0"/>
    <n v="12"/>
    <s v="Aug"/>
    <n v="1984"/>
    <d v="1984-08-12T00:00:00"/>
    <n v="5679.13"/>
    <s v="tier - 2"/>
    <s v="tier - 2"/>
    <s v="R1013"/>
    <n v="42"/>
    <n v="34.21"/>
  </r>
  <r>
    <x v="662"/>
    <s v="Grosscup,"/>
    <n v="39.74"/>
    <x v="284"/>
    <s v="No"/>
    <x v="0"/>
    <x v="0"/>
    <x v="0"/>
    <x v="1"/>
    <x v="0"/>
    <x v="0"/>
    <n v="28"/>
    <s v="Oct"/>
    <n v="1972"/>
    <d v="1972-10-28T00:00:00"/>
    <n v="5690.79"/>
    <s v="tier - 2"/>
    <s v="tier - 1"/>
    <s v="R1013"/>
    <n v="54"/>
    <n v="39.74"/>
  </r>
  <r>
    <x v="663"/>
    <s v="Koniuch,"/>
    <n v="49.53"/>
    <x v="400"/>
    <s v="Yes"/>
    <x v="0"/>
    <x v="0"/>
    <x v="0"/>
    <x v="1"/>
    <x v="0"/>
    <x v="0"/>
    <n v="3"/>
    <s v="Nov"/>
    <n v="1992"/>
    <d v="1992-11-03T00:00:00"/>
    <n v="5693.43"/>
    <s v="tier - 2"/>
    <s v="tier - 3"/>
    <s v="R1012"/>
    <n v="34"/>
    <n v="49.53"/>
  </r>
  <r>
    <x v="664"/>
    <s v="Heitzman,"/>
    <n v="39.33"/>
    <x v="392"/>
    <s v="No"/>
    <x v="0"/>
    <x v="0"/>
    <x v="1"/>
    <x v="1"/>
    <x v="0"/>
    <x v="0"/>
    <n v="6"/>
    <s v="Jul"/>
    <n v="1974"/>
    <d v="1974-07-06T00:00:00"/>
    <n v="5698.74"/>
    <s v="tier - 2"/>
    <s v="tier - 2"/>
    <s v="R1012"/>
    <n v="52"/>
    <n v="39.33"/>
  </r>
  <r>
    <x v="665"/>
    <s v="Tatton,"/>
    <n v="39.979999999999997"/>
    <x v="401"/>
    <s v="Yes"/>
    <x v="0"/>
    <x v="0"/>
    <x v="1"/>
    <x v="1"/>
    <x v="0"/>
    <x v="0"/>
    <n v="15"/>
    <s v="Jun"/>
    <n v="1981"/>
    <d v="1981-06-15T00:00:00"/>
    <n v="5699.84"/>
    <s v="tier - 2"/>
    <s v="tier - 3"/>
    <s v="R1013"/>
    <n v="45"/>
    <n v="39.979999999999997"/>
  </r>
  <r>
    <x v="666"/>
    <s v="Flanagan,"/>
    <n v="46.51"/>
    <x v="402"/>
    <s v="Yes"/>
    <x v="0"/>
    <x v="0"/>
    <x v="0"/>
    <x v="1"/>
    <x v="0"/>
    <x v="0"/>
    <n v="3"/>
    <s v="Nov"/>
    <n v="1993"/>
    <d v="1993-11-03T00:00:00"/>
    <n v="5708.87"/>
    <s v="tier - 2"/>
    <s v="tier - 1"/>
    <s v="R1011"/>
    <n v="33"/>
    <n v="46.51"/>
  </r>
  <r>
    <x v="667"/>
    <s v="Funk,"/>
    <n v="43.58"/>
    <x v="80"/>
    <s v="No"/>
    <x v="0"/>
    <x v="1"/>
    <x v="1"/>
    <x v="1"/>
    <x v="0"/>
    <x v="2"/>
    <n v="30"/>
    <s v="Aug"/>
    <n v="1981"/>
    <d v="1981-08-30T00:00:00"/>
    <n v="5709.16"/>
    <s v="tier - 3"/>
    <s v="tier - 3"/>
    <s v="R1013"/>
    <n v="45"/>
    <n v="43.58"/>
  </r>
  <r>
    <x v="668"/>
    <s v="Davenport,"/>
    <n v="42.28"/>
    <x v="403"/>
    <s v="Yes"/>
    <x v="0"/>
    <x v="0"/>
    <x v="1"/>
    <x v="1"/>
    <x v="0"/>
    <x v="0"/>
    <n v="18"/>
    <s v="Dec"/>
    <n v="1971"/>
    <d v="1971-12-18T00:00:00"/>
    <n v="5720.38"/>
    <s v="tier - 2"/>
    <s v="tier - 1"/>
    <s v="R1013"/>
    <n v="55"/>
    <n v="42.28"/>
  </r>
  <r>
    <x v="669"/>
    <s v="Nicholson,"/>
    <n v="35.520000000000003"/>
    <x v="295"/>
    <s v="No"/>
    <x v="0"/>
    <x v="0"/>
    <x v="0"/>
    <x v="1"/>
    <x v="0"/>
    <x v="0"/>
    <n v="19"/>
    <s v="Oct"/>
    <n v="1987"/>
    <d v="1987-10-19T00:00:00"/>
    <n v="5729.01"/>
    <s v="tier - 1"/>
    <s v="tier - 2"/>
    <s v="R1012"/>
    <n v="39"/>
    <n v="35.520000000000003"/>
  </r>
  <r>
    <x v="670"/>
    <s v="Lindbloom,"/>
    <n v="33.6"/>
    <x v="404"/>
    <s v="No"/>
    <x v="0"/>
    <x v="0"/>
    <x v="0"/>
    <x v="1"/>
    <x v="0"/>
    <x v="0"/>
    <n v="21"/>
    <s v="Aug"/>
    <n v="1972"/>
    <d v="1972-08-21T00:00:00"/>
    <n v="5741.67"/>
    <s v="tier - 2"/>
    <s v="tier - 3"/>
    <s v="R1013"/>
    <n v="54"/>
    <n v="33.6"/>
  </r>
  <r>
    <x v="671"/>
    <s v="Wijayaratne,"/>
    <n v="22.42"/>
    <x v="28"/>
    <s v="No"/>
    <x v="0"/>
    <x v="0"/>
    <x v="0"/>
    <x v="0"/>
    <x v="2"/>
    <x v="0"/>
    <n v="10"/>
    <s v="Jun"/>
    <n v="1993"/>
    <d v="1993-06-10T00:00:00"/>
    <n v="5748.13"/>
    <s v="tier - 2"/>
    <s v="tier - 1"/>
    <s v="R1021"/>
    <n v="33"/>
    <n v="22.42"/>
  </r>
  <r>
    <x v="672"/>
    <s v="Ainsworth,"/>
    <n v="46.86"/>
    <x v="189"/>
    <s v="No"/>
    <x v="0"/>
    <x v="0"/>
    <x v="0"/>
    <x v="1"/>
    <x v="0"/>
    <x v="2"/>
    <n v="30"/>
    <s v="Aug"/>
    <n v="1983"/>
    <d v="1983-08-30T00:00:00"/>
    <n v="5757.41"/>
    <s v="tier - 2"/>
    <s v="tier - 3"/>
    <s v="R1019"/>
    <n v="43"/>
    <n v="46.86"/>
  </r>
  <r>
    <x v="673"/>
    <s v="Gayagoy,"/>
    <n v="32.965000000000003"/>
    <x v="405"/>
    <s v="No"/>
    <x v="0"/>
    <x v="0"/>
    <x v="1"/>
    <x v="1"/>
    <x v="0"/>
    <x v="0"/>
    <n v="1"/>
    <s v="Nov"/>
    <n v="2004"/>
    <d v="2004-11-01T00:00:00"/>
    <n v="5778.71"/>
    <s v="tier - 2"/>
    <s v="tier - 3"/>
    <s v="R1022"/>
    <n v="22"/>
    <n v="32.965000000000003"/>
  </r>
  <r>
    <x v="674"/>
    <s v="Fitzmaurice,"/>
    <n v="39.340000000000003"/>
    <x v="339"/>
    <s v="Yes"/>
    <x v="0"/>
    <x v="1"/>
    <x v="1"/>
    <x v="1"/>
    <x v="0"/>
    <x v="2"/>
    <n v="18"/>
    <s v="Sep"/>
    <n v="1980"/>
    <d v="1980-09-18T00:00:00"/>
    <n v="5807.06"/>
    <s v="tier - 2"/>
    <s v="tier - 3"/>
    <s v="R1013"/>
    <n v="46"/>
    <n v="39.340000000000003"/>
  </r>
  <r>
    <x v="675"/>
    <s v="Rodriguez,"/>
    <n v="47"/>
    <x v="257"/>
    <s v="Yes"/>
    <x v="0"/>
    <x v="0"/>
    <x v="0"/>
    <x v="1"/>
    <x v="0"/>
    <x v="0"/>
    <n v="2"/>
    <s v="Nov"/>
    <n v="1972"/>
    <d v="1972-11-02T00:00:00"/>
    <n v="5812.9"/>
    <s v="tier - 2"/>
    <s v="tier - 2"/>
    <s v="R1013"/>
    <n v="54"/>
    <n v="47"/>
  </r>
  <r>
    <x v="676"/>
    <s v="Tsoucas,"/>
    <n v="36.71"/>
    <x v="406"/>
    <s v="Yes"/>
    <x v="0"/>
    <x v="0"/>
    <x v="0"/>
    <x v="1"/>
    <x v="0"/>
    <x v="0"/>
    <n v="22"/>
    <s v="Jul"/>
    <n v="2002"/>
    <d v="2002-07-22T00:00:00"/>
    <n v="5816.58"/>
    <s v="tier - 2"/>
    <s v="tier - 2"/>
    <s v="R1026"/>
    <n v="24"/>
    <n v="36.71"/>
  </r>
  <r>
    <x v="677"/>
    <s v="Muhly,"/>
    <n v="53.48"/>
    <x v="407"/>
    <s v="No"/>
    <x v="0"/>
    <x v="0"/>
    <x v="0"/>
    <x v="1"/>
    <x v="0"/>
    <x v="2"/>
    <n v="27"/>
    <s v="Sep"/>
    <n v="1971"/>
    <d v="1971-09-27T00:00:00"/>
    <n v="5832.6"/>
    <s v="tier - 2"/>
    <s v="tier - 3"/>
    <s v="R1012"/>
    <n v="55"/>
    <n v="53.48"/>
  </r>
  <r>
    <x v="678"/>
    <s v="Lund,"/>
    <n v="35.5"/>
    <x v="408"/>
    <s v="No"/>
    <x v="0"/>
    <x v="0"/>
    <x v="0"/>
    <x v="1"/>
    <x v="0"/>
    <x v="0"/>
    <n v="27"/>
    <s v="Jul"/>
    <n v="1987"/>
    <d v="1987-07-27T00:00:00"/>
    <n v="5836.52"/>
    <s v="tier - 2"/>
    <s v="tier - 3"/>
    <s v="R1013"/>
    <n v="39"/>
    <n v="35.5"/>
  </r>
  <r>
    <x v="679"/>
    <s v="Battaglino,"/>
    <n v="36.979999999999997"/>
    <x v="409"/>
    <s v="Yes"/>
    <x v="0"/>
    <x v="0"/>
    <x v="0"/>
    <x v="1"/>
    <x v="0"/>
    <x v="0"/>
    <n v="20"/>
    <s v="Aug"/>
    <n v="1995"/>
    <d v="1995-08-20T00:00:00"/>
    <n v="5843.99"/>
    <s v="tier - 2"/>
    <s v="tier - 2"/>
    <s v="R1025"/>
    <n v="31"/>
    <n v="36.979999999999997"/>
  </r>
  <r>
    <x v="680"/>
    <s v="Pena,"/>
    <n v="32.395000000000003"/>
    <x v="210"/>
    <s v="Yes"/>
    <x v="0"/>
    <x v="1"/>
    <x v="1"/>
    <x v="1"/>
    <x v="0"/>
    <x v="0"/>
    <n v="30"/>
    <s v="Sep"/>
    <n v="1987"/>
    <d v="1987-09-30T00:00:00"/>
    <n v="5846.92"/>
    <s v="tier - 2"/>
    <s v="tier - 2"/>
    <s v="R1013"/>
    <n v="39"/>
    <n v="32.395000000000003"/>
  </r>
  <r>
    <x v="681"/>
    <s v="Thomason,"/>
    <n v="32.729999999999997"/>
    <x v="354"/>
    <s v="No"/>
    <x v="0"/>
    <x v="0"/>
    <x v="0"/>
    <x v="1"/>
    <x v="0"/>
    <x v="0"/>
    <n v="18"/>
    <s v="Jun"/>
    <n v="1985"/>
    <d v="1985-06-18T00:00:00"/>
    <n v="5847.24"/>
    <s v="tier - 2"/>
    <s v="tier - 1"/>
    <s v="R1013"/>
    <n v="41"/>
    <n v="32.729999999999997"/>
  </r>
  <r>
    <x v="682"/>
    <s v="Hancox,"/>
    <n v="20.52"/>
    <x v="4"/>
    <s v="No"/>
    <x v="0"/>
    <x v="0"/>
    <x v="1"/>
    <x v="0"/>
    <x v="2"/>
    <x v="2"/>
    <n v="22"/>
    <s v="Nov"/>
    <n v="1984"/>
    <d v="1984-11-22T00:00:00"/>
    <n v="5855.9"/>
    <s v="tier - 2"/>
    <s v="tier - 3"/>
    <s v="R1012"/>
    <n v="42"/>
    <n v="20.52"/>
  </r>
  <r>
    <x v="683"/>
    <s v="Canarecci,"/>
    <n v="51.72"/>
    <x v="136"/>
    <s v="No"/>
    <x v="0"/>
    <x v="0"/>
    <x v="0"/>
    <x v="1"/>
    <x v="0"/>
    <x v="1"/>
    <n v="19"/>
    <s v="Oct"/>
    <n v="1993"/>
    <d v="1993-10-19T00:00:00"/>
    <n v="5877.02"/>
    <s v="tier - 2"/>
    <s v="tier - 2"/>
    <s v="R1021"/>
    <n v="33"/>
    <n v="51.72"/>
  </r>
  <r>
    <x v="684"/>
    <s v="Toupin,"/>
    <n v="50.2"/>
    <x v="66"/>
    <s v="No"/>
    <x v="0"/>
    <x v="0"/>
    <x v="0"/>
    <x v="1"/>
    <x v="0"/>
    <x v="2"/>
    <n v="8"/>
    <s v="Jul"/>
    <n v="1982"/>
    <d v="1982-07-08T00:00:00"/>
    <n v="5910.94"/>
    <s v="tier - 2"/>
    <s v="tier - 1"/>
    <s v="R1011"/>
    <n v="44"/>
    <n v="50.2"/>
  </r>
  <r>
    <x v="685"/>
    <s v="Mulley,"/>
    <n v="25.52"/>
    <x v="347"/>
    <s v="No"/>
    <x v="0"/>
    <x v="1"/>
    <x v="1"/>
    <x v="1"/>
    <x v="1"/>
    <x v="1"/>
    <n v="21"/>
    <s v="Dec"/>
    <n v="1982"/>
    <d v="1982-12-21T00:00:00"/>
    <n v="5920.1"/>
    <s v="tier - 2"/>
    <s v="tier - 1"/>
    <s v="R1013"/>
    <n v="44"/>
    <n v="25.52"/>
  </r>
  <r>
    <x v="686"/>
    <s v="Parry,"/>
    <n v="35.200000000000003"/>
    <x v="106"/>
    <s v="Yes"/>
    <x v="0"/>
    <x v="0"/>
    <x v="1"/>
    <x v="1"/>
    <x v="0"/>
    <x v="1"/>
    <n v="29"/>
    <s v="Jul"/>
    <n v="1987"/>
    <d v="1987-07-29T00:00:00"/>
    <n v="5926.85"/>
    <s v="tier - 3"/>
    <s v="tier - 3"/>
    <s v="R1011"/>
    <n v="39"/>
    <n v="35.200000000000003"/>
  </r>
  <r>
    <x v="687"/>
    <s v="Mason"/>
    <n v="41.26"/>
    <x v="410"/>
    <s v="Yes"/>
    <x v="0"/>
    <x v="0"/>
    <x v="0"/>
    <x v="1"/>
    <x v="0"/>
    <x v="1"/>
    <n v="13"/>
    <s v="Aug"/>
    <n v="1993"/>
    <d v="1993-08-13T00:00:00"/>
    <n v="5926.93"/>
    <s v="tier - 2"/>
    <s v="tier - 2"/>
    <s v="R1025"/>
    <n v="33"/>
    <n v="41.26"/>
  </r>
  <r>
    <x v="688"/>
    <s v="Thompson,"/>
    <n v="17.195"/>
    <x v="318"/>
    <s v="Yes"/>
    <x v="0"/>
    <x v="0"/>
    <x v="0"/>
    <x v="0"/>
    <x v="3"/>
    <x v="2"/>
    <n v="30"/>
    <s v="Jul"/>
    <n v="1994"/>
    <d v="1994-07-30T00:00:00"/>
    <n v="5927.65"/>
    <s v="tier - 2"/>
    <s v="tier - 1"/>
    <s v="R1012"/>
    <n v="32"/>
    <n v="17.195"/>
  </r>
  <r>
    <x v="689"/>
    <s v="Nelson,"/>
    <n v="23.085000000000001"/>
    <x v="159"/>
    <s v="Yes"/>
    <x v="0"/>
    <x v="0"/>
    <x v="1"/>
    <x v="1"/>
    <x v="2"/>
    <x v="2"/>
    <n v="14"/>
    <s v="Jul"/>
    <n v="1987"/>
    <d v="1987-07-14T00:00:00"/>
    <n v="5934.38"/>
    <s v="tier - 3"/>
    <s v="tier - 2"/>
    <s v="R1013"/>
    <n v="39"/>
    <n v="23.085000000000001"/>
  </r>
  <r>
    <x v="690"/>
    <s v="Forte,"/>
    <n v="21.66"/>
    <x v="112"/>
    <s v="Yes"/>
    <x v="0"/>
    <x v="0"/>
    <x v="1"/>
    <x v="1"/>
    <x v="2"/>
    <x v="2"/>
    <n v="13"/>
    <s v="Aug"/>
    <n v="2003"/>
    <d v="2003-08-13T00:00:00"/>
    <n v="5957.35"/>
    <s v="tier - 2"/>
    <s v="tier - 2"/>
    <s v="R1012"/>
    <n v="23"/>
    <n v="21.66"/>
  </r>
  <r>
    <x v="691"/>
    <s v="Corona"/>
    <n v="36.47"/>
    <x v="210"/>
    <s v="Yes"/>
    <x v="0"/>
    <x v="0"/>
    <x v="0"/>
    <x v="1"/>
    <x v="0"/>
    <x v="0"/>
    <n v="15"/>
    <s v="Jul"/>
    <n v="2004"/>
    <d v="2004-07-15T00:00:00"/>
    <n v="5960.91"/>
    <s v="tier - 2"/>
    <s v="tier - 1"/>
    <s v="R1026"/>
    <n v="22"/>
    <n v="36.47"/>
  </r>
  <r>
    <x v="692"/>
    <s v="McCollum,"/>
    <n v="36.08"/>
    <x v="411"/>
    <s v="Yes"/>
    <x v="0"/>
    <x v="0"/>
    <x v="0"/>
    <x v="1"/>
    <x v="0"/>
    <x v="0"/>
    <n v="5"/>
    <s v="Aug"/>
    <n v="1980"/>
    <d v="1980-08-05T00:00:00"/>
    <n v="5966.89"/>
    <s v="tier - 2"/>
    <s v="tier - 3"/>
    <s v="R1013"/>
    <n v="46"/>
    <n v="36.08"/>
  </r>
  <r>
    <x v="693"/>
    <s v="Hevner,"/>
    <n v="23.18"/>
    <x v="296"/>
    <s v="No"/>
    <x v="0"/>
    <x v="0"/>
    <x v="0"/>
    <x v="1"/>
    <x v="2"/>
    <x v="1"/>
    <n v="21"/>
    <s v="Jul"/>
    <n v="1980"/>
    <d v="1980-07-21T00:00:00"/>
    <n v="5969.72"/>
    <s v="tier - 3"/>
    <s v="tier - 3"/>
    <s v="R1011"/>
    <n v="46"/>
    <n v="23.18"/>
  </r>
  <r>
    <x v="694"/>
    <s v="Looi,"/>
    <n v="39.159999999999997"/>
    <x v="358"/>
    <s v="No"/>
    <x v="0"/>
    <x v="0"/>
    <x v="1"/>
    <x v="1"/>
    <x v="0"/>
    <x v="0"/>
    <n v="22"/>
    <s v="Jul"/>
    <n v="1989"/>
    <d v="1989-07-22T00:00:00"/>
    <n v="5972.38"/>
    <s v="tier - 2"/>
    <s v="tier - 2"/>
    <s v="R1011"/>
    <n v="37"/>
    <n v="39.159999999999997"/>
  </r>
  <r>
    <x v="695"/>
    <s v="Power,"/>
    <n v="38.19"/>
    <x v="412"/>
    <s v="No"/>
    <x v="0"/>
    <x v="0"/>
    <x v="1"/>
    <x v="1"/>
    <x v="0"/>
    <x v="0"/>
    <n v="19"/>
    <s v="Sep"/>
    <n v="1984"/>
    <d v="1984-09-19T00:00:00"/>
    <n v="5974.38"/>
    <s v="tier - 2"/>
    <s v="tier - 3"/>
    <s v="R1013"/>
    <n v="42"/>
    <n v="38.19"/>
  </r>
  <r>
    <x v="696"/>
    <s v="Routon,"/>
    <n v="26.41"/>
    <x v="413"/>
    <s v="No"/>
    <x v="0"/>
    <x v="0"/>
    <x v="1"/>
    <x v="1"/>
    <x v="1"/>
    <x v="0"/>
    <n v="11"/>
    <s v="Nov"/>
    <n v="1984"/>
    <d v="1984-11-11T00:00:00"/>
    <n v="5976.83"/>
    <s v="tier - 2"/>
    <s v="tier - 2"/>
    <s v="R1013"/>
    <n v="42"/>
    <n v="26.41"/>
  </r>
  <r>
    <x v="697"/>
    <s v="Dochelli,"/>
    <n v="28.785"/>
    <x v="414"/>
    <s v="No"/>
    <x v="0"/>
    <x v="0"/>
    <x v="0"/>
    <x v="1"/>
    <x v="1"/>
    <x v="0"/>
    <n v="25"/>
    <s v="Jun"/>
    <n v="1970"/>
    <d v="1970-06-25T00:00:00"/>
    <n v="5979.66"/>
    <s v="tier - 2"/>
    <s v="tier - 3"/>
    <s v="R1013"/>
    <n v="56"/>
    <n v="28.785"/>
  </r>
  <r>
    <x v="698"/>
    <s v="Gillespie,"/>
    <n v="26.695"/>
    <x v="415"/>
    <s v="Yes"/>
    <x v="0"/>
    <x v="1"/>
    <x v="1"/>
    <x v="1"/>
    <x v="1"/>
    <x v="0"/>
    <n v="10"/>
    <s v="Oct"/>
    <n v="1980"/>
    <d v="1980-10-10T00:00:00"/>
    <n v="5979.73"/>
    <s v="tier - 2"/>
    <s v="tier - 2"/>
    <s v="R1011"/>
    <n v="46"/>
    <n v="26.695"/>
  </r>
  <r>
    <x v="699"/>
    <s v="Oskvig,"/>
    <n v="32.799999999999997"/>
    <x v="87"/>
    <s v="Yes"/>
    <x v="0"/>
    <x v="0"/>
    <x v="1"/>
    <x v="1"/>
    <x v="0"/>
    <x v="1"/>
    <n v="11"/>
    <s v="Oct"/>
    <n v="1974"/>
    <d v="1974-10-11T00:00:00"/>
    <n v="5979.99"/>
    <s v="tier - 2"/>
    <s v="tier - 3"/>
    <s v="R1013"/>
    <n v="52"/>
    <n v="32.799999999999997"/>
  </r>
  <r>
    <x v="700"/>
    <s v="Holland-Stergar,"/>
    <n v="35.869999999999997"/>
    <x v="416"/>
    <s v="Yes"/>
    <x v="0"/>
    <x v="0"/>
    <x v="0"/>
    <x v="1"/>
    <x v="0"/>
    <x v="0"/>
    <n v="10"/>
    <s v="Jun"/>
    <n v="1988"/>
    <d v="1988-06-10T00:00:00"/>
    <n v="5989.52"/>
    <s v="tier - 2"/>
    <s v="tier - 1"/>
    <s v="R1012"/>
    <n v="38"/>
    <n v="35.869999999999997"/>
  </r>
  <r>
    <x v="701"/>
    <s v="Arai,"/>
    <n v="21.66"/>
    <x v="417"/>
    <s v="Yes"/>
    <x v="0"/>
    <x v="0"/>
    <x v="1"/>
    <x v="1"/>
    <x v="2"/>
    <x v="2"/>
    <n v="17"/>
    <s v="Aug"/>
    <n v="1974"/>
    <d v="1974-08-17T00:00:00"/>
    <n v="5990.17"/>
    <s v="tier - 2"/>
    <s v="tier - 2"/>
    <s v="R1013"/>
    <n v="52"/>
    <n v="21.66"/>
  </r>
  <r>
    <x v="702"/>
    <s v="Olausson,"/>
    <n v="37.72"/>
    <x v="24"/>
    <s v="Yes"/>
    <x v="0"/>
    <x v="1"/>
    <x v="1"/>
    <x v="1"/>
    <x v="0"/>
    <x v="2"/>
    <n v="8"/>
    <s v="Aug"/>
    <n v="1980"/>
    <d v="1980-08-08T00:00:00"/>
    <n v="5993.62"/>
    <s v="tier - 2"/>
    <s v="tier - 3"/>
    <s v="R1013"/>
    <n v="46"/>
    <n v="37.72"/>
  </r>
  <r>
    <x v="703"/>
    <s v="Wagner,"/>
    <n v="39.700000000000003"/>
    <x v="418"/>
    <s v="No"/>
    <x v="0"/>
    <x v="0"/>
    <x v="1"/>
    <x v="1"/>
    <x v="0"/>
    <x v="0"/>
    <n v="16"/>
    <s v="Aug"/>
    <n v="1989"/>
    <d v="1989-08-16T00:00:00"/>
    <n v="6059.17"/>
    <s v="tier - 2"/>
    <s v="tier - 1"/>
    <s v="R1011"/>
    <n v="37"/>
    <n v="39.700000000000003"/>
  </r>
  <r>
    <x v="704"/>
    <s v="Delong,"/>
    <n v="35.97"/>
    <x v="419"/>
    <s v="No"/>
    <x v="0"/>
    <x v="0"/>
    <x v="1"/>
    <x v="1"/>
    <x v="0"/>
    <x v="0"/>
    <n v="28"/>
    <s v="Jul"/>
    <n v="1996"/>
    <d v="1996-07-28T00:00:00"/>
    <n v="6061.8"/>
    <s v="tier - 2"/>
    <s v="tier - 3"/>
    <s v="R1012"/>
    <n v="30"/>
    <n v="35.97"/>
  </r>
  <r>
    <x v="705"/>
    <s v="Mehech,"/>
    <n v="37.85"/>
    <x v="420"/>
    <s v="No"/>
    <x v="0"/>
    <x v="0"/>
    <x v="0"/>
    <x v="1"/>
    <x v="0"/>
    <x v="0"/>
    <n v="8"/>
    <s v="Nov"/>
    <n v="1994"/>
    <d v="1994-11-08T00:00:00"/>
    <n v="6064.37"/>
    <s v="tier - 2"/>
    <s v="tier - 2"/>
    <s v="R1011"/>
    <n v="32"/>
    <n v="37.85"/>
  </r>
  <r>
    <x v="706"/>
    <s v="Machiela,"/>
    <n v="21.66"/>
    <x v="161"/>
    <s v="No"/>
    <x v="1"/>
    <x v="0"/>
    <x v="1"/>
    <x v="0"/>
    <x v="2"/>
    <x v="2"/>
    <n v="21"/>
    <s v="Sep"/>
    <n v="1984"/>
    <d v="1984-09-21T00:00:00"/>
    <n v="6067.13"/>
    <s v="tier - 3"/>
    <s v="tier - 1"/>
    <s v="R1016"/>
    <n v="42"/>
    <n v="21.66"/>
  </r>
  <r>
    <x v="707"/>
    <s v="Young,"/>
    <n v="39.369999999999997"/>
    <x v="119"/>
    <s v="No"/>
    <x v="0"/>
    <x v="0"/>
    <x v="1"/>
    <x v="1"/>
    <x v="0"/>
    <x v="1"/>
    <n v="8"/>
    <s v="Aug"/>
    <n v="1979"/>
    <d v="1979-08-08T00:00:00"/>
    <n v="6074.37"/>
    <s v="tier - 2"/>
    <s v="tier - 2"/>
    <s v="R1012"/>
    <n v="47"/>
    <n v="39.369999999999997"/>
  </r>
  <r>
    <x v="708"/>
    <s v="Dupere,"/>
    <n v="40.880000000000003"/>
    <x v="368"/>
    <s v="No"/>
    <x v="0"/>
    <x v="0"/>
    <x v="0"/>
    <x v="1"/>
    <x v="0"/>
    <x v="0"/>
    <n v="14"/>
    <s v="Oct"/>
    <n v="1984"/>
    <d v="1984-10-14T00:00:00"/>
    <n v="6079.67"/>
    <s v="tier - 1"/>
    <s v="tier - 1"/>
    <s v="R1014"/>
    <n v="42"/>
    <n v="40.880000000000003"/>
  </r>
  <r>
    <x v="709"/>
    <s v="Iandolo,"/>
    <n v="26.22"/>
    <x v="191"/>
    <s v="Yes"/>
    <x v="0"/>
    <x v="0"/>
    <x v="1"/>
    <x v="1"/>
    <x v="1"/>
    <x v="2"/>
    <n v="25"/>
    <s v="Jul"/>
    <n v="1984"/>
    <d v="1984-07-25T00:00:00"/>
    <n v="6082.41"/>
    <s v="tier - 1"/>
    <s v="tier - 2"/>
    <s v="R1011"/>
    <n v="42"/>
    <n v="26.22"/>
  </r>
  <r>
    <x v="710"/>
    <s v="Ito,"/>
    <n v="25.08"/>
    <x v="56"/>
    <s v="Yes"/>
    <x v="0"/>
    <x v="0"/>
    <x v="1"/>
    <x v="1"/>
    <x v="1"/>
    <x v="1"/>
    <n v="9"/>
    <s v="Jun"/>
    <n v="1970"/>
    <d v="1970-06-09T00:00:00"/>
    <n v="6098.38"/>
    <s v="tier - 2"/>
    <s v="tier - 2"/>
    <s v="R1013"/>
    <n v="56"/>
    <n v="25.08"/>
  </r>
  <r>
    <x v="711"/>
    <s v="Barry,"/>
    <n v="39.1"/>
    <x v="421"/>
    <s v="Yes"/>
    <x v="0"/>
    <x v="0"/>
    <x v="1"/>
    <x v="1"/>
    <x v="0"/>
    <x v="0"/>
    <n v="9"/>
    <s v="Sep"/>
    <n v="1995"/>
    <d v="1995-09-09T00:00:00"/>
    <n v="6111.95"/>
    <s v="tier - 2"/>
    <s v="tier - 3"/>
    <s v="R1026"/>
    <n v="31"/>
    <n v="39.1"/>
  </r>
  <r>
    <x v="712"/>
    <s v="Boyce,"/>
    <n v="37.905000000000001"/>
    <x v="354"/>
    <s v="No"/>
    <x v="0"/>
    <x v="0"/>
    <x v="1"/>
    <x v="1"/>
    <x v="0"/>
    <x v="0"/>
    <n v="21"/>
    <s v="Jul"/>
    <n v="1985"/>
    <d v="1985-07-21T00:00:00"/>
    <n v="6112.35"/>
    <s v="tier - 2"/>
    <s v="tier - 1"/>
    <s v="R1012"/>
    <n v="41"/>
    <n v="37.905000000000001"/>
  </r>
  <r>
    <x v="713"/>
    <s v="Lin,"/>
    <n v="43.35"/>
    <x v="86"/>
    <s v="Yes"/>
    <x v="0"/>
    <x v="1"/>
    <x v="1"/>
    <x v="1"/>
    <x v="0"/>
    <x v="2"/>
    <n v="25"/>
    <s v="Jul"/>
    <n v="1991"/>
    <d v="1991-07-25T00:00:00"/>
    <n v="6113.23"/>
    <s v="tier - 2"/>
    <s v="tier - 2"/>
    <s v="R1024"/>
    <n v="35"/>
    <n v="43.35"/>
  </r>
  <r>
    <x v="714"/>
    <s v="Smith,"/>
    <n v="36.15"/>
    <x v="422"/>
    <s v="No"/>
    <x v="0"/>
    <x v="0"/>
    <x v="0"/>
    <x v="1"/>
    <x v="0"/>
    <x v="0"/>
    <n v="11"/>
    <s v="Aug"/>
    <n v="1983"/>
    <d v="1983-08-11T00:00:00"/>
    <n v="6117.49"/>
    <s v="tier - 2"/>
    <s v="tier - 3"/>
    <s v="R1012"/>
    <n v="43"/>
    <n v="36.15"/>
  </r>
  <r>
    <x v="715"/>
    <s v="Nalven,"/>
    <n v="44.98"/>
    <x v="423"/>
    <s v="No"/>
    <x v="0"/>
    <x v="0"/>
    <x v="1"/>
    <x v="1"/>
    <x v="0"/>
    <x v="1"/>
    <n v="16"/>
    <s v="Nov"/>
    <n v="1983"/>
    <d v="1983-11-16T00:00:00"/>
    <n v="6123.57"/>
    <s v="tier - 3"/>
    <s v="tier - 2"/>
    <s v="R1012"/>
    <n v="43"/>
    <n v="44.98"/>
  </r>
  <r>
    <x v="716"/>
    <s v="Bourgeois,"/>
    <n v="38.28"/>
    <x v="49"/>
    <s v="No"/>
    <x v="1"/>
    <x v="0"/>
    <x v="1"/>
    <x v="1"/>
    <x v="0"/>
    <x v="2"/>
    <n v="18"/>
    <s v="Aug"/>
    <n v="1990"/>
    <d v="1990-08-18T00:00:00"/>
    <n v="6128.8"/>
    <s v="tier - 2"/>
    <s v="tier - 3"/>
    <s v="R1012"/>
    <n v="36"/>
    <n v="38.28"/>
  </r>
  <r>
    <x v="717"/>
    <s v="Orloff,"/>
    <n v="32.299999999999997"/>
    <x v="424"/>
    <s v="Yes"/>
    <x v="0"/>
    <x v="0"/>
    <x v="1"/>
    <x v="1"/>
    <x v="0"/>
    <x v="0"/>
    <n v="9"/>
    <s v="Nov"/>
    <n v="1969"/>
    <d v="1969-11-09T00:00:00"/>
    <n v="6138.5"/>
    <s v="tier - 2"/>
    <s v="tier - 2"/>
    <s v="R1011"/>
    <n v="57"/>
    <n v="32.299999999999997"/>
  </r>
  <r>
    <x v="718"/>
    <s v="Ramirez,"/>
    <n v="39.51"/>
    <x v="425"/>
    <s v="Yes"/>
    <x v="0"/>
    <x v="0"/>
    <x v="0"/>
    <x v="1"/>
    <x v="0"/>
    <x v="1"/>
    <n v="5"/>
    <s v="Sep"/>
    <n v="1978"/>
    <d v="1978-09-05T00:00:00"/>
    <n v="6138.58"/>
    <s v="tier - 2"/>
    <s v="tier - 1"/>
    <s v="R1013"/>
    <n v="48"/>
    <n v="39.51"/>
  </r>
  <r>
    <x v="719"/>
    <s v="Fouquet,"/>
    <n v="50.46"/>
    <x v="176"/>
    <s v="No"/>
    <x v="0"/>
    <x v="0"/>
    <x v="0"/>
    <x v="1"/>
    <x v="0"/>
    <x v="2"/>
    <n v="12"/>
    <s v="Dec"/>
    <n v="1976"/>
    <d v="1976-12-12T00:00:00"/>
    <n v="6139.14"/>
    <s v="tier - 2"/>
    <s v="tier - 3"/>
    <s v="R1013"/>
    <n v="50"/>
    <n v="50.46"/>
  </r>
  <r>
    <x v="720"/>
    <s v="McPhillips,"/>
    <n v="31.73"/>
    <x v="96"/>
    <s v="No"/>
    <x v="0"/>
    <x v="0"/>
    <x v="0"/>
    <x v="1"/>
    <x v="0"/>
    <x v="0"/>
    <n v="14"/>
    <s v="Oct"/>
    <n v="1970"/>
    <d v="1970-10-14T00:00:00"/>
    <n v="6147.12"/>
    <s v="tier - 2"/>
    <s v="tier - 3"/>
    <s v="R1012"/>
    <n v="56"/>
    <n v="31.73"/>
  </r>
  <r>
    <x v="721"/>
    <s v="Burgin,"/>
    <n v="32.1"/>
    <x v="426"/>
    <s v="Yes"/>
    <x v="0"/>
    <x v="1"/>
    <x v="1"/>
    <x v="1"/>
    <x v="0"/>
    <x v="0"/>
    <n v="6"/>
    <s v="Nov"/>
    <n v="1973"/>
    <d v="1973-11-06T00:00:00"/>
    <n v="6152.05"/>
    <s v="tier - 2"/>
    <s v="tier - 3"/>
    <s v="R1013"/>
    <n v="53"/>
    <n v="32.1"/>
  </r>
  <r>
    <x v="722"/>
    <s v="Roberts,"/>
    <n v="27.83"/>
    <x v="427"/>
    <s v="Yes"/>
    <x v="0"/>
    <x v="1"/>
    <x v="1"/>
    <x v="1"/>
    <x v="1"/>
    <x v="0"/>
    <n v="15"/>
    <s v="Oct"/>
    <n v="1985"/>
    <d v="1985-10-15T00:00:00"/>
    <n v="6159.57"/>
    <s v="tier - 2"/>
    <s v="tier - 1"/>
    <s v="R1012"/>
    <n v="41"/>
    <n v="27.83"/>
  </r>
  <r>
    <x v="723"/>
    <s v="Nemec,"/>
    <n v="27.72"/>
    <x v="428"/>
    <s v="Yes"/>
    <x v="0"/>
    <x v="1"/>
    <x v="1"/>
    <x v="1"/>
    <x v="1"/>
    <x v="0"/>
    <n v="6"/>
    <s v="Oct"/>
    <n v="1984"/>
    <d v="1984-10-06T00:00:00"/>
    <n v="6170.96"/>
    <s v="tier - 2"/>
    <s v="tier - 1"/>
    <s v="R1013"/>
    <n v="42"/>
    <n v="27.72"/>
  </r>
  <r>
    <x v="724"/>
    <s v="Appman,"/>
    <n v="36.765000000000001"/>
    <x v="337"/>
    <s v="Yes"/>
    <x v="0"/>
    <x v="0"/>
    <x v="1"/>
    <x v="1"/>
    <x v="0"/>
    <x v="2"/>
    <n v="9"/>
    <s v="Aug"/>
    <n v="1985"/>
    <d v="1985-08-09T00:00:00"/>
    <n v="6183.32"/>
    <s v="tier - 2"/>
    <s v="tier - 2"/>
    <s v="R1012"/>
    <n v="41"/>
    <n v="36.765000000000001"/>
  </r>
  <r>
    <x v="725"/>
    <s v="Driscoll,"/>
    <n v="48.36"/>
    <x v="336"/>
    <s v="No"/>
    <x v="0"/>
    <x v="0"/>
    <x v="0"/>
    <x v="1"/>
    <x v="0"/>
    <x v="2"/>
    <n v="5"/>
    <s v="Oct"/>
    <n v="1970"/>
    <d v="1970-10-05T00:00:00"/>
    <n v="6183.46"/>
    <s v="tier - 2"/>
    <s v="tier - 2"/>
    <s v="R1012"/>
    <n v="56"/>
    <n v="48.36"/>
  </r>
  <r>
    <x v="726"/>
    <s v="Glotzbach,"/>
    <n v="31.445"/>
    <x v="171"/>
    <s v="Yes"/>
    <x v="0"/>
    <x v="0"/>
    <x v="1"/>
    <x v="1"/>
    <x v="0"/>
    <x v="2"/>
    <n v="1"/>
    <s v="Nov"/>
    <n v="1988"/>
    <d v="1988-11-01T00:00:00"/>
    <n v="6184.3"/>
    <s v="tier - 2"/>
    <s v="tier - 3"/>
    <s v="R1013"/>
    <n v="38"/>
    <n v="31.445"/>
  </r>
  <r>
    <x v="727"/>
    <s v="Tenforde,"/>
    <n v="27.55"/>
    <x v="429"/>
    <s v="No"/>
    <x v="0"/>
    <x v="0"/>
    <x v="0"/>
    <x v="1"/>
    <x v="1"/>
    <x v="0"/>
    <n v="22"/>
    <s v="Nov"/>
    <n v="1981"/>
    <d v="1981-11-22T00:00:00"/>
    <n v="6185.32"/>
    <s v="tier - 2"/>
    <s v="tier - 1"/>
    <s v="R1013"/>
    <n v="45"/>
    <n v="27.55"/>
  </r>
  <r>
    <x v="728"/>
    <s v="Ramirez,"/>
    <n v="33.11"/>
    <x v="430"/>
    <s v="No"/>
    <x v="0"/>
    <x v="0"/>
    <x v="0"/>
    <x v="1"/>
    <x v="0"/>
    <x v="0"/>
    <n v="1"/>
    <s v="Oct"/>
    <n v="1981"/>
    <d v="1981-10-01T00:00:00"/>
    <n v="6186.13"/>
    <s v="tier - 2"/>
    <s v="tier - 3"/>
    <s v="R1011"/>
    <n v="45"/>
    <n v="33.11"/>
  </r>
  <r>
    <x v="729"/>
    <s v="Stanley"/>
    <n v="36.85"/>
    <x v="200"/>
    <s v="Yes"/>
    <x v="0"/>
    <x v="0"/>
    <x v="1"/>
    <x v="1"/>
    <x v="0"/>
    <x v="1"/>
    <n v="23"/>
    <s v="Oct"/>
    <n v="1988"/>
    <d v="1988-10-23T00:00:00"/>
    <n v="6196.45"/>
    <s v="tier - 2"/>
    <s v="tier - 1"/>
    <s v="R1011"/>
    <n v="38"/>
    <n v="36.85"/>
  </r>
  <r>
    <x v="730"/>
    <s v="Vandongen,"/>
    <n v="36.299999999999997"/>
    <x v="425"/>
    <s v="Yes"/>
    <x v="0"/>
    <x v="0"/>
    <x v="1"/>
    <x v="1"/>
    <x v="0"/>
    <x v="1"/>
    <n v="22"/>
    <s v="Jul"/>
    <n v="1985"/>
    <d v="1985-07-22T00:00:00"/>
    <n v="6198.75"/>
    <s v="tier - 2"/>
    <s v="tier - 1"/>
    <s v="R1012"/>
    <n v="41"/>
    <n v="36.299999999999997"/>
  </r>
  <r>
    <x v="731"/>
    <s v="Liebald,"/>
    <n v="45.34"/>
    <x v="362"/>
    <s v="Yes"/>
    <x v="0"/>
    <x v="0"/>
    <x v="0"/>
    <x v="1"/>
    <x v="0"/>
    <x v="2"/>
    <n v="20"/>
    <s v="Dec"/>
    <n v="1985"/>
    <d v="1985-12-20T00:00:00"/>
    <n v="6203.9"/>
    <s v="tier - 1"/>
    <s v="tier - 2"/>
    <s v="R1012"/>
    <n v="41"/>
    <n v="45.34"/>
  </r>
  <r>
    <x v="732"/>
    <s v="Holte,"/>
    <n v="31.8"/>
    <x v="331"/>
    <s v="Yes"/>
    <x v="0"/>
    <x v="0"/>
    <x v="1"/>
    <x v="1"/>
    <x v="0"/>
    <x v="2"/>
    <n v="22"/>
    <s v="Sep"/>
    <n v="1985"/>
    <d v="1985-09-22T00:00:00"/>
    <n v="6203.9"/>
    <s v="tier - 2"/>
    <s v="tier - 2"/>
    <s v="R1012"/>
    <n v="41"/>
    <n v="31.8"/>
  </r>
  <r>
    <x v="733"/>
    <s v="Johnson,"/>
    <n v="41.02"/>
    <x v="431"/>
    <s v="No"/>
    <x v="0"/>
    <x v="0"/>
    <x v="0"/>
    <x v="1"/>
    <x v="0"/>
    <x v="0"/>
    <n v="10"/>
    <s v="Sep"/>
    <n v="1999"/>
    <d v="1999-09-10T00:00:00"/>
    <n v="6207.26"/>
    <s v="tier - 2"/>
    <s v="tier - 2"/>
    <s v="R1026"/>
    <n v="27"/>
    <n v="41.02"/>
  </r>
  <r>
    <x v="734"/>
    <s v="Bartlett,"/>
    <n v="32.68"/>
    <x v="2"/>
    <s v="No"/>
    <x v="0"/>
    <x v="0"/>
    <x v="0"/>
    <x v="1"/>
    <x v="0"/>
    <x v="0"/>
    <n v="12"/>
    <s v="Aug"/>
    <n v="1992"/>
    <d v="1992-08-12T00:00:00"/>
    <n v="6208.5"/>
    <s v="tier - 2"/>
    <s v="tier - 1"/>
    <s v="R1021"/>
    <n v="34"/>
    <n v="32.68"/>
  </r>
  <r>
    <x v="735"/>
    <s v="Bergman,"/>
    <n v="21.7"/>
    <x v="166"/>
    <s v="No"/>
    <x v="0"/>
    <x v="1"/>
    <x v="1"/>
    <x v="0"/>
    <x v="2"/>
    <x v="2"/>
    <n v="29"/>
    <s v="Jun"/>
    <n v="1972"/>
    <d v="1972-06-29T00:00:00"/>
    <n v="6219.93"/>
    <s v="tier - 2"/>
    <s v="tier - 2"/>
    <s v="R1013"/>
    <n v="54"/>
    <n v="21.7"/>
  </r>
  <r>
    <x v="736"/>
    <s v="Aitken,"/>
    <n v="40.479999999999997"/>
    <x v="379"/>
    <s v="No"/>
    <x v="0"/>
    <x v="0"/>
    <x v="1"/>
    <x v="1"/>
    <x v="0"/>
    <x v="0"/>
    <n v="19"/>
    <s v="Sep"/>
    <n v="1978"/>
    <d v="1978-09-19T00:00:00"/>
    <n v="6236.95"/>
    <s v="tier - 2"/>
    <s v="tier - 2"/>
    <s v="R1013"/>
    <n v="48"/>
    <n v="40.479999999999997"/>
  </r>
  <r>
    <x v="737"/>
    <s v="Berger,"/>
    <n v="34.5"/>
    <x v="432"/>
    <s v="No"/>
    <x v="0"/>
    <x v="0"/>
    <x v="1"/>
    <x v="1"/>
    <x v="0"/>
    <x v="0"/>
    <n v="11"/>
    <s v="Aug"/>
    <n v="1983"/>
    <d v="1983-08-11T00:00:00"/>
    <n v="6238.3"/>
    <s v="tier - 2"/>
    <s v="tier - 1"/>
    <s v="R1011"/>
    <n v="43"/>
    <n v="34.5"/>
  </r>
  <r>
    <x v="738"/>
    <s v="Richey,"/>
    <n v="45.9"/>
    <x v="288"/>
    <s v="Yes"/>
    <x v="0"/>
    <x v="0"/>
    <x v="1"/>
    <x v="1"/>
    <x v="0"/>
    <x v="0"/>
    <n v="10"/>
    <s v="Oct"/>
    <n v="1979"/>
    <d v="1979-10-10T00:00:00"/>
    <n v="6250.44"/>
    <s v="tier - 2"/>
    <s v="tier - 1"/>
    <s v="R1011"/>
    <n v="47"/>
    <n v="45.9"/>
  </r>
  <r>
    <x v="739"/>
    <s v="Trotter,"/>
    <n v="33.479999999999997"/>
    <x v="433"/>
    <s v="Yes"/>
    <x v="0"/>
    <x v="0"/>
    <x v="1"/>
    <x v="1"/>
    <x v="0"/>
    <x v="2"/>
    <n v="11"/>
    <s v="Nov"/>
    <n v="1972"/>
    <d v="1972-11-11T00:00:00"/>
    <n v="6253.85"/>
    <s v="tier - 2"/>
    <s v="tier - 2"/>
    <s v="R1013"/>
    <n v="54"/>
    <n v="33.479999999999997"/>
  </r>
  <r>
    <x v="740"/>
    <s v="Chavez,"/>
    <n v="28.31"/>
    <x v="10"/>
    <s v="Yes"/>
    <x v="0"/>
    <x v="0"/>
    <x v="1"/>
    <x v="1"/>
    <x v="1"/>
    <x v="1"/>
    <n v="8"/>
    <s v="Sep"/>
    <n v="1972"/>
    <d v="1972-09-08T00:00:00"/>
    <n v="6254.13"/>
    <s v="tier - 2"/>
    <s v="tier - 2"/>
    <s v="R1012"/>
    <n v="54"/>
    <n v="28.31"/>
  </r>
  <r>
    <x v="741"/>
    <s v="Orifice,"/>
    <n v="21.565000000000001"/>
    <x v="434"/>
    <s v="No"/>
    <x v="1"/>
    <x v="0"/>
    <x v="1"/>
    <x v="0"/>
    <x v="2"/>
    <x v="2"/>
    <n v="11"/>
    <s v="Oct"/>
    <n v="1970"/>
    <d v="1970-10-11T00:00:00"/>
    <n v="6255.38"/>
    <s v="tier - 2"/>
    <s v="tier - 2"/>
    <s v="R1013"/>
    <n v="56"/>
    <n v="21.565000000000001"/>
  </r>
  <r>
    <x v="742"/>
    <s v="Farkash,"/>
    <n v="35.590000000000003"/>
    <x v="127"/>
    <s v="Yes"/>
    <x v="0"/>
    <x v="1"/>
    <x v="1"/>
    <x v="1"/>
    <x v="0"/>
    <x v="2"/>
    <n v="17"/>
    <s v="Oct"/>
    <n v="1995"/>
    <d v="1995-10-17T00:00:00"/>
    <n v="6261.2"/>
    <s v="tier - 2"/>
    <s v="tier - 1"/>
    <s v="R1026"/>
    <n v="31"/>
    <n v="35.590000000000003"/>
  </r>
  <r>
    <x v="743"/>
    <s v="Hribar,"/>
    <n v="43.44"/>
    <x v="319"/>
    <s v="Yes"/>
    <x v="0"/>
    <x v="0"/>
    <x v="0"/>
    <x v="1"/>
    <x v="0"/>
    <x v="2"/>
    <n v="25"/>
    <s v="Sep"/>
    <n v="1984"/>
    <d v="1984-09-25T00:00:00"/>
    <n v="6269.33"/>
    <s v="tier - 2"/>
    <s v="tier - 1"/>
    <s v="R1013"/>
    <n v="42"/>
    <n v="43.44"/>
  </r>
  <r>
    <x v="744"/>
    <s v="Crawford,"/>
    <n v="21.754999999999999"/>
    <x v="230"/>
    <s v="Yes"/>
    <x v="0"/>
    <x v="0"/>
    <x v="0"/>
    <x v="1"/>
    <x v="2"/>
    <x v="0"/>
    <n v="30"/>
    <s v="Jun"/>
    <n v="1981"/>
    <d v="1981-06-30T00:00:00"/>
    <n v="6272.48"/>
    <s v="tier - 1"/>
    <s v="tier - 3"/>
    <s v="R1013"/>
    <n v="45"/>
    <n v="21.754999999999999"/>
  </r>
  <r>
    <x v="745"/>
    <s v="Sittlington,"/>
    <n v="44.55"/>
    <x v="435"/>
    <s v="Yes"/>
    <x v="0"/>
    <x v="0"/>
    <x v="1"/>
    <x v="1"/>
    <x v="0"/>
    <x v="0"/>
    <n v="16"/>
    <s v="Oct"/>
    <n v="1993"/>
    <d v="1993-10-16T00:00:00"/>
    <n v="6276.3"/>
    <s v="tier - 2"/>
    <s v="tier - 1"/>
    <s v="R1025"/>
    <n v="33"/>
    <n v="44.55"/>
  </r>
  <r>
    <x v="746"/>
    <s v="Silbert,"/>
    <n v="43.32"/>
    <x v="145"/>
    <s v="Yes"/>
    <x v="0"/>
    <x v="0"/>
    <x v="0"/>
    <x v="1"/>
    <x v="0"/>
    <x v="2"/>
    <n v="24"/>
    <s v="Nov"/>
    <n v="1981"/>
    <d v="1981-11-24T00:00:00"/>
    <n v="6282.24"/>
    <s v="tier - 2"/>
    <s v="tier - 1"/>
    <s v="R1011"/>
    <n v="45"/>
    <n v="43.32"/>
  </r>
  <r>
    <x v="747"/>
    <s v="Carrique,"/>
    <n v="31.23"/>
    <x v="436"/>
    <s v="Yes"/>
    <x v="0"/>
    <x v="1"/>
    <x v="1"/>
    <x v="1"/>
    <x v="0"/>
    <x v="0"/>
    <n v="26"/>
    <s v="Aug"/>
    <n v="1981"/>
    <d v="1981-08-26T00:00:00"/>
    <n v="6289.75"/>
    <s v="tier - 2"/>
    <s v="tier - 3"/>
    <s v="R1013"/>
    <n v="45"/>
    <n v="31.23"/>
  </r>
  <r>
    <x v="748"/>
    <s v="Kosla,"/>
    <n v="42.81"/>
    <x v="324"/>
    <s v="No"/>
    <x v="0"/>
    <x v="0"/>
    <x v="1"/>
    <x v="1"/>
    <x v="0"/>
    <x v="2"/>
    <n v="4"/>
    <s v="Jul"/>
    <n v="1996"/>
    <d v="1996-07-04T00:00:00"/>
    <n v="6293.63"/>
    <s v="tier - 2"/>
    <s v="tier - 3"/>
    <s v="R1021"/>
    <n v="30"/>
    <n v="42.81"/>
  </r>
  <r>
    <x v="749"/>
    <s v="Parker,"/>
    <n v="35.909999999999997"/>
    <x v="377"/>
    <s v="Yes"/>
    <x v="0"/>
    <x v="0"/>
    <x v="1"/>
    <x v="1"/>
    <x v="0"/>
    <x v="0"/>
    <n v="17"/>
    <s v="Sep"/>
    <n v="1974"/>
    <d v="1974-09-17T00:00:00"/>
    <n v="6302.23"/>
    <s v="tier - 2"/>
    <s v="tier - 1"/>
    <s v="R1013"/>
    <n v="52"/>
    <n v="35.909999999999997"/>
  </r>
  <r>
    <x v="750"/>
    <s v="Horton,"/>
    <n v="36.65"/>
    <x v="170"/>
    <s v="Yes"/>
    <x v="0"/>
    <x v="1"/>
    <x v="1"/>
    <x v="1"/>
    <x v="0"/>
    <x v="2"/>
    <n v="4"/>
    <s v="Sep"/>
    <n v="1969"/>
    <d v="1969-09-04T00:00:00"/>
    <n v="6305.61"/>
    <s v="tier - 2"/>
    <s v="tier - 2"/>
    <s v="R1012"/>
    <n v="57"/>
    <n v="36.65"/>
  </r>
  <r>
    <x v="751"/>
    <s v="Boller,"/>
    <n v="22.04"/>
    <x v="332"/>
    <s v="Yes"/>
    <x v="0"/>
    <x v="0"/>
    <x v="1"/>
    <x v="1"/>
    <x v="2"/>
    <x v="0"/>
    <n v="27"/>
    <s v="Jul"/>
    <n v="2004"/>
    <d v="2004-07-27T00:00:00"/>
    <n v="6311.11"/>
    <s v="tier - 2"/>
    <s v="tier - 2"/>
    <s v="R1011"/>
    <n v="22"/>
    <n v="22.04"/>
  </r>
  <r>
    <x v="752"/>
    <s v="Olaru,"/>
    <n v="31.824999999999999"/>
    <x v="314"/>
    <s v="Yes"/>
    <x v="0"/>
    <x v="0"/>
    <x v="1"/>
    <x v="1"/>
    <x v="0"/>
    <x v="2"/>
    <n v="19"/>
    <s v="Nov"/>
    <n v="1985"/>
    <d v="1985-11-19T00:00:00"/>
    <n v="6311.95"/>
    <s v="tier - 2"/>
    <s v="tier - 1"/>
    <s v="R1011"/>
    <n v="41"/>
    <n v="31.824999999999999"/>
  </r>
  <r>
    <x v="753"/>
    <s v="Prescott,"/>
    <n v="53.58"/>
    <x v="188"/>
    <s v="No"/>
    <x v="0"/>
    <x v="0"/>
    <x v="1"/>
    <x v="1"/>
    <x v="0"/>
    <x v="2"/>
    <n v="15"/>
    <s v="Dec"/>
    <n v="1985"/>
    <d v="1985-12-15T00:00:00"/>
    <n v="6313.76"/>
    <s v="tier - 2"/>
    <s v="tier - 1"/>
    <s v="R1013"/>
    <n v="41"/>
    <n v="53.58"/>
  </r>
  <r>
    <x v="754"/>
    <s v="Hines,"/>
    <n v="34.299999999999997"/>
    <x v="437"/>
    <s v="No"/>
    <x v="0"/>
    <x v="0"/>
    <x v="0"/>
    <x v="1"/>
    <x v="0"/>
    <x v="0"/>
    <n v="13"/>
    <s v="Aug"/>
    <n v="1990"/>
    <d v="1990-08-13T00:00:00"/>
    <n v="6334.34"/>
    <s v="tier - 2"/>
    <s v="tier - 2"/>
    <s v="R1024"/>
    <n v="36"/>
    <n v="34.299999999999997"/>
  </r>
  <r>
    <x v="755"/>
    <s v="Blanton,"/>
    <n v="32.11"/>
    <x v="438"/>
    <s v="No"/>
    <x v="0"/>
    <x v="0"/>
    <x v="0"/>
    <x v="1"/>
    <x v="0"/>
    <x v="0"/>
    <n v="25"/>
    <s v="Sep"/>
    <n v="1986"/>
    <d v="1986-09-25T00:00:00"/>
    <n v="6335.64"/>
    <s v="tier - 2"/>
    <s v="tier - 2"/>
    <s v="R1013"/>
    <n v="40"/>
    <n v="32.11"/>
  </r>
  <r>
    <x v="756"/>
    <s v="Bustamante,"/>
    <n v="31.78"/>
    <x v="439"/>
    <s v="Yes"/>
    <x v="0"/>
    <x v="1"/>
    <x v="1"/>
    <x v="1"/>
    <x v="0"/>
    <x v="0"/>
    <n v="21"/>
    <s v="Oct"/>
    <n v="1983"/>
    <d v="1983-10-21T00:00:00"/>
    <n v="6338.08"/>
    <s v="tier - 2"/>
    <s v="tier - 1"/>
    <s v="R1013"/>
    <n v="43"/>
    <n v="31.78"/>
  </r>
  <r>
    <x v="757"/>
    <s v="McCann,"/>
    <n v="46.89"/>
    <x v="314"/>
    <s v="No"/>
    <x v="0"/>
    <x v="0"/>
    <x v="0"/>
    <x v="1"/>
    <x v="0"/>
    <x v="2"/>
    <n v="19"/>
    <s v="Aug"/>
    <n v="1983"/>
    <d v="1983-08-19T00:00:00"/>
    <n v="6356.27"/>
    <s v="tier - 3"/>
    <s v="tier - 2"/>
    <s v="R1013"/>
    <n v="43"/>
    <n v="46.89"/>
  </r>
  <r>
    <x v="758"/>
    <s v="Schmole,"/>
    <n v="39.35"/>
    <x v="440"/>
    <s v="Yes"/>
    <x v="0"/>
    <x v="0"/>
    <x v="1"/>
    <x v="1"/>
    <x v="0"/>
    <x v="0"/>
    <n v="30"/>
    <s v="Oct"/>
    <n v="1980"/>
    <d v="1980-10-30T00:00:00"/>
    <n v="6358.78"/>
    <s v="tier - 2"/>
    <s v="tier - 1"/>
    <s v="R1012"/>
    <n v="46"/>
    <n v="39.35"/>
  </r>
  <r>
    <x v="759"/>
    <s v="Barber,"/>
    <n v="39.200000000000003"/>
    <x v="22"/>
    <s v="No"/>
    <x v="0"/>
    <x v="0"/>
    <x v="0"/>
    <x v="1"/>
    <x v="0"/>
    <x v="0"/>
    <n v="24"/>
    <s v="Jun"/>
    <n v="1989"/>
    <d v="1989-06-24T00:00:00"/>
    <n v="6360.99"/>
    <s v="tier - 2"/>
    <s v="tier - 2"/>
    <s v="R1012"/>
    <n v="37"/>
    <n v="39.200000000000003"/>
  </r>
  <r>
    <x v="760"/>
    <s v="Reichmann,"/>
    <n v="39.159999999999997"/>
    <x v="441"/>
    <s v="No"/>
    <x v="0"/>
    <x v="0"/>
    <x v="0"/>
    <x v="1"/>
    <x v="0"/>
    <x v="0"/>
    <n v="7"/>
    <s v="Jul"/>
    <n v="1996"/>
    <d v="1996-07-07T00:00:00"/>
    <n v="6361.47"/>
    <s v="tier - 2"/>
    <s v="tier - 3"/>
    <s v="R1021"/>
    <n v="30"/>
    <n v="39.159999999999997"/>
  </r>
  <r>
    <x v="761"/>
    <s v="Cavatorta,"/>
    <n v="44.1"/>
    <x v="264"/>
    <s v="Yes"/>
    <x v="0"/>
    <x v="0"/>
    <x v="0"/>
    <x v="1"/>
    <x v="0"/>
    <x v="2"/>
    <n v="9"/>
    <s v="Nov"/>
    <n v="1970"/>
    <d v="1970-11-09T00:00:00"/>
    <n v="6367.31"/>
    <s v="tier - 2"/>
    <s v="tier - 1"/>
    <s v="R1013"/>
    <n v="56"/>
    <n v="44.1"/>
  </r>
  <r>
    <x v="762"/>
    <s v="Yaeger,"/>
    <n v="33.200000000000003"/>
    <x v="442"/>
    <s v="No"/>
    <x v="0"/>
    <x v="0"/>
    <x v="0"/>
    <x v="1"/>
    <x v="0"/>
    <x v="0"/>
    <n v="13"/>
    <s v="Aug"/>
    <n v="1984"/>
    <d v="1984-08-13T00:00:00"/>
    <n v="6373.56"/>
    <s v="tier - 2"/>
    <s v="tier - 1"/>
    <s v="R1012"/>
    <n v="42"/>
    <n v="33.200000000000003"/>
  </r>
  <r>
    <x v="763"/>
    <s v="Hughes,"/>
    <n v="29.92"/>
    <x v="443"/>
    <s v="No"/>
    <x v="0"/>
    <x v="0"/>
    <x v="0"/>
    <x v="1"/>
    <x v="1"/>
    <x v="0"/>
    <n v="18"/>
    <s v="Nov"/>
    <n v="1976"/>
    <d v="1976-11-18T00:00:00"/>
    <n v="6374.16"/>
    <s v="tier - 2"/>
    <s v="tier - 2"/>
    <s v="R1013"/>
    <n v="50"/>
    <n v="29.92"/>
  </r>
  <r>
    <x v="764"/>
    <s v="Donahue,"/>
    <n v="25"/>
    <x v="444"/>
    <s v="No"/>
    <x v="0"/>
    <x v="0"/>
    <x v="0"/>
    <x v="1"/>
    <x v="1"/>
    <x v="0"/>
    <n v="6"/>
    <s v="Aug"/>
    <n v="1982"/>
    <d v="1982-08-06T00:00:00"/>
    <n v="6389.38"/>
    <s v="tier - 1"/>
    <s v="tier - 2"/>
    <s v="R1012"/>
    <n v="44"/>
    <n v="25"/>
  </r>
  <r>
    <x v="765"/>
    <s v="Greenwell,"/>
    <n v="38.869999999999997"/>
    <x v="445"/>
    <s v="Yes"/>
    <x v="0"/>
    <x v="0"/>
    <x v="1"/>
    <x v="1"/>
    <x v="0"/>
    <x v="0"/>
    <n v="16"/>
    <s v="Aug"/>
    <n v="1997"/>
    <d v="1997-08-16T00:00:00"/>
    <n v="6389.53"/>
    <s v="tier - 2"/>
    <s v="tier - 2"/>
    <s v="R1021"/>
    <n v="29"/>
    <n v="38.869999999999997"/>
  </r>
  <r>
    <x v="766"/>
    <s v="Steele,"/>
    <n v="32.299999999999997"/>
    <x v="124"/>
    <s v="Yes"/>
    <x v="0"/>
    <x v="0"/>
    <x v="1"/>
    <x v="1"/>
    <x v="0"/>
    <x v="2"/>
    <n v="28"/>
    <s v="Oct"/>
    <n v="1982"/>
    <d v="1982-10-28T00:00:00"/>
    <n v="6393.6"/>
    <s v="tier - 2"/>
    <s v="tier - 1"/>
    <s v="R1012"/>
    <n v="44"/>
    <n v="32.299999999999997"/>
  </r>
  <r>
    <x v="767"/>
    <s v="Gunter,"/>
    <n v="31.16"/>
    <x v="446"/>
    <s v="Yes"/>
    <x v="0"/>
    <x v="0"/>
    <x v="1"/>
    <x v="1"/>
    <x v="0"/>
    <x v="0"/>
    <n v="9"/>
    <s v="Sep"/>
    <n v="1987"/>
    <d v="1987-09-09T00:00:00"/>
    <n v="6402.29"/>
    <s v="tier - 2"/>
    <s v="tier - 3"/>
    <s v="R1024"/>
    <n v="39"/>
    <n v="31.16"/>
  </r>
  <r>
    <x v="768"/>
    <s v="McDonough,"/>
    <n v="54.59"/>
    <x v="159"/>
    <s v="No"/>
    <x v="0"/>
    <x v="0"/>
    <x v="0"/>
    <x v="1"/>
    <x v="0"/>
    <x v="2"/>
    <n v="10"/>
    <s v="Dec"/>
    <n v="1985"/>
    <d v="1985-12-10T00:00:00"/>
    <n v="6406.41"/>
    <s v="tier - 1"/>
    <s v="tier - 3"/>
    <s v="R1014"/>
    <n v="41"/>
    <n v="54.59"/>
  </r>
  <r>
    <x v="769"/>
    <s v="Sweetland,"/>
    <n v="21.09"/>
    <x v="447"/>
    <s v="Yes"/>
    <x v="0"/>
    <x v="0"/>
    <x v="1"/>
    <x v="1"/>
    <x v="2"/>
    <x v="0"/>
    <n v="20"/>
    <s v="Aug"/>
    <n v="1970"/>
    <d v="1970-08-20T00:00:00"/>
    <n v="6407.05"/>
    <s v="tier - 2"/>
    <s v="tier - 1"/>
    <s v="R1013"/>
    <n v="56"/>
    <n v="21.09"/>
  </r>
  <r>
    <x v="770"/>
    <s v="Hammersmith,"/>
    <n v="52.41"/>
    <x v="74"/>
    <s v="No"/>
    <x v="0"/>
    <x v="0"/>
    <x v="1"/>
    <x v="1"/>
    <x v="0"/>
    <x v="1"/>
    <n v="22"/>
    <s v="Aug"/>
    <n v="1971"/>
    <d v="1971-08-22T00:00:00"/>
    <n v="6412.34"/>
    <s v="tier - 2"/>
    <s v="tier - 3"/>
    <s v="R1013"/>
    <n v="55"/>
    <n v="52.41"/>
  </r>
  <r>
    <x v="771"/>
    <s v="French,"/>
    <n v="41.47"/>
    <x v="236"/>
    <s v="Yes"/>
    <x v="0"/>
    <x v="0"/>
    <x v="1"/>
    <x v="1"/>
    <x v="0"/>
    <x v="1"/>
    <n v="4"/>
    <s v="Sep"/>
    <n v="1987"/>
    <d v="1987-09-04T00:00:00"/>
    <n v="6414.18"/>
    <s v="tier - 2"/>
    <s v="tier - 2"/>
    <s v="R1011"/>
    <n v="39"/>
    <n v="41.47"/>
  </r>
  <r>
    <x v="772"/>
    <s v="Garbe,"/>
    <n v="33.1"/>
    <x v="27"/>
    <s v="Yes"/>
    <x v="0"/>
    <x v="0"/>
    <x v="1"/>
    <x v="1"/>
    <x v="0"/>
    <x v="2"/>
    <n v="30"/>
    <s v="Dec"/>
    <n v="1976"/>
    <d v="1976-12-30T00:00:00"/>
    <n v="6417.28"/>
    <s v="tier - 2"/>
    <s v="tier - 3"/>
    <s v="R1013"/>
    <n v="50"/>
    <n v="33.1"/>
  </r>
  <r>
    <x v="773"/>
    <s v="Duncan,"/>
    <n v="30.8"/>
    <x v="161"/>
    <s v="Yes"/>
    <x v="0"/>
    <x v="0"/>
    <x v="1"/>
    <x v="1"/>
    <x v="0"/>
    <x v="2"/>
    <n v="5"/>
    <s v="Aug"/>
    <n v="1975"/>
    <d v="1975-08-05T00:00:00"/>
    <n v="6423.48"/>
    <s v="tier - 2"/>
    <s v="tier - 3"/>
    <s v="R1013"/>
    <n v="51"/>
    <n v="30.8"/>
  </r>
  <r>
    <x v="774"/>
    <s v="Wallace,"/>
    <n v="42.06"/>
    <x v="134"/>
    <s v="No"/>
    <x v="0"/>
    <x v="0"/>
    <x v="1"/>
    <x v="1"/>
    <x v="0"/>
    <x v="2"/>
    <n v="22"/>
    <s v="Jul"/>
    <n v="1985"/>
    <d v="1985-07-22T00:00:00"/>
    <n v="6435.62"/>
    <s v="tier - 3"/>
    <s v="tier - 2"/>
    <s v="R1013"/>
    <n v="41"/>
    <n v="42.06"/>
  </r>
  <r>
    <x v="775"/>
    <s v="Tillman,"/>
    <n v="39.270000000000003"/>
    <x v="407"/>
    <s v="No"/>
    <x v="0"/>
    <x v="1"/>
    <x v="1"/>
    <x v="1"/>
    <x v="0"/>
    <x v="2"/>
    <n v="26"/>
    <s v="Aug"/>
    <n v="1984"/>
    <d v="1984-08-26T00:00:00"/>
    <n v="6455.86"/>
    <s v="tier - 3"/>
    <s v="tier - 3"/>
    <s v="R1012"/>
    <n v="42"/>
    <n v="39.270000000000003"/>
  </r>
  <r>
    <x v="776"/>
    <s v="Lee,"/>
    <n v="30.71"/>
    <x v="448"/>
    <s v="Yes"/>
    <x v="0"/>
    <x v="0"/>
    <x v="1"/>
    <x v="1"/>
    <x v="0"/>
    <x v="2"/>
    <n v="1"/>
    <s v="Nov"/>
    <n v="1984"/>
    <d v="1984-11-01T00:00:00"/>
    <n v="6457.84"/>
    <s v="tier - 2"/>
    <s v="tier - 3"/>
    <s v="R1012"/>
    <n v="42"/>
    <n v="30.71"/>
  </r>
  <r>
    <x v="777"/>
    <s v="Taylor,"/>
    <n v="47.19"/>
    <x v="318"/>
    <s v="No"/>
    <x v="0"/>
    <x v="0"/>
    <x v="0"/>
    <x v="1"/>
    <x v="0"/>
    <x v="2"/>
    <n v="27"/>
    <s v="Jul"/>
    <n v="1981"/>
    <d v="1981-07-27T00:00:00"/>
    <n v="6473.15"/>
    <s v="tier - 2"/>
    <s v="tier - 2"/>
    <s v="R1013"/>
    <n v="45"/>
    <n v="47.19"/>
  </r>
  <r>
    <x v="778"/>
    <s v="McSween,"/>
    <n v="30.02"/>
    <x v="449"/>
    <s v="No"/>
    <x v="0"/>
    <x v="0"/>
    <x v="0"/>
    <x v="1"/>
    <x v="0"/>
    <x v="0"/>
    <n v="8"/>
    <s v="Jun"/>
    <n v="1980"/>
    <d v="1980-06-08T00:00:00"/>
    <n v="6474.01"/>
    <s v="tier - 2"/>
    <s v="tier - 3"/>
    <s v="R1011"/>
    <n v="46"/>
    <n v="30.02"/>
  </r>
  <r>
    <x v="779"/>
    <s v="Schubert,"/>
    <n v="37.909999999999997"/>
    <x v="251"/>
    <s v="Yes"/>
    <x v="0"/>
    <x v="0"/>
    <x v="0"/>
    <x v="1"/>
    <x v="0"/>
    <x v="2"/>
    <n v="1"/>
    <s v="Dec"/>
    <n v="1970"/>
    <d v="1970-12-01T00:00:00"/>
    <n v="6481.67"/>
    <s v="tier - 2"/>
    <s v="tier - 2"/>
    <s v="R1013"/>
    <n v="56"/>
    <n v="37.909999999999997"/>
  </r>
  <r>
    <x v="780"/>
    <s v="Lalanne,"/>
    <n v="54.61"/>
    <x v="325"/>
    <s v="No"/>
    <x v="0"/>
    <x v="0"/>
    <x v="0"/>
    <x v="1"/>
    <x v="0"/>
    <x v="2"/>
    <n v="9"/>
    <s v="Oct"/>
    <n v="1982"/>
    <d v="1982-10-09T00:00:00"/>
    <n v="6496.89"/>
    <s v="tier - 2"/>
    <s v="tier - 3"/>
    <s v="R1011"/>
    <n v="44"/>
    <n v="54.61"/>
  </r>
  <r>
    <x v="781"/>
    <s v="Flanagan,"/>
    <n v="36.005000000000003"/>
    <x v="450"/>
    <s v="No"/>
    <x v="0"/>
    <x v="0"/>
    <x v="0"/>
    <x v="1"/>
    <x v="0"/>
    <x v="0"/>
    <n v="28"/>
    <s v="Aug"/>
    <n v="1982"/>
    <d v="1982-08-28T00:00:00"/>
    <n v="6500.24"/>
    <s v="tier - 2"/>
    <s v="tier - 2"/>
    <s v="R1013"/>
    <n v="44"/>
    <n v="36.005000000000003"/>
  </r>
  <r>
    <x v="782"/>
    <s v="Arellano,"/>
    <n v="28.7"/>
    <x v="451"/>
    <s v="No"/>
    <x v="0"/>
    <x v="0"/>
    <x v="0"/>
    <x v="1"/>
    <x v="1"/>
    <x v="0"/>
    <n v="7"/>
    <s v="Jul"/>
    <n v="1994"/>
    <d v="1994-07-07T00:00:00"/>
    <n v="6512.24"/>
    <s v="tier - 2"/>
    <s v="tier - 1"/>
    <s v="R1021"/>
    <n v="32"/>
    <n v="28.7"/>
  </r>
  <r>
    <x v="783"/>
    <s v="Charette,"/>
    <n v="34.295000000000002"/>
    <x v="452"/>
    <s v="No"/>
    <x v="0"/>
    <x v="0"/>
    <x v="0"/>
    <x v="1"/>
    <x v="0"/>
    <x v="0"/>
    <n v="23"/>
    <s v="Oct"/>
    <n v="1976"/>
    <d v="1976-10-23T00:00:00"/>
    <n v="6529.21"/>
    <s v="tier - 2"/>
    <s v="tier - 1"/>
    <s v="R1013"/>
    <n v="50"/>
    <n v="34.295000000000002"/>
  </r>
  <r>
    <x v="784"/>
    <s v="Pena"/>
    <n v="27.55"/>
    <x v="453"/>
    <s v="No"/>
    <x v="0"/>
    <x v="0"/>
    <x v="0"/>
    <x v="1"/>
    <x v="1"/>
    <x v="0"/>
    <n v="12"/>
    <s v="Aug"/>
    <n v="1982"/>
    <d v="1982-08-12T00:00:00"/>
    <n v="6532.04"/>
    <s v="tier - 2"/>
    <s v="tier - 1"/>
    <s v="R1013"/>
    <n v="44"/>
    <n v="27.55"/>
  </r>
  <r>
    <x v="785"/>
    <s v="Broderick,"/>
    <n v="40.700000000000003"/>
    <x v="140"/>
    <s v="No"/>
    <x v="0"/>
    <x v="0"/>
    <x v="0"/>
    <x v="1"/>
    <x v="0"/>
    <x v="2"/>
    <n v="2"/>
    <s v="Oct"/>
    <n v="1982"/>
    <d v="1982-10-02T00:00:00"/>
    <n v="6536.68"/>
    <s v="tier - 2"/>
    <s v="tier - 2"/>
    <s v="R1012"/>
    <n v="44"/>
    <n v="40.700000000000003"/>
  </r>
  <r>
    <x v="786"/>
    <s v="Summers,"/>
    <n v="18.335000000000001"/>
    <x v="221"/>
    <s v="No"/>
    <x v="0"/>
    <x v="0"/>
    <x v="0"/>
    <x v="1"/>
    <x v="3"/>
    <x v="0"/>
    <n v="3"/>
    <s v="Dec"/>
    <n v="1969"/>
    <d v="1969-12-03T00:00:00"/>
    <n v="6546.16"/>
    <s v="tier - 2"/>
    <s v="tier - 3"/>
    <s v="R1013"/>
    <n v="57"/>
    <n v="18.335000000000001"/>
  </r>
  <r>
    <x v="787"/>
    <s v="Fisher,"/>
    <n v="33.914999999999999"/>
    <x v="409"/>
    <s v="Yes"/>
    <x v="0"/>
    <x v="0"/>
    <x v="1"/>
    <x v="1"/>
    <x v="0"/>
    <x v="0"/>
    <n v="18"/>
    <s v="Dec"/>
    <n v="1986"/>
    <d v="1986-12-18T00:00:00"/>
    <n v="6548.2"/>
    <s v="tier - 2"/>
    <s v="tier - 3"/>
    <s v="R1012"/>
    <n v="40"/>
    <n v="33.914999999999999"/>
  </r>
  <r>
    <x v="788"/>
    <s v="Zhou,"/>
    <n v="33.534999999999997"/>
    <x v="108"/>
    <s v="Yes"/>
    <x v="0"/>
    <x v="0"/>
    <x v="1"/>
    <x v="1"/>
    <x v="0"/>
    <x v="0"/>
    <n v="6"/>
    <s v="Aug"/>
    <n v="1989"/>
    <d v="1989-08-06T00:00:00"/>
    <n v="6551.75"/>
    <s v="tier - 2"/>
    <s v="tier - 2"/>
    <s v="R1024"/>
    <n v="37"/>
    <n v="33.534999999999997"/>
  </r>
  <r>
    <x v="789"/>
    <s v="Clarke-Ames,"/>
    <n v="23.655000000000001"/>
    <x v="454"/>
    <s v="Yes"/>
    <x v="0"/>
    <x v="0"/>
    <x v="1"/>
    <x v="1"/>
    <x v="2"/>
    <x v="0"/>
    <n v="11"/>
    <s v="Dec"/>
    <n v="1968"/>
    <d v="1968-12-11T00:00:00"/>
    <n v="6552.01"/>
    <s v="tier - 3"/>
    <s v="tier - 2"/>
    <s v="R1013"/>
    <n v="58"/>
    <n v="23.655000000000001"/>
  </r>
  <r>
    <x v="790"/>
    <s v="Staton,"/>
    <n v="28"/>
    <x v="252"/>
    <s v="No"/>
    <x v="0"/>
    <x v="0"/>
    <x v="0"/>
    <x v="1"/>
    <x v="1"/>
    <x v="2"/>
    <n v="20"/>
    <s v="Sep"/>
    <n v="1984"/>
    <d v="1984-09-20T00:00:00"/>
    <n v="6555.07"/>
    <s v="tier - 2"/>
    <s v="tier - 2"/>
    <s v="R1024"/>
    <n v="42"/>
    <n v="28"/>
  </r>
  <r>
    <x v="791"/>
    <s v="Forster,"/>
    <n v="30.23"/>
    <x v="455"/>
    <s v="Yes"/>
    <x v="0"/>
    <x v="1"/>
    <x v="1"/>
    <x v="1"/>
    <x v="0"/>
    <x v="0"/>
    <n v="20"/>
    <s v="Jul"/>
    <n v="1981"/>
    <d v="1981-07-20T00:00:00"/>
    <n v="6571.02"/>
    <s v="tier - 2"/>
    <s v="tier - 1"/>
    <s v="R1012"/>
    <n v="45"/>
    <n v="30.23"/>
  </r>
  <r>
    <x v="792"/>
    <s v="Monaghan,"/>
    <n v="51.14"/>
    <x v="456"/>
    <s v="No"/>
    <x v="0"/>
    <x v="0"/>
    <x v="1"/>
    <x v="1"/>
    <x v="0"/>
    <x v="2"/>
    <n v="5"/>
    <s v="Oct"/>
    <n v="1984"/>
    <d v="1984-10-05T00:00:00"/>
    <n v="6571.54"/>
    <s v="tier - 2"/>
    <s v="tier - 3"/>
    <s v="R1011"/>
    <n v="42"/>
    <n v="51.14"/>
  </r>
  <r>
    <x v="793"/>
    <s v="Kawamoto,"/>
    <n v="24.32"/>
    <x v="457"/>
    <s v="No"/>
    <x v="0"/>
    <x v="0"/>
    <x v="0"/>
    <x v="1"/>
    <x v="2"/>
    <x v="0"/>
    <n v="22"/>
    <s v="Nov"/>
    <n v="1982"/>
    <d v="1982-11-22T00:00:00"/>
    <n v="6593.51"/>
    <s v="tier - 2"/>
    <s v="tier - 1"/>
    <s v="R1013"/>
    <n v="44"/>
    <n v="24.32"/>
  </r>
  <r>
    <x v="794"/>
    <s v="Dicharry,"/>
    <n v="38.06"/>
    <x v="458"/>
    <s v="No"/>
    <x v="0"/>
    <x v="0"/>
    <x v="0"/>
    <x v="1"/>
    <x v="0"/>
    <x v="0"/>
    <n v="29"/>
    <s v="Dec"/>
    <n v="1982"/>
    <d v="1982-12-29T00:00:00"/>
    <n v="6600.21"/>
    <s v="tier - 3"/>
    <s v="tier - 2"/>
    <s v="R1016"/>
    <n v="44"/>
    <n v="38.06"/>
  </r>
  <r>
    <x v="795"/>
    <s v="Berry,"/>
    <n v="37.700000000000003"/>
    <x v="459"/>
    <s v="No"/>
    <x v="0"/>
    <x v="0"/>
    <x v="0"/>
    <x v="1"/>
    <x v="0"/>
    <x v="0"/>
    <n v="7"/>
    <s v="Nov"/>
    <n v="1982"/>
    <d v="1982-11-07T00:00:00"/>
    <n v="6600.36"/>
    <s v="tier - 2"/>
    <s v="tier - 3"/>
    <s v="R1011"/>
    <n v="44"/>
    <n v="37.700000000000003"/>
  </r>
  <r>
    <x v="796"/>
    <s v="Porfirio,"/>
    <n v="44"/>
    <x v="388"/>
    <s v="Yes"/>
    <x v="0"/>
    <x v="0"/>
    <x v="1"/>
    <x v="1"/>
    <x v="0"/>
    <x v="0"/>
    <n v="28"/>
    <s v="Aug"/>
    <n v="1982"/>
    <d v="1982-08-28T00:00:00"/>
    <n v="6610.11"/>
    <s v="tier - 3"/>
    <s v="tier - 2"/>
    <s v="R1015"/>
    <n v="44"/>
    <n v="44"/>
  </r>
  <r>
    <x v="797"/>
    <s v="Thind,"/>
    <n v="41.45"/>
    <x v="65"/>
    <s v="Yes"/>
    <x v="0"/>
    <x v="0"/>
    <x v="0"/>
    <x v="1"/>
    <x v="0"/>
    <x v="1"/>
    <n v="29"/>
    <s v="Aug"/>
    <n v="1973"/>
    <d v="1973-08-29T00:00:00"/>
    <n v="6630.31"/>
    <s v="tier - 2"/>
    <s v="tier - 1"/>
    <s v="R1013"/>
    <n v="53"/>
    <n v="41.45"/>
  </r>
  <r>
    <x v="798"/>
    <s v="Ryan,"/>
    <n v="25.364999999999998"/>
    <x v="460"/>
    <s v="Yes"/>
    <x v="0"/>
    <x v="0"/>
    <x v="0"/>
    <x v="1"/>
    <x v="1"/>
    <x v="0"/>
    <n v="4"/>
    <s v="Sep"/>
    <n v="2003"/>
    <d v="2003-09-04T00:00:00"/>
    <n v="6638.16"/>
    <s v="tier - 2"/>
    <s v="tier - 1"/>
    <s v="R1012"/>
    <n v="23"/>
    <n v="25.364999999999998"/>
  </r>
  <r>
    <x v="799"/>
    <s v="Horn,"/>
    <n v="34.56"/>
    <x v="85"/>
    <s v="Yes"/>
    <x v="0"/>
    <x v="1"/>
    <x v="1"/>
    <x v="1"/>
    <x v="0"/>
    <x v="1"/>
    <n v="6"/>
    <s v="Jun"/>
    <n v="1990"/>
    <d v="1990-06-06T00:00:00"/>
    <n v="6639.3"/>
    <s v="tier - 2"/>
    <s v="tier - 2"/>
    <s v="R1021"/>
    <n v="36"/>
    <n v="34.56"/>
  </r>
  <r>
    <x v="800"/>
    <s v="Sabadosa,"/>
    <n v="28.2"/>
    <x v="461"/>
    <s v="Yes"/>
    <x v="0"/>
    <x v="0"/>
    <x v="1"/>
    <x v="1"/>
    <x v="1"/>
    <x v="0"/>
    <n v="8"/>
    <s v="Dec"/>
    <n v="1984"/>
    <d v="1984-12-08T00:00:00"/>
    <n v="6640.54"/>
    <s v="tier - 2"/>
    <s v="tier - 3"/>
    <s v="R1019"/>
    <n v="42"/>
    <n v="28.2"/>
  </r>
  <r>
    <x v="801"/>
    <s v="Casady,"/>
    <n v="30.43"/>
    <x v="462"/>
    <s v="No"/>
    <x v="0"/>
    <x v="0"/>
    <x v="0"/>
    <x v="1"/>
    <x v="0"/>
    <x v="0"/>
    <n v="8"/>
    <s v="Nov"/>
    <n v="1970"/>
    <d v="1970-11-08T00:00:00"/>
    <n v="6651.26"/>
    <s v="tier - 2"/>
    <s v="tier - 3"/>
    <s v="R1013"/>
    <n v="56"/>
    <n v="30.43"/>
  </r>
  <r>
    <x v="802"/>
    <s v="Phillips,"/>
    <n v="32.395000000000003"/>
    <x v="159"/>
    <s v="Yes"/>
    <x v="0"/>
    <x v="0"/>
    <x v="1"/>
    <x v="1"/>
    <x v="0"/>
    <x v="2"/>
    <n v="1"/>
    <s v="Jul"/>
    <n v="1984"/>
    <d v="1984-07-01T00:00:00"/>
    <n v="6652.53"/>
    <s v="tier - 3"/>
    <s v="tier - 2"/>
    <s v="R1013"/>
    <n v="42"/>
    <n v="32.395000000000003"/>
  </r>
  <r>
    <x v="803"/>
    <s v="Ahokas,"/>
    <n v="24.035"/>
    <x v="307"/>
    <s v="No"/>
    <x v="0"/>
    <x v="0"/>
    <x v="0"/>
    <x v="1"/>
    <x v="2"/>
    <x v="0"/>
    <n v="19"/>
    <s v="Nov"/>
    <n v="1989"/>
    <d v="1989-11-19T00:00:00"/>
    <n v="6653.79"/>
    <s v="tier - 2"/>
    <s v="tier - 1"/>
    <s v="R1013"/>
    <n v="37"/>
    <n v="24.035"/>
  </r>
  <r>
    <x v="804"/>
    <s v="Hebert,"/>
    <n v="37.119999999999997"/>
    <x v="318"/>
    <s v="No"/>
    <x v="0"/>
    <x v="0"/>
    <x v="1"/>
    <x v="1"/>
    <x v="0"/>
    <x v="2"/>
    <n v="27"/>
    <s v="Sep"/>
    <n v="1982"/>
    <d v="1982-09-27T00:00:00"/>
    <n v="6664.32"/>
    <s v="tier - 2"/>
    <s v="tier - 2"/>
    <s v="R1013"/>
    <n v="44"/>
    <n v="37.119999999999997"/>
  </r>
  <r>
    <x v="805"/>
    <s v="Fair,"/>
    <n v="34.840000000000003"/>
    <x v="96"/>
    <s v="Yes"/>
    <x v="0"/>
    <x v="1"/>
    <x v="1"/>
    <x v="1"/>
    <x v="0"/>
    <x v="0"/>
    <n v="17"/>
    <s v="Sep"/>
    <n v="1981"/>
    <d v="1981-09-17T00:00:00"/>
    <n v="6664.69"/>
    <s v="tier - 3"/>
    <s v="tier - 1"/>
    <s v="R1012"/>
    <n v="45"/>
    <n v="34.840000000000003"/>
  </r>
  <r>
    <x v="806"/>
    <s v="Swenson,"/>
    <n v="29.53"/>
    <x v="257"/>
    <s v="No"/>
    <x v="0"/>
    <x v="0"/>
    <x v="0"/>
    <x v="1"/>
    <x v="1"/>
    <x v="0"/>
    <n v="20"/>
    <s v="Oct"/>
    <n v="1989"/>
    <d v="1989-10-20T00:00:00"/>
    <n v="6666.24"/>
    <s v="tier - 3"/>
    <s v="tier - 1"/>
    <s v="R1011"/>
    <n v="37"/>
    <n v="29.53"/>
  </r>
  <r>
    <x v="807"/>
    <s v="Revenis,"/>
    <n v="42.51"/>
    <x v="463"/>
    <s v="Yes"/>
    <x v="0"/>
    <x v="0"/>
    <x v="0"/>
    <x v="1"/>
    <x v="0"/>
    <x v="0"/>
    <n v="9"/>
    <s v="Jul"/>
    <n v="1985"/>
    <d v="1985-07-09T00:00:00"/>
    <n v="6686.43"/>
    <s v="tier - 2"/>
    <s v="tier - 3"/>
    <s v="R1012"/>
    <n v="41"/>
    <n v="42.51"/>
  </r>
  <r>
    <x v="808"/>
    <s v="Engnes,"/>
    <n v="38.14"/>
    <x v="224"/>
    <s v="No"/>
    <x v="0"/>
    <x v="1"/>
    <x v="1"/>
    <x v="1"/>
    <x v="0"/>
    <x v="2"/>
    <n v="13"/>
    <s v="Jul"/>
    <n v="1968"/>
    <d v="1968-07-13T00:00:00"/>
    <n v="6700.56"/>
    <s v="tier - 3"/>
    <s v="tier - 1"/>
    <s v="R1012"/>
    <n v="58"/>
    <n v="38.14"/>
  </r>
  <r>
    <x v="809"/>
    <s v="Wiltse,"/>
    <n v="39.93"/>
    <x v="355"/>
    <s v="No"/>
    <x v="0"/>
    <x v="0"/>
    <x v="0"/>
    <x v="1"/>
    <x v="0"/>
    <x v="0"/>
    <n v="12"/>
    <s v="Dec"/>
    <n v="1971"/>
    <d v="1971-12-12T00:00:00"/>
    <n v="6706.47"/>
    <s v="tier - 2"/>
    <s v="tier - 1"/>
    <s v="R1013"/>
    <n v="55"/>
    <n v="39.93"/>
  </r>
  <r>
    <x v="810"/>
    <s v="Fernandez,"/>
    <n v="38.83"/>
    <x v="464"/>
    <s v="No"/>
    <x v="0"/>
    <x v="0"/>
    <x v="0"/>
    <x v="1"/>
    <x v="0"/>
    <x v="0"/>
    <n v="12"/>
    <s v="Jun"/>
    <n v="1983"/>
    <d v="1983-06-12T00:00:00"/>
    <n v="6710.19"/>
    <s v="tier - 3"/>
    <s v="tier - 3"/>
    <s v="R1012"/>
    <n v="43"/>
    <n v="38.83"/>
  </r>
  <r>
    <x v="811"/>
    <s v="Edwards,"/>
    <n v="37.4"/>
    <x v="465"/>
    <s v="No"/>
    <x v="0"/>
    <x v="0"/>
    <x v="0"/>
    <x v="1"/>
    <x v="0"/>
    <x v="0"/>
    <n v="13"/>
    <s v="Jun"/>
    <n v="1994"/>
    <d v="1994-06-13T00:00:00"/>
    <n v="6721.37"/>
    <s v="tier - 2"/>
    <s v="tier - 1"/>
    <s v="R1012"/>
    <n v="32"/>
    <n v="37.4"/>
  </r>
  <r>
    <x v="812"/>
    <s v="Pinney,"/>
    <n v="21.4"/>
    <x v="211"/>
    <s v="No"/>
    <x v="0"/>
    <x v="0"/>
    <x v="0"/>
    <x v="1"/>
    <x v="2"/>
    <x v="0"/>
    <n v="21"/>
    <s v="Oct"/>
    <n v="1978"/>
    <d v="1978-10-21T00:00:00"/>
    <n v="6737.98"/>
    <s v="tier - 2"/>
    <s v="tier - 3"/>
    <s v="R1013"/>
    <n v="48"/>
    <n v="21.4"/>
  </r>
  <r>
    <x v="813"/>
    <s v="Levy,"/>
    <n v="38.380000000000003"/>
    <x v="295"/>
    <s v="Yes"/>
    <x v="0"/>
    <x v="0"/>
    <x v="1"/>
    <x v="1"/>
    <x v="0"/>
    <x v="0"/>
    <n v="18"/>
    <s v="Jul"/>
    <n v="1968"/>
    <d v="1968-07-18T00:00:00"/>
    <n v="6738.84"/>
    <s v="tier - 3"/>
    <s v="tier - 1"/>
    <s v="R1012"/>
    <n v="58"/>
    <n v="38.380000000000003"/>
  </r>
  <r>
    <x v="814"/>
    <s v="Takeda,"/>
    <n v="33.659999999999997"/>
    <x v="140"/>
    <s v="Yes"/>
    <x v="0"/>
    <x v="0"/>
    <x v="1"/>
    <x v="1"/>
    <x v="0"/>
    <x v="2"/>
    <n v="7"/>
    <s v="Aug"/>
    <n v="1986"/>
    <d v="1986-08-07T00:00:00"/>
    <n v="6746.74"/>
    <s v="tier - 3"/>
    <s v="tier - 2"/>
    <s v="R1016"/>
    <n v="40"/>
    <n v="33.659999999999997"/>
  </r>
  <r>
    <x v="815"/>
    <s v="Burke,"/>
    <n v="31.79"/>
    <x v="466"/>
    <s v="Yes"/>
    <x v="0"/>
    <x v="1"/>
    <x v="1"/>
    <x v="1"/>
    <x v="0"/>
    <x v="0"/>
    <n v="5"/>
    <s v="Jun"/>
    <n v="1986"/>
    <d v="1986-06-05T00:00:00"/>
    <n v="6748.59"/>
    <s v="tier - 3"/>
    <s v="tier - 1"/>
    <s v="R1016"/>
    <n v="40"/>
    <n v="31.79"/>
  </r>
  <r>
    <x v="816"/>
    <s v="Duarte,"/>
    <n v="29.7"/>
    <x v="467"/>
    <s v="Yes"/>
    <x v="0"/>
    <x v="1"/>
    <x v="1"/>
    <x v="1"/>
    <x v="1"/>
    <x v="0"/>
    <n v="17"/>
    <s v="Jun"/>
    <n v="1970"/>
    <d v="1970-06-17T00:00:00"/>
    <n v="6749.63"/>
    <s v="tier - 2"/>
    <s v="tier - 1"/>
    <s v="R1013"/>
    <n v="56"/>
    <n v="29.7"/>
  </r>
  <r>
    <x v="817"/>
    <s v="Clark,"/>
    <n v="25.46"/>
    <x v="97"/>
    <s v="Yes"/>
    <x v="0"/>
    <x v="1"/>
    <x v="1"/>
    <x v="1"/>
    <x v="1"/>
    <x v="0"/>
    <n v="9"/>
    <s v="Dec"/>
    <n v="1966"/>
    <d v="1966-12-09T00:00:00"/>
    <n v="6750.27"/>
    <s v="tier - 3"/>
    <s v="tier - 2"/>
    <s v="R1013"/>
    <n v="60"/>
    <n v="25.46"/>
  </r>
  <r>
    <x v="818"/>
    <s v="Nice,"/>
    <n v="39.14"/>
    <x v="468"/>
    <s v="No"/>
    <x v="1"/>
    <x v="0"/>
    <x v="1"/>
    <x v="1"/>
    <x v="0"/>
    <x v="2"/>
    <n v="10"/>
    <s v="Oct"/>
    <n v="1988"/>
    <d v="1988-10-10T00:00:00"/>
    <n v="6753.04"/>
    <s v="tier - 2"/>
    <s v="tier - 2"/>
    <s v="R1024"/>
    <n v="38"/>
    <n v="39.14"/>
  </r>
  <r>
    <x v="819"/>
    <s v="Windler,"/>
    <n v="41.2"/>
    <x v="434"/>
    <s v="No"/>
    <x v="0"/>
    <x v="0"/>
    <x v="1"/>
    <x v="1"/>
    <x v="0"/>
    <x v="2"/>
    <n v="21"/>
    <s v="Sep"/>
    <n v="1981"/>
    <d v="1981-09-21T00:00:00"/>
    <n v="6770.19"/>
    <s v="tier - 2"/>
    <s v="tier - 3"/>
    <s v="R1013"/>
    <n v="45"/>
    <n v="41.2"/>
  </r>
  <r>
    <x v="820"/>
    <s v="Jones,"/>
    <n v="28.81"/>
    <x v="469"/>
    <s v="Yes"/>
    <x v="0"/>
    <x v="1"/>
    <x v="1"/>
    <x v="1"/>
    <x v="1"/>
    <x v="0"/>
    <n v="3"/>
    <s v="Sep"/>
    <n v="1981"/>
    <d v="1981-09-03T00:00:00"/>
    <n v="6775.96"/>
    <s v="tier - 2"/>
    <s v="tier - 3"/>
    <s v="R1011"/>
    <n v="45"/>
    <n v="28.81"/>
  </r>
  <r>
    <x v="821"/>
    <s v="Stevenson,"/>
    <n v="37.409999999999997"/>
    <x v="470"/>
    <s v="No"/>
    <x v="0"/>
    <x v="0"/>
    <x v="1"/>
    <x v="1"/>
    <x v="0"/>
    <x v="0"/>
    <n v="8"/>
    <s v="Oct"/>
    <n v="1981"/>
    <d v="1981-10-08T00:00:00"/>
    <n v="6781.35"/>
    <s v="tier - 2"/>
    <s v="tier - 1"/>
    <s v="R1013"/>
    <n v="45"/>
    <n v="37.409999999999997"/>
  </r>
  <r>
    <x v="822"/>
    <s v="Humphrey,"/>
    <n v="52.54"/>
    <x v="89"/>
    <s v="No"/>
    <x v="0"/>
    <x v="1"/>
    <x v="1"/>
    <x v="1"/>
    <x v="0"/>
    <x v="2"/>
    <n v="23"/>
    <s v="Nov"/>
    <n v="1980"/>
    <d v="1980-11-23T00:00:00"/>
    <n v="6781.52"/>
    <s v="tier - 2"/>
    <s v="tier - 2"/>
    <s v="R1013"/>
    <n v="46"/>
    <n v="52.54"/>
  </r>
  <r>
    <x v="823"/>
    <s v="Nelson,"/>
    <n v="17.29"/>
    <x v="471"/>
    <s v="No"/>
    <x v="1"/>
    <x v="0"/>
    <x v="1"/>
    <x v="0"/>
    <x v="3"/>
    <x v="2"/>
    <n v="24"/>
    <s v="Dec"/>
    <n v="1985"/>
    <d v="1985-12-24T00:00:00"/>
    <n v="6796.86"/>
    <s v="tier - 3"/>
    <s v="tier - 3"/>
    <s v="R1012"/>
    <n v="41"/>
    <n v="17.29"/>
  </r>
  <r>
    <x v="824"/>
    <s v="Payne,"/>
    <n v="31.74"/>
    <x v="472"/>
    <s v="Yes"/>
    <x v="0"/>
    <x v="0"/>
    <x v="0"/>
    <x v="1"/>
    <x v="0"/>
    <x v="0"/>
    <n v="29"/>
    <s v="Jun"/>
    <n v="1991"/>
    <d v="1991-06-29T00:00:00"/>
    <n v="6799.46"/>
    <s v="tier - 1"/>
    <s v="tier - 2"/>
    <s v="R1014"/>
    <n v="35"/>
    <n v="31.74"/>
  </r>
  <r>
    <x v="825"/>
    <s v="Hails,"/>
    <n v="26.504999999999999"/>
    <x v="421"/>
    <s v="Yes"/>
    <x v="0"/>
    <x v="1"/>
    <x v="1"/>
    <x v="1"/>
    <x v="1"/>
    <x v="0"/>
    <n v="17"/>
    <s v="Aug"/>
    <n v="1975"/>
    <d v="1975-08-17T00:00:00"/>
    <n v="6809.46"/>
    <s v="tier - 2"/>
    <s v="tier - 1"/>
    <s v="R1012"/>
    <n v="51"/>
    <n v="26.504999999999999"/>
  </r>
  <r>
    <x v="826"/>
    <s v="Proctor,"/>
    <n v="36.479999999999997"/>
    <x v="304"/>
    <s v="No"/>
    <x v="0"/>
    <x v="0"/>
    <x v="0"/>
    <x v="1"/>
    <x v="0"/>
    <x v="0"/>
    <n v="8"/>
    <s v="Jul"/>
    <n v="1994"/>
    <d v="1994-07-08T00:00:00"/>
    <n v="6827.69"/>
    <s v="tier - 2"/>
    <s v="tier - 2"/>
    <s v="R1021"/>
    <n v="32"/>
    <n v="36.479999999999997"/>
  </r>
  <r>
    <x v="827"/>
    <s v="Ryan,"/>
    <n v="39.159999999999997"/>
    <x v="219"/>
    <s v="Yes"/>
    <x v="0"/>
    <x v="1"/>
    <x v="1"/>
    <x v="1"/>
    <x v="0"/>
    <x v="2"/>
    <n v="15"/>
    <s v="Jul"/>
    <n v="1979"/>
    <d v="1979-07-15T00:00:00"/>
    <n v="6837.37"/>
    <s v="tier - 3"/>
    <s v="tier - 1"/>
    <s v="R1016"/>
    <n v="47"/>
    <n v="39.159999999999997"/>
  </r>
  <r>
    <x v="828"/>
    <s v="Watson,"/>
    <n v="28.22"/>
    <x v="473"/>
    <s v="Yes"/>
    <x v="0"/>
    <x v="1"/>
    <x v="1"/>
    <x v="1"/>
    <x v="1"/>
    <x v="0"/>
    <n v="30"/>
    <s v="Nov"/>
    <n v="2000"/>
    <d v="2000-11-30T00:00:00"/>
    <n v="6842.28"/>
    <s v="tier - 2"/>
    <s v="tier - 1"/>
    <s v="R1012"/>
    <n v="26"/>
    <n v="28.22"/>
  </r>
  <r>
    <x v="829"/>
    <s v="Gresh,"/>
    <n v="35"/>
    <x v="350"/>
    <s v="No"/>
    <x v="0"/>
    <x v="0"/>
    <x v="1"/>
    <x v="1"/>
    <x v="0"/>
    <x v="2"/>
    <n v="15"/>
    <s v="Jun"/>
    <n v="1977"/>
    <d v="1977-06-15T00:00:00"/>
    <n v="6843.17"/>
    <s v="tier - 2"/>
    <s v="tier - 1"/>
    <s v="R1013"/>
    <n v="49"/>
    <n v="35"/>
  </r>
  <r>
    <x v="830"/>
    <s v="Anis,"/>
    <n v="36.24"/>
    <x v="353"/>
    <s v="Yes"/>
    <x v="0"/>
    <x v="0"/>
    <x v="1"/>
    <x v="1"/>
    <x v="0"/>
    <x v="0"/>
    <n v="4"/>
    <s v="Nov"/>
    <n v="1979"/>
    <d v="1979-11-04T00:00:00"/>
    <n v="6849.03"/>
    <s v="tier - 2"/>
    <s v="tier - 2"/>
    <s v="R1011"/>
    <n v="47"/>
    <n v="36.24"/>
  </r>
  <r>
    <x v="831"/>
    <s v="Swartz,"/>
    <n v="36.954999999999998"/>
    <x v="474"/>
    <s v="No"/>
    <x v="0"/>
    <x v="0"/>
    <x v="0"/>
    <x v="1"/>
    <x v="0"/>
    <x v="0"/>
    <n v="19"/>
    <s v="Jun"/>
    <n v="1981"/>
    <d v="1981-06-19T00:00:00"/>
    <n v="6858.48"/>
    <s v="tier - 2"/>
    <s v="tier - 2"/>
    <s v="R1019"/>
    <n v="45"/>
    <n v="36.954999999999998"/>
  </r>
  <r>
    <x v="832"/>
    <s v="Schluneker,"/>
    <n v="29.64"/>
    <x v="475"/>
    <s v="No"/>
    <x v="0"/>
    <x v="0"/>
    <x v="0"/>
    <x v="1"/>
    <x v="1"/>
    <x v="0"/>
    <n v="5"/>
    <s v="Aug"/>
    <n v="1978"/>
    <d v="1978-08-05T00:00:00"/>
    <n v="6863.49"/>
    <s v="tier - 2"/>
    <s v="tier - 1"/>
    <s v="R1013"/>
    <n v="48"/>
    <n v="29.64"/>
  </r>
  <r>
    <x v="833"/>
    <s v="Bellemare,"/>
    <n v="42.74"/>
    <x v="476"/>
    <s v="Yes"/>
    <x v="0"/>
    <x v="0"/>
    <x v="1"/>
    <x v="1"/>
    <x v="0"/>
    <x v="1"/>
    <n v="23"/>
    <s v="Oct"/>
    <n v="1969"/>
    <d v="1969-10-23T00:00:00"/>
    <n v="6868.39"/>
    <s v="tier - 2"/>
    <s v="tier - 2"/>
    <s v="R1013"/>
    <n v="57"/>
    <n v="42.74"/>
  </r>
  <r>
    <x v="834"/>
    <s v="Vitalo,"/>
    <n v="36.130000000000003"/>
    <x v="461"/>
    <s v="Yes"/>
    <x v="0"/>
    <x v="0"/>
    <x v="1"/>
    <x v="1"/>
    <x v="0"/>
    <x v="0"/>
    <n v="23"/>
    <s v="Jun"/>
    <n v="1981"/>
    <d v="1981-06-23T00:00:00"/>
    <n v="6875.96"/>
    <s v="tier - 2"/>
    <s v="tier - 2"/>
    <s v="R1011"/>
    <n v="45"/>
    <n v="36.130000000000003"/>
  </r>
  <r>
    <x v="835"/>
    <s v="Hamilton,"/>
    <n v="31.55"/>
    <x v="184"/>
    <s v="Yes"/>
    <x v="0"/>
    <x v="0"/>
    <x v="1"/>
    <x v="1"/>
    <x v="0"/>
    <x v="1"/>
    <n v="24"/>
    <s v="Dec"/>
    <n v="2004"/>
    <d v="2004-12-24T00:00:00"/>
    <n v="6876.53"/>
    <s v="tier - 2"/>
    <s v="tier - 1"/>
    <s v="R1012"/>
    <n v="22"/>
    <n v="31.55"/>
  </r>
  <r>
    <x v="836"/>
    <s v="Marshall,"/>
    <n v="52.75"/>
    <x v="216"/>
    <s v="No"/>
    <x v="0"/>
    <x v="0"/>
    <x v="1"/>
    <x v="1"/>
    <x v="0"/>
    <x v="1"/>
    <n v="10"/>
    <s v="Sep"/>
    <n v="1985"/>
    <d v="1985-09-10T00:00:00"/>
    <n v="6877.98"/>
    <s v="tier - 2"/>
    <s v="tier - 1"/>
    <s v="R1024"/>
    <n v="41"/>
    <n v="52.75"/>
  </r>
  <r>
    <x v="837"/>
    <s v="Cale,"/>
    <n v="36.67"/>
    <x v="464"/>
    <s v="No"/>
    <x v="0"/>
    <x v="0"/>
    <x v="0"/>
    <x v="1"/>
    <x v="0"/>
    <x v="0"/>
    <n v="21"/>
    <s v="Dec"/>
    <n v="1989"/>
    <d v="1989-12-21T00:00:00"/>
    <n v="6895.19"/>
    <s v="tier - 2"/>
    <s v="tier - 3"/>
    <s v="R1024"/>
    <n v="37"/>
    <n v="36.67"/>
  </r>
  <r>
    <x v="838"/>
    <s v="Pittaway,"/>
    <n v="38.06"/>
    <x v="477"/>
    <s v="No"/>
    <x v="0"/>
    <x v="0"/>
    <x v="0"/>
    <x v="1"/>
    <x v="0"/>
    <x v="0"/>
    <n v="5"/>
    <s v="Sep"/>
    <n v="1984"/>
    <d v="1984-09-05T00:00:00"/>
    <n v="6933.24"/>
    <s v="tier - 2"/>
    <s v="tier - 3"/>
    <s v="R1012"/>
    <n v="42"/>
    <n v="38.06"/>
  </r>
  <r>
    <x v="839"/>
    <s v="Bill,"/>
    <n v="38"/>
    <x v="478"/>
    <s v="No"/>
    <x v="0"/>
    <x v="0"/>
    <x v="0"/>
    <x v="1"/>
    <x v="0"/>
    <x v="0"/>
    <n v="29"/>
    <s v="Nov"/>
    <n v="1978"/>
    <d v="1978-11-29T00:00:00"/>
    <n v="6938.11"/>
    <s v="tier - 2"/>
    <s v="tier - 2"/>
    <s v="R1013"/>
    <n v="48"/>
    <n v="38"/>
  </r>
  <r>
    <x v="840"/>
    <s v="Antrim,"/>
    <n v="35.1"/>
    <x v="479"/>
    <s v="No"/>
    <x v="0"/>
    <x v="0"/>
    <x v="0"/>
    <x v="1"/>
    <x v="0"/>
    <x v="0"/>
    <n v="30"/>
    <s v="Aug"/>
    <n v="1980"/>
    <d v="1980-08-30T00:00:00"/>
    <n v="6940.91"/>
    <s v="tier - 2"/>
    <s v="tier - 2"/>
    <s v="R1012"/>
    <n v="46"/>
    <n v="35.1"/>
  </r>
  <r>
    <x v="841"/>
    <s v="Doolittle-Crider,"/>
    <n v="33.82"/>
    <x v="256"/>
    <s v="Yes"/>
    <x v="0"/>
    <x v="0"/>
    <x v="1"/>
    <x v="1"/>
    <x v="0"/>
    <x v="1"/>
    <n v="5"/>
    <s v="Oct"/>
    <n v="1980"/>
    <d v="1980-10-05T00:00:00"/>
    <n v="6940.94"/>
    <s v="tier - 2"/>
    <s v="tier - 3"/>
    <s v="R1013"/>
    <n v="46"/>
    <n v="33.82"/>
  </r>
  <r>
    <x v="842"/>
    <s v="Ruhlman,"/>
    <n v="37.43"/>
    <x v="480"/>
    <s v="No"/>
    <x v="0"/>
    <x v="0"/>
    <x v="1"/>
    <x v="1"/>
    <x v="0"/>
    <x v="2"/>
    <n v="15"/>
    <s v="Dec"/>
    <n v="1978"/>
    <d v="1978-12-15T00:00:00"/>
    <n v="6948.7"/>
    <s v="tier - 1"/>
    <s v="tier - 2"/>
    <s v="R1012"/>
    <n v="48"/>
    <n v="37.43"/>
  </r>
  <r>
    <x v="843"/>
    <s v="Anderson,"/>
    <n v="30.5"/>
    <x v="207"/>
    <s v="No"/>
    <x v="0"/>
    <x v="0"/>
    <x v="0"/>
    <x v="1"/>
    <x v="0"/>
    <x v="0"/>
    <n v="18"/>
    <s v="Aug"/>
    <n v="1980"/>
    <d v="1980-08-18T00:00:00"/>
    <n v="6951.12"/>
    <s v="tier - 2"/>
    <s v="tier - 2"/>
    <s v="R1013"/>
    <n v="46"/>
    <n v="30.5"/>
  </r>
  <r>
    <x v="844"/>
    <s v="Uchiyama,"/>
    <n v="24.53"/>
    <x v="289"/>
    <s v="No"/>
    <x v="0"/>
    <x v="0"/>
    <x v="0"/>
    <x v="1"/>
    <x v="2"/>
    <x v="0"/>
    <n v="3"/>
    <s v="Jun"/>
    <n v="1975"/>
    <d v="1975-06-03T00:00:00"/>
    <n v="6965.21"/>
    <s v="tier - 2"/>
    <s v="tier - 3"/>
    <s v="R1013"/>
    <n v="51"/>
    <n v="24.53"/>
  </r>
  <r>
    <x v="845"/>
    <s v="Desota,"/>
    <n v="25.74"/>
    <x v="185"/>
    <s v="No"/>
    <x v="0"/>
    <x v="0"/>
    <x v="0"/>
    <x v="1"/>
    <x v="1"/>
    <x v="0"/>
    <n v="10"/>
    <s v="Dec"/>
    <n v="1985"/>
    <d v="1985-12-10T00:00:00"/>
    <n v="6985.51"/>
    <s v="tier - 2"/>
    <s v="tier - 2"/>
    <s v="R1019"/>
    <n v="41"/>
    <n v="25.74"/>
  </r>
  <r>
    <x v="846"/>
    <s v="Edmonds,"/>
    <n v="34.08"/>
    <x v="481"/>
    <s v="Yes"/>
    <x v="0"/>
    <x v="0"/>
    <x v="1"/>
    <x v="1"/>
    <x v="0"/>
    <x v="0"/>
    <n v="18"/>
    <s v="Oct"/>
    <n v="1982"/>
    <d v="1982-10-18T00:00:00"/>
    <n v="6986.7"/>
    <s v="tier - 3"/>
    <s v="tier - 1"/>
    <s v="R1012"/>
    <n v="44"/>
    <n v="34.08"/>
  </r>
  <r>
    <x v="847"/>
    <s v="Otto,"/>
    <n v="31.35"/>
    <x v="482"/>
    <s v="Yes"/>
    <x v="0"/>
    <x v="1"/>
    <x v="1"/>
    <x v="1"/>
    <x v="0"/>
    <x v="0"/>
    <n v="1"/>
    <s v="Sep"/>
    <n v="1982"/>
    <d v="1982-09-01T00:00:00"/>
    <n v="6989.95"/>
    <s v="tier - 2"/>
    <s v="tier - 1"/>
    <s v="R1013"/>
    <n v="44"/>
    <n v="31.35"/>
  </r>
  <r>
    <x v="848"/>
    <s v="Kurt,"/>
    <n v="26.79"/>
    <x v="386"/>
    <s v="No"/>
    <x v="0"/>
    <x v="0"/>
    <x v="1"/>
    <x v="1"/>
    <x v="1"/>
    <x v="2"/>
    <n v="6"/>
    <s v="Jul"/>
    <n v="1969"/>
    <d v="1969-07-06T00:00:00"/>
    <n v="7003.1"/>
    <s v="tier - 2"/>
    <s v="tier - 3"/>
    <s v="R1013"/>
    <n v="57"/>
    <n v="26.79"/>
  </r>
  <r>
    <x v="849"/>
    <s v="Duhaime,"/>
    <n v="42.78"/>
    <x v="184"/>
    <s v="Yes"/>
    <x v="0"/>
    <x v="0"/>
    <x v="1"/>
    <x v="1"/>
    <x v="0"/>
    <x v="1"/>
    <n v="2"/>
    <s v="Jun"/>
    <n v="1978"/>
    <d v="1978-06-02T00:00:00"/>
    <n v="7033.08"/>
    <s v="tier - 2"/>
    <s v="tier - 2"/>
    <s v="R1013"/>
    <n v="48"/>
    <n v="42.78"/>
  </r>
  <r>
    <x v="850"/>
    <s v="Swann,"/>
    <n v="46.75"/>
    <x v="483"/>
    <s v="Yes"/>
    <x v="0"/>
    <x v="0"/>
    <x v="1"/>
    <x v="1"/>
    <x v="0"/>
    <x v="0"/>
    <n v="29"/>
    <s v="Oct"/>
    <n v="1995"/>
    <d v="1995-10-29T00:00:00"/>
    <n v="7042.11"/>
    <s v="tier - 2"/>
    <s v="tier - 3"/>
    <s v="R1012"/>
    <n v="31"/>
    <n v="46.75"/>
  </r>
  <r>
    <x v="851"/>
    <s v="Burton,"/>
    <n v="32.15"/>
    <x v="93"/>
    <s v="Yes"/>
    <x v="0"/>
    <x v="1"/>
    <x v="1"/>
    <x v="1"/>
    <x v="0"/>
    <x v="2"/>
    <n v="26"/>
    <s v="Jul"/>
    <n v="1980"/>
    <d v="1980-07-26T00:00:00"/>
    <n v="7045.5"/>
    <s v="tier - 2"/>
    <s v="tier - 1"/>
    <s v="R1011"/>
    <n v="46"/>
    <n v="32.15"/>
  </r>
  <r>
    <x v="852"/>
    <s v="Ricardi,"/>
    <n v="43.4"/>
    <x v="484"/>
    <s v="Yes"/>
    <x v="0"/>
    <x v="0"/>
    <x v="1"/>
    <x v="1"/>
    <x v="0"/>
    <x v="0"/>
    <n v="22"/>
    <s v="Oct"/>
    <n v="1980"/>
    <d v="1980-10-22T00:00:00"/>
    <n v="7046.72"/>
    <s v="tier - 2"/>
    <s v="tier - 3"/>
    <s v="R1013"/>
    <n v="46"/>
    <n v="43.4"/>
  </r>
  <r>
    <x v="853"/>
    <s v="Joslyn,"/>
    <n v="31.57"/>
    <x v="485"/>
    <s v="Yes"/>
    <x v="0"/>
    <x v="0"/>
    <x v="1"/>
    <x v="1"/>
    <x v="0"/>
    <x v="0"/>
    <n v="21"/>
    <s v="Jul"/>
    <n v="1980"/>
    <d v="1980-07-21T00:00:00"/>
    <n v="7050.02"/>
    <s v="tier - 2"/>
    <s v="tier - 1"/>
    <s v="R1024"/>
    <n v="46"/>
    <n v="31.57"/>
  </r>
  <r>
    <x v="854"/>
    <s v="Bennie,"/>
    <n v="24.32"/>
    <x v="486"/>
    <s v="No"/>
    <x v="0"/>
    <x v="0"/>
    <x v="0"/>
    <x v="1"/>
    <x v="2"/>
    <x v="0"/>
    <n v="28"/>
    <s v="Jun"/>
    <n v="1980"/>
    <d v="1980-06-28T00:00:00"/>
    <n v="7050.64"/>
    <s v="tier - 2"/>
    <s v="tier - 3"/>
    <s v="R1011"/>
    <n v="46"/>
    <n v="24.32"/>
  </r>
  <r>
    <x v="855"/>
    <s v="Kanyane,"/>
    <n v="31.07"/>
    <x v="471"/>
    <s v="Yes"/>
    <x v="0"/>
    <x v="0"/>
    <x v="1"/>
    <x v="1"/>
    <x v="0"/>
    <x v="2"/>
    <n v="24"/>
    <s v="Jun"/>
    <n v="1978"/>
    <d v="1978-06-24T00:00:00"/>
    <n v="7054.41"/>
    <s v="tier - 2"/>
    <s v="tier - 2"/>
    <s v="R1013"/>
    <n v="48"/>
    <n v="31.07"/>
  </r>
  <r>
    <x v="856"/>
    <s v="McFadden,"/>
    <n v="35.814999999999998"/>
    <x v="266"/>
    <s v="No"/>
    <x v="0"/>
    <x v="0"/>
    <x v="0"/>
    <x v="1"/>
    <x v="0"/>
    <x v="0"/>
    <n v="6"/>
    <s v="Oct"/>
    <n v="1982"/>
    <d v="1982-10-06T00:00:00"/>
    <n v="7077.19"/>
    <s v="tier - 2"/>
    <s v="tier - 3"/>
    <s v="R1024"/>
    <n v="44"/>
    <n v="35.814999999999998"/>
  </r>
  <r>
    <x v="857"/>
    <s v="Connolly,"/>
    <n v="40.81"/>
    <x v="487"/>
    <s v="Yes"/>
    <x v="0"/>
    <x v="0"/>
    <x v="0"/>
    <x v="1"/>
    <x v="0"/>
    <x v="0"/>
    <n v="18"/>
    <s v="Jun"/>
    <n v="1992"/>
    <d v="1992-06-18T00:00:00"/>
    <n v="7096.98"/>
    <s v="tier - 2"/>
    <s v="tier - 2"/>
    <s v="R1012"/>
    <n v="34"/>
    <n v="40.81"/>
  </r>
  <r>
    <x v="858"/>
    <s v="Merino,"/>
    <n v="24.605"/>
    <x v="486"/>
    <s v="No"/>
    <x v="0"/>
    <x v="0"/>
    <x v="0"/>
    <x v="1"/>
    <x v="2"/>
    <x v="0"/>
    <n v="11"/>
    <s v="Aug"/>
    <n v="1987"/>
    <d v="1987-08-11T00:00:00"/>
    <n v="7106.81"/>
    <s v="tier - 2"/>
    <s v="tier - 1"/>
    <s v="R1012"/>
    <n v="39"/>
    <n v="24.605"/>
  </r>
  <r>
    <x v="859"/>
    <s v="Baird,"/>
    <n v="21.47"/>
    <x v="488"/>
    <s v="No"/>
    <x v="0"/>
    <x v="0"/>
    <x v="0"/>
    <x v="1"/>
    <x v="2"/>
    <x v="0"/>
    <n v="29"/>
    <s v="Jun"/>
    <n v="1968"/>
    <d v="1968-06-29T00:00:00"/>
    <n v="7125.25"/>
    <s v="tier - 3"/>
    <s v="tier - 2"/>
    <s v="R1013"/>
    <n v="58"/>
    <n v="21.47"/>
  </r>
  <r>
    <x v="860"/>
    <s v="Locatelli,"/>
    <n v="52.89"/>
    <x v="98"/>
    <s v="Yes"/>
    <x v="0"/>
    <x v="0"/>
    <x v="1"/>
    <x v="1"/>
    <x v="0"/>
    <x v="2"/>
    <n v="1"/>
    <s v="Aug"/>
    <n v="1993"/>
    <d v="1993-08-01T00:00:00"/>
    <n v="7128.64"/>
    <s v="tier - 2"/>
    <s v="tier - 2"/>
    <s v="R1021"/>
    <n v="33"/>
    <n v="52.89"/>
  </r>
  <r>
    <x v="861"/>
    <s v="Brake,"/>
    <n v="32.965000000000003"/>
    <x v="259"/>
    <s v="Yes"/>
    <x v="0"/>
    <x v="0"/>
    <x v="1"/>
    <x v="1"/>
    <x v="0"/>
    <x v="1"/>
    <n v="7"/>
    <s v="Jul"/>
    <n v="1984"/>
    <d v="1984-07-07T00:00:00"/>
    <n v="7133.9"/>
    <s v="tier - 2"/>
    <s v="tier - 1"/>
    <s v="R1024"/>
    <n v="42"/>
    <n v="32.965000000000003"/>
  </r>
  <r>
    <x v="862"/>
    <s v="Jacobs,"/>
    <n v="36.799999999999997"/>
    <x v="471"/>
    <s v="No"/>
    <x v="0"/>
    <x v="1"/>
    <x v="1"/>
    <x v="1"/>
    <x v="0"/>
    <x v="2"/>
    <n v="8"/>
    <s v="Aug"/>
    <n v="1999"/>
    <d v="1999-08-08T00:00:00"/>
    <n v="7144.4"/>
    <s v="tier - 2"/>
    <s v="tier - 1"/>
    <s v="R1022"/>
    <n v="27"/>
    <n v="36.799999999999997"/>
  </r>
  <r>
    <x v="863"/>
    <s v="Vaught,"/>
    <n v="34.299999999999997"/>
    <x v="189"/>
    <s v="No"/>
    <x v="0"/>
    <x v="0"/>
    <x v="1"/>
    <x v="1"/>
    <x v="0"/>
    <x v="2"/>
    <n v="21"/>
    <s v="Nov"/>
    <n v="1984"/>
    <d v="1984-11-21T00:00:00"/>
    <n v="7144.86"/>
    <s v="tier - 2"/>
    <s v="tier - 2"/>
    <s v="R1024"/>
    <n v="42"/>
    <n v="34.299999999999997"/>
  </r>
  <r>
    <x v="864"/>
    <s v="Monteleone,"/>
    <n v="35.244999999999997"/>
    <x v="366"/>
    <s v="No"/>
    <x v="0"/>
    <x v="0"/>
    <x v="0"/>
    <x v="1"/>
    <x v="0"/>
    <x v="2"/>
    <n v="24"/>
    <s v="Jun"/>
    <n v="1976"/>
    <d v="1976-06-24T00:00:00"/>
    <n v="7147.11"/>
    <s v="tier - 3"/>
    <s v="tier - 2"/>
    <s v="R1011"/>
    <n v="50"/>
    <n v="35.244999999999997"/>
  </r>
  <r>
    <x v="865"/>
    <s v="Verdugo,"/>
    <n v="26.23"/>
    <x v="396"/>
    <s v="No"/>
    <x v="0"/>
    <x v="0"/>
    <x v="0"/>
    <x v="1"/>
    <x v="1"/>
    <x v="0"/>
    <n v="30"/>
    <s v="Jul"/>
    <n v="1978"/>
    <d v="1978-07-30T00:00:00"/>
    <n v="7147.47"/>
    <s v="tier - 2"/>
    <s v="tier - 3"/>
    <s v="R1013"/>
    <n v="48"/>
    <n v="26.23"/>
  </r>
  <r>
    <x v="866"/>
    <s v="Sellers,"/>
    <n v="36.1"/>
    <x v="120"/>
    <s v="Yes"/>
    <x v="0"/>
    <x v="0"/>
    <x v="1"/>
    <x v="1"/>
    <x v="0"/>
    <x v="2"/>
    <n v="29"/>
    <s v="Jun"/>
    <n v="1984"/>
    <d v="1984-06-29T00:00:00"/>
    <n v="7151.09"/>
    <s v="tier - 2"/>
    <s v="tier - 2"/>
    <s v="R1011"/>
    <n v="42"/>
    <n v="36.1"/>
  </r>
  <r>
    <x v="867"/>
    <s v="Bowman,"/>
    <n v="37.1"/>
    <x v="489"/>
    <s v="Yes"/>
    <x v="0"/>
    <x v="1"/>
    <x v="1"/>
    <x v="1"/>
    <x v="0"/>
    <x v="0"/>
    <n v="6"/>
    <s v="Sep"/>
    <n v="1978"/>
    <d v="1978-09-06T00:00:00"/>
    <n v="7152.67"/>
    <s v="tier - 3"/>
    <s v="tier - 2"/>
    <s v="R1013"/>
    <n v="48"/>
    <n v="37.1"/>
  </r>
  <r>
    <x v="868"/>
    <s v="Marley,"/>
    <n v="27.5"/>
    <x v="490"/>
    <s v="Yes"/>
    <x v="0"/>
    <x v="1"/>
    <x v="1"/>
    <x v="1"/>
    <x v="1"/>
    <x v="0"/>
    <n v="17"/>
    <s v="Jul"/>
    <n v="1981"/>
    <d v="1981-07-17T00:00:00"/>
    <n v="7153.55"/>
    <s v="tier - 2"/>
    <s v="tier - 1"/>
    <s v="R1012"/>
    <n v="45"/>
    <n v="27.5"/>
  </r>
  <r>
    <x v="869"/>
    <s v="Grey,"/>
    <n v="24.7"/>
    <x v="491"/>
    <s v="Yes"/>
    <x v="0"/>
    <x v="1"/>
    <x v="1"/>
    <x v="1"/>
    <x v="2"/>
    <x v="0"/>
    <n v="22"/>
    <s v="Jun"/>
    <n v="1980"/>
    <d v="1980-06-22T00:00:00"/>
    <n v="7160.09"/>
    <s v="tier - 2"/>
    <s v="tier - 2"/>
    <s v="R1011"/>
    <n v="46"/>
    <n v="24.7"/>
  </r>
  <r>
    <x v="870"/>
    <s v="O'Rourke,"/>
    <n v="26.78"/>
    <x v="492"/>
    <s v="Yes"/>
    <x v="0"/>
    <x v="1"/>
    <x v="1"/>
    <x v="1"/>
    <x v="1"/>
    <x v="0"/>
    <n v="7"/>
    <s v="Oct"/>
    <n v="1980"/>
    <d v="1980-10-07T00:00:00"/>
    <n v="7160.33"/>
    <s v="tier - 2"/>
    <s v="tier - 1"/>
    <s v="R1013"/>
    <n v="46"/>
    <n v="26.78"/>
  </r>
  <r>
    <x v="871"/>
    <s v="Fatehali,"/>
    <n v="45.8"/>
    <x v="239"/>
    <s v="No"/>
    <x v="0"/>
    <x v="0"/>
    <x v="0"/>
    <x v="1"/>
    <x v="0"/>
    <x v="2"/>
    <n v="30"/>
    <s v="Sep"/>
    <n v="1980"/>
    <d v="1980-09-30T00:00:00"/>
    <n v="7162.01"/>
    <s v="tier - 2"/>
    <s v="tier - 3"/>
    <s v="R1013"/>
    <n v="46"/>
    <n v="45.8"/>
  </r>
  <r>
    <x v="872"/>
    <s v="Piza-Taylor,"/>
    <n v="29"/>
    <x v="493"/>
    <s v="Yes"/>
    <x v="0"/>
    <x v="0"/>
    <x v="1"/>
    <x v="1"/>
    <x v="1"/>
    <x v="2"/>
    <n v="16"/>
    <s v="Aug"/>
    <n v="1982"/>
    <d v="1982-08-16T00:00:00"/>
    <n v="7173.36"/>
    <s v="tier - 3"/>
    <s v="tier - 2"/>
    <s v="R1016"/>
    <n v="44"/>
    <n v="29"/>
  </r>
  <r>
    <x v="873"/>
    <s v="Cavanaugh,"/>
    <n v="33.534999999999997"/>
    <x v="294"/>
    <s v="Yes"/>
    <x v="0"/>
    <x v="0"/>
    <x v="0"/>
    <x v="1"/>
    <x v="0"/>
    <x v="0"/>
    <n v="19"/>
    <s v="Jul"/>
    <n v="1975"/>
    <d v="1975-07-19T00:00:00"/>
    <n v="7175.51"/>
    <s v="tier - 2"/>
    <s v="tier - 3"/>
    <s v="R1013"/>
    <n v="51"/>
    <n v="33.534999999999997"/>
  </r>
  <r>
    <x v="874"/>
    <s v="Amako,"/>
    <n v="32.774999999999999"/>
    <x v="68"/>
    <s v="Yes"/>
    <x v="0"/>
    <x v="0"/>
    <x v="0"/>
    <x v="1"/>
    <x v="0"/>
    <x v="0"/>
    <n v="26"/>
    <s v="Aug"/>
    <n v="1968"/>
    <d v="1968-08-26T00:00:00"/>
    <n v="7179.52"/>
    <s v="tier - 3"/>
    <s v="tier - 3"/>
    <s v="R1013"/>
    <n v="58"/>
    <n v="32.774999999999999"/>
  </r>
  <r>
    <x v="875"/>
    <s v="Musa,"/>
    <n v="37.51"/>
    <x v="334"/>
    <s v="Yes"/>
    <x v="0"/>
    <x v="0"/>
    <x v="1"/>
    <x v="1"/>
    <x v="0"/>
    <x v="2"/>
    <n v="14"/>
    <s v="Sep"/>
    <n v="1982"/>
    <d v="1982-09-14T00:00:00"/>
    <n v="7196.87"/>
    <s v="tier - 3"/>
    <s v="tier - 2"/>
    <s v="R1011"/>
    <n v="44"/>
    <n v="37.51"/>
  </r>
  <r>
    <x v="876"/>
    <s v="Phillippi,"/>
    <n v="39.86"/>
    <x v="494"/>
    <s v="Yes"/>
    <x v="0"/>
    <x v="0"/>
    <x v="1"/>
    <x v="1"/>
    <x v="0"/>
    <x v="0"/>
    <n v="11"/>
    <s v="Aug"/>
    <n v="1983"/>
    <d v="1983-08-11T00:00:00"/>
    <n v="7201.7"/>
    <s v="tier - 2"/>
    <s v="tier - 3"/>
    <s v="R1012"/>
    <n v="43"/>
    <n v="39.86"/>
  </r>
  <r>
    <x v="877"/>
    <s v="Hoskins,"/>
    <n v="42.13"/>
    <x v="495"/>
    <s v="No"/>
    <x v="0"/>
    <x v="0"/>
    <x v="0"/>
    <x v="1"/>
    <x v="0"/>
    <x v="2"/>
    <n v="21"/>
    <s v="Nov"/>
    <n v="1983"/>
    <d v="1983-11-21T00:00:00"/>
    <n v="7209.49"/>
    <s v="tier - 2"/>
    <s v="tier - 3"/>
    <s v="R1012"/>
    <n v="43"/>
    <n v="42.13"/>
  </r>
  <r>
    <x v="878"/>
    <s v="Imbalzano"/>
    <n v="35.99"/>
    <x v="496"/>
    <s v="No"/>
    <x v="0"/>
    <x v="0"/>
    <x v="0"/>
    <x v="1"/>
    <x v="0"/>
    <x v="0"/>
    <n v="28"/>
    <s v="Jun"/>
    <n v="1991"/>
    <d v="1991-06-28T00:00:00"/>
    <n v="7220.25"/>
    <s v="tier - 2"/>
    <s v="tier - 2"/>
    <s v="R1021"/>
    <n v="35"/>
    <n v="35.99"/>
  </r>
  <r>
    <x v="879"/>
    <s v="Triedman,"/>
    <n v="35.200000000000003"/>
    <x v="55"/>
    <s v="Yes"/>
    <x v="0"/>
    <x v="1"/>
    <x v="1"/>
    <x v="1"/>
    <x v="0"/>
    <x v="0"/>
    <n v="15"/>
    <s v="Sep"/>
    <n v="1977"/>
    <d v="1977-09-15T00:00:00"/>
    <n v="7222.79"/>
    <s v="tier - 3"/>
    <s v="tier - 3"/>
    <s v="R1012"/>
    <n v="49"/>
    <n v="35.200000000000003"/>
  </r>
  <r>
    <x v="880"/>
    <s v="Lovuolo,"/>
    <n v="29.91"/>
    <x v="122"/>
    <s v="Yes"/>
    <x v="0"/>
    <x v="0"/>
    <x v="1"/>
    <x v="1"/>
    <x v="1"/>
    <x v="2"/>
    <n v="13"/>
    <s v="Jul"/>
    <n v="1986"/>
    <d v="1986-07-13T00:00:00"/>
    <n v="7228.22"/>
    <s v="tier - 2"/>
    <s v="tier - 1"/>
    <s v="R1024"/>
    <n v="40"/>
    <n v="29.91"/>
  </r>
  <r>
    <x v="881"/>
    <s v="Chung,"/>
    <n v="36.479999999999997"/>
    <x v="203"/>
    <s v="Yes"/>
    <x v="0"/>
    <x v="0"/>
    <x v="1"/>
    <x v="1"/>
    <x v="0"/>
    <x v="2"/>
    <n v="2"/>
    <s v="Sep"/>
    <n v="1986"/>
    <d v="1986-09-02T00:00:00"/>
    <n v="7243.81"/>
    <s v="tier - 2"/>
    <s v="tier - 3"/>
    <s v="R1013"/>
    <n v="40"/>
    <n v="36.479999999999997"/>
  </r>
  <r>
    <x v="882"/>
    <s v="Newsom,"/>
    <n v="27.5"/>
    <x v="402"/>
    <s v="Yes"/>
    <x v="0"/>
    <x v="1"/>
    <x v="1"/>
    <x v="1"/>
    <x v="1"/>
    <x v="0"/>
    <n v="24"/>
    <s v="Jul"/>
    <n v="1982"/>
    <d v="1982-07-24T00:00:00"/>
    <n v="7248.71"/>
    <s v="tier - 2"/>
    <s v="tier - 1"/>
    <s v="R1013"/>
    <n v="44"/>
    <n v="27.5"/>
  </r>
  <r>
    <x v="883"/>
    <s v="Harrington,"/>
    <n v="33.44"/>
    <x v="229"/>
    <s v="Yes"/>
    <x v="0"/>
    <x v="0"/>
    <x v="1"/>
    <x v="1"/>
    <x v="0"/>
    <x v="1"/>
    <n v="14"/>
    <s v="Aug"/>
    <n v="1981"/>
    <d v="1981-08-14T00:00:00"/>
    <n v="7256.72"/>
    <s v="tier - 3"/>
    <s v="tier - 2"/>
    <s v="R1012"/>
    <n v="45"/>
    <n v="33.44"/>
  </r>
  <r>
    <x v="884"/>
    <s v="Hoffman,"/>
    <n v="28.215"/>
    <x v="109"/>
    <s v="Yes"/>
    <x v="0"/>
    <x v="0"/>
    <x v="1"/>
    <x v="1"/>
    <x v="1"/>
    <x v="1"/>
    <n v="13"/>
    <s v="Jun"/>
    <n v="1981"/>
    <d v="1981-06-13T00:00:00"/>
    <n v="7261.74"/>
    <s v="tier - 3"/>
    <s v="tier - 3"/>
    <s v="R1012"/>
    <n v="45"/>
    <n v="28.215"/>
  </r>
  <r>
    <x v="885"/>
    <s v="Van"/>
    <n v="27.17"/>
    <x v="85"/>
    <s v="Yes"/>
    <x v="0"/>
    <x v="0"/>
    <x v="1"/>
    <x v="1"/>
    <x v="1"/>
    <x v="1"/>
    <n v="25"/>
    <s v="Oct"/>
    <n v="1973"/>
    <d v="1973-10-25T00:00:00"/>
    <n v="7265.58"/>
    <s v="tier - 2"/>
    <s v="tier - 2"/>
    <s v="R1013"/>
    <n v="53"/>
    <n v="27.17"/>
  </r>
  <r>
    <x v="886"/>
    <s v="Feehley,"/>
    <n v="35.380000000000003"/>
    <x v="65"/>
    <s v="No"/>
    <x v="0"/>
    <x v="0"/>
    <x v="0"/>
    <x v="1"/>
    <x v="0"/>
    <x v="1"/>
    <n v="4"/>
    <s v="Aug"/>
    <n v="1981"/>
    <d v="1981-08-04T00:00:00"/>
    <n v="7265.7"/>
    <s v="tier - 3"/>
    <s v="tier - 3"/>
    <s v="R1012"/>
    <n v="45"/>
    <n v="35.380000000000003"/>
  </r>
  <r>
    <x v="887"/>
    <s v="Ashworth,"/>
    <n v="43.48"/>
    <x v="149"/>
    <s v="No"/>
    <x v="0"/>
    <x v="0"/>
    <x v="0"/>
    <x v="1"/>
    <x v="0"/>
    <x v="1"/>
    <n v="18"/>
    <s v="Dec"/>
    <n v="1976"/>
    <d v="1976-12-18T00:00:00"/>
    <n v="7273.02"/>
    <s v="tier - 2"/>
    <s v="tier - 1"/>
    <s v="R1013"/>
    <n v="50"/>
    <n v="43.48"/>
  </r>
  <r>
    <x v="888"/>
    <s v="Hansen,"/>
    <n v="41.73"/>
    <x v="178"/>
    <s v="No"/>
    <x v="0"/>
    <x v="0"/>
    <x v="1"/>
    <x v="1"/>
    <x v="0"/>
    <x v="1"/>
    <n v="2"/>
    <s v="Nov"/>
    <n v="1985"/>
    <d v="1985-11-02T00:00:00"/>
    <n v="7281.51"/>
    <s v="tier - 2"/>
    <s v="tier - 1"/>
    <s v="R1012"/>
    <n v="41"/>
    <n v="41.73"/>
  </r>
  <r>
    <x v="889"/>
    <s v="Czyz,"/>
    <n v="28.9"/>
    <x v="497"/>
    <s v="No"/>
    <x v="0"/>
    <x v="0"/>
    <x v="0"/>
    <x v="1"/>
    <x v="1"/>
    <x v="0"/>
    <n v="26"/>
    <s v="Dec"/>
    <n v="1966"/>
    <d v="1966-12-26T00:00:00"/>
    <n v="7302.46"/>
    <s v="tier - 3"/>
    <s v="tier - 1"/>
    <s v="R1012"/>
    <n v="60"/>
    <n v="28.9"/>
  </r>
  <r>
    <x v="890"/>
    <s v="Bauder,"/>
    <n v="25.74"/>
    <x v="467"/>
    <s v="No"/>
    <x v="0"/>
    <x v="0"/>
    <x v="0"/>
    <x v="1"/>
    <x v="1"/>
    <x v="0"/>
    <n v="6"/>
    <s v="Jun"/>
    <n v="1965"/>
    <d v="1965-06-06T00:00:00"/>
    <n v="7304.65"/>
    <s v="tier - 3"/>
    <s v="tier - 3"/>
    <s v="R1013"/>
    <n v="61"/>
    <n v="25.74"/>
  </r>
  <r>
    <x v="891"/>
    <s v="Mendoza,"/>
    <n v="36.06"/>
    <x v="265"/>
    <s v="No"/>
    <x v="0"/>
    <x v="0"/>
    <x v="0"/>
    <x v="1"/>
    <x v="0"/>
    <x v="0"/>
    <n v="25"/>
    <s v="Jun"/>
    <n v="1965"/>
    <d v="1965-06-25T00:00:00"/>
    <n v="7318.21"/>
    <s v="tier - 3"/>
    <s v="tier - 1"/>
    <s v="R1013"/>
    <n v="61"/>
    <n v="36.06"/>
  </r>
  <r>
    <x v="892"/>
    <s v="Glass,"/>
    <n v="43.28"/>
    <x v="498"/>
    <s v="No"/>
    <x v="0"/>
    <x v="0"/>
    <x v="0"/>
    <x v="1"/>
    <x v="0"/>
    <x v="2"/>
    <n v="11"/>
    <s v="Aug"/>
    <n v="1972"/>
    <d v="1972-08-11T00:00:00"/>
    <n v="7318.22"/>
    <s v="tier - 2"/>
    <s v="tier - 3"/>
    <s v="R1012"/>
    <n v="54"/>
    <n v="43.28"/>
  </r>
  <r>
    <x v="893"/>
    <s v="Butcher,"/>
    <n v="28.785"/>
    <x v="499"/>
    <s v="Yes"/>
    <x v="0"/>
    <x v="1"/>
    <x v="1"/>
    <x v="1"/>
    <x v="1"/>
    <x v="0"/>
    <n v="11"/>
    <s v="Jul"/>
    <n v="1965"/>
    <d v="1965-07-11T00:00:00"/>
    <n v="7322.86"/>
    <s v="tier - 3"/>
    <s v="tier - 3"/>
    <s v="R1012"/>
    <n v="61"/>
    <n v="28.785"/>
  </r>
  <r>
    <x v="894"/>
    <s v="Traiser,"/>
    <n v="25.46"/>
    <x v="451"/>
    <s v="Yes"/>
    <x v="0"/>
    <x v="1"/>
    <x v="1"/>
    <x v="1"/>
    <x v="1"/>
    <x v="0"/>
    <n v="15"/>
    <s v="Nov"/>
    <n v="2004"/>
    <d v="2004-11-15T00:00:00"/>
    <n v="7323.73"/>
    <s v="tier - 2"/>
    <s v="tier - 2"/>
    <s v="R1024"/>
    <n v="22"/>
    <n v="25.46"/>
  </r>
  <r>
    <x v="895"/>
    <s v="Mudy-Mader,"/>
    <n v="30.8"/>
    <x v="398"/>
    <s v="No"/>
    <x v="0"/>
    <x v="0"/>
    <x v="0"/>
    <x v="1"/>
    <x v="0"/>
    <x v="0"/>
    <n v="19"/>
    <s v="Jun"/>
    <n v="1979"/>
    <d v="1979-06-19T00:00:00"/>
    <n v="7325.05"/>
    <s v="tier - 2"/>
    <s v="tier - 3"/>
    <s v="R1024"/>
    <n v="47"/>
    <n v="30.8"/>
  </r>
  <r>
    <x v="896"/>
    <s v="Rogers,"/>
    <n v="28.88"/>
    <x v="20"/>
    <s v="No"/>
    <x v="0"/>
    <x v="0"/>
    <x v="0"/>
    <x v="1"/>
    <x v="1"/>
    <x v="0"/>
    <n v="25"/>
    <s v="Jul"/>
    <n v="1984"/>
    <d v="1984-07-25T00:00:00"/>
    <n v="7325.47"/>
    <s v="tier - 2"/>
    <s v="tier - 1"/>
    <s v="R1012"/>
    <n v="42"/>
    <n v="28.88"/>
  </r>
  <r>
    <x v="897"/>
    <s v="Woo,"/>
    <n v="23"/>
    <x v="500"/>
    <s v="No"/>
    <x v="0"/>
    <x v="0"/>
    <x v="0"/>
    <x v="1"/>
    <x v="2"/>
    <x v="0"/>
    <n v="19"/>
    <s v="Sep"/>
    <n v="1979"/>
    <d v="1979-09-19T00:00:00"/>
    <n v="7337.75"/>
    <s v="tier - 2"/>
    <s v="tier - 3"/>
    <s v="R1011"/>
    <n v="47"/>
    <n v="23"/>
  </r>
  <r>
    <x v="898"/>
    <s v="Walsh,"/>
    <n v="38.25"/>
    <x v="58"/>
    <s v="No"/>
    <x v="0"/>
    <x v="0"/>
    <x v="1"/>
    <x v="1"/>
    <x v="0"/>
    <x v="1"/>
    <n v="15"/>
    <s v="Jun"/>
    <n v="1986"/>
    <d v="1986-06-15T00:00:00"/>
    <n v="7339.93"/>
    <s v="tier - 2"/>
    <s v="tier - 2"/>
    <s v="R1012"/>
    <n v="40"/>
    <n v="38.25"/>
  </r>
  <r>
    <x v="899"/>
    <s v="White,"/>
    <n v="39.25"/>
    <x v="12"/>
    <s v="Yes"/>
    <x v="0"/>
    <x v="0"/>
    <x v="1"/>
    <x v="1"/>
    <x v="0"/>
    <x v="0"/>
    <n v="18"/>
    <s v="Dec"/>
    <n v="1977"/>
    <d v="1977-12-18T00:00:00"/>
    <n v="7345.08"/>
    <s v="tier - 2"/>
    <s v="tier - 1"/>
    <s v="R1011"/>
    <n v="49"/>
    <n v="39.25"/>
  </r>
  <r>
    <x v="900"/>
    <s v="Sheppard,"/>
    <n v="26.6"/>
    <x v="103"/>
    <s v="Yes"/>
    <x v="0"/>
    <x v="0"/>
    <x v="1"/>
    <x v="1"/>
    <x v="1"/>
    <x v="2"/>
    <n v="26"/>
    <s v="Jun"/>
    <n v="1979"/>
    <d v="1979-06-26T00:00:00"/>
    <n v="7345.73"/>
    <s v="tier - 2"/>
    <s v="tier - 1"/>
    <s v="R1013"/>
    <n v="47"/>
    <n v="26.6"/>
  </r>
  <r>
    <x v="901"/>
    <s v="Doran,"/>
    <n v="35.700000000000003"/>
    <x v="81"/>
    <s v="No"/>
    <x v="0"/>
    <x v="1"/>
    <x v="1"/>
    <x v="1"/>
    <x v="0"/>
    <x v="2"/>
    <n v="1"/>
    <s v="Dec"/>
    <n v="1977"/>
    <d v="1977-12-01T00:00:00"/>
    <n v="7348.14"/>
    <s v="tier - 2"/>
    <s v="tier - 1"/>
    <s v="R1011"/>
    <n v="49"/>
    <n v="35.700000000000003"/>
  </r>
  <r>
    <x v="902"/>
    <s v="Labrosse,"/>
    <n v="20.100000000000001"/>
    <x v="130"/>
    <s v="No"/>
    <x v="0"/>
    <x v="0"/>
    <x v="0"/>
    <x v="1"/>
    <x v="2"/>
    <x v="0"/>
    <n v="5"/>
    <s v="Oct"/>
    <n v="1993"/>
    <d v="1993-10-05T00:00:00"/>
    <n v="7349.12"/>
    <s v="tier - 2"/>
    <s v="tier - 2"/>
    <s v="R1021"/>
    <n v="33"/>
    <n v="20.100000000000001"/>
  </r>
  <r>
    <x v="903"/>
    <s v="Thomas,"/>
    <n v="22.23"/>
    <x v="501"/>
    <s v="No"/>
    <x v="0"/>
    <x v="0"/>
    <x v="0"/>
    <x v="1"/>
    <x v="2"/>
    <x v="0"/>
    <n v="21"/>
    <s v="Jun"/>
    <n v="1983"/>
    <d v="1983-06-21T00:00:00"/>
    <n v="7357.49"/>
    <s v="tier - 2"/>
    <s v="tier - 2"/>
    <s v="R1012"/>
    <n v="43"/>
    <n v="22.23"/>
  </r>
  <r>
    <x v="904"/>
    <s v="Lesniak,"/>
    <n v="36.47"/>
    <x v="200"/>
    <s v="No"/>
    <x v="0"/>
    <x v="0"/>
    <x v="0"/>
    <x v="1"/>
    <x v="0"/>
    <x v="1"/>
    <n v="16"/>
    <s v="Jul"/>
    <n v="1981"/>
    <d v="1981-07-16T00:00:00"/>
    <n v="7358.18"/>
    <s v="tier - 2"/>
    <s v="tier - 3"/>
    <s v="R1024"/>
    <n v="45"/>
    <n v="36.47"/>
  </r>
  <r>
    <x v="905"/>
    <s v="Prowse,"/>
    <n v="49.64"/>
    <x v="70"/>
    <s v="No"/>
    <x v="0"/>
    <x v="1"/>
    <x v="1"/>
    <x v="1"/>
    <x v="0"/>
    <x v="2"/>
    <n v="9"/>
    <s v="Dec"/>
    <n v="1965"/>
    <d v="1965-12-09T00:00:00"/>
    <n v="7362.31"/>
    <s v="tier - 3"/>
    <s v="tier - 3"/>
    <s v="R1013"/>
    <n v="61"/>
    <n v="49.64"/>
  </r>
  <r>
    <x v="906"/>
    <s v="Seigel,"/>
    <n v="36.799999999999997"/>
    <x v="208"/>
    <s v="Yes"/>
    <x v="0"/>
    <x v="1"/>
    <x v="1"/>
    <x v="1"/>
    <x v="0"/>
    <x v="1"/>
    <n v="24"/>
    <s v="Nov"/>
    <n v="1981"/>
    <d v="1981-11-24T00:00:00"/>
    <n v="7371.77"/>
    <s v="tier - 2"/>
    <s v="tier - 1"/>
    <s v="R1011"/>
    <n v="45"/>
    <n v="36.799999999999997"/>
  </r>
  <r>
    <x v="907"/>
    <s v="Blas,"/>
    <n v="33.880000000000003"/>
    <x v="384"/>
    <s v="Yes"/>
    <x v="0"/>
    <x v="0"/>
    <x v="0"/>
    <x v="1"/>
    <x v="0"/>
    <x v="0"/>
    <n v="22"/>
    <s v="Jul"/>
    <n v="1993"/>
    <d v="1993-07-22T00:00:00"/>
    <n v="7388.85"/>
    <s v="tier - 2"/>
    <s v="tier - 2"/>
    <s v="R1026"/>
    <n v="33"/>
    <n v="33.880000000000003"/>
  </r>
  <r>
    <x v="908"/>
    <s v="Simpson,"/>
    <n v="32.01"/>
    <x v="31"/>
    <s v="Yes"/>
    <x v="0"/>
    <x v="0"/>
    <x v="1"/>
    <x v="1"/>
    <x v="0"/>
    <x v="2"/>
    <n v="5"/>
    <s v="Dec"/>
    <n v="1965"/>
    <d v="1965-12-05T00:00:00"/>
    <n v="7403.98"/>
    <s v="tier - 3"/>
    <s v="tier - 2"/>
    <s v="R1013"/>
    <n v="61"/>
    <n v="32.01"/>
  </r>
  <r>
    <x v="909"/>
    <s v="Gierman,"/>
    <n v="33.630000000000003"/>
    <x v="271"/>
    <s v="No"/>
    <x v="0"/>
    <x v="0"/>
    <x v="0"/>
    <x v="1"/>
    <x v="0"/>
    <x v="0"/>
    <n v="19"/>
    <s v="Sep"/>
    <n v="1983"/>
    <d v="1983-09-19T00:00:00"/>
    <n v="7418.52"/>
    <s v="tier - 2"/>
    <s v="tier - 2"/>
    <s v="R1011"/>
    <n v="43"/>
    <n v="33.630000000000003"/>
  </r>
  <r>
    <x v="910"/>
    <s v="Jeuland,"/>
    <n v="34.865000000000002"/>
    <x v="352"/>
    <s v="Yes"/>
    <x v="0"/>
    <x v="0"/>
    <x v="1"/>
    <x v="1"/>
    <x v="0"/>
    <x v="2"/>
    <n v="12"/>
    <s v="Nov"/>
    <n v="1978"/>
    <d v="1978-11-12T00:00:00"/>
    <n v="7419.48"/>
    <s v="tier - 2"/>
    <s v="tier - 2"/>
    <s v="R1012"/>
    <n v="48"/>
    <n v="34.865000000000002"/>
  </r>
  <r>
    <x v="911"/>
    <s v="Chorney,"/>
    <n v="43.11"/>
    <x v="372"/>
    <s v="No"/>
    <x v="0"/>
    <x v="0"/>
    <x v="0"/>
    <x v="1"/>
    <x v="0"/>
    <x v="2"/>
    <n v="2"/>
    <s v="Dec"/>
    <n v="1978"/>
    <d v="1978-12-02T00:00:00"/>
    <n v="7421.19"/>
    <s v="tier - 2"/>
    <s v="tier - 3"/>
    <s v="R1012"/>
    <n v="48"/>
    <n v="43.11"/>
  </r>
  <r>
    <x v="912"/>
    <s v="Rook,"/>
    <n v="30.305"/>
    <x v="159"/>
    <s v="Yes"/>
    <x v="0"/>
    <x v="0"/>
    <x v="1"/>
    <x v="1"/>
    <x v="0"/>
    <x v="2"/>
    <n v="25"/>
    <s v="Aug"/>
    <n v="1977"/>
    <d v="1977-08-25T00:00:00"/>
    <n v="7441.05"/>
    <s v="tier - 3"/>
    <s v="tier - 2"/>
    <s v="R1011"/>
    <n v="49"/>
    <n v="30.305"/>
  </r>
  <r>
    <x v="913"/>
    <s v="Wright,"/>
    <n v="25.175000000000001"/>
    <x v="252"/>
    <s v="Yes"/>
    <x v="0"/>
    <x v="0"/>
    <x v="1"/>
    <x v="1"/>
    <x v="1"/>
    <x v="2"/>
    <n v="1"/>
    <s v="Sep"/>
    <n v="1979"/>
    <d v="1979-09-01T00:00:00"/>
    <n v="7441.5"/>
    <s v="tier - 3"/>
    <s v="tier - 2"/>
    <s v="R1011"/>
    <n v="47"/>
    <n v="25.175000000000001"/>
  </r>
  <r>
    <x v="914"/>
    <s v="Chin,"/>
    <n v="26.8"/>
    <x v="251"/>
    <s v="Yes"/>
    <x v="0"/>
    <x v="0"/>
    <x v="1"/>
    <x v="1"/>
    <x v="1"/>
    <x v="2"/>
    <n v="7"/>
    <s v="Jul"/>
    <n v="1980"/>
    <d v="1980-07-07T00:00:00"/>
    <n v="7443.64"/>
    <s v="tier - 2"/>
    <s v="tier - 3"/>
    <s v="R1012"/>
    <n v="46"/>
    <n v="26.8"/>
  </r>
  <r>
    <x v="915"/>
    <s v="White,"/>
    <n v="21.78"/>
    <x v="351"/>
    <s v="No"/>
    <x v="1"/>
    <x v="0"/>
    <x v="1"/>
    <x v="1"/>
    <x v="2"/>
    <x v="2"/>
    <n v="25"/>
    <s v="Sep"/>
    <n v="1977"/>
    <d v="1977-09-25T00:00:00"/>
    <n v="7445.92"/>
    <s v="tier - 3"/>
    <s v="tier - 1"/>
    <s v="R1011"/>
    <n v="49"/>
    <n v="21.78"/>
  </r>
  <r>
    <x v="916"/>
    <s v="Savage,"/>
    <n v="30.14"/>
    <x v="305"/>
    <s v="Yes"/>
    <x v="0"/>
    <x v="0"/>
    <x v="0"/>
    <x v="1"/>
    <x v="0"/>
    <x v="0"/>
    <n v="30"/>
    <s v="Sep"/>
    <n v="1977"/>
    <d v="1977-09-30T00:00:00"/>
    <n v="7448.4"/>
    <s v="tier - 3"/>
    <s v="tier - 3"/>
    <s v="R1017"/>
    <n v="49"/>
    <n v="30.14"/>
  </r>
  <r>
    <x v="917"/>
    <s v="Hitchings,"/>
    <n v="29.7"/>
    <x v="421"/>
    <s v="Yes"/>
    <x v="0"/>
    <x v="0"/>
    <x v="0"/>
    <x v="1"/>
    <x v="1"/>
    <x v="0"/>
    <n v="1"/>
    <s v="Jun"/>
    <n v="2001"/>
    <d v="2001-06-01T00:00:00"/>
    <n v="7450.36"/>
    <s v="tier - 2"/>
    <s v="tier - 2"/>
    <s v="R1012"/>
    <n v="25"/>
    <n v="29.7"/>
  </r>
  <r>
    <x v="918"/>
    <s v="Truitt,"/>
    <n v="32.395000000000003"/>
    <x v="502"/>
    <s v="Yes"/>
    <x v="0"/>
    <x v="0"/>
    <x v="0"/>
    <x v="1"/>
    <x v="0"/>
    <x v="0"/>
    <n v="4"/>
    <s v="Aug"/>
    <n v="1967"/>
    <d v="1967-08-04T00:00:00"/>
    <n v="7463.51"/>
    <s v="tier - 3"/>
    <s v="tier - 3"/>
    <s v="R1013"/>
    <n v="59"/>
    <n v="32.395000000000003"/>
  </r>
  <r>
    <x v="919"/>
    <s v="Chang,"/>
    <n v="36.64"/>
    <x v="278"/>
    <s v="No"/>
    <x v="0"/>
    <x v="0"/>
    <x v="0"/>
    <x v="1"/>
    <x v="0"/>
    <x v="0"/>
    <n v="14"/>
    <s v="Jun"/>
    <n v="1996"/>
    <d v="1996-06-14T00:00:00"/>
    <n v="7487.38"/>
    <s v="tier - 2"/>
    <s v="tier - 3"/>
    <s v="R1012"/>
    <n v="30"/>
    <n v="36.64"/>
  </r>
  <r>
    <x v="920"/>
    <s v="Frey,"/>
    <n v="39.049999999999997"/>
    <x v="173"/>
    <s v="Yes"/>
    <x v="0"/>
    <x v="0"/>
    <x v="1"/>
    <x v="1"/>
    <x v="0"/>
    <x v="2"/>
    <n v="15"/>
    <s v="Dec"/>
    <n v="1988"/>
    <d v="1988-12-15T00:00:00"/>
    <n v="7494.63"/>
    <s v="tier - 2"/>
    <s v="tier - 3"/>
    <s v="R1025"/>
    <n v="38"/>
    <n v="39.049999999999997"/>
  </r>
  <r>
    <x v="921"/>
    <s v="Krishna,"/>
    <n v="33.1"/>
    <x v="338"/>
    <s v="Yes"/>
    <x v="0"/>
    <x v="0"/>
    <x v="1"/>
    <x v="1"/>
    <x v="0"/>
    <x v="2"/>
    <n v="28"/>
    <s v="Oct"/>
    <n v="1997"/>
    <d v="1997-10-28T00:00:00"/>
    <n v="7504.3"/>
    <s v="tier - 2"/>
    <s v="tier - 1"/>
    <s v="R1012"/>
    <n v="29"/>
    <n v="33.1"/>
  </r>
  <r>
    <x v="922"/>
    <s v="Maher,"/>
    <n v="31.824999999999999"/>
    <x v="478"/>
    <s v="No"/>
    <x v="0"/>
    <x v="0"/>
    <x v="0"/>
    <x v="1"/>
    <x v="0"/>
    <x v="0"/>
    <n v="10"/>
    <s v="Jul"/>
    <n v="1983"/>
    <d v="1983-07-10T00:00:00"/>
    <n v="7512.27"/>
    <s v="tier - 3"/>
    <s v="tier - 2"/>
    <s v="R1011"/>
    <n v="43"/>
    <n v="31.824999999999999"/>
  </r>
  <r>
    <x v="923"/>
    <s v="Boivin,"/>
    <n v="29"/>
    <x v="69"/>
    <s v="Yes"/>
    <x v="0"/>
    <x v="0"/>
    <x v="1"/>
    <x v="1"/>
    <x v="1"/>
    <x v="2"/>
    <n v="18"/>
    <s v="Oct"/>
    <n v="1978"/>
    <d v="1978-10-18T00:00:00"/>
    <n v="7518.03"/>
    <s v="tier - 2"/>
    <s v="tier - 3"/>
    <s v="R1012"/>
    <n v="48"/>
    <n v="29"/>
  </r>
  <r>
    <x v="924"/>
    <s v="McAlister,"/>
    <n v="30.495000000000001"/>
    <x v="64"/>
    <s v="No"/>
    <x v="0"/>
    <x v="0"/>
    <x v="0"/>
    <x v="1"/>
    <x v="0"/>
    <x v="0"/>
    <n v="10"/>
    <s v="Oct"/>
    <n v="1976"/>
    <d v="1976-10-10T00:00:00"/>
    <n v="7526.71"/>
    <s v="tier - 3"/>
    <s v="tier - 1"/>
    <s v="R1012"/>
    <n v="50"/>
    <n v="30.495000000000001"/>
  </r>
  <r>
    <x v="925"/>
    <s v="Akhmedova,"/>
    <n v="25.2"/>
    <x v="178"/>
    <s v="Yes"/>
    <x v="0"/>
    <x v="0"/>
    <x v="1"/>
    <x v="1"/>
    <x v="1"/>
    <x v="1"/>
    <n v="14"/>
    <s v="Dec"/>
    <n v="1978"/>
    <d v="1978-12-14T00:00:00"/>
    <n v="7531.7"/>
    <s v="tier - 2"/>
    <s v="tier - 1"/>
    <s v="R1013"/>
    <n v="48"/>
    <n v="25.2"/>
  </r>
  <r>
    <x v="926"/>
    <s v="Tucker,"/>
    <n v="22.77"/>
    <x v="47"/>
    <s v="Yes"/>
    <x v="0"/>
    <x v="0"/>
    <x v="1"/>
    <x v="1"/>
    <x v="2"/>
    <x v="2"/>
    <n v="22"/>
    <s v="Aug"/>
    <n v="1984"/>
    <d v="1984-08-22T00:00:00"/>
    <n v="7537.16"/>
    <s v="tier - 2"/>
    <s v="tier - 2"/>
    <s v="R1012"/>
    <n v="42"/>
    <n v="22.77"/>
  </r>
  <r>
    <x v="927"/>
    <s v="Gramelspacher,"/>
    <n v="23.18"/>
    <x v="205"/>
    <s v="No"/>
    <x v="0"/>
    <x v="0"/>
    <x v="0"/>
    <x v="1"/>
    <x v="2"/>
    <x v="0"/>
    <n v="15"/>
    <s v="Dec"/>
    <n v="1988"/>
    <d v="1988-12-15T00:00:00"/>
    <n v="7538.52"/>
    <s v="tier - 2"/>
    <s v="tier - 2"/>
    <s v="R1012"/>
    <n v="38"/>
    <n v="23.18"/>
  </r>
  <r>
    <x v="928"/>
    <s v="Goldsmith,"/>
    <n v="35.409999999999997"/>
    <x v="251"/>
    <s v="No"/>
    <x v="0"/>
    <x v="0"/>
    <x v="0"/>
    <x v="1"/>
    <x v="0"/>
    <x v="2"/>
    <n v="14"/>
    <s v="Aug"/>
    <n v="1994"/>
    <d v="1994-08-14T00:00:00"/>
    <n v="7567.13"/>
    <s v="tier - 2"/>
    <s v="tier - 2"/>
    <s v="R1021"/>
    <n v="32"/>
    <n v="35.409999999999997"/>
  </r>
  <r>
    <x v="929"/>
    <s v="Tranter,"/>
    <n v="32.11"/>
    <x v="503"/>
    <s v="Yes"/>
    <x v="0"/>
    <x v="0"/>
    <x v="1"/>
    <x v="1"/>
    <x v="0"/>
    <x v="2"/>
    <n v="17"/>
    <s v="Jul"/>
    <n v="1967"/>
    <d v="1967-07-17T00:00:00"/>
    <n v="7585.62"/>
    <s v="tier - 3"/>
    <s v="tier - 2"/>
    <s v="R1013"/>
    <n v="59"/>
    <n v="32.11"/>
  </r>
  <r>
    <x v="930"/>
    <s v="Tu,"/>
    <n v="34.479999999999997"/>
    <x v="476"/>
    <s v="No"/>
    <x v="0"/>
    <x v="1"/>
    <x v="1"/>
    <x v="1"/>
    <x v="0"/>
    <x v="1"/>
    <n v="30"/>
    <s v="Sep"/>
    <n v="1997"/>
    <d v="1997-09-30T00:00:00"/>
    <n v="7607.03"/>
    <s v="tier - 2"/>
    <s v="tier - 2"/>
    <s v="R1012"/>
    <n v="29"/>
    <n v="34.479999999999997"/>
  </r>
  <r>
    <x v="931"/>
    <s v="Kaczka,"/>
    <n v="34.39"/>
    <x v="287"/>
    <s v="Yes"/>
    <x v="0"/>
    <x v="0"/>
    <x v="1"/>
    <x v="1"/>
    <x v="0"/>
    <x v="1"/>
    <n v="3"/>
    <s v="Jul"/>
    <n v="1968"/>
    <d v="1968-07-03T00:00:00"/>
    <n v="7609.6"/>
    <s v="tier - 3"/>
    <s v="tier - 2"/>
    <s v="R1012"/>
    <n v="58"/>
    <n v="34.39"/>
  </r>
  <r>
    <x v="932"/>
    <s v="Hunter,"/>
    <n v="26.4"/>
    <x v="504"/>
    <s v="Yes"/>
    <x v="0"/>
    <x v="1"/>
    <x v="1"/>
    <x v="1"/>
    <x v="1"/>
    <x v="0"/>
    <n v="17"/>
    <s v="Sep"/>
    <n v="1996"/>
    <d v="1996-09-17T00:00:00"/>
    <n v="7623.13"/>
    <s v="tier - 2"/>
    <s v="tier - 3"/>
    <s v="R1011"/>
    <n v="30"/>
    <n v="26.4"/>
  </r>
  <r>
    <x v="933"/>
    <s v="Moran,"/>
    <n v="28.1"/>
    <x v="425"/>
    <s v="Yes"/>
    <x v="0"/>
    <x v="1"/>
    <x v="1"/>
    <x v="1"/>
    <x v="1"/>
    <x v="1"/>
    <n v="28"/>
    <s v="Nov"/>
    <n v="1978"/>
    <d v="1978-11-28T00:00:00"/>
    <n v="7623.52"/>
    <s v="tier - 2"/>
    <s v="tier - 1"/>
    <s v="R1011"/>
    <n v="48"/>
    <n v="28.1"/>
  </r>
  <r>
    <x v="934"/>
    <s v="Ashby,"/>
    <n v="27"/>
    <x v="117"/>
    <s v="Yes"/>
    <x v="0"/>
    <x v="0"/>
    <x v="1"/>
    <x v="1"/>
    <x v="1"/>
    <x v="2"/>
    <n v="6"/>
    <s v="Nov"/>
    <n v="1978"/>
    <d v="1978-11-06T00:00:00"/>
    <n v="7624.63"/>
    <s v="tier - 2"/>
    <s v="tier - 1"/>
    <s v="R1011"/>
    <n v="48"/>
    <n v="27"/>
  </r>
  <r>
    <x v="935"/>
    <s v="Ausen,"/>
    <n v="28.594999999999999"/>
    <x v="82"/>
    <s v="Yes"/>
    <x v="0"/>
    <x v="0"/>
    <x v="1"/>
    <x v="1"/>
    <x v="1"/>
    <x v="2"/>
    <n v="29"/>
    <s v="Nov"/>
    <n v="1978"/>
    <d v="1978-11-29T00:00:00"/>
    <n v="7626.99"/>
    <s v="tier - 2"/>
    <s v="tier - 2"/>
    <s v="R1011"/>
    <n v="48"/>
    <n v="28.594999999999999"/>
  </r>
  <r>
    <x v="936"/>
    <s v="Savage,"/>
    <n v="36.799999999999997"/>
    <x v="169"/>
    <s v="No"/>
    <x v="0"/>
    <x v="0"/>
    <x v="1"/>
    <x v="1"/>
    <x v="0"/>
    <x v="1"/>
    <n v="24"/>
    <s v="Aug"/>
    <n v="1978"/>
    <d v="1978-08-24T00:00:00"/>
    <n v="7633.72"/>
    <s v="tier - 2"/>
    <s v="tier - 1"/>
    <s v="R1013"/>
    <n v="48"/>
    <n v="36.799999999999997"/>
  </r>
  <r>
    <x v="937"/>
    <s v="O'Leary,"/>
    <n v="23.75"/>
    <x v="140"/>
    <s v="Yes"/>
    <x v="0"/>
    <x v="1"/>
    <x v="1"/>
    <x v="1"/>
    <x v="2"/>
    <x v="2"/>
    <n v="13"/>
    <s v="Dec"/>
    <n v="2001"/>
    <d v="2001-12-13T00:00:00"/>
    <n v="7636.92"/>
    <s v="tier - 2"/>
    <s v="tier - 3"/>
    <s v="R1012"/>
    <n v="25"/>
    <n v="23.75"/>
  </r>
  <r>
    <x v="938"/>
    <s v="Scoville,"/>
    <n v="35.619999999999997"/>
    <x v="243"/>
    <s v="No"/>
    <x v="0"/>
    <x v="0"/>
    <x v="0"/>
    <x v="1"/>
    <x v="0"/>
    <x v="2"/>
    <n v="20"/>
    <s v="Jun"/>
    <n v="1980"/>
    <d v="1980-06-20T00:00:00"/>
    <n v="7639.42"/>
    <s v="tier - 2"/>
    <s v="tier - 2"/>
    <s v="R1024"/>
    <n v="46"/>
    <n v="35.619999999999997"/>
  </r>
  <r>
    <x v="939"/>
    <s v="Kaus,"/>
    <n v="30.69"/>
    <x v="309"/>
    <s v="Yes"/>
    <x v="0"/>
    <x v="0"/>
    <x v="1"/>
    <x v="1"/>
    <x v="0"/>
    <x v="0"/>
    <n v="24"/>
    <s v="Jul"/>
    <n v="1980"/>
    <d v="1980-07-24T00:00:00"/>
    <n v="7640.31"/>
    <s v="tier - 2"/>
    <s v="tier - 1"/>
    <s v="R1013"/>
    <n v="46"/>
    <n v="30.69"/>
  </r>
  <r>
    <x v="940"/>
    <s v="Rainey,"/>
    <n v="35.799999999999997"/>
    <x v="505"/>
    <s v="Yes"/>
    <x v="0"/>
    <x v="0"/>
    <x v="1"/>
    <x v="1"/>
    <x v="0"/>
    <x v="2"/>
    <n v="15"/>
    <s v="Jun"/>
    <n v="1999"/>
    <d v="1999-06-15T00:00:00"/>
    <n v="7642.05"/>
    <s v="tier - 2"/>
    <s v="tier - 2"/>
    <s v="R1026"/>
    <n v="27"/>
    <n v="35.799999999999997"/>
  </r>
  <r>
    <x v="941"/>
    <s v="Rasch,"/>
    <n v="28.785"/>
    <x v="180"/>
    <s v="Yes"/>
    <x v="0"/>
    <x v="0"/>
    <x v="1"/>
    <x v="1"/>
    <x v="1"/>
    <x v="2"/>
    <n v="16"/>
    <s v="Oct"/>
    <n v="1980"/>
    <d v="1980-10-16T00:00:00"/>
    <n v="7650.77"/>
    <s v="tier - 2"/>
    <s v="tier - 2"/>
    <s v="R1024"/>
    <n v="46"/>
    <n v="28.785"/>
  </r>
  <r>
    <x v="942"/>
    <s v="Plunkett,"/>
    <n v="28.594999999999999"/>
    <x v="98"/>
    <s v="Yes"/>
    <x v="0"/>
    <x v="0"/>
    <x v="1"/>
    <x v="1"/>
    <x v="1"/>
    <x v="2"/>
    <n v="10"/>
    <s v="Aug"/>
    <n v="1993"/>
    <d v="1993-08-10T00:00:00"/>
    <n v="7650.8"/>
    <s v="tier - 2"/>
    <s v="tier - 2"/>
    <s v="R1012"/>
    <n v="33"/>
    <n v="28.594999999999999"/>
  </r>
  <r>
    <x v="943"/>
    <s v="Murphy,"/>
    <n v="48.75"/>
    <x v="83"/>
    <s v="No"/>
    <x v="0"/>
    <x v="0"/>
    <x v="0"/>
    <x v="1"/>
    <x v="0"/>
    <x v="2"/>
    <n v="30"/>
    <s v="Sep"/>
    <n v="1998"/>
    <d v="1998-09-30T00:00:00"/>
    <n v="7652.26"/>
    <s v="tier - 2"/>
    <s v="tier - 3"/>
    <s v="R1023"/>
    <n v="28"/>
    <n v="48.75"/>
  </r>
  <r>
    <x v="944"/>
    <s v="Gusmer,"/>
    <n v="28.31"/>
    <x v="506"/>
    <s v="Yes"/>
    <x v="0"/>
    <x v="0"/>
    <x v="1"/>
    <x v="1"/>
    <x v="1"/>
    <x v="2"/>
    <n v="27"/>
    <s v="Dec"/>
    <n v="1965"/>
    <d v="1965-12-27T00:00:00"/>
    <n v="7657.69"/>
    <s v="tier - 3"/>
    <s v="tier - 3"/>
    <s v="R1012"/>
    <n v="61"/>
    <n v="28.31"/>
  </r>
  <r>
    <x v="945"/>
    <s v="Loftus,"/>
    <n v="38.39"/>
    <x v="507"/>
    <s v="Yes"/>
    <x v="0"/>
    <x v="0"/>
    <x v="1"/>
    <x v="1"/>
    <x v="0"/>
    <x v="0"/>
    <n v="9"/>
    <s v="Oct"/>
    <n v="1976"/>
    <d v="1976-10-09T00:00:00"/>
    <n v="7662.47"/>
    <s v="tier - 2"/>
    <s v="tier - 1"/>
    <s v="R1011"/>
    <n v="50"/>
    <n v="38.39"/>
  </r>
  <r>
    <x v="946"/>
    <s v="Scott,"/>
    <n v="25.87"/>
    <x v="505"/>
    <s v="Yes"/>
    <x v="0"/>
    <x v="0"/>
    <x v="1"/>
    <x v="1"/>
    <x v="1"/>
    <x v="2"/>
    <n v="24"/>
    <s v="Nov"/>
    <n v="1996"/>
    <d v="1996-11-24T00:00:00"/>
    <n v="7670.75"/>
    <s v="tier - 2"/>
    <s v="tier - 2"/>
    <s v="R1022"/>
    <n v="30"/>
    <n v="25.87"/>
  </r>
  <r>
    <x v="947"/>
    <s v="Alvarez,"/>
    <n v="43.7"/>
    <x v="508"/>
    <s v="No"/>
    <x v="0"/>
    <x v="0"/>
    <x v="0"/>
    <x v="1"/>
    <x v="0"/>
    <x v="0"/>
    <n v="13"/>
    <s v="Sep"/>
    <n v="1995"/>
    <d v="1995-09-13T00:00:00"/>
    <n v="7676.4"/>
    <s v="tier - 2"/>
    <s v="tier - 1"/>
    <s v="R1012"/>
    <n v="31"/>
    <n v="43.7"/>
  </r>
  <r>
    <x v="948"/>
    <s v="Petersson,"/>
    <n v="40.945"/>
    <x v="509"/>
    <s v="No"/>
    <x v="0"/>
    <x v="0"/>
    <x v="0"/>
    <x v="1"/>
    <x v="0"/>
    <x v="0"/>
    <n v="11"/>
    <s v="Oct"/>
    <n v="1971"/>
    <d v="1971-10-11T00:00:00"/>
    <n v="7680.92"/>
    <s v="tier - 2"/>
    <s v="tier - 1"/>
    <s v="R1013"/>
    <n v="55"/>
    <n v="40.945"/>
  </r>
  <r>
    <x v="949"/>
    <s v="Liaw,"/>
    <n v="27.94"/>
    <x v="485"/>
    <s v="No"/>
    <x v="0"/>
    <x v="0"/>
    <x v="0"/>
    <x v="1"/>
    <x v="1"/>
    <x v="0"/>
    <n v="19"/>
    <s v="Dec"/>
    <n v="1981"/>
    <d v="1981-12-19T00:00:00"/>
    <n v="7681.17"/>
    <s v="tier - 2"/>
    <s v="tier - 2"/>
    <s v="R1020"/>
    <n v="45"/>
    <n v="27.94"/>
  </r>
  <r>
    <x v="950"/>
    <s v="Tripaldi,"/>
    <n v="31.9"/>
    <x v="369"/>
    <s v="No"/>
    <x v="0"/>
    <x v="0"/>
    <x v="1"/>
    <x v="1"/>
    <x v="0"/>
    <x v="0"/>
    <n v="18"/>
    <s v="Dec"/>
    <n v="1982"/>
    <d v="1982-12-18T00:00:00"/>
    <n v="7682.67"/>
    <s v="tier - 2"/>
    <s v="tier - 1"/>
    <s v="R1013"/>
    <n v="44"/>
    <n v="31.9"/>
  </r>
  <r>
    <x v="951"/>
    <s v="Kelley,"/>
    <n v="31.64"/>
    <x v="510"/>
    <s v="No"/>
    <x v="0"/>
    <x v="0"/>
    <x v="0"/>
    <x v="1"/>
    <x v="0"/>
    <x v="0"/>
    <n v="12"/>
    <s v="Jul"/>
    <n v="1987"/>
    <d v="1987-07-12T00:00:00"/>
    <n v="7684.62"/>
    <s v="tier - 2"/>
    <s v="tier - 3"/>
    <s v="R1021"/>
    <n v="39"/>
    <n v="31.64"/>
  </r>
  <r>
    <x v="952"/>
    <s v="Endara,"/>
    <n v="46.7"/>
    <x v="332"/>
    <s v="No"/>
    <x v="0"/>
    <x v="0"/>
    <x v="0"/>
    <x v="1"/>
    <x v="0"/>
    <x v="0"/>
    <n v="29"/>
    <s v="Dec"/>
    <n v="1978"/>
    <d v="1978-12-29T00:00:00"/>
    <n v="7726.85"/>
    <s v="tier - 1"/>
    <s v="tier - 2"/>
    <s v="R1011"/>
    <n v="48"/>
    <n v="46.7"/>
  </r>
  <r>
    <x v="953"/>
    <s v="Valle,"/>
    <n v="18.335000000000001"/>
    <x v="187"/>
    <s v="No"/>
    <x v="0"/>
    <x v="0"/>
    <x v="0"/>
    <x v="1"/>
    <x v="3"/>
    <x v="0"/>
    <n v="2"/>
    <s v="Jun"/>
    <n v="1979"/>
    <d v="1979-06-02T00:00:00"/>
    <n v="7727.25"/>
    <s v="tier - 2"/>
    <s v="tier - 3"/>
    <s v="R1012"/>
    <n v="47"/>
    <n v="18.335000000000001"/>
  </r>
  <r>
    <x v="954"/>
    <s v="Germain,"/>
    <n v="31.24"/>
    <x v="511"/>
    <s v="Yes"/>
    <x v="0"/>
    <x v="0"/>
    <x v="1"/>
    <x v="1"/>
    <x v="0"/>
    <x v="0"/>
    <n v="10"/>
    <s v="Sep"/>
    <n v="1980"/>
    <d v="1980-09-10T00:00:00"/>
    <n v="7729.65"/>
    <s v="tier - 3"/>
    <s v="tier - 1"/>
    <s v="R1016"/>
    <n v="46"/>
    <n v="31.24"/>
  </r>
  <r>
    <x v="955"/>
    <s v="Finecey,"/>
    <n v="39.22"/>
    <x v="133"/>
    <s v="Yes"/>
    <x v="0"/>
    <x v="0"/>
    <x v="1"/>
    <x v="1"/>
    <x v="0"/>
    <x v="2"/>
    <n v="4"/>
    <s v="Dec"/>
    <n v="1978"/>
    <d v="1978-12-04T00:00:00"/>
    <n v="7731.43"/>
    <s v="tier - 3"/>
    <s v="tier - 2"/>
    <s v="R1013"/>
    <n v="48"/>
    <n v="39.22"/>
  </r>
  <r>
    <x v="956"/>
    <s v="Mendoza,"/>
    <n v="24.414999999999999"/>
    <x v="322"/>
    <s v="No"/>
    <x v="0"/>
    <x v="0"/>
    <x v="0"/>
    <x v="1"/>
    <x v="2"/>
    <x v="0"/>
    <n v="29"/>
    <s v="Aug"/>
    <n v="1977"/>
    <d v="1977-08-29T00:00:00"/>
    <n v="7731.86"/>
    <s v="tier - 2"/>
    <s v="tier - 3"/>
    <s v="R1012"/>
    <n v="49"/>
    <n v="24.414999999999999"/>
  </r>
  <r>
    <x v="957"/>
    <s v="Roe,"/>
    <n v="32.299999999999997"/>
    <x v="512"/>
    <s v="No"/>
    <x v="0"/>
    <x v="0"/>
    <x v="0"/>
    <x v="1"/>
    <x v="0"/>
    <x v="0"/>
    <n v="18"/>
    <s v="Jul"/>
    <n v="1965"/>
    <d v="1965-07-18T00:00:00"/>
    <n v="7736.39"/>
    <s v="tier - 3"/>
    <s v="tier - 2"/>
    <s v="R1013"/>
    <n v="61"/>
    <n v="32.299999999999997"/>
  </r>
  <r>
    <x v="958"/>
    <s v="Webb,"/>
    <n v="39.94"/>
    <x v="39"/>
    <s v="No"/>
    <x v="0"/>
    <x v="0"/>
    <x v="0"/>
    <x v="1"/>
    <x v="0"/>
    <x v="2"/>
    <n v="4"/>
    <s v="Sep"/>
    <n v="1978"/>
    <d v="1978-09-04T00:00:00"/>
    <n v="7740.34"/>
    <s v="tier - 1"/>
    <s v="tier - 1"/>
    <s v="R1011"/>
    <n v="48"/>
    <n v="39.94"/>
  </r>
  <r>
    <x v="959"/>
    <s v="Stocker,"/>
    <n v="30"/>
    <x v="513"/>
    <s v="Yes"/>
    <x v="0"/>
    <x v="1"/>
    <x v="1"/>
    <x v="1"/>
    <x v="0"/>
    <x v="2"/>
    <n v="12"/>
    <s v="Dec"/>
    <n v="1976"/>
    <d v="1976-12-12T00:00:00"/>
    <n v="7742.11"/>
    <s v="tier - 3"/>
    <s v="tier - 2"/>
    <s v="R1013"/>
    <n v="50"/>
    <n v="30"/>
  </r>
  <r>
    <x v="960"/>
    <s v="Jacobson,"/>
    <n v="35.340000000000003"/>
    <x v="49"/>
    <s v="Yes"/>
    <x v="0"/>
    <x v="1"/>
    <x v="1"/>
    <x v="1"/>
    <x v="0"/>
    <x v="2"/>
    <n v="30"/>
    <s v="Jun"/>
    <n v="1981"/>
    <d v="1981-06-30T00:00:00"/>
    <n v="7749.16"/>
    <s v="tier - 2"/>
    <s v="tier - 1"/>
    <s v="R1012"/>
    <n v="45"/>
    <n v="35.340000000000003"/>
  </r>
  <r>
    <x v="961"/>
    <s v="Shaw,"/>
    <n v="32.204999999999998"/>
    <x v="353"/>
    <s v="Yes"/>
    <x v="0"/>
    <x v="0"/>
    <x v="1"/>
    <x v="1"/>
    <x v="0"/>
    <x v="0"/>
    <n v="21"/>
    <s v="Dec"/>
    <n v="1997"/>
    <d v="1997-12-21T00:00:00"/>
    <n v="7763.06"/>
    <s v="tier - 2"/>
    <s v="tier - 1"/>
    <s v="R1012"/>
    <n v="29"/>
    <n v="32.204999999999998"/>
  </r>
  <r>
    <x v="962"/>
    <s v="Goodwin,"/>
    <n v="33.880000000000003"/>
    <x v="82"/>
    <s v="No"/>
    <x v="1"/>
    <x v="0"/>
    <x v="1"/>
    <x v="1"/>
    <x v="0"/>
    <x v="2"/>
    <n v="6"/>
    <s v="Dec"/>
    <n v="1974"/>
    <d v="1974-12-06T00:00:00"/>
    <n v="7789.64"/>
    <s v="tier - 1"/>
    <s v="tier - 3"/>
    <s v="R1013"/>
    <n v="52"/>
    <n v="33.880000000000003"/>
  </r>
  <r>
    <x v="963"/>
    <s v="Brock,"/>
    <n v="26.63"/>
    <x v="67"/>
    <s v="Yes"/>
    <x v="0"/>
    <x v="0"/>
    <x v="1"/>
    <x v="1"/>
    <x v="1"/>
    <x v="2"/>
    <n v="25"/>
    <s v="Dec"/>
    <n v="1999"/>
    <d v="1999-12-25T00:00:00"/>
    <n v="7794.68"/>
    <s v="tier - 2"/>
    <s v="tier - 2"/>
    <s v="R1026"/>
    <n v="27"/>
    <n v="26.63"/>
  </r>
  <r>
    <x v="964"/>
    <s v="Papp,"/>
    <n v="28.7"/>
    <x v="514"/>
    <s v="No"/>
    <x v="0"/>
    <x v="0"/>
    <x v="0"/>
    <x v="1"/>
    <x v="1"/>
    <x v="0"/>
    <n v="2"/>
    <s v="Dec"/>
    <n v="1997"/>
    <d v="1997-12-02T00:00:00"/>
    <n v="7803.77"/>
    <s v="tier - 2"/>
    <s v="tier - 3"/>
    <s v="R1012"/>
    <n v="29"/>
    <n v="28.7"/>
  </r>
  <r>
    <x v="965"/>
    <s v="Siragusa,"/>
    <n v="25.65"/>
    <x v="456"/>
    <s v="Yes"/>
    <x v="0"/>
    <x v="0"/>
    <x v="1"/>
    <x v="1"/>
    <x v="1"/>
    <x v="2"/>
    <n v="9"/>
    <s v="Nov"/>
    <n v="1974"/>
    <d v="1974-11-09T00:00:00"/>
    <n v="7804.16"/>
    <s v="tier - 2"/>
    <s v="tier - 3"/>
    <s v="R1013"/>
    <n v="52"/>
    <n v="25.65"/>
  </r>
  <r>
    <x v="966"/>
    <s v="Pizarro,"/>
    <n v="36.384999999999998"/>
    <x v="515"/>
    <s v="No"/>
    <x v="0"/>
    <x v="0"/>
    <x v="0"/>
    <x v="1"/>
    <x v="0"/>
    <x v="0"/>
    <n v="21"/>
    <s v="Dec"/>
    <n v="1991"/>
    <d v="1991-12-21T00:00:00"/>
    <n v="7812.67"/>
    <s v="tier - 2"/>
    <s v="tier - 1"/>
    <s v="R1012"/>
    <n v="35"/>
    <n v="36.384999999999998"/>
  </r>
  <r>
    <x v="967"/>
    <s v="Strange,"/>
    <n v="34.69"/>
    <x v="120"/>
    <s v="No"/>
    <x v="0"/>
    <x v="0"/>
    <x v="0"/>
    <x v="1"/>
    <x v="0"/>
    <x v="2"/>
    <n v="12"/>
    <s v="Oct"/>
    <n v="1989"/>
    <d v="1989-10-12T00:00:00"/>
    <n v="7824.37"/>
    <s v="tier - 2"/>
    <s v="tier - 2"/>
    <s v="R1012"/>
    <n v="37"/>
    <n v="34.69"/>
  </r>
  <r>
    <x v="968"/>
    <s v="Eidinger,"/>
    <n v="37.68"/>
    <x v="144"/>
    <s v="Yes"/>
    <x v="0"/>
    <x v="0"/>
    <x v="0"/>
    <x v="1"/>
    <x v="0"/>
    <x v="2"/>
    <n v="5"/>
    <s v="Oct"/>
    <n v="2001"/>
    <d v="2001-10-05T00:00:00"/>
    <n v="7844.8"/>
    <s v="tier - 2"/>
    <s v="tier - 2"/>
    <s v="R1012"/>
    <n v="25"/>
    <n v="37.68"/>
  </r>
  <r>
    <x v="969"/>
    <s v="Ginsburg,"/>
    <n v="35.49"/>
    <x v="433"/>
    <s v="Yes"/>
    <x v="0"/>
    <x v="1"/>
    <x v="1"/>
    <x v="1"/>
    <x v="0"/>
    <x v="2"/>
    <n v="17"/>
    <s v="Nov"/>
    <n v="1994"/>
    <d v="1994-11-17T00:00:00"/>
    <n v="7851.85"/>
    <s v="tier - 2"/>
    <s v="tier - 3"/>
    <s v="R1012"/>
    <n v="32"/>
    <n v="35.49"/>
  </r>
  <r>
    <x v="970"/>
    <s v="Truex,"/>
    <n v="44.7"/>
    <x v="516"/>
    <s v="Yes"/>
    <x v="0"/>
    <x v="0"/>
    <x v="1"/>
    <x v="1"/>
    <x v="0"/>
    <x v="0"/>
    <n v="10"/>
    <s v="Oct"/>
    <n v="1962"/>
    <d v="1962-10-10T00:00:00"/>
    <n v="7896.41"/>
    <s v="tier - 3"/>
    <s v="tier - 2"/>
    <s v="R1013"/>
    <n v="64"/>
    <n v="44.7"/>
  </r>
  <r>
    <x v="971"/>
    <s v="Higgins,"/>
    <n v="38.380000000000003"/>
    <x v="517"/>
    <s v="Yes"/>
    <x v="0"/>
    <x v="0"/>
    <x v="1"/>
    <x v="1"/>
    <x v="0"/>
    <x v="0"/>
    <n v="20"/>
    <s v="Jul"/>
    <n v="1977"/>
    <d v="1977-07-20T00:00:00"/>
    <n v="7935.29"/>
    <s v="tier - 2"/>
    <s v="tier - 1"/>
    <s v="R1024"/>
    <n v="49"/>
    <n v="38.380000000000003"/>
  </r>
  <r>
    <x v="972"/>
    <s v="McCurdy,"/>
    <n v="35.244999999999997"/>
    <x v="518"/>
    <s v="Yes"/>
    <x v="0"/>
    <x v="0"/>
    <x v="0"/>
    <x v="1"/>
    <x v="0"/>
    <x v="0"/>
    <n v="29"/>
    <s v="Oct"/>
    <n v="1987"/>
    <d v="1987-10-29T00:00:00"/>
    <n v="7948.22"/>
    <s v="tier - 2"/>
    <s v="tier - 3"/>
    <s v="R1025"/>
    <n v="39"/>
    <n v="35.244999999999997"/>
  </r>
  <r>
    <x v="973"/>
    <s v="Hughes,"/>
    <n v="49.84"/>
    <x v="199"/>
    <s v="Yes"/>
    <x v="0"/>
    <x v="1"/>
    <x v="1"/>
    <x v="1"/>
    <x v="0"/>
    <x v="2"/>
    <n v="9"/>
    <s v="Jul"/>
    <n v="1966"/>
    <d v="1966-07-09T00:00:00"/>
    <n v="7953.72"/>
    <s v="tier - 3"/>
    <s v="tier - 3"/>
    <s v="R1012"/>
    <n v="60"/>
    <n v="49.84"/>
  </r>
  <r>
    <x v="974"/>
    <s v="Varner,"/>
    <n v="49.06"/>
    <x v="506"/>
    <s v="Yes"/>
    <x v="0"/>
    <x v="0"/>
    <x v="1"/>
    <x v="1"/>
    <x v="0"/>
    <x v="2"/>
    <n v="28"/>
    <s v="Dec"/>
    <n v="1981"/>
    <d v="1981-12-28T00:00:00"/>
    <n v="7954.52"/>
    <s v="tier - 2"/>
    <s v="tier - 2"/>
    <s v="R1011"/>
    <n v="45"/>
    <n v="49.06"/>
  </r>
  <r>
    <x v="975"/>
    <s v="Dahmen,"/>
    <n v="30.88"/>
    <x v="99"/>
    <s v="No"/>
    <x v="0"/>
    <x v="0"/>
    <x v="1"/>
    <x v="1"/>
    <x v="0"/>
    <x v="1"/>
    <n v="19"/>
    <s v="Jun"/>
    <n v="1970"/>
    <d v="1970-06-19T00:00:00"/>
    <n v="7958.13"/>
    <s v="tier - 2"/>
    <s v="tier - 2"/>
    <s v="R1013"/>
    <n v="56"/>
    <n v="30.88"/>
  </r>
  <r>
    <x v="976"/>
    <s v="Young,"/>
    <n v="33.35"/>
    <x v="3"/>
    <s v="No"/>
    <x v="0"/>
    <x v="1"/>
    <x v="1"/>
    <x v="1"/>
    <x v="0"/>
    <x v="1"/>
    <n v="10"/>
    <s v="Aug"/>
    <n v="1975"/>
    <d v="1975-08-10T00:00:00"/>
    <n v="7966.81"/>
    <s v="tier - 2"/>
    <s v="tier - 2"/>
    <s v="R1013"/>
    <n v="51"/>
    <n v="33.35"/>
  </r>
  <r>
    <x v="977"/>
    <s v="Fraser,"/>
    <n v="38"/>
    <x v="245"/>
    <s v="Yes"/>
    <x v="0"/>
    <x v="0"/>
    <x v="1"/>
    <x v="1"/>
    <x v="0"/>
    <x v="1"/>
    <n v="23"/>
    <s v="Nov"/>
    <n v="1972"/>
    <d v="1972-11-23T00:00:00"/>
    <n v="7980.34"/>
    <s v="tier - 2"/>
    <s v="tier - 2"/>
    <s v="R1013"/>
    <n v="54"/>
    <n v="38"/>
  </r>
  <r>
    <x v="978"/>
    <s v="Deeg,"/>
    <n v="36.08"/>
    <x v="208"/>
    <s v="Yes"/>
    <x v="0"/>
    <x v="0"/>
    <x v="1"/>
    <x v="1"/>
    <x v="0"/>
    <x v="1"/>
    <n v="28"/>
    <s v="Aug"/>
    <n v="1983"/>
    <d v="1983-08-28T00:00:00"/>
    <n v="7985.82"/>
    <s v="tier - 2"/>
    <s v="tier - 1"/>
    <s v="R1024"/>
    <n v="43"/>
    <n v="36.08"/>
  </r>
  <r>
    <x v="979"/>
    <s v="Robertson,"/>
    <n v="35.700000000000003"/>
    <x v="323"/>
    <s v="Yes"/>
    <x v="0"/>
    <x v="0"/>
    <x v="1"/>
    <x v="1"/>
    <x v="0"/>
    <x v="2"/>
    <n v="20"/>
    <s v="Aug"/>
    <n v="1983"/>
    <d v="1983-08-20T00:00:00"/>
    <n v="7986.48"/>
    <s v="tier - 2"/>
    <s v="tier - 3"/>
    <s v="R1024"/>
    <n v="43"/>
    <n v="35.700000000000003"/>
  </r>
  <r>
    <x v="980"/>
    <s v="Peck,"/>
    <n v="34.01"/>
    <x v="519"/>
    <s v="No"/>
    <x v="0"/>
    <x v="0"/>
    <x v="0"/>
    <x v="1"/>
    <x v="0"/>
    <x v="0"/>
    <n v="22"/>
    <s v="Aug"/>
    <n v="1962"/>
    <d v="1962-08-22T00:00:00"/>
    <n v="8004.96"/>
    <s v="tier - 3"/>
    <s v="tier - 1"/>
    <s v="R1013"/>
    <n v="64"/>
    <n v="34.01"/>
  </r>
  <r>
    <x v="981"/>
    <s v="Burger,"/>
    <n v="31.54"/>
    <x v="377"/>
    <s v="No"/>
    <x v="0"/>
    <x v="0"/>
    <x v="0"/>
    <x v="1"/>
    <x v="0"/>
    <x v="0"/>
    <n v="18"/>
    <s v="Sep"/>
    <n v="1995"/>
    <d v="1995-09-18T00:00:00"/>
    <n v="8014.62"/>
    <s v="tier - 2"/>
    <s v="tier - 3"/>
    <s v="R1012"/>
    <n v="31"/>
    <n v="31.54"/>
  </r>
  <r>
    <x v="982"/>
    <s v="Blain,"/>
    <n v="23.3"/>
    <x v="331"/>
    <s v="Yes"/>
    <x v="0"/>
    <x v="0"/>
    <x v="1"/>
    <x v="1"/>
    <x v="2"/>
    <x v="2"/>
    <n v="8"/>
    <s v="Nov"/>
    <n v="1980"/>
    <d v="1980-11-08T00:00:00"/>
    <n v="8017.06"/>
    <s v="tier - 2"/>
    <s v="tier - 2"/>
    <s v="R1012"/>
    <n v="46"/>
    <n v="23.3"/>
  </r>
  <r>
    <x v="983"/>
    <s v="Winters,"/>
    <n v="27.75"/>
    <x v="500"/>
    <s v="No"/>
    <x v="0"/>
    <x v="0"/>
    <x v="0"/>
    <x v="1"/>
    <x v="1"/>
    <x v="0"/>
    <n v="3"/>
    <s v="Nov"/>
    <n v="1989"/>
    <d v="1989-11-03T00:00:00"/>
    <n v="8021.11"/>
    <s v="tier - 2"/>
    <s v="tier - 1"/>
    <s v="R1012"/>
    <n v="37"/>
    <n v="27.75"/>
  </r>
  <r>
    <x v="984"/>
    <s v="McCue,"/>
    <n v="42.46"/>
    <x v="92"/>
    <s v="No"/>
    <x v="0"/>
    <x v="0"/>
    <x v="0"/>
    <x v="1"/>
    <x v="0"/>
    <x v="2"/>
    <n v="17"/>
    <s v="Jul"/>
    <n v="1978"/>
    <d v="1978-07-17T00:00:00"/>
    <n v="8023.14"/>
    <s v="tier - 2"/>
    <s v="tier - 3"/>
    <s v="R1012"/>
    <n v="48"/>
    <n v="42.46"/>
  </r>
  <r>
    <x v="985"/>
    <s v="Webster,"/>
    <n v="54.47"/>
    <x v="486"/>
    <s v="No"/>
    <x v="0"/>
    <x v="0"/>
    <x v="0"/>
    <x v="1"/>
    <x v="0"/>
    <x v="0"/>
    <n v="20"/>
    <s v="Dec"/>
    <n v="1976"/>
    <d v="1976-12-20T00:00:00"/>
    <n v="8026.67"/>
    <s v="tier - 2"/>
    <s v="tier - 2"/>
    <s v="R1012"/>
    <n v="50"/>
    <n v="54.47"/>
  </r>
  <r>
    <x v="986"/>
    <s v="Anderson,"/>
    <n v="24.93"/>
    <x v="520"/>
    <s v="Yes"/>
    <x v="0"/>
    <x v="1"/>
    <x v="1"/>
    <x v="1"/>
    <x v="2"/>
    <x v="0"/>
    <n v="6"/>
    <s v="Nov"/>
    <n v="1977"/>
    <d v="1977-11-06T00:00:00"/>
    <n v="8027.97"/>
    <s v="tier - 3"/>
    <s v="tier - 2"/>
    <s v="R1011"/>
    <n v="49"/>
    <n v="24.93"/>
  </r>
  <r>
    <x v="987"/>
    <s v="Chiappone,"/>
    <n v="48.12"/>
    <x v="521"/>
    <s v="Yes"/>
    <x v="0"/>
    <x v="0"/>
    <x v="1"/>
    <x v="1"/>
    <x v="0"/>
    <x v="2"/>
    <n v="12"/>
    <s v="Dec"/>
    <n v="2003"/>
    <d v="2003-12-12T00:00:00"/>
    <n v="8035.64"/>
    <s v="tier - 2"/>
    <s v="tier - 2"/>
    <s v="R1012"/>
    <n v="23"/>
    <n v="48.12"/>
  </r>
  <r>
    <x v="988"/>
    <s v="Opie,"/>
    <n v="24.91"/>
    <x v="522"/>
    <s v="Yes"/>
    <x v="0"/>
    <x v="1"/>
    <x v="1"/>
    <x v="1"/>
    <x v="2"/>
    <x v="0"/>
    <n v="28"/>
    <s v="Nov"/>
    <n v="1985"/>
    <d v="1985-11-28T00:00:00"/>
    <n v="8059.06"/>
    <s v="tier - 2"/>
    <s v="tier - 3"/>
    <s v="R1012"/>
    <n v="41"/>
    <n v="24.91"/>
  </r>
  <r>
    <x v="989"/>
    <s v="Donnelly,"/>
    <n v="27.645"/>
    <x v="523"/>
    <s v="No"/>
    <x v="0"/>
    <x v="0"/>
    <x v="0"/>
    <x v="1"/>
    <x v="1"/>
    <x v="0"/>
    <n v="27"/>
    <s v="Dec"/>
    <n v="1982"/>
    <d v="1982-12-27T00:00:00"/>
    <n v="8059.68"/>
    <s v="tier - 2"/>
    <s v="tier - 3"/>
    <s v="R1012"/>
    <n v="44"/>
    <n v="27.645"/>
  </r>
  <r>
    <x v="990"/>
    <s v="Rall,"/>
    <n v="33.700000000000003"/>
    <x v="138"/>
    <s v="No"/>
    <x v="0"/>
    <x v="0"/>
    <x v="1"/>
    <x v="1"/>
    <x v="0"/>
    <x v="2"/>
    <n v="12"/>
    <s v="Dec"/>
    <n v="1970"/>
    <d v="1970-12-12T00:00:00"/>
    <n v="8062.31"/>
    <s v="tier - 2"/>
    <s v="tier - 1"/>
    <s v="R1013"/>
    <n v="56"/>
    <n v="33.700000000000003"/>
  </r>
  <r>
    <x v="991"/>
    <s v="Mitchell,"/>
    <n v="38.93"/>
    <x v="407"/>
    <s v="Yes"/>
    <x v="0"/>
    <x v="0"/>
    <x v="1"/>
    <x v="1"/>
    <x v="0"/>
    <x v="2"/>
    <n v="28"/>
    <s v="Jun"/>
    <n v="1975"/>
    <d v="1975-06-28T00:00:00"/>
    <n v="8062.76"/>
    <s v="tier - 3"/>
    <s v="tier - 3"/>
    <s v="R1011"/>
    <n v="51"/>
    <n v="38.93"/>
  </r>
  <r>
    <x v="992"/>
    <s v="Chen,"/>
    <n v="32.774999999999999"/>
    <x v="524"/>
    <s v="Yes"/>
    <x v="0"/>
    <x v="0"/>
    <x v="1"/>
    <x v="1"/>
    <x v="0"/>
    <x v="0"/>
    <n v="11"/>
    <s v="Aug"/>
    <n v="1965"/>
    <d v="1965-08-11T00:00:00"/>
    <n v="8067.83"/>
    <s v="tier - 3"/>
    <s v="tier - 1"/>
    <s v="R1013"/>
    <n v="61"/>
    <n v="32.774999999999999"/>
  </r>
  <r>
    <x v="993"/>
    <s v="Tufaro,"/>
    <n v="29.83"/>
    <x v="525"/>
    <s v="Yes"/>
    <x v="0"/>
    <x v="0"/>
    <x v="0"/>
    <x v="1"/>
    <x v="1"/>
    <x v="0"/>
    <n v="15"/>
    <s v="Dec"/>
    <n v="1975"/>
    <d v="1975-12-15T00:00:00"/>
    <n v="8068.19"/>
    <s v="tier - 3"/>
    <s v="tier - 2"/>
    <s v="R1011"/>
    <n v="51"/>
    <n v="29.83"/>
  </r>
  <r>
    <x v="994"/>
    <s v="Peters,"/>
    <n v="28.31"/>
    <x v="188"/>
    <s v="No"/>
    <x v="1"/>
    <x v="0"/>
    <x v="1"/>
    <x v="1"/>
    <x v="1"/>
    <x v="2"/>
    <n v="21"/>
    <s v="Oct"/>
    <n v="1965"/>
    <d v="1965-10-21T00:00:00"/>
    <n v="8071.57"/>
    <s v="tier - 3"/>
    <s v="tier - 1"/>
    <s v="R1011"/>
    <n v="61"/>
    <n v="28.31"/>
  </r>
  <r>
    <x v="995"/>
    <s v="Susedik,"/>
    <n v="29.79"/>
    <x v="211"/>
    <s v="No"/>
    <x v="0"/>
    <x v="0"/>
    <x v="0"/>
    <x v="1"/>
    <x v="1"/>
    <x v="0"/>
    <n v="7"/>
    <s v="Nov"/>
    <n v="1993"/>
    <d v="1993-11-07T00:00:00"/>
    <n v="8077.41"/>
    <s v="tier - 2"/>
    <s v="tier - 1"/>
    <s v="R1026"/>
    <n v="33"/>
    <n v="29.79"/>
  </r>
  <r>
    <x v="996"/>
    <s v="Garcia,"/>
    <n v="36.6"/>
    <x v="112"/>
    <s v="Yes"/>
    <x v="0"/>
    <x v="1"/>
    <x v="1"/>
    <x v="1"/>
    <x v="0"/>
    <x v="2"/>
    <n v="28"/>
    <s v="Aug"/>
    <n v="2001"/>
    <d v="2001-08-28T00:00:00"/>
    <n v="8081.26"/>
    <s v="tier - 2"/>
    <s v="tier - 2"/>
    <s v="R1012"/>
    <n v="25"/>
    <n v="36.6"/>
  </r>
  <r>
    <x v="997"/>
    <s v="Deady,"/>
    <n v="35.93"/>
    <x v="526"/>
    <s v="Yes"/>
    <x v="0"/>
    <x v="0"/>
    <x v="0"/>
    <x v="1"/>
    <x v="0"/>
    <x v="0"/>
    <n v="12"/>
    <s v="Oct"/>
    <n v="1994"/>
    <d v="1994-10-12T00:00:00"/>
    <n v="8081.74"/>
    <s v="tier - 2"/>
    <s v="tier - 2"/>
    <s v="R1026"/>
    <n v="32"/>
    <n v="35.93"/>
  </r>
  <r>
    <x v="998"/>
    <s v="Campbell,"/>
    <n v="28.6"/>
    <x v="209"/>
    <s v="Yes"/>
    <x v="0"/>
    <x v="1"/>
    <x v="1"/>
    <x v="1"/>
    <x v="1"/>
    <x v="2"/>
    <n v="21"/>
    <s v="Dec"/>
    <n v="1975"/>
    <d v="1975-12-21T00:00:00"/>
    <n v="8083.92"/>
    <s v="tier - 3"/>
    <s v="tier - 3"/>
    <s v="R1013"/>
    <n v="51"/>
    <n v="28.6"/>
  </r>
  <r>
    <x v="999"/>
    <s v="Schaefer,"/>
    <n v="39.17"/>
    <x v="324"/>
    <s v="No"/>
    <x v="0"/>
    <x v="0"/>
    <x v="0"/>
    <x v="1"/>
    <x v="0"/>
    <x v="2"/>
    <n v="10"/>
    <s v="Jun"/>
    <n v="1967"/>
    <d v="1967-06-10T00:00:00"/>
    <n v="8091.3"/>
    <s v="tier - 3"/>
    <s v="tier - 1"/>
    <s v="R1012"/>
    <n v="59"/>
    <n v="39.17"/>
  </r>
  <r>
    <x v="1000"/>
    <s v="D'Alessandro,"/>
    <n v="26.41"/>
    <x v="74"/>
    <s v="Yes"/>
    <x v="0"/>
    <x v="1"/>
    <x v="1"/>
    <x v="1"/>
    <x v="1"/>
    <x v="1"/>
    <n v="11"/>
    <s v="Oct"/>
    <n v="1973"/>
    <d v="1973-10-11T00:00:00"/>
    <n v="8112.59"/>
    <s v="tier - 2"/>
    <s v="tier - 2"/>
    <s v="R1013"/>
    <n v="53"/>
    <n v="26.41"/>
  </r>
  <r>
    <x v="1001"/>
    <s v="Wyss,"/>
    <n v="30.63"/>
    <x v="329"/>
    <s v="Yes"/>
    <x v="0"/>
    <x v="0"/>
    <x v="0"/>
    <x v="1"/>
    <x v="0"/>
    <x v="1"/>
    <n v="1"/>
    <s v="Sep"/>
    <n v="1978"/>
    <d v="1978-09-01T00:00:00"/>
    <n v="8116.27"/>
    <s v="tier - 3"/>
    <s v="tier - 1"/>
    <s v="R1012"/>
    <n v="48"/>
    <n v="30.63"/>
  </r>
  <r>
    <x v="1002"/>
    <s v="Rose,"/>
    <n v="31.73"/>
    <x v="179"/>
    <s v="Yes"/>
    <x v="0"/>
    <x v="0"/>
    <x v="1"/>
    <x v="1"/>
    <x v="0"/>
    <x v="0"/>
    <n v="16"/>
    <s v="Dec"/>
    <n v="1973"/>
    <d v="1973-12-16T00:00:00"/>
    <n v="8116.68"/>
    <s v="tier - 3"/>
    <s v="tier - 1"/>
    <s v="R1011"/>
    <n v="53"/>
    <n v="31.73"/>
  </r>
  <r>
    <x v="1003"/>
    <s v="Hopper,"/>
    <n v="30.7"/>
    <x v="360"/>
    <s v="No"/>
    <x v="0"/>
    <x v="0"/>
    <x v="1"/>
    <x v="1"/>
    <x v="0"/>
    <x v="2"/>
    <n v="30"/>
    <s v="Aug"/>
    <n v="1973"/>
    <d v="1973-08-30T00:00:00"/>
    <n v="8124.41"/>
    <s v="tier - 3"/>
    <s v="tier - 1"/>
    <s v="R1013"/>
    <n v="53"/>
    <n v="30.7"/>
  </r>
  <r>
    <x v="1004"/>
    <s v="Finneran,"/>
    <n v="25.934999999999999"/>
    <x v="10"/>
    <s v="Yes"/>
    <x v="0"/>
    <x v="0"/>
    <x v="1"/>
    <x v="1"/>
    <x v="1"/>
    <x v="1"/>
    <n v="3"/>
    <s v="Sep"/>
    <n v="1973"/>
    <d v="1973-09-03T00:00:00"/>
    <n v="8125.78"/>
    <s v="tier - 2"/>
    <s v="tier - 2"/>
    <s v="R1013"/>
    <n v="53"/>
    <n v="25.934999999999999"/>
  </r>
  <r>
    <x v="1005"/>
    <s v="Basham,"/>
    <n v="35.9"/>
    <x v="239"/>
    <s v="Yes"/>
    <x v="0"/>
    <x v="1"/>
    <x v="1"/>
    <x v="1"/>
    <x v="0"/>
    <x v="2"/>
    <n v="21"/>
    <s v="Jun"/>
    <n v="1990"/>
    <d v="1990-06-21T00:00:00"/>
    <n v="8157.92"/>
    <s v="tier - 2"/>
    <s v="tier - 3"/>
    <s v="R1025"/>
    <n v="36"/>
    <n v="35.9"/>
  </r>
  <r>
    <x v="1006"/>
    <s v="Inman,"/>
    <n v="26.7"/>
    <x v="111"/>
    <s v="Yes"/>
    <x v="0"/>
    <x v="1"/>
    <x v="1"/>
    <x v="1"/>
    <x v="1"/>
    <x v="2"/>
    <n v="28"/>
    <s v="Jun"/>
    <n v="1982"/>
    <d v="1982-06-28T00:00:00"/>
    <n v="8162.72"/>
    <s v="tier - 3"/>
    <s v="tier - 3"/>
    <s v="R1012"/>
    <n v="44"/>
    <n v="26.7"/>
  </r>
  <r>
    <x v="1007"/>
    <s v="Oscal,"/>
    <n v="33.71"/>
    <x v="527"/>
    <s v="No"/>
    <x v="0"/>
    <x v="0"/>
    <x v="0"/>
    <x v="1"/>
    <x v="0"/>
    <x v="2"/>
    <n v="5"/>
    <s v="Nov"/>
    <n v="1963"/>
    <d v="1963-11-05T00:00:00"/>
    <n v="8177.9"/>
    <s v="tier - 3"/>
    <s v="tier - 1"/>
    <s v="R1013"/>
    <n v="63"/>
    <n v="33.71"/>
  </r>
  <r>
    <x v="1008"/>
    <s v="Craft,"/>
    <n v="41.91"/>
    <x v="328"/>
    <s v="Yes"/>
    <x v="0"/>
    <x v="0"/>
    <x v="1"/>
    <x v="1"/>
    <x v="0"/>
    <x v="2"/>
    <n v="8"/>
    <s v="Jun"/>
    <n v="1983"/>
    <d v="1983-06-08T00:00:00"/>
    <n v="8179.51"/>
    <s v="tier - 2"/>
    <s v="tier - 2"/>
    <s v="R1020"/>
    <n v="43"/>
    <n v="41.91"/>
  </r>
  <r>
    <x v="1009"/>
    <s v="Kebede,"/>
    <n v="39.82"/>
    <x v="3"/>
    <s v="Yes"/>
    <x v="0"/>
    <x v="0"/>
    <x v="1"/>
    <x v="1"/>
    <x v="0"/>
    <x v="1"/>
    <n v="21"/>
    <s v="Oct"/>
    <n v="1997"/>
    <d v="1997-10-21T00:00:00"/>
    <n v="8182.89"/>
    <s v="tier - 2"/>
    <s v="tier - 1"/>
    <s v="R1026"/>
    <n v="29"/>
    <n v="39.82"/>
  </r>
  <r>
    <x v="1010"/>
    <s v="Strobel,"/>
    <n v="28.12"/>
    <x v="145"/>
    <s v="No"/>
    <x v="0"/>
    <x v="0"/>
    <x v="1"/>
    <x v="1"/>
    <x v="1"/>
    <x v="2"/>
    <n v="23"/>
    <s v="Nov"/>
    <n v="1962"/>
    <d v="1962-11-23T00:00:00"/>
    <n v="8188.12"/>
    <s v="tier - 3"/>
    <s v="tier - 3"/>
    <s v="R1013"/>
    <n v="64"/>
    <n v="28.12"/>
  </r>
  <r>
    <x v="1011"/>
    <s v="Dalton,"/>
    <n v="26.98"/>
    <x v="241"/>
    <s v="Yes"/>
    <x v="0"/>
    <x v="0"/>
    <x v="0"/>
    <x v="1"/>
    <x v="1"/>
    <x v="0"/>
    <n v="24"/>
    <s v="Oct"/>
    <n v="1978"/>
    <d v="1978-10-24T00:00:00"/>
    <n v="8211.1"/>
    <s v="tier - 2"/>
    <s v="tier - 3"/>
    <s v="R1013"/>
    <n v="48"/>
    <n v="26.98"/>
  </r>
  <r>
    <x v="1012"/>
    <s v="Morimoto,"/>
    <n v="27.2"/>
    <x v="87"/>
    <s v="Yes"/>
    <x v="0"/>
    <x v="0"/>
    <x v="1"/>
    <x v="1"/>
    <x v="1"/>
    <x v="1"/>
    <n v="30"/>
    <s v="Jun"/>
    <n v="1978"/>
    <d v="1978-06-30T00:00:00"/>
    <n v="8219.2000000000007"/>
    <s v="tier - 2"/>
    <s v="tier - 2"/>
    <s v="R1013"/>
    <n v="48"/>
    <n v="27.2"/>
  </r>
  <r>
    <x v="1013"/>
    <s v="Manlove,"/>
    <n v="25.3"/>
    <x v="27"/>
    <s v="Yes"/>
    <x v="0"/>
    <x v="0"/>
    <x v="1"/>
    <x v="1"/>
    <x v="1"/>
    <x v="2"/>
    <n v="3"/>
    <s v="Sep"/>
    <n v="1976"/>
    <d v="1976-09-03T00:00:00"/>
    <n v="8232.64"/>
    <s v="tier - 2"/>
    <s v="tier - 3"/>
    <s v="R1013"/>
    <n v="50"/>
    <n v="25.3"/>
  </r>
  <r>
    <x v="1014"/>
    <s v="Madzik,"/>
    <n v="30.25"/>
    <x v="306"/>
    <s v="No"/>
    <x v="0"/>
    <x v="0"/>
    <x v="0"/>
    <x v="1"/>
    <x v="0"/>
    <x v="0"/>
    <n v="30"/>
    <s v="Jun"/>
    <n v="1976"/>
    <d v="1976-06-30T00:00:00"/>
    <n v="8233.1"/>
    <s v="tier - 2"/>
    <s v="tier - 2"/>
    <s v="R1013"/>
    <n v="50"/>
    <n v="30.25"/>
  </r>
  <r>
    <x v="1015"/>
    <s v="Hobson,"/>
    <n v="54"/>
    <x v="82"/>
    <s v="Yes"/>
    <x v="1"/>
    <x v="0"/>
    <x v="1"/>
    <x v="1"/>
    <x v="0"/>
    <x v="2"/>
    <n v="2"/>
    <s v="Sep"/>
    <n v="1976"/>
    <d v="1976-09-02T00:00:00"/>
    <n v="8240.59"/>
    <s v="tier - 2"/>
    <s v="tier - 2"/>
    <s v="R1013"/>
    <n v="50"/>
    <n v="54"/>
  </r>
  <r>
    <x v="1016"/>
    <s v="Reyes,"/>
    <n v="51.86"/>
    <x v="134"/>
    <s v="Yes"/>
    <x v="0"/>
    <x v="0"/>
    <x v="0"/>
    <x v="1"/>
    <x v="0"/>
    <x v="2"/>
    <n v="27"/>
    <s v="Sep"/>
    <n v="1982"/>
    <d v="1982-09-27T00:00:00"/>
    <n v="8252.2800000000007"/>
    <s v="tier - 2"/>
    <s v="tier - 2"/>
    <s v="R1024"/>
    <n v="44"/>
    <n v="51.86"/>
  </r>
  <r>
    <x v="1017"/>
    <s v="Tierney,"/>
    <n v="31.39"/>
    <x v="528"/>
    <s v="No"/>
    <x v="0"/>
    <x v="0"/>
    <x v="0"/>
    <x v="1"/>
    <x v="0"/>
    <x v="0"/>
    <n v="5"/>
    <s v="Sep"/>
    <n v="1964"/>
    <d v="1964-09-05T00:00:00"/>
    <n v="8268"/>
    <s v="tier - 3"/>
    <s v="tier - 3"/>
    <s v="R1013"/>
    <n v="62"/>
    <n v="31.39"/>
  </r>
  <r>
    <x v="1018"/>
    <s v="Gabris,"/>
    <n v="39.97"/>
    <x v="122"/>
    <s v="No"/>
    <x v="0"/>
    <x v="0"/>
    <x v="0"/>
    <x v="1"/>
    <x v="0"/>
    <x v="2"/>
    <n v="5"/>
    <s v="Aug"/>
    <n v="1974"/>
    <d v="1974-08-05T00:00:00"/>
    <n v="8269.0400000000009"/>
    <s v="tier - 2"/>
    <s v="tier - 1"/>
    <s v="R1011"/>
    <n v="52"/>
    <n v="39.97"/>
  </r>
  <r>
    <x v="1019"/>
    <s v="Howard,"/>
    <n v="41.23"/>
    <x v="455"/>
    <s v="No"/>
    <x v="0"/>
    <x v="0"/>
    <x v="0"/>
    <x v="1"/>
    <x v="0"/>
    <x v="0"/>
    <n v="28"/>
    <s v="Nov"/>
    <n v="2000"/>
    <d v="2000-11-28T00:00:00"/>
    <n v="8271.4599999999991"/>
    <s v="tier - 2"/>
    <s v="tier - 1"/>
    <s v="R1023"/>
    <n v="26"/>
    <n v="41.23"/>
  </r>
  <r>
    <x v="1020"/>
    <s v="Kallay,"/>
    <n v="49.45"/>
    <x v="267"/>
    <s v="Yes"/>
    <x v="0"/>
    <x v="0"/>
    <x v="0"/>
    <x v="1"/>
    <x v="0"/>
    <x v="2"/>
    <n v="26"/>
    <s v="Sep"/>
    <n v="1974"/>
    <d v="1974-09-26T00:00:00"/>
    <n v="8277.52"/>
    <s v="tier - 2"/>
    <s v="tier - 2"/>
    <s v="R1011"/>
    <n v="52"/>
    <n v="49.45"/>
  </r>
  <r>
    <x v="1021"/>
    <s v="Leguizamo,"/>
    <n v="41.04"/>
    <x v="448"/>
    <s v="No"/>
    <x v="0"/>
    <x v="0"/>
    <x v="0"/>
    <x v="1"/>
    <x v="0"/>
    <x v="2"/>
    <n v="22"/>
    <s v="Dec"/>
    <n v="1974"/>
    <d v="1974-12-22T00:00:00"/>
    <n v="8280.6200000000008"/>
    <s v="tier - 2"/>
    <s v="tier - 2"/>
    <s v="R1013"/>
    <n v="52"/>
    <n v="41.04"/>
  </r>
  <r>
    <x v="1022"/>
    <s v="Escartin,"/>
    <n v="27.93"/>
    <x v="529"/>
    <s v="No"/>
    <x v="0"/>
    <x v="0"/>
    <x v="0"/>
    <x v="1"/>
    <x v="1"/>
    <x v="0"/>
    <n v="6"/>
    <s v="Jun"/>
    <n v="1974"/>
    <d v="1974-06-06T00:00:00"/>
    <n v="8283.68"/>
    <s v="tier - 2"/>
    <s v="tier - 3"/>
    <s v="R1013"/>
    <n v="52"/>
    <n v="27.93"/>
  </r>
  <r>
    <x v="1023"/>
    <s v="Chorey,"/>
    <n v="21.01"/>
    <x v="36"/>
    <s v="No"/>
    <x v="0"/>
    <x v="0"/>
    <x v="0"/>
    <x v="1"/>
    <x v="2"/>
    <x v="0"/>
    <n v="26"/>
    <s v="Jun"/>
    <n v="1978"/>
    <d v="1978-06-26T00:00:00"/>
    <n v="8302.5400000000009"/>
    <s v="tier - 3"/>
    <s v="tier - 3"/>
    <s v="R1016"/>
    <n v="48"/>
    <n v="21.01"/>
  </r>
  <r>
    <x v="1024"/>
    <s v="McVay,"/>
    <n v="52.37"/>
    <x v="386"/>
    <s v="Yes"/>
    <x v="1"/>
    <x v="0"/>
    <x v="1"/>
    <x v="1"/>
    <x v="0"/>
    <x v="2"/>
    <n v="7"/>
    <s v="Aug"/>
    <n v="1979"/>
    <d v="1979-08-07T00:00:00"/>
    <n v="8310.84"/>
    <s v="tier - 2"/>
    <s v="tier - 2"/>
    <s v="R1012"/>
    <n v="47"/>
    <n v="52.37"/>
  </r>
  <r>
    <x v="1025"/>
    <s v="Vinson,"/>
    <n v="40.369999999999997"/>
    <x v="463"/>
    <s v="No"/>
    <x v="0"/>
    <x v="0"/>
    <x v="0"/>
    <x v="1"/>
    <x v="0"/>
    <x v="0"/>
    <n v="22"/>
    <s v="Jun"/>
    <n v="1993"/>
    <d v="1993-06-22T00:00:00"/>
    <n v="8314.65"/>
    <s v="tier - 2"/>
    <s v="tier - 1"/>
    <s v="R1012"/>
    <n v="33"/>
    <n v="40.369999999999997"/>
  </r>
  <r>
    <x v="1026"/>
    <s v="Astrike-Davis,"/>
    <n v="41.47"/>
    <x v="530"/>
    <s v="No"/>
    <x v="0"/>
    <x v="0"/>
    <x v="1"/>
    <x v="1"/>
    <x v="0"/>
    <x v="0"/>
    <n v="12"/>
    <s v="Jul"/>
    <n v="1976"/>
    <d v="1976-07-12T00:00:00"/>
    <n v="8334.4599999999991"/>
    <s v="tier - 3"/>
    <s v="tier - 2"/>
    <s v="R1016"/>
    <n v="50"/>
    <n v="41.47"/>
  </r>
  <r>
    <x v="1027"/>
    <s v="Harder,"/>
    <n v="33.725000000000001"/>
    <x v="49"/>
    <s v="Yes"/>
    <x v="0"/>
    <x v="0"/>
    <x v="1"/>
    <x v="1"/>
    <x v="0"/>
    <x v="2"/>
    <n v="20"/>
    <s v="Jul"/>
    <n v="1976"/>
    <d v="1976-07-20T00:00:00"/>
    <n v="8334.59"/>
    <s v="tier - 3"/>
    <s v="tier - 2"/>
    <s v="R1016"/>
    <n v="50"/>
    <n v="33.725000000000001"/>
  </r>
  <r>
    <x v="1028"/>
    <s v="Bell,"/>
    <n v="28.1"/>
    <x v="531"/>
    <s v="No"/>
    <x v="0"/>
    <x v="0"/>
    <x v="0"/>
    <x v="1"/>
    <x v="1"/>
    <x v="0"/>
    <n v="7"/>
    <s v="Jul"/>
    <n v="1976"/>
    <d v="1976-07-07T00:00:00"/>
    <n v="8342.91"/>
    <s v="tier - 3"/>
    <s v="tier - 1"/>
    <s v="R1016"/>
    <n v="50"/>
    <n v="28.1"/>
  </r>
  <r>
    <x v="1029"/>
    <s v="Dawes,"/>
    <n v="37.43"/>
    <x v="261"/>
    <s v="Yes"/>
    <x v="0"/>
    <x v="1"/>
    <x v="1"/>
    <x v="1"/>
    <x v="0"/>
    <x v="2"/>
    <n v="12"/>
    <s v="Jun"/>
    <n v="1976"/>
    <d v="1976-06-12T00:00:00"/>
    <n v="8347.16"/>
    <s v="tier - 2"/>
    <s v="tier - 1"/>
    <s v="R1013"/>
    <n v="50"/>
    <n v="37.43"/>
  </r>
  <r>
    <x v="1030"/>
    <s v="Larios,"/>
    <n v="23.7"/>
    <x v="444"/>
    <s v="No"/>
    <x v="0"/>
    <x v="0"/>
    <x v="0"/>
    <x v="1"/>
    <x v="2"/>
    <x v="0"/>
    <n v="21"/>
    <s v="Sep"/>
    <n v="1963"/>
    <d v="1963-09-21T00:00:00"/>
    <n v="8355.5400000000009"/>
    <s v="tier - 3"/>
    <s v="tier - 3"/>
    <s v="R1012"/>
    <n v="63"/>
    <n v="23.7"/>
  </r>
  <r>
    <x v="1031"/>
    <s v="Yaremczuk,"/>
    <n v="24.795000000000002"/>
    <x v="212"/>
    <s v="Yes"/>
    <x v="0"/>
    <x v="1"/>
    <x v="1"/>
    <x v="1"/>
    <x v="2"/>
    <x v="2"/>
    <n v="4"/>
    <s v="Sep"/>
    <n v="1971"/>
    <d v="1971-09-04T00:00:00"/>
    <n v="8396.6200000000008"/>
    <s v="tier - 2"/>
    <s v="tier - 3"/>
    <s v="R1013"/>
    <n v="55"/>
    <n v="24.795000000000002"/>
  </r>
  <r>
    <x v="1032"/>
    <s v="Knight,"/>
    <n v="31.9"/>
    <x v="43"/>
    <s v="No"/>
    <x v="0"/>
    <x v="0"/>
    <x v="0"/>
    <x v="1"/>
    <x v="0"/>
    <x v="0"/>
    <n v="18"/>
    <s v="Sep"/>
    <n v="1971"/>
    <d v="1971-09-18T00:00:00"/>
    <n v="8400.01"/>
    <s v="tier - 2"/>
    <s v="tier - 3"/>
    <s v="R1013"/>
    <n v="55"/>
    <n v="31.9"/>
  </r>
  <r>
    <x v="1033"/>
    <s v="Eversman,"/>
    <n v="32.68"/>
    <x v="532"/>
    <s v="No"/>
    <x v="0"/>
    <x v="0"/>
    <x v="0"/>
    <x v="1"/>
    <x v="0"/>
    <x v="0"/>
    <n v="11"/>
    <s v="Jun"/>
    <n v="1979"/>
    <d v="1979-06-11T00:00:00"/>
    <n v="8410.0499999999993"/>
    <s v="tier - 2"/>
    <s v="tier - 2"/>
    <s v="R1012"/>
    <n v="47"/>
    <n v="32.68"/>
  </r>
  <r>
    <x v="1034"/>
    <s v="Hickory,"/>
    <n v="47.13"/>
    <x v="282"/>
    <s v="No"/>
    <x v="0"/>
    <x v="0"/>
    <x v="0"/>
    <x v="1"/>
    <x v="0"/>
    <x v="2"/>
    <n v="4"/>
    <s v="Sep"/>
    <n v="1977"/>
    <d v="1977-09-04T00:00:00"/>
    <n v="8413.4599999999991"/>
    <s v="tier - 3"/>
    <s v="tier - 1"/>
    <s v="R1012"/>
    <n v="49"/>
    <n v="47.13"/>
  </r>
  <r>
    <x v="1035"/>
    <s v="Mooney,"/>
    <n v="36.67"/>
    <x v="533"/>
    <s v="No"/>
    <x v="0"/>
    <x v="0"/>
    <x v="0"/>
    <x v="1"/>
    <x v="0"/>
    <x v="0"/>
    <n v="28"/>
    <s v="Sep"/>
    <n v="1975"/>
    <d v="1975-09-28T00:00:00"/>
    <n v="8428.07"/>
    <s v="tier - 3"/>
    <s v="tier - 2"/>
    <s v="R1012"/>
    <n v="51"/>
    <n v="36.67"/>
  </r>
  <r>
    <x v="1036"/>
    <s v="Craighead,"/>
    <n v="33.630000000000003"/>
    <x v="290"/>
    <s v="No"/>
    <x v="0"/>
    <x v="0"/>
    <x v="0"/>
    <x v="1"/>
    <x v="0"/>
    <x v="0"/>
    <n v="24"/>
    <s v="Sep"/>
    <n v="1963"/>
    <d v="1963-09-24T00:00:00"/>
    <n v="8440.0499999999993"/>
    <s v="tier - 3"/>
    <s v="tier - 2"/>
    <s v="R1013"/>
    <n v="63"/>
    <n v="33.630000000000003"/>
  </r>
  <r>
    <x v="1037"/>
    <s v="Gardner,"/>
    <n v="32.67"/>
    <x v="534"/>
    <s v="Yes"/>
    <x v="0"/>
    <x v="0"/>
    <x v="0"/>
    <x v="1"/>
    <x v="0"/>
    <x v="0"/>
    <n v="9"/>
    <s v="Sep"/>
    <n v="1972"/>
    <d v="1972-09-09T00:00:00"/>
    <n v="8442.67"/>
    <s v="tier - 2"/>
    <s v="tier - 3"/>
    <s v="R1013"/>
    <n v="54"/>
    <n v="32.67"/>
  </r>
  <r>
    <x v="1038"/>
    <s v="Lohrenz,"/>
    <n v="33.299999999999997"/>
    <x v="295"/>
    <s v="Yes"/>
    <x v="0"/>
    <x v="0"/>
    <x v="1"/>
    <x v="1"/>
    <x v="0"/>
    <x v="0"/>
    <n v="4"/>
    <s v="Sep"/>
    <n v="1972"/>
    <d v="1972-09-04T00:00:00"/>
    <n v="8444.4699999999993"/>
    <s v="tier - 3"/>
    <s v="tier - 1"/>
    <s v="R1011"/>
    <n v="54"/>
    <n v="33.299999999999997"/>
  </r>
  <r>
    <x v="1039"/>
    <s v="Demise,"/>
    <n v="30.78"/>
    <x v="535"/>
    <s v="Yes"/>
    <x v="0"/>
    <x v="0"/>
    <x v="1"/>
    <x v="1"/>
    <x v="0"/>
    <x v="0"/>
    <n v="12"/>
    <s v="Jun"/>
    <n v="1966"/>
    <d v="1966-06-12T00:00:00"/>
    <n v="8448.66"/>
    <s v="tier - 3"/>
    <s v="tier - 1"/>
    <s v="R1013"/>
    <n v="60"/>
    <n v="30.78"/>
  </r>
  <r>
    <x v="1040"/>
    <s v="Nelson,"/>
    <n v="28.975000000000001"/>
    <x v="467"/>
    <s v="Yes"/>
    <x v="0"/>
    <x v="0"/>
    <x v="0"/>
    <x v="1"/>
    <x v="1"/>
    <x v="0"/>
    <n v="19"/>
    <s v="Jun"/>
    <n v="1984"/>
    <d v="1984-06-19T00:00:00"/>
    <n v="8450.82"/>
    <s v="tier - 2"/>
    <s v="tier - 2"/>
    <s v="R1025"/>
    <n v="42"/>
    <n v="28.975000000000001"/>
  </r>
  <r>
    <x v="1041"/>
    <s v="Guitard,"/>
    <n v="33.4"/>
    <x v="95"/>
    <s v="No"/>
    <x v="0"/>
    <x v="0"/>
    <x v="0"/>
    <x v="1"/>
    <x v="0"/>
    <x v="2"/>
    <n v="26"/>
    <s v="Dec"/>
    <n v="1972"/>
    <d v="1972-12-26T00:00:00"/>
    <n v="8457.82"/>
    <s v="tier - 2"/>
    <s v="tier - 3"/>
    <s v="R1011"/>
    <n v="54"/>
    <n v="33.4"/>
  </r>
  <r>
    <x v="1042"/>
    <s v="Navas,"/>
    <n v="21.5"/>
    <x v="68"/>
    <s v="Yes"/>
    <x v="0"/>
    <x v="0"/>
    <x v="0"/>
    <x v="1"/>
    <x v="2"/>
    <x v="0"/>
    <n v="9"/>
    <s v="Sep"/>
    <n v="1992"/>
    <d v="1992-09-09T00:00:00"/>
    <n v="8466.35"/>
    <s v="tier - 2"/>
    <s v="tier - 2"/>
    <s v="R1012"/>
    <n v="34"/>
    <n v="21.5"/>
  </r>
  <r>
    <x v="1043"/>
    <s v="Ptucha,"/>
    <n v="38.14"/>
    <x v="85"/>
    <s v="No"/>
    <x v="0"/>
    <x v="0"/>
    <x v="0"/>
    <x v="1"/>
    <x v="0"/>
    <x v="1"/>
    <n v="10"/>
    <s v="Nov"/>
    <n v="1993"/>
    <d v="1993-11-10T00:00:00"/>
    <n v="8471.65"/>
    <s v="tier - 2"/>
    <s v="tier - 1"/>
    <s v="R1012"/>
    <n v="33"/>
    <n v="38.14"/>
  </r>
  <r>
    <x v="1044"/>
    <s v="Kirouac,"/>
    <n v="35.42"/>
    <x v="234"/>
    <s v="Yes"/>
    <x v="0"/>
    <x v="0"/>
    <x v="1"/>
    <x v="1"/>
    <x v="0"/>
    <x v="0"/>
    <n v="26"/>
    <s v="Dec"/>
    <n v="1977"/>
    <d v="1977-12-26T00:00:00"/>
    <n v="8515.76"/>
    <s v="tier - 2"/>
    <s v="tier - 2"/>
    <s v="R1013"/>
    <n v="49"/>
    <n v="35.42"/>
  </r>
  <r>
    <x v="1045"/>
    <s v="Toews,"/>
    <n v="35.625"/>
    <x v="9"/>
    <s v="No"/>
    <x v="0"/>
    <x v="0"/>
    <x v="0"/>
    <x v="1"/>
    <x v="0"/>
    <x v="0"/>
    <n v="21"/>
    <s v="Jun"/>
    <n v="1977"/>
    <d v="1977-06-21T00:00:00"/>
    <n v="8516.83"/>
    <s v="tier - 2"/>
    <s v="tier - 1"/>
    <s v="R1013"/>
    <n v="49"/>
    <n v="35.625"/>
  </r>
  <r>
    <x v="1046"/>
    <s v="Perry,"/>
    <n v="45.51"/>
    <x v="536"/>
    <s v="No"/>
    <x v="0"/>
    <x v="0"/>
    <x v="1"/>
    <x v="1"/>
    <x v="0"/>
    <x v="2"/>
    <n v="29"/>
    <s v="Dec"/>
    <n v="1977"/>
    <d v="1977-12-29T00:00:00"/>
    <n v="8520.0300000000007"/>
    <s v="tier - 2"/>
    <s v="tier - 3"/>
    <s v="R1011"/>
    <n v="49"/>
    <n v="45.51"/>
  </r>
  <r>
    <x v="1047"/>
    <s v="Kretz,"/>
    <n v="37.1"/>
    <x v="461"/>
    <s v="Yes"/>
    <x v="0"/>
    <x v="0"/>
    <x v="0"/>
    <x v="1"/>
    <x v="0"/>
    <x v="0"/>
    <n v="13"/>
    <s v="Aug"/>
    <n v="1979"/>
    <d v="1979-08-13T00:00:00"/>
    <n v="8522"/>
    <s v="tier - 2"/>
    <s v="tier - 2"/>
    <s v="R1011"/>
    <n v="47"/>
    <n v="37.1"/>
  </r>
  <r>
    <x v="1048"/>
    <s v="Hempel,"/>
    <n v="30.5"/>
    <x v="537"/>
    <s v="Yes"/>
    <x v="0"/>
    <x v="0"/>
    <x v="0"/>
    <x v="1"/>
    <x v="0"/>
    <x v="0"/>
    <n v="26"/>
    <s v="Jul"/>
    <n v="1977"/>
    <d v="1977-07-26T00:00:00"/>
    <n v="8527.5300000000007"/>
    <s v="tier - 2"/>
    <s v="tier - 2"/>
    <s v="R1013"/>
    <n v="49"/>
    <n v="30.5"/>
  </r>
  <r>
    <x v="1049"/>
    <s v="McBroom,"/>
    <n v="28.16"/>
    <x v="209"/>
    <s v="No"/>
    <x v="0"/>
    <x v="0"/>
    <x v="1"/>
    <x v="1"/>
    <x v="1"/>
    <x v="2"/>
    <n v="24"/>
    <s v="Jul"/>
    <s v="?"/>
    <e v="#VALUE!"/>
    <n v="8534.67"/>
    <s v="tier - 2"/>
    <s v="tier - 3"/>
    <s v="R1024"/>
    <e v="#VALUE!"/>
    <n v="28.16"/>
  </r>
  <r>
    <x v="1050"/>
    <s v="Yoo,"/>
    <n v="29.1"/>
    <x v="407"/>
    <s v="Yes"/>
    <x v="0"/>
    <x v="0"/>
    <x v="0"/>
    <x v="1"/>
    <x v="1"/>
    <x v="2"/>
    <n v="27"/>
    <s v="Dec"/>
    <n v="1981"/>
    <d v="1981-12-27T00:00:00"/>
    <n v="8538.2900000000009"/>
    <s v="tier - 2"/>
    <s v="tier - 3"/>
    <s v="R1024"/>
    <n v="45"/>
    <n v="29.1"/>
  </r>
  <r>
    <x v="1051"/>
    <s v="Rand,"/>
    <n v="30.22"/>
    <x v="346"/>
    <s v="No"/>
    <x v="0"/>
    <x v="0"/>
    <x v="0"/>
    <x v="1"/>
    <x v="0"/>
    <x v="2"/>
    <n v="6"/>
    <s v="Nov"/>
    <n v="1975"/>
    <d v="1975-11-06T00:00:00"/>
    <n v="8539.67"/>
    <s v="tier - 2"/>
    <s v="tier - 3"/>
    <s v="R1011"/>
    <n v="51"/>
    <n v="30.22"/>
  </r>
  <r>
    <x v="1052"/>
    <s v="Wolfe,"/>
    <n v="24.29"/>
    <x v="289"/>
    <s v="No"/>
    <x v="0"/>
    <x v="0"/>
    <x v="0"/>
    <x v="1"/>
    <x v="2"/>
    <x v="0"/>
    <n v="12"/>
    <s v="Dec"/>
    <s v="?"/>
    <e v="#VALUE!"/>
    <n v="8547.69"/>
    <s v="tier - 2"/>
    <s v="tier - 1"/>
    <s v="R1013"/>
    <e v="#VALUE!"/>
    <n v="24.29"/>
  </r>
  <r>
    <x v="1053"/>
    <s v="Vance,"/>
    <n v="29.39"/>
    <x v="193"/>
    <s v="Yes"/>
    <x v="0"/>
    <x v="0"/>
    <x v="0"/>
    <x v="1"/>
    <x v="1"/>
    <x v="2"/>
    <n v="6"/>
    <s v="Aug"/>
    <n v="1975"/>
    <d v="1975-08-06T00:00:00"/>
    <n v="8551.35"/>
    <s v="tier - 2"/>
    <s v="tier - 2"/>
    <s v="R1011"/>
    <n v="51"/>
    <n v="29.39"/>
  </r>
  <r>
    <x v="1054"/>
    <s v="Burnett,"/>
    <n v="25.66"/>
    <x v="471"/>
    <s v="Yes"/>
    <x v="0"/>
    <x v="0"/>
    <x v="1"/>
    <x v="1"/>
    <x v="1"/>
    <x v="2"/>
    <n v="21"/>
    <s v="Aug"/>
    <n v="1975"/>
    <d v="1975-08-21T00:00:00"/>
    <n v="8556.91"/>
    <s v="tier - 2"/>
    <s v="tier - 1"/>
    <s v="R1011"/>
    <n v="51"/>
    <n v="25.66"/>
  </r>
  <r>
    <x v="1055"/>
    <s v="Clason,"/>
    <n v="39.11"/>
    <x v="231"/>
    <s v="No"/>
    <x v="0"/>
    <x v="0"/>
    <x v="0"/>
    <x v="1"/>
    <x v="0"/>
    <x v="1"/>
    <n v="21"/>
    <s v="Sep"/>
    <n v="1988"/>
    <d v="1988-09-21T00:00:00"/>
    <n v="8567.25"/>
    <s v="tier - 2"/>
    <s v="tier - 1"/>
    <s v="R1012"/>
    <n v="38"/>
    <n v="39.11"/>
  </r>
  <r>
    <x v="1056"/>
    <s v="Donnelly,"/>
    <n v="43.78"/>
    <x v="268"/>
    <s v="No"/>
    <x v="0"/>
    <x v="0"/>
    <x v="1"/>
    <x v="1"/>
    <x v="0"/>
    <x v="1"/>
    <n v="26"/>
    <s v="Sep"/>
    <n v="1975"/>
    <d v="1975-09-26T00:00:00"/>
    <n v="8569.86"/>
    <s v="tier - 2"/>
    <s v="tier - 3"/>
    <s v="R1013"/>
    <n v="51"/>
    <n v="43.78"/>
  </r>
  <r>
    <x v="1057"/>
    <s v="Pietz,"/>
    <n v="24.35"/>
    <x v="232"/>
    <s v="No"/>
    <x v="0"/>
    <x v="0"/>
    <x v="0"/>
    <x v="1"/>
    <x v="2"/>
    <x v="0"/>
    <n v="6"/>
    <s v="Dec"/>
    <n v="1982"/>
    <d v="1982-12-06T00:00:00"/>
    <n v="8572.0400000000009"/>
    <s v="tier - 2"/>
    <s v="tier - 2"/>
    <s v="R1021"/>
    <n v="44"/>
    <n v="24.35"/>
  </r>
  <r>
    <x v="1058"/>
    <s v="Tegenkamp,"/>
    <n v="40.299999999999997"/>
    <x v="351"/>
    <s v="Yes"/>
    <x v="0"/>
    <x v="0"/>
    <x v="1"/>
    <x v="1"/>
    <x v="0"/>
    <x v="2"/>
    <n v="11"/>
    <s v="Nov"/>
    <n v="1987"/>
    <d v="1987-11-11T00:00:00"/>
    <n v="8573.2999999999993"/>
    <s v="tier - 2"/>
    <s v="tier - 2"/>
    <s v="R1021"/>
    <n v="39"/>
    <n v="40.299999999999997"/>
  </r>
  <r>
    <x v="1059"/>
    <s v="Dover,"/>
    <n v="32.774999999999999"/>
    <x v="437"/>
    <s v="Yes"/>
    <x v="0"/>
    <x v="0"/>
    <x v="0"/>
    <x v="1"/>
    <x v="0"/>
    <x v="0"/>
    <n v="30"/>
    <s v="Dec"/>
    <n v="1983"/>
    <d v="1983-12-30T00:00:00"/>
    <n v="8582.2999999999993"/>
    <s v="tier - 2"/>
    <s v="tier - 1"/>
    <s v="R1013"/>
    <n v="43"/>
    <n v="32.774999999999999"/>
  </r>
  <r>
    <x v="1060"/>
    <s v="Dockemeyer,"/>
    <n v="39.6"/>
    <x v="78"/>
    <s v="Yes"/>
    <x v="0"/>
    <x v="0"/>
    <x v="1"/>
    <x v="1"/>
    <x v="0"/>
    <x v="2"/>
    <n v="25"/>
    <s v="Jul"/>
    <n v="1983"/>
    <d v="1983-07-25T00:00:00"/>
    <n v="8596.83"/>
    <s v="tier - 2"/>
    <s v="tier - 3"/>
    <s v="R1013"/>
    <n v="43"/>
    <n v="39.6"/>
  </r>
  <r>
    <x v="1061"/>
    <s v="Steele,"/>
    <n v="30.97"/>
    <x v="538"/>
    <s v="No"/>
    <x v="0"/>
    <x v="0"/>
    <x v="1"/>
    <x v="1"/>
    <x v="0"/>
    <x v="2"/>
    <n v="11"/>
    <s v="Jul"/>
    <n v="1973"/>
    <d v="1973-07-11T00:00:00"/>
    <n v="8601.33"/>
    <s v="tier - 2"/>
    <s v="tier - 1"/>
    <s v="R1013"/>
    <n v="53"/>
    <n v="30.97"/>
  </r>
  <r>
    <x v="1062"/>
    <s v="Harel,"/>
    <n v="27.645"/>
    <x v="539"/>
    <s v="Yes"/>
    <x v="0"/>
    <x v="0"/>
    <x v="0"/>
    <x v="1"/>
    <x v="1"/>
    <x v="0"/>
    <n v="24"/>
    <s v="Sep"/>
    <n v="1977"/>
    <d v="1977-09-24T00:00:00"/>
    <n v="8603.82"/>
    <s v="tier - 2"/>
    <s v="tier - 1"/>
    <s v="R1019"/>
    <n v="49"/>
    <n v="27.645"/>
  </r>
  <r>
    <x v="1063"/>
    <s v="Aguila,"/>
    <n v="34.43"/>
    <x v="10"/>
    <s v="Yes"/>
    <x v="0"/>
    <x v="0"/>
    <x v="1"/>
    <x v="1"/>
    <x v="0"/>
    <x v="1"/>
    <n v="12"/>
    <s v="Nov"/>
    <n v="1977"/>
    <d v="1977-11-12T00:00:00"/>
    <n v="8604.48"/>
    <s v="tier - 3"/>
    <s v="tier - 2"/>
    <s v="R1016"/>
    <n v="49"/>
    <n v="34.43"/>
  </r>
  <r>
    <x v="1064"/>
    <s v="Vallejo"/>
    <n v="39.6"/>
    <x v="320"/>
    <s v="Yes"/>
    <x v="0"/>
    <x v="1"/>
    <x v="1"/>
    <x v="1"/>
    <x v="0"/>
    <x v="2"/>
    <n v="15"/>
    <s v="Oct"/>
    <n v="1977"/>
    <d v="1977-10-15T00:00:00"/>
    <n v="8605.36"/>
    <s v="tier - 2"/>
    <s v="tier - 2"/>
    <s v="R1013"/>
    <n v="49"/>
    <n v="39.6"/>
  </r>
  <r>
    <x v="1065"/>
    <s v="Beisheim,"/>
    <n v="22.1"/>
    <x v="346"/>
    <s v="Yes"/>
    <x v="0"/>
    <x v="0"/>
    <x v="1"/>
    <x v="1"/>
    <x v="2"/>
    <x v="2"/>
    <n v="17"/>
    <s v="Jul"/>
    <n v="1979"/>
    <d v="1979-07-17T00:00:00"/>
    <n v="8606.2199999999993"/>
    <s v="tier - 1"/>
    <s v="tier - 2"/>
    <s v="R1014"/>
    <n v="47"/>
    <n v="22.1"/>
  </r>
  <r>
    <x v="1066"/>
    <s v="Lenhoff,"/>
    <n v="33.25"/>
    <x v="407"/>
    <s v="Yes"/>
    <x v="0"/>
    <x v="1"/>
    <x v="1"/>
    <x v="1"/>
    <x v="0"/>
    <x v="2"/>
    <n v="2"/>
    <s v="Sep"/>
    <n v="1977"/>
    <d v="1977-09-02T00:00:00"/>
    <n v="8615.2999999999993"/>
    <s v="tier - 2"/>
    <s v="tier - 3"/>
    <s v="R1011"/>
    <n v="49"/>
    <n v="33.25"/>
  </r>
  <r>
    <x v="1067"/>
    <s v="Wehrwein,"/>
    <n v="33.33"/>
    <x v="540"/>
    <s v="No"/>
    <x v="0"/>
    <x v="0"/>
    <x v="0"/>
    <x v="1"/>
    <x v="0"/>
    <x v="0"/>
    <n v="3"/>
    <s v="Aug"/>
    <n v="1975"/>
    <d v="1975-08-03T00:00:00"/>
    <n v="8627.5400000000009"/>
    <s v="tier - 2"/>
    <s v="tier - 2"/>
    <s v="R1017"/>
    <n v="51"/>
    <n v="33.33"/>
  </r>
  <r>
    <x v="1068"/>
    <s v="Wallace,"/>
    <n v="30.5"/>
    <x v="9"/>
    <s v="No"/>
    <x v="0"/>
    <x v="0"/>
    <x v="0"/>
    <x v="1"/>
    <x v="0"/>
    <x v="0"/>
    <n v="21"/>
    <s v="Oct"/>
    <n v="1965"/>
    <d v="1965-10-21T00:00:00"/>
    <n v="8665.09"/>
    <s v="tier - 3"/>
    <s v="tier - 2"/>
    <s v="R1012"/>
    <n v="61"/>
    <n v="30.5"/>
  </r>
  <r>
    <x v="1069"/>
    <s v="Markowitz,"/>
    <n v="30.3"/>
    <x v="180"/>
    <s v="No"/>
    <x v="0"/>
    <x v="0"/>
    <x v="0"/>
    <x v="1"/>
    <x v="0"/>
    <x v="2"/>
    <n v="10"/>
    <s v="Aug"/>
    <n v="1969"/>
    <d v="1969-08-10T00:00:00"/>
    <n v="8665.14"/>
    <s v="tier - 2"/>
    <s v="tier - 3"/>
    <s v="R1013"/>
    <n v="57"/>
    <n v="30.3"/>
  </r>
  <r>
    <x v="1070"/>
    <s v="Vos,"/>
    <n v="26.22"/>
    <x v="333"/>
    <s v="No"/>
    <x v="0"/>
    <x v="0"/>
    <x v="1"/>
    <x v="1"/>
    <x v="1"/>
    <x v="1"/>
    <n v="16"/>
    <s v="Aug"/>
    <n v="1974"/>
    <d v="1974-08-16T00:00:00"/>
    <n v="8671.19"/>
    <s v="tier - 2"/>
    <s v="tier - 1"/>
    <s v="R1012"/>
    <n v="52"/>
    <n v="26.22"/>
  </r>
  <r>
    <x v="1071"/>
    <s v="McLeod,"/>
    <n v="29.99"/>
    <x v="541"/>
    <s v="No"/>
    <x v="0"/>
    <x v="0"/>
    <x v="0"/>
    <x v="1"/>
    <x v="1"/>
    <x v="0"/>
    <n v="11"/>
    <s v="Oct"/>
    <n v="1973"/>
    <d v="1973-10-11T00:00:00"/>
    <n v="8688.86"/>
    <s v="tier - 2"/>
    <s v="tier - 1"/>
    <s v="R1017"/>
    <n v="53"/>
    <n v="29.99"/>
  </r>
  <r>
    <x v="1072"/>
    <s v="Balcom,"/>
    <n v="36.380000000000003"/>
    <x v="213"/>
    <s v="No"/>
    <x v="0"/>
    <x v="0"/>
    <x v="1"/>
    <x v="1"/>
    <x v="0"/>
    <x v="1"/>
    <n v="28"/>
    <s v="Oct"/>
    <n v="1980"/>
    <d v="1980-10-28T00:00:00"/>
    <n v="8701.84"/>
    <s v="tier - 2"/>
    <s v="tier - 3"/>
    <s v="R1021"/>
    <n v="46"/>
    <n v="36.380000000000003"/>
  </r>
  <r>
    <x v="1073"/>
    <s v="Dirth,"/>
    <n v="31.16"/>
    <x v="228"/>
    <s v="Yes"/>
    <x v="0"/>
    <x v="1"/>
    <x v="1"/>
    <x v="1"/>
    <x v="0"/>
    <x v="2"/>
    <n v="25"/>
    <s v="Jun"/>
    <n v="1973"/>
    <d v="1973-06-25T00:00:00"/>
    <n v="8703.4599999999991"/>
    <s v="tier - 3"/>
    <s v="tier - 3"/>
    <s v="R1011"/>
    <n v="53"/>
    <n v="31.16"/>
  </r>
  <r>
    <x v="1074"/>
    <s v="Inglish,"/>
    <n v="25.55"/>
    <x v="98"/>
    <s v="Yes"/>
    <x v="0"/>
    <x v="0"/>
    <x v="1"/>
    <x v="1"/>
    <x v="1"/>
    <x v="2"/>
    <n v="17"/>
    <s v="Jun"/>
    <n v="1976"/>
    <d v="1976-06-17T00:00:00"/>
    <n v="8733.23"/>
    <s v="tier - 2"/>
    <s v="tier - 3"/>
    <s v="R1012"/>
    <n v="50"/>
    <n v="25.55"/>
  </r>
  <r>
    <x v="1075"/>
    <s v="Matthews,"/>
    <n v="28.77"/>
    <x v="96"/>
    <s v="Yes"/>
    <x v="0"/>
    <x v="0"/>
    <x v="0"/>
    <x v="1"/>
    <x v="1"/>
    <x v="0"/>
    <n v="23"/>
    <s v="Aug"/>
    <n v="1999"/>
    <d v="1999-08-23T00:00:00"/>
    <n v="8747.68"/>
    <s v="tier - 2"/>
    <s v="tier - 3"/>
    <s v="R1011"/>
    <n v="27"/>
    <n v="28.77"/>
  </r>
  <r>
    <x v="1076"/>
    <s v="Massa-Musiak,"/>
    <n v="23.14"/>
    <x v="324"/>
    <s v="Yes"/>
    <x v="0"/>
    <x v="0"/>
    <x v="1"/>
    <x v="1"/>
    <x v="2"/>
    <x v="2"/>
    <n v="9"/>
    <s v="Sep"/>
    <n v="1969"/>
    <d v="1969-09-09T00:00:00"/>
    <n v="8760.1200000000008"/>
    <s v="tier - 2"/>
    <s v="tier - 1"/>
    <s v="R1013"/>
    <n v="57"/>
    <n v="23.14"/>
  </r>
  <r>
    <x v="1077"/>
    <s v="Bailey,"/>
    <n v="39.6"/>
    <x v="542"/>
    <s v="No"/>
    <x v="0"/>
    <x v="0"/>
    <x v="0"/>
    <x v="1"/>
    <x v="0"/>
    <x v="0"/>
    <n v="6"/>
    <s v="Sep"/>
    <n v="1974"/>
    <d v="1974-09-06T00:00:00"/>
    <n v="8765.25"/>
    <s v="tier - 2"/>
    <s v="tier - 3"/>
    <s v="R1012"/>
    <n v="52"/>
    <n v="39.6"/>
  </r>
  <r>
    <x v="1078"/>
    <s v="Jacoby,"/>
    <n v="29.2"/>
    <x v="543"/>
    <s v="No"/>
    <x v="0"/>
    <x v="0"/>
    <x v="0"/>
    <x v="1"/>
    <x v="1"/>
    <x v="0"/>
    <n v="23"/>
    <s v="Aug"/>
    <n v="1971"/>
    <d v="1971-08-23T00:00:00"/>
    <n v="8782.4699999999993"/>
    <s v="tier - 2"/>
    <s v="tier - 3"/>
    <s v="R1011"/>
    <n v="55"/>
    <n v="29.2"/>
  </r>
  <r>
    <x v="1079"/>
    <s v="Crimmings,"/>
    <n v="32.774999999999999"/>
    <x v="544"/>
    <s v="No"/>
    <x v="0"/>
    <x v="0"/>
    <x v="0"/>
    <x v="1"/>
    <x v="0"/>
    <x v="0"/>
    <n v="18"/>
    <s v="Jun"/>
    <n v="1971"/>
    <d v="1971-06-18T00:00:00"/>
    <n v="8798.59"/>
    <s v="tier - 2"/>
    <s v="tier - 1"/>
    <s v="R1011"/>
    <n v="55"/>
    <n v="32.774999999999999"/>
  </r>
  <r>
    <x v="1080"/>
    <s v="Crane,"/>
    <n v="24.035"/>
    <x v="517"/>
    <s v="No"/>
    <x v="0"/>
    <x v="0"/>
    <x v="0"/>
    <x v="1"/>
    <x v="2"/>
    <x v="0"/>
    <n v="29"/>
    <s v="Aug"/>
    <n v="1965"/>
    <d v="1965-08-29T00:00:00"/>
    <n v="8800.49"/>
    <s v="tier - 3"/>
    <s v="tier - 2"/>
    <s v="R1013"/>
    <n v="61"/>
    <n v="24.035"/>
  </r>
  <r>
    <x v="1081"/>
    <s v="Swartzfager,"/>
    <n v="30.55"/>
    <x v="256"/>
    <s v="No"/>
    <x v="0"/>
    <x v="1"/>
    <x v="1"/>
    <x v="1"/>
    <x v="0"/>
    <x v="1"/>
    <n v="7"/>
    <s v="Nov"/>
    <n v="2001"/>
    <d v="2001-11-07T00:00:00"/>
    <n v="8821.8799999999992"/>
    <s v="tier - 2"/>
    <s v="tier - 3"/>
    <s v="R1023"/>
    <n v="25"/>
    <n v="30.55"/>
  </r>
  <r>
    <x v="1082"/>
    <s v="Clevenger,"/>
    <n v="28.81"/>
    <x v="545"/>
    <s v="No"/>
    <x v="0"/>
    <x v="0"/>
    <x v="1"/>
    <x v="1"/>
    <x v="1"/>
    <x v="0"/>
    <n v="14"/>
    <s v="Jun"/>
    <n v="1976"/>
    <d v="1976-06-14T00:00:00"/>
    <n v="8823.2800000000007"/>
    <s v="tier - 2"/>
    <s v="tier - 1"/>
    <s v="R1011"/>
    <n v="50"/>
    <n v="28.81"/>
  </r>
  <r>
    <x v="1083"/>
    <s v="Reichardt,"/>
    <n v="31.66"/>
    <x v="92"/>
    <s v="No"/>
    <x v="0"/>
    <x v="0"/>
    <x v="0"/>
    <x v="1"/>
    <x v="0"/>
    <x v="2"/>
    <n v="19"/>
    <s v="Oct"/>
    <n v="1976"/>
    <d v="1976-10-19T00:00:00"/>
    <n v="8823.99"/>
    <s v="tier - 2"/>
    <s v="tier - 3"/>
    <s v="R1024"/>
    <n v="50"/>
    <n v="31.66"/>
  </r>
  <r>
    <x v="1084"/>
    <s v="Morton,"/>
    <n v="28.215"/>
    <x v="546"/>
    <s v="Yes"/>
    <x v="0"/>
    <x v="0"/>
    <x v="1"/>
    <x v="1"/>
    <x v="1"/>
    <x v="0"/>
    <n v="22"/>
    <s v="Aug"/>
    <n v="1988"/>
    <d v="1988-08-22T00:00:00"/>
    <n v="8824.27"/>
    <s v="tier - 2"/>
    <s v="tier - 1"/>
    <s v="R1025"/>
    <n v="38"/>
    <n v="28.215"/>
  </r>
  <r>
    <x v="1085"/>
    <s v="Sunstrum,"/>
    <n v="26.12"/>
    <x v="547"/>
    <s v="Yes"/>
    <x v="0"/>
    <x v="1"/>
    <x v="1"/>
    <x v="1"/>
    <x v="1"/>
    <x v="2"/>
    <n v="14"/>
    <s v="Jul"/>
    <n v="1976"/>
    <d v="1976-07-14T00:00:00"/>
    <n v="8825.09"/>
    <s v="tier - 2"/>
    <s v="tier - 3"/>
    <s v="R1011"/>
    <n v="50"/>
    <n v="26.12"/>
  </r>
  <r>
    <x v="1086"/>
    <s v="Frownfelter,"/>
    <n v="36.630000000000003"/>
    <x v="548"/>
    <s v="No"/>
    <x v="0"/>
    <x v="0"/>
    <x v="1"/>
    <x v="1"/>
    <x v="0"/>
    <x v="0"/>
    <n v="14"/>
    <s v="Nov"/>
    <n v="1972"/>
    <d v="1972-11-14T00:00:00"/>
    <n v="8827.2099999999991"/>
    <s v="tier - 3"/>
    <s v="tier - 1"/>
    <s v="R1012"/>
    <n v="54"/>
    <n v="36.630000000000003"/>
  </r>
  <r>
    <x v="1087"/>
    <s v="Richter,"/>
    <n v="33.344999999999999"/>
    <x v="522"/>
    <s v="No"/>
    <x v="0"/>
    <x v="0"/>
    <x v="1"/>
    <x v="1"/>
    <x v="0"/>
    <x v="0"/>
    <n v="22"/>
    <s v="Nov"/>
    <n v="1972"/>
    <d v="1972-11-22T00:00:00"/>
    <n v="8835.26"/>
    <s v="tier - 3"/>
    <s v="tier - 2"/>
    <s v="R1012"/>
    <n v="54"/>
    <n v="33.344999999999999"/>
  </r>
  <r>
    <x v="1088"/>
    <s v="England,"/>
    <n v="27.11"/>
    <x v="379"/>
    <s v="No"/>
    <x v="0"/>
    <x v="0"/>
    <x v="0"/>
    <x v="1"/>
    <x v="1"/>
    <x v="0"/>
    <n v="18"/>
    <s v="Jun"/>
    <n v="1974"/>
    <d v="1974-06-18T00:00:00"/>
    <n v="8871.15"/>
    <s v="tier - 2"/>
    <s v="tier - 3"/>
    <s v="R1013"/>
    <n v="52"/>
    <n v="27.11"/>
  </r>
  <r>
    <x v="1089"/>
    <s v="McLean,"/>
    <n v="26.6"/>
    <x v="173"/>
    <s v="Yes"/>
    <x v="0"/>
    <x v="1"/>
    <x v="1"/>
    <x v="1"/>
    <x v="1"/>
    <x v="2"/>
    <n v="9"/>
    <s v="Sep"/>
    <n v="1973"/>
    <d v="1973-09-09T00:00:00"/>
    <n v="8890.59"/>
    <s v="tier - 2"/>
    <s v="tier - 3"/>
    <s v="R1012"/>
    <n v="53"/>
    <n v="26.6"/>
  </r>
  <r>
    <x v="1090"/>
    <s v="Gardner,"/>
    <n v="30.41"/>
    <x v="55"/>
    <s v="No"/>
    <x v="0"/>
    <x v="0"/>
    <x v="0"/>
    <x v="1"/>
    <x v="0"/>
    <x v="0"/>
    <n v="16"/>
    <s v="Dec"/>
    <n v="1978"/>
    <d v="1978-12-16T00:00:00"/>
    <n v="8891.14"/>
    <s v="tier - 2"/>
    <s v="tier - 3"/>
    <s v="R1017"/>
    <n v="48"/>
    <n v="30.41"/>
  </r>
  <r>
    <x v="1091"/>
    <s v="Lane,"/>
    <n v="28.98"/>
    <x v="64"/>
    <s v="No"/>
    <x v="0"/>
    <x v="0"/>
    <x v="1"/>
    <x v="1"/>
    <x v="1"/>
    <x v="0"/>
    <n v="28"/>
    <s v="Nov"/>
    <n v="1997"/>
    <d v="1997-11-28T00:00:00"/>
    <n v="8906.14"/>
    <s v="tier - 2"/>
    <s v="tier - 2"/>
    <s v="R1012"/>
    <n v="29"/>
    <n v="28.98"/>
  </r>
  <r>
    <x v="1092"/>
    <s v="Vonachen,"/>
    <n v="31.24"/>
    <x v="549"/>
    <s v="No"/>
    <x v="0"/>
    <x v="0"/>
    <x v="0"/>
    <x v="1"/>
    <x v="0"/>
    <x v="0"/>
    <n v="6"/>
    <s v="Sep"/>
    <n v="1967"/>
    <d v="1967-09-06T00:00:00"/>
    <n v="8908.4699999999993"/>
    <s v="tier - 3"/>
    <s v="tier - 2"/>
    <s v="R1013"/>
    <n v="59"/>
    <n v="31.24"/>
  </r>
  <r>
    <x v="1093"/>
    <s v="Smith,"/>
    <n v="31.54"/>
    <x v="320"/>
    <s v="No"/>
    <x v="0"/>
    <x v="0"/>
    <x v="0"/>
    <x v="1"/>
    <x v="0"/>
    <x v="2"/>
    <n v="7"/>
    <s v="Jul"/>
    <n v="1975"/>
    <d v="1975-07-07T00:00:00"/>
    <n v="8930.93"/>
    <s v="tier - 2"/>
    <s v="tier - 2"/>
    <s v="R1012"/>
    <n v="51"/>
    <n v="31.54"/>
  </r>
  <r>
    <x v="1094"/>
    <s v="Kidwell,"/>
    <n v="38.6"/>
    <x v="461"/>
    <s v="Yes"/>
    <x v="0"/>
    <x v="0"/>
    <x v="1"/>
    <x v="1"/>
    <x v="0"/>
    <x v="0"/>
    <n v="6"/>
    <s v="Jun"/>
    <n v="1972"/>
    <d v="1972-06-06T00:00:00"/>
    <n v="8932.08"/>
    <s v="tier - 2"/>
    <s v="tier - 1"/>
    <s v="R1011"/>
    <n v="54"/>
    <n v="38.6"/>
  </r>
  <r>
    <x v="1095"/>
    <s v="Betancourth,"/>
    <n v="37.950000000000003"/>
    <x v="87"/>
    <s v="No"/>
    <x v="0"/>
    <x v="0"/>
    <x v="0"/>
    <x v="1"/>
    <x v="0"/>
    <x v="1"/>
    <n v="25"/>
    <s v="Dec"/>
    <n v="1976"/>
    <d v="1976-12-25T00:00:00"/>
    <n v="8944.1200000000008"/>
    <s v="tier - 3"/>
    <s v="tier - 2"/>
    <s v="R1013"/>
    <n v="50"/>
    <n v="37.950000000000003"/>
  </r>
  <r>
    <x v="1096"/>
    <s v="Henstrom,"/>
    <n v="38.97"/>
    <x v="89"/>
    <s v="No"/>
    <x v="0"/>
    <x v="0"/>
    <x v="0"/>
    <x v="1"/>
    <x v="0"/>
    <x v="2"/>
    <n v="27"/>
    <s v="Sep"/>
    <n v="1992"/>
    <d v="1992-09-27T00:00:00"/>
    <n v="8954.99"/>
    <s v="tier - 2"/>
    <s v="tier - 3"/>
    <s v="R1026"/>
    <n v="34"/>
    <n v="38.97"/>
  </r>
  <r>
    <x v="1097"/>
    <s v="Pereira,"/>
    <n v="21.2"/>
    <x v="550"/>
    <s v="No"/>
    <x v="0"/>
    <x v="0"/>
    <x v="0"/>
    <x v="1"/>
    <x v="2"/>
    <x v="0"/>
    <n v="17"/>
    <s v="Aug"/>
    <n v="1974"/>
    <d v="1974-08-17T00:00:00"/>
    <n v="8964.06"/>
    <s v="tier - 3"/>
    <s v="tier - 2"/>
    <s v="R1016"/>
    <n v="52"/>
    <n v="21.2"/>
  </r>
  <r>
    <x v="1098"/>
    <s v="Black,"/>
    <n v="23.96"/>
    <x v="8"/>
    <s v="Yes"/>
    <x v="0"/>
    <x v="1"/>
    <x v="1"/>
    <x v="1"/>
    <x v="2"/>
    <x v="0"/>
    <n v="15"/>
    <s v="Jul"/>
    <n v="1983"/>
    <d v="1983-07-15T00:00:00"/>
    <n v="8965.7999999999993"/>
    <s v="tier - 2"/>
    <s v="tier - 3"/>
    <s v="R1012"/>
    <n v="43"/>
    <n v="23.96"/>
  </r>
  <r>
    <x v="1099"/>
    <s v="Brown,"/>
    <n v="35.93"/>
    <x v="551"/>
    <s v="Yes"/>
    <x v="0"/>
    <x v="0"/>
    <x v="1"/>
    <x v="1"/>
    <x v="0"/>
    <x v="1"/>
    <n v="8"/>
    <s v="Sep"/>
    <n v="1974"/>
    <d v="1974-09-08T00:00:00"/>
    <n v="8968.33"/>
    <s v="tier - 3"/>
    <s v="tier - 2"/>
    <s v="R1011"/>
    <n v="52"/>
    <n v="35.93"/>
  </r>
  <r>
    <x v="1100"/>
    <s v="Reasoner,"/>
    <n v="26.11"/>
    <x v="552"/>
    <s v="Yes"/>
    <x v="0"/>
    <x v="0"/>
    <x v="1"/>
    <x v="1"/>
    <x v="1"/>
    <x v="0"/>
    <n v="21"/>
    <s v="Jul"/>
    <n v="1974"/>
    <d v="1974-07-21T00:00:00"/>
    <n v="8978.19"/>
    <s v="tier - 2"/>
    <s v="tier - 2"/>
    <s v="R1013"/>
    <n v="52"/>
    <n v="26.11"/>
  </r>
  <r>
    <x v="1101"/>
    <s v="Wandzilak,"/>
    <n v="32.299999999999997"/>
    <x v="553"/>
    <s v="No"/>
    <x v="0"/>
    <x v="0"/>
    <x v="1"/>
    <x v="1"/>
    <x v="0"/>
    <x v="0"/>
    <n v="11"/>
    <s v="Oct"/>
    <n v="1973"/>
    <d v="1973-10-11T00:00:00"/>
    <n v="8988.16"/>
    <s v="tier - 2"/>
    <s v="tier - 1"/>
    <s v="R1012"/>
    <n v="53"/>
    <n v="32.299999999999997"/>
  </r>
  <r>
    <x v="1102"/>
    <s v="Carver,"/>
    <n v="28.69"/>
    <x v="554"/>
    <s v="No"/>
    <x v="0"/>
    <x v="0"/>
    <x v="1"/>
    <x v="1"/>
    <x v="1"/>
    <x v="0"/>
    <n v="16"/>
    <s v="Dec"/>
    <n v="1979"/>
    <d v="1979-12-16T00:00:00"/>
    <n v="8998.43"/>
    <s v="tier - 2"/>
    <s v="tier - 1"/>
    <s v="R1025"/>
    <n v="47"/>
    <n v="28.69"/>
  </r>
  <r>
    <x v="1103"/>
    <s v="Borror,"/>
    <n v="31.28"/>
    <x v="455"/>
    <s v="Yes"/>
    <x v="0"/>
    <x v="0"/>
    <x v="1"/>
    <x v="1"/>
    <x v="0"/>
    <x v="0"/>
    <n v="1"/>
    <s v="Dec"/>
    <n v="1993"/>
    <d v="1993-12-01T00:00:00"/>
    <n v="9010.2000000000007"/>
    <s v="tier - 2"/>
    <s v="tier - 3"/>
    <s v="R1026"/>
    <n v="33"/>
    <n v="31.28"/>
  </r>
  <r>
    <x v="1104"/>
    <s v="Saad,"/>
    <n v="30.21"/>
    <x v="555"/>
    <s v="No"/>
    <x v="0"/>
    <x v="0"/>
    <x v="0"/>
    <x v="1"/>
    <x v="0"/>
    <x v="0"/>
    <n v="7"/>
    <s v="Dec"/>
    <n v="1972"/>
    <d v="1972-12-07T00:00:00"/>
    <n v="9048.0300000000007"/>
    <s v="tier - 2"/>
    <s v="tier - 2"/>
    <s v="R1013"/>
    <n v="54"/>
    <n v="30.21"/>
  </r>
  <r>
    <x v="1105"/>
    <s v="Paul,"/>
    <n v="38.28"/>
    <x v="556"/>
    <s v="Yes"/>
    <x v="0"/>
    <x v="0"/>
    <x v="0"/>
    <x v="1"/>
    <x v="0"/>
    <x v="0"/>
    <n v="2"/>
    <s v="Dec"/>
    <n v="1972"/>
    <d v="1972-12-02T00:00:00"/>
    <n v="9058.73"/>
    <s v="tier - 3"/>
    <s v="tier - 2"/>
    <s v="R1013"/>
    <n v="54"/>
    <n v="38.28"/>
  </r>
  <r>
    <x v="1106"/>
    <s v="Trail,"/>
    <n v="29.9"/>
    <x v="254"/>
    <s v="Yes"/>
    <x v="0"/>
    <x v="0"/>
    <x v="0"/>
    <x v="1"/>
    <x v="1"/>
    <x v="0"/>
    <n v="4"/>
    <s v="Nov"/>
    <n v="1977"/>
    <d v="1977-11-04T00:00:00"/>
    <n v="9095.07"/>
    <s v="tier - 2"/>
    <s v="tier - 2"/>
    <s v="R1024"/>
    <n v="49"/>
    <n v="29.9"/>
  </r>
  <r>
    <x v="1107"/>
    <s v="Benton,"/>
    <n v="23.18"/>
    <x v="557"/>
    <s v="Yes"/>
    <x v="0"/>
    <x v="0"/>
    <x v="1"/>
    <x v="1"/>
    <x v="2"/>
    <x v="0"/>
    <n v="9"/>
    <s v="Nov"/>
    <n v="1965"/>
    <d v="1965-11-09T00:00:00"/>
    <n v="9095.94"/>
    <s v="tier - 3"/>
    <s v="tier - 1"/>
    <s v="R1011"/>
    <n v="61"/>
    <n v="23.18"/>
  </r>
  <r>
    <x v="1108"/>
    <s v="Bauman,"/>
    <n v="33.020000000000003"/>
    <x v="103"/>
    <s v="Yes"/>
    <x v="0"/>
    <x v="0"/>
    <x v="0"/>
    <x v="1"/>
    <x v="0"/>
    <x v="2"/>
    <n v="2"/>
    <s v="Dec"/>
    <n v="1977"/>
    <d v="1977-12-02T00:00:00"/>
    <n v="9101.7999999999993"/>
    <s v="tier - 2"/>
    <s v="tier - 1"/>
    <s v="R1011"/>
    <n v="49"/>
    <n v="33.020000000000003"/>
  </r>
  <r>
    <x v="1109"/>
    <s v="Bakula,"/>
    <n v="27.29"/>
    <x v="558"/>
    <s v="No"/>
    <x v="0"/>
    <x v="0"/>
    <x v="1"/>
    <x v="1"/>
    <x v="1"/>
    <x v="1"/>
    <n v="12"/>
    <s v="Aug"/>
    <n v="1970"/>
    <d v="1970-08-12T00:00:00"/>
    <n v="9140.9500000000007"/>
    <s v="tier - 3"/>
    <s v="tier - 3"/>
    <s v="R1013"/>
    <n v="56"/>
    <n v="27.29"/>
  </r>
  <r>
    <x v="1110"/>
    <s v="Edwards,"/>
    <n v="23.18"/>
    <x v="523"/>
    <s v="No"/>
    <x v="0"/>
    <x v="0"/>
    <x v="1"/>
    <x v="1"/>
    <x v="2"/>
    <x v="0"/>
    <n v="18"/>
    <s v="Oct"/>
    <n v="1970"/>
    <d v="1970-10-18T00:00:00"/>
    <n v="9144.57"/>
    <s v="tier - 3"/>
    <s v="tier - 2"/>
    <s v="R1011"/>
    <n v="56"/>
    <n v="23.18"/>
  </r>
  <r>
    <x v="1111"/>
    <s v="Davis,"/>
    <n v="32.659999999999997"/>
    <x v="281"/>
    <s v="Yes"/>
    <x v="0"/>
    <x v="0"/>
    <x v="0"/>
    <x v="1"/>
    <x v="0"/>
    <x v="0"/>
    <n v="8"/>
    <s v="Dec"/>
    <n v="1982"/>
    <d v="1982-12-08T00:00:00"/>
    <n v="9147.5"/>
    <s v="tier - 2"/>
    <s v="tier - 1"/>
    <s v="R1012"/>
    <n v="44"/>
    <n v="32.659999999999997"/>
  </r>
  <r>
    <x v="1112"/>
    <s v="Weiler,"/>
    <n v="30.78"/>
    <x v="445"/>
    <s v="No"/>
    <x v="0"/>
    <x v="0"/>
    <x v="0"/>
    <x v="1"/>
    <x v="0"/>
    <x v="0"/>
    <n v="23"/>
    <s v="Aug"/>
    <n v="1990"/>
    <d v="1990-08-23T00:00:00"/>
    <n v="9159.51"/>
    <s v="tier - 2"/>
    <s v="tier - 2"/>
    <s v="R1021"/>
    <n v="36"/>
    <n v="30.78"/>
  </r>
  <r>
    <x v="1113"/>
    <s v="Schaaf,"/>
    <n v="47.2"/>
    <x v="109"/>
    <s v="Yes"/>
    <x v="0"/>
    <x v="1"/>
    <x v="1"/>
    <x v="1"/>
    <x v="0"/>
    <x v="1"/>
    <n v="24"/>
    <s v="Oct"/>
    <n v="1970"/>
    <d v="1970-10-24T00:00:00"/>
    <n v="9171.75"/>
    <s v="tier - 2"/>
    <s v="tier - 2"/>
    <s v="R1012"/>
    <n v="56"/>
    <n v="47.2"/>
  </r>
  <r>
    <x v="1114"/>
    <s v="Sack,"/>
    <n v="31.6"/>
    <x v="56"/>
    <s v="No"/>
    <x v="0"/>
    <x v="0"/>
    <x v="1"/>
    <x v="1"/>
    <x v="0"/>
    <x v="1"/>
    <n v="29"/>
    <s v="Dec"/>
    <n v="1971"/>
    <d v="1971-12-29T00:00:00"/>
    <n v="9174.14"/>
    <s v="tier - 3"/>
    <s v="tier - 1"/>
    <s v="R1012"/>
    <n v="55"/>
    <n v="31.6"/>
  </r>
  <r>
    <x v="1115"/>
    <s v="Chenard,"/>
    <n v="33.914999999999999"/>
    <x v="483"/>
    <s v="Yes"/>
    <x v="0"/>
    <x v="0"/>
    <x v="1"/>
    <x v="1"/>
    <x v="0"/>
    <x v="0"/>
    <n v="25"/>
    <s v="Dec"/>
    <n v="1973"/>
    <d v="1973-12-25T00:00:00"/>
    <n v="9182.17"/>
    <s v="tier - 2"/>
    <s v="tier - 3"/>
    <s v="R1011"/>
    <n v="53"/>
    <n v="33.914999999999999"/>
  </r>
  <r>
    <x v="1116"/>
    <s v="Williamson,"/>
    <n v="23.54"/>
    <x v="199"/>
    <s v="No"/>
    <x v="0"/>
    <x v="0"/>
    <x v="1"/>
    <x v="1"/>
    <x v="2"/>
    <x v="2"/>
    <n v="10"/>
    <s v="Sep"/>
    <n v="1976"/>
    <d v="1976-09-10T00:00:00"/>
    <n v="9193.84"/>
    <s v="tier - 2"/>
    <s v="tier - 1"/>
    <s v="R1012"/>
    <n v="50"/>
    <n v="23.54"/>
  </r>
  <r>
    <x v="1117"/>
    <s v="Dollas,"/>
    <n v="27.074999999999999"/>
    <x v="498"/>
    <s v="No"/>
    <x v="0"/>
    <x v="0"/>
    <x v="1"/>
    <x v="1"/>
    <x v="1"/>
    <x v="2"/>
    <n v="25"/>
    <s v="Dec"/>
    <n v="1986"/>
    <d v="1986-12-25T00:00:00"/>
    <n v="9210.06"/>
    <s v="tier - 2"/>
    <s v="tier - 3"/>
    <s v="R1021"/>
    <n v="40"/>
    <n v="27.074999999999999"/>
  </r>
  <r>
    <x v="1118"/>
    <s v="Sprague,"/>
    <n v="25.8"/>
    <x v="314"/>
    <s v="Yes"/>
    <x v="0"/>
    <x v="0"/>
    <x v="0"/>
    <x v="1"/>
    <x v="1"/>
    <x v="2"/>
    <n v="5"/>
    <s v="Dec"/>
    <n v="1981"/>
    <d v="1981-12-05T00:00:00"/>
    <n v="9222.4"/>
    <s v="tier - 2"/>
    <s v="tier - 3"/>
    <s v="R1019"/>
    <n v="45"/>
    <n v="25.8"/>
  </r>
  <r>
    <x v="1119"/>
    <s v="Michell,"/>
    <n v="36.1"/>
    <x v="471"/>
    <s v="Yes"/>
    <x v="0"/>
    <x v="1"/>
    <x v="1"/>
    <x v="1"/>
    <x v="0"/>
    <x v="2"/>
    <n v="6"/>
    <s v="Dec"/>
    <n v="1975"/>
    <d v="1975-12-06T00:00:00"/>
    <n v="9225.26"/>
    <s v="tier - 3"/>
    <s v="tier - 3"/>
    <s v="R1015"/>
    <n v="51"/>
    <n v="36.1"/>
  </r>
  <r>
    <x v="1120"/>
    <s v="Datwyler,"/>
    <n v="30.495000000000001"/>
    <x v="299"/>
    <s v="Yes"/>
    <x v="0"/>
    <x v="1"/>
    <x v="1"/>
    <x v="1"/>
    <x v="0"/>
    <x v="1"/>
    <n v="5"/>
    <s v="Oct"/>
    <n v="1980"/>
    <d v="1980-10-05T00:00:00"/>
    <n v="9247.94"/>
    <s v="tier - 2"/>
    <s v="tier - 1"/>
    <s v="R1021"/>
    <n v="46"/>
    <n v="30.495000000000001"/>
  </r>
  <r>
    <x v="1121"/>
    <s v="Mead,"/>
    <n v="21.4"/>
    <x v="559"/>
    <s v="Yes"/>
    <x v="0"/>
    <x v="1"/>
    <x v="1"/>
    <x v="1"/>
    <x v="2"/>
    <x v="1"/>
    <n v="21"/>
    <s v="Aug"/>
    <n v="1974"/>
    <d v="1974-08-21T00:00:00"/>
    <n v="9249.5"/>
    <s v="tier - 2"/>
    <s v="tier - 1"/>
    <s v="R1012"/>
    <n v="52"/>
    <n v="21.4"/>
  </r>
  <r>
    <x v="1122"/>
    <s v="Kennedy,"/>
    <n v="32.299999999999997"/>
    <x v="172"/>
    <s v="No"/>
    <x v="0"/>
    <x v="0"/>
    <x v="0"/>
    <x v="1"/>
    <x v="0"/>
    <x v="0"/>
    <n v="6"/>
    <s v="Aug"/>
    <n v="1971"/>
    <d v="1971-08-06T00:00:00"/>
    <n v="9264.7999999999993"/>
    <s v="tier - 2"/>
    <s v="tier - 1"/>
    <s v="R1011"/>
    <n v="55"/>
    <n v="32.299999999999997"/>
  </r>
  <r>
    <x v="1123"/>
    <s v="Czech,"/>
    <n v="29.78"/>
    <x v="558"/>
    <s v="No"/>
    <x v="0"/>
    <x v="1"/>
    <x v="1"/>
    <x v="1"/>
    <x v="1"/>
    <x v="1"/>
    <n v="27"/>
    <s v="Oct"/>
    <n v="1973"/>
    <d v="1973-10-27T00:00:00"/>
    <n v="9282.48"/>
    <s v="tier - 3"/>
    <s v="tier - 2"/>
    <s v="R1016"/>
    <n v="53"/>
    <n v="29.78"/>
  </r>
  <r>
    <x v="1124"/>
    <s v="O'Brien,"/>
    <n v="34.76"/>
    <x v="560"/>
    <s v="Yes"/>
    <x v="0"/>
    <x v="0"/>
    <x v="1"/>
    <x v="1"/>
    <x v="0"/>
    <x v="1"/>
    <n v="2"/>
    <s v="Jul"/>
    <n v="1971"/>
    <d v="1971-07-02T00:00:00"/>
    <n v="9283.56"/>
    <s v="tier - 2"/>
    <s v="tier - 3"/>
    <s v="R1013"/>
    <n v="55"/>
    <n v="34.76"/>
  </r>
  <r>
    <x v="1125"/>
    <s v="Bachman,"/>
    <n v="18.335000000000001"/>
    <x v="561"/>
    <s v="Yes"/>
    <x v="0"/>
    <x v="0"/>
    <x v="1"/>
    <x v="1"/>
    <x v="3"/>
    <x v="0"/>
    <n v="26"/>
    <s v="Nov"/>
    <n v="1969"/>
    <d v="1969-11-26T00:00:00"/>
    <n v="9285.8700000000008"/>
    <s v="tier - 2"/>
    <s v="tier - 3"/>
    <s v="R1013"/>
    <n v="57"/>
    <n v="18.335000000000001"/>
  </r>
  <r>
    <x v="1126"/>
    <s v="Bednar,"/>
    <n v="32.299999999999997"/>
    <x v="397"/>
    <s v="No"/>
    <x v="0"/>
    <x v="0"/>
    <x v="0"/>
    <x v="1"/>
    <x v="0"/>
    <x v="0"/>
    <n v="16"/>
    <s v="Oct"/>
    <n v="1973"/>
    <d v="1973-10-16T00:00:00"/>
    <n v="9288.0300000000007"/>
    <s v="tier - 2"/>
    <s v="tier - 3"/>
    <s v="R1018"/>
    <n v="53"/>
    <n v="32.299999999999997"/>
  </r>
  <r>
    <x v="1127"/>
    <s v="Daye,"/>
    <n v="27.74"/>
    <x v="408"/>
    <s v="No"/>
    <x v="0"/>
    <x v="0"/>
    <x v="0"/>
    <x v="1"/>
    <x v="1"/>
    <x v="0"/>
    <n v="18"/>
    <s v="Sep"/>
    <n v="1973"/>
    <d v="1973-09-18T00:00:00"/>
    <n v="9290.14"/>
    <s v="tier - 3"/>
    <s v="tier - 3"/>
    <s v="R1016"/>
    <n v="53"/>
    <n v="27.74"/>
  </r>
  <r>
    <x v="1128"/>
    <s v="Clarke,"/>
    <n v="24"/>
    <x v="138"/>
    <s v="Yes"/>
    <x v="0"/>
    <x v="0"/>
    <x v="1"/>
    <x v="1"/>
    <x v="2"/>
    <x v="2"/>
    <n v="3"/>
    <s v="Nov"/>
    <n v="1976"/>
    <d v="1976-11-03T00:00:00"/>
    <n v="9301.89"/>
    <s v="tier - 2"/>
    <s v="tier - 1"/>
    <s v="R1012"/>
    <n v="50"/>
    <n v="24"/>
  </r>
  <r>
    <x v="1129"/>
    <s v="Koren,"/>
    <n v="31.78"/>
    <x v="180"/>
    <s v="Yes"/>
    <x v="0"/>
    <x v="1"/>
    <x v="1"/>
    <x v="1"/>
    <x v="0"/>
    <x v="2"/>
    <n v="16"/>
    <s v="Oct"/>
    <n v="1973"/>
    <d v="1973-10-16T00:00:00"/>
    <n v="9304.7000000000007"/>
    <s v="tier - 3"/>
    <s v="tier - 3"/>
    <s v="R1013"/>
    <n v="53"/>
    <n v="31.78"/>
  </r>
  <r>
    <x v="1130"/>
    <s v="Kuramoto,"/>
    <n v="32.25"/>
    <x v="331"/>
    <s v="Yes"/>
    <x v="0"/>
    <x v="0"/>
    <x v="0"/>
    <x v="1"/>
    <x v="0"/>
    <x v="2"/>
    <n v="8"/>
    <s v="Jun"/>
    <n v="1963"/>
    <d v="1963-06-08T00:00:00"/>
    <n v="9310.81"/>
    <s v="tier - 3"/>
    <s v="tier - 1"/>
    <s v="R1013"/>
    <n v="63"/>
    <n v="32.25"/>
  </r>
  <r>
    <x v="1131"/>
    <s v="Lynn,"/>
    <n v="30.114999999999998"/>
    <x v="115"/>
    <s v="No"/>
    <x v="0"/>
    <x v="0"/>
    <x v="1"/>
    <x v="1"/>
    <x v="0"/>
    <x v="2"/>
    <n v="12"/>
    <s v="Oct"/>
    <n v="1977"/>
    <d v="1977-10-12T00:00:00"/>
    <n v="9315.41"/>
    <s v="tier - 2"/>
    <s v="tier - 1"/>
    <s v="R1024"/>
    <n v="49"/>
    <n v="30.114999999999998"/>
  </r>
  <r>
    <x v="1132"/>
    <s v="Dierksen,"/>
    <n v="22.41"/>
    <x v="64"/>
    <s v="No"/>
    <x v="0"/>
    <x v="0"/>
    <x v="0"/>
    <x v="1"/>
    <x v="2"/>
    <x v="0"/>
    <n v="9"/>
    <s v="Jul"/>
    <n v="1988"/>
    <d v="1988-07-09T00:00:00"/>
    <n v="9320.26"/>
    <s v="tier - 2"/>
    <s v="tier - 1"/>
    <s v="R1012"/>
    <n v="38"/>
    <n v="22.41"/>
  </r>
  <r>
    <x v="1133"/>
    <s v="Zoeller,"/>
    <n v="45.72"/>
    <x v="80"/>
    <s v="Yes"/>
    <x v="0"/>
    <x v="0"/>
    <x v="0"/>
    <x v="1"/>
    <x v="0"/>
    <x v="2"/>
    <n v="12"/>
    <s v="Oct"/>
    <n v="1996"/>
    <d v="1996-10-12T00:00:00"/>
    <n v="9338.61"/>
    <s v="tier - 2"/>
    <s v="tier - 1"/>
    <s v="R1026"/>
    <n v="30"/>
    <n v="45.72"/>
  </r>
  <r>
    <x v="1134"/>
    <s v="Flesch,"/>
    <n v="25"/>
    <x v="134"/>
    <s v="Yes"/>
    <x v="0"/>
    <x v="0"/>
    <x v="1"/>
    <x v="1"/>
    <x v="1"/>
    <x v="2"/>
    <n v="1"/>
    <s v="Jul"/>
    <n v="1988"/>
    <d v="1988-07-01T00:00:00"/>
    <n v="9344.2000000000007"/>
    <s v="tier - 2"/>
    <s v="tier - 1"/>
    <s v="R1021"/>
    <n v="38"/>
    <n v="25"/>
  </r>
  <r>
    <x v="1135"/>
    <s v="Maltby,"/>
    <n v="39.5"/>
    <x v="483"/>
    <s v="No"/>
    <x v="0"/>
    <x v="0"/>
    <x v="0"/>
    <x v="1"/>
    <x v="0"/>
    <x v="0"/>
    <n v="8"/>
    <s v="Oct"/>
    <n v="1971"/>
    <d v="1971-10-08T00:00:00"/>
    <n v="9361.33"/>
    <s v="tier - 3"/>
    <s v="tier - 1"/>
    <s v="R1016"/>
    <n v="55"/>
    <n v="39.5"/>
  </r>
  <r>
    <x v="1136"/>
    <s v="Custance,"/>
    <n v="37.729999999999997"/>
    <x v="562"/>
    <s v="No"/>
    <x v="0"/>
    <x v="0"/>
    <x v="0"/>
    <x v="1"/>
    <x v="0"/>
    <x v="0"/>
    <n v="24"/>
    <s v="Nov"/>
    <n v="1969"/>
    <d v="1969-11-24T00:00:00"/>
    <n v="9377.4500000000007"/>
    <s v="tier - 2"/>
    <s v="tier - 3"/>
    <s v="R1013"/>
    <n v="57"/>
    <n v="37.729999999999997"/>
  </r>
  <r>
    <x v="1137"/>
    <s v="Choi,"/>
    <n v="40.659999999999997"/>
    <x v="220"/>
    <s v="No"/>
    <x v="0"/>
    <x v="0"/>
    <x v="0"/>
    <x v="1"/>
    <x v="0"/>
    <x v="0"/>
    <n v="26"/>
    <s v="Nov"/>
    <n v="1971"/>
    <d v="1971-11-26T00:00:00"/>
    <n v="9377.9"/>
    <s v="tier - 2"/>
    <s v="tier - 1"/>
    <s v="R1013"/>
    <n v="55"/>
    <n v="40.659999999999997"/>
  </r>
  <r>
    <x v="1138"/>
    <s v="Barnett,"/>
    <n v="34.200000000000003"/>
    <x v="563"/>
    <s v="No"/>
    <x v="0"/>
    <x v="0"/>
    <x v="0"/>
    <x v="1"/>
    <x v="0"/>
    <x v="0"/>
    <n v="2"/>
    <s v="Dec"/>
    <n v="1975"/>
    <d v="1975-12-02T00:00:00"/>
    <n v="9380.75"/>
    <s v="tier - 2"/>
    <s v="tier - 2"/>
    <s v="R1024"/>
    <n v="51"/>
    <n v="34.200000000000003"/>
  </r>
  <r>
    <x v="1139"/>
    <s v="Proulx,"/>
    <n v="46.51"/>
    <x v="85"/>
    <s v="No"/>
    <x v="0"/>
    <x v="0"/>
    <x v="1"/>
    <x v="1"/>
    <x v="0"/>
    <x v="1"/>
    <n v="29"/>
    <s v="Dec"/>
    <n v="1971"/>
    <d v="1971-12-29T00:00:00"/>
    <n v="9386.16"/>
    <s v="tier - 3"/>
    <s v="tier - 2"/>
    <s v="R1013"/>
    <n v="55"/>
    <n v="46.51"/>
  </r>
  <r>
    <x v="1140"/>
    <s v="Hamilton,"/>
    <n v="28.88"/>
    <x v="319"/>
    <s v="Yes"/>
    <x v="0"/>
    <x v="1"/>
    <x v="1"/>
    <x v="1"/>
    <x v="1"/>
    <x v="2"/>
    <n v="20"/>
    <s v="Oct"/>
    <n v="1971"/>
    <d v="1971-10-20T00:00:00"/>
    <n v="9391.35"/>
    <s v="tier - 3"/>
    <s v="tier - 3"/>
    <s v="R1011"/>
    <n v="55"/>
    <n v="28.88"/>
  </r>
  <r>
    <x v="1141"/>
    <s v="Lundine,"/>
    <n v="33.914999999999999"/>
    <x v="451"/>
    <s v="No"/>
    <x v="0"/>
    <x v="0"/>
    <x v="0"/>
    <x v="1"/>
    <x v="0"/>
    <x v="0"/>
    <n v="17"/>
    <s v="Oct"/>
    <n v="1976"/>
    <d v="1976-10-17T00:00:00"/>
    <n v="9411.01"/>
    <s v="tier - 2"/>
    <s v="tier - 3"/>
    <s v="R1024"/>
    <n v="50"/>
    <n v="33.914999999999999"/>
  </r>
  <r>
    <x v="1142"/>
    <s v="Paullin,"/>
    <n v="24.32"/>
    <x v="259"/>
    <s v="Yes"/>
    <x v="0"/>
    <x v="1"/>
    <x v="1"/>
    <x v="1"/>
    <x v="2"/>
    <x v="1"/>
    <n v="30"/>
    <s v="Oct"/>
    <n v="1976"/>
    <d v="1976-10-30T00:00:00"/>
    <n v="9414.92"/>
    <s v="tier - 2"/>
    <s v="tier - 2"/>
    <s v="R1011"/>
    <n v="50"/>
    <n v="24.32"/>
  </r>
  <r>
    <x v="1143"/>
    <s v="Delucia,"/>
    <n v="25.8"/>
    <x v="564"/>
    <s v="No"/>
    <x v="0"/>
    <x v="0"/>
    <x v="0"/>
    <x v="1"/>
    <x v="1"/>
    <x v="0"/>
    <n v="3"/>
    <s v="Nov"/>
    <n v="1976"/>
    <d v="1976-11-03T00:00:00"/>
    <n v="9432.93"/>
    <s v="tier - 2"/>
    <s v="tier - 1"/>
    <s v="R1024"/>
    <n v="50"/>
    <n v="25.8"/>
  </r>
  <r>
    <x v="1144"/>
    <s v="Valentine,"/>
    <n v="21.56"/>
    <x v="523"/>
    <s v="No"/>
    <x v="0"/>
    <x v="0"/>
    <x v="0"/>
    <x v="1"/>
    <x v="2"/>
    <x v="0"/>
    <n v="27"/>
    <s v="Nov"/>
    <n v="1974"/>
    <d v="1974-11-27T00:00:00"/>
    <n v="9447.25"/>
    <s v="tier - 2"/>
    <s v="tier - 1"/>
    <s v="R1024"/>
    <n v="52"/>
    <n v="21.56"/>
  </r>
  <r>
    <x v="1145"/>
    <s v="Mohara,"/>
    <n v="31.6"/>
    <x v="421"/>
    <s v="No"/>
    <x v="0"/>
    <x v="0"/>
    <x v="0"/>
    <x v="1"/>
    <x v="0"/>
    <x v="0"/>
    <n v="8"/>
    <s v="Jun"/>
    <n v="1974"/>
    <d v="1974-06-08T00:00:00"/>
    <n v="9447.3799999999992"/>
    <s v="tier - 2"/>
    <s v="tier - 3"/>
    <s v="R1024"/>
    <n v="52"/>
    <n v="31.6"/>
  </r>
  <r>
    <x v="1146"/>
    <s v="Fairbrother,"/>
    <n v="42.93"/>
    <x v="373"/>
    <s v="No"/>
    <x v="0"/>
    <x v="0"/>
    <x v="1"/>
    <x v="1"/>
    <x v="0"/>
    <x v="2"/>
    <n v="14"/>
    <s v="Nov"/>
    <n v="1987"/>
    <d v="1987-11-14T00:00:00"/>
    <n v="9448.42"/>
    <s v="tier - 2"/>
    <s v="tier - 3"/>
    <s v="R1021"/>
    <n v="39"/>
    <n v="42.93"/>
  </r>
  <r>
    <x v="1147"/>
    <s v="Fagan,"/>
    <n v="26.72"/>
    <x v="56"/>
    <s v="No"/>
    <x v="0"/>
    <x v="0"/>
    <x v="1"/>
    <x v="1"/>
    <x v="1"/>
    <x v="1"/>
    <n v="17"/>
    <s v="Jul"/>
    <n v="1979"/>
    <d v="1979-07-17T00:00:00"/>
    <n v="9453.92"/>
    <s v="tier - 2"/>
    <s v="tier - 2"/>
    <s v="R1021"/>
    <n v="47"/>
    <n v="26.72"/>
  </r>
  <r>
    <x v="1148"/>
    <s v="Toth,"/>
    <n v="26.67"/>
    <x v="335"/>
    <s v="No"/>
    <x v="0"/>
    <x v="0"/>
    <x v="1"/>
    <x v="1"/>
    <x v="1"/>
    <x v="1"/>
    <n v="4"/>
    <s v="Jun"/>
    <n v="1969"/>
    <d v="1969-06-04T00:00:00"/>
    <n v="9487.64"/>
    <s v="tier - 2"/>
    <s v="tier - 2"/>
    <s v="R1013"/>
    <n v="57"/>
    <n v="26.67"/>
  </r>
  <r>
    <x v="1149"/>
    <s v="Guinn,"/>
    <n v="42.68"/>
    <x v="565"/>
    <s v="No"/>
    <x v="0"/>
    <x v="0"/>
    <x v="1"/>
    <x v="1"/>
    <x v="0"/>
    <x v="0"/>
    <n v="28"/>
    <s v="Nov"/>
    <n v="1976"/>
    <d v="1976-11-28T00:00:00"/>
    <n v="9500.57"/>
    <s v="tier - 2"/>
    <s v="tier - 3"/>
    <s v="R1017"/>
    <n v="50"/>
    <n v="42.68"/>
  </r>
  <r>
    <x v="1150"/>
    <s v="Rogers,"/>
    <n v="24.31"/>
    <x v="240"/>
    <s v="No"/>
    <x v="0"/>
    <x v="0"/>
    <x v="0"/>
    <x v="1"/>
    <x v="2"/>
    <x v="1"/>
    <n v="24"/>
    <s v="Aug"/>
    <n v="1969"/>
    <d v="1969-08-24T00:00:00"/>
    <n v="9504.31"/>
    <s v="tier - 3"/>
    <s v="tier - 2"/>
    <s v="R1013"/>
    <n v="57"/>
    <n v="24.31"/>
  </r>
  <r>
    <x v="1151"/>
    <s v="Diviney,"/>
    <n v="44.75"/>
    <x v="111"/>
    <s v="Yes"/>
    <x v="0"/>
    <x v="0"/>
    <x v="0"/>
    <x v="1"/>
    <x v="0"/>
    <x v="2"/>
    <n v="22"/>
    <s v="Aug"/>
    <n v="1992"/>
    <d v="1992-08-22T00:00:00"/>
    <n v="9507.68"/>
    <s v="tier - 2"/>
    <s v="tier - 1"/>
    <s v="R1012"/>
    <n v="34"/>
    <n v="44.75"/>
  </r>
  <r>
    <x v="1152"/>
    <s v="Marlatt,"/>
    <n v="30.78"/>
    <x v="566"/>
    <s v="No"/>
    <x v="0"/>
    <x v="0"/>
    <x v="1"/>
    <x v="1"/>
    <x v="0"/>
    <x v="0"/>
    <n v="29"/>
    <s v="Nov"/>
    <n v="1971"/>
    <d v="1971-11-29T00:00:00"/>
    <n v="9528.9"/>
    <s v="tier - 2"/>
    <s v="tier - 2"/>
    <s v="R1011"/>
    <n v="55"/>
    <n v="30.78"/>
  </r>
  <r>
    <x v="1153"/>
    <s v="Ohler,"/>
    <n v="21.86"/>
    <x v="398"/>
    <s v="No"/>
    <x v="0"/>
    <x v="0"/>
    <x v="0"/>
    <x v="1"/>
    <x v="2"/>
    <x v="0"/>
    <n v="21"/>
    <s v="Dec"/>
    <n v="1973"/>
    <d v="1973-12-21T00:00:00"/>
    <n v="9538.65"/>
    <s v="tier - 2"/>
    <s v="tier - 3"/>
    <s v="R1021"/>
    <n v="53"/>
    <n v="21.86"/>
  </r>
  <r>
    <x v="1154"/>
    <s v="Mossler,"/>
    <n v="49.09"/>
    <x v="559"/>
    <s v="Yes"/>
    <x v="0"/>
    <x v="0"/>
    <x v="0"/>
    <x v="1"/>
    <x v="0"/>
    <x v="1"/>
    <n v="28"/>
    <s v="Jul"/>
    <n v="1975"/>
    <d v="1975-07-28T00:00:00"/>
    <n v="9540.17"/>
    <s v="tier - 2"/>
    <s v="tier - 2"/>
    <s v="R1024"/>
    <n v="51"/>
    <n v="49.09"/>
  </r>
  <r>
    <x v="1155"/>
    <s v="Segall,"/>
    <n v="47.74"/>
    <x v="422"/>
    <s v="Yes"/>
    <x v="0"/>
    <x v="0"/>
    <x v="1"/>
    <x v="1"/>
    <x v="0"/>
    <x v="0"/>
    <n v="22"/>
    <s v="Sep"/>
    <n v="1972"/>
    <d v="1972-09-22T00:00:00"/>
    <n v="9541.7000000000007"/>
    <s v="tier - 2"/>
    <s v="tier - 1"/>
    <s v="R1024"/>
    <n v="54"/>
    <n v="47.74"/>
  </r>
  <r>
    <x v="1156"/>
    <s v="Sprieser,"/>
    <n v="30.2"/>
    <x v="500"/>
    <s v="Yes"/>
    <x v="0"/>
    <x v="0"/>
    <x v="1"/>
    <x v="1"/>
    <x v="0"/>
    <x v="0"/>
    <n v="22"/>
    <s v="Sep"/>
    <n v="1972"/>
    <d v="1972-09-22T00:00:00"/>
    <n v="9549.57"/>
    <s v="tier - 2"/>
    <s v="tier - 1"/>
    <s v="R1013"/>
    <n v="54"/>
    <n v="30.2"/>
  </r>
  <r>
    <x v="1157"/>
    <s v="Blanco,"/>
    <n v="33.25"/>
    <x v="511"/>
    <s v="Yes"/>
    <x v="0"/>
    <x v="0"/>
    <x v="1"/>
    <x v="1"/>
    <x v="0"/>
    <x v="0"/>
    <n v="14"/>
    <s v="Aug"/>
    <n v="1974"/>
    <d v="1974-08-14T00:00:00"/>
    <n v="9563.0300000000007"/>
    <s v="tier - 3"/>
    <s v="tier - 1"/>
    <s v="R1011"/>
    <n v="52"/>
    <n v="33.25"/>
  </r>
  <r>
    <x v="1158"/>
    <s v="Sheptock,"/>
    <n v="26.6"/>
    <x v="113"/>
    <s v="Yes"/>
    <x v="0"/>
    <x v="0"/>
    <x v="1"/>
    <x v="1"/>
    <x v="1"/>
    <x v="0"/>
    <n v="1"/>
    <s v="Dec"/>
    <n v="1973"/>
    <d v="1973-12-01T00:00:00"/>
    <n v="9566.99"/>
    <s v="tier - 2"/>
    <s v="tier - 1"/>
    <s v="R1012"/>
    <n v="53"/>
    <n v="26.6"/>
  </r>
  <r>
    <x v="1159"/>
    <s v="Chruniak,"/>
    <n v="26.35"/>
    <x v="200"/>
    <s v="No"/>
    <x v="0"/>
    <x v="0"/>
    <x v="1"/>
    <x v="1"/>
    <x v="1"/>
    <x v="1"/>
    <n v="4"/>
    <s v="Dec"/>
    <n v="1966"/>
    <d v="1966-12-04T00:00:00"/>
    <n v="9582.5400000000009"/>
    <s v="tier - 3"/>
    <s v="tier - 2"/>
    <s v="R1013"/>
    <n v="60"/>
    <n v="26.35"/>
  </r>
  <r>
    <x v="1160"/>
    <s v="Miller,"/>
    <n v="39.994999999999997"/>
    <x v="346"/>
    <s v="No"/>
    <x v="0"/>
    <x v="0"/>
    <x v="0"/>
    <x v="1"/>
    <x v="0"/>
    <x v="2"/>
    <n v="28"/>
    <s v="Nov"/>
    <n v="1973"/>
    <d v="1973-11-28T00:00:00"/>
    <n v="9583.89"/>
    <s v="tier - 2"/>
    <s v="tier - 3"/>
    <s v="R1012"/>
    <n v="53"/>
    <n v="39.994999999999997"/>
  </r>
  <r>
    <x v="1161"/>
    <s v="Theis,"/>
    <n v="22.92"/>
    <x v="231"/>
    <s v="Yes"/>
    <x v="0"/>
    <x v="0"/>
    <x v="1"/>
    <x v="1"/>
    <x v="2"/>
    <x v="1"/>
    <n v="18"/>
    <s v="Oct"/>
    <n v="1981"/>
    <d v="1981-10-18T00:00:00"/>
    <n v="9584.0400000000009"/>
    <s v="tier - 2"/>
    <s v="tier - 1"/>
    <s v="R1021"/>
    <n v="45"/>
    <n v="22.92"/>
  </r>
  <r>
    <x v="1162"/>
    <s v="Sadler,"/>
    <n v="24.78"/>
    <x v="180"/>
    <s v="Yes"/>
    <x v="0"/>
    <x v="0"/>
    <x v="1"/>
    <x v="1"/>
    <x v="2"/>
    <x v="2"/>
    <n v="15"/>
    <s v="Dec"/>
    <n v="1964"/>
    <d v="1964-12-15T00:00:00"/>
    <n v="9597.6299999999992"/>
    <s v="tier - 3"/>
    <s v="tier - 3"/>
    <s v="R1013"/>
    <n v="62"/>
    <n v="24.78"/>
  </r>
  <r>
    <x v="1163"/>
    <s v="Auger,"/>
    <n v="34.07"/>
    <x v="567"/>
    <s v="Yes"/>
    <x v="0"/>
    <x v="0"/>
    <x v="0"/>
    <x v="1"/>
    <x v="0"/>
    <x v="0"/>
    <n v="27"/>
    <s v="Dec"/>
    <n v="1972"/>
    <d v="1972-12-27T00:00:00"/>
    <n v="9617.66"/>
    <s v="tier - 3"/>
    <s v="tier - 3"/>
    <s v="R1016"/>
    <n v="54"/>
    <n v="34.07"/>
  </r>
  <r>
    <x v="1164"/>
    <s v="Steadman,"/>
    <n v="30.14"/>
    <x v="568"/>
    <s v="No"/>
    <x v="0"/>
    <x v="0"/>
    <x v="0"/>
    <x v="1"/>
    <x v="0"/>
    <x v="0"/>
    <n v="29"/>
    <s v="Aug"/>
    <n v="1982"/>
    <d v="1982-08-29T00:00:00"/>
    <n v="9619.18"/>
    <s v="tier - 2"/>
    <s v="tier - 1"/>
    <s v="R1025"/>
    <n v="44"/>
    <n v="30.14"/>
  </r>
  <r>
    <x v="1165"/>
    <s v="McCarron,"/>
    <n v="18.05"/>
    <x v="455"/>
    <s v="No"/>
    <x v="0"/>
    <x v="0"/>
    <x v="0"/>
    <x v="1"/>
    <x v="3"/>
    <x v="0"/>
    <n v="29"/>
    <s v="Oct"/>
    <n v="1975"/>
    <d v="1975-10-29T00:00:00"/>
    <n v="9620.33"/>
    <s v="tier - 3"/>
    <s v="tier - 3"/>
    <s v="R1012"/>
    <n v="51"/>
    <n v="18.05"/>
  </r>
  <r>
    <x v="1166"/>
    <s v="Roecker,"/>
    <n v="37.4"/>
    <x v="519"/>
    <s v="Yes"/>
    <x v="0"/>
    <x v="0"/>
    <x v="1"/>
    <x v="1"/>
    <x v="0"/>
    <x v="0"/>
    <n v="16"/>
    <s v="Dec"/>
    <n v="1970"/>
    <d v="1970-12-16T00:00:00"/>
    <n v="9625.92"/>
    <s v="tier - 2"/>
    <s v="tier - 3"/>
    <s v="R1011"/>
    <n v="56"/>
    <n v="37.4"/>
  </r>
  <r>
    <x v="1167"/>
    <s v="Giumarra,"/>
    <n v="25.75"/>
    <x v="569"/>
    <s v="No"/>
    <x v="0"/>
    <x v="0"/>
    <x v="0"/>
    <x v="1"/>
    <x v="1"/>
    <x v="0"/>
    <n v="23"/>
    <s v="Jun"/>
    <n v="1998"/>
    <d v="1998-06-23T00:00:00"/>
    <n v="9628.7900000000009"/>
    <s v="tier - 2"/>
    <s v="tier - 2"/>
    <s v="R1026"/>
    <n v="28"/>
    <n v="25.75"/>
  </r>
  <r>
    <x v="1168"/>
    <s v="Peters,"/>
    <n v="32.299999999999997"/>
    <x v="161"/>
    <s v="No"/>
    <x v="0"/>
    <x v="0"/>
    <x v="1"/>
    <x v="1"/>
    <x v="0"/>
    <x v="2"/>
    <n v="19"/>
    <s v="Dec"/>
    <n v="1979"/>
    <d v="1979-12-19T00:00:00"/>
    <n v="9630.2999999999993"/>
    <s v="tier - 2"/>
    <s v="tier - 2"/>
    <s v="R1021"/>
    <n v="47"/>
    <n v="32.299999999999997"/>
  </r>
  <r>
    <x v="1169"/>
    <s v="Bower,"/>
    <n v="28.61"/>
    <x v="136"/>
    <s v="No"/>
    <x v="0"/>
    <x v="1"/>
    <x v="1"/>
    <x v="1"/>
    <x v="1"/>
    <x v="1"/>
    <n v="23"/>
    <s v="Oct"/>
    <n v="1972"/>
    <d v="1972-10-23T00:00:00"/>
    <n v="9630.4"/>
    <s v="tier - 2"/>
    <s v="tier - 2"/>
    <s v="R1011"/>
    <n v="54"/>
    <n v="28.61"/>
  </r>
  <r>
    <x v="1170"/>
    <s v="Chen,"/>
    <n v="45.41"/>
    <x v="98"/>
    <s v="No"/>
    <x v="0"/>
    <x v="0"/>
    <x v="1"/>
    <x v="1"/>
    <x v="0"/>
    <x v="2"/>
    <n v="22"/>
    <s v="Jun"/>
    <n v="1968"/>
    <d v="1968-06-22T00:00:00"/>
    <n v="9630.91"/>
    <s v="tier - 3"/>
    <s v="tier - 2"/>
    <s v="R1013"/>
    <n v="58"/>
    <n v="45.41"/>
  </r>
  <r>
    <x v="1171"/>
    <s v="Capriccioso,"/>
    <n v="31.2"/>
    <x v="570"/>
    <s v="Yes"/>
    <x v="0"/>
    <x v="0"/>
    <x v="1"/>
    <x v="1"/>
    <x v="0"/>
    <x v="0"/>
    <n v="30"/>
    <s v="Sep"/>
    <n v="1970"/>
    <d v="1970-09-30T00:00:00"/>
    <n v="9634.5400000000009"/>
    <s v="tier - 2"/>
    <s v="tier - 2"/>
    <s v="R1011"/>
    <n v="56"/>
    <n v="31.2"/>
  </r>
  <r>
    <x v="1172"/>
    <s v="Starbuck,"/>
    <n v="29.83"/>
    <x v="567"/>
    <s v="Yes"/>
    <x v="0"/>
    <x v="0"/>
    <x v="1"/>
    <x v="1"/>
    <x v="1"/>
    <x v="0"/>
    <n v="19"/>
    <s v="Jul"/>
    <n v="1971"/>
    <d v="1971-07-19T00:00:00"/>
    <n v="9644.25"/>
    <s v="tier - 2"/>
    <s v="tier - 1"/>
    <s v="R1012"/>
    <n v="55"/>
    <n v="29.83"/>
  </r>
  <r>
    <x v="1173"/>
    <s v="McMahon,"/>
    <n v="29.06"/>
    <x v="188"/>
    <s v="No"/>
    <x v="0"/>
    <x v="0"/>
    <x v="0"/>
    <x v="1"/>
    <x v="1"/>
    <x v="2"/>
    <n v="8"/>
    <s v="Jul"/>
    <n v="1974"/>
    <d v="1974-07-08T00:00:00"/>
    <n v="9653.81"/>
    <s v="tier - 2"/>
    <s v="tier - 2"/>
    <s v="R1011"/>
    <n v="52"/>
    <n v="29.06"/>
  </r>
  <r>
    <x v="1174"/>
    <s v="Rissell,"/>
    <n v="27.454999999999998"/>
    <x v="296"/>
    <s v="No"/>
    <x v="0"/>
    <x v="0"/>
    <x v="1"/>
    <x v="1"/>
    <x v="1"/>
    <x v="1"/>
    <n v="8"/>
    <s v="Aug"/>
    <n v="1981"/>
    <d v="1981-08-08T00:00:00"/>
    <n v="9664.34"/>
    <s v="tier - 2"/>
    <s v="tier - 3"/>
    <s v="R1011"/>
    <n v="45"/>
    <n v="27.454999999999998"/>
  </r>
  <r>
    <x v="1175"/>
    <s v="Kromroy,"/>
    <n v="23.01"/>
    <x v="60"/>
    <s v="Yes"/>
    <x v="0"/>
    <x v="0"/>
    <x v="1"/>
    <x v="1"/>
    <x v="2"/>
    <x v="1"/>
    <n v="16"/>
    <s v="Sep"/>
    <n v="1966"/>
    <d v="1966-09-16T00:00:00"/>
    <n v="9684.2900000000009"/>
    <s v="tier - 3"/>
    <s v="tier - 2"/>
    <s v="R1013"/>
    <n v="60"/>
    <n v="23.01"/>
  </r>
  <r>
    <x v="1176"/>
    <s v="Manfredi,"/>
    <n v="31.39"/>
    <x v="571"/>
    <s v="Yes"/>
    <x v="0"/>
    <x v="0"/>
    <x v="0"/>
    <x v="1"/>
    <x v="0"/>
    <x v="0"/>
    <n v="7"/>
    <s v="Nov"/>
    <n v="1964"/>
    <d v="1964-11-07T00:00:00"/>
    <n v="9698.42"/>
    <s v="tier - 3"/>
    <s v="tier - 3"/>
    <s v="R1013"/>
    <n v="62"/>
    <n v="31.39"/>
  </r>
  <r>
    <x v="1177"/>
    <s v="Manwaring,"/>
    <n v="34.770000000000003"/>
    <x v="116"/>
    <s v="No"/>
    <x v="0"/>
    <x v="0"/>
    <x v="1"/>
    <x v="1"/>
    <x v="0"/>
    <x v="0"/>
    <n v="19"/>
    <s v="Sep"/>
    <n v="1977"/>
    <d v="1977-09-19T00:00:00"/>
    <n v="9704.67"/>
    <s v="tier - 2"/>
    <s v="tier - 3"/>
    <s v="R1024"/>
    <n v="49"/>
    <n v="34.770000000000003"/>
  </r>
  <r>
    <x v="1178"/>
    <s v="Tomaszewski,"/>
    <n v="24.48"/>
    <x v="161"/>
    <s v="Yes"/>
    <x v="0"/>
    <x v="0"/>
    <x v="1"/>
    <x v="1"/>
    <x v="2"/>
    <x v="2"/>
    <n v="10"/>
    <s v="Jul"/>
    <n v="1972"/>
    <d v="1972-07-10T00:00:00"/>
    <n v="9710.7099999999991"/>
    <s v="tier - 2"/>
    <s v="tier - 1"/>
    <s v="R1021"/>
    <n v="54"/>
    <n v="24.48"/>
  </r>
  <r>
    <x v="1179"/>
    <s v="Gannon,"/>
    <n v="22.61"/>
    <x v="572"/>
    <s v="No"/>
    <x v="0"/>
    <x v="0"/>
    <x v="1"/>
    <x v="1"/>
    <x v="2"/>
    <x v="0"/>
    <n v="27"/>
    <s v="Jun"/>
    <n v="1975"/>
    <d v="1975-06-27T00:00:00"/>
    <n v="9715.84"/>
    <s v="tier - 2"/>
    <s v="tier - 1"/>
    <s v="R1024"/>
    <n v="51"/>
    <n v="22.61"/>
  </r>
  <r>
    <x v="1180"/>
    <s v="Frye,"/>
    <n v="34.299999999999997"/>
    <x v="408"/>
    <s v="No"/>
    <x v="0"/>
    <x v="0"/>
    <x v="0"/>
    <x v="1"/>
    <x v="0"/>
    <x v="0"/>
    <n v="12"/>
    <s v="Sep"/>
    <n v="1970"/>
    <d v="1970-09-12T00:00:00"/>
    <n v="9722.77"/>
    <s v="tier - 3"/>
    <s v="tier - 1"/>
    <s v="R1016"/>
    <n v="56"/>
    <n v="34.299999999999997"/>
  </r>
  <r>
    <x v="1181"/>
    <s v="Jenkins,"/>
    <n v="46.09"/>
    <x v="573"/>
    <s v="No"/>
    <x v="0"/>
    <x v="0"/>
    <x v="1"/>
    <x v="1"/>
    <x v="0"/>
    <x v="2"/>
    <n v="18"/>
    <s v="Aug"/>
    <n v="1970"/>
    <d v="1970-08-18T00:00:00"/>
    <n v="9724.5300000000007"/>
    <s v="tier - 3"/>
    <s v="tier - 1"/>
    <s v="R1011"/>
    <n v="56"/>
    <n v="46.09"/>
  </r>
  <r>
    <x v="1182"/>
    <s v="Currier,"/>
    <n v="44.744999999999997"/>
    <x v="27"/>
    <s v="No"/>
    <x v="0"/>
    <x v="0"/>
    <x v="1"/>
    <x v="1"/>
    <x v="0"/>
    <x v="2"/>
    <n v="4"/>
    <s v="Jul"/>
    <n v="1970"/>
    <d v="1970-07-04T00:00:00"/>
    <n v="9748.91"/>
    <s v="tier - 2"/>
    <s v="tier - 1"/>
    <s v="R1013"/>
    <n v="56"/>
    <n v="44.744999999999997"/>
  </r>
  <r>
    <x v="1183"/>
    <s v="Whittendale,"/>
    <n v="26.33"/>
    <x v="242"/>
    <s v="Yes"/>
    <x v="0"/>
    <x v="0"/>
    <x v="1"/>
    <x v="1"/>
    <x v="1"/>
    <x v="0"/>
    <n v="14"/>
    <s v="Jul"/>
    <n v="2001"/>
    <d v="2001-07-14T00:00:00"/>
    <n v="9753.49"/>
    <s v="tier - 2"/>
    <s v="tier - 2"/>
    <s v="R1012"/>
    <n v="25"/>
    <n v="26.33"/>
  </r>
  <r>
    <x v="1184"/>
    <s v="Rixe,"/>
    <n v="26.6"/>
    <x v="353"/>
    <s v="No"/>
    <x v="0"/>
    <x v="0"/>
    <x v="1"/>
    <x v="1"/>
    <x v="1"/>
    <x v="0"/>
    <n v="5"/>
    <s v="Sep"/>
    <n v="1965"/>
    <d v="1965-09-05T00:00:00"/>
    <n v="9764.08"/>
    <s v="tier - 3"/>
    <s v="tier - 1"/>
    <s v="R1012"/>
    <n v="61"/>
    <n v="26.6"/>
  </r>
  <r>
    <x v="1185"/>
    <s v="Ballon-Landa,"/>
    <n v="27.5"/>
    <x v="481"/>
    <s v="No"/>
    <x v="0"/>
    <x v="0"/>
    <x v="0"/>
    <x v="1"/>
    <x v="1"/>
    <x v="0"/>
    <n v="7"/>
    <s v="Jul"/>
    <n v="1973"/>
    <d v="1973-07-07T00:00:00"/>
    <n v="9778.35"/>
    <s v="tier - 2"/>
    <s v="tier - 2"/>
    <s v="R1024"/>
    <n v="53"/>
    <n v="27.5"/>
  </r>
  <r>
    <x v="1186"/>
    <s v="Zaferos,"/>
    <n v="41.55"/>
    <x v="152"/>
    <s v="No"/>
    <x v="0"/>
    <x v="0"/>
    <x v="1"/>
    <x v="1"/>
    <x v="0"/>
    <x v="2"/>
    <n v="8"/>
    <s v="Aug"/>
    <n v="1996"/>
    <d v="1996-08-08T00:00:00"/>
    <n v="9787.32"/>
    <s v="tier - 2"/>
    <s v="tier - 3"/>
    <s v="R1023"/>
    <n v="30"/>
    <n v="41.55"/>
  </r>
  <r>
    <x v="1187"/>
    <s v="Jackson,"/>
    <n v="41.47"/>
    <x v="574"/>
    <s v="Yes"/>
    <x v="0"/>
    <x v="1"/>
    <x v="1"/>
    <x v="1"/>
    <x v="0"/>
    <x v="2"/>
    <n v="7"/>
    <s v="Jun"/>
    <n v="1977"/>
    <d v="1977-06-07T00:00:00"/>
    <n v="9788.8700000000008"/>
    <s v="tier - 3"/>
    <s v="tier - 2"/>
    <s v="R1013"/>
    <n v="49"/>
    <n v="41.47"/>
  </r>
  <r>
    <x v="1188"/>
    <s v="Evans"/>
    <n v="24.795000000000002"/>
    <x v="3"/>
    <s v="Yes"/>
    <x v="0"/>
    <x v="0"/>
    <x v="0"/>
    <x v="1"/>
    <x v="2"/>
    <x v="1"/>
    <n v="17"/>
    <s v="Sep"/>
    <n v="1973"/>
    <d v="1973-09-17T00:00:00"/>
    <n v="9800.89"/>
    <s v="tier - 2"/>
    <s v="tier - 1"/>
    <s v="R1013"/>
    <n v="53"/>
    <n v="24.795000000000002"/>
  </r>
  <r>
    <x v="1189"/>
    <s v="Samland,"/>
    <n v="29.48"/>
    <x v="505"/>
    <s v="Yes"/>
    <x v="0"/>
    <x v="1"/>
    <x v="1"/>
    <x v="1"/>
    <x v="1"/>
    <x v="2"/>
    <n v="28"/>
    <s v="Jun"/>
    <n v="1972"/>
    <d v="1972-06-28T00:00:00"/>
    <n v="9819.25"/>
    <s v="tier - 2"/>
    <s v="tier - 2"/>
    <s v="R1021"/>
    <n v="54"/>
    <n v="29.48"/>
  </r>
  <r>
    <x v="1190"/>
    <s v="Shapiro,"/>
    <n v="28.09"/>
    <x v="87"/>
    <s v="No"/>
    <x v="0"/>
    <x v="1"/>
    <x v="1"/>
    <x v="1"/>
    <x v="1"/>
    <x v="1"/>
    <n v="26"/>
    <s v="Sep"/>
    <n v="1972"/>
    <d v="1972-09-26T00:00:00"/>
    <n v="9836.2099999999991"/>
    <s v="tier - 2"/>
    <s v="tier - 3"/>
    <s v="R1021"/>
    <n v="54"/>
    <n v="28.09"/>
  </r>
  <r>
    <x v="1191"/>
    <s v="Snitzer,"/>
    <n v="32.729999999999997"/>
    <x v="27"/>
    <s v="No"/>
    <x v="0"/>
    <x v="0"/>
    <x v="1"/>
    <x v="1"/>
    <x v="0"/>
    <x v="2"/>
    <n v="13"/>
    <s v="Aug"/>
    <n v="1992"/>
    <d v="1992-08-13T00:00:00"/>
    <n v="9844.4500000000007"/>
    <s v="tier - 2"/>
    <s v="tier - 1"/>
    <s v="R1012"/>
    <n v="34"/>
    <n v="32.729999999999997"/>
  </r>
  <r>
    <x v="1192"/>
    <s v="Herra"/>
    <n v="27.36"/>
    <x v="254"/>
    <s v="No"/>
    <x v="0"/>
    <x v="0"/>
    <x v="0"/>
    <x v="1"/>
    <x v="1"/>
    <x v="0"/>
    <n v="4"/>
    <s v="Nov"/>
    <n v="1968"/>
    <d v="1968-11-04T00:00:00"/>
    <n v="9850.43"/>
    <s v="tier - 3"/>
    <s v="tier - 3"/>
    <s v="R1011"/>
    <n v="58"/>
    <n v="27.36"/>
  </r>
  <r>
    <x v="1193"/>
    <s v="Watters,"/>
    <n v="27.265000000000001"/>
    <x v="271"/>
    <s v="No"/>
    <x v="0"/>
    <x v="0"/>
    <x v="0"/>
    <x v="1"/>
    <x v="1"/>
    <x v="0"/>
    <n v="23"/>
    <s v="Oct"/>
    <n v="1971"/>
    <d v="1971-10-23T00:00:00"/>
    <n v="9855.1299999999992"/>
    <s v="tier - 2"/>
    <s v="tier - 3"/>
    <s v="R1013"/>
    <n v="55"/>
    <n v="27.265000000000001"/>
  </r>
  <r>
    <x v="1194"/>
    <s v="Steele-Belkin,"/>
    <n v="48.07"/>
    <x v="81"/>
    <s v="Yes"/>
    <x v="0"/>
    <x v="0"/>
    <x v="0"/>
    <x v="1"/>
    <x v="0"/>
    <x v="2"/>
    <n v="17"/>
    <s v="Jul"/>
    <n v="1971"/>
    <d v="1971-07-17T00:00:00"/>
    <n v="9861.0300000000007"/>
    <s v="tier - 2"/>
    <s v="tier - 2"/>
    <s v="R1011"/>
    <n v="55"/>
    <n v="48.07"/>
  </r>
  <r>
    <x v="1195"/>
    <s v="Christensen,"/>
    <n v="30.8"/>
    <x v="182"/>
    <s v="Yes"/>
    <x v="0"/>
    <x v="0"/>
    <x v="0"/>
    <x v="1"/>
    <x v="0"/>
    <x v="2"/>
    <n v="20"/>
    <s v="Oct"/>
    <n v="1969"/>
    <d v="1969-10-20T00:00:00"/>
    <n v="9863.4699999999993"/>
    <s v="tier - 3"/>
    <s v="tier - 3"/>
    <s v="R1012"/>
    <n v="57"/>
    <n v="30.8"/>
  </r>
  <r>
    <x v="1196"/>
    <s v="Hodge,"/>
    <n v="32.299999999999997"/>
    <x v="203"/>
    <s v="Yes"/>
    <x v="0"/>
    <x v="0"/>
    <x v="0"/>
    <x v="1"/>
    <x v="0"/>
    <x v="2"/>
    <n v="9"/>
    <s v="Nov"/>
    <n v="1971"/>
    <d v="1971-11-09T00:00:00"/>
    <n v="9866.2999999999993"/>
    <s v="tier - 2"/>
    <s v="tier - 3"/>
    <s v="R1024"/>
    <n v="55"/>
    <n v="32.299999999999997"/>
  </r>
  <r>
    <x v="1197"/>
    <s v="Rusterholz,"/>
    <n v="39.700000000000003"/>
    <x v="575"/>
    <s v="No"/>
    <x v="0"/>
    <x v="0"/>
    <x v="0"/>
    <x v="1"/>
    <x v="0"/>
    <x v="0"/>
    <n v="13"/>
    <s v="Aug"/>
    <n v="1969"/>
    <d v="1969-08-13T00:00:00"/>
    <n v="9869.81"/>
    <s v="tier - 3"/>
    <s v="tier - 3"/>
    <s v="R1012"/>
    <n v="57"/>
    <n v="39.700000000000003"/>
  </r>
  <r>
    <x v="1198"/>
    <s v="Lafrance,"/>
    <n v="35.97"/>
    <x v="478"/>
    <s v="No"/>
    <x v="0"/>
    <x v="0"/>
    <x v="0"/>
    <x v="1"/>
    <x v="0"/>
    <x v="0"/>
    <n v="6"/>
    <s v="Jul"/>
    <n v="1998"/>
    <d v="1998-07-06T00:00:00"/>
    <n v="9870.59"/>
    <s v="tier - 2"/>
    <s v="tier - 2"/>
    <s v="R1023"/>
    <n v="28"/>
    <n v="35.97"/>
  </r>
  <r>
    <x v="1199"/>
    <s v="Hallis,"/>
    <n v="25.86"/>
    <x v="405"/>
    <s v="Yes"/>
    <x v="0"/>
    <x v="0"/>
    <x v="1"/>
    <x v="1"/>
    <x v="1"/>
    <x v="0"/>
    <n v="22"/>
    <s v="Dec"/>
    <n v="1971"/>
    <d v="1971-12-22T00:00:00"/>
    <n v="9872.7000000000007"/>
    <s v="tier - 2"/>
    <s v="tier - 2"/>
    <s v="R1011"/>
    <n v="55"/>
    <n v="25.86"/>
  </r>
  <r>
    <x v="1200"/>
    <s v="Marshall,"/>
    <n v="30.03"/>
    <x v="73"/>
    <s v="No"/>
    <x v="0"/>
    <x v="0"/>
    <x v="0"/>
    <x v="1"/>
    <x v="0"/>
    <x v="0"/>
    <n v="3"/>
    <s v="Jul"/>
    <n v="1971"/>
    <d v="1971-07-03T00:00:00"/>
    <n v="9875.68"/>
    <s v="tier - 2"/>
    <s v="tier - 3"/>
    <s v="R1024"/>
    <n v="55"/>
    <n v="30.03"/>
  </r>
  <r>
    <x v="1201"/>
    <s v="Salowitz,"/>
    <n v="25.76"/>
    <x v="216"/>
    <s v="Yes"/>
    <x v="0"/>
    <x v="1"/>
    <x v="1"/>
    <x v="1"/>
    <x v="1"/>
    <x v="1"/>
    <n v="3"/>
    <s v="Oct"/>
    <n v="1971"/>
    <d v="1971-10-03T00:00:00"/>
    <n v="9877.61"/>
    <s v="tier - 2"/>
    <s v="tier - 1"/>
    <s v="R1013"/>
    <n v="55"/>
    <n v="25.76"/>
  </r>
  <r>
    <x v="1202"/>
    <s v="Blake,"/>
    <n v="22.42"/>
    <x v="71"/>
    <s v="No"/>
    <x v="0"/>
    <x v="0"/>
    <x v="0"/>
    <x v="1"/>
    <x v="2"/>
    <x v="0"/>
    <n v="8"/>
    <s v="Nov"/>
    <n v="1971"/>
    <d v="1971-11-08T00:00:00"/>
    <n v="9880.07"/>
    <s v="tier - 2"/>
    <s v="tier - 3"/>
    <s v="R1011"/>
    <n v="55"/>
    <n v="22.42"/>
  </r>
  <r>
    <x v="1203"/>
    <s v="Langerak,"/>
    <n v="33.18"/>
    <x v="214"/>
    <s v="Yes"/>
    <x v="0"/>
    <x v="0"/>
    <x v="1"/>
    <x v="1"/>
    <x v="0"/>
    <x v="1"/>
    <n v="5"/>
    <s v="Nov"/>
    <n v="1966"/>
    <d v="1966-11-05T00:00:00"/>
    <n v="9890.23"/>
    <s v="tier - 3"/>
    <s v="tier - 3"/>
    <s v="R1013"/>
    <n v="60"/>
    <n v="33.18"/>
  </r>
  <r>
    <x v="1204"/>
    <s v="Bonilla,"/>
    <n v="43.04"/>
    <x v="229"/>
    <s v="Yes"/>
    <x v="0"/>
    <x v="0"/>
    <x v="0"/>
    <x v="1"/>
    <x v="0"/>
    <x v="1"/>
    <n v="8"/>
    <s v="Jul"/>
    <n v="1996"/>
    <d v="1996-07-08T00:00:00"/>
    <n v="9894.69"/>
    <s v="tier - 2"/>
    <s v="tier - 3"/>
    <s v="R1012"/>
    <n v="30"/>
    <n v="43.04"/>
  </r>
  <r>
    <x v="1205"/>
    <s v="Ciabattoni,"/>
    <n v="34.15"/>
    <x v="325"/>
    <s v="Yes"/>
    <x v="0"/>
    <x v="0"/>
    <x v="1"/>
    <x v="1"/>
    <x v="0"/>
    <x v="2"/>
    <n v="17"/>
    <s v="Aug"/>
    <n v="1962"/>
    <d v="1962-08-17T00:00:00"/>
    <n v="9907.83"/>
    <s v="tier - 3"/>
    <s v="tier - 2"/>
    <s v="R1013"/>
    <n v="64"/>
    <n v="34.15"/>
  </r>
  <r>
    <x v="1206"/>
    <s v="Escanero"/>
    <n v="25.78"/>
    <x v="178"/>
    <s v="No"/>
    <x v="0"/>
    <x v="0"/>
    <x v="0"/>
    <x v="1"/>
    <x v="1"/>
    <x v="1"/>
    <n v="14"/>
    <s v="Sep"/>
    <n v="1972"/>
    <d v="1972-09-14T00:00:00"/>
    <n v="9910.36"/>
    <s v="tier - 2"/>
    <s v="tier - 3"/>
    <s v="R1012"/>
    <n v="54"/>
    <n v="25.78"/>
  </r>
  <r>
    <x v="1207"/>
    <s v="Lowe,"/>
    <n v="21.02"/>
    <x v="383"/>
    <s v="Yes"/>
    <x v="0"/>
    <x v="1"/>
    <x v="1"/>
    <x v="1"/>
    <x v="2"/>
    <x v="0"/>
    <n v="19"/>
    <s v="Aug"/>
    <n v="1985"/>
    <d v="1985-08-19T00:00:00"/>
    <n v="9930.64"/>
    <s v="tier - 2"/>
    <s v="tier - 3"/>
    <s v="R1025"/>
    <n v="41"/>
    <n v="21.02"/>
  </r>
  <r>
    <x v="1208"/>
    <s v="Osmark,"/>
    <n v="37.51"/>
    <x v="576"/>
    <s v="No"/>
    <x v="0"/>
    <x v="0"/>
    <x v="1"/>
    <x v="1"/>
    <x v="0"/>
    <x v="0"/>
    <n v="3"/>
    <s v="Dec"/>
    <n v="1983"/>
    <d v="1983-12-03T00:00:00"/>
    <n v="9931.9599999999991"/>
    <s v="tier - 2"/>
    <s v="tier - 2"/>
    <s v="R1012"/>
    <n v="43"/>
    <n v="37.51"/>
  </r>
  <r>
    <x v="1209"/>
    <s v="Lawson,"/>
    <n v="25.745000000000001"/>
    <x v="184"/>
    <s v="Yes"/>
    <x v="0"/>
    <x v="0"/>
    <x v="0"/>
    <x v="1"/>
    <x v="1"/>
    <x v="1"/>
    <n v="11"/>
    <s v="Sep"/>
    <n v="1964"/>
    <d v="1964-09-11T00:00:00"/>
    <n v="9933.44"/>
    <s v="tier - 3"/>
    <s v="tier - 3"/>
    <s v="R1013"/>
    <n v="62"/>
    <n v="25.745000000000001"/>
  </r>
  <r>
    <x v="1210"/>
    <s v="Warwick,"/>
    <n v="31.35"/>
    <x v="515"/>
    <s v="No"/>
    <x v="0"/>
    <x v="0"/>
    <x v="1"/>
    <x v="1"/>
    <x v="0"/>
    <x v="0"/>
    <n v="26"/>
    <s v="Dec"/>
    <n v="1971"/>
    <d v="1971-12-26T00:00:00"/>
    <n v="9957.7199999999993"/>
    <s v="tier - 2"/>
    <s v="tier - 3"/>
    <s v="R1018"/>
    <n v="55"/>
    <n v="31.35"/>
  </r>
  <r>
    <x v="1211"/>
    <s v="Magnuson,"/>
    <n v="29.83"/>
    <x v="64"/>
    <s v="No"/>
    <x v="0"/>
    <x v="0"/>
    <x v="1"/>
    <x v="1"/>
    <x v="1"/>
    <x v="0"/>
    <n v="6"/>
    <s v="Oct"/>
    <n v="1971"/>
    <d v="1971-10-06T00:00:00"/>
    <n v="9964.06"/>
    <s v="tier - 2"/>
    <s v="tier - 2"/>
    <s v="R1019"/>
    <n v="55"/>
    <n v="29.83"/>
  </r>
  <r>
    <x v="1212"/>
    <s v="Marsh,"/>
    <n v="25.49"/>
    <x v="251"/>
    <s v="Yes"/>
    <x v="0"/>
    <x v="1"/>
    <x v="1"/>
    <x v="1"/>
    <x v="1"/>
    <x v="2"/>
    <n v="11"/>
    <s v="Aug"/>
    <n v="1970"/>
    <d v="1970-08-11T00:00:00"/>
    <n v="9991.0400000000009"/>
    <s v="tier - 2"/>
    <s v="tier - 3"/>
    <s v="R1012"/>
    <n v="56"/>
    <n v="25.49"/>
  </r>
  <r>
    <x v="1213"/>
    <s v="Kari,"/>
    <n v="34.1"/>
    <x v="113"/>
    <s v="No"/>
    <x v="0"/>
    <x v="0"/>
    <x v="0"/>
    <x v="1"/>
    <x v="0"/>
    <x v="0"/>
    <n v="3"/>
    <s v="Jul"/>
    <n v="1988"/>
    <d v="1988-07-03T00:00:00"/>
    <n v="10011.44"/>
    <s v="tier - 3"/>
    <s v="tier - 3"/>
    <s v="R1026"/>
    <n v="38"/>
    <n v="34.1"/>
  </r>
  <r>
    <x v="1214"/>
    <s v="Standiford,"/>
    <n v="25.84"/>
    <x v="348"/>
    <s v="No"/>
    <x v="0"/>
    <x v="0"/>
    <x v="1"/>
    <x v="1"/>
    <x v="1"/>
    <x v="0"/>
    <n v="28"/>
    <s v="Dec"/>
    <n v="1979"/>
    <d v="1979-12-28T00:00:00"/>
    <n v="10027.15"/>
    <s v="tier - 3"/>
    <s v="tier - 1"/>
    <s v="R1021"/>
    <n v="47"/>
    <n v="25.84"/>
  </r>
  <r>
    <x v="1215"/>
    <s v="Sherwin,"/>
    <n v="20.6"/>
    <x v="577"/>
    <s v="No"/>
    <x v="0"/>
    <x v="0"/>
    <x v="0"/>
    <x v="1"/>
    <x v="2"/>
    <x v="0"/>
    <n v="30"/>
    <s v="Aug"/>
    <n v="1974"/>
    <d v="1974-08-30T00:00:00"/>
    <n v="10043.25"/>
    <s v="tier - 3"/>
    <s v="tier - 2"/>
    <s v="R1024"/>
    <n v="52"/>
    <n v="20.6"/>
  </r>
  <r>
    <x v="1216"/>
    <s v="Parker,"/>
    <n v="28.88"/>
    <x v="578"/>
    <s v="No"/>
    <x v="0"/>
    <x v="0"/>
    <x v="0"/>
    <x v="1"/>
    <x v="1"/>
    <x v="0"/>
    <n v="22"/>
    <s v="Aug"/>
    <n v="1969"/>
    <d v="1969-08-22T00:00:00"/>
    <n v="10065.41"/>
    <s v="tier - 3"/>
    <s v="tier - 2"/>
    <s v="R1011"/>
    <n v="57"/>
    <n v="28.88"/>
  </r>
  <r>
    <x v="1217"/>
    <s v="Blekeli,"/>
    <n v="28.24"/>
    <x v="331"/>
    <s v="No"/>
    <x v="0"/>
    <x v="0"/>
    <x v="0"/>
    <x v="1"/>
    <x v="1"/>
    <x v="2"/>
    <n v="27"/>
    <s v="Oct"/>
    <n v="1969"/>
    <d v="1969-10-27T00:00:00"/>
    <n v="10072.06"/>
    <s v="tier - 3"/>
    <s v="tier - 1"/>
    <s v="R1017"/>
    <n v="57"/>
    <n v="28.24"/>
  </r>
  <r>
    <x v="1218"/>
    <s v="Vangampleare,"/>
    <n v="25.46"/>
    <x v="382"/>
    <s v="Yes"/>
    <x v="0"/>
    <x v="0"/>
    <x v="1"/>
    <x v="1"/>
    <x v="1"/>
    <x v="0"/>
    <n v="3"/>
    <s v="Jul"/>
    <n v="1969"/>
    <d v="1969-07-03T00:00:00"/>
    <n v="10085.85"/>
    <s v="tier - 3"/>
    <s v="tier - 3"/>
    <s v="R1011"/>
    <n v="57"/>
    <n v="25.46"/>
  </r>
  <r>
    <x v="1219"/>
    <s v="Hiatt,"/>
    <n v="29.64"/>
    <x v="137"/>
    <s v="Yes"/>
    <x v="0"/>
    <x v="0"/>
    <x v="0"/>
    <x v="1"/>
    <x v="1"/>
    <x v="0"/>
    <n v="19"/>
    <s v="Dec"/>
    <n v="1976"/>
    <d v="1976-12-19T00:00:00"/>
    <n v="10096.969999999999"/>
    <s v="tier - 3"/>
    <s v="tier - 2"/>
    <s v="R1011"/>
    <n v="50"/>
    <n v="29.64"/>
  </r>
  <r>
    <x v="1220"/>
    <s v="Tadesse,"/>
    <n v="31.27"/>
    <x v="579"/>
    <s v="Yes"/>
    <x v="0"/>
    <x v="0"/>
    <x v="1"/>
    <x v="1"/>
    <x v="0"/>
    <x v="0"/>
    <n v="19"/>
    <s v="Oct"/>
    <n v="1972"/>
    <d v="1972-10-19T00:00:00"/>
    <n v="10106.129999999999"/>
    <s v="tier - 3"/>
    <s v="tier - 1"/>
    <s v="R1024"/>
    <n v="54"/>
    <n v="31.27"/>
  </r>
  <r>
    <x v="1221"/>
    <s v="Jaswell,"/>
    <n v="19.95"/>
    <x v="149"/>
    <s v="Yes"/>
    <x v="0"/>
    <x v="0"/>
    <x v="0"/>
    <x v="1"/>
    <x v="2"/>
    <x v="1"/>
    <n v="8"/>
    <s v="Aug"/>
    <n v="1972"/>
    <d v="1972-08-08T00:00:00"/>
    <n v="10107.219999999999"/>
    <s v="tier - 3"/>
    <s v="tier - 1"/>
    <s v="R1013"/>
    <n v="54"/>
    <n v="19.95"/>
  </r>
  <r>
    <x v="1222"/>
    <s v="Phillips-Cook,"/>
    <n v="21.3"/>
    <x v="580"/>
    <s v="No"/>
    <x v="0"/>
    <x v="0"/>
    <x v="1"/>
    <x v="1"/>
    <x v="2"/>
    <x v="0"/>
    <n v="2"/>
    <s v="Jul"/>
    <n v="1975"/>
    <d v="1975-07-02T00:00:00"/>
    <n v="10115.01"/>
    <s v="tier - 3"/>
    <s v="tier - 3"/>
    <s v="R1012"/>
    <n v="51"/>
    <n v="21.3"/>
  </r>
  <r>
    <x v="1223"/>
    <s v="Clark,"/>
    <n v="31.635000000000002"/>
    <x v="496"/>
    <s v="No"/>
    <x v="0"/>
    <x v="0"/>
    <x v="0"/>
    <x v="1"/>
    <x v="0"/>
    <x v="0"/>
    <n v="16"/>
    <s v="Nov"/>
    <n v="1972"/>
    <d v="1972-11-16T00:00:00"/>
    <n v="10118.42"/>
    <s v="tier - 3"/>
    <s v="tier - 3"/>
    <s v="R1011"/>
    <n v="54"/>
    <n v="31.635000000000002"/>
  </r>
  <r>
    <x v="1224"/>
    <s v="Wang,"/>
    <n v="23.9"/>
    <x v="16"/>
    <s v="Yes"/>
    <x v="0"/>
    <x v="0"/>
    <x v="1"/>
    <x v="1"/>
    <x v="2"/>
    <x v="0"/>
    <n v="5"/>
    <s v="Sep"/>
    <n v="1997"/>
    <d v="1997-09-05T00:00:00"/>
    <n v="10139.84"/>
    <s v="tier - 3"/>
    <s v="tier - 2"/>
    <s v="R1012"/>
    <n v="29"/>
    <n v="23.9"/>
  </r>
  <r>
    <x v="1225"/>
    <s v="Desruisseaux,"/>
    <n v="34.15"/>
    <x v="259"/>
    <s v="No"/>
    <x v="0"/>
    <x v="0"/>
    <x v="0"/>
    <x v="1"/>
    <x v="0"/>
    <x v="1"/>
    <n v="30"/>
    <s v="Dec"/>
    <n v="1974"/>
    <d v="1974-12-30T00:00:00"/>
    <n v="10141.14"/>
    <s v="tier - 3"/>
    <s v="tier - 1"/>
    <s v="R1016"/>
    <n v="52"/>
    <n v="34.15"/>
  </r>
  <r>
    <x v="1226"/>
    <s v="Ripp,"/>
    <n v="28.71"/>
    <x v="268"/>
    <s v="No"/>
    <x v="0"/>
    <x v="0"/>
    <x v="0"/>
    <x v="1"/>
    <x v="1"/>
    <x v="1"/>
    <n v="12"/>
    <s v="Jun"/>
    <n v="1981"/>
    <d v="1981-06-12T00:00:00"/>
    <n v="10146.129999999999"/>
    <s v="tier - 3"/>
    <s v="tier - 1"/>
    <s v="R1025"/>
    <n v="45"/>
    <n v="28.71"/>
  </r>
  <r>
    <x v="1227"/>
    <s v="Harris,"/>
    <n v="36.700000000000003"/>
    <x v="234"/>
    <s v="Yes"/>
    <x v="0"/>
    <x v="0"/>
    <x v="1"/>
    <x v="1"/>
    <x v="0"/>
    <x v="0"/>
    <n v="13"/>
    <s v="Oct"/>
    <n v="1973"/>
    <d v="1973-10-13T00:00:00"/>
    <n v="10156.780000000001"/>
    <s v="tier - 3"/>
    <s v="tier - 2"/>
    <s v="R1012"/>
    <n v="53"/>
    <n v="36.700000000000003"/>
  </r>
  <r>
    <x v="1228"/>
    <s v="Shafer,"/>
    <n v="34.1"/>
    <x v="274"/>
    <s v="Yes"/>
    <x v="0"/>
    <x v="0"/>
    <x v="1"/>
    <x v="1"/>
    <x v="0"/>
    <x v="0"/>
    <n v="10"/>
    <s v="Jul"/>
    <n v="1972"/>
    <d v="1972-07-10T00:00:00"/>
    <n v="10160.870000000001"/>
    <s v="tier - 3"/>
    <s v="tier - 3"/>
    <s v="R1025"/>
    <n v="54"/>
    <n v="34.1"/>
  </r>
  <r>
    <x v="1229"/>
    <s v="Hemesath,"/>
    <n v="25.7"/>
    <x v="513"/>
    <s v="No"/>
    <x v="0"/>
    <x v="0"/>
    <x v="0"/>
    <x v="1"/>
    <x v="1"/>
    <x v="2"/>
    <n v="16"/>
    <s v="Oct"/>
    <n v="1985"/>
    <d v="1985-10-16T00:00:00"/>
    <n v="10191.82"/>
    <s v="tier - 3"/>
    <s v="tier - 2"/>
    <s v="R1026"/>
    <n v="41"/>
    <n v="25.7"/>
  </r>
  <r>
    <x v="1230"/>
    <s v="Vinci,"/>
    <n v="21.68"/>
    <x v="581"/>
    <s v="No"/>
    <x v="0"/>
    <x v="0"/>
    <x v="0"/>
    <x v="1"/>
    <x v="2"/>
    <x v="0"/>
    <n v="24"/>
    <s v="Dec"/>
    <n v="1970"/>
    <d v="1970-12-24T00:00:00"/>
    <n v="10197.77"/>
    <s v="tier - 3"/>
    <s v="tier - 1"/>
    <s v="R1024"/>
    <n v="56"/>
    <n v="21.68"/>
  </r>
  <r>
    <x v="1231"/>
    <s v="Diamond-Husmann,"/>
    <n v="25.175000000000001"/>
    <x v="433"/>
    <s v="No"/>
    <x v="0"/>
    <x v="0"/>
    <x v="0"/>
    <x v="1"/>
    <x v="1"/>
    <x v="2"/>
    <n v="26"/>
    <s v="Sep"/>
    <n v="1967"/>
    <d v="1967-09-26T00:00:00"/>
    <n v="10214.64"/>
    <s v="tier - 3"/>
    <s v="tier - 2"/>
    <s v="R1011"/>
    <n v="59"/>
    <n v="25.175000000000001"/>
  </r>
  <r>
    <x v="1232"/>
    <s v="Soto,"/>
    <n v="44.77"/>
    <x v="81"/>
    <s v="No"/>
    <x v="0"/>
    <x v="0"/>
    <x v="1"/>
    <x v="1"/>
    <x v="0"/>
    <x v="2"/>
    <n v="28"/>
    <s v="Jun"/>
    <n v="1967"/>
    <d v="1967-06-28T00:00:00"/>
    <n v="10226.280000000001"/>
    <s v="tier - 3"/>
    <s v="tier - 3"/>
    <s v="R1013"/>
    <n v="59"/>
    <n v="44.77"/>
  </r>
  <r>
    <x v="1233"/>
    <s v="Howard,"/>
    <n v="37.07"/>
    <x v="362"/>
    <s v="No"/>
    <x v="0"/>
    <x v="0"/>
    <x v="1"/>
    <x v="1"/>
    <x v="0"/>
    <x v="2"/>
    <n v="23"/>
    <s v="Sep"/>
    <n v="1968"/>
    <d v="1968-09-23T00:00:00"/>
    <n v="10231.5"/>
    <s v="tier - 3"/>
    <s v="tier - 1"/>
    <s v="R1012"/>
    <n v="58"/>
    <n v="37.07"/>
  </r>
  <r>
    <x v="1234"/>
    <s v="Patrick,"/>
    <n v="39.799999999999997"/>
    <x v="582"/>
    <s v="No"/>
    <x v="0"/>
    <x v="1"/>
    <x v="1"/>
    <x v="1"/>
    <x v="0"/>
    <x v="2"/>
    <n v="15"/>
    <s v="Aug"/>
    <n v="1975"/>
    <d v="1975-08-15T00:00:00"/>
    <n v="10259.129999999999"/>
    <s v="tier - 3"/>
    <s v="tier - 2"/>
    <s v="R1011"/>
    <n v="51"/>
    <n v="39.799999999999997"/>
  </r>
  <r>
    <x v="1235"/>
    <s v="Dacko,"/>
    <n v="26.36"/>
    <x v="536"/>
    <s v="No"/>
    <x v="0"/>
    <x v="1"/>
    <x v="1"/>
    <x v="1"/>
    <x v="1"/>
    <x v="2"/>
    <n v="5"/>
    <s v="Sep"/>
    <n v="1973"/>
    <d v="1973-09-05T00:00:00"/>
    <n v="10264.44"/>
    <s v="tier - 3"/>
    <s v="tier - 2"/>
    <s v="R1012"/>
    <n v="53"/>
    <n v="26.36"/>
  </r>
  <r>
    <x v="1236"/>
    <s v="Glassey,"/>
    <n v="29.925000000000001"/>
    <x v="583"/>
    <s v="No"/>
    <x v="0"/>
    <x v="0"/>
    <x v="1"/>
    <x v="1"/>
    <x v="1"/>
    <x v="0"/>
    <n v="27"/>
    <s v="Nov"/>
    <n v="1973"/>
    <d v="1973-11-27T00:00:00"/>
    <n v="10269.459999999999"/>
    <s v="tier - 3"/>
    <s v="tier - 3"/>
    <s v="R1012"/>
    <n v="53"/>
    <n v="29.925000000000001"/>
  </r>
  <r>
    <x v="1237"/>
    <s v="Frechette,"/>
    <n v="37.29"/>
    <x v="283"/>
    <s v="No"/>
    <x v="0"/>
    <x v="0"/>
    <x v="0"/>
    <x v="1"/>
    <x v="0"/>
    <x v="0"/>
    <n v="21"/>
    <s v="Jun"/>
    <n v="1970"/>
    <d v="1970-06-21T00:00:00"/>
    <n v="10274.33"/>
    <s v="tier - 3"/>
    <s v="tier - 1"/>
    <s v="R1024"/>
    <n v="56"/>
    <n v="37.29"/>
  </r>
  <r>
    <x v="1238"/>
    <s v="Benitez,"/>
    <n v="30.2"/>
    <x v="497"/>
    <s v="No"/>
    <x v="0"/>
    <x v="0"/>
    <x v="0"/>
    <x v="1"/>
    <x v="0"/>
    <x v="0"/>
    <n v="14"/>
    <s v="Sep"/>
    <n v="1988"/>
    <d v="1988-09-14T00:00:00"/>
    <n v="10276.99"/>
    <s v="tier - 3"/>
    <s v="tier - 1"/>
    <s v="R1021"/>
    <n v="38"/>
    <n v="30.2"/>
  </r>
  <r>
    <x v="1239"/>
    <s v="Gauthier,"/>
    <n v="24.225000000000001"/>
    <x v="69"/>
    <s v="Yes"/>
    <x v="0"/>
    <x v="1"/>
    <x v="1"/>
    <x v="1"/>
    <x v="2"/>
    <x v="2"/>
    <n v="24"/>
    <s v="Sep"/>
    <n v="1963"/>
    <d v="1963-09-24T00:00:00"/>
    <n v="10308.040000000001"/>
    <s v="tier - 3"/>
    <s v="tier - 1"/>
    <s v="R1013"/>
    <n v="63"/>
    <n v="24.225000000000001"/>
  </r>
  <r>
    <x v="1240"/>
    <s v="Fazioli,"/>
    <n v="31.445"/>
    <x v="507"/>
    <s v="No"/>
    <x v="0"/>
    <x v="0"/>
    <x v="0"/>
    <x v="1"/>
    <x v="0"/>
    <x v="0"/>
    <n v="12"/>
    <s v="Jul"/>
    <n v="1962"/>
    <d v="1962-07-12T00:00:00"/>
    <n v="10310.780000000001"/>
    <s v="tier - 3"/>
    <s v="tier - 3"/>
    <s v="R1012"/>
    <n v="64"/>
    <n v="31.445"/>
  </r>
  <r>
    <x v="1241"/>
    <s v="Chorney,"/>
    <n v="38.880000000000003"/>
    <x v="144"/>
    <s v="No"/>
    <x v="0"/>
    <x v="0"/>
    <x v="1"/>
    <x v="1"/>
    <x v="0"/>
    <x v="2"/>
    <n v="17"/>
    <s v="Nov"/>
    <n v="1991"/>
    <d v="1991-11-17T00:00:00"/>
    <n v="10315.91"/>
    <s v="tier - 3"/>
    <s v="tier - 2"/>
    <s v="R1012"/>
    <n v="35"/>
    <n v="38.880000000000003"/>
  </r>
  <r>
    <x v="1242"/>
    <s v="Dannenhauer,"/>
    <n v="43.89"/>
    <x v="147"/>
    <s v="Yes"/>
    <x v="0"/>
    <x v="0"/>
    <x v="0"/>
    <x v="1"/>
    <x v="0"/>
    <x v="1"/>
    <n v="21"/>
    <s v="Aug"/>
    <n v="1991"/>
    <d v="1991-08-21T00:00:00"/>
    <n v="10322.9"/>
    <s v="tier - 3"/>
    <s v="tier - 1"/>
    <s v="R1026"/>
    <n v="35"/>
    <n v="43.89"/>
  </r>
  <r>
    <x v="1243"/>
    <s v="McComb,"/>
    <n v="25.6"/>
    <x v="120"/>
    <s v="No"/>
    <x v="0"/>
    <x v="0"/>
    <x v="1"/>
    <x v="1"/>
    <x v="1"/>
    <x v="2"/>
    <n v="1"/>
    <s v="Dec"/>
    <n v="1970"/>
    <d v="1970-12-01T00:00:00"/>
    <n v="10325.209999999999"/>
    <s v="tier - 3"/>
    <s v="tier - 3"/>
    <s v="R1011"/>
    <n v="56"/>
    <n v="25.6"/>
  </r>
  <r>
    <x v="1244"/>
    <s v="Blake,"/>
    <n v="29.545000000000002"/>
    <x v="12"/>
    <s v="Yes"/>
    <x v="0"/>
    <x v="0"/>
    <x v="1"/>
    <x v="1"/>
    <x v="1"/>
    <x v="0"/>
    <n v="21"/>
    <s v="Jul"/>
    <n v="1982"/>
    <d v="1982-07-21T00:00:00"/>
    <n v="10329.06"/>
    <s v="tier - 3"/>
    <s v="tier - 1"/>
    <s v="R1021"/>
    <n v="44"/>
    <n v="29.545000000000002"/>
  </r>
  <r>
    <x v="1245"/>
    <s v="Sambasivam,"/>
    <n v="23.25"/>
    <x v="497"/>
    <s v="Yes"/>
    <x v="0"/>
    <x v="0"/>
    <x v="0"/>
    <x v="1"/>
    <x v="2"/>
    <x v="0"/>
    <n v="19"/>
    <s v="Jul"/>
    <n v="1968"/>
    <d v="1968-07-19T00:00:00"/>
    <n v="10338.93"/>
    <s v="tier - 3"/>
    <s v="tier - 1"/>
    <s v="R1013"/>
    <n v="58"/>
    <n v="23.25"/>
  </r>
  <r>
    <x v="1246"/>
    <s v="Maina,"/>
    <n v="43.95"/>
    <x v="584"/>
    <s v="Yes"/>
    <x v="0"/>
    <x v="1"/>
    <x v="1"/>
    <x v="1"/>
    <x v="0"/>
    <x v="2"/>
    <n v="8"/>
    <s v="Aug"/>
    <n v="1973"/>
    <d v="1973-08-08T00:00:00"/>
    <n v="10345.93"/>
    <s v="tier - 3"/>
    <s v="tier - 2"/>
    <s v="R1021"/>
    <n v="53"/>
    <n v="43.95"/>
  </r>
  <r>
    <x v="1247"/>
    <s v="Keshian,"/>
    <n v="21.85"/>
    <x v="545"/>
    <s v="No"/>
    <x v="0"/>
    <x v="0"/>
    <x v="0"/>
    <x v="1"/>
    <x v="2"/>
    <x v="0"/>
    <n v="29"/>
    <s v="Sep"/>
    <n v="1974"/>
    <d v="1974-09-29T00:00:00"/>
    <n v="10352.48"/>
    <s v="tier - 3"/>
    <s v="tier - 1"/>
    <s v="R1012"/>
    <n v="52"/>
    <n v="21.85"/>
  </r>
  <r>
    <x v="1248"/>
    <s v="Maas,"/>
    <n v="25.73"/>
    <x v="585"/>
    <s v="No"/>
    <x v="0"/>
    <x v="0"/>
    <x v="1"/>
    <x v="1"/>
    <x v="1"/>
    <x v="0"/>
    <n v="17"/>
    <s v="Jun"/>
    <n v="1969"/>
    <d v="1969-06-17T00:00:00"/>
    <n v="10355.64"/>
    <s v="tier - 3"/>
    <s v="tier - 1"/>
    <s v="R1012"/>
    <n v="57"/>
    <n v="25.73"/>
  </r>
  <r>
    <x v="1249"/>
    <s v="Sinasac,"/>
    <n v="32.229999999999997"/>
    <x v="349"/>
    <s v="No"/>
    <x v="0"/>
    <x v="0"/>
    <x v="0"/>
    <x v="1"/>
    <x v="0"/>
    <x v="0"/>
    <n v="6"/>
    <s v="Sep"/>
    <n v="1971"/>
    <d v="1971-09-06T00:00:00"/>
    <n v="10356.67"/>
    <s v="tier - 3"/>
    <s v="tier - 1"/>
    <s v="R1025"/>
    <n v="55"/>
    <n v="32.229999999999997"/>
  </r>
  <r>
    <x v="1250"/>
    <s v="Van"/>
    <n v="32.204999999999998"/>
    <x v="105"/>
    <s v="No"/>
    <x v="0"/>
    <x v="0"/>
    <x v="1"/>
    <x v="1"/>
    <x v="0"/>
    <x v="1"/>
    <n v="29"/>
    <s v="Sep"/>
    <n v="1973"/>
    <d v="1973-09-29T00:00:00"/>
    <n v="10370.91"/>
    <s v="tier - 3"/>
    <s v="tier - 3"/>
    <s v="R1024"/>
    <n v="53"/>
    <n v="32.204999999999998"/>
  </r>
  <r>
    <x v="1251"/>
    <s v="Ruffo,"/>
    <n v="26.41"/>
    <x v="336"/>
    <s v="No"/>
    <x v="0"/>
    <x v="0"/>
    <x v="1"/>
    <x v="1"/>
    <x v="1"/>
    <x v="2"/>
    <n v="19"/>
    <s v="Sep"/>
    <n v="1973"/>
    <d v="1973-09-19T00:00:00"/>
    <n v="10381.48"/>
    <s v="tier - 3"/>
    <s v="tier - 3"/>
    <s v="R1013"/>
    <n v="53"/>
    <n v="26.41"/>
  </r>
  <r>
    <x v="1252"/>
    <s v="Long,"/>
    <n v="30.2"/>
    <x v="178"/>
    <s v="Yes"/>
    <x v="0"/>
    <x v="0"/>
    <x v="0"/>
    <x v="1"/>
    <x v="0"/>
    <x v="1"/>
    <n v="7"/>
    <s v="Jul"/>
    <n v="1969"/>
    <d v="1969-07-07T00:00:00"/>
    <n v="10403.27"/>
    <s v="tier - 3"/>
    <s v="tier - 2"/>
    <s v="R1020"/>
    <n v="57"/>
    <n v="30.2"/>
  </r>
  <r>
    <x v="1253"/>
    <s v="Rohde,"/>
    <n v="31.26"/>
    <x v="423"/>
    <s v="Yes"/>
    <x v="0"/>
    <x v="0"/>
    <x v="1"/>
    <x v="1"/>
    <x v="0"/>
    <x v="1"/>
    <n v="5"/>
    <s v="Jun"/>
    <n v="1975"/>
    <d v="1975-06-05T00:00:00"/>
    <n v="10407.09"/>
    <s v="tier - 3"/>
    <s v="tier - 1"/>
    <s v="R1015"/>
    <n v="51"/>
    <n v="31.26"/>
  </r>
  <r>
    <x v="1254"/>
    <s v="Bonzi,"/>
    <n v="33.725000000000001"/>
    <x v="586"/>
    <s v="Yes"/>
    <x v="0"/>
    <x v="0"/>
    <x v="0"/>
    <x v="1"/>
    <x v="0"/>
    <x v="1"/>
    <n v="24"/>
    <s v="Oct"/>
    <n v="1980"/>
    <d v="1980-10-24T00:00:00"/>
    <n v="10407.98"/>
    <s v="tier - 3"/>
    <s v="tier - 1"/>
    <s v="R1021"/>
    <n v="46"/>
    <n v="33.725000000000001"/>
  </r>
  <r>
    <x v="1255"/>
    <s v="Moore,"/>
    <n v="28.9"/>
    <x v="299"/>
    <s v="Yes"/>
    <x v="0"/>
    <x v="0"/>
    <x v="0"/>
    <x v="1"/>
    <x v="1"/>
    <x v="1"/>
    <n v="11"/>
    <s v="Oct"/>
    <n v="1973"/>
    <d v="1973-10-11T00:00:00"/>
    <n v="10419.59"/>
    <s v="tier - 3"/>
    <s v="tier - 2"/>
    <s v="R1025"/>
    <n v="53"/>
    <n v="28.9"/>
  </r>
  <r>
    <x v="1256"/>
    <s v="McGrane,"/>
    <n v="45.69"/>
    <x v="46"/>
    <s v="Yes"/>
    <x v="0"/>
    <x v="0"/>
    <x v="0"/>
    <x v="1"/>
    <x v="0"/>
    <x v="2"/>
    <n v="25"/>
    <s v="Nov"/>
    <n v="1979"/>
    <d v="1979-11-25T00:00:00"/>
    <n v="10419.65"/>
    <s v="tier - 3"/>
    <s v="tier - 2"/>
    <s v="R1025"/>
    <n v="47"/>
    <n v="45.69"/>
  </r>
  <r>
    <x v="1257"/>
    <s v="Stepnowski,"/>
    <n v="21.03"/>
    <x v="363"/>
    <s v="No"/>
    <x v="0"/>
    <x v="0"/>
    <x v="0"/>
    <x v="1"/>
    <x v="2"/>
    <x v="0"/>
    <n v="27"/>
    <s v="Dec"/>
    <n v="1968"/>
    <d v="1968-12-27T00:00:00"/>
    <n v="10422.92"/>
    <s v="tier - 3"/>
    <s v="tier - 1"/>
    <s v="R1017"/>
    <n v="58"/>
    <n v="21.03"/>
  </r>
  <r>
    <x v="1258"/>
    <s v="Merkle,"/>
    <n v="37"/>
    <x v="355"/>
    <s v="No"/>
    <x v="0"/>
    <x v="0"/>
    <x v="0"/>
    <x v="1"/>
    <x v="0"/>
    <x v="0"/>
    <n v="23"/>
    <s v="Aug"/>
    <n v="1968"/>
    <d v="1968-08-23T00:00:00"/>
    <n v="10435.07"/>
    <s v="tier - 3"/>
    <s v="tier - 1"/>
    <s v="R1016"/>
    <n v="58"/>
    <n v="37"/>
  </r>
  <r>
    <x v="1259"/>
    <s v="Schaefer,"/>
    <n v="25.4"/>
    <x v="497"/>
    <s v="No"/>
    <x v="0"/>
    <x v="0"/>
    <x v="0"/>
    <x v="1"/>
    <x v="1"/>
    <x v="0"/>
    <n v="29"/>
    <s v="Aug"/>
    <n v="1968"/>
    <d v="1968-08-29T00:00:00"/>
    <n v="10436.1"/>
    <s v="tier - 3"/>
    <s v="tier - 3"/>
    <s v="R1011"/>
    <n v="58"/>
    <n v="25.4"/>
  </r>
  <r>
    <x v="1260"/>
    <s v="Vigneron,"/>
    <n v="32.299999999999997"/>
    <x v="116"/>
    <s v="No"/>
    <x v="0"/>
    <x v="0"/>
    <x v="0"/>
    <x v="1"/>
    <x v="0"/>
    <x v="0"/>
    <n v="8"/>
    <s v="Nov"/>
    <n v="1968"/>
    <d v="1968-11-08T00:00:00"/>
    <n v="10450.549999999999"/>
    <s v="tier - 3"/>
    <s v="tier - 1"/>
    <s v="R1011"/>
    <n v="58"/>
    <n v="32.299999999999997"/>
  </r>
  <r>
    <x v="1261"/>
    <s v="Mucci,"/>
    <n v="23.94"/>
    <x v="117"/>
    <s v="Yes"/>
    <x v="0"/>
    <x v="1"/>
    <x v="1"/>
    <x v="1"/>
    <x v="2"/>
    <x v="2"/>
    <n v="14"/>
    <s v="Oct"/>
    <n v="1964"/>
    <d v="1964-10-14T00:00:00"/>
    <n v="10455.1"/>
    <s v="tier - 3"/>
    <s v="tier - 1"/>
    <s v="R1012"/>
    <n v="62"/>
    <n v="23.94"/>
  </r>
  <r>
    <x v="1262"/>
    <s v="MacDonald,"/>
    <n v="46.4"/>
    <x v="268"/>
    <s v="No"/>
    <x v="0"/>
    <x v="0"/>
    <x v="0"/>
    <x v="1"/>
    <x v="0"/>
    <x v="1"/>
    <n v="3"/>
    <s v="Aug"/>
    <n v="1976"/>
    <d v="1976-08-03T00:00:00"/>
    <n v="10455.14"/>
    <s v="tier - 3"/>
    <s v="tier - 2"/>
    <s v="R1021"/>
    <n v="50"/>
    <n v="46.4"/>
  </r>
  <r>
    <x v="1263"/>
    <s v="Deng,"/>
    <n v="40.375"/>
    <x v="178"/>
    <s v="Yes"/>
    <x v="0"/>
    <x v="0"/>
    <x v="0"/>
    <x v="1"/>
    <x v="0"/>
    <x v="1"/>
    <n v="27"/>
    <s v="Jul"/>
    <n v="1964"/>
    <d v="1964-07-27T00:00:00"/>
    <n v="10459.19"/>
    <s v="tier - 3"/>
    <s v="tier - 1"/>
    <s v="R1013"/>
    <n v="62"/>
    <n v="40.375"/>
  </r>
  <r>
    <x v="1264"/>
    <s v="De"/>
    <n v="28.7"/>
    <x v="301"/>
    <s v="No"/>
    <x v="0"/>
    <x v="0"/>
    <x v="1"/>
    <x v="1"/>
    <x v="1"/>
    <x v="0"/>
    <n v="22"/>
    <s v="Sep"/>
    <n v="1969"/>
    <d v="1969-09-22T00:00:00"/>
    <n v="10461.98"/>
    <s v="tier - 3"/>
    <s v="tier - 1"/>
    <s v="R1012"/>
    <n v="57"/>
    <n v="28.7"/>
  </r>
  <r>
    <x v="1265"/>
    <s v="Strickland,"/>
    <n v="26.63"/>
    <x v="155"/>
    <s v="No"/>
    <x v="0"/>
    <x v="0"/>
    <x v="0"/>
    <x v="1"/>
    <x v="1"/>
    <x v="1"/>
    <n v="28"/>
    <s v="Jun"/>
    <n v="1987"/>
    <d v="1987-06-28T00:00:00"/>
    <n v="10464.83"/>
    <s v="tier - 3"/>
    <s v="tier - 1"/>
    <s v="R1012"/>
    <n v="39"/>
    <n v="26.63"/>
  </r>
  <r>
    <x v="1266"/>
    <s v="Cheney,"/>
    <n v="22.515000000000001"/>
    <x v="587"/>
    <s v="No"/>
    <x v="0"/>
    <x v="0"/>
    <x v="1"/>
    <x v="1"/>
    <x v="2"/>
    <x v="0"/>
    <n v="21"/>
    <s v="Aug"/>
    <n v="1978"/>
    <d v="1978-08-21T00:00:00"/>
    <n v="10486.55"/>
    <s v="tier - 3"/>
    <s v="tier - 3"/>
    <s v="R1025"/>
    <n v="48"/>
    <n v="22.515000000000001"/>
  </r>
  <r>
    <x v="1267"/>
    <s v="Godoy,"/>
    <n v="36.575000000000003"/>
    <x v="453"/>
    <s v="No"/>
    <x v="0"/>
    <x v="0"/>
    <x v="0"/>
    <x v="1"/>
    <x v="0"/>
    <x v="0"/>
    <n v="19"/>
    <s v="Oct"/>
    <n v="1972"/>
    <d v="1972-10-19T00:00:00"/>
    <n v="10493.95"/>
    <s v="tier - 3"/>
    <s v="tier - 1"/>
    <s v="R1012"/>
    <n v="54"/>
    <n v="36.575000000000003"/>
  </r>
  <r>
    <x v="1268"/>
    <s v="Rider,"/>
    <n v="23.66"/>
    <x v="78"/>
    <s v="Yes"/>
    <x v="0"/>
    <x v="1"/>
    <x v="1"/>
    <x v="1"/>
    <x v="2"/>
    <x v="2"/>
    <n v="25"/>
    <s v="Oct"/>
    <n v="1977"/>
    <d v="1977-10-25T00:00:00"/>
    <n v="10495.6"/>
    <s v="tier - 3"/>
    <s v="tier - 1"/>
    <s v="R1012"/>
    <n v="49"/>
    <n v="23.66"/>
  </r>
  <r>
    <x v="1269"/>
    <s v="Evans,"/>
    <n v="18.62"/>
    <x v="588"/>
    <s v="No"/>
    <x v="0"/>
    <x v="0"/>
    <x v="0"/>
    <x v="1"/>
    <x v="2"/>
    <x v="0"/>
    <n v="26"/>
    <s v="Sep"/>
    <n v="1971"/>
    <d v="1971-09-26T00:00:00"/>
    <n v="10546.48"/>
    <s v="tier - 3"/>
    <s v="tier - 3"/>
    <s v="R1011"/>
    <n v="55"/>
    <n v="18.62"/>
  </r>
  <r>
    <x v="1270"/>
    <s v="Anderson,"/>
    <n v="19.190000000000001"/>
    <x v="365"/>
    <s v="Yes"/>
    <x v="0"/>
    <x v="0"/>
    <x v="1"/>
    <x v="1"/>
    <x v="2"/>
    <x v="0"/>
    <n v="29"/>
    <s v="Jun"/>
    <n v="1971"/>
    <d v="1971-06-29T00:00:00"/>
    <n v="10560.49"/>
    <s v="tier - 3"/>
    <s v="tier - 2"/>
    <s v="R1013"/>
    <n v="55"/>
    <n v="19.190000000000001"/>
  </r>
  <r>
    <x v="1271"/>
    <s v="Walters,"/>
    <n v="27.5"/>
    <x v="100"/>
    <s v="No"/>
    <x v="0"/>
    <x v="0"/>
    <x v="0"/>
    <x v="1"/>
    <x v="1"/>
    <x v="1"/>
    <n v="17"/>
    <s v="Jul"/>
    <n v="1969"/>
    <d v="1969-07-17T00:00:00"/>
    <n v="10564.88"/>
    <s v="tier - 3"/>
    <s v="tier - 1"/>
    <s v="R1024"/>
    <n v="57"/>
    <n v="27.5"/>
  </r>
  <r>
    <x v="1272"/>
    <s v="Leboeuf,"/>
    <n v="27.36"/>
    <x v="10"/>
    <s v="No"/>
    <x v="0"/>
    <x v="1"/>
    <x v="1"/>
    <x v="1"/>
    <x v="1"/>
    <x v="1"/>
    <n v="11"/>
    <s v="Dec"/>
    <n v="1966"/>
    <d v="1966-12-11T00:00:00"/>
    <n v="10577.09"/>
    <s v="tier - 3"/>
    <s v="tier - 3"/>
    <s v="R1011"/>
    <n v="60"/>
    <n v="27.36"/>
  </r>
  <r>
    <x v="1273"/>
    <s v="Scheibel,"/>
    <n v="20.350000000000001"/>
    <x v="243"/>
    <s v="No"/>
    <x v="0"/>
    <x v="0"/>
    <x v="0"/>
    <x v="1"/>
    <x v="2"/>
    <x v="2"/>
    <n v="25"/>
    <s v="Dec"/>
    <n v="1969"/>
    <d v="1969-12-25T00:00:00"/>
    <n v="10579.71"/>
    <s v="tier - 3"/>
    <s v="tier - 3"/>
    <s v="R1013"/>
    <n v="57"/>
    <n v="20.350000000000001"/>
  </r>
  <r>
    <x v="1274"/>
    <s v="Ritter,"/>
    <n v="24.035"/>
    <x v="184"/>
    <s v="No"/>
    <x v="0"/>
    <x v="0"/>
    <x v="0"/>
    <x v="1"/>
    <x v="2"/>
    <x v="1"/>
    <n v="3"/>
    <s v="Nov"/>
    <n v="1966"/>
    <d v="1966-11-03T00:00:00"/>
    <n v="10594.23"/>
    <s v="tier - 3"/>
    <s v="tier - 3"/>
    <s v="R1013"/>
    <n v="60"/>
    <n v="24.035"/>
  </r>
  <r>
    <x v="1275"/>
    <s v="Deeg,"/>
    <n v="23.56"/>
    <x v="410"/>
    <s v="No"/>
    <x v="0"/>
    <x v="0"/>
    <x v="0"/>
    <x v="1"/>
    <x v="2"/>
    <x v="1"/>
    <n v="29"/>
    <s v="Nov"/>
    <n v="1967"/>
    <d v="1967-11-29T00:00:00"/>
    <n v="10594.5"/>
    <s v="tier - 3"/>
    <s v="tier - 1"/>
    <s v="R1012"/>
    <n v="59"/>
    <n v="23.56"/>
  </r>
  <r>
    <x v="1276"/>
    <s v="Pretot,"/>
    <n v="27.17"/>
    <x v="589"/>
    <s v="No"/>
    <x v="0"/>
    <x v="0"/>
    <x v="1"/>
    <x v="1"/>
    <x v="1"/>
    <x v="0"/>
    <n v="14"/>
    <s v="Dec"/>
    <n v="1972"/>
    <d v="1972-12-14T00:00:00"/>
    <n v="10600.55"/>
    <s v="tier - 3"/>
    <s v="tier - 1"/>
    <s v="R1012"/>
    <n v="54"/>
    <n v="27.17"/>
  </r>
  <r>
    <x v="1277"/>
    <s v="Willsey,"/>
    <n v="34.32"/>
    <x v="155"/>
    <s v="Yes"/>
    <x v="0"/>
    <x v="1"/>
    <x v="1"/>
    <x v="1"/>
    <x v="0"/>
    <x v="1"/>
    <n v="20"/>
    <s v="Jul"/>
    <n v="1966"/>
    <d v="1966-07-20T00:00:00"/>
    <n v="10601.41"/>
    <s v="tier - 3"/>
    <s v="tier - 2"/>
    <s v="R1011"/>
    <n v="60"/>
    <n v="34.32"/>
  </r>
  <r>
    <x v="1278"/>
    <s v="Roach,"/>
    <n v="23.87"/>
    <x v="370"/>
    <s v="Yes"/>
    <x v="0"/>
    <x v="1"/>
    <x v="1"/>
    <x v="1"/>
    <x v="2"/>
    <x v="2"/>
    <n v="23"/>
    <s v="Jun"/>
    <n v="1967"/>
    <d v="1967-06-23T00:00:00"/>
    <n v="10601.63"/>
    <s v="tier - 3"/>
    <s v="tier - 2"/>
    <s v="R1012"/>
    <n v="59"/>
    <n v="23.87"/>
  </r>
  <r>
    <x v="1279"/>
    <s v="Jacobsen,"/>
    <n v="30.15"/>
    <x v="69"/>
    <s v="No"/>
    <x v="0"/>
    <x v="0"/>
    <x v="1"/>
    <x v="1"/>
    <x v="0"/>
    <x v="2"/>
    <n v="2"/>
    <s v="Jul"/>
    <n v="1966"/>
    <d v="1966-07-02T00:00:00"/>
    <n v="10602.39"/>
    <s v="tier - 3"/>
    <s v="tier - 3"/>
    <s v="R1011"/>
    <n v="60"/>
    <n v="30.15"/>
  </r>
  <r>
    <x v="1280"/>
    <s v="O'Hora,"/>
    <n v="26.36"/>
    <x v="314"/>
    <s v="No"/>
    <x v="0"/>
    <x v="0"/>
    <x v="0"/>
    <x v="1"/>
    <x v="1"/>
    <x v="2"/>
    <n v="27"/>
    <s v="Jun"/>
    <n v="1965"/>
    <d v="1965-06-27T00:00:00"/>
    <n v="10608.67"/>
    <s v="tier - 3"/>
    <s v="tier - 3"/>
    <s v="R1012"/>
    <n v="61"/>
    <n v="26.36"/>
  </r>
  <r>
    <x v="1281"/>
    <s v="Amato,"/>
    <n v="45.32"/>
    <x v="590"/>
    <s v="Yes"/>
    <x v="0"/>
    <x v="0"/>
    <x v="1"/>
    <x v="1"/>
    <x v="0"/>
    <x v="0"/>
    <n v="23"/>
    <s v="Jul"/>
    <n v="1992"/>
    <d v="1992-07-23T00:00:00"/>
    <n v="10617.04"/>
    <s v="tier - 3"/>
    <s v="tier - 3"/>
    <s v="R1026"/>
    <n v="34"/>
    <n v="45.32"/>
  </r>
  <r>
    <x v="1282"/>
    <s v="Reed,"/>
    <n v="31.93"/>
    <x v="48"/>
    <s v="Yes"/>
    <x v="0"/>
    <x v="0"/>
    <x v="1"/>
    <x v="1"/>
    <x v="0"/>
    <x v="2"/>
    <n v="6"/>
    <s v="Jul"/>
    <n v="1990"/>
    <d v="1990-07-06T00:00:00"/>
    <n v="10620.26"/>
    <s v="tier - 3"/>
    <s v="tier - 3"/>
    <s v="R1012"/>
    <n v="36"/>
    <n v="31.93"/>
  </r>
  <r>
    <x v="1283"/>
    <s v="Wegner,"/>
    <n v="36"/>
    <x v="537"/>
    <s v="Yes"/>
    <x v="0"/>
    <x v="0"/>
    <x v="1"/>
    <x v="1"/>
    <x v="0"/>
    <x v="0"/>
    <n v="8"/>
    <s v="Aug"/>
    <n v="1964"/>
    <d v="1964-08-08T00:00:00"/>
    <n v="10627.81"/>
    <s v="tier - 3"/>
    <s v="tier - 3"/>
    <s v="R1013"/>
    <n v="62"/>
    <n v="36"/>
  </r>
  <r>
    <x v="1284"/>
    <s v="Bokun,"/>
    <n v="32"/>
    <x v="591"/>
    <s v="Yes"/>
    <x v="0"/>
    <x v="0"/>
    <x v="1"/>
    <x v="1"/>
    <x v="0"/>
    <x v="0"/>
    <n v="22"/>
    <s v="Nov"/>
    <n v="1976"/>
    <d v="1976-11-22T00:00:00"/>
    <n v="10665.44"/>
    <s v="tier - 3"/>
    <s v="tier - 2"/>
    <s v="R1021"/>
    <n v="50"/>
    <n v="32"/>
  </r>
  <r>
    <x v="1285"/>
    <s v="Ainsley,"/>
    <n v="29.37"/>
    <x v="126"/>
    <s v="Yes"/>
    <x v="0"/>
    <x v="0"/>
    <x v="1"/>
    <x v="1"/>
    <x v="1"/>
    <x v="0"/>
    <n v="7"/>
    <s v="Sep"/>
    <n v="1962"/>
    <d v="1962-09-07T00:00:00"/>
    <n v="10676.83"/>
    <s v="tier - 3"/>
    <s v="tier - 3"/>
    <s v="R1013"/>
    <n v="64"/>
    <n v="29.37"/>
  </r>
  <r>
    <x v="1286"/>
    <s v="Foster,"/>
    <n v="23.6"/>
    <x v="562"/>
    <s v="Yes"/>
    <x v="0"/>
    <x v="0"/>
    <x v="1"/>
    <x v="1"/>
    <x v="2"/>
    <x v="0"/>
    <n v="2"/>
    <s v="Aug"/>
    <n v="1977"/>
    <d v="1977-08-02T00:00:00"/>
    <n v="10690.11"/>
    <s v="tier - 3"/>
    <s v="tier - 2"/>
    <s v="R1021"/>
    <n v="49"/>
    <n v="23.6"/>
  </r>
  <r>
    <x v="1287"/>
    <s v="Overpeck,"/>
    <n v="33.155000000000001"/>
    <x v="353"/>
    <s v="Yes"/>
    <x v="0"/>
    <x v="0"/>
    <x v="0"/>
    <x v="1"/>
    <x v="0"/>
    <x v="0"/>
    <n v="30"/>
    <s v="Sep"/>
    <n v="1976"/>
    <d v="1976-09-30T00:00:00"/>
    <n v="10698.38"/>
    <s v="tier - 3"/>
    <s v="tier - 1"/>
    <s v="R1025"/>
    <n v="50"/>
    <n v="33.155000000000001"/>
  </r>
  <r>
    <x v="1288"/>
    <s v="Levine,"/>
    <n v="24.32"/>
    <x v="162"/>
    <s v="Yes"/>
    <x v="0"/>
    <x v="0"/>
    <x v="1"/>
    <x v="1"/>
    <x v="2"/>
    <x v="0"/>
    <n v="24"/>
    <s v="Oct"/>
    <n v="1972"/>
    <d v="1972-10-24T00:00:00"/>
    <n v="10702.64"/>
    <s v="tier - 3"/>
    <s v="tier - 3"/>
    <s v="R1013"/>
    <n v="54"/>
    <n v="24.32"/>
  </r>
  <r>
    <x v="1289"/>
    <s v="Jean,"/>
    <n v="36.299999999999997"/>
    <x v="152"/>
    <s v="No"/>
    <x v="0"/>
    <x v="0"/>
    <x v="0"/>
    <x v="1"/>
    <x v="0"/>
    <x v="2"/>
    <n v="30"/>
    <s v="Jul"/>
    <n v="1967"/>
    <d v="1967-07-30T00:00:00"/>
    <n v="10704.47"/>
    <s v="tier - 3"/>
    <s v="tier - 2"/>
    <s v="R1011"/>
    <n v="59"/>
    <n v="36.299999999999997"/>
  </r>
  <r>
    <x v="1290"/>
    <s v="Wild,"/>
    <n v="34.4"/>
    <x v="434"/>
    <s v="No"/>
    <x v="0"/>
    <x v="1"/>
    <x v="1"/>
    <x v="1"/>
    <x v="0"/>
    <x v="2"/>
    <n v="5"/>
    <s v="Oct"/>
    <n v="1967"/>
    <d v="1967-10-05T00:00:00"/>
    <n v="10713.64"/>
    <s v="tier - 3"/>
    <s v="tier - 3"/>
    <s v="R1011"/>
    <n v="59"/>
    <n v="34.4"/>
  </r>
  <r>
    <x v="1291"/>
    <s v="Tabor,"/>
    <n v="30.9"/>
    <x v="264"/>
    <s v="No"/>
    <x v="0"/>
    <x v="0"/>
    <x v="0"/>
    <x v="1"/>
    <x v="0"/>
    <x v="2"/>
    <n v="25"/>
    <s v="Jun"/>
    <n v="1992"/>
    <d v="1992-06-25T00:00:00"/>
    <n v="10719.57"/>
    <s v="tier - 3"/>
    <s v="tier - 1"/>
    <s v="R1012"/>
    <n v="34"/>
    <n v="30.9"/>
  </r>
  <r>
    <x v="1292"/>
    <s v="Steffen,"/>
    <n v="28.6"/>
    <x v="140"/>
    <s v="No"/>
    <x v="0"/>
    <x v="0"/>
    <x v="0"/>
    <x v="1"/>
    <x v="1"/>
    <x v="2"/>
    <n v="9"/>
    <s v="Dec"/>
    <n v="1974"/>
    <d v="1974-12-09T00:00:00"/>
    <n v="10736.87"/>
    <s v="tier - 3"/>
    <s v="tier - 1"/>
    <s v="R1016"/>
    <n v="52"/>
    <n v="28.6"/>
  </r>
  <r>
    <x v="1293"/>
    <s v="Tadich,"/>
    <n v="27.83"/>
    <x v="125"/>
    <s v="No"/>
    <x v="0"/>
    <x v="0"/>
    <x v="0"/>
    <x v="1"/>
    <x v="1"/>
    <x v="2"/>
    <n v="29"/>
    <s v="Aug"/>
    <n v="1986"/>
    <d v="1986-08-29T00:00:00"/>
    <n v="10749.02"/>
    <s v="tier - 3"/>
    <s v="tier - 1"/>
    <s v="R1026"/>
    <n v="40"/>
    <n v="27.83"/>
  </r>
  <r>
    <x v="1294"/>
    <s v="Christenson,"/>
    <n v="39.64"/>
    <x v="96"/>
    <s v="No"/>
    <x v="0"/>
    <x v="1"/>
    <x v="1"/>
    <x v="1"/>
    <x v="0"/>
    <x v="0"/>
    <n v="25"/>
    <s v="Nov"/>
    <n v="1989"/>
    <d v="1989-11-25T00:00:00"/>
    <n v="10769.75"/>
    <s v="tier - 3"/>
    <s v="tier - 2"/>
    <s v="R1022"/>
    <n v="37"/>
    <n v="39.64"/>
  </r>
  <r>
    <x v="1295"/>
    <s v="Shell,"/>
    <n v="38.479999999999997"/>
    <x v="216"/>
    <s v="No"/>
    <x v="0"/>
    <x v="0"/>
    <x v="1"/>
    <x v="1"/>
    <x v="0"/>
    <x v="1"/>
    <n v="11"/>
    <s v="Nov"/>
    <n v="1967"/>
    <d v="1967-11-11T00:00:00"/>
    <n v="10791.96"/>
    <s v="tier - 3"/>
    <s v="tier - 2"/>
    <s v="R1011"/>
    <n v="59"/>
    <n v="38.479999999999997"/>
  </r>
  <r>
    <x v="1296"/>
    <s v="Rao,"/>
    <n v="36.200000000000003"/>
    <x v="471"/>
    <s v="No"/>
    <x v="0"/>
    <x v="0"/>
    <x v="1"/>
    <x v="1"/>
    <x v="0"/>
    <x v="2"/>
    <n v="24"/>
    <s v="Dec"/>
    <n v="1999"/>
    <d v="1999-12-24T00:00:00"/>
    <n v="10795.94"/>
    <s v="tier - 3"/>
    <s v="tier - 1"/>
    <s v="R1011"/>
    <n v="27"/>
    <n v="36.200000000000003"/>
  </r>
  <r>
    <x v="1297"/>
    <s v="Myers,"/>
    <n v="27.13"/>
    <x v="448"/>
    <s v="No"/>
    <x v="0"/>
    <x v="0"/>
    <x v="1"/>
    <x v="1"/>
    <x v="1"/>
    <x v="2"/>
    <n v="23"/>
    <s v="Oct"/>
    <n v="1967"/>
    <d v="1967-10-23T00:00:00"/>
    <n v="10796.35"/>
    <s v="tier - 3"/>
    <s v="tier - 1"/>
    <s v="R1019"/>
    <n v="59"/>
    <n v="27.13"/>
  </r>
  <r>
    <x v="1298"/>
    <s v="McLean,"/>
    <n v="20.75"/>
    <x v="107"/>
    <s v="Yes"/>
    <x v="0"/>
    <x v="0"/>
    <x v="1"/>
    <x v="1"/>
    <x v="2"/>
    <x v="2"/>
    <n v="28"/>
    <s v="Oct"/>
    <n v="1970"/>
    <d v="1970-10-28T00:00:00"/>
    <n v="10797.34"/>
    <s v="tier - 3"/>
    <s v="tier - 2"/>
    <s v="R1023"/>
    <n v="56"/>
    <n v="20.75"/>
  </r>
  <r>
    <x v="1299"/>
    <s v="Gomez,"/>
    <n v="26.6"/>
    <x v="109"/>
    <s v="No"/>
    <x v="0"/>
    <x v="0"/>
    <x v="1"/>
    <x v="1"/>
    <x v="1"/>
    <x v="1"/>
    <n v="18"/>
    <s v="Dec"/>
    <n v="1970"/>
    <d v="1970-12-18T00:00:00"/>
    <n v="10806.84"/>
    <s v="tier - 3"/>
    <s v="tier - 2"/>
    <s v="R1011"/>
    <n v="56"/>
    <n v="26.6"/>
  </r>
  <r>
    <x v="1300"/>
    <s v="Hemingway,"/>
    <n v="25.3"/>
    <x v="325"/>
    <s v="No"/>
    <x v="0"/>
    <x v="0"/>
    <x v="1"/>
    <x v="1"/>
    <x v="1"/>
    <x v="2"/>
    <n v="2"/>
    <s v="Oct"/>
    <n v="1967"/>
    <d v="1967-10-02T00:00:00"/>
    <n v="10807.49"/>
    <s v="tier - 3"/>
    <s v="tier - 2"/>
    <s v="R1013"/>
    <n v="59"/>
    <n v="25.3"/>
  </r>
  <r>
    <x v="1301"/>
    <s v="Pett,"/>
    <n v="18.84"/>
    <x v="131"/>
    <s v="Yes"/>
    <x v="0"/>
    <x v="1"/>
    <x v="1"/>
    <x v="1"/>
    <x v="2"/>
    <x v="0"/>
    <n v="28"/>
    <s v="Jul"/>
    <n v="1968"/>
    <d v="1968-07-28T00:00:00"/>
    <n v="10825.25"/>
    <s v="tier - 3"/>
    <s v="tier - 3"/>
    <s v="R1012"/>
    <n v="58"/>
    <n v="18.84"/>
  </r>
  <r>
    <x v="1302"/>
    <s v="Meingast,"/>
    <n v="19.57"/>
    <x v="532"/>
    <s v="Yes"/>
    <x v="0"/>
    <x v="0"/>
    <x v="1"/>
    <x v="1"/>
    <x v="2"/>
    <x v="0"/>
    <n v="20"/>
    <s v="Dec"/>
    <n v="1971"/>
    <d v="1971-12-20T00:00:00"/>
    <n v="10848.13"/>
    <s v="tier - 3"/>
    <s v="tier - 3"/>
    <s v="R1012"/>
    <n v="55"/>
    <n v="19.57"/>
  </r>
  <r>
    <x v="1303"/>
    <s v="McCarthy,"/>
    <n v="30.495000000000001"/>
    <x v="410"/>
    <s v="No"/>
    <x v="0"/>
    <x v="0"/>
    <x v="0"/>
    <x v="1"/>
    <x v="0"/>
    <x v="1"/>
    <n v="6"/>
    <s v="Sep"/>
    <n v="1994"/>
    <d v="1994-09-06T00:00:00"/>
    <n v="10886.66"/>
    <s v="tier - 3"/>
    <s v="tier - 3"/>
    <s v="R1012"/>
    <n v="32"/>
    <n v="30.495000000000001"/>
  </r>
  <r>
    <x v="1304"/>
    <s v="Boyle,"/>
    <n v="30.114999999999998"/>
    <x v="299"/>
    <s v="No"/>
    <x v="0"/>
    <x v="1"/>
    <x v="1"/>
    <x v="1"/>
    <x v="0"/>
    <x v="1"/>
    <n v="13"/>
    <s v="Nov"/>
    <n v="1968"/>
    <d v="1968-11-13T00:00:00"/>
    <n v="10923.93"/>
    <s v="tier - 3"/>
    <s v="tier - 1"/>
    <s v="R1024"/>
    <n v="58"/>
    <n v="30.114999999999998"/>
  </r>
  <r>
    <x v="1305"/>
    <s v="Gundersen,"/>
    <n v="24.78"/>
    <x v="568"/>
    <s v="No"/>
    <x v="0"/>
    <x v="0"/>
    <x v="0"/>
    <x v="1"/>
    <x v="2"/>
    <x v="0"/>
    <n v="12"/>
    <s v="Nov"/>
    <n v="1968"/>
    <d v="1968-11-12T00:00:00"/>
    <n v="10928.85"/>
    <s v="tier - 3"/>
    <s v="tier - 3"/>
    <s v="R1013"/>
    <n v="58"/>
    <n v="24.78"/>
  </r>
  <r>
    <x v="1306"/>
    <s v="Wolswinkel,"/>
    <n v="24.77"/>
    <x v="14"/>
    <s v="No"/>
    <x v="0"/>
    <x v="0"/>
    <x v="0"/>
    <x v="1"/>
    <x v="2"/>
    <x v="0"/>
    <n v="10"/>
    <s v="Nov"/>
    <n v="1969"/>
    <d v="1969-11-10T00:00:00"/>
    <n v="10942.13"/>
    <s v="tier - 3"/>
    <s v="tier - 3"/>
    <s v="R1012"/>
    <n v="57"/>
    <n v="24.77"/>
  </r>
  <r>
    <x v="1307"/>
    <s v="Bomberger,"/>
    <n v="16.579999999999998"/>
    <x v="42"/>
    <s v="Yes"/>
    <x v="0"/>
    <x v="1"/>
    <x v="1"/>
    <x v="1"/>
    <x v="3"/>
    <x v="0"/>
    <n v="4"/>
    <s v="Dec"/>
    <n v="1965"/>
    <d v="1965-12-04T00:00:00"/>
    <n v="10959.33"/>
    <s v="tier - 3"/>
    <s v="tier - 3"/>
    <s v="R1011"/>
    <n v="61"/>
    <n v="16.579999999999998"/>
  </r>
  <r>
    <x v="1308"/>
    <s v="Roy,"/>
    <n v="38.17"/>
    <x v="374"/>
    <s v="Yes"/>
    <x v="0"/>
    <x v="0"/>
    <x v="0"/>
    <x v="1"/>
    <x v="0"/>
    <x v="2"/>
    <n v="14"/>
    <s v="Aug"/>
    <n v="1969"/>
    <d v="1969-08-14T00:00:00"/>
    <n v="10959.69"/>
    <s v="tier - 3"/>
    <s v="tier - 3"/>
    <s v="R1012"/>
    <n v="57"/>
    <n v="38.17"/>
  </r>
  <r>
    <x v="1309"/>
    <s v="Lapierre,"/>
    <n v="39.424999999999997"/>
    <x v="70"/>
    <s v="Yes"/>
    <x v="0"/>
    <x v="0"/>
    <x v="0"/>
    <x v="1"/>
    <x v="0"/>
    <x v="2"/>
    <n v="19"/>
    <s v="Jun"/>
    <n v="1965"/>
    <d v="1965-06-19T00:00:00"/>
    <n v="10965.45"/>
    <s v="tier - 3"/>
    <s v="tier - 2"/>
    <s v="R1011"/>
    <n v="61"/>
    <n v="39.424999999999997"/>
  </r>
  <r>
    <x v="1310"/>
    <s v="Beaty,"/>
    <n v="33.44"/>
    <x v="149"/>
    <s v="Yes"/>
    <x v="0"/>
    <x v="0"/>
    <x v="0"/>
    <x v="1"/>
    <x v="0"/>
    <x v="1"/>
    <n v="9"/>
    <s v="Jul"/>
    <n v="1966"/>
    <d v="1966-07-09T00:00:00"/>
    <n v="10976.25"/>
    <s v="tier - 3"/>
    <s v="tier - 2"/>
    <s v="R1012"/>
    <n v="60"/>
    <n v="33.44"/>
  </r>
  <r>
    <x v="1311"/>
    <s v="Hammer,"/>
    <n v="33.344999999999999"/>
    <x v="573"/>
    <s v="Yes"/>
    <x v="0"/>
    <x v="0"/>
    <x v="0"/>
    <x v="1"/>
    <x v="0"/>
    <x v="2"/>
    <n v="21"/>
    <s v="Oct"/>
    <n v="1973"/>
    <d v="1973-10-21T00:00:00"/>
    <n v="10977.21"/>
    <s v="tier - 3"/>
    <s v="tier - 1"/>
    <s v="R1013"/>
    <n v="53"/>
    <n v="33.344999999999999"/>
  </r>
  <r>
    <x v="1312"/>
    <s v="Randolph,"/>
    <n v="38.79"/>
    <x v="31"/>
    <s v="No"/>
    <x v="0"/>
    <x v="1"/>
    <x v="1"/>
    <x v="1"/>
    <x v="0"/>
    <x v="2"/>
    <n v="18"/>
    <s v="Dec"/>
    <n v="1965"/>
    <d v="1965-12-18T00:00:00"/>
    <n v="10982.5"/>
    <s v="tier - 3"/>
    <s v="tier - 3"/>
    <s v="R1013"/>
    <n v="61"/>
    <n v="38.79"/>
  </r>
  <r>
    <x v="1313"/>
    <s v="Masterson,"/>
    <n v="30.684999999999999"/>
    <x v="189"/>
    <s v="No"/>
    <x v="0"/>
    <x v="1"/>
    <x v="1"/>
    <x v="1"/>
    <x v="0"/>
    <x v="2"/>
    <n v="17"/>
    <s v="Sep"/>
    <n v="2000"/>
    <d v="2000-09-17T00:00:00"/>
    <n v="10991.58"/>
    <s v="tier - 3"/>
    <s v="tier - 3"/>
    <s v="R1012"/>
    <n v="26"/>
    <n v="30.684999999999999"/>
  </r>
  <r>
    <x v="1314"/>
    <s v="Friess,"/>
    <n v="22.135000000000002"/>
    <x v="592"/>
    <s v="No"/>
    <x v="0"/>
    <x v="0"/>
    <x v="0"/>
    <x v="1"/>
    <x v="2"/>
    <x v="0"/>
    <n v="24"/>
    <s v="Oct"/>
    <n v="1968"/>
    <d v="1968-10-24T00:00:00"/>
    <n v="11013.71"/>
    <s v="tier - 3"/>
    <s v="tier - 1"/>
    <s v="R1013"/>
    <n v="58"/>
    <n v="22.135000000000002"/>
  </r>
  <r>
    <x v="1315"/>
    <s v="Mantoni,"/>
    <n v="33.33"/>
    <x v="593"/>
    <s v="No"/>
    <x v="0"/>
    <x v="0"/>
    <x v="0"/>
    <x v="1"/>
    <x v="0"/>
    <x v="0"/>
    <n v="15"/>
    <s v="Dec"/>
    <n v="1974"/>
    <d v="1974-12-15T00:00:00"/>
    <n v="11015.17"/>
    <s v="tier - 3"/>
    <s v="tier - 1"/>
    <s v="R1012"/>
    <n v="52"/>
    <n v="33.33"/>
  </r>
  <r>
    <x v="1316"/>
    <s v="Bodeen,"/>
    <n v="31.13"/>
    <x v="479"/>
    <s v="No"/>
    <x v="0"/>
    <x v="0"/>
    <x v="0"/>
    <x v="1"/>
    <x v="0"/>
    <x v="0"/>
    <n v="26"/>
    <s v="Jun"/>
    <n v="1991"/>
    <d v="1991-06-26T00:00:00"/>
    <n v="11018.05"/>
    <s v="tier - 3"/>
    <s v="tier - 2"/>
    <s v="R1012"/>
    <n v="35"/>
    <n v="31.13"/>
  </r>
  <r>
    <x v="1317"/>
    <s v="McPherson,"/>
    <n v="28.9"/>
    <x v="452"/>
    <s v="No"/>
    <x v="0"/>
    <x v="0"/>
    <x v="0"/>
    <x v="1"/>
    <x v="1"/>
    <x v="0"/>
    <n v="21"/>
    <s v="Jul"/>
    <n v="1996"/>
    <d v="1996-07-21T00:00:00"/>
    <n v="11028.56"/>
    <s v="tier - 3"/>
    <s v="tier - 3"/>
    <s v="R1012"/>
    <n v="30"/>
    <n v="28.9"/>
  </r>
  <r>
    <x v="1318"/>
    <s v="Palko,"/>
    <n v="43.31"/>
    <x v="148"/>
    <s v="Yes"/>
    <x v="1"/>
    <x v="0"/>
    <x v="1"/>
    <x v="1"/>
    <x v="0"/>
    <x v="1"/>
    <n v="10"/>
    <s v="Dec"/>
    <n v="1974"/>
    <d v="1974-12-10T00:00:00"/>
    <n v="11033.66"/>
    <s v="tier - 3"/>
    <s v="tier - 3"/>
    <s v="R1012"/>
    <n v="52"/>
    <n v="43.31"/>
  </r>
  <r>
    <x v="1319"/>
    <s v="Breathitt,"/>
    <n v="22.8"/>
    <x v="42"/>
    <s v="No"/>
    <x v="0"/>
    <x v="0"/>
    <x v="0"/>
    <x v="1"/>
    <x v="2"/>
    <x v="0"/>
    <n v="25"/>
    <s v="Oct"/>
    <n v="1989"/>
    <d v="1989-10-25T00:00:00"/>
    <n v="11037.51"/>
    <s v="tier - 3"/>
    <s v="tier - 1"/>
    <s v="R1012"/>
    <n v="37"/>
    <n v="22.8"/>
  </r>
  <r>
    <x v="1320"/>
    <s v="Evora,"/>
    <n v="19.09"/>
    <x v="96"/>
    <s v="Yes"/>
    <x v="0"/>
    <x v="0"/>
    <x v="1"/>
    <x v="1"/>
    <x v="2"/>
    <x v="0"/>
    <n v="30"/>
    <s v="Aug"/>
    <n v="1974"/>
    <d v="1974-08-30T00:00:00"/>
    <n v="11037.85"/>
    <s v="tier - 3"/>
    <s v="tier - 2"/>
    <s v="R1025"/>
    <n v="52"/>
    <n v="19.09"/>
  </r>
  <r>
    <x v="1321"/>
    <s v="Fischer,"/>
    <n v="23.37"/>
    <x v="80"/>
    <s v="No"/>
    <x v="0"/>
    <x v="0"/>
    <x v="0"/>
    <x v="1"/>
    <x v="2"/>
    <x v="2"/>
    <n v="17"/>
    <s v="Dec"/>
    <n v="2001"/>
    <d v="2001-12-17T00:00:00"/>
    <n v="11046.02"/>
    <s v="tier - 3"/>
    <s v="tier - 1"/>
    <s v="R1026"/>
    <n v="25"/>
    <n v="23.37"/>
  </r>
  <r>
    <x v="1322"/>
    <s v="Deba,"/>
    <n v="33.44"/>
    <x v="18"/>
    <s v="Yes"/>
    <x v="0"/>
    <x v="0"/>
    <x v="0"/>
    <x v="1"/>
    <x v="0"/>
    <x v="2"/>
    <n v="18"/>
    <s v="Sep"/>
    <n v="2000"/>
    <d v="2000-09-18T00:00:00"/>
    <n v="11068.7"/>
    <s v="tier - 3"/>
    <s v="tier - 1"/>
    <s v="R1011"/>
    <n v="26"/>
    <n v="33.44"/>
  </r>
  <r>
    <x v="1323"/>
    <s v="Leloup,"/>
    <n v="28.05"/>
    <x v="505"/>
    <s v="Yes"/>
    <x v="0"/>
    <x v="0"/>
    <x v="0"/>
    <x v="1"/>
    <x v="1"/>
    <x v="2"/>
    <n v="9"/>
    <s v="Nov"/>
    <n v="1971"/>
    <d v="1971-11-09T00:00:00"/>
    <n v="11068.77"/>
    <s v="tier - 3"/>
    <s v="tier - 2"/>
    <s v="R1012"/>
    <n v="55"/>
    <n v="28.05"/>
  </r>
  <r>
    <x v="1324"/>
    <s v="Labare,"/>
    <n v="27.72"/>
    <x v="333"/>
    <s v="Yes"/>
    <x v="0"/>
    <x v="0"/>
    <x v="0"/>
    <x v="1"/>
    <x v="1"/>
    <x v="1"/>
    <n v="7"/>
    <s v="Nov"/>
    <n v="1966"/>
    <d v="1966-11-07T00:00:00"/>
    <n v="11070.54"/>
    <s v="tier - 3"/>
    <s v="tier - 3"/>
    <s v="R1011"/>
    <n v="60"/>
    <n v="27.72"/>
  </r>
  <r>
    <x v="1325"/>
    <s v="Arouca,"/>
    <n v="29.81"/>
    <x v="569"/>
    <s v="No"/>
    <x v="0"/>
    <x v="0"/>
    <x v="0"/>
    <x v="1"/>
    <x v="1"/>
    <x v="0"/>
    <n v="20"/>
    <s v="Nov"/>
    <n v="1966"/>
    <d v="1966-11-20T00:00:00"/>
    <n v="11073.18"/>
    <s v="tier - 3"/>
    <s v="tier - 3"/>
    <s v="R1011"/>
    <n v="60"/>
    <n v="29.81"/>
  </r>
  <r>
    <x v="1326"/>
    <s v="Reese,"/>
    <n v="23.98"/>
    <x v="512"/>
    <s v="No"/>
    <x v="0"/>
    <x v="0"/>
    <x v="0"/>
    <x v="1"/>
    <x v="2"/>
    <x v="0"/>
    <n v="4"/>
    <s v="Sep"/>
    <n v="1967"/>
    <d v="1967-09-04T00:00:00"/>
    <n v="11082.58"/>
    <s v="tier - 3"/>
    <s v="tier - 2"/>
    <s v="R1012"/>
    <n v="59"/>
    <n v="23.98"/>
  </r>
  <r>
    <x v="1327"/>
    <s v="McCloskey,"/>
    <n v="17.34"/>
    <x v="594"/>
    <s v="No"/>
    <x v="0"/>
    <x v="0"/>
    <x v="0"/>
    <x v="1"/>
    <x v="3"/>
    <x v="0"/>
    <n v="7"/>
    <s v="Oct"/>
    <n v="1972"/>
    <d v="1972-10-07T00:00:00"/>
    <n v="11085.59"/>
    <s v="tier - 3"/>
    <s v="tier - 2"/>
    <s v="R1012"/>
    <n v="54"/>
    <n v="17.34"/>
  </r>
  <r>
    <x v="1328"/>
    <s v="Tedsen,"/>
    <n v="40.39"/>
    <x v="180"/>
    <s v="Yes"/>
    <x v="0"/>
    <x v="1"/>
    <x v="1"/>
    <x v="1"/>
    <x v="0"/>
    <x v="2"/>
    <n v="9"/>
    <s v="Sep"/>
    <n v="1966"/>
    <d v="1966-09-09T00:00:00"/>
    <n v="11090.72"/>
    <s v="tier - 3"/>
    <s v="tier - 1"/>
    <s v="R1013"/>
    <n v="60"/>
    <n v="40.39"/>
  </r>
  <r>
    <x v="1329"/>
    <s v="Koehlinger,"/>
    <n v="25.96"/>
    <x v="82"/>
    <s v="Yes"/>
    <x v="0"/>
    <x v="1"/>
    <x v="1"/>
    <x v="1"/>
    <x v="1"/>
    <x v="2"/>
    <n v="5"/>
    <s v="Jul"/>
    <n v="1966"/>
    <d v="1966-07-05T00:00:00"/>
    <n v="11093.62"/>
    <s v="tier - 3"/>
    <s v="tier - 1"/>
    <s v="R1013"/>
    <n v="60"/>
    <n v="25.96"/>
  </r>
  <r>
    <x v="1330"/>
    <s v="Pielechaty,"/>
    <n v="17.68"/>
    <x v="595"/>
    <s v="Yes"/>
    <x v="0"/>
    <x v="1"/>
    <x v="1"/>
    <x v="1"/>
    <x v="3"/>
    <x v="0"/>
    <n v="20"/>
    <s v="Aug"/>
    <n v="1980"/>
    <d v="1980-08-20T00:00:00"/>
    <n v="11103.33"/>
    <s v="tier - 3"/>
    <s v="tier - 1"/>
    <s v="R1021"/>
    <n v="46"/>
    <n v="17.68"/>
  </r>
  <r>
    <x v="1331"/>
    <s v="Korhonen,"/>
    <n v="30.875"/>
    <x v="275"/>
    <s v="No"/>
    <x v="0"/>
    <x v="0"/>
    <x v="0"/>
    <x v="1"/>
    <x v="0"/>
    <x v="2"/>
    <n v="30"/>
    <s v="Nov"/>
    <n v="1969"/>
    <d v="1969-11-30T00:00:00"/>
    <n v="11150.78"/>
    <s v="tier - 3"/>
    <s v="tier - 2"/>
    <s v="R1011"/>
    <n v="57"/>
    <n v="30.875"/>
  </r>
  <r>
    <x v="1332"/>
    <s v="Kehr,"/>
    <n v="30.81"/>
    <x v="325"/>
    <s v="No"/>
    <x v="0"/>
    <x v="0"/>
    <x v="0"/>
    <x v="1"/>
    <x v="0"/>
    <x v="2"/>
    <n v="25"/>
    <s v="Jun"/>
    <n v="1969"/>
    <d v="1969-06-25T00:00:00"/>
    <n v="11163.57"/>
    <s v="tier - 3"/>
    <s v="tier - 2"/>
    <s v="R1011"/>
    <n v="57"/>
    <n v="30.81"/>
  </r>
  <r>
    <x v="1333"/>
    <s v="Montagna,"/>
    <n v="36.85"/>
    <x v="63"/>
    <s v="No"/>
    <x v="0"/>
    <x v="0"/>
    <x v="1"/>
    <x v="1"/>
    <x v="0"/>
    <x v="0"/>
    <n v="6"/>
    <s v="Aug"/>
    <n v="1966"/>
    <d v="1966-08-06T00:00:00"/>
    <n v="11165.42"/>
    <s v="tier - 3"/>
    <s v="tier - 1"/>
    <s v="R1016"/>
    <n v="60"/>
    <n v="36.85"/>
  </r>
  <r>
    <x v="1334"/>
    <s v="M√ºller,"/>
    <n v="35.86"/>
    <x v="7"/>
    <s v="No"/>
    <x v="0"/>
    <x v="0"/>
    <x v="1"/>
    <x v="1"/>
    <x v="0"/>
    <x v="0"/>
    <n v="3"/>
    <s v="Sep"/>
    <n v="1972"/>
    <d v="1972-09-03T00:00:00"/>
    <n v="11186.2"/>
    <s v="tier - 3"/>
    <s v="tier - 2"/>
    <s v="R1021"/>
    <n v="54"/>
    <n v="35.86"/>
  </r>
  <r>
    <x v="1335"/>
    <s v="Baker,"/>
    <n v="30.3"/>
    <x v="305"/>
    <s v="No"/>
    <x v="0"/>
    <x v="0"/>
    <x v="1"/>
    <x v="1"/>
    <x v="0"/>
    <x v="0"/>
    <n v="14"/>
    <s v="Jun"/>
    <n v="1970"/>
    <d v="1970-06-14T00:00:00"/>
    <n v="11187.66"/>
    <s v="tier - 3"/>
    <s v="tier - 2"/>
    <s v="R1012"/>
    <n v="56"/>
    <n v="30.3"/>
  </r>
  <r>
    <x v="1336"/>
    <s v="Sidebottom,"/>
    <n v="32.015000000000001"/>
    <x v="16"/>
    <s v="No"/>
    <x v="0"/>
    <x v="0"/>
    <x v="0"/>
    <x v="1"/>
    <x v="0"/>
    <x v="0"/>
    <n v="28"/>
    <s v="Jun"/>
    <n v="1976"/>
    <d v="1976-06-28T00:00:00"/>
    <n v="11217.35"/>
    <s v="tier - 3"/>
    <s v="tier - 2"/>
    <s v="R1025"/>
    <n v="50"/>
    <n v="32.015000000000001"/>
  </r>
  <r>
    <x v="1337"/>
    <s v="Johnson,"/>
    <n v="25.06"/>
    <x v="316"/>
    <s v="No"/>
    <x v="0"/>
    <x v="0"/>
    <x v="1"/>
    <x v="1"/>
    <x v="1"/>
    <x v="0"/>
    <n v="30"/>
    <s v="Dec"/>
    <n v="1969"/>
    <d v="1969-12-30T00:00:00"/>
    <n v="11244.38"/>
    <s v="tier - 3"/>
    <s v="tier - 1"/>
    <s v="R1016"/>
    <n v="57"/>
    <n v="25.06"/>
  </r>
  <r>
    <x v="1338"/>
    <s v="Morris,"/>
    <n v="18.829999999999998"/>
    <x v="220"/>
    <s v="Yes"/>
    <x v="0"/>
    <x v="0"/>
    <x v="0"/>
    <x v="1"/>
    <x v="2"/>
    <x v="0"/>
    <n v="17"/>
    <s v="Dec"/>
    <n v="1989"/>
    <d v="1989-12-17T00:00:00"/>
    <n v="11250.43"/>
    <s v="tier - 3"/>
    <s v="tier - 2"/>
    <s v="R1026"/>
    <n v="37"/>
    <n v="18.829999999999998"/>
  </r>
  <r>
    <x v="1339"/>
    <s v="Chaisson,"/>
    <n v="47.52"/>
    <x v="271"/>
    <s v="Yes"/>
    <x v="0"/>
    <x v="0"/>
    <x v="1"/>
    <x v="1"/>
    <x v="0"/>
    <x v="0"/>
    <n v="20"/>
    <s v="Aug"/>
    <n v="1969"/>
    <d v="1969-08-20T00:00:00"/>
    <n v="11253.42"/>
    <s v="tier - 3"/>
    <s v="tier - 1"/>
    <s v="R1011"/>
    <n v="57"/>
    <n v="47.52"/>
  </r>
  <r>
    <x v="1340"/>
    <s v="Pigott,"/>
    <n v="37.82"/>
    <x v="340"/>
    <s v="No"/>
    <x v="0"/>
    <x v="0"/>
    <x v="0"/>
    <x v="1"/>
    <x v="0"/>
    <x v="1"/>
    <n v="2"/>
    <s v="Oct"/>
    <n v="1981"/>
    <d v="1981-10-02T00:00:00"/>
    <n v="11255.29"/>
    <s v="tier - 3"/>
    <s v="tier - 1"/>
    <s v="R1026"/>
    <n v="45"/>
    <n v="37.82"/>
  </r>
  <r>
    <x v="1341"/>
    <s v="Cochrane,"/>
    <n v="44.16"/>
    <x v="389"/>
    <s v="Yes"/>
    <x v="0"/>
    <x v="0"/>
    <x v="0"/>
    <x v="1"/>
    <x v="0"/>
    <x v="2"/>
    <n v="11"/>
    <s v="Oct"/>
    <n v="1969"/>
    <d v="1969-10-11T00:00:00"/>
    <n v="11264.54"/>
    <s v="tier - 3"/>
    <s v="tier - 2"/>
    <s v="R1011"/>
    <n v="57"/>
    <n v="44.16"/>
  </r>
  <r>
    <x v="1342"/>
    <s v="Armitage,"/>
    <n v="37.049999999999997"/>
    <x v="433"/>
    <s v="No"/>
    <x v="0"/>
    <x v="1"/>
    <x v="1"/>
    <x v="1"/>
    <x v="0"/>
    <x v="2"/>
    <n v="26"/>
    <s v="Dec"/>
    <n v="1971"/>
    <d v="1971-12-26T00:00:00"/>
    <n v="11265.71"/>
    <s v="tier - 3"/>
    <s v="tier - 1"/>
    <s v="R1025"/>
    <n v="55"/>
    <n v="37.049999999999997"/>
  </r>
  <r>
    <x v="1343"/>
    <s v="Shen,"/>
    <n v="18.66"/>
    <x v="439"/>
    <s v="No"/>
    <x v="0"/>
    <x v="0"/>
    <x v="0"/>
    <x v="1"/>
    <x v="2"/>
    <x v="0"/>
    <n v="4"/>
    <s v="Oct"/>
    <n v="2004"/>
    <d v="2004-10-04T00:00:00"/>
    <n v="11272.33"/>
    <s v="tier - 3"/>
    <s v="tier - 2"/>
    <s v="R1019"/>
    <n v="22"/>
    <n v="18.66"/>
  </r>
  <r>
    <x v="1344"/>
    <s v="O'Kelly,"/>
    <n v="36.200000000000003"/>
    <x v="596"/>
    <s v="Yes"/>
    <x v="0"/>
    <x v="0"/>
    <x v="1"/>
    <x v="1"/>
    <x v="0"/>
    <x v="0"/>
    <n v="14"/>
    <s v="Jun"/>
    <n v="1967"/>
    <d v="1967-06-14T00:00:00"/>
    <n v="11286.54"/>
    <s v="tier - 3"/>
    <s v="tier - 3"/>
    <s v="R1024"/>
    <n v="59"/>
    <n v="36.200000000000003"/>
  </r>
  <r>
    <x v="1345"/>
    <s v="Huff,"/>
    <n v="18.87"/>
    <x v="430"/>
    <s v="No"/>
    <x v="0"/>
    <x v="0"/>
    <x v="0"/>
    <x v="1"/>
    <x v="2"/>
    <x v="0"/>
    <n v="22"/>
    <s v="Jun"/>
    <n v="1970"/>
    <d v="1970-06-22T00:00:00"/>
    <n v="11289.11"/>
    <s v="tier - 3"/>
    <s v="tier - 1"/>
    <s v="R1012"/>
    <n v="56"/>
    <n v="18.87"/>
  </r>
  <r>
    <x v="1346"/>
    <s v="Dye,"/>
    <n v="32.299999999999997"/>
    <x v="28"/>
    <s v="Yes"/>
    <x v="0"/>
    <x v="0"/>
    <x v="1"/>
    <x v="1"/>
    <x v="0"/>
    <x v="0"/>
    <n v="14"/>
    <s v="Nov"/>
    <n v="1988"/>
    <d v="1988-11-14T00:00:00"/>
    <n v="11294.57"/>
    <s v="tier - 3"/>
    <s v="tier - 1"/>
    <s v="R1022"/>
    <n v="38"/>
    <n v="32.299999999999997"/>
  </r>
  <r>
    <x v="1347"/>
    <s v="Willard,"/>
    <n v="22.64"/>
    <x v="597"/>
    <s v="Yes"/>
    <x v="0"/>
    <x v="0"/>
    <x v="1"/>
    <x v="1"/>
    <x v="2"/>
    <x v="0"/>
    <n v="25"/>
    <s v="Sep"/>
    <n v="1972"/>
    <d v="1972-09-25T00:00:00"/>
    <n v="11299.34"/>
    <s v="tier - 3"/>
    <s v="tier - 2"/>
    <s v="R1011"/>
    <n v="54"/>
    <n v="22.64"/>
  </r>
  <r>
    <x v="1348"/>
    <s v="D'Addario,"/>
    <n v="28.69"/>
    <x v="66"/>
    <s v="No"/>
    <x v="0"/>
    <x v="0"/>
    <x v="0"/>
    <x v="1"/>
    <x v="1"/>
    <x v="2"/>
    <n v="6"/>
    <s v="Oct"/>
    <n v="1968"/>
    <d v="1968-10-06T00:00:00"/>
    <n v="11305.93"/>
    <s v="tier - 3"/>
    <s v="tier - 1"/>
    <s v="R1012"/>
    <n v="58"/>
    <n v="28.69"/>
  </r>
  <r>
    <x v="1349"/>
    <s v="Buchanan,"/>
    <n v="28.16"/>
    <x v="224"/>
    <s v="Yes"/>
    <x v="0"/>
    <x v="0"/>
    <x v="0"/>
    <x v="1"/>
    <x v="1"/>
    <x v="2"/>
    <n v="22"/>
    <s v="Nov"/>
    <n v="1963"/>
    <d v="1963-11-22T00:00:00"/>
    <n v="11312.33"/>
    <s v="tier - 3"/>
    <s v="tier - 3"/>
    <s v="R1012"/>
    <n v="63"/>
    <n v="28.16"/>
  </r>
  <r>
    <x v="1350"/>
    <s v="Clark,"/>
    <n v="45.54"/>
    <x v="85"/>
    <s v="No"/>
    <x v="0"/>
    <x v="1"/>
    <x v="1"/>
    <x v="1"/>
    <x v="0"/>
    <x v="1"/>
    <n v="10"/>
    <s v="Dec"/>
    <n v="1995"/>
    <d v="1995-12-10T00:00:00"/>
    <n v="11318.57"/>
    <s v="tier - 3"/>
    <s v="tier - 2"/>
    <s v="R1026"/>
    <n v="31"/>
    <n v="45.54"/>
  </r>
  <r>
    <x v="1351"/>
    <s v="Waterson,"/>
    <n v="28.7"/>
    <x v="267"/>
    <s v="No"/>
    <x v="0"/>
    <x v="0"/>
    <x v="0"/>
    <x v="1"/>
    <x v="1"/>
    <x v="2"/>
    <n v="11"/>
    <s v="Jul"/>
    <n v="1963"/>
    <d v="1963-07-11T00:00:00"/>
    <n v="11319.12"/>
    <s v="tier - 3"/>
    <s v="tier - 1"/>
    <s v="R1012"/>
    <n v="63"/>
    <n v="28.7"/>
  </r>
  <r>
    <x v="1352"/>
    <s v="Piras,"/>
    <n v="27.74"/>
    <x v="87"/>
    <s v="Yes"/>
    <x v="0"/>
    <x v="0"/>
    <x v="0"/>
    <x v="1"/>
    <x v="1"/>
    <x v="1"/>
    <n v="20"/>
    <s v="Sep"/>
    <n v="2002"/>
    <d v="2002-09-20T00:00:00"/>
    <n v="11321.49"/>
    <s v="tier - 3"/>
    <s v="tier - 3"/>
    <s v="R1012"/>
    <n v="24"/>
    <n v="27.74"/>
  </r>
  <r>
    <x v="1353"/>
    <s v="Olson,"/>
    <n v="36.954999999999998"/>
    <x v="598"/>
    <s v="No"/>
    <x v="0"/>
    <x v="0"/>
    <x v="0"/>
    <x v="1"/>
    <x v="0"/>
    <x v="0"/>
    <n v="19"/>
    <s v="Aug"/>
    <n v="1989"/>
    <d v="1989-08-19T00:00:00"/>
    <n v="11326.71"/>
    <s v="tier - 3"/>
    <s v="tier - 3"/>
    <s v="R1013"/>
    <n v="37"/>
    <n v="36.954999999999998"/>
  </r>
  <r>
    <x v="1354"/>
    <s v="Manfredi,"/>
    <n v="30.69"/>
    <x v="259"/>
    <s v="No"/>
    <x v="0"/>
    <x v="0"/>
    <x v="0"/>
    <x v="1"/>
    <x v="0"/>
    <x v="1"/>
    <n v="2"/>
    <s v="Nov"/>
    <n v="1968"/>
    <d v="1968-11-02T00:00:00"/>
    <n v="11344.32"/>
    <s v="tier - 3"/>
    <s v="tier - 2"/>
    <s v="R1025"/>
    <n v="58"/>
    <n v="30.69"/>
  </r>
  <r>
    <x v="1355"/>
    <s v="Landberg,"/>
    <n v="24.984999999999999"/>
    <x v="176"/>
    <s v="No"/>
    <x v="0"/>
    <x v="0"/>
    <x v="0"/>
    <x v="1"/>
    <x v="2"/>
    <x v="2"/>
    <n v="12"/>
    <s v="Jul"/>
    <n v="1964"/>
    <d v="1964-07-12T00:00:00"/>
    <n v="11345.52"/>
    <s v="tier - 3"/>
    <s v="tier - 3"/>
    <s v="R1011"/>
    <n v="62"/>
    <n v="24.984999999999999"/>
  </r>
  <r>
    <x v="1356"/>
    <s v="Flynn,"/>
    <n v="39.42"/>
    <x v="18"/>
    <s v="Yes"/>
    <x v="0"/>
    <x v="0"/>
    <x v="1"/>
    <x v="1"/>
    <x v="0"/>
    <x v="2"/>
    <n v="29"/>
    <s v="Nov"/>
    <n v="1965"/>
    <d v="1965-11-29T00:00:00"/>
    <n v="11353.23"/>
    <s v="tier - 3"/>
    <s v="tier - 1"/>
    <s v="R1012"/>
    <n v="61"/>
    <n v="39.42"/>
  </r>
  <r>
    <x v="1357"/>
    <s v="Bishop,"/>
    <n v="16.8"/>
    <x v="599"/>
    <s v="No"/>
    <x v="0"/>
    <x v="0"/>
    <x v="0"/>
    <x v="1"/>
    <x v="3"/>
    <x v="0"/>
    <n v="26"/>
    <s v="Sep"/>
    <n v="1965"/>
    <d v="1965-09-26T00:00:00"/>
    <n v="11356.66"/>
    <s v="tier - 3"/>
    <s v="tier - 3"/>
    <s v="R1012"/>
    <n v="61"/>
    <n v="16.8"/>
  </r>
  <r>
    <x v="1358"/>
    <s v="Devitt,"/>
    <n v="23.274999999999999"/>
    <x v="106"/>
    <s v="Yes"/>
    <x v="0"/>
    <x v="1"/>
    <x v="1"/>
    <x v="1"/>
    <x v="2"/>
    <x v="1"/>
    <n v="4"/>
    <s v="Jul"/>
    <n v="1964"/>
    <d v="1964-07-04T00:00:00"/>
    <n v="11362.76"/>
    <s v="tier - 3"/>
    <s v="tier - 1"/>
    <s v="R1011"/>
    <n v="62"/>
    <n v="23.274999999999999"/>
  </r>
  <r>
    <x v="1359"/>
    <s v="Lynch,"/>
    <n v="22.8"/>
    <x v="144"/>
    <s v="Yes"/>
    <x v="0"/>
    <x v="1"/>
    <x v="1"/>
    <x v="1"/>
    <x v="2"/>
    <x v="2"/>
    <n v="3"/>
    <s v="Jul"/>
    <n v="1964"/>
    <d v="1964-07-03T00:00:00"/>
    <n v="11363.28"/>
    <s v="tier - 3"/>
    <s v="tier - 1"/>
    <s v="R1013"/>
    <n v="62"/>
    <n v="22.8"/>
  </r>
  <r>
    <x v="1360"/>
    <s v="Tramontano,"/>
    <n v="24.3"/>
    <x v="506"/>
    <s v="No"/>
    <x v="0"/>
    <x v="0"/>
    <x v="1"/>
    <x v="1"/>
    <x v="2"/>
    <x v="2"/>
    <n v="13"/>
    <s v="Dec"/>
    <n v="1964"/>
    <d v="1964-12-13T00:00:00"/>
    <n v="11365.95"/>
    <s v="tier - 3"/>
    <s v="tier - 2"/>
    <s v="R1011"/>
    <n v="62"/>
    <n v="24.3"/>
  </r>
  <r>
    <x v="1361"/>
    <s v="Davidson,"/>
    <n v="25.13"/>
    <x v="96"/>
    <s v="Yes"/>
    <x v="0"/>
    <x v="0"/>
    <x v="1"/>
    <x v="1"/>
    <x v="1"/>
    <x v="0"/>
    <n v="7"/>
    <s v="Jun"/>
    <n v="1979"/>
    <d v="1979-06-07T00:00:00"/>
    <n v="11369.39"/>
    <s v="tier - 3"/>
    <s v="tier - 1"/>
    <s v="R1026"/>
    <n v="47"/>
    <n v="25.13"/>
  </r>
  <r>
    <x v="1362"/>
    <s v="Burke,"/>
    <n v="22.72"/>
    <x v="529"/>
    <s v="Yes"/>
    <x v="0"/>
    <x v="0"/>
    <x v="1"/>
    <x v="1"/>
    <x v="2"/>
    <x v="0"/>
    <n v="6"/>
    <s v="Dec"/>
    <n v="1972"/>
    <d v="1972-12-06T00:00:00"/>
    <n v="11378.57"/>
    <s v="tier - 3"/>
    <s v="tier - 2"/>
    <s v="R1025"/>
    <n v="54"/>
    <n v="22.72"/>
  </r>
  <r>
    <x v="1363"/>
    <s v="McGraw,"/>
    <n v="32.6"/>
    <x v="552"/>
    <s v="Yes"/>
    <x v="0"/>
    <x v="0"/>
    <x v="0"/>
    <x v="1"/>
    <x v="0"/>
    <x v="0"/>
    <n v="13"/>
    <s v="Jun"/>
    <n v="1964"/>
    <d v="1964-06-13T00:00:00"/>
    <n v="11381.33"/>
    <s v="tier - 3"/>
    <s v="tier - 2"/>
    <s v="R1013"/>
    <n v="62"/>
    <n v="32.6"/>
  </r>
  <r>
    <x v="1364"/>
    <s v="Fellure,"/>
    <n v="17.28"/>
    <x v="21"/>
    <s v="Yes"/>
    <x v="0"/>
    <x v="0"/>
    <x v="1"/>
    <x v="1"/>
    <x v="3"/>
    <x v="1"/>
    <n v="28"/>
    <s v="Jul"/>
    <n v="1997"/>
    <d v="1997-07-28T00:00:00"/>
    <n v="11388.27"/>
    <s v="tier - 3"/>
    <s v="tier - 2"/>
    <s v="R1026"/>
    <n v="29"/>
    <n v="17.28"/>
  </r>
  <r>
    <x v="1365"/>
    <s v="Sanford,"/>
    <n v="27.92"/>
    <x v="425"/>
    <s v="No"/>
    <x v="0"/>
    <x v="0"/>
    <x v="1"/>
    <x v="1"/>
    <x v="1"/>
    <x v="1"/>
    <n v="19"/>
    <s v="Dec"/>
    <n v="1967"/>
    <d v="1967-12-19T00:00:00"/>
    <n v="11394.07"/>
    <s v="tier - 3"/>
    <s v="tier - 1"/>
    <s v="R1018"/>
    <n v="59"/>
    <n v="27.92"/>
  </r>
  <r>
    <x v="1366"/>
    <s v="Wrenn,"/>
    <n v="38.284999999999997"/>
    <x v="86"/>
    <s v="No"/>
    <x v="0"/>
    <x v="0"/>
    <x v="0"/>
    <x v="1"/>
    <x v="0"/>
    <x v="2"/>
    <n v="2"/>
    <s v="Oct"/>
    <n v="1970"/>
    <d v="1970-10-02T00:00:00"/>
    <n v="11396.9"/>
    <s v="tier - 3"/>
    <s v="tier - 3"/>
    <s v="R1024"/>
    <n v="56"/>
    <n v="38.284999999999997"/>
  </r>
  <r>
    <x v="1367"/>
    <s v="Lindsey,"/>
    <n v="16.48"/>
    <x v="53"/>
    <s v="No"/>
    <x v="0"/>
    <x v="0"/>
    <x v="0"/>
    <x v="1"/>
    <x v="3"/>
    <x v="0"/>
    <n v="7"/>
    <s v="Oct"/>
    <n v="1970"/>
    <d v="1970-10-07T00:00:00"/>
    <n v="11411.69"/>
    <s v="tier - 3"/>
    <s v="tier - 2"/>
    <s v="R1011"/>
    <n v="56"/>
    <n v="16.48"/>
  </r>
  <r>
    <x v="1368"/>
    <s v="Krueger,"/>
    <n v="38.57"/>
    <x v="128"/>
    <s v="No"/>
    <x v="0"/>
    <x v="0"/>
    <x v="0"/>
    <x v="1"/>
    <x v="0"/>
    <x v="1"/>
    <n v="23"/>
    <s v="Oct"/>
    <n v="1983"/>
    <d v="1983-10-23T00:00:00"/>
    <n v="11412.02"/>
    <s v="tier - 3"/>
    <s v="tier - 1"/>
    <s v="R1021"/>
    <n v="43"/>
    <n v="38.57"/>
  </r>
  <r>
    <x v="1369"/>
    <s v="Babler,"/>
    <n v="43.85"/>
    <x v="370"/>
    <s v="Yes"/>
    <x v="0"/>
    <x v="0"/>
    <x v="0"/>
    <x v="1"/>
    <x v="0"/>
    <x v="2"/>
    <n v="9"/>
    <s v="Jun"/>
    <n v="1985"/>
    <d v="1985-06-09T00:00:00"/>
    <n v="11419.49"/>
    <s v="tier - 3"/>
    <s v="tier - 1"/>
    <s v="R1012"/>
    <n v="41"/>
    <n v="43.85"/>
  </r>
  <r>
    <x v="1370"/>
    <s v="Brezenski,"/>
    <n v="30.11"/>
    <x v="336"/>
    <s v="No"/>
    <x v="0"/>
    <x v="0"/>
    <x v="0"/>
    <x v="1"/>
    <x v="0"/>
    <x v="2"/>
    <n v="17"/>
    <s v="Jul"/>
    <n v="1980"/>
    <d v="1980-07-17T00:00:00"/>
    <n v="11435.74"/>
    <s v="tier - 3"/>
    <s v="tier - 3"/>
    <s v="R1021"/>
    <n v="46"/>
    <n v="30.11"/>
  </r>
  <r>
    <x v="1371"/>
    <s v="Marschner,"/>
    <n v="31.59"/>
    <x v="214"/>
    <s v="No"/>
    <x v="0"/>
    <x v="0"/>
    <x v="0"/>
    <x v="1"/>
    <x v="0"/>
    <x v="1"/>
    <n v="12"/>
    <s v="Sep"/>
    <n v="1971"/>
    <d v="1971-09-12T00:00:00"/>
    <n v="11436.74"/>
    <s v="tier - 3"/>
    <s v="tier - 3"/>
    <s v="R1012"/>
    <n v="55"/>
    <n v="31.59"/>
  </r>
  <r>
    <x v="1372"/>
    <s v="King,"/>
    <n v="40.15"/>
    <x v="494"/>
    <s v="No"/>
    <x v="0"/>
    <x v="0"/>
    <x v="0"/>
    <x v="1"/>
    <x v="0"/>
    <x v="0"/>
    <n v="14"/>
    <s v="Jun"/>
    <n v="1966"/>
    <d v="1966-06-14T00:00:00"/>
    <n v="11454.02"/>
    <s v="tier - 3"/>
    <s v="tier - 1"/>
    <s v="R1012"/>
    <n v="60"/>
    <n v="40.15"/>
  </r>
  <r>
    <x v="1373"/>
    <s v="Montez,"/>
    <n v="40.700000000000003"/>
    <x v="128"/>
    <s v="Yes"/>
    <x v="0"/>
    <x v="1"/>
    <x v="1"/>
    <x v="1"/>
    <x v="0"/>
    <x v="1"/>
    <n v="23"/>
    <s v="Jun"/>
    <n v="1965"/>
    <d v="1965-06-23T00:00:00"/>
    <n v="11455.28"/>
    <s v="tier - 3"/>
    <s v="tier - 2"/>
    <s v="R1011"/>
    <n v="61"/>
    <n v="40.700000000000003"/>
  </r>
  <r>
    <x v="1374"/>
    <s v="Campbell,"/>
    <n v="40.76"/>
    <x v="124"/>
    <s v="No"/>
    <x v="0"/>
    <x v="0"/>
    <x v="0"/>
    <x v="1"/>
    <x v="0"/>
    <x v="2"/>
    <n v="7"/>
    <s v="Sep"/>
    <n v="1966"/>
    <d v="1966-09-07T00:00:00"/>
    <n v="11478.14"/>
    <s v="tier - 3"/>
    <s v="tier - 2"/>
    <s v="R1025"/>
    <n v="60"/>
    <n v="40.76"/>
  </r>
  <r>
    <x v="1375"/>
    <s v="Hurt,"/>
    <n v="29.7"/>
    <x v="354"/>
    <s v="No"/>
    <x v="0"/>
    <x v="0"/>
    <x v="0"/>
    <x v="1"/>
    <x v="1"/>
    <x v="0"/>
    <n v="10"/>
    <s v="Sep"/>
    <n v="2004"/>
    <d v="2004-09-10T00:00:00"/>
    <n v="11482.63"/>
    <s v="tier - 3"/>
    <s v="tier - 2"/>
    <s v="R1013"/>
    <n v="22"/>
    <n v="29.7"/>
  </r>
  <r>
    <x v="1376"/>
    <s v="Garey,"/>
    <n v="40.58"/>
    <x v="134"/>
    <s v="Yes"/>
    <x v="0"/>
    <x v="1"/>
    <x v="1"/>
    <x v="1"/>
    <x v="0"/>
    <x v="2"/>
    <n v="13"/>
    <s v="Oct"/>
    <n v="1970"/>
    <d v="1970-10-13T00:00:00"/>
    <n v="11488.32"/>
    <s v="tier - 3"/>
    <s v="tier - 1"/>
    <s v="R1014"/>
    <n v="56"/>
    <n v="40.58"/>
  </r>
  <r>
    <x v="1377"/>
    <s v="Reddy,"/>
    <n v="33.06"/>
    <x v="397"/>
    <s v="Yes"/>
    <x v="0"/>
    <x v="0"/>
    <x v="0"/>
    <x v="1"/>
    <x v="0"/>
    <x v="0"/>
    <n v="7"/>
    <s v="Jun"/>
    <n v="1983"/>
    <d v="1983-06-07T00:00:00"/>
    <n v="11492.46"/>
    <s v="tier - 3"/>
    <s v="tier - 3"/>
    <s v="R1026"/>
    <n v="43"/>
    <n v="33.06"/>
  </r>
  <r>
    <x v="1378"/>
    <s v="Mueller,"/>
    <n v="26.62"/>
    <x v="259"/>
    <s v="Yes"/>
    <x v="0"/>
    <x v="0"/>
    <x v="0"/>
    <x v="1"/>
    <x v="1"/>
    <x v="1"/>
    <n v="11"/>
    <s v="Aug"/>
    <n v="1969"/>
    <d v="1969-08-11T00:00:00"/>
    <n v="11497.69"/>
    <s v="tier - 3"/>
    <s v="tier - 1"/>
    <s v="R1012"/>
    <n v="57"/>
    <n v="26.62"/>
  </r>
  <r>
    <x v="1379"/>
    <s v="Julia,"/>
    <n v="37.1"/>
    <x v="419"/>
    <s v="No"/>
    <x v="0"/>
    <x v="0"/>
    <x v="0"/>
    <x v="1"/>
    <x v="0"/>
    <x v="0"/>
    <n v="6"/>
    <s v="Oct"/>
    <n v="1989"/>
    <d v="1989-10-06T00:00:00"/>
    <n v="11511.61"/>
    <s v="tier - 3"/>
    <s v="tier - 3"/>
    <s v="R1026"/>
    <n v="37"/>
    <n v="37.1"/>
  </r>
  <r>
    <x v="1380"/>
    <s v="Uribe,"/>
    <n v="18.28"/>
    <x v="544"/>
    <s v="No"/>
    <x v="0"/>
    <x v="0"/>
    <x v="0"/>
    <x v="1"/>
    <x v="3"/>
    <x v="0"/>
    <n v="24"/>
    <s v="Jun"/>
    <n v="1968"/>
    <d v="1968-06-24T00:00:00"/>
    <n v="11512.41"/>
    <s v="tier - 3"/>
    <s v="tier - 1"/>
    <s v="R1024"/>
    <n v="58"/>
    <n v="18.28"/>
  </r>
  <r>
    <x v="1381"/>
    <s v="Hand,"/>
    <n v="35.814999999999998"/>
    <x v="195"/>
    <s v="No"/>
    <x v="0"/>
    <x v="0"/>
    <x v="0"/>
    <x v="1"/>
    <x v="0"/>
    <x v="1"/>
    <n v="19"/>
    <s v="Dec"/>
    <n v="1971"/>
    <d v="1971-12-19T00:00:00"/>
    <n v="11520.1"/>
    <s v="tier - 3"/>
    <s v="tier - 1"/>
    <s v="R1012"/>
    <n v="55"/>
    <n v="35.814999999999998"/>
  </r>
  <r>
    <x v="1382"/>
    <s v="Petersen,"/>
    <n v="30.69"/>
    <x v="363"/>
    <s v="No"/>
    <x v="0"/>
    <x v="0"/>
    <x v="0"/>
    <x v="1"/>
    <x v="0"/>
    <x v="0"/>
    <n v="12"/>
    <s v="Jun"/>
    <n v="1988"/>
    <d v="1988-06-12T00:00:00"/>
    <n v="11524.25"/>
    <s v="tier - 3"/>
    <s v="tier - 1"/>
    <s v="R1026"/>
    <n v="38"/>
    <n v="30.69"/>
  </r>
  <r>
    <x v="1383"/>
    <s v="Mac-Thiong,"/>
    <n v="26.125"/>
    <x v="151"/>
    <s v="No"/>
    <x v="0"/>
    <x v="0"/>
    <x v="0"/>
    <x v="1"/>
    <x v="1"/>
    <x v="2"/>
    <n v="23"/>
    <s v="Jul"/>
    <n v="1970"/>
    <d v="1970-07-23T00:00:00"/>
    <n v="11530.12"/>
    <s v="tier - 3"/>
    <s v="tier - 1"/>
    <s v="R1012"/>
    <n v="56"/>
    <n v="26.125"/>
  </r>
  <r>
    <x v="1384"/>
    <s v="Walker,"/>
    <n v="34.58"/>
    <x v="559"/>
    <s v="No"/>
    <x v="0"/>
    <x v="1"/>
    <x v="1"/>
    <x v="1"/>
    <x v="0"/>
    <x v="1"/>
    <n v="3"/>
    <s v="Oct"/>
    <n v="1965"/>
    <d v="1965-10-03T00:00:00"/>
    <n v="11534.87"/>
    <s v="tier - 3"/>
    <s v="tier - 1"/>
    <s v="R1017"/>
    <n v="61"/>
    <n v="34.58"/>
  </r>
  <r>
    <x v="1385"/>
    <s v="Steidl,"/>
    <n v="27.4"/>
    <x v="600"/>
    <s v="No"/>
    <x v="0"/>
    <x v="0"/>
    <x v="0"/>
    <x v="1"/>
    <x v="1"/>
    <x v="0"/>
    <n v="14"/>
    <s v="Nov"/>
    <n v="1968"/>
    <d v="1968-11-14T00:00:00"/>
    <n v="11538.42"/>
    <s v="tier - 3"/>
    <s v="tier - 1"/>
    <s v="R1011"/>
    <n v="58"/>
    <n v="27.4"/>
  </r>
  <r>
    <x v="1386"/>
    <s v="Rose,"/>
    <n v="27.53"/>
    <x v="92"/>
    <s v="No"/>
    <x v="0"/>
    <x v="0"/>
    <x v="1"/>
    <x v="1"/>
    <x v="1"/>
    <x v="2"/>
    <n v="1"/>
    <s v="Dec"/>
    <n v="1971"/>
    <d v="1971-12-01T00:00:00"/>
    <n v="11540.25"/>
    <s v="tier - 3"/>
    <s v="tier - 1"/>
    <s v="R1012"/>
    <n v="55"/>
    <n v="27.53"/>
  </r>
  <r>
    <x v="1387"/>
    <s v="Alderfer,"/>
    <n v="33"/>
    <x v="90"/>
    <s v="No"/>
    <x v="0"/>
    <x v="0"/>
    <x v="0"/>
    <x v="1"/>
    <x v="0"/>
    <x v="2"/>
    <n v="23"/>
    <s v="Jul"/>
    <n v="1973"/>
    <d v="1973-07-23T00:00:00"/>
    <n v="11552.9"/>
    <s v="tier - 3"/>
    <s v="tier - 2"/>
    <s v="R1011"/>
    <n v="53"/>
    <n v="33"/>
  </r>
  <r>
    <x v="1388"/>
    <s v="Ryland,"/>
    <n v="25.78"/>
    <x v="576"/>
    <s v="Yes"/>
    <x v="0"/>
    <x v="0"/>
    <x v="0"/>
    <x v="1"/>
    <x v="1"/>
    <x v="0"/>
    <n v="27"/>
    <s v="Oct"/>
    <n v="1965"/>
    <d v="1965-10-27T00:00:00"/>
    <n v="11554.22"/>
    <s v="tier - 3"/>
    <s v="tier - 1"/>
    <s v="R1013"/>
    <n v="61"/>
    <n v="25.78"/>
  </r>
  <r>
    <x v="1389"/>
    <s v="Bethea,"/>
    <n v="22.66"/>
    <x v="601"/>
    <s v="No"/>
    <x v="0"/>
    <x v="0"/>
    <x v="0"/>
    <x v="1"/>
    <x v="2"/>
    <x v="0"/>
    <n v="25"/>
    <s v="Dec"/>
    <n v="1965"/>
    <d v="1965-12-25T00:00:00"/>
    <n v="11566.3"/>
    <s v="tier - 3"/>
    <s v="tier - 3"/>
    <s v="R1016"/>
    <n v="61"/>
    <n v="22.66"/>
  </r>
  <r>
    <x v="1390"/>
    <s v="Kelly,"/>
    <n v="38.81"/>
    <x v="105"/>
    <s v="Yes"/>
    <x v="0"/>
    <x v="0"/>
    <x v="1"/>
    <x v="1"/>
    <x v="0"/>
    <x v="1"/>
    <n v="6"/>
    <s v="Nov"/>
    <n v="1965"/>
    <d v="1965-11-06T00:00:00"/>
    <n v="11576.13"/>
    <s v="tier - 3"/>
    <s v="tier - 3"/>
    <s v="R1011"/>
    <n v="61"/>
    <n v="38.81"/>
  </r>
  <r>
    <x v="1391"/>
    <s v="Blois,"/>
    <n v="38.51"/>
    <x v="4"/>
    <s v="Yes"/>
    <x v="0"/>
    <x v="0"/>
    <x v="0"/>
    <x v="1"/>
    <x v="0"/>
    <x v="2"/>
    <n v="20"/>
    <s v="Jun"/>
    <n v="1964"/>
    <d v="1964-06-20T00:00:00"/>
    <n v="11602.75"/>
    <s v="tier - 3"/>
    <s v="tier - 1"/>
    <s v="R1020"/>
    <n v="62"/>
    <n v="38.51"/>
  </r>
  <r>
    <x v="1392"/>
    <s v="Dayton,"/>
    <n v="22.98"/>
    <x v="105"/>
    <s v="Yes"/>
    <x v="0"/>
    <x v="0"/>
    <x v="0"/>
    <x v="1"/>
    <x v="2"/>
    <x v="1"/>
    <n v="17"/>
    <s v="Jul"/>
    <n v="1986"/>
    <d v="1986-07-17T00:00:00"/>
    <n v="11625.11"/>
    <s v="tier - 3"/>
    <s v="tier - 3"/>
    <s v="R1022"/>
    <n v="40"/>
    <n v="22.98"/>
  </r>
  <r>
    <x v="1393"/>
    <s v="Cloud,"/>
    <n v="15.65"/>
    <x v="591"/>
    <s v="No"/>
    <x v="0"/>
    <x v="0"/>
    <x v="0"/>
    <x v="1"/>
    <x v="3"/>
    <x v="0"/>
    <n v="4"/>
    <s v="Oct"/>
    <n v="1966"/>
    <d v="1966-10-04T00:00:00"/>
    <n v="11657.72"/>
    <s v="tier - 3"/>
    <s v="tier - 2"/>
    <s v="R1024"/>
    <n v="60"/>
    <n v="15.65"/>
  </r>
  <r>
    <x v="1394"/>
    <s v="Betournay,"/>
    <n v="39.97"/>
    <x v="197"/>
    <s v="No"/>
    <x v="0"/>
    <x v="0"/>
    <x v="1"/>
    <x v="1"/>
    <x v="0"/>
    <x v="2"/>
    <n v="20"/>
    <s v="Jul"/>
    <n v="1994"/>
    <d v="1994-07-20T00:00:00"/>
    <n v="11657.81"/>
    <s v="tier - 3"/>
    <s v="tier - 2"/>
    <s v="R1023"/>
    <n v="32"/>
    <n v="39.97"/>
  </r>
  <r>
    <x v="1395"/>
    <s v="Temple,"/>
    <n v="37.22"/>
    <x v="471"/>
    <s v="No"/>
    <x v="0"/>
    <x v="1"/>
    <x v="1"/>
    <x v="1"/>
    <x v="0"/>
    <x v="2"/>
    <n v="6"/>
    <s v="Jul"/>
    <n v="1966"/>
    <d v="1966-07-06T00:00:00"/>
    <n v="11658.12"/>
    <s v="tier - 3"/>
    <s v="tier - 1"/>
    <s v="R1024"/>
    <n v="60"/>
    <n v="37.22"/>
  </r>
  <r>
    <x v="1396"/>
    <s v="Rollie,"/>
    <n v="41.325000000000003"/>
    <x v="1"/>
    <s v="No"/>
    <x v="0"/>
    <x v="0"/>
    <x v="0"/>
    <x v="1"/>
    <x v="0"/>
    <x v="1"/>
    <n v="23"/>
    <s v="Aug"/>
    <n v="1966"/>
    <d v="1966-08-23T00:00:00"/>
    <n v="11658.38"/>
    <s v="tier - 3"/>
    <s v="tier - 3"/>
    <s v="R1024"/>
    <n v="60"/>
    <n v="41.325000000000003"/>
  </r>
  <r>
    <x v="1397"/>
    <s v="Roybal,"/>
    <n v="40.31"/>
    <x v="85"/>
    <s v="No"/>
    <x v="0"/>
    <x v="0"/>
    <x v="0"/>
    <x v="1"/>
    <x v="0"/>
    <x v="1"/>
    <n v="9"/>
    <s v="Nov"/>
    <n v="1966"/>
    <d v="1966-11-09T00:00:00"/>
    <n v="11674.13"/>
    <s v="tier - 3"/>
    <s v="tier - 1"/>
    <s v="R1011"/>
    <n v="60"/>
    <n v="40.31"/>
  </r>
  <r>
    <x v="1398"/>
    <s v="Turgeon,"/>
    <n v="29.48"/>
    <x v="468"/>
    <s v="No"/>
    <x v="0"/>
    <x v="0"/>
    <x v="0"/>
    <x v="1"/>
    <x v="1"/>
    <x v="2"/>
    <n v="1"/>
    <s v="Dec"/>
    <n v="1970"/>
    <d v="1970-12-01T00:00:00"/>
    <n v="11696.52"/>
    <s v="tier - 3"/>
    <s v="tier - 1"/>
    <s v="R1021"/>
    <n v="56"/>
    <n v="29.48"/>
  </r>
  <r>
    <x v="1399"/>
    <s v="Deingenis,"/>
    <n v="33.155000000000001"/>
    <x v="103"/>
    <s v="No"/>
    <x v="0"/>
    <x v="0"/>
    <x v="0"/>
    <x v="1"/>
    <x v="0"/>
    <x v="2"/>
    <n v="21"/>
    <s v="Oct"/>
    <n v="1982"/>
    <d v="1982-10-21T00:00:00"/>
    <n v="11712.97"/>
    <s v="tier - 3"/>
    <s v="tier - 2"/>
    <s v="R1021"/>
    <n v="44"/>
    <n v="33.155000000000001"/>
  </r>
  <r>
    <x v="1400"/>
    <s v="Hodge,"/>
    <n v="42.85"/>
    <x v="335"/>
    <s v="Yes"/>
    <x v="0"/>
    <x v="0"/>
    <x v="0"/>
    <x v="1"/>
    <x v="0"/>
    <x v="1"/>
    <n v="12"/>
    <s v="Oct"/>
    <n v="1969"/>
    <d v="1969-10-12T00:00:00"/>
    <n v="11729.68"/>
    <s v="tier - 3"/>
    <s v="tier - 1"/>
    <s v="R1024"/>
    <n v="57"/>
    <n v="42.85"/>
  </r>
  <r>
    <x v="1401"/>
    <s v="Gibbs,"/>
    <n v="32.340000000000003"/>
    <x v="531"/>
    <s v="No"/>
    <x v="0"/>
    <x v="0"/>
    <x v="0"/>
    <x v="1"/>
    <x v="0"/>
    <x v="0"/>
    <n v="26"/>
    <s v="Nov"/>
    <n v="1984"/>
    <d v="1984-11-26T00:00:00"/>
    <n v="11730.82"/>
    <s v="tier - 3"/>
    <s v="tier - 3"/>
    <s v="R1026"/>
    <n v="42"/>
    <n v="32.340000000000003"/>
  </r>
  <r>
    <x v="1402"/>
    <s v="Trom,"/>
    <n v="27.5"/>
    <x v="602"/>
    <s v="No"/>
    <x v="0"/>
    <x v="0"/>
    <x v="0"/>
    <x v="1"/>
    <x v="1"/>
    <x v="0"/>
    <n v="9"/>
    <s v="Nov"/>
    <n v="1964"/>
    <d v="1964-11-09T00:00:00"/>
    <n v="11735.88"/>
    <s v="tier - 3"/>
    <s v="tier - 1"/>
    <s v="R1012"/>
    <n v="62"/>
    <n v="27.5"/>
  </r>
  <r>
    <x v="1403"/>
    <s v="Sizer,"/>
    <n v="25.8"/>
    <x v="603"/>
    <s v="No"/>
    <x v="0"/>
    <x v="0"/>
    <x v="0"/>
    <x v="1"/>
    <x v="1"/>
    <x v="0"/>
    <n v="5"/>
    <s v="Sep"/>
    <n v="1988"/>
    <d v="1988-09-05T00:00:00"/>
    <n v="11737.85"/>
    <s v="tier - 3"/>
    <s v="tier - 1"/>
    <s v="R1011"/>
    <n v="38"/>
    <n v="25.8"/>
  </r>
  <r>
    <x v="1404"/>
    <s v="Ellison,"/>
    <n v="25"/>
    <x v="604"/>
    <s v="No"/>
    <x v="0"/>
    <x v="0"/>
    <x v="0"/>
    <x v="1"/>
    <x v="1"/>
    <x v="0"/>
    <n v="12"/>
    <s v="Nov"/>
    <n v="1969"/>
    <d v="1969-11-12T00:00:00"/>
    <n v="11741.73"/>
    <s v="tier - 3"/>
    <s v="tier - 1"/>
    <s v="R1011"/>
    <n v="57"/>
    <n v="25"/>
  </r>
  <r>
    <x v="1405"/>
    <s v="Sulkowski,"/>
    <n v="41.2"/>
    <x v="237"/>
    <s v="Yes"/>
    <x v="0"/>
    <x v="0"/>
    <x v="0"/>
    <x v="1"/>
    <x v="0"/>
    <x v="2"/>
    <n v="9"/>
    <s v="Jun"/>
    <n v="1963"/>
    <d v="1963-06-09T00:00:00"/>
    <n v="11743.3"/>
    <s v="tier - 3"/>
    <s v="tier - 3"/>
    <s v="R1013"/>
    <n v="63"/>
    <n v="41.2"/>
  </r>
  <r>
    <x v="1406"/>
    <s v="Maringo,"/>
    <n v="17.78"/>
    <x v="605"/>
    <s v="No"/>
    <x v="0"/>
    <x v="0"/>
    <x v="0"/>
    <x v="1"/>
    <x v="3"/>
    <x v="0"/>
    <n v="2"/>
    <s v="Dec"/>
    <n v="1964"/>
    <d v="1964-12-02T00:00:00"/>
    <n v="11743.93"/>
    <s v="tier - 3"/>
    <s v="tier - 1"/>
    <s v="R1012"/>
    <n v="62"/>
    <n v="17.78"/>
  </r>
  <r>
    <x v="1407"/>
    <s v="Lattin,"/>
    <n v="40.119999999999997"/>
    <x v="21"/>
    <s v="Yes"/>
    <x v="0"/>
    <x v="1"/>
    <x v="1"/>
    <x v="1"/>
    <x v="0"/>
    <x v="1"/>
    <n v="6"/>
    <s v="Nov"/>
    <n v="1979"/>
    <d v="1979-11-06T00:00:00"/>
    <n v="11752.68"/>
    <s v="tier - 3"/>
    <s v="tier - 1"/>
    <s v="R1026"/>
    <n v="47"/>
    <n v="40.119999999999997"/>
  </r>
  <r>
    <x v="1408"/>
    <s v="Deblander,"/>
    <n v="19.350000000000001"/>
    <x v="606"/>
    <s v="Yes"/>
    <x v="0"/>
    <x v="0"/>
    <x v="0"/>
    <x v="1"/>
    <x v="2"/>
    <x v="0"/>
    <n v="25"/>
    <s v="Jul"/>
    <n v="1966"/>
    <d v="1966-07-25T00:00:00"/>
    <n v="11763"/>
    <s v="tier - 3"/>
    <s v="tier - 3"/>
    <s v="R1016"/>
    <n v="60"/>
    <n v="19.350000000000001"/>
  </r>
  <r>
    <x v="1409"/>
    <s v="O'Neill,"/>
    <n v="36.69"/>
    <x v="259"/>
    <s v="No"/>
    <x v="0"/>
    <x v="0"/>
    <x v="0"/>
    <x v="1"/>
    <x v="0"/>
    <x v="1"/>
    <n v="20"/>
    <s v="Nov"/>
    <n v="1982"/>
    <d v="1982-11-20T00:00:00"/>
    <n v="11773.06"/>
    <s v="tier - 3"/>
    <s v="tier - 3"/>
    <s v="R1026"/>
    <n v="44"/>
    <n v="36.69"/>
  </r>
  <r>
    <x v="1410"/>
    <s v="Davis,"/>
    <n v="28.51"/>
    <x v="120"/>
    <s v="Yes"/>
    <x v="0"/>
    <x v="0"/>
    <x v="1"/>
    <x v="1"/>
    <x v="1"/>
    <x v="2"/>
    <n v="3"/>
    <s v="Oct"/>
    <n v="1965"/>
    <d v="1965-10-03T00:00:00"/>
    <n v="11830.61"/>
    <s v="tier - 3"/>
    <s v="tier - 1"/>
    <s v="R1012"/>
    <n v="61"/>
    <n v="28.51"/>
  </r>
  <r>
    <x v="1411"/>
    <s v="Stanek,"/>
    <n v="30.21"/>
    <x v="334"/>
    <s v="No"/>
    <x v="0"/>
    <x v="0"/>
    <x v="1"/>
    <x v="1"/>
    <x v="0"/>
    <x v="2"/>
    <n v="27"/>
    <s v="Jun"/>
    <n v="1964"/>
    <d v="1964-06-27T00:00:00"/>
    <n v="11833.78"/>
    <s v="tier - 3"/>
    <s v="tier - 3"/>
    <s v="R1013"/>
    <n v="62"/>
    <n v="30.21"/>
  </r>
  <r>
    <x v="1412"/>
    <s v="Harris,"/>
    <n v="24.33"/>
    <x v="96"/>
    <s v="No"/>
    <x v="0"/>
    <x v="0"/>
    <x v="0"/>
    <x v="1"/>
    <x v="2"/>
    <x v="0"/>
    <n v="11"/>
    <s v="Sep"/>
    <n v="1964"/>
    <d v="1964-09-11T00:00:00"/>
    <n v="11837.16"/>
    <s v="tier - 3"/>
    <s v="tier - 3"/>
    <s v="R1011"/>
    <n v="62"/>
    <n v="24.33"/>
  </r>
  <r>
    <x v="1413"/>
    <s v="Manning,"/>
    <n v="19.855"/>
    <x v="268"/>
    <s v="Yes"/>
    <x v="0"/>
    <x v="0"/>
    <x v="0"/>
    <x v="1"/>
    <x v="2"/>
    <x v="1"/>
    <n v="25"/>
    <s v="Sep"/>
    <n v="1965"/>
    <d v="1965-09-25T00:00:00"/>
    <n v="11840.78"/>
    <s v="tier - 3"/>
    <s v="tier - 2"/>
    <s v="R1012"/>
    <n v="61"/>
    <n v="19.855"/>
  </r>
  <r>
    <x v="1414"/>
    <s v="Barrera"/>
    <n v="25.364999999999998"/>
    <x v="307"/>
    <s v="No"/>
    <x v="0"/>
    <x v="0"/>
    <x v="0"/>
    <x v="1"/>
    <x v="1"/>
    <x v="0"/>
    <n v="11"/>
    <s v="Jul"/>
    <n v="1964"/>
    <d v="1964-07-11T00:00:00"/>
    <n v="11842.44"/>
    <s v="tier - 3"/>
    <s v="tier - 2"/>
    <s v="R1011"/>
    <n v="62"/>
    <n v="25.364999999999998"/>
  </r>
  <r>
    <x v="1415"/>
    <s v="Schauwaers,"/>
    <n v="29.6"/>
    <x v="330"/>
    <s v="Yes"/>
    <x v="0"/>
    <x v="1"/>
    <x v="1"/>
    <x v="1"/>
    <x v="1"/>
    <x v="1"/>
    <n v="10"/>
    <s v="Nov"/>
    <n v="1965"/>
    <d v="1965-11-10T00:00:00"/>
    <n v="11842.62"/>
    <s v="tier - 3"/>
    <s v="tier - 3"/>
    <s v="R1012"/>
    <n v="61"/>
    <n v="29.6"/>
  </r>
  <r>
    <x v="1416"/>
    <s v="Hartman,"/>
    <n v="39.43"/>
    <x v="148"/>
    <s v="Yes"/>
    <x v="0"/>
    <x v="1"/>
    <x v="1"/>
    <x v="1"/>
    <x v="0"/>
    <x v="1"/>
    <n v="27"/>
    <s v="Jun"/>
    <n v="1964"/>
    <d v="1964-06-27T00:00:00"/>
    <n v="11848.14"/>
    <s v="tier - 3"/>
    <s v="tier - 2"/>
    <s v="R1011"/>
    <n v="62"/>
    <n v="39.43"/>
  </r>
  <r>
    <x v="1417"/>
    <s v="Fire,"/>
    <n v="27.34"/>
    <x v="27"/>
    <s v="Yes"/>
    <x v="0"/>
    <x v="0"/>
    <x v="1"/>
    <x v="1"/>
    <x v="1"/>
    <x v="2"/>
    <n v="29"/>
    <s v="Sep"/>
    <n v="1964"/>
    <d v="1964-09-29T00:00:00"/>
    <n v="11856.41"/>
    <s v="tier - 3"/>
    <s v="tier - 2"/>
    <s v="R1013"/>
    <n v="62"/>
    <n v="27.34"/>
  </r>
  <r>
    <x v="1418"/>
    <s v="Waliaula,"/>
    <n v="39.01"/>
    <x v="191"/>
    <s v="Yes"/>
    <x v="0"/>
    <x v="0"/>
    <x v="0"/>
    <x v="1"/>
    <x v="0"/>
    <x v="2"/>
    <n v="7"/>
    <s v="Jul"/>
    <n v="1974"/>
    <d v="1974-07-07T00:00:00"/>
    <n v="11858.56"/>
    <s v="tier - 3"/>
    <s v="tier - 3"/>
    <s v="R1011"/>
    <n v="52"/>
    <n v="39.01"/>
  </r>
  <r>
    <x v="1419"/>
    <s v="Blackshear,"/>
    <n v="18.989999999999998"/>
    <x v="137"/>
    <s v="Yes"/>
    <x v="0"/>
    <x v="0"/>
    <x v="0"/>
    <x v="1"/>
    <x v="2"/>
    <x v="0"/>
    <n v="24"/>
    <s v="Aug"/>
    <n v="1967"/>
    <d v="1967-08-24T00:00:00"/>
    <n v="11879.1"/>
    <s v="tier - 3"/>
    <s v="tier - 3"/>
    <s v="R1024"/>
    <n v="59"/>
    <n v="18.989999999999998"/>
  </r>
  <r>
    <x v="1420"/>
    <s v="Nettik,"/>
    <n v="42.3"/>
    <x v="87"/>
    <s v="Yes"/>
    <x v="0"/>
    <x v="0"/>
    <x v="0"/>
    <x v="1"/>
    <x v="0"/>
    <x v="1"/>
    <n v="14"/>
    <s v="Jul"/>
    <n v="1967"/>
    <d v="1967-07-14T00:00:00"/>
    <n v="11881.36"/>
    <s v="tier - 3"/>
    <s v="tier - 2"/>
    <s v="R1011"/>
    <n v="59"/>
    <n v="42.3"/>
  </r>
  <r>
    <x v="1421"/>
    <s v="Novales,"/>
    <n v="39.805"/>
    <x v="119"/>
    <s v="No"/>
    <x v="0"/>
    <x v="0"/>
    <x v="0"/>
    <x v="1"/>
    <x v="0"/>
    <x v="1"/>
    <n v="29"/>
    <s v="Oct"/>
    <n v="1967"/>
    <d v="1967-10-29T00:00:00"/>
    <n v="11881.97"/>
    <s v="tier - 3"/>
    <s v="tier - 1"/>
    <s v="R1013"/>
    <n v="59"/>
    <n v="39.805"/>
  </r>
  <r>
    <x v="1422"/>
    <s v="Rosauer,"/>
    <n v="33.700000000000003"/>
    <x v="231"/>
    <s v="No"/>
    <x v="0"/>
    <x v="0"/>
    <x v="0"/>
    <x v="1"/>
    <x v="0"/>
    <x v="1"/>
    <n v="2"/>
    <s v="Jun"/>
    <n v="2004"/>
    <d v="2004-06-02T00:00:00"/>
    <n v="11884.05"/>
    <s v="tier - 3"/>
    <s v="tier - 3"/>
    <s v="R1013"/>
    <n v="22"/>
    <n v="33.700000000000003"/>
  </r>
  <r>
    <x v="1423"/>
    <s v="Ryder,"/>
    <n v="36.195"/>
    <x v="21"/>
    <s v="No"/>
    <x v="0"/>
    <x v="0"/>
    <x v="0"/>
    <x v="1"/>
    <x v="0"/>
    <x v="1"/>
    <n v="19"/>
    <s v="Nov"/>
    <n v="1964"/>
    <d v="1964-11-19T00:00:00"/>
    <n v="11918.2"/>
    <s v="tier - 3"/>
    <s v="tier - 1"/>
    <s v="R1021"/>
    <n v="62"/>
    <n v="36.195"/>
  </r>
  <r>
    <x v="1424"/>
    <s v="Larsen,"/>
    <n v="32.6"/>
    <x v="208"/>
    <s v="No"/>
    <x v="0"/>
    <x v="1"/>
    <x v="1"/>
    <x v="1"/>
    <x v="0"/>
    <x v="1"/>
    <n v="20"/>
    <s v="Dec"/>
    <n v="1964"/>
    <d v="1964-12-20T00:00:00"/>
    <n v="11931.13"/>
    <s v="tier - 3"/>
    <s v="tier - 1"/>
    <s v="R1019"/>
    <n v="62"/>
    <n v="32.6"/>
  </r>
  <r>
    <x v="1425"/>
    <s v="Keate,"/>
    <n v="30.2"/>
    <x v="155"/>
    <s v="No"/>
    <x v="0"/>
    <x v="0"/>
    <x v="0"/>
    <x v="1"/>
    <x v="0"/>
    <x v="1"/>
    <n v="2"/>
    <s v="Aug"/>
    <n v="1964"/>
    <d v="1964-08-02T00:00:00"/>
    <n v="11938.26"/>
    <s v="tier - 3"/>
    <s v="tier - 3"/>
    <s v="R1019"/>
    <n v="62"/>
    <n v="30.2"/>
  </r>
  <r>
    <x v="1426"/>
    <s v="Williams,"/>
    <n v="27.645"/>
    <x v="416"/>
    <s v="No"/>
    <x v="0"/>
    <x v="0"/>
    <x v="0"/>
    <x v="1"/>
    <x v="1"/>
    <x v="0"/>
    <n v="19"/>
    <s v="Oct"/>
    <n v="1991"/>
    <d v="1991-10-19T00:00:00"/>
    <n v="11941.83"/>
    <s v="tier - 3"/>
    <s v="tier - 1"/>
    <s v="R1023"/>
    <n v="35"/>
    <n v="27.645"/>
  </r>
  <r>
    <x v="1427"/>
    <s v="Starosciak,"/>
    <n v="26.41"/>
    <x v="154"/>
    <s v="No"/>
    <x v="0"/>
    <x v="0"/>
    <x v="0"/>
    <x v="1"/>
    <x v="1"/>
    <x v="0"/>
    <n v="25"/>
    <s v="Dec"/>
    <n v="1964"/>
    <d v="1964-12-25T00:00:00"/>
    <n v="11944.59"/>
    <s v="tier - 3"/>
    <s v="tier - 2"/>
    <s v="R1016"/>
    <n v="62"/>
    <n v="26.41"/>
  </r>
  <r>
    <x v="1428"/>
    <s v="Smith,"/>
    <n v="34.1"/>
    <x v="109"/>
    <s v="Yes"/>
    <x v="0"/>
    <x v="1"/>
    <x v="1"/>
    <x v="1"/>
    <x v="0"/>
    <x v="1"/>
    <n v="1"/>
    <s v="Nov"/>
    <n v="1965"/>
    <d v="1965-11-01T00:00:00"/>
    <n v="11945.13"/>
    <s v="tier - 3"/>
    <s v="tier - 2"/>
    <s v="R1012"/>
    <n v="61"/>
    <n v="34.1"/>
  </r>
  <r>
    <x v="1429"/>
    <s v="Henderson,"/>
    <n v="17.3"/>
    <x v="565"/>
    <s v="No"/>
    <x v="0"/>
    <x v="0"/>
    <x v="0"/>
    <x v="1"/>
    <x v="3"/>
    <x v="0"/>
    <n v="29"/>
    <s v="Sep"/>
    <n v="1964"/>
    <d v="1964-09-29T00:00:00"/>
    <n v="11946.63"/>
    <s v="tier - 3"/>
    <s v="tier - 2"/>
    <s v="R1013"/>
    <n v="62"/>
    <n v="17.3"/>
  </r>
  <r>
    <x v="1430"/>
    <s v="Winkelman,"/>
    <n v="35.020000000000003"/>
    <x v="226"/>
    <s v="No"/>
    <x v="0"/>
    <x v="1"/>
    <x v="1"/>
    <x v="1"/>
    <x v="0"/>
    <x v="2"/>
    <n v="22"/>
    <s v="Dec"/>
    <n v="1967"/>
    <d v="1967-12-22T00:00:00"/>
    <n v="11987.17"/>
    <s v="tier - 3"/>
    <s v="tier - 3"/>
    <s v="R1013"/>
    <n v="59"/>
    <n v="35.020000000000003"/>
  </r>
  <r>
    <x v="1431"/>
    <s v="Monette,"/>
    <n v="37.1"/>
    <x v="539"/>
    <s v="Yes"/>
    <x v="0"/>
    <x v="0"/>
    <x v="0"/>
    <x v="1"/>
    <x v="0"/>
    <x v="0"/>
    <n v="4"/>
    <s v="Jul"/>
    <n v="1983"/>
    <d v="1983-07-04T00:00:00"/>
    <n v="11987.68"/>
    <s v="tier - 3"/>
    <s v="tier - 2"/>
    <s v="R1026"/>
    <n v="43"/>
    <n v="37.1"/>
  </r>
  <r>
    <x v="1432"/>
    <s v="Kramer,"/>
    <n v="16.79"/>
    <x v="154"/>
    <s v="No"/>
    <x v="0"/>
    <x v="0"/>
    <x v="0"/>
    <x v="1"/>
    <x v="3"/>
    <x v="0"/>
    <n v="12"/>
    <s v="Dec"/>
    <n v="1993"/>
    <d v="1993-12-12T00:00:00"/>
    <n v="11994.89"/>
    <s v="tier - 3"/>
    <s v="tier - 2"/>
    <s v="R1012"/>
    <n v="33"/>
    <n v="16.79"/>
  </r>
  <r>
    <x v="1433"/>
    <s v="Goldstein,"/>
    <n v="31.635000000000002"/>
    <x v="400"/>
    <s v="Yes"/>
    <x v="0"/>
    <x v="0"/>
    <x v="0"/>
    <x v="1"/>
    <x v="0"/>
    <x v="0"/>
    <n v="17"/>
    <s v="Oct"/>
    <n v="1982"/>
    <d v="1982-10-17T00:00:00"/>
    <n v="12001.29"/>
    <s v="tier - 3"/>
    <s v="tier - 3"/>
    <s v="R1021"/>
    <n v="44"/>
    <n v="31.635000000000002"/>
  </r>
  <r>
    <x v="1434"/>
    <s v="Gonzalez,"/>
    <n v="24.19"/>
    <x v="21"/>
    <s v="Yes"/>
    <x v="0"/>
    <x v="1"/>
    <x v="1"/>
    <x v="1"/>
    <x v="2"/>
    <x v="1"/>
    <n v="9"/>
    <s v="Jun"/>
    <n v="1965"/>
    <d v="1965-06-09T00:00:00"/>
    <n v="12029.29"/>
    <s v="tier - 3"/>
    <s v="tier - 2"/>
    <s v="R1024"/>
    <n v="61"/>
    <n v="24.19"/>
  </r>
  <r>
    <x v="1435"/>
    <s v="Barrett,"/>
    <n v="35.29"/>
    <x v="229"/>
    <s v="No"/>
    <x v="0"/>
    <x v="1"/>
    <x v="1"/>
    <x v="1"/>
    <x v="0"/>
    <x v="1"/>
    <n v="29"/>
    <s v="Oct"/>
    <n v="1965"/>
    <d v="1965-10-29T00:00:00"/>
    <n v="12032.33"/>
    <s v="tier - 3"/>
    <s v="tier - 1"/>
    <s v="R1011"/>
    <n v="61"/>
    <n v="35.29"/>
  </r>
  <r>
    <x v="1436"/>
    <s v="Irwin,"/>
    <n v="35.299999999999997"/>
    <x v="150"/>
    <s v="No"/>
    <x v="0"/>
    <x v="0"/>
    <x v="0"/>
    <x v="1"/>
    <x v="0"/>
    <x v="2"/>
    <n v="16"/>
    <s v="Oct"/>
    <n v="1979"/>
    <d v="1979-10-16T00:00:00"/>
    <n v="12035.18"/>
    <s v="tier - 3"/>
    <s v="tier - 3"/>
    <s v="R1021"/>
    <n v="47"/>
    <n v="35.299999999999997"/>
  </r>
  <r>
    <x v="1437"/>
    <s v="Glenn,"/>
    <n v="35.64"/>
    <x v="330"/>
    <s v="No"/>
    <x v="0"/>
    <x v="1"/>
    <x v="1"/>
    <x v="1"/>
    <x v="0"/>
    <x v="1"/>
    <n v="24"/>
    <s v="Nov"/>
    <n v="1966"/>
    <d v="1966-11-24T00:00:00"/>
    <n v="12044.34"/>
    <s v="tier - 3"/>
    <s v="tier - 1"/>
    <s v="R1012"/>
    <n v="60"/>
    <n v="35.64"/>
  </r>
  <r>
    <x v="1438"/>
    <s v="O'Meara,"/>
    <n v="33.1"/>
    <x v="327"/>
    <s v="No"/>
    <x v="0"/>
    <x v="0"/>
    <x v="0"/>
    <x v="1"/>
    <x v="0"/>
    <x v="2"/>
    <n v="7"/>
    <s v="Sep"/>
    <n v="1986"/>
    <d v="1986-09-07T00:00:00"/>
    <n v="12048.13"/>
    <s v="tier - 3"/>
    <s v="tier - 2"/>
    <s v="R1026"/>
    <n v="40"/>
    <n v="33.1"/>
  </r>
  <r>
    <x v="1439"/>
    <s v="Budrow,"/>
    <n v="26.41"/>
    <x v="179"/>
    <s v="Yes"/>
    <x v="0"/>
    <x v="0"/>
    <x v="1"/>
    <x v="1"/>
    <x v="1"/>
    <x v="0"/>
    <n v="2"/>
    <s v="Sep"/>
    <n v="1984"/>
    <d v="1984-09-02T00:00:00"/>
    <n v="12091.34"/>
    <s v="tier - 3"/>
    <s v="tier - 2"/>
    <s v="R1022"/>
    <n v="42"/>
    <n v="26.41"/>
  </r>
  <r>
    <x v="1440"/>
    <s v="Anderson,"/>
    <n v="29.9"/>
    <x v="173"/>
    <s v="No"/>
    <x v="0"/>
    <x v="1"/>
    <x v="1"/>
    <x v="1"/>
    <x v="1"/>
    <x v="2"/>
    <n v="21"/>
    <s v="Jun"/>
    <n v="1968"/>
    <d v="1968-06-21T00:00:00"/>
    <n v="12094.48"/>
    <s v="tier - 3"/>
    <s v="tier - 3"/>
    <s v="R1011"/>
    <n v="58"/>
    <n v="29.9"/>
  </r>
  <r>
    <x v="1441"/>
    <s v="Douglas,"/>
    <n v="25.24"/>
    <x v="99"/>
    <s v="No"/>
    <x v="0"/>
    <x v="0"/>
    <x v="1"/>
    <x v="1"/>
    <x v="1"/>
    <x v="1"/>
    <n v="9"/>
    <s v="Dec"/>
    <n v="1968"/>
    <d v="1968-12-09T00:00:00"/>
    <n v="12096.65"/>
    <s v="tier - 3"/>
    <s v="tier - 1"/>
    <s v="R1024"/>
    <n v="58"/>
    <n v="25.24"/>
  </r>
  <r>
    <x v="1442"/>
    <s v="Tecklenburg,"/>
    <n v="25.08"/>
    <x v="329"/>
    <s v="No"/>
    <x v="0"/>
    <x v="1"/>
    <x v="1"/>
    <x v="1"/>
    <x v="1"/>
    <x v="1"/>
    <n v="25"/>
    <s v="Oct"/>
    <n v="1968"/>
    <d v="1968-10-25T00:00:00"/>
    <n v="12105.32"/>
    <s v="tier - 3"/>
    <s v="tier - 3"/>
    <s v="R1011"/>
    <n v="58"/>
    <n v="25.08"/>
  </r>
  <r>
    <x v="1443"/>
    <s v="Baker,"/>
    <n v="29.164999999999999"/>
    <x v="189"/>
    <s v="No"/>
    <x v="1"/>
    <x v="0"/>
    <x v="1"/>
    <x v="1"/>
    <x v="1"/>
    <x v="2"/>
    <n v="20"/>
    <s v="Jul"/>
    <n v="1963"/>
    <d v="1963-07-20T00:00:00"/>
    <n v="12124.99"/>
    <s v="tier - 3"/>
    <s v="tier - 1"/>
    <s v="R1012"/>
    <n v="63"/>
    <n v="29.164999999999999"/>
  </r>
  <r>
    <x v="1444"/>
    <s v="Schenck,"/>
    <n v="15.05"/>
    <x v="581"/>
    <s v="No"/>
    <x v="0"/>
    <x v="0"/>
    <x v="0"/>
    <x v="1"/>
    <x v="3"/>
    <x v="0"/>
    <n v="4"/>
    <s v="Jun"/>
    <n v="1963"/>
    <d v="1963-06-04T00:00:00"/>
    <n v="12129.61"/>
    <s v="tier - 3"/>
    <s v="tier - 1"/>
    <s v="R1012"/>
    <n v="63"/>
    <n v="15.05"/>
  </r>
  <r>
    <x v="1445"/>
    <s v="Johnson,"/>
    <n v="19.95"/>
    <x v="67"/>
    <s v="No"/>
    <x v="0"/>
    <x v="0"/>
    <x v="1"/>
    <x v="1"/>
    <x v="2"/>
    <x v="2"/>
    <n v="6"/>
    <s v="Nov"/>
    <n v="1991"/>
    <d v="1991-11-06T00:00:00"/>
    <n v="12130.8"/>
    <s v="tier - 3"/>
    <s v="tier - 3"/>
    <s v="R1026"/>
    <n v="35"/>
    <n v="19.95"/>
  </r>
  <r>
    <x v="1446"/>
    <s v="Blendell,"/>
    <n v="16.66"/>
    <x v="403"/>
    <s v="No"/>
    <x v="0"/>
    <x v="0"/>
    <x v="0"/>
    <x v="1"/>
    <x v="3"/>
    <x v="0"/>
    <n v="16"/>
    <s v="Sep"/>
    <n v="1974"/>
    <d v="1974-09-16T00:00:00"/>
    <n v="12137.6"/>
    <s v="tier - 3"/>
    <s v="tier - 3"/>
    <s v="R1012"/>
    <n v="52"/>
    <n v="16.66"/>
  </r>
  <r>
    <x v="1447"/>
    <s v="Parodi,"/>
    <n v="16.62"/>
    <x v="607"/>
    <s v="No"/>
    <x v="0"/>
    <x v="0"/>
    <x v="0"/>
    <x v="1"/>
    <x v="3"/>
    <x v="0"/>
    <n v="4"/>
    <s v="Nov"/>
    <n v="1962"/>
    <d v="1962-11-04T00:00:00"/>
    <n v="12142.58"/>
    <s v="tier - 3"/>
    <s v="tier - 2"/>
    <s v="R1013"/>
    <n v="64"/>
    <n v="16.62"/>
  </r>
  <r>
    <x v="1448"/>
    <s v="Morgan,"/>
    <n v="15.36"/>
    <x v="206"/>
    <s v="Yes"/>
    <x v="0"/>
    <x v="0"/>
    <x v="1"/>
    <x v="1"/>
    <x v="3"/>
    <x v="2"/>
    <n v="15"/>
    <s v="Sep"/>
    <n v="1962"/>
    <d v="1962-09-15T00:00:00"/>
    <n v="12146.97"/>
    <s v="tier - 3"/>
    <s v="tier - 3"/>
    <s v="R1011"/>
    <n v="64"/>
    <n v="15.36"/>
  </r>
  <r>
    <x v="1449"/>
    <s v="Linden,"/>
    <n v="27.74"/>
    <x v="10"/>
    <s v="Yes"/>
    <x v="0"/>
    <x v="0"/>
    <x v="0"/>
    <x v="1"/>
    <x v="1"/>
    <x v="1"/>
    <n v="5"/>
    <s v="Oct"/>
    <n v="1987"/>
    <d v="1987-10-05T00:00:00"/>
    <n v="12148.2"/>
    <s v="tier - 3"/>
    <s v="tier - 3"/>
    <s v="R1012"/>
    <n v="39"/>
    <n v="27.74"/>
  </r>
  <r>
    <x v="1450"/>
    <s v="Horning,"/>
    <n v="22.44"/>
    <x v="471"/>
    <s v="Yes"/>
    <x v="0"/>
    <x v="0"/>
    <x v="0"/>
    <x v="1"/>
    <x v="2"/>
    <x v="2"/>
    <n v="29"/>
    <s v="Aug"/>
    <n v="1991"/>
    <d v="1991-08-29T00:00:00"/>
    <n v="12198.64"/>
    <s v="tier - 3"/>
    <s v="tier - 3"/>
    <s v="R1026"/>
    <n v="35"/>
    <n v="22.44"/>
  </r>
  <r>
    <x v="1451"/>
    <s v="Goode,"/>
    <n v="37.049999999999997"/>
    <x v="529"/>
    <s v="Yes"/>
    <x v="0"/>
    <x v="0"/>
    <x v="0"/>
    <x v="1"/>
    <x v="0"/>
    <x v="0"/>
    <n v="14"/>
    <s v="Aug"/>
    <n v="1977"/>
    <d v="1977-08-14T00:00:00"/>
    <n v="12218.7"/>
    <s v="tier - 3"/>
    <s v="tier - 1"/>
    <s v="R1012"/>
    <n v="49"/>
    <n v="37.049999999999997"/>
  </r>
  <r>
    <x v="1452"/>
    <s v="Doden,"/>
    <n v="22.95"/>
    <x v="316"/>
    <s v="No"/>
    <x v="0"/>
    <x v="0"/>
    <x v="1"/>
    <x v="1"/>
    <x v="2"/>
    <x v="0"/>
    <n v="20"/>
    <s v="Jul"/>
    <n v="1964"/>
    <d v="1964-07-20T00:00:00"/>
    <n v="12222.9"/>
    <s v="tier - 3"/>
    <s v="tier - 2"/>
    <s v="R1012"/>
    <n v="62"/>
    <n v="22.95"/>
  </r>
  <r>
    <x v="1453"/>
    <s v="Groff,"/>
    <n v="34.200000000000003"/>
    <x v="608"/>
    <s v="Yes"/>
    <x v="0"/>
    <x v="0"/>
    <x v="0"/>
    <x v="1"/>
    <x v="0"/>
    <x v="0"/>
    <n v="2"/>
    <s v="Jul"/>
    <n v="1964"/>
    <d v="1964-07-02T00:00:00"/>
    <n v="12224.35"/>
    <s v="tier - 3"/>
    <s v="tier - 1"/>
    <s v="R1012"/>
    <n v="62"/>
    <n v="34.200000000000003"/>
  </r>
  <r>
    <x v="1454"/>
    <s v="Kuehler,"/>
    <n v="30.59"/>
    <x v="609"/>
    <s v="Yes"/>
    <x v="0"/>
    <x v="0"/>
    <x v="0"/>
    <x v="1"/>
    <x v="0"/>
    <x v="0"/>
    <n v="24"/>
    <s v="Jun"/>
    <n v="1964"/>
    <d v="1964-06-24T00:00:00"/>
    <n v="12231.61"/>
    <s v="tier - 3"/>
    <s v="tier - 3"/>
    <s v="R1012"/>
    <n v="62"/>
    <n v="30.59"/>
  </r>
  <r>
    <x v="1455"/>
    <s v="Daniels,"/>
    <n v="25.51"/>
    <x v="3"/>
    <s v="No"/>
    <x v="0"/>
    <x v="0"/>
    <x v="0"/>
    <x v="1"/>
    <x v="1"/>
    <x v="1"/>
    <n v="19"/>
    <s v="Jul"/>
    <n v="1963"/>
    <d v="1963-07-19T00:00:00"/>
    <n v="12233.83"/>
    <s v="tier - 3"/>
    <s v="tier - 1"/>
    <s v="R1011"/>
    <n v="63"/>
    <n v="25.51"/>
  </r>
  <r>
    <x v="1456"/>
    <s v="Gibby,"/>
    <n v="29.04"/>
    <x v="523"/>
    <s v="Yes"/>
    <x v="0"/>
    <x v="0"/>
    <x v="1"/>
    <x v="1"/>
    <x v="1"/>
    <x v="0"/>
    <n v="15"/>
    <s v="Oct"/>
    <n v="1964"/>
    <d v="1964-10-15T00:00:00"/>
    <n v="12235.84"/>
    <s v="tier - 3"/>
    <s v="tier - 3"/>
    <s v="R1012"/>
    <n v="62"/>
    <n v="29.04"/>
  </r>
  <r>
    <x v="1457"/>
    <s v="Busa,"/>
    <n v="22.135000000000002"/>
    <x v="589"/>
    <s v="Yes"/>
    <x v="0"/>
    <x v="0"/>
    <x v="1"/>
    <x v="1"/>
    <x v="2"/>
    <x v="0"/>
    <n v="29"/>
    <s v="Jul"/>
    <n v="1966"/>
    <d v="1966-07-29T00:00:00"/>
    <n v="12237.73"/>
    <s v="tier - 3"/>
    <s v="tier - 3"/>
    <s v="R1012"/>
    <n v="60"/>
    <n v="22.135000000000002"/>
  </r>
  <r>
    <x v="1458"/>
    <s v="Moyo,"/>
    <n v="21.375"/>
    <x v="536"/>
    <s v="No"/>
    <x v="0"/>
    <x v="0"/>
    <x v="0"/>
    <x v="1"/>
    <x v="2"/>
    <x v="2"/>
    <n v="17"/>
    <s v="Jul"/>
    <n v="1963"/>
    <d v="1963-07-17T00:00:00"/>
    <n v="12244.53"/>
    <s v="tier - 3"/>
    <s v="tier - 1"/>
    <s v="R1013"/>
    <n v="63"/>
    <n v="21.375"/>
  </r>
  <r>
    <x v="1459"/>
    <s v="Horn,"/>
    <n v="29.19"/>
    <x v="161"/>
    <s v="No"/>
    <x v="0"/>
    <x v="0"/>
    <x v="0"/>
    <x v="1"/>
    <x v="1"/>
    <x v="2"/>
    <n v="23"/>
    <s v="Jun"/>
    <n v="1974"/>
    <d v="1974-06-23T00:00:00"/>
    <n v="12245.17"/>
    <s v="tier - 3"/>
    <s v="tier - 1"/>
    <s v="R1012"/>
    <n v="52"/>
    <n v="29.19"/>
  </r>
  <r>
    <x v="1460"/>
    <s v="Bien,"/>
    <n v="31.92"/>
    <x v="357"/>
    <s v="Yes"/>
    <x v="0"/>
    <x v="1"/>
    <x v="1"/>
    <x v="1"/>
    <x v="0"/>
    <x v="2"/>
    <n v="23"/>
    <s v="Nov"/>
    <n v="1989"/>
    <d v="1989-11-23T00:00:00"/>
    <n v="12254.44"/>
    <s v="tier - 3"/>
    <s v="tier - 3"/>
    <s v="R1026"/>
    <n v="37"/>
    <n v="31.92"/>
  </r>
  <r>
    <x v="1461"/>
    <s v="O'Connor,"/>
    <n v="26.315000000000001"/>
    <x v="176"/>
    <s v="Yes"/>
    <x v="0"/>
    <x v="1"/>
    <x v="1"/>
    <x v="1"/>
    <x v="1"/>
    <x v="2"/>
    <n v="13"/>
    <s v="Aug"/>
    <n v="1986"/>
    <d v="1986-08-13T00:00:00"/>
    <n v="12255.04"/>
    <s v="tier - 3"/>
    <s v="tier - 2"/>
    <s v="R1026"/>
    <n v="40"/>
    <n v="26.315000000000001"/>
  </r>
  <r>
    <x v="1462"/>
    <s v="Ash,"/>
    <n v="35.299999999999997"/>
    <x v="493"/>
    <s v="No"/>
    <x v="0"/>
    <x v="0"/>
    <x v="0"/>
    <x v="1"/>
    <x v="0"/>
    <x v="2"/>
    <n v="6"/>
    <s v="Dec"/>
    <n v="1966"/>
    <d v="1966-12-06T00:00:00"/>
    <n v="12265.51"/>
    <s v="tier - 3"/>
    <s v="tier - 3"/>
    <s v="R1013"/>
    <n v="60"/>
    <n v="35.299999999999997"/>
  </r>
  <r>
    <x v="1463"/>
    <s v="Do"/>
    <n v="18.91"/>
    <x v="610"/>
    <s v="No"/>
    <x v="0"/>
    <x v="0"/>
    <x v="0"/>
    <x v="1"/>
    <x v="2"/>
    <x v="0"/>
    <n v="30"/>
    <s v="Dec"/>
    <n v="1967"/>
    <d v="1967-12-30T00:00:00"/>
    <n v="12268.63"/>
    <s v="tier - 3"/>
    <s v="tier - 1"/>
    <s v="R1012"/>
    <n v="59"/>
    <n v="18.91"/>
  </r>
  <r>
    <x v="1464"/>
    <s v="Phillips,"/>
    <n v="22.41"/>
    <x v="431"/>
    <s v="Yes"/>
    <x v="0"/>
    <x v="0"/>
    <x v="1"/>
    <x v="1"/>
    <x v="2"/>
    <x v="0"/>
    <n v="28"/>
    <s v="Aug"/>
    <n v="1967"/>
    <d v="1967-08-28T00:00:00"/>
    <n v="12269.69"/>
    <s v="tier - 3"/>
    <s v="tier - 2"/>
    <s v="R1012"/>
    <n v="59"/>
    <n v="22.41"/>
  </r>
  <r>
    <x v="1465"/>
    <s v="Kelly,"/>
    <n v="22.704999999999998"/>
    <x v="105"/>
    <s v="No"/>
    <x v="0"/>
    <x v="0"/>
    <x v="0"/>
    <x v="1"/>
    <x v="2"/>
    <x v="1"/>
    <n v="16"/>
    <s v="Nov"/>
    <n v="1966"/>
    <d v="1966-11-16T00:00:00"/>
    <n v="12282.03"/>
    <s v="tier - 3"/>
    <s v="tier - 1"/>
    <s v="R1025"/>
    <n v="60"/>
    <n v="22.704999999999998"/>
  </r>
  <r>
    <x v="1466"/>
    <s v="Dever,"/>
    <n v="37.18"/>
    <x v="143"/>
    <s v="No"/>
    <x v="0"/>
    <x v="0"/>
    <x v="0"/>
    <x v="1"/>
    <x v="0"/>
    <x v="2"/>
    <n v="29"/>
    <s v="Oct"/>
    <n v="1990"/>
    <d v="1990-10-29T00:00:00"/>
    <n v="12282.38"/>
    <s v="tier - 3"/>
    <s v="tier - 1"/>
    <s v="R1011"/>
    <n v="36"/>
    <n v="37.18"/>
  </r>
  <r>
    <x v="1467"/>
    <s v="Horvath,"/>
    <n v="35.97"/>
    <x v="192"/>
    <s v="No"/>
    <x v="0"/>
    <x v="0"/>
    <x v="0"/>
    <x v="1"/>
    <x v="0"/>
    <x v="2"/>
    <n v="28"/>
    <s v="Oct"/>
    <n v="1963"/>
    <d v="1963-10-28T00:00:00"/>
    <n v="12299.59"/>
    <s v="tier - 3"/>
    <s v="tier - 1"/>
    <s v="R1025"/>
    <n v="63"/>
    <n v="35.97"/>
  </r>
  <r>
    <x v="1468"/>
    <s v="Danner,"/>
    <n v="35.799999999999997"/>
    <x v="611"/>
    <s v="No"/>
    <x v="0"/>
    <x v="0"/>
    <x v="0"/>
    <x v="1"/>
    <x v="0"/>
    <x v="2"/>
    <n v="29"/>
    <s v="Aug"/>
    <n v="1963"/>
    <d v="1963-08-29T00:00:00"/>
    <n v="12323.94"/>
    <s v="tier - 3"/>
    <s v="tier - 3"/>
    <s v="R1017"/>
    <n v="63"/>
    <n v="35.799999999999997"/>
  </r>
  <r>
    <x v="1469"/>
    <s v="Weiss,"/>
    <n v="28.31"/>
    <x v="486"/>
    <s v="Yes"/>
    <x v="0"/>
    <x v="0"/>
    <x v="0"/>
    <x v="1"/>
    <x v="1"/>
    <x v="0"/>
    <n v="2"/>
    <s v="Aug"/>
    <n v="1963"/>
    <d v="1963-08-02T00:00:00"/>
    <n v="12333.83"/>
    <s v="tier - 3"/>
    <s v="tier - 2"/>
    <s v="R1011"/>
    <n v="63"/>
    <n v="28.31"/>
  </r>
  <r>
    <x v="1470"/>
    <s v="D'Andrea,"/>
    <n v="38.06"/>
    <x v="535"/>
    <s v="No"/>
    <x v="0"/>
    <x v="0"/>
    <x v="0"/>
    <x v="1"/>
    <x v="0"/>
    <x v="0"/>
    <n v="22"/>
    <s v="Sep"/>
    <n v="1963"/>
    <d v="1963-09-22T00:00:00"/>
    <n v="12347.17"/>
    <s v="tier - 3"/>
    <s v="tier - 3"/>
    <s v="R1011"/>
    <n v="63"/>
    <n v="38.06"/>
  </r>
  <r>
    <x v="1471"/>
    <s v="Olesky,"/>
    <n v="28"/>
    <x v="27"/>
    <s v="No"/>
    <x v="0"/>
    <x v="0"/>
    <x v="1"/>
    <x v="1"/>
    <x v="1"/>
    <x v="2"/>
    <n v="29"/>
    <s v="Dec"/>
    <n v="1966"/>
    <d v="1966-12-29T00:00:00"/>
    <n v="12363.55"/>
    <s v="tier - 3"/>
    <s v="tier - 3"/>
    <s v="R1011"/>
    <n v="60"/>
    <n v="28"/>
  </r>
  <r>
    <x v="1472"/>
    <s v="Whitcraft,"/>
    <n v="34.32"/>
    <x v="399"/>
    <s v="No"/>
    <x v="0"/>
    <x v="0"/>
    <x v="0"/>
    <x v="1"/>
    <x v="0"/>
    <x v="0"/>
    <n v="26"/>
    <s v="Sep"/>
    <n v="1962"/>
    <d v="1962-09-26T00:00:00"/>
    <n v="12369.89"/>
    <s v="tier - 3"/>
    <s v="tier - 2"/>
    <s v="R1024"/>
    <n v="64"/>
    <n v="34.32"/>
  </r>
  <r>
    <x v="1473"/>
    <s v="Salazar,"/>
    <n v="22.3"/>
    <x v="434"/>
    <s v="Yes"/>
    <x v="0"/>
    <x v="0"/>
    <x v="0"/>
    <x v="1"/>
    <x v="2"/>
    <x v="2"/>
    <n v="29"/>
    <s v="Dec"/>
    <n v="1989"/>
    <d v="1989-12-29T00:00:00"/>
    <n v="12404.88"/>
    <s v="tier - 3"/>
    <s v="tier - 3"/>
    <s v="R1016"/>
    <n v="37"/>
    <n v="22.3"/>
  </r>
  <r>
    <x v="1474"/>
    <s v="Todd,"/>
    <n v="27.835000000000001"/>
    <x v="100"/>
    <s v="No"/>
    <x v="0"/>
    <x v="0"/>
    <x v="1"/>
    <x v="1"/>
    <x v="1"/>
    <x v="1"/>
    <n v="21"/>
    <s v="Aug"/>
    <n v="1972"/>
    <d v="1972-08-21T00:00:00"/>
    <n v="12407.3"/>
    <s v="tier - 3"/>
    <s v="tier - 2"/>
    <s v="R1021"/>
    <n v="54"/>
    <n v="27.835000000000001"/>
  </r>
  <r>
    <x v="1475"/>
    <s v="Pond,"/>
    <n v="39.229999999999997"/>
    <x v="331"/>
    <s v="No"/>
    <x v="0"/>
    <x v="0"/>
    <x v="0"/>
    <x v="1"/>
    <x v="0"/>
    <x v="2"/>
    <n v="14"/>
    <s v="Jul"/>
    <n v="1979"/>
    <d v="1979-07-14T00:00:00"/>
    <n v="12408.29"/>
    <s v="tier - 3"/>
    <s v="tier - 1"/>
    <s v="R1022"/>
    <n v="47"/>
    <n v="39.229999999999997"/>
  </r>
  <r>
    <x v="1476"/>
    <s v="Egan,"/>
    <n v="19.95"/>
    <x v="184"/>
    <s v="No"/>
    <x v="0"/>
    <x v="0"/>
    <x v="1"/>
    <x v="1"/>
    <x v="2"/>
    <x v="1"/>
    <n v="4"/>
    <s v="Aug"/>
    <n v="1964"/>
    <d v="1964-08-04T00:00:00"/>
    <n v="12430.95"/>
    <s v="tier - 3"/>
    <s v="tier - 3"/>
    <s v="R1024"/>
    <n v="62"/>
    <n v="19.95"/>
  </r>
  <r>
    <x v="1477"/>
    <s v="Bersani,"/>
    <n v="34.64"/>
    <x v="315"/>
    <s v="No"/>
    <x v="0"/>
    <x v="1"/>
    <x v="1"/>
    <x v="1"/>
    <x v="0"/>
    <x v="2"/>
    <n v="9"/>
    <s v="Aug"/>
    <n v="1995"/>
    <d v="1995-08-09T00:00:00"/>
    <n v="12452.25"/>
    <s v="tier - 3"/>
    <s v="tier - 3"/>
    <s v="R1012"/>
    <n v="31"/>
    <n v="34.64"/>
  </r>
  <r>
    <x v="1478"/>
    <s v="Creech,"/>
    <n v="18.75"/>
    <x v="377"/>
    <s v="No"/>
    <x v="0"/>
    <x v="0"/>
    <x v="0"/>
    <x v="1"/>
    <x v="2"/>
    <x v="0"/>
    <n v="26"/>
    <s v="Nov"/>
    <n v="1968"/>
    <d v="1968-11-26T00:00:00"/>
    <n v="12475.35"/>
    <s v="tier - 3"/>
    <s v="tier - 1"/>
    <s v="R1012"/>
    <n v="58"/>
    <n v="18.75"/>
  </r>
  <r>
    <x v="1479"/>
    <s v="Sudres,"/>
    <n v="26.48"/>
    <x v="267"/>
    <s v="No"/>
    <x v="0"/>
    <x v="0"/>
    <x v="1"/>
    <x v="1"/>
    <x v="1"/>
    <x v="2"/>
    <n v="12"/>
    <s v="Nov"/>
    <n v="1968"/>
    <d v="1968-11-12T00:00:00"/>
    <n v="12479.71"/>
    <s v="tier - 3"/>
    <s v="tier - 3"/>
    <s v="R1012"/>
    <n v="58"/>
    <n v="26.48"/>
  </r>
  <r>
    <x v="1480"/>
    <s v="Couture,"/>
    <n v="34.83"/>
    <x v="425"/>
    <s v="No"/>
    <x v="0"/>
    <x v="0"/>
    <x v="1"/>
    <x v="1"/>
    <x v="0"/>
    <x v="1"/>
    <n v="1"/>
    <s v="Sep"/>
    <n v="1967"/>
    <d v="1967-09-01T00:00:00"/>
    <n v="12485.8"/>
    <s v="tier - 3"/>
    <s v="tier - 3"/>
    <s v="R1013"/>
    <n v="59"/>
    <n v="34.83"/>
  </r>
  <r>
    <x v="1481"/>
    <s v="Willard,"/>
    <n v="25.46"/>
    <x v="144"/>
    <s v="No"/>
    <x v="0"/>
    <x v="0"/>
    <x v="0"/>
    <x v="1"/>
    <x v="1"/>
    <x v="2"/>
    <n v="3"/>
    <s v="Dec"/>
    <n v="1968"/>
    <d v="1968-12-03T00:00:00"/>
    <n v="12495.29"/>
    <s v="tier - 3"/>
    <s v="tier - 3"/>
    <s v="R1012"/>
    <n v="58"/>
    <n v="25.46"/>
  </r>
  <r>
    <x v="1482"/>
    <s v="Patronick,"/>
    <n v="23.31"/>
    <x v="612"/>
    <s v="No"/>
    <x v="0"/>
    <x v="0"/>
    <x v="0"/>
    <x v="1"/>
    <x v="2"/>
    <x v="0"/>
    <n v="12"/>
    <s v="Jul"/>
    <n v="1966"/>
    <d v="1966-07-12T00:00:00"/>
    <n v="12499.88"/>
    <s v="tier - 3"/>
    <s v="tier - 2"/>
    <s v="R1012"/>
    <n v="60"/>
    <n v="23.31"/>
  </r>
  <r>
    <x v="1483"/>
    <s v="Depasquale,"/>
    <n v="29"/>
    <x v="176"/>
    <s v="No"/>
    <x v="0"/>
    <x v="0"/>
    <x v="0"/>
    <x v="1"/>
    <x v="1"/>
    <x v="2"/>
    <n v="16"/>
    <s v="Oct"/>
    <n v="1962"/>
    <d v="1962-10-16T00:00:00"/>
    <n v="12523.6"/>
    <s v="tier - 3"/>
    <s v="tier - 3"/>
    <s v="R1012"/>
    <n v="64"/>
    <n v="29"/>
  </r>
  <r>
    <x v="1484"/>
    <s v="Lavergne,"/>
    <n v="32.869999999999997"/>
    <x v="196"/>
    <s v="No"/>
    <x v="0"/>
    <x v="0"/>
    <x v="0"/>
    <x v="1"/>
    <x v="0"/>
    <x v="2"/>
    <n v="28"/>
    <s v="Nov"/>
    <n v="1961"/>
    <d v="1961-11-28T00:00:00"/>
    <n v="12557.61"/>
    <s v="tier - 3"/>
    <s v="tier - 3"/>
    <s v="R1013"/>
    <n v="65"/>
    <n v="32.869999999999997"/>
  </r>
  <r>
    <x v="1485"/>
    <s v="Kawakami,"/>
    <n v="26.18"/>
    <x v="505"/>
    <s v="No"/>
    <x v="0"/>
    <x v="0"/>
    <x v="0"/>
    <x v="1"/>
    <x v="1"/>
    <x v="2"/>
    <n v="28"/>
    <s v="Nov"/>
    <n v="1961"/>
    <d v="1961-11-28T00:00:00"/>
    <n v="12574.05"/>
    <s v="tier - 3"/>
    <s v="tier - 1"/>
    <s v="R1011"/>
    <n v="65"/>
    <n v="26.18"/>
  </r>
  <r>
    <x v="1486"/>
    <s v="Gonsalves,"/>
    <n v="25.3"/>
    <x v="89"/>
    <s v="No"/>
    <x v="0"/>
    <x v="0"/>
    <x v="0"/>
    <x v="1"/>
    <x v="1"/>
    <x v="2"/>
    <n v="26"/>
    <s v="Nov"/>
    <n v="1969"/>
    <d v="1969-11-26T00:00:00"/>
    <n v="12579.92"/>
    <s v="tier - 3"/>
    <s v="tier - 1"/>
    <s v="R1025"/>
    <n v="57"/>
    <n v="25.3"/>
  </r>
  <r>
    <x v="1487"/>
    <s v="Peck,"/>
    <n v="36.94"/>
    <x v="613"/>
    <s v="Yes"/>
    <x v="0"/>
    <x v="0"/>
    <x v="1"/>
    <x v="1"/>
    <x v="0"/>
    <x v="2"/>
    <n v="18"/>
    <s v="Jun"/>
    <n v="1970"/>
    <d v="1970-06-18T00:00:00"/>
    <n v="12592.53"/>
    <s v="tier - 3"/>
    <s v="tier - 2"/>
    <s v="R1013"/>
    <n v="56"/>
    <n v="36.94"/>
  </r>
  <r>
    <x v="1488"/>
    <s v="Aure,"/>
    <n v="22.86"/>
    <x v="614"/>
    <s v="No"/>
    <x v="0"/>
    <x v="0"/>
    <x v="0"/>
    <x v="1"/>
    <x v="2"/>
    <x v="0"/>
    <n v="11"/>
    <s v="Aug"/>
    <n v="1988"/>
    <d v="1988-08-11T00:00:00"/>
    <n v="12600.46"/>
    <s v="tier - 3"/>
    <s v="tier - 1"/>
    <s v="R1023"/>
    <n v="38"/>
    <n v="22.86"/>
  </r>
  <r>
    <x v="1489"/>
    <s v="Mattingly,"/>
    <n v="18.760000000000002"/>
    <x v="315"/>
    <s v="Yes"/>
    <x v="0"/>
    <x v="1"/>
    <x v="1"/>
    <x v="1"/>
    <x v="2"/>
    <x v="2"/>
    <n v="18"/>
    <s v="Nov"/>
    <n v="1998"/>
    <d v="1998-11-18T00:00:00"/>
    <n v="12609.89"/>
    <s v="tier - 3"/>
    <s v="tier - 3"/>
    <s v="R1012"/>
    <n v="28"/>
    <n v="18.760000000000002"/>
  </r>
  <r>
    <x v="1490"/>
    <s v="Stelpflug,"/>
    <n v="24.36"/>
    <x v="252"/>
    <s v="No"/>
    <x v="0"/>
    <x v="0"/>
    <x v="0"/>
    <x v="1"/>
    <x v="2"/>
    <x v="2"/>
    <n v="19"/>
    <s v="Aug"/>
    <n v="1963"/>
    <d v="1963-08-19T00:00:00"/>
    <n v="12622.18"/>
    <s v="tier - 3"/>
    <s v="tier - 1"/>
    <s v="R1012"/>
    <n v="63"/>
    <n v="24.36"/>
  </r>
  <r>
    <x v="1491"/>
    <s v="Sanchez"/>
    <n v="32.299999999999997"/>
    <x v="389"/>
    <s v="No"/>
    <x v="0"/>
    <x v="0"/>
    <x v="0"/>
    <x v="1"/>
    <x v="0"/>
    <x v="2"/>
    <n v="28"/>
    <s v="Dec"/>
    <n v="1970"/>
    <d v="1970-12-28T00:00:00"/>
    <n v="12624.74"/>
    <s v="tier - 3"/>
    <s v="tier - 1"/>
    <s v="R1012"/>
    <n v="56"/>
    <n v="32.299999999999997"/>
  </r>
  <r>
    <x v="1492"/>
    <s v="Condon,"/>
    <n v="22.704999999999998"/>
    <x v="90"/>
    <s v="Yes"/>
    <x v="0"/>
    <x v="0"/>
    <x v="0"/>
    <x v="1"/>
    <x v="2"/>
    <x v="2"/>
    <n v="4"/>
    <s v="Oct"/>
    <n v="1965"/>
    <d v="1965-10-04T00:00:00"/>
    <n v="12629.17"/>
    <s v="tier - 3"/>
    <s v="tier - 1"/>
    <s v="R1013"/>
    <n v="61"/>
    <n v="22.704999999999998"/>
  </r>
  <r>
    <x v="1493"/>
    <s v="Magato,"/>
    <n v="21.79"/>
    <x v="234"/>
    <s v="Yes"/>
    <x v="0"/>
    <x v="0"/>
    <x v="1"/>
    <x v="1"/>
    <x v="2"/>
    <x v="0"/>
    <n v="22"/>
    <s v="Nov"/>
    <n v="1962"/>
    <d v="1962-11-22T00:00:00"/>
    <n v="12629.9"/>
    <s v="tier - 3"/>
    <s v="tier - 3"/>
    <s v="R1013"/>
    <n v="64"/>
    <n v="21.79"/>
  </r>
  <r>
    <x v="1494"/>
    <s v="Dombrowski,"/>
    <n v="24.52"/>
    <x v="70"/>
    <s v="No"/>
    <x v="0"/>
    <x v="0"/>
    <x v="0"/>
    <x v="1"/>
    <x v="2"/>
    <x v="2"/>
    <n v="22"/>
    <s v="Jul"/>
    <n v="1962"/>
    <d v="1962-07-22T00:00:00"/>
    <n v="12638.2"/>
    <s v="tier - 3"/>
    <s v="tier - 1"/>
    <s v="R1011"/>
    <n v="64"/>
    <n v="24.52"/>
  </r>
  <r>
    <x v="1495"/>
    <s v="Ohara,"/>
    <n v="39.520000000000003"/>
    <x v="534"/>
    <s v="No"/>
    <x v="0"/>
    <x v="0"/>
    <x v="0"/>
    <x v="1"/>
    <x v="0"/>
    <x v="0"/>
    <n v="5"/>
    <s v="Sep"/>
    <n v="1972"/>
    <d v="1972-09-05T00:00:00"/>
    <n v="12640.24"/>
    <s v="tier - 3"/>
    <s v="tier - 1"/>
    <s v="R1011"/>
    <n v="54"/>
    <n v="39.520000000000003"/>
  </r>
  <r>
    <x v="1496"/>
    <s v="Cifuentes"/>
    <n v="24.49"/>
    <x v="145"/>
    <s v="No"/>
    <x v="0"/>
    <x v="0"/>
    <x v="0"/>
    <x v="1"/>
    <x v="2"/>
    <x v="2"/>
    <n v="17"/>
    <s v="Dec"/>
    <n v="1966"/>
    <d v="1966-12-17T00:00:00"/>
    <n v="12643.38"/>
    <s v="tier - 3"/>
    <s v="tier - 1"/>
    <s v="R1012"/>
    <n v="60"/>
    <n v="24.49"/>
  </r>
  <r>
    <x v="1497"/>
    <s v="Keno,"/>
    <n v="26.315000000000001"/>
    <x v="216"/>
    <s v="No"/>
    <x v="0"/>
    <x v="0"/>
    <x v="0"/>
    <x v="1"/>
    <x v="1"/>
    <x v="1"/>
    <n v="11"/>
    <s v="Jul"/>
    <n v="1962"/>
    <d v="1962-07-11T00:00:00"/>
    <n v="12644.59"/>
    <s v="tier - 3"/>
    <s v="tier - 2"/>
    <s v="R1011"/>
    <n v="64"/>
    <n v="26.315000000000001"/>
  </r>
  <r>
    <x v="1498"/>
    <s v="Bruce,"/>
    <n v="22.58"/>
    <x v="258"/>
    <s v="No"/>
    <x v="0"/>
    <x v="0"/>
    <x v="0"/>
    <x v="1"/>
    <x v="2"/>
    <x v="0"/>
    <n v="14"/>
    <s v="Sep"/>
    <n v="1965"/>
    <d v="1965-09-14T00:00:00"/>
    <n v="12646.21"/>
    <s v="tier - 3"/>
    <s v="tier - 2"/>
    <s v="R1011"/>
    <n v="61"/>
    <n v="22.58"/>
  </r>
  <r>
    <x v="1499"/>
    <s v="Lorch,"/>
    <n v="19.475000000000001"/>
    <x v="433"/>
    <s v="No"/>
    <x v="0"/>
    <x v="0"/>
    <x v="1"/>
    <x v="1"/>
    <x v="2"/>
    <x v="2"/>
    <n v="27"/>
    <s v="Aug"/>
    <n v="1962"/>
    <d v="1962-08-27T00:00:00"/>
    <n v="12648.7"/>
    <s v="tier - 3"/>
    <s v="tier - 2"/>
    <s v="R1013"/>
    <n v="64"/>
    <n v="19.475000000000001"/>
  </r>
  <r>
    <x v="1500"/>
    <s v="Sullivan,"/>
    <n v="26.33"/>
    <x v="270"/>
    <s v="No"/>
    <x v="0"/>
    <x v="0"/>
    <x v="0"/>
    <x v="1"/>
    <x v="1"/>
    <x v="2"/>
    <n v="24"/>
    <s v="Sep"/>
    <n v="1974"/>
    <d v="1974-09-24T00:00:00"/>
    <n v="12697.48"/>
    <s v="tier - 3"/>
    <s v="tier - 3"/>
    <s v="R1021"/>
    <n v="52"/>
    <n v="26.33"/>
  </r>
  <r>
    <x v="1501"/>
    <s v="Cave,"/>
    <n v="17.29"/>
    <x v="352"/>
    <s v="Yes"/>
    <x v="0"/>
    <x v="0"/>
    <x v="0"/>
    <x v="1"/>
    <x v="3"/>
    <x v="2"/>
    <n v="7"/>
    <s v="Jul"/>
    <n v="1992"/>
    <d v="1992-07-07T00:00:00"/>
    <n v="12699.56"/>
    <s v="tier - 3"/>
    <s v="tier - 2"/>
    <s v="R1011"/>
    <n v="34"/>
    <n v="17.29"/>
  </r>
  <r>
    <x v="1502"/>
    <s v="Gudenkauf,"/>
    <n v="42.88"/>
    <x v="189"/>
    <s v="No"/>
    <x v="1"/>
    <x v="0"/>
    <x v="1"/>
    <x v="1"/>
    <x v="0"/>
    <x v="2"/>
    <n v="28"/>
    <s v="Nov"/>
    <n v="1964"/>
    <d v="1964-11-28T00:00:00"/>
    <n v="12700.63"/>
    <s v="tier - 3"/>
    <s v="tier - 3"/>
    <s v="R1011"/>
    <n v="62"/>
    <n v="42.88"/>
  </r>
  <r>
    <x v="1503"/>
    <s v="Thomas,"/>
    <n v="32.200000000000003"/>
    <x v="615"/>
    <s v="Yes"/>
    <x v="0"/>
    <x v="0"/>
    <x v="0"/>
    <x v="1"/>
    <x v="0"/>
    <x v="0"/>
    <n v="8"/>
    <s v="Jul"/>
    <n v="1970"/>
    <d v="1970-07-08T00:00:00"/>
    <n v="12713"/>
    <s v="tier - 3"/>
    <s v="tier - 1"/>
    <s v="R1011"/>
    <n v="56"/>
    <n v="32.200000000000003"/>
  </r>
  <r>
    <x v="1504"/>
    <s v="Holley,"/>
    <n v="18.75"/>
    <x v="323"/>
    <s v="Yes"/>
    <x v="0"/>
    <x v="1"/>
    <x v="1"/>
    <x v="1"/>
    <x v="2"/>
    <x v="2"/>
    <n v="17"/>
    <s v="Jul"/>
    <n v="1988"/>
    <d v="1988-07-17T00:00:00"/>
    <n v="12718.21"/>
    <s v="tier - 3"/>
    <s v="tier - 1"/>
    <s v="R1026"/>
    <n v="38"/>
    <n v="18.75"/>
  </r>
  <r>
    <x v="1505"/>
    <s v="Kemble,"/>
    <n v="22.36"/>
    <x v="459"/>
    <s v="No"/>
    <x v="0"/>
    <x v="0"/>
    <x v="0"/>
    <x v="1"/>
    <x v="2"/>
    <x v="0"/>
    <n v="2"/>
    <s v="Sep"/>
    <n v="1962"/>
    <d v="1962-09-02T00:00:00"/>
    <n v="12731"/>
    <s v="tier - 3"/>
    <s v="tier - 3"/>
    <s v="R1016"/>
    <n v="64"/>
    <n v="22.36"/>
  </r>
  <r>
    <x v="1506"/>
    <s v="Bentley,"/>
    <n v="23.94"/>
    <x v="535"/>
    <s v="Yes"/>
    <x v="0"/>
    <x v="0"/>
    <x v="0"/>
    <x v="1"/>
    <x v="2"/>
    <x v="0"/>
    <n v="1"/>
    <s v="Oct"/>
    <n v="1962"/>
    <d v="1962-10-01T00:00:00"/>
    <n v="12741.17"/>
    <s v="tier - 3"/>
    <s v="tier - 1"/>
    <s v="R1017"/>
    <n v="64"/>
    <n v="23.94"/>
  </r>
  <r>
    <x v="1507"/>
    <s v="Jones,"/>
    <n v="30.1"/>
    <x v="493"/>
    <s v="No"/>
    <x v="0"/>
    <x v="1"/>
    <x v="1"/>
    <x v="1"/>
    <x v="0"/>
    <x v="2"/>
    <n v="25"/>
    <s v="Sep"/>
    <n v="1975"/>
    <d v="1975-09-25T00:00:00"/>
    <n v="12770.27"/>
    <s v="tier - 3"/>
    <s v="tier - 3"/>
    <s v="R1021"/>
    <n v="51"/>
    <n v="30.1"/>
  </r>
  <r>
    <x v="1508"/>
    <s v="Tremblay,"/>
    <n v="21.93"/>
    <x v="559"/>
    <s v="No"/>
    <x v="0"/>
    <x v="0"/>
    <x v="0"/>
    <x v="1"/>
    <x v="2"/>
    <x v="1"/>
    <n v="7"/>
    <s v="Oct"/>
    <n v="1972"/>
    <d v="1972-10-07T00:00:00"/>
    <n v="12776.05"/>
    <s v="tier - 3"/>
    <s v="tier - 3"/>
    <s v="R1026"/>
    <n v="54"/>
    <n v="21.93"/>
  </r>
  <r>
    <x v="1509"/>
    <s v="Bellucci,"/>
    <n v="39.75"/>
    <x v="86"/>
    <s v="No"/>
    <x v="1"/>
    <x v="0"/>
    <x v="1"/>
    <x v="1"/>
    <x v="0"/>
    <x v="2"/>
    <n v="5"/>
    <s v="Dec"/>
    <n v="1963"/>
    <d v="1963-12-05T00:00:00"/>
    <n v="12788.03"/>
    <s v="tier - 3"/>
    <s v="tier - 3"/>
    <s v="R1025"/>
    <n v="63"/>
    <n v="39.75"/>
  </r>
  <r>
    <x v="1510"/>
    <s v="Collins,"/>
    <n v="26.03"/>
    <x v="47"/>
    <s v="No"/>
    <x v="0"/>
    <x v="1"/>
    <x v="1"/>
    <x v="1"/>
    <x v="1"/>
    <x v="2"/>
    <n v="29"/>
    <s v="Oct"/>
    <n v="1983"/>
    <d v="1983-10-29T00:00:00"/>
    <n v="12788.18"/>
    <s v="tier - 3"/>
    <s v="tier - 1"/>
    <s v="R1026"/>
    <n v="43"/>
    <n v="26.03"/>
  </r>
  <r>
    <x v="1511"/>
    <s v="Gillman,"/>
    <n v="34.51"/>
    <x v="106"/>
    <s v="No"/>
    <x v="0"/>
    <x v="0"/>
    <x v="0"/>
    <x v="1"/>
    <x v="0"/>
    <x v="1"/>
    <n v="24"/>
    <s v="Jul"/>
    <n v="1978"/>
    <d v="1978-07-24T00:00:00"/>
    <n v="12797.21"/>
    <s v="tier - 3"/>
    <s v="tier - 1"/>
    <s v="R1024"/>
    <n v="48"/>
    <n v="34.51"/>
  </r>
  <r>
    <x v="1512"/>
    <s v="West,"/>
    <n v="19.32"/>
    <x v="616"/>
    <s v="Yes"/>
    <x v="0"/>
    <x v="0"/>
    <x v="1"/>
    <x v="1"/>
    <x v="2"/>
    <x v="0"/>
    <n v="20"/>
    <s v="Jul"/>
    <n v="1963"/>
    <d v="1963-07-20T00:00:00"/>
    <n v="12815.44"/>
    <s v="tier - 3"/>
    <s v="tier - 3"/>
    <s v="R1024"/>
    <n v="63"/>
    <n v="19.32"/>
  </r>
  <r>
    <x v="1513"/>
    <s v="Chida,"/>
    <n v="28.5"/>
    <x v="67"/>
    <s v="No"/>
    <x v="0"/>
    <x v="0"/>
    <x v="0"/>
    <x v="1"/>
    <x v="1"/>
    <x v="2"/>
    <n v="25"/>
    <s v="Sep"/>
    <n v="1967"/>
    <d v="1967-09-25T00:00:00"/>
    <n v="12823.25"/>
    <s v="tier - 3"/>
    <s v="tier - 3"/>
    <s v="R1021"/>
    <n v="59"/>
    <n v="28.5"/>
  </r>
  <r>
    <x v="1514"/>
    <s v="Reisenauer,"/>
    <n v="30.875"/>
    <x v="417"/>
    <s v="Yes"/>
    <x v="0"/>
    <x v="0"/>
    <x v="0"/>
    <x v="1"/>
    <x v="0"/>
    <x v="2"/>
    <n v="9"/>
    <s v="Nov"/>
    <n v="2004"/>
    <d v="2004-11-09T00:00:00"/>
    <n v="12829.46"/>
    <s v="tier - 3"/>
    <s v="tier - 3"/>
    <s v="R1016"/>
    <n v="22"/>
    <n v="30.875"/>
  </r>
  <r>
    <x v="1515"/>
    <s v="Rosenberg-Wohl,"/>
    <n v="24.02"/>
    <x v="24"/>
    <s v="No"/>
    <x v="0"/>
    <x v="0"/>
    <x v="0"/>
    <x v="1"/>
    <x v="2"/>
    <x v="2"/>
    <n v="27"/>
    <s v="Sep"/>
    <n v="1993"/>
    <d v="1993-09-27T00:00:00"/>
    <n v="12847.24"/>
    <s v="tier - 3"/>
    <s v="tier - 2"/>
    <s v="R1012"/>
    <n v="33"/>
    <n v="24.02"/>
  </r>
  <r>
    <x v="1516"/>
    <s v="Theriault,"/>
    <n v="36.08"/>
    <x v="427"/>
    <s v="Yes"/>
    <x v="0"/>
    <x v="0"/>
    <x v="0"/>
    <x v="1"/>
    <x v="0"/>
    <x v="0"/>
    <n v="22"/>
    <s v="Sep"/>
    <n v="1973"/>
    <d v="1973-09-22T00:00:00"/>
    <n v="12852.37"/>
    <s v="tier - 3"/>
    <s v="tier - 1"/>
    <s v="R1012"/>
    <n v="53"/>
    <n v="36.08"/>
  </r>
  <r>
    <x v="1517"/>
    <s v="Manuel,"/>
    <n v="32.200000000000003"/>
    <x v="617"/>
    <s v="Yes"/>
    <x v="0"/>
    <x v="0"/>
    <x v="0"/>
    <x v="1"/>
    <x v="0"/>
    <x v="0"/>
    <n v="27"/>
    <s v="Sep"/>
    <n v="1963"/>
    <d v="1963-09-27T00:00:00"/>
    <n v="12856.84"/>
    <s v="tier - 3"/>
    <s v="tier - 3"/>
    <s v="R1021"/>
    <n v="63"/>
    <n v="32.200000000000003"/>
  </r>
  <r>
    <x v="1518"/>
    <s v="Demko,"/>
    <n v="28.05"/>
    <x v="541"/>
    <s v="Yes"/>
    <x v="0"/>
    <x v="0"/>
    <x v="0"/>
    <x v="1"/>
    <x v="1"/>
    <x v="0"/>
    <n v="6"/>
    <s v="Aug"/>
    <n v="1984"/>
    <d v="1984-08-06T00:00:00"/>
    <n v="12870.31"/>
    <s v="tier - 3"/>
    <s v="tier - 3"/>
    <s v="R1012"/>
    <n v="42"/>
    <n v="28.05"/>
  </r>
  <r>
    <x v="1519"/>
    <s v="Battaglia,"/>
    <n v="19"/>
    <x v="338"/>
    <s v="Yes"/>
    <x v="0"/>
    <x v="0"/>
    <x v="1"/>
    <x v="1"/>
    <x v="2"/>
    <x v="2"/>
    <n v="9"/>
    <s v="Jul"/>
    <n v="2004"/>
    <d v="2004-07-09T00:00:00"/>
    <n v="12890.06"/>
    <s v="tier - 3"/>
    <s v="tier - 1"/>
    <s v="R1019"/>
    <n v="22"/>
    <n v="19"/>
  </r>
  <r>
    <x v="1520"/>
    <s v="Follo,"/>
    <n v="16.13"/>
    <x v="117"/>
    <s v="Yes"/>
    <x v="0"/>
    <x v="0"/>
    <x v="1"/>
    <x v="1"/>
    <x v="3"/>
    <x v="2"/>
    <n v="16"/>
    <s v="Aug"/>
    <n v="1963"/>
    <d v="1963-08-16T00:00:00"/>
    <n v="12913.99"/>
    <s v="tier - 3"/>
    <s v="tier - 2"/>
    <s v="R1016"/>
    <n v="63"/>
    <n v="16.13"/>
  </r>
  <r>
    <x v="1521"/>
    <s v="Barana,"/>
    <n v="18.77"/>
    <x v="618"/>
    <s v="Yes"/>
    <x v="0"/>
    <x v="0"/>
    <x v="1"/>
    <x v="1"/>
    <x v="2"/>
    <x v="0"/>
    <n v="1"/>
    <s v="Sep"/>
    <n v="1963"/>
    <d v="1963-09-01T00:00:00"/>
    <n v="12925.89"/>
    <s v="tier - 3"/>
    <s v="tier - 2"/>
    <s v="R1013"/>
    <n v="63"/>
    <n v="18.77"/>
  </r>
  <r>
    <x v="1522"/>
    <s v="Lysaght,"/>
    <n v="28.88"/>
    <x v="5"/>
    <s v="Yes"/>
    <x v="0"/>
    <x v="0"/>
    <x v="1"/>
    <x v="1"/>
    <x v="1"/>
    <x v="0"/>
    <n v="14"/>
    <s v="Aug"/>
    <n v="1963"/>
    <d v="1963-08-14T00:00:00"/>
    <n v="12928.79"/>
    <s v="tier - 3"/>
    <s v="tier - 2"/>
    <s v="R1013"/>
    <n v="63"/>
    <n v="28.88"/>
  </r>
  <r>
    <x v="1523"/>
    <s v="Chalmers,"/>
    <n v="27.55"/>
    <x v="533"/>
    <s v="Yes"/>
    <x v="0"/>
    <x v="0"/>
    <x v="1"/>
    <x v="1"/>
    <x v="1"/>
    <x v="0"/>
    <n v="22"/>
    <s v="Dec"/>
    <n v="1966"/>
    <d v="1966-12-22T00:00:00"/>
    <n v="12949.16"/>
    <s v="tier - 3"/>
    <s v="tier - 3"/>
    <s v="R1013"/>
    <n v="60"/>
    <n v="27.55"/>
  </r>
  <r>
    <x v="1524"/>
    <s v="Phillippi,"/>
    <n v="15.6"/>
    <x v="459"/>
    <s v="No"/>
    <x v="0"/>
    <x v="0"/>
    <x v="0"/>
    <x v="1"/>
    <x v="3"/>
    <x v="0"/>
    <n v="20"/>
    <s v="Aug"/>
    <n v="1961"/>
    <d v="1961-08-20T00:00:00"/>
    <n v="12950.07"/>
    <s v="tier - 3"/>
    <s v="tier - 1"/>
    <s v="R1012"/>
    <n v="65"/>
    <n v="15.6"/>
  </r>
  <r>
    <x v="1525"/>
    <s v="Macpherson,"/>
    <n v="21.99"/>
    <x v="104"/>
    <s v="No"/>
    <x v="0"/>
    <x v="0"/>
    <x v="0"/>
    <x v="1"/>
    <x v="2"/>
    <x v="0"/>
    <n v="4"/>
    <s v="Nov"/>
    <n v="1960"/>
    <d v="1960-11-04T00:00:00"/>
    <n v="12957.12"/>
    <s v="tier - 3"/>
    <s v="tier - 1"/>
    <s v="R1011"/>
    <n v="66"/>
    <n v="21.99"/>
  </r>
  <r>
    <x v="1526"/>
    <s v="Delfidio,"/>
    <n v="34.85"/>
    <x v="56"/>
    <s v="No"/>
    <x v="0"/>
    <x v="0"/>
    <x v="0"/>
    <x v="1"/>
    <x v="0"/>
    <x v="1"/>
    <n v="22"/>
    <s v="Jun"/>
    <n v="1960"/>
    <d v="1960-06-22T00:00:00"/>
    <n v="12979.36"/>
    <s v="tier - 3"/>
    <s v="tier - 1"/>
    <s v="R1011"/>
    <n v="66"/>
    <n v="34.85"/>
  </r>
  <r>
    <x v="1527"/>
    <s v="Cummings,"/>
    <n v="24.51"/>
    <x v="249"/>
    <s v="Yes"/>
    <x v="0"/>
    <x v="1"/>
    <x v="1"/>
    <x v="1"/>
    <x v="2"/>
    <x v="2"/>
    <n v="23"/>
    <s v="Sep"/>
    <n v="1960"/>
    <d v="1960-09-23T00:00:00"/>
    <n v="12981.35"/>
    <s v="tier - 3"/>
    <s v="tier - 3"/>
    <s v="R1013"/>
    <n v="66"/>
    <n v="24.51"/>
  </r>
  <r>
    <x v="1528"/>
    <s v="Schroegel,"/>
    <n v="19.399999999999999"/>
    <x v="396"/>
    <s v="No"/>
    <x v="0"/>
    <x v="0"/>
    <x v="0"/>
    <x v="1"/>
    <x v="2"/>
    <x v="0"/>
    <n v="28"/>
    <s v="Nov"/>
    <n v="1960"/>
    <d v="1960-11-28T00:00:00"/>
    <n v="12982.87"/>
    <s v="tier - 3"/>
    <s v="tier - 1"/>
    <s v="R1013"/>
    <n v="66"/>
    <n v="19.399999999999999"/>
  </r>
  <r>
    <x v="1529"/>
    <s v="Williams,"/>
    <n v="15.1"/>
    <x v="12"/>
    <s v="No"/>
    <x v="0"/>
    <x v="0"/>
    <x v="0"/>
    <x v="1"/>
    <x v="3"/>
    <x v="0"/>
    <n v="27"/>
    <s v="Nov"/>
    <n v="1979"/>
    <d v="1979-11-27T00:00:00"/>
    <n v="12994.12"/>
    <s v="tier - 3"/>
    <s v="tier - 2"/>
    <s v="R1026"/>
    <n v="47"/>
    <n v="15.1"/>
  </r>
  <r>
    <x v="1530"/>
    <s v="Casey,"/>
    <n v="23.37"/>
    <x v="448"/>
    <s v="Yes"/>
    <x v="0"/>
    <x v="0"/>
    <x v="0"/>
    <x v="1"/>
    <x v="2"/>
    <x v="2"/>
    <n v="30"/>
    <s v="Oct"/>
    <n v="1981"/>
    <d v="1981-10-30T00:00:00"/>
    <n v="13002.91"/>
    <s v="tier - 3"/>
    <s v="tier - 1"/>
    <s v="R1012"/>
    <n v="45"/>
    <n v="23.37"/>
  </r>
  <r>
    <x v="1531"/>
    <s v="Randall,"/>
    <n v="42.4"/>
    <x v="81"/>
    <s v="No"/>
    <x v="0"/>
    <x v="0"/>
    <x v="0"/>
    <x v="1"/>
    <x v="0"/>
    <x v="2"/>
    <n v="24"/>
    <s v="Jun"/>
    <n v="1962"/>
    <d v="1962-06-24T00:00:00"/>
    <n v="13004.95"/>
    <s v="tier - 3"/>
    <s v="tier - 1"/>
    <s v="R1012"/>
    <n v="64"/>
    <n v="42.4"/>
  </r>
  <r>
    <x v="1532"/>
    <s v="Doyon,"/>
    <n v="28.405000000000001"/>
    <x v="13"/>
    <s v="Yes"/>
    <x v="0"/>
    <x v="0"/>
    <x v="0"/>
    <x v="1"/>
    <x v="1"/>
    <x v="0"/>
    <n v="13"/>
    <s v="Dec"/>
    <n v="1969"/>
    <d v="1969-12-13T00:00:00"/>
    <n v="13008.07"/>
    <s v="tier - 3"/>
    <s v="tier - 3"/>
    <s v="R1012"/>
    <n v="57"/>
    <n v="28.405000000000001"/>
  </r>
  <r>
    <x v="1533"/>
    <s v="Sankey,"/>
    <n v="23.4"/>
    <x v="47"/>
    <s v="No"/>
    <x v="0"/>
    <x v="0"/>
    <x v="0"/>
    <x v="1"/>
    <x v="2"/>
    <x v="2"/>
    <n v="27"/>
    <s v="Sep"/>
    <n v="1972"/>
    <d v="1972-09-27T00:00:00"/>
    <n v="13010.86"/>
    <s v="tier - 3"/>
    <s v="tier - 2"/>
    <s v="R1012"/>
    <n v="54"/>
    <n v="23.4"/>
  </r>
  <r>
    <x v="1534"/>
    <s v="Stilgenbauer,"/>
    <n v="33.44"/>
    <x v="117"/>
    <s v="No"/>
    <x v="0"/>
    <x v="0"/>
    <x v="0"/>
    <x v="1"/>
    <x v="0"/>
    <x v="2"/>
    <n v="20"/>
    <s v="Jul"/>
    <n v="1962"/>
    <d v="1962-07-20T00:00:00"/>
    <n v="13012.21"/>
    <s v="tier - 3"/>
    <s v="tier - 1"/>
    <s v="R1012"/>
    <n v="64"/>
    <n v="33.44"/>
  </r>
  <r>
    <x v="1535"/>
    <s v="Jaskiewicz,"/>
    <n v="21.12"/>
    <x v="115"/>
    <s v="No"/>
    <x v="0"/>
    <x v="0"/>
    <x v="1"/>
    <x v="1"/>
    <x v="2"/>
    <x v="2"/>
    <n v="23"/>
    <s v="Sep"/>
    <n v="1964"/>
    <d v="1964-09-23T00:00:00"/>
    <n v="13019.16"/>
    <s v="tier - 3"/>
    <s v="tier - 1"/>
    <s v="R1024"/>
    <n v="62"/>
    <n v="21.12"/>
  </r>
  <r>
    <x v="1536"/>
    <s v="Deppen,"/>
    <n v="18.48"/>
    <x v="292"/>
    <s v="Yes"/>
    <x v="0"/>
    <x v="0"/>
    <x v="1"/>
    <x v="1"/>
    <x v="3"/>
    <x v="0"/>
    <n v="4"/>
    <s v="Nov"/>
    <n v="1965"/>
    <d v="1965-11-04T00:00:00"/>
    <n v="13023.93"/>
    <s v="tier - 3"/>
    <s v="tier - 2"/>
    <s v="R1025"/>
    <n v="61"/>
    <n v="18.48"/>
  </r>
  <r>
    <x v="1537"/>
    <s v="Hine,"/>
    <n v="16.815000000000001"/>
    <x v="505"/>
    <s v="No"/>
    <x v="0"/>
    <x v="0"/>
    <x v="1"/>
    <x v="1"/>
    <x v="3"/>
    <x v="2"/>
    <n v="9"/>
    <s v="Nov"/>
    <n v="1961"/>
    <d v="1961-11-09T00:00:00"/>
    <n v="13041.92"/>
    <s v="tier - 3"/>
    <s v="tier - 1"/>
    <s v="R1011"/>
    <n v="65"/>
    <n v="16.815000000000001"/>
  </r>
  <r>
    <x v="1538"/>
    <s v="Mathews,"/>
    <n v="26.72"/>
    <x v="417"/>
    <s v="No"/>
    <x v="0"/>
    <x v="0"/>
    <x v="0"/>
    <x v="1"/>
    <x v="1"/>
    <x v="2"/>
    <n v="23"/>
    <s v="Sep"/>
    <n v="1969"/>
    <d v="1969-09-23T00:00:00"/>
    <n v="13044.41"/>
    <s v="tier - 3"/>
    <s v="tier - 1"/>
    <s v="R1012"/>
    <n v="57"/>
    <n v="26.72"/>
  </r>
  <r>
    <x v="1539"/>
    <s v="Yabu,"/>
    <n v="41.42"/>
    <x v="584"/>
    <s v="No"/>
    <x v="0"/>
    <x v="1"/>
    <x v="1"/>
    <x v="1"/>
    <x v="0"/>
    <x v="2"/>
    <n v="6"/>
    <s v="Aug"/>
    <n v="1967"/>
    <d v="1967-08-06T00:00:00"/>
    <n v="13047.33"/>
    <s v="tier - 3"/>
    <s v="tier - 3"/>
    <s v="R1024"/>
    <n v="59"/>
    <n v="41.42"/>
  </r>
  <r>
    <x v="1540"/>
    <s v="Strang,"/>
    <n v="20.69"/>
    <x v="619"/>
    <s v="No"/>
    <x v="0"/>
    <x v="0"/>
    <x v="1"/>
    <x v="1"/>
    <x v="2"/>
    <x v="0"/>
    <n v="26"/>
    <s v="Oct"/>
    <n v="1985"/>
    <d v="1985-10-26T00:00:00"/>
    <n v="13051.22"/>
    <s v="tier - 3"/>
    <s v="tier - 1"/>
    <s v="R1026"/>
    <n v="41"/>
    <n v="20.69"/>
  </r>
  <r>
    <x v="1541"/>
    <s v="Frank,"/>
    <n v="41.23"/>
    <x v="180"/>
    <s v="No"/>
    <x v="0"/>
    <x v="0"/>
    <x v="0"/>
    <x v="1"/>
    <x v="0"/>
    <x v="2"/>
    <n v="6"/>
    <s v="Nov"/>
    <n v="1961"/>
    <d v="1961-11-06T00:00:00"/>
    <n v="13063.88"/>
    <s v="tier - 3"/>
    <s v="tier - 2"/>
    <s v="R1011"/>
    <n v="65"/>
    <n v="41.23"/>
  </r>
  <r>
    <x v="1542"/>
    <s v="Shanley,"/>
    <n v="29.9"/>
    <x v="119"/>
    <s v="No"/>
    <x v="0"/>
    <x v="0"/>
    <x v="0"/>
    <x v="1"/>
    <x v="1"/>
    <x v="1"/>
    <n v="17"/>
    <s v="Jul"/>
    <n v="1978"/>
    <d v="1978-07-17T00:00:00"/>
    <n v="13101.74"/>
    <s v="tier - 3"/>
    <s v="tier - 2"/>
    <s v="R1026"/>
    <n v="48"/>
    <n v="29.9"/>
  </r>
  <r>
    <x v="1543"/>
    <s v="Mancebo"/>
    <n v="34.104999999999997"/>
    <x v="620"/>
    <s v="No"/>
    <x v="0"/>
    <x v="0"/>
    <x v="0"/>
    <x v="1"/>
    <x v="0"/>
    <x v="1"/>
    <n v="30"/>
    <s v="Oct"/>
    <n v="1971"/>
    <d v="1971-10-30T00:00:00"/>
    <n v="13110.79"/>
    <s v="tier - 3"/>
    <s v="tier - 2"/>
    <s v="R1011"/>
    <n v="55"/>
    <n v="34.104999999999997"/>
  </r>
  <r>
    <x v="1544"/>
    <s v="Keehan,"/>
    <n v="24.97"/>
    <x v="582"/>
    <s v="No"/>
    <x v="0"/>
    <x v="0"/>
    <x v="0"/>
    <x v="1"/>
    <x v="2"/>
    <x v="2"/>
    <n v="2"/>
    <s v="Aug"/>
    <n v="1962"/>
    <d v="1962-08-02T00:00:00"/>
    <n v="13112.6"/>
    <s v="tier - 3"/>
    <s v="tier - 3"/>
    <s v="R1012"/>
    <n v="64"/>
    <n v="24.97"/>
  </r>
  <r>
    <x v="1545"/>
    <s v="Mahaney,"/>
    <n v="34.799999999999997"/>
    <x v="40"/>
    <s v="No"/>
    <x v="0"/>
    <x v="0"/>
    <x v="1"/>
    <x v="1"/>
    <x v="0"/>
    <x v="2"/>
    <n v="12"/>
    <s v="Aug"/>
    <n v="1992"/>
    <d v="1992-08-12T00:00:00"/>
    <n v="13113.51"/>
    <s v="tier - 3"/>
    <s v="tier - 2"/>
    <s v="R1026"/>
    <n v="34"/>
    <n v="34.799999999999997"/>
  </r>
  <r>
    <x v="1546"/>
    <s v="Nolan,"/>
    <n v="32.965000000000003"/>
    <x v="621"/>
    <s v="Yes"/>
    <x v="0"/>
    <x v="0"/>
    <x v="0"/>
    <x v="1"/>
    <x v="0"/>
    <x v="0"/>
    <n v="14"/>
    <s v="Sep"/>
    <n v="1963"/>
    <d v="1963-09-14T00:00:00"/>
    <n v="13116.84"/>
    <s v="tier - 3"/>
    <s v="tier - 1"/>
    <s v="R1012"/>
    <n v="63"/>
    <n v="32.965000000000003"/>
  </r>
  <r>
    <x v="1547"/>
    <s v="Sobrino,"/>
    <n v="27.265000000000001"/>
    <x v="49"/>
    <s v="No"/>
    <x v="0"/>
    <x v="0"/>
    <x v="1"/>
    <x v="1"/>
    <x v="1"/>
    <x v="2"/>
    <n v="16"/>
    <s v="Aug"/>
    <n v="1999"/>
    <d v="1999-08-16T00:00:00"/>
    <n v="13126.68"/>
    <s v="tier - 3"/>
    <s v="tier - 3"/>
    <s v="R1011"/>
    <n v="27"/>
    <n v="27.265000000000001"/>
  </r>
  <r>
    <x v="1548"/>
    <s v="Gennaro,"/>
    <n v="17.059999999999999"/>
    <x v="517"/>
    <s v="No"/>
    <x v="0"/>
    <x v="0"/>
    <x v="0"/>
    <x v="1"/>
    <x v="3"/>
    <x v="0"/>
    <n v="7"/>
    <s v="Sep"/>
    <n v="1961"/>
    <d v="1961-09-07T00:00:00"/>
    <n v="13129.6"/>
    <s v="tier - 3"/>
    <s v="tier - 2"/>
    <s v="R1017"/>
    <n v="65"/>
    <n v="17.059999999999999"/>
  </r>
  <r>
    <x v="1549"/>
    <s v="Mayer,"/>
    <n v="36.29"/>
    <x v="195"/>
    <s v="No"/>
    <x v="0"/>
    <x v="0"/>
    <x v="0"/>
    <x v="1"/>
    <x v="0"/>
    <x v="1"/>
    <n v="6"/>
    <s v="Dec"/>
    <n v="1961"/>
    <d v="1961-12-06T00:00:00"/>
    <n v="13143.34"/>
    <s v="tier - 3"/>
    <s v="tier - 2"/>
    <s v="R1020"/>
    <n v="65"/>
    <n v="36.29"/>
  </r>
  <r>
    <x v="1550"/>
    <s v="Becker,"/>
    <n v="28.594999999999999"/>
    <x v="622"/>
    <s v="Yes"/>
    <x v="0"/>
    <x v="0"/>
    <x v="1"/>
    <x v="1"/>
    <x v="1"/>
    <x v="0"/>
    <n v="6"/>
    <s v="Dec"/>
    <n v="1961"/>
    <d v="1961-12-06T00:00:00"/>
    <n v="13143.86"/>
    <s v="tier - 3"/>
    <s v="tier - 2"/>
    <s v="R1016"/>
    <n v="65"/>
    <n v="28.594999999999999"/>
  </r>
  <r>
    <x v="1551"/>
    <s v="Moore,"/>
    <n v="17.8"/>
    <x v="56"/>
    <s v="Yes"/>
    <x v="0"/>
    <x v="1"/>
    <x v="1"/>
    <x v="1"/>
    <x v="3"/>
    <x v="1"/>
    <n v="5"/>
    <s v="Aug"/>
    <n v="1962"/>
    <d v="1962-08-05T00:00:00"/>
    <n v="13204.29"/>
    <s v="tier - 3"/>
    <s v="tier - 1"/>
    <s v="R1024"/>
    <n v="64"/>
    <n v="17.8"/>
  </r>
  <r>
    <x v="1552"/>
    <s v="Platt,"/>
    <n v="21.4"/>
    <x v="372"/>
    <s v="No"/>
    <x v="0"/>
    <x v="0"/>
    <x v="0"/>
    <x v="1"/>
    <x v="2"/>
    <x v="2"/>
    <n v="15"/>
    <s v="Oct"/>
    <n v="1982"/>
    <d v="1982-10-15T00:00:00"/>
    <n v="13214.43"/>
    <s v="tier - 3"/>
    <s v="tier - 2"/>
    <s v="R1012"/>
    <n v="44"/>
    <n v="21.4"/>
  </r>
  <r>
    <x v="1553"/>
    <s v="Brodeur,"/>
    <n v="23.01"/>
    <x v="82"/>
    <s v="No"/>
    <x v="0"/>
    <x v="0"/>
    <x v="0"/>
    <x v="1"/>
    <x v="2"/>
    <x v="2"/>
    <n v="7"/>
    <s v="Dec"/>
    <n v="1962"/>
    <d v="1962-12-07T00:00:00"/>
    <n v="13217.09"/>
    <s v="tier - 3"/>
    <s v="tier - 1"/>
    <s v="R1024"/>
    <n v="64"/>
    <n v="23.01"/>
  </r>
  <r>
    <x v="1554"/>
    <s v="Knight"/>
    <n v="19.86"/>
    <x v="133"/>
    <s v="Yes"/>
    <x v="0"/>
    <x v="0"/>
    <x v="0"/>
    <x v="1"/>
    <x v="2"/>
    <x v="2"/>
    <n v="13"/>
    <s v="Nov"/>
    <n v="1965"/>
    <d v="1965-11-13T00:00:00"/>
    <n v="13224.06"/>
    <s v="tier - 3"/>
    <s v="tier - 3"/>
    <s v="R1024"/>
    <n v="61"/>
    <n v="19.86"/>
  </r>
  <r>
    <x v="1555"/>
    <s v="Richter,"/>
    <n v="33.58"/>
    <x v="31"/>
    <s v="No"/>
    <x v="0"/>
    <x v="0"/>
    <x v="0"/>
    <x v="1"/>
    <x v="0"/>
    <x v="2"/>
    <n v="24"/>
    <s v="Nov"/>
    <n v="1962"/>
    <d v="1962-11-24T00:00:00"/>
    <n v="13224.69"/>
    <s v="tier - 3"/>
    <s v="tier - 2"/>
    <s v="R1011"/>
    <n v="64"/>
    <n v="33.58"/>
  </r>
  <r>
    <x v="1556"/>
    <s v="Jubinski,"/>
    <n v="29.81"/>
    <x v="124"/>
    <s v="No"/>
    <x v="0"/>
    <x v="0"/>
    <x v="0"/>
    <x v="1"/>
    <x v="1"/>
    <x v="2"/>
    <n v="11"/>
    <s v="Oct"/>
    <n v="1962"/>
    <d v="1962-10-11T00:00:00"/>
    <n v="13228.85"/>
    <s v="tier - 3"/>
    <s v="tier - 3"/>
    <s v="R1023"/>
    <n v="64"/>
    <n v="29.81"/>
  </r>
  <r>
    <x v="1557"/>
    <s v="Wall,"/>
    <n v="27.4"/>
    <x v="152"/>
    <s v="No"/>
    <x v="0"/>
    <x v="0"/>
    <x v="0"/>
    <x v="1"/>
    <x v="1"/>
    <x v="2"/>
    <n v="1"/>
    <s v="Jul"/>
    <n v="1994"/>
    <d v="1994-07-01T00:00:00"/>
    <n v="13292.52"/>
    <s v="tier - 3"/>
    <s v="tier - 3"/>
    <s v="R1012"/>
    <n v="32"/>
    <n v="27.4"/>
  </r>
  <r>
    <x v="1558"/>
    <s v="McKay,"/>
    <n v="17.98"/>
    <x v="426"/>
    <s v="Yes"/>
    <x v="0"/>
    <x v="0"/>
    <x v="1"/>
    <x v="1"/>
    <x v="3"/>
    <x v="0"/>
    <n v="23"/>
    <s v="Aug"/>
    <n v="1976"/>
    <d v="1976-08-23T00:00:00"/>
    <n v="13333.71"/>
    <s v="tier - 3"/>
    <s v="tier - 2"/>
    <s v="R1012"/>
    <n v="50"/>
    <n v="17.98"/>
  </r>
  <r>
    <x v="1559"/>
    <s v="Oh,"/>
    <n v="37.9"/>
    <x v="333"/>
    <s v="No"/>
    <x v="0"/>
    <x v="0"/>
    <x v="0"/>
    <x v="1"/>
    <x v="0"/>
    <x v="1"/>
    <n v="11"/>
    <s v="Nov"/>
    <n v="1960"/>
    <d v="1960-11-11T00:00:00"/>
    <n v="13352.1"/>
    <s v="tier - 3"/>
    <s v="tier - 1"/>
    <s v="R1012"/>
    <n v="66"/>
    <n v="37.9"/>
  </r>
  <r>
    <x v="1560"/>
    <s v="Kessell,"/>
    <n v="25.27"/>
    <x v="42"/>
    <s v="Yes"/>
    <x v="0"/>
    <x v="0"/>
    <x v="0"/>
    <x v="1"/>
    <x v="1"/>
    <x v="0"/>
    <n v="2"/>
    <s v="Oct"/>
    <n v="1990"/>
    <d v="1990-10-02T00:00:00"/>
    <n v="13360.94"/>
    <s v="tier - 3"/>
    <s v="tier - 1"/>
    <s v="R1012"/>
    <n v="36"/>
    <n v="25.27"/>
  </r>
  <r>
    <x v="1561"/>
    <s v="Hidalgo"/>
    <n v="29.26"/>
    <x v="79"/>
    <s v="No"/>
    <x v="0"/>
    <x v="0"/>
    <x v="1"/>
    <x v="1"/>
    <x v="1"/>
    <x v="2"/>
    <n v="24"/>
    <s v="Sep"/>
    <n v="1964"/>
    <d v="1964-09-24T00:00:00"/>
    <n v="13375.76"/>
    <s v="tier - 3"/>
    <s v="tier - 2"/>
    <s v="R1025"/>
    <n v="62"/>
    <n v="29.26"/>
  </r>
  <r>
    <x v="1562"/>
    <s v="Caprario,"/>
    <n v="27.835000000000001"/>
    <x v="176"/>
    <s v="No"/>
    <x v="0"/>
    <x v="0"/>
    <x v="1"/>
    <x v="1"/>
    <x v="1"/>
    <x v="2"/>
    <n v="30"/>
    <s v="Sep"/>
    <n v="1979"/>
    <d v="1979-09-30T00:00:00"/>
    <n v="13377.41"/>
    <s v="tier - 3"/>
    <s v="tier - 3"/>
    <s v="R1026"/>
    <n v="47"/>
    <n v="27.835000000000001"/>
  </r>
  <r>
    <x v="1563"/>
    <s v="Ryan,"/>
    <n v="46.53"/>
    <x v="623"/>
    <s v="Yes"/>
    <x v="0"/>
    <x v="0"/>
    <x v="0"/>
    <x v="1"/>
    <x v="0"/>
    <x v="2"/>
    <n v="6"/>
    <s v="Jun"/>
    <n v="1984"/>
    <d v="1984-06-06T00:00:00"/>
    <n v="13383.67"/>
    <s v="tier - 3"/>
    <s v="tier - 2"/>
    <s v="R1023"/>
    <n v="42"/>
    <n v="46.53"/>
  </r>
  <r>
    <x v="1564"/>
    <s v="Hoffman,"/>
    <n v="20.58"/>
    <x v="570"/>
    <s v="Yes"/>
    <x v="0"/>
    <x v="0"/>
    <x v="1"/>
    <x v="1"/>
    <x v="2"/>
    <x v="0"/>
    <n v="9"/>
    <s v="Dec"/>
    <n v="1959"/>
    <d v="1959-12-09T00:00:00"/>
    <n v="13390.56"/>
    <s v="tier - 3"/>
    <s v="tier - 3"/>
    <s v="R1011"/>
    <n v="67"/>
    <n v="20.58"/>
  </r>
  <r>
    <x v="1565"/>
    <s v="Wong,"/>
    <n v="19.53"/>
    <x v="34"/>
    <s v="Yes"/>
    <x v="0"/>
    <x v="0"/>
    <x v="0"/>
    <x v="1"/>
    <x v="2"/>
    <x v="1"/>
    <n v="25"/>
    <s v="Nov"/>
    <n v="1959"/>
    <d v="1959-11-25T00:00:00"/>
    <n v="13393.76"/>
    <s v="tier - 3"/>
    <s v="tier - 1"/>
    <s v="R1011"/>
    <n v="67"/>
    <n v="19.53"/>
  </r>
  <r>
    <x v="1566"/>
    <s v="Lea,"/>
    <n v="27.7"/>
    <x v="378"/>
    <s v="No"/>
    <x v="0"/>
    <x v="0"/>
    <x v="1"/>
    <x v="1"/>
    <x v="1"/>
    <x v="2"/>
    <n v="20"/>
    <s v="Dec"/>
    <n v="1959"/>
    <d v="1959-12-20T00:00:00"/>
    <n v="13405.39"/>
    <s v="tier - 3"/>
    <s v="tier - 3"/>
    <s v="R1013"/>
    <n v="67"/>
    <n v="27.7"/>
  </r>
  <r>
    <x v="1567"/>
    <s v="Patterson,"/>
    <n v="18.920000000000002"/>
    <x v="222"/>
    <s v="No"/>
    <x v="0"/>
    <x v="0"/>
    <x v="0"/>
    <x v="1"/>
    <x v="2"/>
    <x v="0"/>
    <n v="19"/>
    <s v="Dec"/>
    <n v="1992"/>
    <d v="1992-12-19T00:00:00"/>
    <n v="13412.97"/>
    <s v="tier - 3"/>
    <s v="tier - 3"/>
    <s v="R1023"/>
    <n v="34"/>
    <n v="18.920000000000002"/>
  </r>
  <r>
    <x v="1568"/>
    <s v="Quigley,"/>
    <n v="17.760000000000002"/>
    <x v="587"/>
    <s v="Yes"/>
    <x v="0"/>
    <x v="0"/>
    <x v="1"/>
    <x v="1"/>
    <x v="3"/>
    <x v="0"/>
    <n v="22"/>
    <s v="Jul"/>
    <n v="1961"/>
    <d v="1961-07-22T00:00:00"/>
    <n v="13415.04"/>
    <s v="tier - 3"/>
    <s v="tier - 2"/>
    <s v="R1012"/>
    <n v="65"/>
    <n v="17.760000000000002"/>
  </r>
  <r>
    <x v="1569"/>
    <s v="Korir,"/>
    <n v="29.83"/>
    <x v="52"/>
    <s v="Yes"/>
    <x v="0"/>
    <x v="0"/>
    <x v="0"/>
    <x v="1"/>
    <x v="1"/>
    <x v="2"/>
    <n v="17"/>
    <s v="Jun"/>
    <n v="1994"/>
    <d v="1994-06-17T00:00:00"/>
    <n v="13417.05"/>
    <s v="tier - 3"/>
    <s v="tier - 3"/>
    <s v="R1012"/>
    <n v="32"/>
    <n v="29.83"/>
  </r>
  <r>
    <x v="1570"/>
    <s v="Downs,"/>
    <n v="23.465"/>
    <x v="209"/>
    <s v="No"/>
    <x v="0"/>
    <x v="0"/>
    <x v="1"/>
    <x v="1"/>
    <x v="2"/>
    <x v="2"/>
    <n v="3"/>
    <s v="Nov"/>
    <n v="1961"/>
    <d v="1961-11-03T00:00:00"/>
    <n v="13429.04"/>
    <s v="tier - 3"/>
    <s v="tier - 3"/>
    <s v="R1012"/>
    <n v="65"/>
    <n v="23.465"/>
  </r>
  <r>
    <x v="1571"/>
    <s v="Young,"/>
    <n v="29.355"/>
    <x v="279"/>
    <s v="No"/>
    <x v="0"/>
    <x v="0"/>
    <x v="0"/>
    <x v="1"/>
    <x v="1"/>
    <x v="2"/>
    <n v="14"/>
    <s v="Nov"/>
    <n v="1966"/>
    <d v="1966-11-14T00:00:00"/>
    <n v="13430.27"/>
    <s v="tier - 3"/>
    <s v="tier - 3"/>
    <s v="R1024"/>
    <n v="60"/>
    <n v="29.355"/>
  </r>
  <r>
    <x v="1572"/>
    <s v="Zywek,"/>
    <n v="35.49"/>
    <x v="127"/>
    <s v="Yes"/>
    <x v="0"/>
    <x v="1"/>
    <x v="1"/>
    <x v="1"/>
    <x v="0"/>
    <x v="2"/>
    <n v="29"/>
    <s v="Jun"/>
    <n v="1975"/>
    <d v="1975-06-29T00:00:00"/>
    <n v="13440.7"/>
    <s v="tier - 3"/>
    <s v="tier - 2"/>
    <s v="R1012"/>
    <n v="51"/>
    <n v="35.49"/>
  </r>
  <r>
    <x v="1573"/>
    <s v="Faulkner,"/>
    <n v="26.315000000000001"/>
    <x v="256"/>
    <s v="No"/>
    <x v="0"/>
    <x v="0"/>
    <x v="0"/>
    <x v="1"/>
    <x v="1"/>
    <x v="1"/>
    <n v="13"/>
    <s v="Aug"/>
    <n v="1960"/>
    <d v="1960-08-13T00:00:00"/>
    <n v="13451.12"/>
    <s v="tier - 3"/>
    <s v="tier - 1"/>
    <s v="R1011"/>
    <n v="66"/>
    <n v="26.315000000000001"/>
  </r>
  <r>
    <x v="1574"/>
    <s v="Erspamer,"/>
    <n v="19.79"/>
    <x v="357"/>
    <s v="Yes"/>
    <x v="0"/>
    <x v="0"/>
    <x v="0"/>
    <x v="1"/>
    <x v="2"/>
    <x v="2"/>
    <n v="11"/>
    <s v="Jul"/>
    <n v="1960"/>
    <d v="1960-07-11T00:00:00"/>
    <n v="13457.96"/>
    <s v="tier - 3"/>
    <s v="tier - 1"/>
    <s v="R1013"/>
    <n v="66"/>
    <n v="19.79"/>
  </r>
  <r>
    <x v="1575"/>
    <s v="Campbell,"/>
    <n v="40.564999999999998"/>
    <x v="582"/>
    <s v="No"/>
    <x v="0"/>
    <x v="0"/>
    <x v="1"/>
    <x v="1"/>
    <x v="0"/>
    <x v="2"/>
    <n v="16"/>
    <s v="Dec"/>
    <n v="1960"/>
    <d v="1960-12-16T00:00:00"/>
    <n v="13462.52"/>
    <s v="tier - 3"/>
    <s v="tier - 2"/>
    <s v="R1011"/>
    <n v="66"/>
    <n v="40.564999999999998"/>
  </r>
  <r>
    <x v="1576"/>
    <s v="Addison,"/>
    <n v="18.03"/>
    <x v="624"/>
    <s v="Yes"/>
    <x v="0"/>
    <x v="0"/>
    <x v="1"/>
    <x v="1"/>
    <x v="3"/>
    <x v="0"/>
    <n v="19"/>
    <s v="Aug"/>
    <n v="1985"/>
    <d v="1985-08-19T00:00:00"/>
    <n v="13465.8"/>
    <s v="tier - 3"/>
    <s v="tier - 1"/>
    <s v="R1012"/>
    <n v="41"/>
    <n v="18.03"/>
  </r>
  <r>
    <x v="1577"/>
    <s v="Wu,"/>
    <n v="34.65"/>
    <x v="213"/>
    <s v="Yes"/>
    <x v="0"/>
    <x v="0"/>
    <x v="0"/>
    <x v="1"/>
    <x v="0"/>
    <x v="1"/>
    <n v="28"/>
    <s v="Jul"/>
    <n v="1960"/>
    <d v="1960-07-28T00:00:00"/>
    <n v="13470.8"/>
    <s v="tier - 3"/>
    <s v="tier - 2"/>
    <s v="R1013"/>
    <n v="66"/>
    <n v="34.65"/>
  </r>
  <r>
    <x v="1578"/>
    <s v="Millett,"/>
    <n v="42.94"/>
    <x v="83"/>
    <s v="No"/>
    <x v="0"/>
    <x v="0"/>
    <x v="0"/>
    <x v="1"/>
    <x v="0"/>
    <x v="2"/>
    <n v="24"/>
    <s v="Jul"/>
    <n v="1960"/>
    <d v="1960-07-24T00:00:00"/>
    <n v="13470.86"/>
    <s v="tier - 3"/>
    <s v="tier - 3"/>
    <s v="R1011"/>
    <n v="66"/>
    <n v="42.94"/>
  </r>
  <r>
    <x v="1579"/>
    <s v="Bosl,"/>
    <n v="31.254999999999999"/>
    <x v="584"/>
    <s v="No"/>
    <x v="0"/>
    <x v="0"/>
    <x v="0"/>
    <x v="1"/>
    <x v="0"/>
    <x v="2"/>
    <n v="7"/>
    <s v="Aug"/>
    <n v="1975"/>
    <d v="1975-08-07T00:00:00"/>
    <n v="13472.19"/>
    <s v="tier - 3"/>
    <s v="tier - 2"/>
    <s v="R1012"/>
    <n v="51"/>
    <n v="31.254999999999999"/>
  </r>
  <r>
    <x v="1580"/>
    <s v="Goldberg,"/>
    <n v="45.43"/>
    <x v="80"/>
    <s v="Yes"/>
    <x v="0"/>
    <x v="1"/>
    <x v="1"/>
    <x v="1"/>
    <x v="0"/>
    <x v="2"/>
    <n v="30"/>
    <s v="Aug"/>
    <n v="1990"/>
    <d v="1990-08-30T00:00:00"/>
    <n v="13480.83"/>
    <s v="tier - 3"/>
    <s v="tier - 2"/>
    <s v="R1023"/>
    <n v="36"/>
    <n v="45.43"/>
  </r>
  <r>
    <x v="1581"/>
    <s v="Kelley,"/>
    <n v="32.340000000000003"/>
    <x v="315"/>
    <s v="Yes"/>
    <x v="0"/>
    <x v="1"/>
    <x v="1"/>
    <x v="1"/>
    <x v="0"/>
    <x v="2"/>
    <n v="14"/>
    <s v="Oct"/>
    <n v="1963"/>
    <d v="1963-10-14T00:00:00"/>
    <n v="13511.28"/>
    <s v="tier - 3"/>
    <s v="tier - 1"/>
    <s v="R1012"/>
    <n v="63"/>
    <n v="32.340000000000003"/>
  </r>
  <r>
    <x v="1582"/>
    <s v="Johnston,"/>
    <n v="25.46"/>
    <x v="625"/>
    <s v="Yes"/>
    <x v="0"/>
    <x v="0"/>
    <x v="1"/>
    <x v="1"/>
    <x v="1"/>
    <x v="0"/>
    <n v="11"/>
    <s v="Jul"/>
    <n v="1960"/>
    <d v="1960-07-11T00:00:00"/>
    <n v="13555"/>
    <s v="tier - 3"/>
    <s v="tier - 3"/>
    <s v="R1017"/>
    <n v="66"/>
    <n v="25.46"/>
  </r>
  <r>
    <x v="1583"/>
    <s v="Keating,"/>
    <n v="37.145000000000003"/>
    <x v="134"/>
    <s v="No"/>
    <x v="0"/>
    <x v="0"/>
    <x v="0"/>
    <x v="1"/>
    <x v="0"/>
    <x v="2"/>
    <n v="15"/>
    <s v="Jul"/>
    <n v="1968"/>
    <d v="1968-07-15T00:00:00"/>
    <n v="13566.04"/>
    <s v="tier - 3"/>
    <s v="tier - 3"/>
    <s v="R1026"/>
    <n v="58"/>
    <n v="37.145000000000003"/>
  </r>
  <r>
    <x v="1584"/>
    <s v="Duhon,"/>
    <n v="30.8"/>
    <x v="333"/>
    <s v="Yes"/>
    <x v="0"/>
    <x v="0"/>
    <x v="0"/>
    <x v="1"/>
    <x v="0"/>
    <x v="1"/>
    <n v="14"/>
    <s v="Aug"/>
    <n v="1992"/>
    <d v="1992-08-14T00:00:00"/>
    <n v="13588.17"/>
    <s v="tier - 3"/>
    <s v="tier - 1"/>
    <s v="R1012"/>
    <n v="34"/>
    <n v="30.8"/>
  </r>
  <r>
    <x v="1585"/>
    <s v="Briseno,"/>
    <n v="29.5"/>
    <x v="538"/>
    <s v="Yes"/>
    <x v="0"/>
    <x v="0"/>
    <x v="0"/>
    <x v="1"/>
    <x v="1"/>
    <x v="2"/>
    <n v="10"/>
    <s v="Sep"/>
    <n v="1964"/>
    <d v="1964-09-10T00:00:00"/>
    <n v="13607.37"/>
    <s v="tier - 3"/>
    <s v="tier - 1"/>
    <s v="R1024"/>
    <n v="62"/>
    <n v="29.5"/>
  </r>
  <r>
    <x v="1586"/>
    <s v="Besse,"/>
    <n v="43.39"/>
    <x v="558"/>
    <s v="No"/>
    <x v="1"/>
    <x v="0"/>
    <x v="1"/>
    <x v="1"/>
    <x v="0"/>
    <x v="1"/>
    <n v="18"/>
    <s v="Nov"/>
    <n v="1961"/>
    <d v="1961-11-18T00:00:00"/>
    <n v="13616.36"/>
    <s v="tier - 3"/>
    <s v="tier - 3"/>
    <s v="R1024"/>
    <n v="65"/>
    <n v="43.39"/>
  </r>
  <r>
    <x v="1587"/>
    <s v="Shillings,"/>
    <n v="15.08"/>
    <x v="239"/>
    <s v="Yes"/>
    <x v="0"/>
    <x v="1"/>
    <x v="1"/>
    <x v="1"/>
    <x v="3"/>
    <x v="2"/>
    <n v="26"/>
    <s v="Jul"/>
    <n v="1969"/>
    <d v="1969-07-26T00:00:00"/>
    <n v="13622.01"/>
    <s v="tier - 3"/>
    <s v="tier - 3"/>
    <s v="R1012"/>
    <n v="57"/>
    <n v="15.08"/>
  </r>
  <r>
    <x v="1588"/>
    <s v="Tate,"/>
    <n v="20.48"/>
    <x v="304"/>
    <s v="No"/>
    <x v="0"/>
    <x v="0"/>
    <x v="0"/>
    <x v="1"/>
    <x v="2"/>
    <x v="0"/>
    <n v="24"/>
    <s v="Dec"/>
    <n v="1961"/>
    <d v="1961-12-24T00:00:00"/>
    <n v="13635.64"/>
    <s v="tier - 3"/>
    <s v="tier - 3"/>
    <s v="R1024"/>
    <n v="65"/>
    <n v="20.48"/>
  </r>
  <r>
    <x v="1589"/>
    <s v="Arsenault,"/>
    <n v="34.450000000000003"/>
    <x v="224"/>
    <s v="Yes"/>
    <x v="0"/>
    <x v="0"/>
    <x v="0"/>
    <x v="1"/>
    <x v="0"/>
    <x v="2"/>
    <n v="20"/>
    <s v="Jul"/>
    <n v="1984"/>
    <d v="1984-07-20T00:00:00"/>
    <n v="13638.06"/>
    <s v="tier - 3"/>
    <s v="tier - 3"/>
    <s v="R1023"/>
    <n v="42"/>
    <n v="34.450000000000003"/>
  </r>
  <r>
    <x v="1590"/>
    <s v="Hengoed,"/>
    <n v="34.21"/>
    <x v="317"/>
    <s v="Yes"/>
    <x v="0"/>
    <x v="0"/>
    <x v="0"/>
    <x v="1"/>
    <x v="0"/>
    <x v="0"/>
    <n v="4"/>
    <s v="Aug"/>
    <n v="1963"/>
    <d v="1963-08-04T00:00:00"/>
    <n v="13677.68"/>
    <s v="tier - 3"/>
    <s v="tier - 2"/>
    <s v="R1021"/>
    <n v="63"/>
    <n v="34.21"/>
  </r>
  <r>
    <x v="1591"/>
    <s v="Aller,"/>
    <n v="28.8"/>
    <x v="19"/>
    <s v="Yes"/>
    <x v="0"/>
    <x v="0"/>
    <x v="0"/>
    <x v="1"/>
    <x v="1"/>
    <x v="0"/>
    <n v="14"/>
    <s v="Sep"/>
    <n v="1985"/>
    <d v="1985-09-14T00:00:00"/>
    <n v="13685.51"/>
    <s v="tier - 3"/>
    <s v="tier - 1"/>
    <s v="R1026"/>
    <n v="41"/>
    <n v="28.8"/>
  </r>
  <r>
    <x v="1592"/>
    <s v="Pisano,"/>
    <n v="31.74"/>
    <x v="135"/>
    <s v="No"/>
    <x v="0"/>
    <x v="1"/>
    <x v="1"/>
    <x v="1"/>
    <x v="0"/>
    <x v="2"/>
    <n v="24"/>
    <s v="Nov"/>
    <n v="1986"/>
    <d v="1986-11-24T00:00:00"/>
    <n v="13714.55"/>
    <s v="tier - 3"/>
    <s v="tier - 2"/>
    <s v="R1023"/>
    <n v="40"/>
    <n v="31.74"/>
  </r>
  <r>
    <x v="1593"/>
    <s v="Sanca,"/>
    <n v="21.78"/>
    <x v="626"/>
    <s v="Yes"/>
    <x v="0"/>
    <x v="0"/>
    <x v="0"/>
    <x v="1"/>
    <x v="2"/>
    <x v="0"/>
    <n v="2"/>
    <s v="Aug"/>
    <n v="1981"/>
    <d v="1981-08-02T00:00:00"/>
    <n v="13725.47"/>
    <s v="tier - 3"/>
    <s v="tier - 2"/>
    <s v="R1024"/>
    <n v="45"/>
    <n v="21.78"/>
  </r>
  <r>
    <x v="1594"/>
    <s v="Bond,"/>
    <n v="23.75"/>
    <x v="52"/>
    <s v="No"/>
    <x v="0"/>
    <x v="0"/>
    <x v="1"/>
    <x v="1"/>
    <x v="2"/>
    <x v="2"/>
    <n v="29"/>
    <s v="Aug"/>
    <n v="1985"/>
    <d v="1985-08-29T00:00:00"/>
    <n v="13726.21"/>
    <s v="tier - 3"/>
    <s v="tier - 3"/>
    <s v="R1026"/>
    <n v="41"/>
    <n v="23.75"/>
  </r>
  <r>
    <x v="1595"/>
    <s v="Carron,"/>
    <n v="33.21"/>
    <x v="103"/>
    <s v="Yes"/>
    <x v="0"/>
    <x v="0"/>
    <x v="1"/>
    <x v="1"/>
    <x v="0"/>
    <x v="2"/>
    <n v="23"/>
    <s v="Oct"/>
    <n v="1969"/>
    <d v="1969-10-23T00:00:00"/>
    <n v="13746.74"/>
    <s v="tier - 3"/>
    <s v="tier - 2"/>
    <s v="R1026"/>
    <n v="57"/>
    <n v="33.21"/>
  </r>
  <r>
    <x v="1596"/>
    <s v="Ellwanger,"/>
    <n v="17.7"/>
    <x v="580"/>
    <s v="Yes"/>
    <x v="0"/>
    <x v="0"/>
    <x v="1"/>
    <x v="1"/>
    <x v="3"/>
    <x v="0"/>
    <n v="16"/>
    <s v="Jul"/>
    <n v="2004"/>
    <d v="2004-07-16T00:00:00"/>
    <n v="13747.87"/>
    <s v="tier - 3"/>
    <s v="tier - 2"/>
    <s v="R1018"/>
    <n v="22"/>
    <n v="17.7"/>
  </r>
  <r>
    <x v="1597"/>
    <s v="Hanson,"/>
    <n v="17.2"/>
    <x v="586"/>
    <s v="No"/>
    <x v="0"/>
    <x v="0"/>
    <x v="1"/>
    <x v="1"/>
    <x v="3"/>
    <x v="1"/>
    <n v="6"/>
    <s v="Aug"/>
    <n v="1959"/>
    <d v="1959-08-06T00:00:00"/>
    <n v="13770.1"/>
    <s v="tier - 3"/>
    <s v="tier - 1"/>
    <s v="R1012"/>
    <n v="67"/>
    <n v="17.2"/>
  </r>
  <r>
    <x v="1598"/>
    <s v="Tucker,"/>
    <n v="19.21"/>
    <x v="314"/>
    <s v="No"/>
    <x v="0"/>
    <x v="0"/>
    <x v="1"/>
    <x v="1"/>
    <x v="2"/>
    <x v="2"/>
    <n v="10"/>
    <s v="Nov"/>
    <n v="1966"/>
    <d v="1966-11-10T00:00:00"/>
    <n v="13801.61"/>
    <s v="tier - 3"/>
    <s v="tier - 3"/>
    <s v="R1026"/>
    <n v="60"/>
    <n v="19.21"/>
  </r>
  <r>
    <x v="1599"/>
    <s v="Counts,"/>
    <n v="23.2"/>
    <x v="498"/>
    <s v="No"/>
    <x v="0"/>
    <x v="1"/>
    <x v="1"/>
    <x v="1"/>
    <x v="2"/>
    <x v="2"/>
    <n v="8"/>
    <s v="Dec"/>
    <n v="1986"/>
    <d v="1986-12-08T00:00:00"/>
    <n v="13819.49"/>
    <s v="tier - 3"/>
    <s v="tier - 2"/>
    <s v="R1012"/>
    <n v="40"/>
    <n v="23.2"/>
  </r>
  <r>
    <x v="1600"/>
    <s v="Carson,"/>
    <n v="32.5"/>
    <x v="164"/>
    <s v="Yes"/>
    <x v="0"/>
    <x v="1"/>
    <x v="1"/>
    <x v="1"/>
    <x v="0"/>
    <x v="2"/>
    <n v="25"/>
    <s v="Nov"/>
    <n v="1958"/>
    <d v="1958-11-25T00:00:00"/>
    <n v="13822.8"/>
    <s v="tier - 3"/>
    <s v="tier - 3"/>
    <s v="R1011"/>
    <n v="68"/>
    <n v="32.5"/>
  </r>
  <r>
    <x v="1601"/>
    <s v="Haines,"/>
    <n v="20.9"/>
    <x v="455"/>
    <s v="No"/>
    <x v="0"/>
    <x v="0"/>
    <x v="0"/>
    <x v="1"/>
    <x v="2"/>
    <x v="0"/>
    <n v="10"/>
    <s v="Dec"/>
    <n v="1958"/>
    <d v="1958-12-10T00:00:00"/>
    <n v="13831.12"/>
    <s v="tier - 3"/>
    <s v="tier - 1"/>
    <s v="R1013"/>
    <n v="68"/>
    <n v="20.9"/>
  </r>
  <r>
    <x v="1602"/>
    <s v="Schnabel,"/>
    <n v="19.11"/>
    <x v="261"/>
    <s v="No"/>
    <x v="0"/>
    <x v="0"/>
    <x v="1"/>
    <x v="1"/>
    <x v="2"/>
    <x v="2"/>
    <n v="7"/>
    <s v="Jun"/>
    <n v="2003"/>
    <d v="2003-06-07T00:00:00"/>
    <n v="13844.51"/>
    <s v="tier - 2"/>
    <s v="tier - 1"/>
    <s v="R1011"/>
    <n v="23"/>
    <n v="19.11"/>
  </r>
  <r>
    <x v="1603"/>
    <s v="Thind,"/>
    <n v="31.17"/>
    <x v="124"/>
    <s v="No"/>
    <x v="0"/>
    <x v="0"/>
    <x v="1"/>
    <x v="1"/>
    <x v="0"/>
    <x v="2"/>
    <n v="21"/>
    <s v="Jul"/>
    <n v="1960"/>
    <d v="1960-07-21T00:00:00"/>
    <n v="13844.8"/>
    <s v="tier - 2"/>
    <s v="tier - 2"/>
    <s v="R1012"/>
    <n v="66"/>
    <n v="31.17"/>
  </r>
  <r>
    <x v="1604"/>
    <s v="Simon,"/>
    <n v="36.08"/>
    <x v="144"/>
    <s v="No"/>
    <x v="0"/>
    <x v="0"/>
    <x v="0"/>
    <x v="1"/>
    <x v="0"/>
    <x v="2"/>
    <n v="19"/>
    <s v="Dec"/>
    <n v="1978"/>
    <d v="1978-12-19T00:00:00"/>
    <n v="13874.89"/>
    <s v="tier - 2"/>
    <s v="tier - 1"/>
    <s v="R1012"/>
    <n v="48"/>
    <n v="36.08"/>
  </r>
  <r>
    <x v="1605"/>
    <s v="Arciniaga,"/>
    <n v="28.024999999999999"/>
    <x v="362"/>
    <s v="Yes"/>
    <x v="0"/>
    <x v="0"/>
    <x v="0"/>
    <x v="1"/>
    <x v="1"/>
    <x v="2"/>
    <n v="5"/>
    <s v="Oct"/>
    <n v="1959"/>
    <d v="1959-10-05T00:00:00"/>
    <n v="13880.95"/>
    <s v="tier - 2"/>
    <s v="tier - 2"/>
    <s v="R1011"/>
    <n v="67"/>
    <n v="28.024999999999999"/>
  </r>
  <r>
    <x v="1606"/>
    <s v="Ryan,"/>
    <n v="24.32"/>
    <x v="209"/>
    <s v="Yes"/>
    <x v="0"/>
    <x v="0"/>
    <x v="0"/>
    <x v="1"/>
    <x v="2"/>
    <x v="2"/>
    <n v="25"/>
    <s v="Sep"/>
    <n v="1985"/>
    <d v="1985-09-25T00:00:00"/>
    <n v="13886.4"/>
    <s v="tier - 2"/>
    <s v="tier - 2"/>
    <s v="R1012"/>
    <n v="41"/>
    <n v="24.32"/>
  </r>
  <r>
    <x v="1607"/>
    <s v="Lizak,"/>
    <n v="38"/>
    <x v="86"/>
    <s v="Yes"/>
    <x v="0"/>
    <x v="0"/>
    <x v="1"/>
    <x v="1"/>
    <x v="0"/>
    <x v="2"/>
    <n v="29"/>
    <s v="Dec"/>
    <n v="1959"/>
    <d v="1959-12-29T00:00:00"/>
    <n v="13887.2"/>
    <s v="tier - 2"/>
    <s v="tier - 3"/>
    <s v="R1013"/>
    <n v="67"/>
    <n v="38"/>
  </r>
  <r>
    <x v="1608"/>
    <s v="Howery,"/>
    <n v="31.6"/>
    <x v="218"/>
    <s v="Yes"/>
    <x v="0"/>
    <x v="0"/>
    <x v="0"/>
    <x v="1"/>
    <x v="0"/>
    <x v="0"/>
    <n v="7"/>
    <s v="Jul"/>
    <n v="1959"/>
    <d v="1959-07-07T00:00:00"/>
    <n v="13887.97"/>
    <s v="tier - 2"/>
    <s v="tier - 2"/>
    <s v="R1013"/>
    <n v="67"/>
    <n v="31.6"/>
  </r>
  <r>
    <x v="1609"/>
    <s v="Crain,"/>
    <n v="31.02"/>
    <x v="627"/>
    <s v="Yes"/>
    <x v="0"/>
    <x v="0"/>
    <x v="0"/>
    <x v="1"/>
    <x v="0"/>
    <x v="0"/>
    <n v="27"/>
    <s v="Jul"/>
    <n v="1962"/>
    <d v="1962-07-27T00:00:00"/>
    <n v="13919.82"/>
    <s v="tier - 2"/>
    <s v="tier - 2"/>
    <s v="R1013"/>
    <n v="64"/>
    <n v="31.02"/>
  </r>
  <r>
    <x v="1610"/>
    <s v="Hotze,"/>
    <n v="29.26"/>
    <x v="251"/>
    <s v="Yes"/>
    <x v="0"/>
    <x v="0"/>
    <x v="1"/>
    <x v="1"/>
    <x v="1"/>
    <x v="2"/>
    <n v="18"/>
    <s v="Jun"/>
    <n v="1960"/>
    <d v="1960-06-18T00:00:00"/>
    <n v="13937.67"/>
    <s v="tier - 2"/>
    <s v="tier - 1"/>
    <s v="R1012"/>
    <n v="66"/>
    <n v="29.26"/>
  </r>
  <r>
    <x v="1611"/>
    <s v="Chauhan,"/>
    <n v="15.09"/>
    <x v="14"/>
    <s v="Yes"/>
    <x v="0"/>
    <x v="0"/>
    <x v="1"/>
    <x v="1"/>
    <x v="3"/>
    <x v="0"/>
    <n v="29"/>
    <s v="Aug"/>
    <n v="1959"/>
    <d v="1959-08-29T00:00:00"/>
    <n v="13974.46"/>
    <s v="tier - 2"/>
    <s v="tier - 2"/>
    <s v="R1019"/>
    <n v="67"/>
    <n v="15.09"/>
  </r>
  <r>
    <x v="1612"/>
    <s v="Raab,"/>
    <n v="22.63"/>
    <x v="111"/>
    <s v="Yes"/>
    <x v="0"/>
    <x v="0"/>
    <x v="0"/>
    <x v="1"/>
    <x v="2"/>
    <x v="2"/>
    <n v="13"/>
    <s v="Jul"/>
    <n v="1990"/>
    <d v="1990-07-13T00:00:00"/>
    <n v="13979.45"/>
    <s v="tier - 2"/>
    <s v="tier - 1"/>
    <s v="R1023"/>
    <n v="36"/>
    <n v="22.63"/>
  </r>
  <r>
    <x v="1613"/>
    <s v="McKown,"/>
    <n v="23.46"/>
    <x v="139"/>
    <s v="No"/>
    <x v="0"/>
    <x v="0"/>
    <x v="1"/>
    <x v="1"/>
    <x v="2"/>
    <x v="2"/>
    <n v="6"/>
    <s v="Sep"/>
    <n v="1959"/>
    <d v="1959-09-06T00:00:00"/>
    <n v="13981.85"/>
    <s v="tier - 2"/>
    <s v="tier - 1"/>
    <s v="R1016"/>
    <n v="67"/>
    <n v="23.46"/>
  </r>
  <r>
    <x v="1614"/>
    <s v="Schiemann,"/>
    <n v="22.56"/>
    <x v="83"/>
    <s v="Yes"/>
    <x v="0"/>
    <x v="0"/>
    <x v="0"/>
    <x v="1"/>
    <x v="2"/>
    <x v="2"/>
    <n v="23"/>
    <s v="Dec"/>
    <n v="1963"/>
    <d v="1963-12-23T00:00:00"/>
    <n v="14001.13"/>
    <s v="tier - 2"/>
    <s v="tier - 1"/>
    <s v="R1013"/>
    <n v="63"/>
    <n v="22.56"/>
  </r>
  <r>
    <x v="1615"/>
    <s v="Cress,"/>
    <n v="19.28"/>
    <x v="541"/>
    <s v="No"/>
    <x v="0"/>
    <x v="0"/>
    <x v="1"/>
    <x v="1"/>
    <x v="2"/>
    <x v="0"/>
    <n v="6"/>
    <s v="Jul"/>
    <n v="1963"/>
    <d v="1963-07-06T00:00:00"/>
    <n v="14001.29"/>
    <s v="tier - 2"/>
    <s v="tier - 2"/>
    <s v="R1013"/>
    <n v="63"/>
    <n v="19.28"/>
  </r>
  <r>
    <x v="1616"/>
    <s v="Mawson,"/>
    <n v="15.37"/>
    <x v="628"/>
    <s v="Yes"/>
    <x v="0"/>
    <x v="0"/>
    <x v="1"/>
    <x v="1"/>
    <x v="3"/>
    <x v="0"/>
    <n v="8"/>
    <s v="Jul"/>
    <n v="1963"/>
    <d v="1963-07-08T00:00:00"/>
    <n v="14007.22"/>
    <s v="tier - 2"/>
    <s v="tier - 3"/>
    <s v="R1011"/>
    <n v="63"/>
    <n v="15.37"/>
  </r>
  <r>
    <x v="1617"/>
    <s v="Wigginton,"/>
    <n v="18.71"/>
    <x v="318"/>
    <s v="Yes"/>
    <x v="0"/>
    <x v="0"/>
    <x v="0"/>
    <x v="1"/>
    <x v="2"/>
    <x v="2"/>
    <n v="8"/>
    <s v="Nov"/>
    <n v="1960"/>
    <d v="1960-11-08T00:00:00"/>
    <n v="14043.48"/>
    <s v="tier - 2"/>
    <s v="tier - 3"/>
    <s v="R1024"/>
    <n v="66"/>
    <n v="18.71"/>
  </r>
  <r>
    <x v="1618"/>
    <s v="Wang,"/>
    <n v="20.61"/>
    <x v="629"/>
    <s v="No"/>
    <x v="0"/>
    <x v="0"/>
    <x v="0"/>
    <x v="1"/>
    <x v="2"/>
    <x v="0"/>
    <n v="12"/>
    <s v="Sep"/>
    <n v="1991"/>
    <d v="1991-09-12T00:00:00"/>
    <n v="14081.93"/>
    <s v="tier - 2"/>
    <s v="tier - 3"/>
    <s v="R1012"/>
    <n v="35"/>
    <n v="20.61"/>
  </r>
  <r>
    <x v="1619"/>
    <s v="Schroeder,"/>
    <n v="15.99"/>
    <x v="90"/>
    <s v="Yes"/>
    <x v="0"/>
    <x v="1"/>
    <x v="1"/>
    <x v="1"/>
    <x v="3"/>
    <x v="2"/>
    <n v="26"/>
    <s v="Sep"/>
    <n v="1976"/>
    <d v="1976-09-26T00:00:00"/>
    <n v="14098.07"/>
    <s v="tier - 2"/>
    <s v="tier - 3"/>
    <s v="R1023"/>
    <n v="50"/>
    <n v="15.99"/>
  </r>
  <r>
    <x v="1620"/>
    <s v="Leonard,"/>
    <n v="33.155000000000001"/>
    <x v="536"/>
    <s v="No"/>
    <x v="0"/>
    <x v="0"/>
    <x v="0"/>
    <x v="1"/>
    <x v="0"/>
    <x v="2"/>
    <n v="14"/>
    <s v="Jun"/>
    <n v="1961"/>
    <d v="1961-06-14T00:00:00"/>
    <n v="14119.62"/>
    <s v="tier - 2"/>
    <s v="tier - 1"/>
    <s v="R1012"/>
    <n v="65"/>
    <n v="33.155000000000001"/>
  </r>
  <r>
    <x v="1621"/>
    <s v="Tissue,"/>
    <n v="26.22"/>
    <x v="252"/>
    <s v="Yes"/>
    <x v="0"/>
    <x v="1"/>
    <x v="1"/>
    <x v="1"/>
    <x v="1"/>
    <x v="2"/>
    <n v="6"/>
    <s v="Jul"/>
    <n v="2004"/>
    <d v="2004-07-06T00:00:00"/>
    <n v="14133.04"/>
    <s v="tier - 2"/>
    <s v="tier - 3"/>
    <s v="R1013"/>
    <n v="22"/>
    <n v="26.22"/>
  </r>
  <r>
    <x v="1622"/>
    <s v="Wood,"/>
    <n v="21.85"/>
    <x v="273"/>
    <s v="Yes"/>
    <x v="0"/>
    <x v="1"/>
    <x v="1"/>
    <x v="1"/>
    <x v="2"/>
    <x v="2"/>
    <n v="7"/>
    <s v="Jul"/>
    <n v="1984"/>
    <d v="1984-07-07T00:00:00"/>
    <n v="14152.46"/>
    <s v="tier - 2"/>
    <s v="tier - 1"/>
    <s v="R1012"/>
    <n v="42"/>
    <n v="21.85"/>
  </r>
  <r>
    <x v="1623"/>
    <s v="Denny,"/>
    <n v="30.495000000000001"/>
    <x v="178"/>
    <s v="No"/>
    <x v="0"/>
    <x v="0"/>
    <x v="0"/>
    <x v="1"/>
    <x v="0"/>
    <x v="1"/>
    <n v="25"/>
    <s v="Dec"/>
    <n v="1968"/>
    <d v="1968-12-25T00:00:00"/>
    <n v="14193.55"/>
    <s v="tier - 2"/>
    <s v="tier - 1"/>
    <s v="R1026"/>
    <n v="58"/>
    <n v="30.495000000000001"/>
  </r>
  <r>
    <x v="1624"/>
    <s v="Testa,"/>
    <n v="34.104999999999997"/>
    <x v="215"/>
    <s v="Yes"/>
    <x v="0"/>
    <x v="0"/>
    <x v="0"/>
    <x v="1"/>
    <x v="0"/>
    <x v="2"/>
    <n v="17"/>
    <s v="Nov"/>
    <n v="1983"/>
    <d v="1983-11-17T00:00:00"/>
    <n v="14209.4"/>
    <s v="tier - 2"/>
    <s v="tier - 1"/>
    <s v="R1026"/>
    <n v="43"/>
    <n v="34.104999999999997"/>
  </r>
  <r>
    <x v="1625"/>
    <s v="Mooney,"/>
    <n v="32.770000000000003"/>
    <x v="611"/>
    <s v="Yes"/>
    <x v="0"/>
    <x v="0"/>
    <x v="1"/>
    <x v="1"/>
    <x v="0"/>
    <x v="2"/>
    <n v="21"/>
    <s v="Sep"/>
    <n v="1958"/>
    <d v="1958-09-21T00:00:00"/>
    <n v="14210.54"/>
    <s v="tier - 2"/>
    <s v="tier - 2"/>
    <s v="R1012"/>
    <n v="68"/>
    <n v="32.770000000000003"/>
  </r>
  <r>
    <x v="1626"/>
    <s v="Buchholtz,"/>
    <n v="16.850000000000001"/>
    <x v="35"/>
    <s v="Yes"/>
    <x v="0"/>
    <x v="0"/>
    <x v="1"/>
    <x v="1"/>
    <x v="3"/>
    <x v="0"/>
    <n v="25"/>
    <s v="Sep"/>
    <n v="1961"/>
    <d v="1961-09-25T00:00:00"/>
    <n v="14235.07"/>
    <s v="tier - 2"/>
    <s v="tier - 1"/>
    <s v="R1011"/>
    <n v="65"/>
    <n v="16.850000000000001"/>
  </r>
  <r>
    <x v="1627"/>
    <s v="Hoyt,"/>
    <n v="34.700000000000003"/>
    <x v="87"/>
    <s v="No"/>
    <x v="0"/>
    <x v="0"/>
    <x v="1"/>
    <x v="1"/>
    <x v="0"/>
    <x v="1"/>
    <n v="10"/>
    <s v="Oct"/>
    <n v="1959"/>
    <d v="1959-10-10T00:00:00"/>
    <n v="14254.61"/>
    <s v="tier - 2"/>
    <s v="tier - 1"/>
    <s v="R1012"/>
    <n v="67"/>
    <n v="34.700000000000003"/>
  </r>
  <r>
    <x v="1628"/>
    <s v="Cabada,"/>
    <n v="37.049999999999997"/>
    <x v="233"/>
    <s v="No"/>
    <x v="0"/>
    <x v="0"/>
    <x v="1"/>
    <x v="1"/>
    <x v="0"/>
    <x v="2"/>
    <n v="8"/>
    <s v="Nov"/>
    <n v="1959"/>
    <d v="1959-11-08T00:00:00"/>
    <n v="14256.19"/>
    <s v="tier - 2"/>
    <s v="tier - 3"/>
    <s v="R1012"/>
    <n v="67"/>
    <n v="37.049999999999997"/>
  </r>
  <r>
    <x v="1629"/>
    <s v="Lobaciute,"/>
    <n v="18.78"/>
    <x v="150"/>
    <s v="No"/>
    <x v="0"/>
    <x v="1"/>
    <x v="1"/>
    <x v="1"/>
    <x v="2"/>
    <x v="2"/>
    <n v="26"/>
    <s v="Dec"/>
    <n v="1974"/>
    <d v="1974-12-26T00:00:00"/>
    <n v="14256.79"/>
    <s v="tier - 2"/>
    <s v="tier - 2"/>
    <s v="R1026"/>
    <n v="52"/>
    <n v="18.78"/>
  </r>
  <r>
    <x v="1630"/>
    <s v="Dawes,"/>
    <n v="28.024999999999999"/>
    <x v="96"/>
    <s v="No"/>
    <x v="0"/>
    <x v="0"/>
    <x v="1"/>
    <x v="1"/>
    <x v="1"/>
    <x v="0"/>
    <n v="13"/>
    <s v="Jul"/>
    <n v="1972"/>
    <d v="1972-07-13T00:00:00"/>
    <n v="14258.33"/>
    <s v="tier - 2"/>
    <s v="tier - 2"/>
    <s v="R1026"/>
    <n v="54"/>
    <n v="28.024999999999999"/>
  </r>
  <r>
    <x v="1631"/>
    <s v="Deppen,"/>
    <n v="35.090000000000003"/>
    <x v="85"/>
    <s v="No"/>
    <x v="0"/>
    <x v="0"/>
    <x v="0"/>
    <x v="1"/>
    <x v="0"/>
    <x v="1"/>
    <n v="6"/>
    <s v="Sep"/>
    <n v="2004"/>
    <d v="2004-09-06T00:00:00"/>
    <n v="14283.46"/>
    <s v="tier - 2"/>
    <s v="tier - 2"/>
    <s v="R1024"/>
    <n v="22"/>
    <n v="35.090000000000003"/>
  </r>
  <r>
    <x v="1632"/>
    <s v="Oberndorfer,"/>
    <n v="34.42"/>
    <x v="127"/>
    <s v="Yes"/>
    <x v="0"/>
    <x v="0"/>
    <x v="0"/>
    <x v="1"/>
    <x v="0"/>
    <x v="2"/>
    <n v="15"/>
    <s v="Dec"/>
    <n v="1968"/>
    <d v="1968-12-15T00:00:00"/>
    <n v="14285.9"/>
    <s v="tier - 2"/>
    <s v="tier - 3"/>
    <s v="R1012"/>
    <n v="58"/>
    <n v="34.42"/>
  </r>
  <r>
    <x v="1633"/>
    <s v="Hetherington,"/>
    <n v="29.4"/>
    <x v="228"/>
    <s v="No"/>
    <x v="0"/>
    <x v="0"/>
    <x v="0"/>
    <x v="1"/>
    <x v="1"/>
    <x v="2"/>
    <n v="15"/>
    <s v="Oct"/>
    <n v="1958"/>
    <d v="1958-10-15T00:00:00"/>
    <n v="14313.85"/>
    <s v="tier - 2"/>
    <s v="tier - 3"/>
    <s v="R1013"/>
    <n v="68"/>
    <n v="29.4"/>
  </r>
  <r>
    <x v="1634"/>
    <s v="Murray,"/>
    <n v="21.31"/>
    <x v="547"/>
    <s v="No"/>
    <x v="0"/>
    <x v="0"/>
    <x v="0"/>
    <x v="1"/>
    <x v="2"/>
    <x v="2"/>
    <n v="10"/>
    <s v="Jul"/>
    <n v="1958"/>
    <d v="1958-07-10T00:00:00"/>
    <n v="14319.03"/>
    <s v="tier - 2"/>
    <s v="tier - 2"/>
    <s v="R1011"/>
    <n v="68"/>
    <n v="21.31"/>
  </r>
  <r>
    <x v="1635"/>
    <s v="Higden,"/>
    <n v="19.559999999999999"/>
    <x v="497"/>
    <s v="No"/>
    <x v="0"/>
    <x v="0"/>
    <x v="0"/>
    <x v="1"/>
    <x v="2"/>
    <x v="0"/>
    <n v="26"/>
    <s v="Sep"/>
    <n v="1969"/>
    <d v="1969-09-26T00:00:00"/>
    <n v="14337.91"/>
    <s v="tier - 2"/>
    <s v="tier - 3"/>
    <s v="R1022"/>
    <n v="57"/>
    <n v="19.559999999999999"/>
  </r>
  <r>
    <x v="1636"/>
    <s v="Rediger,"/>
    <n v="37.335000000000001"/>
    <x v="106"/>
    <s v="Yes"/>
    <x v="0"/>
    <x v="0"/>
    <x v="1"/>
    <x v="1"/>
    <x v="0"/>
    <x v="1"/>
    <n v="24"/>
    <s v="Dec"/>
    <n v="1959"/>
    <d v="1959-12-24T00:00:00"/>
    <n v="14349.85"/>
    <s v="tier - 2"/>
    <s v="tier - 2"/>
    <s v="R1012"/>
    <n v="67"/>
    <n v="37.335000000000001"/>
  </r>
  <r>
    <x v="1637"/>
    <s v="Huff,"/>
    <n v="19.53"/>
    <x v="41"/>
    <s v="No"/>
    <x v="0"/>
    <x v="0"/>
    <x v="0"/>
    <x v="1"/>
    <x v="2"/>
    <x v="0"/>
    <n v="10"/>
    <s v="Oct"/>
    <n v="1967"/>
    <d v="1967-10-10T00:00:00"/>
    <n v="14355.43"/>
    <s v="tier - 2"/>
    <s v="tier - 1"/>
    <s v="R1026"/>
    <n v="59"/>
    <n v="19.53"/>
  </r>
  <r>
    <x v="1638"/>
    <s v="Hall,"/>
    <n v="34.1"/>
    <x v="360"/>
    <s v="No"/>
    <x v="0"/>
    <x v="0"/>
    <x v="0"/>
    <x v="1"/>
    <x v="0"/>
    <x v="2"/>
    <n v="16"/>
    <s v="Nov"/>
    <n v="1988"/>
    <d v="1988-11-16T00:00:00"/>
    <n v="14358.36"/>
    <s v="tier - 2"/>
    <s v="tier - 2"/>
    <s v="R1011"/>
    <n v="38"/>
    <n v="34.1"/>
  </r>
  <r>
    <x v="1639"/>
    <s v="Grise,"/>
    <n v="16.5"/>
    <x v="450"/>
    <s v="Yes"/>
    <x v="0"/>
    <x v="0"/>
    <x v="1"/>
    <x v="1"/>
    <x v="3"/>
    <x v="0"/>
    <n v="16"/>
    <s v="Jul"/>
    <n v="1963"/>
    <d v="1963-07-16T00:00:00"/>
    <n v="14382.71"/>
    <s v="tier - 2"/>
    <s v="tier - 2"/>
    <s v="R1012"/>
    <n v="63"/>
    <n v="16.5"/>
  </r>
  <r>
    <x v="1640"/>
    <s v="Skildum,"/>
    <n v="30.69"/>
    <x v="249"/>
    <s v="No"/>
    <x v="0"/>
    <x v="0"/>
    <x v="1"/>
    <x v="1"/>
    <x v="0"/>
    <x v="2"/>
    <n v="22"/>
    <s v="Jun"/>
    <n v="1965"/>
    <d v="1965-06-22T00:00:00"/>
    <n v="14394.4"/>
    <s v="tier - 2"/>
    <s v="tier - 3"/>
    <s v="R1024"/>
    <n v="61"/>
    <n v="30.69"/>
  </r>
  <r>
    <x v="1641"/>
    <s v="Yang,"/>
    <n v="28.93"/>
    <x v="189"/>
    <s v="No"/>
    <x v="0"/>
    <x v="0"/>
    <x v="1"/>
    <x v="1"/>
    <x v="1"/>
    <x v="2"/>
    <n v="14"/>
    <s v="Sep"/>
    <n v="1958"/>
    <d v="1958-09-14T00:00:00"/>
    <n v="14394.56"/>
    <s v="tier - 2"/>
    <s v="tier - 1"/>
    <s v="R1018"/>
    <n v="68"/>
    <n v="28.93"/>
  </r>
  <r>
    <x v="1642"/>
    <s v="Fischer-Daly,"/>
    <n v="38.9"/>
    <x v="141"/>
    <s v="No"/>
    <x v="0"/>
    <x v="0"/>
    <x v="0"/>
    <x v="1"/>
    <x v="0"/>
    <x v="2"/>
    <n v="29"/>
    <s v="Jul"/>
    <n v="1958"/>
    <d v="1958-07-29T00:00:00"/>
    <n v="14410.93"/>
    <s v="tier - 2"/>
    <s v="tier - 2"/>
    <s v="R1016"/>
    <n v="68"/>
    <n v="38.9"/>
  </r>
  <r>
    <x v="1643"/>
    <s v="Asher,"/>
    <n v="26.9"/>
    <x v="212"/>
    <s v="No"/>
    <x v="0"/>
    <x v="0"/>
    <x v="0"/>
    <x v="1"/>
    <x v="1"/>
    <x v="2"/>
    <n v="20"/>
    <s v="Sep"/>
    <n v="1958"/>
    <d v="1958-09-20T00:00:00"/>
    <n v="14418.28"/>
    <s v="tier - 2"/>
    <s v="tier - 3"/>
    <s v="R1013"/>
    <n v="68"/>
    <n v="26.9"/>
  </r>
  <r>
    <x v="1644"/>
    <s v="Zhou,"/>
    <n v="24.86"/>
    <x v="195"/>
    <s v="No"/>
    <x v="0"/>
    <x v="0"/>
    <x v="0"/>
    <x v="1"/>
    <x v="2"/>
    <x v="1"/>
    <n v="10"/>
    <s v="Aug"/>
    <n v="1999"/>
    <d v="1999-08-10T00:00:00"/>
    <n v="14426.07"/>
    <s v="tier - 2"/>
    <s v="tier - 1"/>
    <s v="R1012"/>
    <n v="27"/>
    <n v="24.86"/>
  </r>
  <r>
    <x v="1645"/>
    <s v="Rudder,"/>
    <n v="39.14"/>
    <x v="149"/>
    <s v="No"/>
    <x v="1"/>
    <x v="0"/>
    <x v="1"/>
    <x v="1"/>
    <x v="0"/>
    <x v="1"/>
    <n v="15"/>
    <s v="Aug"/>
    <n v="1967"/>
    <d v="1967-08-15T00:00:00"/>
    <n v="14426.66"/>
    <s v="tier - 2"/>
    <s v="tier - 2"/>
    <s v="R1026"/>
    <n v="59"/>
    <n v="39.14"/>
  </r>
  <r>
    <x v="1646"/>
    <s v="Cartmell,"/>
    <n v="39.799999999999997"/>
    <x v="330"/>
    <s v="No"/>
    <x v="0"/>
    <x v="1"/>
    <x v="1"/>
    <x v="1"/>
    <x v="0"/>
    <x v="1"/>
    <n v="4"/>
    <s v="Nov"/>
    <n v="1967"/>
    <d v="1967-11-04T00:00:00"/>
    <n v="14427.63"/>
    <s v="tier - 2"/>
    <s v="tier - 2"/>
    <s v="R1021"/>
    <n v="59"/>
    <n v="39.799999999999997"/>
  </r>
  <r>
    <x v="1647"/>
    <s v="Troland,"/>
    <n v="34.32"/>
    <x v="360"/>
    <s v="No"/>
    <x v="0"/>
    <x v="0"/>
    <x v="1"/>
    <x v="1"/>
    <x v="0"/>
    <x v="2"/>
    <n v="29"/>
    <s v="Jun"/>
    <n v="1959"/>
    <d v="1959-06-29T00:00:00"/>
    <n v="14449.85"/>
    <s v="tier - 2"/>
    <s v="tier - 1"/>
    <s v="R1024"/>
    <n v="67"/>
    <n v="34.32"/>
  </r>
  <r>
    <x v="1648"/>
    <s v="Hall,"/>
    <n v="32.51"/>
    <x v="167"/>
    <s v="No"/>
    <x v="0"/>
    <x v="0"/>
    <x v="0"/>
    <x v="1"/>
    <x v="0"/>
    <x v="2"/>
    <n v="3"/>
    <s v="Aug"/>
    <n v="1959"/>
    <d v="1959-08-03T00:00:00"/>
    <n v="14451.84"/>
    <s v="tier - 2"/>
    <s v="tier - 3"/>
    <s v="R1023"/>
    <n v="67"/>
    <n v="32.51"/>
  </r>
  <r>
    <x v="1649"/>
    <s v="Berg,"/>
    <n v="30.71"/>
    <x v="105"/>
    <s v="No"/>
    <x v="0"/>
    <x v="1"/>
    <x v="1"/>
    <x v="1"/>
    <x v="0"/>
    <x v="1"/>
    <n v="10"/>
    <s v="Nov"/>
    <n v="1996"/>
    <d v="1996-11-10T00:00:00"/>
    <n v="14455.64"/>
    <s v="tier - 2"/>
    <s v="tier - 3"/>
    <s v="R1024"/>
    <n v="30"/>
    <n v="30.71"/>
  </r>
  <r>
    <x v="1650"/>
    <s v="Engtrakul,"/>
    <n v="28.9"/>
    <x v="331"/>
    <s v="No"/>
    <x v="0"/>
    <x v="0"/>
    <x v="1"/>
    <x v="1"/>
    <x v="1"/>
    <x v="2"/>
    <n v="27"/>
    <s v="Nov"/>
    <n v="1976"/>
    <d v="1976-11-27T00:00:00"/>
    <n v="14470.01"/>
    <s v="tier - 2"/>
    <s v="tier - 3"/>
    <s v="R1012"/>
    <n v="50"/>
    <n v="28.9"/>
  </r>
  <r>
    <x v="1651"/>
    <s v="Leonhardt,"/>
    <n v="36.19"/>
    <x v="167"/>
    <s v="No"/>
    <x v="0"/>
    <x v="0"/>
    <x v="0"/>
    <x v="1"/>
    <x v="0"/>
    <x v="2"/>
    <n v="20"/>
    <s v="Nov"/>
    <n v="1959"/>
    <d v="1959-11-20T00:00:00"/>
    <n v="14474.68"/>
    <s v="tier - 2"/>
    <s v="tier - 2"/>
    <s v="R1013"/>
    <n v="67"/>
    <n v="36.19"/>
  </r>
  <r>
    <x v="1652"/>
    <s v="Goetz,"/>
    <n v="29.6"/>
    <x v="197"/>
    <s v="No"/>
    <x v="0"/>
    <x v="0"/>
    <x v="0"/>
    <x v="1"/>
    <x v="1"/>
    <x v="2"/>
    <n v="20"/>
    <s v="Oct"/>
    <n v="1979"/>
    <d v="1979-10-20T00:00:00"/>
    <n v="14478.33"/>
    <s v="tier - 2"/>
    <s v="tier - 2"/>
    <s v="R1013"/>
    <n v="47"/>
    <n v="29.6"/>
  </r>
  <r>
    <x v="1653"/>
    <s v="Cacharelis,"/>
    <n v="30.95"/>
    <x v="128"/>
    <s v="No"/>
    <x v="0"/>
    <x v="1"/>
    <x v="1"/>
    <x v="1"/>
    <x v="0"/>
    <x v="1"/>
    <n v="22"/>
    <s v="Jul"/>
    <n v="1989"/>
    <d v="1989-07-22T00:00:00"/>
    <n v="14507.46"/>
    <s v="tier - 2"/>
    <s v="tier - 3"/>
    <s v="R1012"/>
    <n v="37"/>
    <n v="30.95"/>
  </r>
  <r>
    <x v="1654"/>
    <s v="Kariolis,"/>
    <n v="19.95"/>
    <x v="125"/>
    <s v="No"/>
    <x v="0"/>
    <x v="0"/>
    <x v="1"/>
    <x v="1"/>
    <x v="2"/>
    <x v="2"/>
    <n v="14"/>
    <s v="Jul"/>
    <n v="1989"/>
    <d v="1989-07-14T00:00:00"/>
    <n v="14547.26"/>
    <s v="tier - 2"/>
    <s v="tier - 3"/>
    <s v="R1011"/>
    <n v="37"/>
    <n v="19.95"/>
  </r>
  <r>
    <x v="1655"/>
    <s v="Zelwin,"/>
    <n v="23.65"/>
    <x v="56"/>
    <s v="Yes"/>
    <x v="0"/>
    <x v="0"/>
    <x v="0"/>
    <x v="1"/>
    <x v="2"/>
    <x v="1"/>
    <n v="12"/>
    <s v="Sep"/>
    <n v="1998"/>
    <d v="1998-09-12T00:00:00"/>
    <n v="14571.89"/>
    <s v="tier - 2"/>
    <s v="tier - 1"/>
    <s v="R1024"/>
    <n v="28"/>
    <n v="23.65"/>
  </r>
  <r>
    <x v="1656"/>
    <s v="Barry,"/>
    <n v="43.34"/>
    <x v="468"/>
    <s v="No"/>
    <x v="0"/>
    <x v="0"/>
    <x v="1"/>
    <x v="1"/>
    <x v="0"/>
    <x v="2"/>
    <n v="3"/>
    <s v="Dec"/>
    <n v="1962"/>
    <d v="1962-12-03T00:00:00"/>
    <n v="14574.64"/>
    <s v="tier - 2"/>
    <s v="tier - 1"/>
    <s v="R1025"/>
    <n v="64"/>
    <n v="43.34"/>
  </r>
  <r>
    <x v="1657"/>
    <s v="Bannon,"/>
    <n v="31.98"/>
    <x v="135"/>
    <s v="Yes"/>
    <x v="0"/>
    <x v="0"/>
    <x v="1"/>
    <x v="1"/>
    <x v="0"/>
    <x v="2"/>
    <n v="14"/>
    <s v="Oct"/>
    <n v="1963"/>
    <d v="1963-10-14T00:00:00"/>
    <n v="14590.63"/>
    <s v="tier - 2"/>
    <s v="tier - 1"/>
    <s v="R1024"/>
    <n v="63"/>
    <n v="31.98"/>
  </r>
  <r>
    <x v="1658"/>
    <s v="Chang,"/>
    <n v="35.86"/>
    <x v="21"/>
    <s v="No"/>
    <x v="0"/>
    <x v="0"/>
    <x v="1"/>
    <x v="1"/>
    <x v="0"/>
    <x v="1"/>
    <n v="18"/>
    <s v="Jul"/>
    <n v="1967"/>
    <d v="1967-07-18T00:00:00"/>
    <n v="14600.62"/>
    <s v="tier - 2"/>
    <s v="tier - 3"/>
    <s v="R1022"/>
    <n v="59"/>
    <n v="35.86"/>
  </r>
  <r>
    <x v="1659"/>
    <s v="Vetter,"/>
    <n v="15.2"/>
    <x v="163"/>
    <s v="No"/>
    <x v="0"/>
    <x v="0"/>
    <x v="0"/>
    <x v="1"/>
    <x v="3"/>
    <x v="0"/>
    <n v="8"/>
    <s v="Nov"/>
    <n v="1965"/>
    <d v="1965-11-08T00:00:00"/>
    <n v="14612.33"/>
    <s v="tier - 2"/>
    <s v="tier - 3"/>
    <s v="R1021"/>
    <n v="61"/>
    <n v="15.2"/>
  </r>
  <r>
    <x v="1660"/>
    <s v="Jablonski,"/>
    <n v="37.200000000000003"/>
    <x v="415"/>
    <s v="No"/>
    <x v="0"/>
    <x v="0"/>
    <x v="0"/>
    <x v="1"/>
    <x v="0"/>
    <x v="0"/>
    <n v="21"/>
    <s v="Aug"/>
    <n v="1991"/>
    <d v="1991-08-21T00:00:00"/>
    <n v="14630.52"/>
    <s v="tier - 2"/>
    <s v="tier - 3"/>
    <s v="R1011"/>
    <n v="35"/>
    <n v="37.200000000000003"/>
  </r>
  <r>
    <x v="1661"/>
    <s v="Jakubowitch,"/>
    <n v="17.91"/>
    <x v="495"/>
    <s v="No"/>
    <x v="0"/>
    <x v="0"/>
    <x v="1"/>
    <x v="1"/>
    <x v="3"/>
    <x v="2"/>
    <n v="1"/>
    <s v="Sep"/>
    <n v="1967"/>
    <d v="1967-09-01T00:00:00"/>
    <n v="14640.35"/>
    <s v="tier - 2"/>
    <s v="tier - 3"/>
    <s v="R1026"/>
    <n v="59"/>
    <n v="17.91"/>
  </r>
  <r>
    <x v="1662"/>
    <s v="Altshuler,"/>
    <n v="20.76"/>
    <x v="106"/>
    <s v="No"/>
    <x v="0"/>
    <x v="0"/>
    <x v="0"/>
    <x v="1"/>
    <x v="2"/>
    <x v="1"/>
    <n v="13"/>
    <s v="Nov"/>
    <n v="1981"/>
    <d v="1981-11-13T00:00:00"/>
    <n v="14657.2"/>
    <s v="tier - 2"/>
    <s v="tier - 1"/>
    <s v="R1012"/>
    <n v="45"/>
    <n v="20.76"/>
  </r>
  <r>
    <x v="1663"/>
    <s v="Ugarte,"/>
    <n v="38.99"/>
    <x v="127"/>
    <s v="No"/>
    <x v="1"/>
    <x v="0"/>
    <x v="1"/>
    <x v="1"/>
    <x v="0"/>
    <x v="2"/>
    <n v="20"/>
    <s v="Oct"/>
    <n v="1969"/>
    <d v="1969-10-20T00:00:00"/>
    <n v="14665.75"/>
    <s v="tier - 2"/>
    <s v="tier - 1"/>
    <s v="R1012"/>
    <n v="57"/>
    <n v="38.99"/>
  </r>
  <r>
    <x v="1664"/>
    <s v="Tusso,"/>
    <n v="42.655000000000001"/>
    <x v="423"/>
    <s v="Yes"/>
    <x v="0"/>
    <x v="1"/>
    <x v="1"/>
    <x v="1"/>
    <x v="0"/>
    <x v="1"/>
    <n v="23"/>
    <s v="Jul"/>
    <n v="1958"/>
    <d v="1958-07-23T00:00:00"/>
    <n v="14692.67"/>
    <s v="tier - 2"/>
    <s v="tier - 1"/>
    <s v="R1012"/>
    <n v="68"/>
    <n v="42.655000000000001"/>
  </r>
  <r>
    <x v="1665"/>
    <s v="Johnson,"/>
    <n v="30.57"/>
    <x v="45"/>
    <s v="No"/>
    <x v="0"/>
    <x v="1"/>
    <x v="1"/>
    <x v="1"/>
    <x v="0"/>
    <x v="2"/>
    <n v="4"/>
    <s v="Sep"/>
    <n v="1982"/>
    <d v="1982-09-04T00:00:00"/>
    <n v="14696.77"/>
    <s v="tier - 2"/>
    <s v="tier - 2"/>
    <s v="R1011"/>
    <n v="44"/>
    <n v="30.57"/>
  </r>
  <r>
    <x v="1666"/>
    <s v="Landry,"/>
    <n v="17.7"/>
    <x v="245"/>
    <s v="No"/>
    <x v="0"/>
    <x v="0"/>
    <x v="1"/>
    <x v="1"/>
    <x v="3"/>
    <x v="1"/>
    <n v="24"/>
    <s v="Sep"/>
    <n v="2002"/>
    <d v="2002-09-24T00:00:00"/>
    <n v="14711.74"/>
    <s v="tier - 2"/>
    <s v="tier - 2"/>
    <s v="R1012"/>
    <n v="24"/>
    <n v="17.7"/>
  </r>
  <r>
    <x v="1667"/>
    <s v="McDonald,"/>
    <n v="34.770000000000003"/>
    <x v="47"/>
    <s v="No"/>
    <x v="0"/>
    <x v="0"/>
    <x v="1"/>
    <x v="1"/>
    <x v="0"/>
    <x v="2"/>
    <n v="29"/>
    <s v="Jul"/>
    <n v="1962"/>
    <d v="1962-07-29T00:00:00"/>
    <n v="14738.43"/>
    <s v="tier - 2"/>
    <s v="tier - 3"/>
    <s v="R1021"/>
    <n v="64"/>
    <n v="34.770000000000003"/>
  </r>
  <r>
    <x v="1668"/>
    <s v="Dunlap,"/>
    <n v="16.88"/>
    <x v="529"/>
    <s v="No"/>
    <x v="0"/>
    <x v="0"/>
    <x v="0"/>
    <x v="1"/>
    <x v="3"/>
    <x v="0"/>
    <n v="27"/>
    <s v="Jul"/>
    <n v="1965"/>
    <d v="1965-07-27T00:00:00"/>
    <n v="14750.42"/>
    <s v="tier - 2"/>
    <s v="tier - 2"/>
    <s v="R1026"/>
    <n v="61"/>
    <n v="16.88"/>
  </r>
  <r>
    <x v="1669"/>
    <s v="Larue,"/>
    <n v="40.26"/>
    <x v="630"/>
    <s v="Yes"/>
    <x v="0"/>
    <x v="0"/>
    <x v="0"/>
    <x v="1"/>
    <x v="0"/>
    <x v="0"/>
    <n v="10"/>
    <s v="Dec"/>
    <n v="1975"/>
    <d v="1975-12-10T00:00:00"/>
    <n v="14819"/>
    <s v="tier - 2"/>
    <s v="tier - 3"/>
    <s v="R1023"/>
    <n v="51"/>
    <n v="40.26"/>
  </r>
  <r>
    <x v="1670"/>
    <s v="Hodge,"/>
    <n v="25.6"/>
    <x v="100"/>
    <s v="No"/>
    <x v="0"/>
    <x v="1"/>
    <x v="1"/>
    <x v="1"/>
    <x v="1"/>
    <x v="1"/>
    <n v="18"/>
    <s v="Oct"/>
    <n v="1979"/>
    <d v="1979-10-18T00:00:00"/>
    <n v="14839.34"/>
    <s v="tier - 2"/>
    <s v="tier - 3"/>
    <s v="R1026"/>
    <n v="47"/>
    <n v="25.6"/>
  </r>
  <r>
    <x v="1671"/>
    <s v="Marcus,"/>
    <n v="33.549999999999997"/>
    <x v="332"/>
    <s v="Yes"/>
    <x v="0"/>
    <x v="0"/>
    <x v="0"/>
    <x v="1"/>
    <x v="0"/>
    <x v="0"/>
    <n v="5"/>
    <s v="Jun"/>
    <n v="1981"/>
    <d v="1981-06-05T00:00:00"/>
    <n v="14843.96"/>
    <s v="tier - 2"/>
    <s v="tier - 3"/>
    <s v="R1026"/>
    <n v="45"/>
    <n v="33.549999999999997"/>
  </r>
  <r>
    <x v="1672"/>
    <s v="Daubert,"/>
    <n v="16.690000000000001"/>
    <x v="624"/>
    <s v="No"/>
    <x v="0"/>
    <x v="0"/>
    <x v="0"/>
    <x v="1"/>
    <x v="3"/>
    <x v="0"/>
    <n v="11"/>
    <s v="Nov"/>
    <n v="1970"/>
    <d v="1970-11-11T00:00:00"/>
    <n v="14847.63"/>
    <s v="tier - 2"/>
    <s v="tier - 2"/>
    <s v="R1023"/>
    <n v="56"/>
    <n v="16.690000000000001"/>
  </r>
  <r>
    <x v="1673"/>
    <s v="Close,"/>
    <n v="19.95"/>
    <x v="456"/>
    <s v="No"/>
    <x v="0"/>
    <x v="0"/>
    <x v="1"/>
    <x v="1"/>
    <x v="2"/>
    <x v="2"/>
    <n v="17"/>
    <s v="Oct"/>
    <n v="1958"/>
    <d v="1958-10-17T00:00:00"/>
    <n v="14901.52"/>
    <s v="tier - 2"/>
    <s v="tier - 2"/>
    <s v="R1024"/>
    <n v="68"/>
    <n v="19.95"/>
  </r>
  <r>
    <x v="1674"/>
    <s v="Roels,"/>
    <n v="17.55"/>
    <x v="80"/>
    <s v="No"/>
    <x v="0"/>
    <x v="0"/>
    <x v="1"/>
    <x v="1"/>
    <x v="3"/>
    <x v="2"/>
    <n v="4"/>
    <s v="Jul"/>
    <n v="1981"/>
    <d v="1981-07-04T00:00:00"/>
    <n v="14908.27"/>
    <s v="tier - 2"/>
    <s v="tier - 1"/>
    <s v="R1011"/>
    <n v="45"/>
    <n v="17.55"/>
  </r>
  <r>
    <x v="1675"/>
    <s v="Venosky,"/>
    <n v="22.01"/>
    <x v="170"/>
    <s v="No"/>
    <x v="0"/>
    <x v="0"/>
    <x v="1"/>
    <x v="1"/>
    <x v="2"/>
    <x v="2"/>
    <n v="8"/>
    <s v="Nov"/>
    <n v="1968"/>
    <d v="1968-11-08T00:00:00"/>
    <n v="14926.97"/>
    <s v="tier - 2"/>
    <s v="tier - 2"/>
    <s v="R1012"/>
    <n v="58"/>
    <n v="22.01"/>
  </r>
  <r>
    <x v="1676"/>
    <s v="Gosnell,"/>
    <n v="41.8"/>
    <x v="99"/>
    <s v="Yes"/>
    <x v="0"/>
    <x v="1"/>
    <x v="1"/>
    <x v="1"/>
    <x v="0"/>
    <x v="1"/>
    <n v="29"/>
    <s v="Nov"/>
    <n v="1962"/>
    <d v="1962-11-29T00:00:00"/>
    <n v="14945.34"/>
    <s v="tier - 2"/>
    <s v="tier - 1"/>
    <s v="R1021"/>
    <n v="64"/>
    <n v="41.8"/>
  </r>
  <r>
    <x v="1677"/>
    <s v="Chewning-Kulick,"/>
    <n v="19.170000000000002"/>
    <x v="566"/>
    <s v="No"/>
    <x v="0"/>
    <x v="0"/>
    <x v="0"/>
    <x v="1"/>
    <x v="2"/>
    <x v="0"/>
    <n v="29"/>
    <s v="Jul"/>
    <n v="1958"/>
    <d v="1958-07-29T00:00:00"/>
    <n v="14988.43"/>
    <s v="tier - 2"/>
    <s v="tier - 3"/>
    <s v="R1011"/>
    <n v="68"/>
    <n v="19.170000000000002"/>
  </r>
  <r>
    <x v="1678"/>
    <s v="McCarron,"/>
    <n v="32.799999999999997"/>
    <x v="631"/>
    <s v="Yes"/>
    <x v="0"/>
    <x v="1"/>
    <x v="1"/>
    <x v="1"/>
    <x v="0"/>
    <x v="1"/>
    <n v="2"/>
    <s v="Aug"/>
    <n v="1995"/>
    <d v="1995-08-02T00:00:00"/>
    <n v="15006.58"/>
    <s v="tier - 2"/>
    <s v="tier - 2"/>
    <s v="R1024"/>
    <n v="31"/>
    <n v="32.799999999999997"/>
  </r>
  <r>
    <x v="1679"/>
    <s v="Manion,"/>
    <n v="35.814999999999998"/>
    <x v="324"/>
    <s v="No"/>
    <x v="0"/>
    <x v="0"/>
    <x v="1"/>
    <x v="1"/>
    <x v="0"/>
    <x v="2"/>
    <n v="8"/>
    <s v="Aug"/>
    <n v="1960"/>
    <d v="1960-08-08T00:00:00"/>
    <n v="15019.76"/>
    <s v="tier - 2"/>
    <s v="tier - 2"/>
    <s v="R1012"/>
    <n v="66"/>
    <n v="35.814999999999998"/>
  </r>
  <r>
    <x v="1680"/>
    <s v="Strong,"/>
    <n v="24.3"/>
    <x v="195"/>
    <s v="No"/>
    <x v="0"/>
    <x v="0"/>
    <x v="0"/>
    <x v="1"/>
    <x v="2"/>
    <x v="1"/>
    <n v="25"/>
    <s v="Nov"/>
    <n v="1979"/>
    <d v="1979-11-25T00:00:00"/>
    <n v="15025.76"/>
    <s v="tier - 2"/>
    <s v="tier - 1"/>
    <s v="R1011"/>
    <n v="47"/>
    <n v="24.3"/>
  </r>
  <r>
    <x v="1681"/>
    <s v="Leblanc,"/>
    <n v="19.059999999999999"/>
    <x v="532"/>
    <s v="No"/>
    <x v="0"/>
    <x v="0"/>
    <x v="0"/>
    <x v="1"/>
    <x v="2"/>
    <x v="0"/>
    <n v="11"/>
    <s v="Sep"/>
    <n v="1970"/>
    <d v="1970-09-11T00:00:00"/>
    <n v="15026.3"/>
    <s v="tier - 2"/>
    <s v="tier - 3"/>
    <s v="R1011"/>
    <n v="56"/>
    <n v="19.059999999999999"/>
  </r>
  <r>
    <x v="1682"/>
    <s v="Palmer,"/>
    <n v="33.25"/>
    <x v="133"/>
    <s v="Yes"/>
    <x v="0"/>
    <x v="0"/>
    <x v="1"/>
    <x v="1"/>
    <x v="0"/>
    <x v="2"/>
    <n v="15"/>
    <s v="Aug"/>
    <n v="1971"/>
    <d v="1971-08-15T00:00:00"/>
    <n v="15038.51"/>
    <s v="tier - 2"/>
    <s v="tier - 3"/>
    <s v="R1023"/>
    <n v="55"/>
    <n v="33.25"/>
  </r>
  <r>
    <x v="1683"/>
    <s v="Shen,"/>
    <n v="21.37"/>
    <x v="117"/>
    <s v="Yes"/>
    <x v="0"/>
    <x v="1"/>
    <x v="1"/>
    <x v="1"/>
    <x v="2"/>
    <x v="2"/>
    <n v="12"/>
    <s v="Jun"/>
    <n v="1968"/>
    <d v="1968-06-12T00:00:00"/>
    <n v="15052.68"/>
    <s v="tier - 2"/>
    <s v="tier - 2"/>
    <s v="R1022"/>
    <n v="58"/>
    <n v="21.37"/>
  </r>
  <r>
    <x v="1684"/>
    <s v="Goldsby,"/>
    <n v="34.43"/>
    <x v="632"/>
    <s v="Yes"/>
    <x v="0"/>
    <x v="0"/>
    <x v="1"/>
    <x v="1"/>
    <x v="0"/>
    <x v="0"/>
    <n v="26"/>
    <s v="Oct"/>
    <n v="1975"/>
    <d v="1975-10-26T00:00:00"/>
    <n v="15090.35"/>
    <s v="tier - 2"/>
    <s v="tier - 1"/>
    <s v="R1023"/>
    <n v="51"/>
    <n v="34.43"/>
  </r>
  <r>
    <x v="1685"/>
    <s v="Whitney,"/>
    <n v="20.86"/>
    <x v="67"/>
    <s v="Yes"/>
    <x v="0"/>
    <x v="0"/>
    <x v="0"/>
    <x v="1"/>
    <x v="2"/>
    <x v="2"/>
    <n v="7"/>
    <s v="Nov"/>
    <n v="1972"/>
    <d v="1972-11-07T00:00:00"/>
    <n v="15103.69"/>
    <s v="tier - 2"/>
    <s v="tier - 1"/>
    <s v="R1012"/>
    <n v="54"/>
    <n v="20.86"/>
  </r>
  <r>
    <x v="1686"/>
    <s v="Mahoney,"/>
    <n v="18.34"/>
    <x v="561"/>
    <s v="No"/>
    <x v="0"/>
    <x v="0"/>
    <x v="0"/>
    <x v="1"/>
    <x v="3"/>
    <x v="0"/>
    <n v="5"/>
    <s v="Sep"/>
    <n v="1978"/>
    <d v="1978-09-05T00:00:00"/>
    <n v="15123.19"/>
    <s v="tier - 2"/>
    <s v="tier - 1"/>
    <s v="R1011"/>
    <n v="48"/>
    <n v="18.34"/>
  </r>
  <r>
    <x v="1687"/>
    <s v="McCracken,"/>
    <n v="34.15"/>
    <x v="140"/>
    <s v="No"/>
    <x v="0"/>
    <x v="0"/>
    <x v="0"/>
    <x v="1"/>
    <x v="0"/>
    <x v="2"/>
    <n v="25"/>
    <s v="Nov"/>
    <n v="1971"/>
    <d v="1971-11-25T00:00:00"/>
    <n v="15150.44"/>
    <s v="tier - 2"/>
    <s v="tier - 1"/>
    <s v="R1023"/>
    <n v="55"/>
    <n v="34.15"/>
  </r>
  <r>
    <x v="1688"/>
    <s v="Spewak,"/>
    <n v="18.350000000000001"/>
    <x v="89"/>
    <s v="No"/>
    <x v="0"/>
    <x v="0"/>
    <x v="0"/>
    <x v="1"/>
    <x v="3"/>
    <x v="2"/>
    <n v="25"/>
    <s v="Oct"/>
    <n v="1962"/>
    <d v="1962-10-25T00:00:00"/>
    <n v="15161.25"/>
    <s v="tier - 2"/>
    <s v="tier - 2"/>
    <s v="R1012"/>
    <n v="64"/>
    <n v="18.350000000000001"/>
  </r>
  <r>
    <x v="1689"/>
    <s v="Cottini,"/>
    <n v="22.13"/>
    <x v="77"/>
    <s v="Yes"/>
    <x v="0"/>
    <x v="0"/>
    <x v="0"/>
    <x v="1"/>
    <x v="2"/>
    <x v="0"/>
    <n v="4"/>
    <s v="Jun"/>
    <n v="1959"/>
    <d v="1959-06-04T00:00:00"/>
    <n v="15161.53"/>
    <s v="tier - 2"/>
    <s v="tier - 1"/>
    <s v="R1013"/>
    <n v="67"/>
    <n v="22.13"/>
  </r>
  <r>
    <x v="1690"/>
    <s v="Findlay,"/>
    <n v="22.51"/>
    <x v="633"/>
    <s v="Yes"/>
    <x v="0"/>
    <x v="0"/>
    <x v="1"/>
    <x v="1"/>
    <x v="2"/>
    <x v="1"/>
    <n v="3"/>
    <s v="Dec"/>
    <n v="1959"/>
    <d v="1959-12-03T00:00:00"/>
    <n v="15170.07"/>
    <s v="tier - 2"/>
    <s v="tier - 3"/>
    <s v="R1011"/>
    <n v="67"/>
    <n v="22.51"/>
  </r>
  <r>
    <x v="1691"/>
    <s v="Strasburg,"/>
    <n v="31"/>
    <x v="370"/>
    <s v="No"/>
    <x v="0"/>
    <x v="0"/>
    <x v="1"/>
    <x v="1"/>
    <x v="0"/>
    <x v="2"/>
    <n v="17"/>
    <s v="Jun"/>
    <n v="1962"/>
    <d v="1962-06-17T00:00:00"/>
    <n v="15174.81"/>
    <s v="tier - 2"/>
    <s v="tier - 1"/>
    <s v="R1012"/>
    <n v="64"/>
    <n v="31"/>
  </r>
  <r>
    <x v="1692"/>
    <s v="Adams,"/>
    <n v="28.27"/>
    <x v="471"/>
    <s v="No"/>
    <x v="0"/>
    <x v="0"/>
    <x v="1"/>
    <x v="1"/>
    <x v="1"/>
    <x v="2"/>
    <n v="23"/>
    <s v="Nov"/>
    <n v="1978"/>
    <d v="1978-11-23T00:00:00"/>
    <n v="15207.92"/>
    <s v="tier - 2"/>
    <s v="tier - 1"/>
    <s v="R1012"/>
    <n v="48"/>
    <n v="28.27"/>
  </r>
  <r>
    <x v="1693"/>
    <s v="Deeter,"/>
    <n v="29.92"/>
    <x v="269"/>
    <s v="Yes"/>
    <x v="0"/>
    <x v="0"/>
    <x v="1"/>
    <x v="1"/>
    <x v="1"/>
    <x v="0"/>
    <n v="25"/>
    <s v="Jul"/>
    <n v="1960"/>
    <d v="1960-07-25T00:00:00"/>
    <n v="15230.32"/>
    <s v="tier - 2"/>
    <s v="tier - 2"/>
    <s v="R1024"/>
    <n v="66"/>
    <n v="29.92"/>
  </r>
  <r>
    <x v="1694"/>
    <s v="Arpin,"/>
    <n v="25.9"/>
    <x v="436"/>
    <s v="Yes"/>
    <x v="0"/>
    <x v="0"/>
    <x v="1"/>
    <x v="1"/>
    <x v="1"/>
    <x v="0"/>
    <n v="16"/>
    <s v="Sep"/>
    <n v="1969"/>
    <d v="1969-09-16T00:00:00"/>
    <n v="15260.52"/>
    <s v="tier - 2"/>
    <s v="tier - 2"/>
    <s v="R1023"/>
    <n v="57"/>
    <n v="25.9"/>
  </r>
  <r>
    <x v="1695"/>
    <s v="Schoeneck,"/>
    <n v="27.74"/>
    <x v="179"/>
    <s v="Yes"/>
    <x v="0"/>
    <x v="0"/>
    <x v="1"/>
    <x v="1"/>
    <x v="1"/>
    <x v="0"/>
    <n v="13"/>
    <s v="Dec"/>
    <n v="1963"/>
    <d v="1963-12-13T00:00:00"/>
    <n v="15322.77"/>
    <s v="tier - 2"/>
    <s v="tier - 3"/>
    <s v="R1021"/>
    <n v="63"/>
    <n v="27.74"/>
  </r>
  <r>
    <x v="1696"/>
    <s v="Mueller,"/>
    <n v="17.260000000000002"/>
    <x v="634"/>
    <s v="No"/>
    <x v="0"/>
    <x v="0"/>
    <x v="1"/>
    <x v="1"/>
    <x v="3"/>
    <x v="0"/>
    <n v="14"/>
    <s v="Jul"/>
    <n v="2001"/>
    <d v="2001-07-14T00:00:00"/>
    <n v="15359.1"/>
    <s v="tier - 2"/>
    <s v="tier - 3"/>
    <s v="R1024"/>
    <n v="25"/>
    <n v="17.260000000000002"/>
  </r>
  <r>
    <x v="1697"/>
    <s v="Willits,"/>
    <n v="19.855"/>
    <x v="635"/>
    <s v="Yes"/>
    <x v="0"/>
    <x v="0"/>
    <x v="1"/>
    <x v="1"/>
    <x v="2"/>
    <x v="0"/>
    <n v="17"/>
    <s v="Dec"/>
    <n v="1988"/>
    <d v="1988-12-17T00:00:00"/>
    <n v="15361.5"/>
    <s v="tier - 2"/>
    <s v="tier - 3"/>
    <s v="R1023"/>
    <n v="38"/>
    <n v="19.855"/>
  </r>
  <r>
    <x v="1698"/>
    <s v="Syring,"/>
    <n v="41.69"/>
    <x v="123"/>
    <s v="No"/>
    <x v="0"/>
    <x v="0"/>
    <x v="0"/>
    <x v="1"/>
    <x v="0"/>
    <x v="1"/>
    <n v="18"/>
    <s v="Jul"/>
    <n v="1968"/>
    <d v="1968-07-18T00:00:00"/>
    <n v="15363.77"/>
    <s v="tier - 2"/>
    <s v="tier - 1"/>
    <s v="R1026"/>
    <n v="58"/>
    <n v="41.69"/>
  </r>
  <r>
    <x v="1699"/>
    <s v="Strike,"/>
    <n v="16.12"/>
    <x v="444"/>
    <s v="No"/>
    <x v="0"/>
    <x v="0"/>
    <x v="0"/>
    <x v="1"/>
    <x v="3"/>
    <x v="0"/>
    <n v="6"/>
    <s v="Sep"/>
    <n v="1962"/>
    <d v="1962-09-06T00:00:00"/>
    <n v="15368.22"/>
    <s v="tier - 2"/>
    <s v="tier - 2"/>
    <s v="R1011"/>
    <n v="64"/>
    <n v="16.12"/>
  </r>
  <r>
    <x v="1700"/>
    <s v="Hennigar,"/>
    <n v="37.43"/>
    <x v="193"/>
    <s v="No"/>
    <x v="0"/>
    <x v="0"/>
    <x v="1"/>
    <x v="1"/>
    <x v="0"/>
    <x v="2"/>
    <n v="4"/>
    <s v="Sep"/>
    <n v="1964"/>
    <d v="1964-09-04T00:00:00"/>
    <n v="15377.77"/>
    <s v="tier - 2"/>
    <s v="tier - 2"/>
    <s v="R1012"/>
    <n v="62"/>
    <n v="37.43"/>
  </r>
  <r>
    <x v="1701"/>
    <s v="May,"/>
    <n v="31.065000000000001"/>
    <x v="268"/>
    <s v="No"/>
    <x v="0"/>
    <x v="0"/>
    <x v="0"/>
    <x v="1"/>
    <x v="0"/>
    <x v="1"/>
    <n v="25"/>
    <s v="Oct"/>
    <n v="1990"/>
    <d v="1990-10-25T00:00:00"/>
    <n v="15440.2"/>
    <s v="tier - 2"/>
    <s v="tier - 1"/>
    <s v="R1012"/>
    <n v="36"/>
    <n v="31.065000000000001"/>
  </r>
  <r>
    <x v="1702"/>
    <s v="Metcalf,"/>
    <n v="25.08"/>
    <x v="370"/>
    <s v="No"/>
    <x v="0"/>
    <x v="0"/>
    <x v="0"/>
    <x v="1"/>
    <x v="1"/>
    <x v="2"/>
    <n v="20"/>
    <s v="Jul"/>
    <n v="1976"/>
    <d v="1976-07-20T00:00:00"/>
    <n v="15450.48"/>
    <s v="tier - 2"/>
    <s v="tier - 1"/>
    <s v="R1026"/>
    <n v="50"/>
    <n v="25.08"/>
  </r>
  <r>
    <x v="1703"/>
    <s v="Tiska,"/>
    <n v="15.2"/>
    <x v="567"/>
    <s v="Yes"/>
    <x v="0"/>
    <x v="0"/>
    <x v="1"/>
    <x v="1"/>
    <x v="3"/>
    <x v="0"/>
    <n v="17"/>
    <s v="Jul"/>
    <n v="2004"/>
    <d v="2004-07-17T00:00:00"/>
    <n v="15518.18"/>
    <s v="tier - 2"/>
    <s v="tier - 3"/>
    <s v="R1015"/>
    <n v="22"/>
    <n v="15.2"/>
  </r>
  <r>
    <x v="1704"/>
    <s v="McDonough,"/>
    <n v="22.34"/>
    <x v="27"/>
    <s v="Yes"/>
    <x v="0"/>
    <x v="0"/>
    <x v="0"/>
    <x v="1"/>
    <x v="2"/>
    <x v="2"/>
    <n v="28"/>
    <s v="Jun"/>
    <n v="1974"/>
    <d v="1974-06-28T00:00:00"/>
    <n v="15532.16"/>
    <s v="tier - 2"/>
    <s v="tier - 2"/>
    <s v="R1026"/>
    <n v="52"/>
    <n v="22.34"/>
  </r>
  <r>
    <x v="1705"/>
    <s v="Fairley,"/>
    <n v="40.15"/>
    <x v="620"/>
    <s v="No"/>
    <x v="0"/>
    <x v="0"/>
    <x v="1"/>
    <x v="1"/>
    <x v="0"/>
    <x v="1"/>
    <n v="2"/>
    <s v="Oct"/>
    <n v="1959"/>
    <d v="1959-10-02T00:00:00"/>
    <n v="15555.19"/>
    <s v="tier - 2"/>
    <s v="tier - 3"/>
    <s v="R1012"/>
    <n v="67"/>
    <n v="40.15"/>
  </r>
  <r>
    <x v="1706"/>
    <s v="Barnett,"/>
    <n v="37.729999999999997"/>
    <x v="109"/>
    <s v="No"/>
    <x v="0"/>
    <x v="0"/>
    <x v="1"/>
    <x v="1"/>
    <x v="0"/>
    <x v="1"/>
    <n v="30"/>
    <s v="Jul"/>
    <n v="1974"/>
    <d v="1974-07-30T00:00:00"/>
    <n v="15556.67"/>
    <s v="tier - 2"/>
    <s v="tier - 2"/>
    <s v="R1012"/>
    <n v="52"/>
    <n v="37.729999999999997"/>
  </r>
  <r>
    <x v="1707"/>
    <s v="Piasta,"/>
    <n v="25.35"/>
    <x v="166"/>
    <s v="No"/>
    <x v="0"/>
    <x v="0"/>
    <x v="0"/>
    <x v="1"/>
    <x v="1"/>
    <x v="2"/>
    <n v="28"/>
    <s v="Oct"/>
    <n v="1965"/>
    <d v="1965-10-28T00:00:00"/>
    <n v="15608.58"/>
    <s v="tier - 2"/>
    <s v="tier - 2"/>
    <s v="R1026"/>
    <n v="61"/>
    <n v="25.35"/>
  </r>
  <r>
    <x v="1708"/>
    <s v="Mueller,"/>
    <n v="26.41"/>
    <x v="103"/>
    <s v="Yes"/>
    <x v="0"/>
    <x v="0"/>
    <x v="1"/>
    <x v="1"/>
    <x v="1"/>
    <x v="2"/>
    <n v="6"/>
    <s v="Jun"/>
    <n v="1960"/>
    <d v="1960-06-06T00:00:00"/>
    <n v="15612.19"/>
    <s v="tier - 2"/>
    <s v="tier - 2"/>
    <s v="R1012"/>
    <n v="66"/>
    <n v="26.41"/>
  </r>
  <r>
    <x v="1709"/>
    <s v="Olsen,"/>
    <n v="27.6"/>
    <x v="196"/>
    <s v="No"/>
    <x v="0"/>
    <x v="0"/>
    <x v="1"/>
    <x v="1"/>
    <x v="1"/>
    <x v="2"/>
    <n v="22"/>
    <s v="Dec"/>
    <n v="1988"/>
    <d v="1988-12-22T00:00:00"/>
    <n v="15646.28"/>
    <s v="tier - 2"/>
    <s v="tier - 2"/>
    <s v="R1011"/>
    <n v="38"/>
    <n v="27.6"/>
  </r>
  <r>
    <x v="1710"/>
    <s v="De"/>
    <n v="33.82"/>
    <x v="636"/>
    <s v="Yes"/>
    <x v="0"/>
    <x v="0"/>
    <x v="1"/>
    <x v="1"/>
    <x v="0"/>
    <x v="0"/>
    <n v="26"/>
    <s v="Jun"/>
    <n v="1973"/>
    <d v="1973-06-26T00:00:00"/>
    <n v="15670.3"/>
    <s v="tier - 2"/>
    <s v="tier - 2"/>
    <s v="R1026"/>
    <n v="53"/>
    <n v="33.82"/>
  </r>
  <r>
    <x v="1711"/>
    <s v="Bartus,"/>
    <n v="32.9"/>
    <x v="261"/>
    <s v="No"/>
    <x v="0"/>
    <x v="0"/>
    <x v="0"/>
    <x v="1"/>
    <x v="0"/>
    <x v="2"/>
    <n v="20"/>
    <s v="Sep"/>
    <n v="1976"/>
    <d v="1976-09-20T00:00:00"/>
    <n v="15698.86"/>
    <s v="tier - 2"/>
    <s v="tier - 2"/>
    <s v="R1012"/>
    <n v="50"/>
    <n v="32.9"/>
  </r>
  <r>
    <x v="1712"/>
    <s v="Stevens,"/>
    <n v="30.875"/>
    <x v="114"/>
    <s v="Yes"/>
    <x v="0"/>
    <x v="0"/>
    <x v="1"/>
    <x v="1"/>
    <x v="0"/>
    <x v="0"/>
    <n v="29"/>
    <s v="Aug"/>
    <n v="1974"/>
    <d v="1974-08-29T00:00:00"/>
    <n v="15746.62"/>
    <s v="tier - 2"/>
    <s v="tier - 1"/>
    <s v="R1012"/>
    <n v="52"/>
    <n v="30.875"/>
  </r>
  <r>
    <x v="1713"/>
    <s v="Rich,"/>
    <n v="32.64"/>
    <x v="119"/>
    <s v="No"/>
    <x v="0"/>
    <x v="0"/>
    <x v="0"/>
    <x v="1"/>
    <x v="0"/>
    <x v="1"/>
    <n v="9"/>
    <s v="Oct"/>
    <n v="1997"/>
    <d v="1997-10-09T00:00:00"/>
    <n v="15817.99"/>
    <s v="tier - 2"/>
    <s v="tier - 2"/>
    <s v="R1012"/>
    <n v="29"/>
    <n v="32.64"/>
  </r>
  <r>
    <x v="1714"/>
    <s v="Fayter,"/>
    <n v="22.135000000000002"/>
    <x v="199"/>
    <s v="No"/>
    <x v="0"/>
    <x v="0"/>
    <x v="0"/>
    <x v="1"/>
    <x v="2"/>
    <x v="2"/>
    <n v="26"/>
    <s v="Jun"/>
    <n v="1984"/>
    <d v="1984-06-26T00:00:00"/>
    <n v="15820.7"/>
    <s v="tier - 2"/>
    <s v="tier - 3"/>
    <s v="R1011"/>
    <n v="42"/>
    <n v="22.135000000000002"/>
  </r>
  <r>
    <x v="1715"/>
    <s v="Parise,"/>
    <n v="16.53"/>
    <x v="31"/>
    <s v="No"/>
    <x v="0"/>
    <x v="0"/>
    <x v="1"/>
    <x v="1"/>
    <x v="3"/>
    <x v="2"/>
    <n v="11"/>
    <s v="Nov"/>
    <n v="1982"/>
    <d v="1982-11-11T00:00:00"/>
    <n v="15828.82"/>
    <s v="tier - 2"/>
    <s v="tier - 3"/>
    <s v="R1011"/>
    <n v="44"/>
    <n v="16.53"/>
  </r>
  <r>
    <x v="1716"/>
    <s v="Andrew,"/>
    <n v="32.774999999999999"/>
    <x v="503"/>
    <s v="No"/>
    <x v="0"/>
    <x v="0"/>
    <x v="0"/>
    <x v="1"/>
    <x v="0"/>
    <x v="2"/>
    <n v="25"/>
    <s v="Dec"/>
    <n v="1962"/>
    <d v="1962-12-25T00:00:00"/>
    <n v="15840.81"/>
    <s v="tier - 2"/>
    <s v="tier - 1"/>
    <s v="R1022"/>
    <n v="64"/>
    <n v="32.774999999999999"/>
  </r>
  <r>
    <x v="1717"/>
    <s v="Gryniewicz,"/>
    <n v="30.9"/>
    <x v="3"/>
    <s v="No"/>
    <x v="0"/>
    <x v="0"/>
    <x v="1"/>
    <x v="1"/>
    <x v="0"/>
    <x v="1"/>
    <n v="12"/>
    <s v="Oct"/>
    <n v="1980"/>
    <d v="1980-10-12T00:00:00"/>
    <n v="15922.29"/>
    <s v="tier - 2"/>
    <s v="tier - 3"/>
    <s v="R1026"/>
    <n v="46"/>
    <n v="30.9"/>
  </r>
  <r>
    <x v="1718"/>
    <s v="Panora,"/>
    <n v="15.58"/>
    <x v="162"/>
    <s v="No"/>
    <x v="0"/>
    <x v="0"/>
    <x v="0"/>
    <x v="1"/>
    <x v="3"/>
    <x v="0"/>
    <n v="24"/>
    <s v="Jul"/>
    <n v="1982"/>
    <d v="1982-07-24T00:00:00"/>
    <n v="15965.29"/>
    <s v="tier - 2"/>
    <s v="tier - 1"/>
    <s v="R1012"/>
    <n v="44"/>
    <n v="15.58"/>
  </r>
  <r>
    <x v="1719"/>
    <s v="Woodward,"/>
    <n v="26.315000000000001"/>
    <x v="136"/>
    <s v="No"/>
    <x v="0"/>
    <x v="0"/>
    <x v="0"/>
    <x v="1"/>
    <x v="1"/>
    <x v="1"/>
    <n v="19"/>
    <s v="Sep"/>
    <n v="1980"/>
    <d v="1980-09-19T00:00:00"/>
    <n v="15966.19"/>
    <s v="tier - 2"/>
    <s v="tier - 2"/>
    <s v="R1012"/>
    <n v="46"/>
    <n v="26.315000000000001"/>
  </r>
  <r>
    <x v="1720"/>
    <s v="Lambe,"/>
    <n v="35.61"/>
    <x v="120"/>
    <s v="No"/>
    <x v="1"/>
    <x v="0"/>
    <x v="1"/>
    <x v="1"/>
    <x v="0"/>
    <x v="2"/>
    <n v="5"/>
    <s v="Dec"/>
    <n v="1988"/>
    <d v="1988-12-05T00:00:00"/>
    <n v="16059.06"/>
    <s v="tier - 2"/>
    <s v="tier - 3"/>
    <s v="R1012"/>
    <n v="38"/>
    <n v="35.61"/>
  </r>
  <r>
    <x v="1721"/>
    <s v="Casto,"/>
    <n v="37.56"/>
    <x v="169"/>
    <s v="No"/>
    <x v="1"/>
    <x v="0"/>
    <x v="1"/>
    <x v="1"/>
    <x v="0"/>
    <x v="1"/>
    <n v="16"/>
    <s v="Sep"/>
    <n v="1978"/>
    <d v="1978-09-16T00:00:00"/>
    <n v="16062.89"/>
    <s v="tier - 2"/>
    <s v="tier - 2"/>
    <s v="R1026"/>
    <n v="48"/>
    <n v="37.56"/>
  </r>
  <r>
    <x v="1722"/>
    <s v="Martelli,"/>
    <n v="15.49"/>
    <x v="326"/>
    <s v="No"/>
    <x v="0"/>
    <x v="0"/>
    <x v="0"/>
    <x v="1"/>
    <x v="3"/>
    <x v="0"/>
    <n v="22"/>
    <s v="Oct"/>
    <n v="1958"/>
    <d v="1958-10-22T00:00:00"/>
    <n v="16069.08"/>
    <s v="tier - 2"/>
    <s v="tier - 2"/>
    <s v="R1024"/>
    <n v="68"/>
    <n v="15.49"/>
  </r>
  <r>
    <x v="1723"/>
    <s v="Naskret,"/>
    <n v="23.48"/>
    <x v="149"/>
    <s v="No"/>
    <x v="0"/>
    <x v="0"/>
    <x v="1"/>
    <x v="1"/>
    <x v="2"/>
    <x v="1"/>
    <n v="21"/>
    <s v="Jun"/>
    <n v="1958"/>
    <d v="1958-06-21T00:00:00"/>
    <n v="16085.13"/>
    <s v="tier - 2"/>
    <s v="tier - 2"/>
    <s v="R1013"/>
    <n v="68"/>
    <n v="23.48"/>
  </r>
  <r>
    <x v="1724"/>
    <s v="Morgan,"/>
    <n v="30.02"/>
    <x v="280"/>
    <s v="Yes"/>
    <x v="0"/>
    <x v="0"/>
    <x v="1"/>
    <x v="1"/>
    <x v="0"/>
    <x v="0"/>
    <n v="27"/>
    <s v="Aug"/>
    <n v="1985"/>
    <d v="1985-08-27T00:00:00"/>
    <n v="16097.94"/>
    <s v="tier - 2"/>
    <s v="tier - 3"/>
    <s v="R1012"/>
    <n v="41"/>
    <n v="30.02"/>
  </r>
  <r>
    <x v="1725"/>
    <s v="Maloney,"/>
    <n v="26.885000000000002"/>
    <x v="262"/>
    <s v="Yes"/>
    <x v="0"/>
    <x v="0"/>
    <x v="1"/>
    <x v="1"/>
    <x v="1"/>
    <x v="0"/>
    <n v="8"/>
    <s v="Aug"/>
    <n v="1993"/>
    <d v="1993-08-08T00:00:00"/>
    <n v="16115.3"/>
    <s v="tier - 2"/>
    <s v="tier - 1"/>
    <s v="R1024"/>
    <n v="33"/>
    <n v="26.885000000000002"/>
  </r>
  <r>
    <x v="1726"/>
    <s v="Amherst,"/>
    <n v="25.84"/>
    <x v="637"/>
    <s v="Yes"/>
    <x v="0"/>
    <x v="0"/>
    <x v="1"/>
    <x v="1"/>
    <x v="1"/>
    <x v="0"/>
    <n v="6"/>
    <s v="Oct"/>
    <n v="1987"/>
    <d v="1987-10-06T00:00:00"/>
    <n v="16122.65"/>
    <s v="tier - 2"/>
    <s v="tier - 1"/>
    <s v="R1011"/>
    <n v="39"/>
    <n v="25.84"/>
  </r>
  <r>
    <x v="1727"/>
    <s v="Davenport,"/>
    <n v="27.454999999999998"/>
    <x v="117"/>
    <s v="No"/>
    <x v="0"/>
    <x v="0"/>
    <x v="0"/>
    <x v="1"/>
    <x v="1"/>
    <x v="2"/>
    <n v="12"/>
    <s v="Dec"/>
    <n v="1993"/>
    <d v="1993-12-12T00:00:00"/>
    <n v="16138.76"/>
    <s v="tier - 2"/>
    <s v="tier - 3"/>
    <s v="R1017"/>
    <n v="33"/>
    <n v="27.454999999999998"/>
  </r>
  <r>
    <x v="1728"/>
    <s v="Johansen,"/>
    <n v="24.605"/>
    <x v="155"/>
    <s v="No"/>
    <x v="0"/>
    <x v="0"/>
    <x v="0"/>
    <x v="1"/>
    <x v="2"/>
    <x v="1"/>
    <n v="6"/>
    <s v="Jul"/>
    <n v="1982"/>
    <d v="1982-07-06T00:00:00"/>
    <n v="16152.04"/>
    <s v="tier - 2"/>
    <s v="tier - 1"/>
    <s v="R1026"/>
    <n v="44"/>
    <n v="24.605"/>
  </r>
  <r>
    <x v="1729"/>
    <s v="Bond,"/>
    <n v="30.8"/>
    <x v="103"/>
    <s v="No"/>
    <x v="0"/>
    <x v="0"/>
    <x v="0"/>
    <x v="1"/>
    <x v="0"/>
    <x v="2"/>
    <n v="11"/>
    <s v="Sep"/>
    <n v="1974"/>
    <d v="1974-09-11T00:00:00"/>
    <n v="16190.97"/>
    <s v="tier - 2"/>
    <s v="tier - 3"/>
    <s v="R1012"/>
    <n v="52"/>
    <n v="30.8"/>
  </r>
  <r>
    <x v="1730"/>
    <s v="Reilly,"/>
    <n v="34.799999999999997"/>
    <x v="24"/>
    <s v="No"/>
    <x v="0"/>
    <x v="0"/>
    <x v="1"/>
    <x v="1"/>
    <x v="0"/>
    <x v="2"/>
    <n v="6"/>
    <s v="Aug"/>
    <n v="1988"/>
    <d v="1988-08-06T00:00:00"/>
    <n v="16199.1"/>
    <s v="tier - 2"/>
    <s v="tier - 2"/>
    <s v="R1012"/>
    <n v="38"/>
    <n v="34.799999999999997"/>
  </r>
  <r>
    <x v="1731"/>
    <s v="Chandler,"/>
    <n v="34.21"/>
    <x v="117"/>
    <s v="No"/>
    <x v="0"/>
    <x v="0"/>
    <x v="1"/>
    <x v="1"/>
    <x v="0"/>
    <x v="2"/>
    <n v="21"/>
    <s v="Aug"/>
    <n v="1988"/>
    <d v="1988-08-21T00:00:00"/>
    <n v="16205.88"/>
    <s v="tier - 2"/>
    <s v="tier - 1"/>
    <s v="R1012"/>
    <n v="38"/>
    <n v="34.21"/>
  </r>
  <r>
    <x v="1732"/>
    <s v="Kaufmann,"/>
    <n v="31"/>
    <x v="623"/>
    <s v="No"/>
    <x v="0"/>
    <x v="0"/>
    <x v="1"/>
    <x v="1"/>
    <x v="0"/>
    <x v="2"/>
    <n v="8"/>
    <s v="Sep"/>
    <n v="2002"/>
    <d v="2002-09-08T00:00:00"/>
    <n v="16232.85"/>
    <s v="tier - 2"/>
    <s v="tier - 1"/>
    <s v="R1011"/>
    <n v="24"/>
    <n v="31"/>
  </r>
  <r>
    <x v="1733"/>
    <s v="Barnes-Zurkinden,"/>
    <n v="26.125"/>
    <x v="122"/>
    <s v="No"/>
    <x v="0"/>
    <x v="0"/>
    <x v="1"/>
    <x v="1"/>
    <x v="1"/>
    <x v="2"/>
    <n v="30"/>
    <s v="Jul"/>
    <n v="1972"/>
    <d v="1972-07-30T00:00:00"/>
    <n v="16267.32"/>
    <s v="tier - 2"/>
    <s v="tier - 2"/>
    <s v="R1023"/>
    <n v="54"/>
    <n v="26.125"/>
  </r>
  <r>
    <x v="1734"/>
    <s v="Wolter,"/>
    <n v="30.13"/>
    <x v="79"/>
    <s v="Yes"/>
    <x v="0"/>
    <x v="0"/>
    <x v="1"/>
    <x v="1"/>
    <x v="0"/>
    <x v="2"/>
    <n v="24"/>
    <s v="Aug"/>
    <n v="2003"/>
    <d v="2003-08-24T00:00:00"/>
    <n v="16297.85"/>
    <s v="tier - 2"/>
    <s v="tier - 3"/>
    <s v="R1011"/>
    <n v="23"/>
    <n v="30.13"/>
  </r>
  <r>
    <x v="1735"/>
    <s v="Pearson,"/>
    <n v="34.19"/>
    <x v="40"/>
    <s v="No"/>
    <x v="0"/>
    <x v="0"/>
    <x v="0"/>
    <x v="1"/>
    <x v="0"/>
    <x v="2"/>
    <n v="8"/>
    <s v="Aug"/>
    <n v="1969"/>
    <d v="1969-08-08T00:00:00"/>
    <n v="16311.05"/>
    <s v="tier - 2"/>
    <s v="tier - 3"/>
    <s v="R1026"/>
    <n v="57"/>
    <n v="34.19"/>
  </r>
  <r>
    <x v="1736"/>
    <s v="Thomas,"/>
    <n v="22.515000000000001"/>
    <x v="161"/>
    <s v="No"/>
    <x v="0"/>
    <x v="1"/>
    <x v="1"/>
    <x v="1"/>
    <x v="2"/>
    <x v="2"/>
    <n v="5"/>
    <s v="Dec"/>
    <n v="1965"/>
    <d v="1965-12-05T00:00:00"/>
    <n v="16351.42"/>
    <s v="tier - 2"/>
    <s v="tier - 3"/>
    <s v="R1026"/>
    <n v="61"/>
    <n v="22.515000000000001"/>
  </r>
  <r>
    <x v="1737"/>
    <s v="Leon,"/>
    <n v="18.239999999999998"/>
    <x v="389"/>
    <s v="Yes"/>
    <x v="0"/>
    <x v="1"/>
    <x v="1"/>
    <x v="1"/>
    <x v="3"/>
    <x v="2"/>
    <n v="28"/>
    <s v="Sep"/>
    <n v="1995"/>
    <d v="1995-09-28T00:00:00"/>
    <n v="16420.490000000002"/>
    <s v="tier - 2"/>
    <s v="tier - 3"/>
    <s v="R1012"/>
    <n v="31"/>
    <n v="18.239999999999998"/>
  </r>
  <r>
    <x v="1738"/>
    <s v="Marriott,"/>
    <n v="37.28"/>
    <x v="495"/>
    <s v="No"/>
    <x v="1"/>
    <x v="0"/>
    <x v="1"/>
    <x v="1"/>
    <x v="0"/>
    <x v="2"/>
    <n v="20"/>
    <s v="Dec"/>
    <n v="2003"/>
    <d v="2003-12-20T00:00:00"/>
    <n v="16450.89"/>
    <s v="tier - 2"/>
    <s v="tier - 1"/>
    <s v="R1012"/>
    <n v="23"/>
    <n v="37.28"/>
  </r>
  <r>
    <x v="1739"/>
    <s v="Wilkins,"/>
    <n v="18.2"/>
    <x v="364"/>
    <s v="No"/>
    <x v="0"/>
    <x v="1"/>
    <x v="1"/>
    <x v="1"/>
    <x v="3"/>
    <x v="1"/>
    <n v="10"/>
    <s v="Oct"/>
    <n v="1958"/>
    <d v="1958-10-10T00:00:00"/>
    <n v="16455.71"/>
    <s v="tier - 2"/>
    <s v="tier - 2"/>
    <s v="R1012"/>
    <n v="68"/>
    <n v="18.2"/>
  </r>
  <r>
    <x v="1740"/>
    <s v="Saiter,"/>
    <n v="20.53"/>
    <x v="319"/>
    <s v="No"/>
    <x v="0"/>
    <x v="0"/>
    <x v="1"/>
    <x v="1"/>
    <x v="2"/>
    <x v="2"/>
    <n v="23"/>
    <s v="Dec"/>
    <n v="1995"/>
    <d v="1995-12-23T00:00:00"/>
    <n v="16577.78"/>
    <s v="tier - 2"/>
    <s v="tier - 1"/>
    <s v="R1013"/>
    <n v="31"/>
    <n v="20.53"/>
  </r>
  <r>
    <x v="1741"/>
    <s v="Winrow,"/>
    <n v="23.79"/>
    <x v="433"/>
    <s v="No"/>
    <x v="0"/>
    <x v="0"/>
    <x v="0"/>
    <x v="1"/>
    <x v="2"/>
    <x v="2"/>
    <n v="25"/>
    <s v="Jun"/>
    <n v="2001"/>
    <d v="2001-06-25T00:00:00"/>
    <n v="16586.5"/>
    <s v="tier - 2"/>
    <s v="tier - 1"/>
    <s v="R1013"/>
    <n v="25"/>
    <n v="23.79"/>
  </r>
  <r>
    <x v="1742"/>
    <s v="Gries,"/>
    <n v="29.8"/>
    <x v="100"/>
    <s v="No"/>
    <x v="0"/>
    <x v="0"/>
    <x v="0"/>
    <x v="1"/>
    <x v="1"/>
    <x v="1"/>
    <n v="25"/>
    <s v="Jun"/>
    <n v="1963"/>
    <d v="1963-06-25T00:00:00"/>
    <n v="16587.96"/>
    <s v="tier - 2"/>
    <s v="tier - 2"/>
    <s v="R1023"/>
    <n v="63"/>
    <n v="29.8"/>
  </r>
  <r>
    <x v="1743"/>
    <s v="Strohschein,"/>
    <n v="31.54"/>
    <x v="378"/>
    <s v="No"/>
    <x v="0"/>
    <x v="0"/>
    <x v="0"/>
    <x v="1"/>
    <x v="0"/>
    <x v="2"/>
    <n v="10"/>
    <s v="Jul"/>
    <n v="1970"/>
    <d v="1970-07-10T00:00:00"/>
    <n v="16600.16"/>
    <s v="tier - 2"/>
    <s v="tier - 2"/>
    <s v="R1011"/>
    <n v="56"/>
    <n v="31.54"/>
  </r>
  <r>
    <x v="1744"/>
    <s v="Berger,"/>
    <n v="20.82"/>
    <x v="122"/>
    <s v="No"/>
    <x v="0"/>
    <x v="0"/>
    <x v="1"/>
    <x v="1"/>
    <x v="2"/>
    <x v="2"/>
    <n v="24"/>
    <s v="Jul"/>
    <n v="1975"/>
    <d v="1975-07-24T00:00:00"/>
    <n v="16602.18"/>
    <s v="tier - 2"/>
    <s v="tier - 1"/>
    <s v="R1026"/>
    <n v="51"/>
    <n v="20.82"/>
  </r>
  <r>
    <x v="1745"/>
    <s v="Coogan,"/>
    <n v="38.83"/>
    <x v="226"/>
    <s v="No"/>
    <x v="0"/>
    <x v="1"/>
    <x v="1"/>
    <x v="1"/>
    <x v="0"/>
    <x v="2"/>
    <n v="25"/>
    <s v="Sep"/>
    <n v="1977"/>
    <d v="1977-09-25T00:00:00"/>
    <n v="16631.61"/>
    <s v="tier - 2"/>
    <s v="tier - 1"/>
    <s v="R1012"/>
    <n v="49"/>
    <n v="38.83"/>
  </r>
  <r>
    <x v="1746"/>
    <s v="Gagnon,"/>
    <n v="23.44"/>
    <x v="346"/>
    <s v="Yes"/>
    <x v="0"/>
    <x v="0"/>
    <x v="1"/>
    <x v="1"/>
    <x v="2"/>
    <x v="2"/>
    <n v="5"/>
    <s v="Nov"/>
    <n v="1993"/>
    <d v="1993-11-05T00:00:00"/>
    <n v="16657.72"/>
    <s v="tier - 2"/>
    <s v="tier - 1"/>
    <s v="R1024"/>
    <n v="33"/>
    <n v="23.44"/>
  </r>
  <r>
    <x v="1747"/>
    <s v="Pearson,"/>
    <n v="24.13"/>
    <x v="112"/>
    <s v="No"/>
    <x v="0"/>
    <x v="0"/>
    <x v="1"/>
    <x v="1"/>
    <x v="2"/>
    <x v="2"/>
    <n v="28"/>
    <s v="Aug"/>
    <n v="1974"/>
    <d v="1974-08-28T00:00:00"/>
    <n v="16770.990000000002"/>
    <s v="tier - 2"/>
    <s v="tier - 1"/>
    <s v="R1012"/>
    <n v="52"/>
    <n v="24.13"/>
  </r>
  <r>
    <x v="1748"/>
    <s v="Brian,"/>
    <n v="42.13"/>
    <x v="117"/>
    <s v="Yes"/>
    <x v="0"/>
    <x v="0"/>
    <x v="1"/>
    <x v="1"/>
    <x v="0"/>
    <x v="2"/>
    <n v="23"/>
    <s v="Sep"/>
    <n v="1989"/>
    <d v="1989-09-23T00:00:00"/>
    <n v="16776.3"/>
    <s v="tier - 2"/>
    <s v="tier - 2"/>
    <s v="R1024"/>
    <n v="37"/>
    <n v="42.13"/>
  </r>
  <r>
    <x v="1749"/>
    <s v="Brown,"/>
    <n v="17.86"/>
    <x v="92"/>
    <s v="No"/>
    <x v="0"/>
    <x v="0"/>
    <x v="1"/>
    <x v="1"/>
    <x v="3"/>
    <x v="2"/>
    <n v="29"/>
    <s v="Jul"/>
    <n v="1962"/>
    <d v="1962-07-29T00:00:00"/>
    <n v="16779.400000000001"/>
    <s v="tier - 2"/>
    <s v="tier - 2"/>
    <s v="R1026"/>
    <n v="64"/>
    <n v="17.86"/>
  </r>
  <r>
    <x v="1750"/>
    <s v="Fox,"/>
    <n v="32.78"/>
    <x v="366"/>
    <s v="No"/>
    <x v="0"/>
    <x v="0"/>
    <x v="0"/>
    <x v="1"/>
    <x v="0"/>
    <x v="2"/>
    <n v="19"/>
    <s v="Oct"/>
    <n v="1995"/>
    <d v="1995-10-19T00:00:00"/>
    <n v="16796.41"/>
    <s v="tier - 2"/>
    <s v="tier - 3"/>
    <s v="R1024"/>
    <n v="31"/>
    <n v="32.78"/>
  </r>
  <r>
    <x v="1751"/>
    <s v="Traver,"/>
    <n v="23.9"/>
    <x v="87"/>
    <s v="Yes"/>
    <x v="0"/>
    <x v="1"/>
    <x v="1"/>
    <x v="1"/>
    <x v="2"/>
    <x v="1"/>
    <n v="8"/>
    <s v="Aug"/>
    <n v="1974"/>
    <d v="1974-08-08T00:00:00"/>
    <n v="16841.32"/>
    <s v="tier - 2"/>
    <s v="tier - 3"/>
    <s v="R1011"/>
    <n v="52"/>
    <n v="23.9"/>
  </r>
  <r>
    <x v="1752"/>
    <s v="Quick,"/>
    <n v="15.47"/>
    <x v="638"/>
    <s v="No"/>
    <x v="0"/>
    <x v="0"/>
    <x v="0"/>
    <x v="1"/>
    <x v="3"/>
    <x v="0"/>
    <n v="10"/>
    <s v="Sep"/>
    <n v="2003"/>
    <d v="2003-09-10T00:00:00"/>
    <n v="16884.919999999998"/>
    <s v="tier - 2"/>
    <s v="tier - 2"/>
    <s v="R1011"/>
    <n v="23"/>
    <n v="15.47"/>
  </r>
  <r>
    <x v="1753"/>
    <s v="Scott,"/>
    <n v="28.54"/>
    <x v="49"/>
    <s v="No"/>
    <x v="0"/>
    <x v="1"/>
    <x v="1"/>
    <x v="1"/>
    <x v="1"/>
    <x v="2"/>
    <n v="21"/>
    <s v="Oct"/>
    <n v="1968"/>
    <d v="1968-10-21T00:00:00"/>
    <n v="16903.5"/>
    <s v="tier - 2"/>
    <s v="tier - 3"/>
    <s v="R1012"/>
    <n v="58"/>
    <n v="28.54"/>
  </r>
  <r>
    <x v="1754"/>
    <s v="Theriot,"/>
    <n v="18.54"/>
    <x v="434"/>
    <s v="No"/>
    <x v="0"/>
    <x v="0"/>
    <x v="0"/>
    <x v="1"/>
    <x v="2"/>
    <x v="2"/>
    <n v="25"/>
    <s v="Aug"/>
    <n v="1977"/>
    <d v="1977-08-25T00:00:00"/>
    <n v="16921.09"/>
    <s v="tier - 2"/>
    <s v="tier - 3"/>
    <s v="R1023"/>
    <n v="49"/>
    <n v="18.54"/>
  </r>
  <r>
    <x v="1755"/>
    <s v="Michalis,"/>
    <n v="32.18"/>
    <x v="639"/>
    <s v="Yes"/>
    <x v="0"/>
    <x v="1"/>
    <x v="1"/>
    <x v="1"/>
    <x v="0"/>
    <x v="1"/>
    <n v="16"/>
    <s v="Jul"/>
    <n v="1980"/>
    <d v="1980-07-16T00:00:00"/>
    <n v="16990.55"/>
    <s v="tier - 2"/>
    <s v="tier - 3"/>
    <s v="R1012"/>
    <n v="46"/>
    <n v="32.18"/>
  </r>
  <r>
    <x v="1756"/>
    <s v="Hall,"/>
    <n v="37.380000000000003"/>
    <x v="3"/>
    <s v="Yes"/>
    <x v="0"/>
    <x v="0"/>
    <x v="0"/>
    <x v="1"/>
    <x v="0"/>
    <x v="1"/>
    <n v="22"/>
    <s v="Aug"/>
    <n v="1971"/>
    <d v="1971-08-22T00:00:00"/>
    <n v="17016.009999999998"/>
    <s v="tier - 2"/>
    <s v="tier - 2"/>
    <s v="R1023"/>
    <n v="55"/>
    <n v="37.380000000000003"/>
  </r>
  <r>
    <x v="1757"/>
    <s v="Tjong"/>
    <n v="31.12"/>
    <x v="70"/>
    <s v="Yes"/>
    <x v="0"/>
    <x v="1"/>
    <x v="1"/>
    <x v="1"/>
    <x v="0"/>
    <x v="2"/>
    <n v="10"/>
    <s v="Jun"/>
    <n v="1996"/>
    <d v="1996-06-10T00:00:00"/>
    <n v="17043.34"/>
    <s v="tier - 2"/>
    <s v="tier - 3"/>
    <s v="R1013"/>
    <n v="30"/>
    <n v="31.12"/>
  </r>
  <r>
    <x v="1758"/>
    <s v="Palma,"/>
    <n v="22.01"/>
    <x v="377"/>
    <s v="Yes"/>
    <x v="0"/>
    <x v="0"/>
    <x v="1"/>
    <x v="1"/>
    <x v="2"/>
    <x v="0"/>
    <n v="26"/>
    <s v="Dec"/>
    <n v="2003"/>
    <d v="2003-12-26T00:00:00"/>
    <n v="17081.080000000002"/>
    <s v="tier - 2"/>
    <s v="tier - 2"/>
    <s v="R1011"/>
    <n v="23"/>
    <n v="22.01"/>
  </r>
  <r>
    <x v="1759"/>
    <s v="Takaoka,"/>
    <n v="27.645"/>
    <x v="155"/>
    <s v="No"/>
    <x v="0"/>
    <x v="0"/>
    <x v="0"/>
    <x v="1"/>
    <x v="1"/>
    <x v="1"/>
    <n v="28"/>
    <s v="Jun"/>
    <n v="2002"/>
    <d v="2002-06-28T00:00:00"/>
    <n v="17085.27"/>
    <s v="tier - 2"/>
    <s v="tier - 3"/>
    <s v="R1013"/>
    <n v="24"/>
    <n v="27.645"/>
  </r>
  <r>
    <x v="1760"/>
    <s v="Sherman,"/>
    <n v="29.64"/>
    <x v="389"/>
    <s v="Yes"/>
    <x v="0"/>
    <x v="0"/>
    <x v="0"/>
    <x v="1"/>
    <x v="1"/>
    <x v="2"/>
    <n v="3"/>
    <s v="Jun"/>
    <n v="1998"/>
    <d v="1998-06-03T00:00:00"/>
    <n v="17128.43"/>
    <s v="tier - 2"/>
    <s v="tier - 3"/>
    <s v="R1016"/>
    <n v="28"/>
    <n v="29.64"/>
  </r>
  <r>
    <x v="1761"/>
    <s v="Andre,"/>
    <n v="33.700000000000003"/>
    <x v="536"/>
    <s v="Yes"/>
    <x v="0"/>
    <x v="0"/>
    <x v="1"/>
    <x v="1"/>
    <x v="0"/>
    <x v="2"/>
    <n v="16"/>
    <s v="Sep"/>
    <n v="1965"/>
    <d v="1965-09-16T00:00:00"/>
    <n v="17172.27"/>
    <s v="tier - 2"/>
    <s v="tier - 2"/>
    <s v="R1026"/>
    <n v="61"/>
    <n v="33.700000000000003"/>
  </r>
  <r>
    <x v="1762"/>
    <s v="Switt,"/>
    <n v="27.5"/>
    <x v="80"/>
    <s v="Yes"/>
    <x v="0"/>
    <x v="0"/>
    <x v="1"/>
    <x v="1"/>
    <x v="1"/>
    <x v="2"/>
    <n v="7"/>
    <s v="Jun"/>
    <n v="1964"/>
    <d v="1964-06-07T00:00:00"/>
    <n v="17174.52"/>
    <s v="tier - 2"/>
    <s v="tier - 2"/>
    <s v="R1012"/>
    <n v="62"/>
    <n v="27.5"/>
  </r>
  <r>
    <x v="1763"/>
    <s v="Erickson,"/>
    <n v="16.12"/>
    <x v="34"/>
    <s v="No"/>
    <x v="0"/>
    <x v="0"/>
    <x v="0"/>
    <x v="1"/>
    <x v="3"/>
    <x v="1"/>
    <n v="18"/>
    <s v="Aug"/>
    <n v="2004"/>
    <d v="2004-08-18T00:00:00"/>
    <n v="17178.68"/>
    <s v="tier - 2"/>
    <s v="tier - 2"/>
    <s v="R1019"/>
    <n v="22"/>
    <n v="16.12"/>
  </r>
  <r>
    <x v="1764"/>
    <s v="Miller,"/>
    <n v="26.73"/>
    <x v="433"/>
    <s v="Yes"/>
    <x v="0"/>
    <x v="0"/>
    <x v="1"/>
    <x v="1"/>
    <x v="1"/>
    <x v="2"/>
    <n v="22"/>
    <s v="Oct"/>
    <n v="1982"/>
    <d v="1982-10-22T00:00:00"/>
    <n v="17179.52"/>
    <s v="tier - 2"/>
    <s v="tier - 1"/>
    <s v="R1013"/>
    <n v="44"/>
    <n v="26.73"/>
  </r>
  <r>
    <x v="1765"/>
    <s v="Whitbeck,"/>
    <n v="37.25"/>
    <x v="195"/>
    <s v="Yes"/>
    <x v="0"/>
    <x v="0"/>
    <x v="0"/>
    <x v="1"/>
    <x v="0"/>
    <x v="1"/>
    <n v="25"/>
    <s v="Aug"/>
    <n v="1975"/>
    <d v="1975-08-25T00:00:00"/>
    <n v="17253.43"/>
    <s v="tier - 2"/>
    <s v="tier - 3"/>
    <s v="R1026"/>
    <n v="51"/>
    <n v="37.25"/>
  </r>
  <r>
    <x v="1766"/>
    <s v="Auer,"/>
    <n v="23.56"/>
    <x v="4"/>
    <s v="Yes"/>
    <x v="0"/>
    <x v="0"/>
    <x v="1"/>
    <x v="1"/>
    <x v="2"/>
    <x v="2"/>
    <n v="12"/>
    <s v="Jul"/>
    <n v="1963"/>
    <d v="1963-07-12T00:00:00"/>
    <n v="17337.580000000002"/>
    <s v="tier - 2"/>
    <s v="tier - 3"/>
    <s v="R1023"/>
    <n v="63"/>
    <n v="23.56"/>
  </r>
  <r>
    <x v="1767"/>
    <s v="Attar,"/>
    <n v="15.84"/>
    <x v="530"/>
    <s v="No"/>
    <x v="0"/>
    <x v="0"/>
    <x v="1"/>
    <x v="1"/>
    <x v="3"/>
    <x v="0"/>
    <n v="1"/>
    <s v="Nov"/>
    <n v="2003"/>
    <d v="2003-11-01T00:00:00"/>
    <n v="17352.68"/>
    <s v="tier - 2"/>
    <s v="tier - 3"/>
    <s v="R1012"/>
    <n v="23"/>
    <n v="15.84"/>
  </r>
  <r>
    <x v="1768"/>
    <s v="Misuraca,"/>
    <n v="36.630000000000003"/>
    <x v="613"/>
    <s v="No"/>
    <x v="0"/>
    <x v="0"/>
    <x v="0"/>
    <x v="1"/>
    <x v="0"/>
    <x v="2"/>
    <n v="18"/>
    <s v="Oct"/>
    <n v="1992"/>
    <d v="1992-10-18T00:00:00"/>
    <n v="17361.77"/>
    <s v="tier - 2"/>
    <s v="tier - 1"/>
    <s v="R1012"/>
    <n v="34"/>
    <n v="36.630000000000003"/>
  </r>
  <r>
    <x v="1769"/>
    <s v="Spannaus,"/>
    <n v="16.47"/>
    <x v="640"/>
    <s v="No"/>
    <x v="0"/>
    <x v="0"/>
    <x v="0"/>
    <x v="1"/>
    <x v="3"/>
    <x v="0"/>
    <n v="2"/>
    <s v="Nov"/>
    <n v="2003"/>
    <d v="2003-11-02T00:00:00"/>
    <n v="17468.98"/>
    <s v="tier - 2"/>
    <s v="tier - 1"/>
    <s v="R1012"/>
    <n v="23"/>
    <n v="16.47"/>
  </r>
  <r>
    <x v="1770"/>
    <s v="Tarbiat,"/>
    <n v="25.8"/>
    <x v="318"/>
    <s v="No"/>
    <x v="0"/>
    <x v="0"/>
    <x v="0"/>
    <x v="1"/>
    <x v="1"/>
    <x v="2"/>
    <n v="8"/>
    <s v="Jun"/>
    <n v="1971"/>
    <d v="1971-06-08T00:00:00"/>
    <n v="17479.53"/>
    <s v="tier - 1"/>
    <s v="tier - 1"/>
    <s v="R1012"/>
    <n v="55"/>
    <n v="25.8"/>
  </r>
  <r>
    <x v="1771"/>
    <s v="Pulkkinen,"/>
    <n v="23.6"/>
    <x v="279"/>
    <s v="No"/>
    <x v="0"/>
    <x v="0"/>
    <x v="0"/>
    <x v="1"/>
    <x v="2"/>
    <x v="2"/>
    <n v="29"/>
    <s v="Dec"/>
    <n v="1990"/>
    <d v="1990-12-29T00:00:00"/>
    <n v="17496.310000000001"/>
    <s v="tier - 1"/>
    <s v="tier - 2"/>
    <s v="R1011"/>
    <n v="36"/>
    <n v="23.6"/>
  </r>
  <r>
    <x v="1772"/>
    <s v="Trnovcova,"/>
    <n v="32.11"/>
    <x v="149"/>
    <s v="No"/>
    <x v="0"/>
    <x v="1"/>
    <x v="1"/>
    <x v="1"/>
    <x v="0"/>
    <x v="1"/>
    <n v="16"/>
    <s v="Jun"/>
    <n v="1965"/>
    <d v="1965-06-16T00:00:00"/>
    <n v="17505.650000000001"/>
    <s v="tier - 1"/>
    <s v="tier - 2"/>
    <s v="R1023"/>
    <n v="61"/>
    <n v="32.11"/>
  </r>
  <r>
    <x v="1773"/>
    <s v="Anthony,"/>
    <n v="30.114999999999998"/>
    <x v="427"/>
    <s v="No"/>
    <x v="0"/>
    <x v="0"/>
    <x v="0"/>
    <x v="1"/>
    <x v="0"/>
    <x v="0"/>
    <n v="12"/>
    <s v="Jul"/>
    <n v="1968"/>
    <d v="1968-07-12T00:00:00"/>
    <n v="17507.47"/>
    <s v="tier - 1"/>
    <s v="tier - 1"/>
    <s v="R1026"/>
    <n v="58"/>
    <n v="30.114999999999998"/>
  </r>
  <r>
    <x v="1774"/>
    <s v="Hetrick,"/>
    <n v="20.28"/>
    <x v="443"/>
    <s v="Yes"/>
    <x v="0"/>
    <x v="0"/>
    <x v="0"/>
    <x v="1"/>
    <x v="2"/>
    <x v="0"/>
    <n v="16"/>
    <s v="Nov"/>
    <n v="1963"/>
    <d v="1963-11-16T00:00:00"/>
    <n v="17556.88"/>
    <s v="tier - 1"/>
    <s v="tier - 2"/>
    <s v="R1012"/>
    <n v="63"/>
    <n v="20.28"/>
  </r>
  <r>
    <x v="1775"/>
    <s v="Stern,"/>
    <n v="20.234999999999999"/>
    <x v="27"/>
    <s v="No"/>
    <x v="0"/>
    <x v="1"/>
    <x v="1"/>
    <x v="1"/>
    <x v="2"/>
    <x v="2"/>
    <n v="25"/>
    <s v="Aug"/>
    <n v="2002"/>
    <d v="2002-08-25T00:00:00"/>
    <n v="17560.38"/>
    <s v="tier - 1"/>
    <s v="tier - 1"/>
    <s v="R1012"/>
    <n v="24"/>
    <n v="20.234999999999999"/>
  </r>
  <r>
    <x v="1776"/>
    <s v="Newman,"/>
    <n v="25.27"/>
    <x v="155"/>
    <s v="Yes"/>
    <x v="0"/>
    <x v="0"/>
    <x v="1"/>
    <x v="1"/>
    <x v="1"/>
    <x v="1"/>
    <n v="26"/>
    <s v="Jul"/>
    <n v="1970"/>
    <d v="1970-07-26T00:00:00"/>
    <n v="17584.72"/>
    <s v="tier - 1"/>
    <s v="tier - 3"/>
    <s v="R1012"/>
    <n v="56"/>
    <n v="25.27"/>
  </r>
  <r>
    <x v="1777"/>
    <s v="Reasoner,"/>
    <n v="24.24"/>
    <x v="259"/>
    <s v="No"/>
    <x v="0"/>
    <x v="0"/>
    <x v="0"/>
    <x v="1"/>
    <x v="2"/>
    <x v="1"/>
    <n v="25"/>
    <s v="Oct"/>
    <n v="1990"/>
    <d v="1990-10-25T00:00:00"/>
    <n v="17626.240000000002"/>
    <s v="tier - 1"/>
    <s v="tier - 3"/>
    <s v="R1013"/>
    <n v="36"/>
    <n v="24.24"/>
  </r>
  <r>
    <x v="1778"/>
    <s v="Mone,"/>
    <n v="35.75"/>
    <x v="103"/>
    <s v="No"/>
    <x v="0"/>
    <x v="0"/>
    <x v="0"/>
    <x v="1"/>
    <x v="0"/>
    <x v="2"/>
    <n v="1"/>
    <s v="Jul"/>
    <n v="1994"/>
    <d v="1994-07-01T00:00:00"/>
    <n v="17663.14"/>
    <s v="tier - 1"/>
    <s v="tier - 3"/>
    <s v="R1013"/>
    <n v="32"/>
    <n v="35.75"/>
  </r>
  <r>
    <x v="1779"/>
    <s v="Powers,"/>
    <n v="29.92"/>
    <x v="221"/>
    <s v="Yes"/>
    <x v="0"/>
    <x v="0"/>
    <x v="1"/>
    <x v="1"/>
    <x v="1"/>
    <x v="0"/>
    <n v="14"/>
    <s v="Jul"/>
    <n v="2003"/>
    <d v="2003-07-14T00:00:00"/>
    <n v="17748.509999999998"/>
    <s v="tier - 1"/>
    <s v="tier - 1"/>
    <s v="R1012"/>
    <n v="23"/>
    <n v="29.92"/>
  </r>
  <r>
    <x v="1780"/>
    <s v="Ulery,"/>
    <n v="26.2"/>
    <x v="185"/>
    <s v="Yes"/>
    <x v="0"/>
    <x v="0"/>
    <x v="1"/>
    <x v="1"/>
    <x v="1"/>
    <x v="0"/>
    <n v="21"/>
    <s v="Jun"/>
    <n v="1966"/>
    <d v="1966-06-21T00:00:00"/>
    <n v="17777.73"/>
    <s v="tier - 1"/>
    <s v="tier - 3"/>
    <s v="R1012"/>
    <n v="60"/>
    <n v="26.2"/>
  </r>
  <r>
    <x v="1781"/>
    <s v="Haines,"/>
    <n v="26.695"/>
    <x v="139"/>
    <s v="Yes"/>
    <x v="0"/>
    <x v="1"/>
    <x v="1"/>
    <x v="1"/>
    <x v="1"/>
    <x v="2"/>
    <n v="10"/>
    <s v="Oct"/>
    <n v="1979"/>
    <d v="1979-10-10T00:00:00"/>
    <n v="17779.939999999999"/>
    <s v="tier - 1"/>
    <s v="tier - 2"/>
    <s v="R1012"/>
    <n v="47"/>
    <n v="26.695"/>
  </r>
  <r>
    <x v="1782"/>
    <s v="Airoldi,"/>
    <n v="23.16"/>
    <x v="334"/>
    <s v="No"/>
    <x v="0"/>
    <x v="0"/>
    <x v="0"/>
    <x v="1"/>
    <x v="2"/>
    <x v="2"/>
    <n v="8"/>
    <s v="Dec"/>
    <n v="1963"/>
    <d v="1963-12-08T00:00:00"/>
    <n v="17832.599999999999"/>
    <s v="tier - 1"/>
    <s v="tier - 2"/>
    <s v="R1012"/>
    <n v="63"/>
    <n v="23.16"/>
  </r>
  <r>
    <x v="1783"/>
    <s v="Mattis,"/>
    <n v="32.585000000000001"/>
    <x v="327"/>
    <s v="Yes"/>
    <x v="0"/>
    <x v="0"/>
    <x v="1"/>
    <x v="1"/>
    <x v="0"/>
    <x v="2"/>
    <n v="12"/>
    <s v="Dec"/>
    <n v="1976"/>
    <d v="1976-12-12T00:00:00"/>
    <n v="17862.919999999998"/>
    <s v="tier - 1"/>
    <s v="tier - 2"/>
    <s v="R1012"/>
    <n v="50"/>
    <n v="32.585000000000001"/>
  </r>
  <r>
    <x v="1784"/>
    <s v="Cho,"/>
    <n v="33.97"/>
    <x v="372"/>
    <s v="Yes"/>
    <x v="0"/>
    <x v="0"/>
    <x v="0"/>
    <x v="1"/>
    <x v="0"/>
    <x v="2"/>
    <n v="26"/>
    <s v="Aug"/>
    <n v="1997"/>
    <d v="1997-08-26T00:00:00"/>
    <n v="17878.900000000001"/>
    <s v="tier - 1"/>
    <s v="tier - 2"/>
    <s v="R1024"/>
    <n v="29"/>
    <n v="33.97"/>
  </r>
  <r>
    <x v="1785"/>
    <s v="Reumann,"/>
    <n v="16.57"/>
    <x v="641"/>
    <s v="No"/>
    <x v="0"/>
    <x v="0"/>
    <x v="0"/>
    <x v="1"/>
    <x v="3"/>
    <x v="0"/>
    <n v="12"/>
    <s v="Nov"/>
    <n v="1979"/>
    <d v="1979-11-12T00:00:00"/>
    <n v="17882.669999999998"/>
    <s v="tier - 1"/>
    <s v="tier - 3"/>
    <s v="R1012"/>
    <n v="47"/>
    <n v="16.57"/>
  </r>
  <r>
    <x v="1786"/>
    <s v="Cooper,"/>
    <n v="17.55"/>
    <x v="620"/>
    <s v="No"/>
    <x v="0"/>
    <x v="1"/>
    <x v="1"/>
    <x v="1"/>
    <x v="3"/>
    <x v="1"/>
    <n v="4"/>
    <s v="Dec"/>
    <n v="1989"/>
    <d v="1989-12-04T00:00:00"/>
    <n v="17904.53"/>
    <s v="tier - 1"/>
    <s v="tier - 2"/>
    <s v="R1017"/>
    <n v="37"/>
    <n v="17.55"/>
  </r>
  <r>
    <x v="1787"/>
    <s v="Kennedy,"/>
    <n v="29.41"/>
    <x v="109"/>
    <s v="Yes"/>
    <x v="0"/>
    <x v="0"/>
    <x v="1"/>
    <x v="1"/>
    <x v="1"/>
    <x v="1"/>
    <n v="17"/>
    <s v="Oct"/>
    <n v="1977"/>
    <d v="1977-10-17T00:00:00"/>
    <n v="17929.3"/>
    <s v="tier - 1"/>
    <s v="tier - 2"/>
    <s v="R1013"/>
    <n v="49"/>
    <n v="29.41"/>
  </r>
  <r>
    <x v="1788"/>
    <s v="Cichon,"/>
    <n v="17.91"/>
    <x v="120"/>
    <s v="No"/>
    <x v="0"/>
    <x v="0"/>
    <x v="1"/>
    <x v="1"/>
    <x v="3"/>
    <x v="2"/>
    <n v="28"/>
    <s v="Sep"/>
    <n v="2001"/>
    <d v="2001-09-28T00:00:00"/>
    <n v="17942.11"/>
    <s v="tier - 1"/>
    <s v="tier - 2"/>
    <s v="R1011"/>
    <n v="25"/>
    <n v="17.91"/>
  </r>
  <r>
    <x v="1789"/>
    <s v="Maroevic,"/>
    <n v="31.57"/>
    <x v="259"/>
    <s v="No"/>
    <x v="0"/>
    <x v="0"/>
    <x v="1"/>
    <x v="1"/>
    <x v="0"/>
    <x v="1"/>
    <n v="27"/>
    <s v="Jun"/>
    <n v="1975"/>
    <d v="1975-06-27T00:00:00"/>
    <n v="18031.16"/>
    <s v="tier - 1"/>
    <s v="tier - 3"/>
    <s v="R1023"/>
    <n v="51"/>
    <n v="31.57"/>
  </r>
  <r>
    <x v="1790"/>
    <s v="Martin,"/>
    <n v="33.18"/>
    <x v="151"/>
    <s v="No"/>
    <x v="1"/>
    <x v="0"/>
    <x v="1"/>
    <x v="1"/>
    <x v="0"/>
    <x v="2"/>
    <n v="17"/>
    <s v="Oct"/>
    <n v="1965"/>
    <d v="1965-10-17T00:00:00"/>
    <n v="18031.189999999999"/>
    <s v="tier - 1"/>
    <s v="tier - 2"/>
    <s v="R1012"/>
    <n v="61"/>
    <n v="33.18"/>
  </r>
  <r>
    <x v="1791"/>
    <s v="Schulz,"/>
    <n v="37"/>
    <x v="277"/>
    <s v="No"/>
    <x v="0"/>
    <x v="0"/>
    <x v="0"/>
    <x v="1"/>
    <x v="0"/>
    <x v="0"/>
    <n v="24"/>
    <s v="Oct"/>
    <n v="1999"/>
    <d v="1999-10-24T00:00:00"/>
    <n v="18033.97"/>
    <s v="tier - 1"/>
    <s v="tier - 1"/>
    <s v="R1012"/>
    <n v="27"/>
    <n v="37"/>
  </r>
  <r>
    <x v="1792"/>
    <s v="Capriolo,"/>
    <n v="18.905000000000001"/>
    <x v="468"/>
    <s v="Yes"/>
    <x v="0"/>
    <x v="0"/>
    <x v="1"/>
    <x v="1"/>
    <x v="2"/>
    <x v="2"/>
    <n v="12"/>
    <s v="Jul"/>
    <n v="1993"/>
    <d v="1993-07-12T00:00:00"/>
    <n v="18157.88"/>
    <s v="tier - 1"/>
    <s v="tier - 1"/>
    <s v="R1012"/>
    <n v="33"/>
    <n v="18.905000000000001"/>
  </r>
  <r>
    <x v="1793"/>
    <s v="Borleis,"/>
    <n v="20.03"/>
    <x v="642"/>
    <s v="Yes"/>
    <x v="0"/>
    <x v="0"/>
    <x v="0"/>
    <x v="1"/>
    <x v="2"/>
    <x v="0"/>
    <n v="4"/>
    <s v="Jul"/>
    <n v="1963"/>
    <d v="1963-07-04T00:00:00"/>
    <n v="18208.34"/>
    <s v="tier - 1"/>
    <s v="tier - 2"/>
    <s v="R1026"/>
    <n v="63"/>
    <n v="20.03"/>
  </r>
  <r>
    <x v="1794"/>
    <s v="Kramer,"/>
    <n v="16.7"/>
    <x v="643"/>
    <s v="No"/>
    <x v="0"/>
    <x v="0"/>
    <x v="0"/>
    <x v="1"/>
    <x v="3"/>
    <x v="0"/>
    <n v="15"/>
    <s v="Jun"/>
    <n v="1997"/>
    <d v="1997-06-15T00:00:00"/>
    <n v="18218.16"/>
    <s v="tier - 1"/>
    <s v="tier - 1"/>
    <s v="R1013"/>
    <n v="29"/>
    <n v="16.7"/>
  </r>
  <r>
    <x v="1795"/>
    <s v="Conrad,"/>
    <n v="39.82"/>
    <x v="87"/>
    <s v="No"/>
    <x v="0"/>
    <x v="0"/>
    <x v="0"/>
    <x v="1"/>
    <x v="0"/>
    <x v="1"/>
    <n v="10"/>
    <s v="Sep"/>
    <n v="2004"/>
    <d v="2004-09-10T00:00:00"/>
    <n v="18223.45"/>
    <s v="tier - 1"/>
    <s v="tier - 3"/>
    <s v="R1013"/>
    <n v="22"/>
    <n v="39.82"/>
  </r>
  <r>
    <x v="1796"/>
    <s v="Karakoyunlu,"/>
    <n v="22.04"/>
    <x v="236"/>
    <s v="No"/>
    <x v="0"/>
    <x v="0"/>
    <x v="1"/>
    <x v="1"/>
    <x v="2"/>
    <x v="1"/>
    <n v="3"/>
    <s v="Aug"/>
    <n v="1995"/>
    <d v="1995-08-03T00:00:00"/>
    <n v="18246.5"/>
    <s v="tier - 1"/>
    <s v="tier - 1"/>
    <s v="R1013"/>
    <n v="31"/>
    <n v="22.04"/>
  </r>
  <r>
    <x v="1797"/>
    <s v="Desrosiers,"/>
    <n v="28.27"/>
    <x v="196"/>
    <s v="No"/>
    <x v="0"/>
    <x v="0"/>
    <x v="0"/>
    <x v="1"/>
    <x v="1"/>
    <x v="2"/>
    <n v="25"/>
    <s v="Dec"/>
    <n v="1992"/>
    <d v="1992-12-25T00:00:00"/>
    <n v="18259.22"/>
    <s v="tier - 1"/>
    <s v="tier - 3"/>
    <s v="R1011"/>
    <n v="34"/>
    <n v="28.27"/>
  </r>
  <r>
    <x v="1798"/>
    <s v="O'Mara,"/>
    <n v="18.5"/>
    <x v="196"/>
    <s v="No"/>
    <x v="0"/>
    <x v="0"/>
    <x v="0"/>
    <x v="1"/>
    <x v="2"/>
    <x v="2"/>
    <n v="4"/>
    <s v="Jul"/>
    <n v="1995"/>
    <d v="1995-07-04T00:00:00"/>
    <n v="18310.740000000002"/>
    <s v="tier - 1"/>
    <s v="tier - 3"/>
    <s v="R1012"/>
    <n v="31"/>
    <n v="18.5"/>
  </r>
  <r>
    <x v="1799"/>
    <s v="Shabot"/>
    <n v="38.6"/>
    <x v="216"/>
    <s v="No"/>
    <x v="0"/>
    <x v="0"/>
    <x v="1"/>
    <x v="1"/>
    <x v="0"/>
    <x v="1"/>
    <n v="15"/>
    <s v="Dec"/>
    <n v="1999"/>
    <d v="1999-12-15T00:00:00"/>
    <n v="18328.240000000002"/>
    <s v="tier - 1"/>
    <s v="tier - 2"/>
    <s v="R1013"/>
    <n v="27"/>
    <n v="38.6"/>
  </r>
  <r>
    <x v="1800"/>
    <s v="Comment,"/>
    <n v="43.12"/>
    <x v="178"/>
    <s v="No"/>
    <x v="0"/>
    <x v="0"/>
    <x v="1"/>
    <x v="1"/>
    <x v="0"/>
    <x v="1"/>
    <n v="26"/>
    <s v="Sep"/>
    <n v="1964"/>
    <d v="1964-09-26T00:00:00"/>
    <n v="18443.11"/>
    <s v="tier - 1"/>
    <s v="tier - 2"/>
    <s v="R1012"/>
    <n v="62"/>
    <n v="43.12"/>
  </r>
  <r>
    <x v="1801"/>
    <s v="Moss,"/>
    <n v="30.5"/>
    <x v="357"/>
    <s v="No"/>
    <x v="0"/>
    <x v="0"/>
    <x v="1"/>
    <x v="1"/>
    <x v="0"/>
    <x v="2"/>
    <n v="12"/>
    <s v="Aug"/>
    <n v="1986"/>
    <d v="1986-08-12T00:00:00"/>
    <n v="18608.259999999998"/>
    <s v="tier - 1"/>
    <s v="tier - 3"/>
    <s v="R1011"/>
    <n v="40"/>
    <n v="30.5"/>
  </r>
  <r>
    <x v="1802"/>
    <s v="Guzman,"/>
    <n v="27.61"/>
    <x v="192"/>
    <s v="No"/>
    <x v="0"/>
    <x v="0"/>
    <x v="1"/>
    <x v="1"/>
    <x v="1"/>
    <x v="2"/>
    <n v="23"/>
    <s v="Sep"/>
    <n v="1998"/>
    <d v="1998-09-23T00:00:00"/>
    <n v="18648.419999999998"/>
    <s v="tier - 1"/>
    <s v="tier - 1"/>
    <s v="R1019"/>
    <n v="28"/>
    <n v="27.61"/>
  </r>
  <r>
    <x v="1803"/>
    <s v="Cox,"/>
    <n v="27.1"/>
    <x v="31"/>
    <s v="No"/>
    <x v="0"/>
    <x v="0"/>
    <x v="1"/>
    <x v="1"/>
    <x v="1"/>
    <x v="2"/>
    <n v="17"/>
    <s v="Oct"/>
    <n v="1970"/>
    <d v="1970-10-17T00:00:00"/>
    <n v="18682.740000000002"/>
    <s v="tier - 1"/>
    <s v="tier - 3"/>
    <s v="R1012"/>
    <n v="56"/>
    <n v="27.1"/>
  </r>
  <r>
    <x v="1804"/>
    <s v="Clash,"/>
    <n v="35.93"/>
    <x v="506"/>
    <s v="No"/>
    <x v="1"/>
    <x v="0"/>
    <x v="1"/>
    <x v="1"/>
    <x v="0"/>
    <x v="2"/>
    <n v="30"/>
    <s v="Aug"/>
    <n v="1967"/>
    <d v="1967-08-30T00:00:00"/>
    <n v="18694.689999999999"/>
    <s v="tier - 1"/>
    <s v="tier - 1"/>
    <s v="R1023"/>
    <n v="59"/>
    <n v="35.93"/>
  </r>
  <r>
    <x v="1805"/>
    <s v="Blankenship,"/>
    <n v="32.68"/>
    <x v="573"/>
    <s v="No"/>
    <x v="0"/>
    <x v="0"/>
    <x v="0"/>
    <x v="1"/>
    <x v="0"/>
    <x v="2"/>
    <n v="27"/>
    <s v="Dec"/>
    <n v="1992"/>
    <d v="1992-12-27T00:00:00"/>
    <n v="18765.88"/>
    <s v="tier - 1"/>
    <s v="tier - 2"/>
    <s v="R1012"/>
    <n v="34"/>
    <n v="32.68"/>
  </r>
  <r>
    <x v="1806"/>
    <s v="Lloyd,"/>
    <n v="20.74"/>
    <x v="644"/>
    <s v="Yes"/>
    <x v="0"/>
    <x v="0"/>
    <x v="1"/>
    <x v="1"/>
    <x v="2"/>
    <x v="0"/>
    <n v="19"/>
    <s v="Nov"/>
    <n v="1979"/>
    <d v="1979-11-19T00:00:00"/>
    <n v="18767.740000000002"/>
    <s v="tier - 1"/>
    <s v="tier - 1"/>
    <s v="R1013"/>
    <n v="47"/>
    <n v="20.74"/>
  </r>
  <r>
    <x v="1807"/>
    <s v="Kong,"/>
    <n v="15.57"/>
    <x v="6"/>
    <s v="No"/>
    <x v="0"/>
    <x v="0"/>
    <x v="0"/>
    <x v="1"/>
    <x v="3"/>
    <x v="1"/>
    <n v="28"/>
    <s v="Nov"/>
    <n v="1995"/>
    <d v="1995-11-28T00:00:00"/>
    <n v="18804.75"/>
    <s v="tier - 1"/>
    <s v="tier - 1"/>
    <s v="R1012"/>
    <n v="31"/>
    <n v="15.57"/>
  </r>
  <r>
    <x v="1808"/>
    <s v="Benson,"/>
    <n v="23.844999999999999"/>
    <x v="67"/>
    <s v="No"/>
    <x v="0"/>
    <x v="0"/>
    <x v="0"/>
    <x v="1"/>
    <x v="2"/>
    <x v="2"/>
    <n v="15"/>
    <s v="Oct"/>
    <n v="1979"/>
    <d v="1979-10-15T00:00:00"/>
    <n v="18806.150000000001"/>
    <s v="tier - 1"/>
    <s v="tier - 2"/>
    <s v="R1013"/>
    <n v="47"/>
    <n v="23.844999999999999"/>
  </r>
  <r>
    <x v="1809"/>
    <s v="Huntington,"/>
    <n v="22.895"/>
    <x v="219"/>
    <s v="No"/>
    <x v="0"/>
    <x v="0"/>
    <x v="1"/>
    <x v="1"/>
    <x v="2"/>
    <x v="2"/>
    <n v="18"/>
    <s v="Dec"/>
    <n v="1962"/>
    <d v="1962-12-18T00:00:00"/>
    <n v="18815.53"/>
    <s v="tier - 1"/>
    <s v="tier - 1"/>
    <s v="R1023"/>
    <n v="64"/>
    <n v="22.895"/>
  </r>
  <r>
    <x v="1810"/>
    <s v="Kendall,"/>
    <n v="21.945"/>
    <x v="191"/>
    <s v="No"/>
    <x v="0"/>
    <x v="0"/>
    <x v="1"/>
    <x v="1"/>
    <x v="2"/>
    <x v="2"/>
    <n v="24"/>
    <s v="Jul"/>
    <n v="2003"/>
    <d v="2003-07-24T00:00:00"/>
    <n v="18838.7"/>
    <s v="tier - 1"/>
    <s v="tier - 3"/>
    <s v="R1012"/>
    <n v="23"/>
    <n v="21.945"/>
  </r>
  <r>
    <x v="1811"/>
    <s v="Gast,"/>
    <n v="19.47"/>
    <x v="414"/>
    <s v="Yes"/>
    <x v="0"/>
    <x v="0"/>
    <x v="0"/>
    <x v="1"/>
    <x v="2"/>
    <x v="0"/>
    <n v="6"/>
    <s v="Dec"/>
    <n v="1963"/>
    <d v="1963-12-06T00:00:00"/>
    <n v="18883.330000000002"/>
    <s v="tier - 1"/>
    <s v="tier - 1"/>
    <s v="R1026"/>
    <n v="63"/>
    <n v="19.47"/>
  </r>
  <r>
    <x v="1812"/>
    <s v="Scanlin,"/>
    <n v="15.61"/>
    <x v="1"/>
    <s v="No"/>
    <x v="0"/>
    <x v="0"/>
    <x v="0"/>
    <x v="1"/>
    <x v="3"/>
    <x v="1"/>
    <n v="27"/>
    <s v="Sep"/>
    <n v="1995"/>
    <d v="1995-09-27T00:00:00"/>
    <n v="18903.490000000002"/>
    <s v="tier - 1"/>
    <s v="tier - 2"/>
    <s v="R1024"/>
    <n v="31"/>
    <n v="15.61"/>
  </r>
  <r>
    <x v="1813"/>
    <s v="Philbrook,"/>
    <n v="28.6"/>
    <x v="633"/>
    <s v="No"/>
    <x v="0"/>
    <x v="1"/>
    <x v="1"/>
    <x v="1"/>
    <x v="1"/>
    <x v="1"/>
    <n v="3"/>
    <s v="Aug"/>
    <n v="1969"/>
    <d v="1969-08-03T00:00:00"/>
    <n v="18932.810000000001"/>
    <s v="tier - 1"/>
    <s v="tier - 3"/>
    <s v="R1012"/>
    <n v="57"/>
    <n v="28.6"/>
  </r>
  <r>
    <x v="1814"/>
    <s v="Cowan,"/>
    <n v="46.53"/>
    <x v="243"/>
    <s v="No"/>
    <x v="0"/>
    <x v="0"/>
    <x v="0"/>
    <x v="1"/>
    <x v="0"/>
    <x v="2"/>
    <n v="20"/>
    <s v="Oct"/>
    <n v="1963"/>
    <d v="1963-10-20T00:00:00"/>
    <n v="18954.560000000001"/>
    <s v="tier - 1"/>
    <s v="tier - 1"/>
    <s v="R1026"/>
    <n v="63"/>
    <n v="46.53"/>
  </r>
  <r>
    <x v="1815"/>
    <s v="Sousa,"/>
    <n v="34.99"/>
    <x v="199"/>
    <s v="No"/>
    <x v="0"/>
    <x v="1"/>
    <x v="1"/>
    <x v="1"/>
    <x v="0"/>
    <x v="2"/>
    <n v="6"/>
    <s v="Aug"/>
    <n v="1998"/>
    <d v="1998-08-06T00:00:00"/>
    <n v="18955.22"/>
    <s v="tier - 1"/>
    <s v="tier - 3"/>
    <s v="R1011"/>
    <n v="28"/>
    <n v="34.99"/>
  </r>
  <r>
    <x v="1816"/>
    <s v="Stanton,"/>
    <n v="17.05"/>
    <x v="351"/>
    <s v="No"/>
    <x v="0"/>
    <x v="1"/>
    <x v="1"/>
    <x v="1"/>
    <x v="3"/>
    <x v="2"/>
    <n v="30"/>
    <s v="Nov"/>
    <n v="1992"/>
    <d v="1992-11-30T00:00:00"/>
    <n v="18963.169999999998"/>
    <s v="tier - 1"/>
    <s v="tier - 1"/>
    <s v="R1013"/>
    <n v="34"/>
    <n v="17.05"/>
  </r>
  <r>
    <x v="1817"/>
    <s v="Mollak,"/>
    <n v="37.18"/>
    <x v="166"/>
    <s v="No"/>
    <x v="0"/>
    <x v="0"/>
    <x v="0"/>
    <x v="1"/>
    <x v="0"/>
    <x v="2"/>
    <n v="24"/>
    <s v="Oct"/>
    <n v="1988"/>
    <d v="1988-10-24T00:00:00"/>
    <n v="18972.5"/>
    <s v="tier - 1"/>
    <s v="tier - 3"/>
    <s v="R1013"/>
    <n v="38"/>
    <n v="37.18"/>
  </r>
  <r>
    <x v="1818"/>
    <s v="Bell,"/>
    <n v="35.200000000000003"/>
    <x v="122"/>
    <s v="No"/>
    <x v="0"/>
    <x v="0"/>
    <x v="0"/>
    <x v="1"/>
    <x v="0"/>
    <x v="2"/>
    <n v="19"/>
    <s v="Dec"/>
    <n v="1983"/>
    <d v="1983-12-19T00:00:00"/>
    <n v="19023.259999999998"/>
    <s v="tier - 1"/>
    <s v="tier - 3"/>
    <s v="R1011"/>
    <n v="43"/>
    <n v="35.200000000000003"/>
  </r>
  <r>
    <x v="1819"/>
    <s v="Weston,"/>
    <n v="37.335000000000001"/>
    <x v="434"/>
    <s v="No"/>
    <x v="0"/>
    <x v="0"/>
    <x v="0"/>
    <x v="1"/>
    <x v="0"/>
    <x v="2"/>
    <n v="5"/>
    <s v="Jun"/>
    <n v="1989"/>
    <d v="1989-06-05T00:00:00"/>
    <n v="19040.88"/>
    <s v="tier - 1"/>
    <s v="tier - 3"/>
    <s v="R1011"/>
    <n v="37"/>
    <n v="37.335000000000001"/>
  </r>
  <r>
    <x v="1820"/>
    <s v="Rabuzzi,"/>
    <n v="27.265000000000001"/>
    <x v="645"/>
    <s v="Yes"/>
    <x v="0"/>
    <x v="0"/>
    <x v="0"/>
    <x v="1"/>
    <x v="1"/>
    <x v="1"/>
    <n v="28"/>
    <s v="Sep"/>
    <n v="1993"/>
    <d v="1993-09-28T00:00:00"/>
    <n v="19107.78"/>
    <s v="tier - 1"/>
    <s v="tier - 2"/>
    <s v="R1013"/>
    <n v="33"/>
    <n v="27.265000000000001"/>
  </r>
  <r>
    <x v="1821"/>
    <s v="Hendrix,"/>
    <n v="30.8"/>
    <x v="166"/>
    <s v="Yes"/>
    <x v="0"/>
    <x v="0"/>
    <x v="0"/>
    <x v="1"/>
    <x v="0"/>
    <x v="2"/>
    <n v="2"/>
    <s v="Jul"/>
    <n v="1979"/>
    <d v="1979-07-02T00:00:00"/>
    <n v="19144.580000000002"/>
    <s v="tier - 1"/>
    <s v="tier - 1"/>
    <s v="R1024"/>
    <n v="47"/>
    <n v="30.8"/>
  </r>
  <r>
    <x v="1822"/>
    <s v="Van"/>
    <n v="30.21"/>
    <x v="127"/>
    <s v="No"/>
    <x v="0"/>
    <x v="0"/>
    <x v="1"/>
    <x v="1"/>
    <x v="0"/>
    <x v="2"/>
    <n v="16"/>
    <s v="Sep"/>
    <n v="1991"/>
    <d v="1991-09-16T00:00:00"/>
    <n v="19199.939999999999"/>
    <s v="tier - 1"/>
    <s v="tier - 3"/>
    <s v="R1011"/>
    <n v="35"/>
    <n v="30.21"/>
  </r>
  <r>
    <x v="1823"/>
    <s v="Blanton,"/>
    <n v="35.340000000000003"/>
    <x v="350"/>
    <s v="No"/>
    <x v="1"/>
    <x v="0"/>
    <x v="1"/>
    <x v="1"/>
    <x v="0"/>
    <x v="2"/>
    <n v="28"/>
    <s v="Dec"/>
    <n v="1985"/>
    <d v="1985-12-28T00:00:00"/>
    <n v="19214.71"/>
    <s v="tier - 1"/>
    <s v="tier - 3"/>
    <s v="R1013"/>
    <n v="41"/>
    <n v="35.340000000000003"/>
  </r>
  <r>
    <x v="1824"/>
    <s v="Schout,"/>
    <n v="26.695"/>
    <x v="124"/>
    <s v="No"/>
    <x v="0"/>
    <x v="0"/>
    <x v="0"/>
    <x v="1"/>
    <x v="1"/>
    <x v="2"/>
    <n v="29"/>
    <s v="Jul"/>
    <n v="1967"/>
    <d v="1967-07-29T00:00:00"/>
    <n v="19259.96"/>
    <s v="tier - 1"/>
    <s v="tier - 1"/>
    <s v="R1012"/>
    <n v="59"/>
    <n v="26.695"/>
  </r>
  <r>
    <x v="1825"/>
    <s v="Schmaltz,"/>
    <n v="29.355"/>
    <x v="82"/>
    <s v="Yes"/>
    <x v="0"/>
    <x v="0"/>
    <x v="0"/>
    <x v="1"/>
    <x v="1"/>
    <x v="2"/>
    <n v="15"/>
    <s v="Nov"/>
    <n v="1966"/>
    <d v="1966-11-15T00:00:00"/>
    <n v="19321.060000000001"/>
    <s v="tier - 1"/>
    <s v="tier - 1"/>
    <s v="R1012"/>
    <n v="60"/>
    <n v="29.355"/>
  </r>
  <r>
    <x v="1826"/>
    <s v="Eagen,"/>
    <n v="29.59"/>
    <x v="81"/>
    <s v="No"/>
    <x v="0"/>
    <x v="0"/>
    <x v="0"/>
    <x v="1"/>
    <x v="1"/>
    <x v="2"/>
    <n v="24"/>
    <s v="Aug"/>
    <n v="1991"/>
    <d v="1991-08-24T00:00:00"/>
    <n v="19350.37"/>
    <s v="tier - 1"/>
    <s v="tier - 3"/>
    <s v="R1013"/>
    <n v="35"/>
    <n v="29.59"/>
  </r>
  <r>
    <x v="1827"/>
    <s v="Rotramel,"/>
    <n v="31.35"/>
    <x v="267"/>
    <s v="No"/>
    <x v="1"/>
    <x v="0"/>
    <x v="1"/>
    <x v="1"/>
    <x v="0"/>
    <x v="2"/>
    <n v="30"/>
    <s v="Jun"/>
    <n v="1987"/>
    <d v="1987-06-30T00:00:00"/>
    <n v="19362"/>
    <s v="tier - 1"/>
    <s v="tier - 3"/>
    <s v="R1013"/>
    <n v="39"/>
    <n v="31.35"/>
  </r>
  <r>
    <x v="1828"/>
    <s v="Prevost,"/>
    <n v="20.52"/>
    <x v="249"/>
    <s v="No"/>
    <x v="0"/>
    <x v="0"/>
    <x v="0"/>
    <x v="1"/>
    <x v="2"/>
    <x v="2"/>
    <n v="6"/>
    <s v="Sep"/>
    <n v="1993"/>
    <d v="1993-09-06T00:00:00"/>
    <n v="19442.349999999999"/>
    <s v="tier - 1"/>
    <s v="tier - 3"/>
    <s v="R1012"/>
    <n v="33"/>
    <n v="20.52"/>
  </r>
  <r>
    <x v="1829"/>
    <s v="Boyd,"/>
    <n v="42.9"/>
    <x v="189"/>
    <s v="Yes"/>
    <x v="0"/>
    <x v="0"/>
    <x v="1"/>
    <x v="1"/>
    <x v="0"/>
    <x v="2"/>
    <n v="15"/>
    <s v="Dec"/>
    <n v="1982"/>
    <d v="1982-12-15T00:00:00"/>
    <n v="19444.27"/>
    <s v="tier - 1"/>
    <s v="tier - 1"/>
    <s v="R1013"/>
    <n v="44"/>
    <n v="42.9"/>
  </r>
  <r>
    <x v="1830"/>
    <s v="Dawes,"/>
    <n v="24.6"/>
    <x v="236"/>
    <s v="No"/>
    <x v="0"/>
    <x v="1"/>
    <x v="1"/>
    <x v="1"/>
    <x v="2"/>
    <x v="1"/>
    <n v="30"/>
    <s v="Nov"/>
    <n v="1987"/>
    <d v="1987-11-30T00:00:00"/>
    <n v="19496.72"/>
    <s v="tier - 1"/>
    <s v="tier - 3"/>
    <s v="R1019"/>
    <n v="39"/>
    <n v="24.6"/>
  </r>
  <r>
    <x v="1831"/>
    <s v="Jennings,"/>
    <n v="28.405000000000001"/>
    <x v="198"/>
    <s v="No"/>
    <x v="0"/>
    <x v="0"/>
    <x v="1"/>
    <x v="1"/>
    <x v="1"/>
    <x v="2"/>
    <n v="8"/>
    <s v="Nov"/>
    <n v="1980"/>
    <d v="1980-11-08T00:00:00"/>
    <n v="19515.54"/>
    <s v="tier - 1"/>
    <s v="tier - 1"/>
    <s v="R1013"/>
    <n v="46"/>
    <n v="28.405000000000001"/>
  </r>
  <r>
    <x v="1832"/>
    <s v="Nyambaso,"/>
    <n v="34.674999999999997"/>
    <x v="268"/>
    <s v="Yes"/>
    <x v="0"/>
    <x v="0"/>
    <x v="1"/>
    <x v="1"/>
    <x v="0"/>
    <x v="1"/>
    <n v="19"/>
    <s v="Aug"/>
    <n v="1992"/>
    <d v="1992-08-19T00:00:00"/>
    <n v="19521.97"/>
    <s v="tier - 1"/>
    <s v="tier - 2"/>
    <s v="R1013"/>
    <n v="34"/>
    <n v="34.674999999999997"/>
  </r>
  <r>
    <x v="1833"/>
    <s v="Shaffer,"/>
    <n v="18.850000000000001"/>
    <x v="100"/>
    <s v="No"/>
    <x v="0"/>
    <x v="0"/>
    <x v="1"/>
    <x v="1"/>
    <x v="2"/>
    <x v="1"/>
    <n v="17"/>
    <s v="Sep"/>
    <n v="1985"/>
    <d v="1985-09-17T00:00:00"/>
    <n v="19539.240000000002"/>
    <s v="tier - 1"/>
    <s v="tier - 1"/>
    <s v="R1013"/>
    <n v="41"/>
    <n v="18.850000000000001"/>
  </r>
  <r>
    <x v="1834"/>
    <s v="Corkum,"/>
    <n v="34.130000000000003"/>
    <x v="120"/>
    <s v="No"/>
    <x v="0"/>
    <x v="1"/>
    <x v="1"/>
    <x v="1"/>
    <x v="0"/>
    <x v="2"/>
    <n v="14"/>
    <s v="Jul"/>
    <n v="1963"/>
    <d v="1963-07-14T00:00:00"/>
    <n v="19551.34"/>
    <s v="tier - 1"/>
    <s v="tier - 3"/>
    <s v="R1012"/>
    <n v="63"/>
    <n v="34.130000000000003"/>
  </r>
  <r>
    <x v="1835"/>
    <s v="Pedersen,"/>
    <n v="17.34"/>
    <x v="203"/>
    <s v="No"/>
    <x v="0"/>
    <x v="0"/>
    <x v="0"/>
    <x v="1"/>
    <x v="3"/>
    <x v="2"/>
    <n v="24"/>
    <s v="Sep"/>
    <n v="1978"/>
    <d v="1978-09-24T00:00:00"/>
    <n v="19594.810000000001"/>
    <s v="tier - 1"/>
    <s v="tier - 1"/>
    <s v="R1024"/>
    <n v="48"/>
    <n v="17.34"/>
  </r>
  <r>
    <x v="1836"/>
    <s v="Melo,"/>
    <n v="17.440000000000001"/>
    <x v="106"/>
    <s v="No"/>
    <x v="0"/>
    <x v="0"/>
    <x v="0"/>
    <x v="1"/>
    <x v="3"/>
    <x v="1"/>
    <n v="27"/>
    <s v="Aug"/>
    <n v="1994"/>
    <d v="1994-08-27T00:00:00"/>
    <n v="19673.34"/>
    <s v="tier - 1"/>
    <s v="tier - 2"/>
    <s v="R1012"/>
    <n v="32"/>
    <n v="17.440000000000001"/>
  </r>
  <r>
    <x v="1837"/>
    <s v="Sakamoto,"/>
    <n v="33.659999999999997"/>
    <x v="336"/>
    <s v="Yes"/>
    <x v="0"/>
    <x v="1"/>
    <x v="1"/>
    <x v="1"/>
    <x v="0"/>
    <x v="2"/>
    <n v="8"/>
    <s v="Aug"/>
    <n v="1990"/>
    <d v="1990-08-08T00:00:00"/>
    <n v="19719.689999999999"/>
    <s v="tier - 1"/>
    <s v="tier - 2"/>
    <s v="R1013"/>
    <n v="36"/>
    <n v="33.659999999999997"/>
  </r>
  <r>
    <x v="1838"/>
    <s v="McMahon,"/>
    <n v="21.375"/>
    <x v="364"/>
    <s v="Yes"/>
    <x v="0"/>
    <x v="0"/>
    <x v="1"/>
    <x v="1"/>
    <x v="2"/>
    <x v="1"/>
    <n v="14"/>
    <s v="Jun"/>
    <n v="1972"/>
    <d v="1972-06-14T00:00:00"/>
    <n v="19749.38"/>
    <s v="tier - 1"/>
    <s v="tier - 3"/>
    <s v="R1013"/>
    <n v="54"/>
    <n v="21.375"/>
  </r>
  <r>
    <x v="1839"/>
    <s v="Harris,"/>
    <n v="27.14"/>
    <x v="214"/>
    <s v="No"/>
    <x v="0"/>
    <x v="0"/>
    <x v="1"/>
    <x v="1"/>
    <x v="1"/>
    <x v="1"/>
    <n v="30"/>
    <s v="Oct"/>
    <n v="1979"/>
    <d v="1979-10-30T00:00:00"/>
    <n v="19798.05"/>
    <s v="tier - 1"/>
    <s v="tier - 1"/>
    <s v="R1024"/>
    <n v="47"/>
    <n v="27.14"/>
  </r>
  <r>
    <x v="1840"/>
    <s v="Lombardo,"/>
    <n v="35.78"/>
    <x v="6"/>
    <s v="No"/>
    <x v="1"/>
    <x v="0"/>
    <x v="1"/>
    <x v="1"/>
    <x v="0"/>
    <x v="1"/>
    <n v="18"/>
    <s v="Oct"/>
    <n v="1997"/>
    <d v="1997-10-18T00:00:00"/>
    <n v="19933.46"/>
    <s v="tier - 1"/>
    <s v="tier - 3"/>
    <s v="R1011"/>
    <n v="29"/>
    <n v="35.78"/>
  </r>
  <r>
    <x v="1841"/>
    <s v="Bode,"/>
    <n v="34.96"/>
    <x v="505"/>
    <s v="No"/>
    <x v="0"/>
    <x v="0"/>
    <x v="0"/>
    <x v="1"/>
    <x v="0"/>
    <x v="2"/>
    <n v="9"/>
    <s v="Oct"/>
    <n v="1980"/>
    <d v="1980-10-09T00:00:00"/>
    <n v="19964.75"/>
    <s v="tier - 1"/>
    <s v="tier - 2"/>
    <s v="R1024"/>
    <n v="46"/>
    <n v="34.96"/>
  </r>
  <r>
    <x v="1842"/>
    <s v="Johnson,"/>
    <n v="38.39"/>
    <x v="3"/>
    <s v="No"/>
    <x v="0"/>
    <x v="0"/>
    <x v="0"/>
    <x v="1"/>
    <x v="0"/>
    <x v="1"/>
    <n v="10"/>
    <s v="Aug"/>
    <n v="1966"/>
    <d v="1966-08-10T00:00:00"/>
    <n v="19995.29"/>
    <s v="tier - 1"/>
    <s v="tier - 3"/>
    <s v="R1026"/>
    <n v="60"/>
    <n v="38.39"/>
  </r>
  <r>
    <x v="1843"/>
    <s v="Norcross,"/>
    <n v="33.82"/>
    <x v="346"/>
    <s v="No"/>
    <x v="0"/>
    <x v="0"/>
    <x v="0"/>
    <x v="1"/>
    <x v="0"/>
    <x v="2"/>
    <n v="25"/>
    <s v="Jul"/>
    <n v="1988"/>
    <d v="1988-07-25T00:00:00"/>
    <n v="20009.63"/>
    <s v="tier - 2"/>
    <s v="tier - 1"/>
    <s v="R1012"/>
    <n v="38"/>
    <n v="33.82"/>
  </r>
  <r>
    <x v="1844"/>
    <s v="Lazrus,"/>
    <n v="27.835000000000001"/>
    <x v="191"/>
    <s v="No"/>
    <x v="0"/>
    <x v="0"/>
    <x v="0"/>
    <x v="1"/>
    <x v="1"/>
    <x v="2"/>
    <n v="6"/>
    <s v="Oct"/>
    <n v="1983"/>
    <d v="1983-10-06T00:00:00"/>
    <n v="20149.32"/>
    <s v="tier - 2"/>
    <s v="tier - 1"/>
    <s v="R1016"/>
    <n v="43"/>
    <n v="27.835000000000001"/>
  </r>
  <r>
    <x v="1845"/>
    <s v="Tsegay,"/>
    <n v="33"/>
    <x v="125"/>
    <s v="No"/>
    <x v="0"/>
    <x v="0"/>
    <x v="0"/>
    <x v="1"/>
    <x v="0"/>
    <x v="2"/>
    <n v="9"/>
    <s v="Jul"/>
    <n v="2002"/>
    <d v="2002-07-09T00:00:00"/>
    <n v="20167.34"/>
    <s v="tier - 3"/>
    <s v="tier - 3"/>
    <s v="R1011"/>
    <n v="24"/>
    <n v="33"/>
  </r>
  <r>
    <x v="1846"/>
    <s v="Schneider,"/>
    <n v="26.885000000000002"/>
    <x v="236"/>
    <s v="No"/>
    <x v="0"/>
    <x v="0"/>
    <x v="0"/>
    <x v="1"/>
    <x v="1"/>
    <x v="1"/>
    <n v="8"/>
    <s v="Jun"/>
    <n v="1994"/>
    <d v="1994-06-08T00:00:00"/>
    <n v="20177.669999999998"/>
    <s v="tier - 2"/>
    <s v="tier - 1"/>
    <s v="R1011"/>
    <n v="32"/>
    <n v="26.885000000000002"/>
  </r>
  <r>
    <x v="1847"/>
    <s v="Loreto,"/>
    <n v="29.26"/>
    <x v="320"/>
    <s v="No"/>
    <x v="0"/>
    <x v="0"/>
    <x v="0"/>
    <x v="1"/>
    <x v="1"/>
    <x v="2"/>
    <n v="17"/>
    <s v="Oct"/>
    <n v="1987"/>
    <d v="1987-10-17T00:00:00"/>
    <n v="20234.849999999999"/>
    <s v="tier - 2"/>
    <s v="tier - 3"/>
    <s v="R1012"/>
    <n v="39"/>
    <n v="29.26"/>
  </r>
  <r>
    <x v="1848"/>
    <s v="Callahan,"/>
    <n v="26.98"/>
    <x v="498"/>
    <s v="No"/>
    <x v="0"/>
    <x v="0"/>
    <x v="0"/>
    <x v="1"/>
    <x v="1"/>
    <x v="2"/>
    <n v="22"/>
    <s v="Aug"/>
    <n v="1966"/>
    <d v="1966-08-22T00:00:00"/>
    <n v="20253.84"/>
    <s v="tier - 2"/>
    <s v="tier - 3"/>
    <s v="R1012"/>
    <n v="60"/>
    <n v="26.98"/>
  </r>
  <r>
    <x v="1849"/>
    <s v="Timko,"/>
    <n v="32.11"/>
    <x v="27"/>
    <s v="No"/>
    <x v="0"/>
    <x v="1"/>
    <x v="1"/>
    <x v="1"/>
    <x v="0"/>
    <x v="2"/>
    <n v="7"/>
    <s v="Sep"/>
    <n v="1993"/>
    <d v="1993-09-07T00:00:00"/>
    <n v="20277.810000000001"/>
    <s v="tier - 3"/>
    <s v="tier - 3"/>
    <s v="R1016"/>
    <n v="33"/>
    <n v="32.11"/>
  </r>
  <r>
    <x v="1850"/>
    <s v="Achatz,"/>
    <n v="31.73"/>
    <x v="360"/>
    <s v="No"/>
    <x v="0"/>
    <x v="1"/>
    <x v="1"/>
    <x v="1"/>
    <x v="0"/>
    <x v="2"/>
    <n v="17"/>
    <s v="Sep"/>
    <n v="1985"/>
    <d v="1985-09-17T00:00:00"/>
    <n v="20296.86"/>
    <s v="tier - 3"/>
    <s v="tier - 1"/>
    <s v="R1024"/>
    <n v="41"/>
    <n v="31.73"/>
  </r>
  <r>
    <x v="1851"/>
    <s v="Horwitz,"/>
    <n v="22.515000000000001"/>
    <x v="180"/>
    <s v="No"/>
    <x v="0"/>
    <x v="0"/>
    <x v="0"/>
    <x v="1"/>
    <x v="2"/>
    <x v="2"/>
    <n v="2"/>
    <s v="Jul"/>
    <n v="1962"/>
    <d v="1962-07-02T00:00:00"/>
    <n v="20354.5"/>
    <s v="tier - 3"/>
    <s v="tier - 2"/>
    <s v="R1026"/>
    <n v="64"/>
    <n v="22.515000000000001"/>
  </r>
  <r>
    <x v="1852"/>
    <s v="Gordyan,"/>
    <n v="25.9"/>
    <x v="4"/>
    <s v="No"/>
    <x v="0"/>
    <x v="0"/>
    <x v="1"/>
    <x v="1"/>
    <x v="1"/>
    <x v="2"/>
    <n v="12"/>
    <s v="Jul"/>
    <n v="1985"/>
    <d v="1985-07-12T00:00:00"/>
    <n v="20420.599999999999"/>
    <s v="tier - 3"/>
    <s v="tier - 2"/>
    <s v="R1011"/>
    <n v="41"/>
    <n v="25.9"/>
  </r>
  <r>
    <x v="1853"/>
    <s v="Hetherington,"/>
    <n v="27.72"/>
    <x v="52"/>
    <s v="Yes"/>
    <x v="0"/>
    <x v="0"/>
    <x v="1"/>
    <x v="1"/>
    <x v="1"/>
    <x v="2"/>
    <n v="18"/>
    <s v="Oct"/>
    <n v="1962"/>
    <d v="1962-10-18T00:00:00"/>
    <n v="20446.849999999999"/>
    <s v="tier - 2"/>
    <s v="tier - 1"/>
    <s v="R1012"/>
    <n v="64"/>
    <n v="27.72"/>
  </r>
  <r>
    <x v="1854"/>
    <s v="Thompson,"/>
    <n v="31.5"/>
    <x v="383"/>
    <s v="Yes"/>
    <x v="0"/>
    <x v="0"/>
    <x v="1"/>
    <x v="1"/>
    <x v="0"/>
    <x v="0"/>
    <n v="13"/>
    <s v="Oct"/>
    <n v="1969"/>
    <d v="1969-10-13T00:00:00"/>
    <n v="20463"/>
    <s v="tier - 2"/>
    <s v="tier - 2"/>
    <s v="R1013"/>
    <n v="57"/>
    <n v="31.5"/>
  </r>
  <r>
    <x v="1855"/>
    <s v="Battoo,"/>
    <n v="29.7"/>
    <x v="646"/>
    <s v="Yes"/>
    <x v="0"/>
    <x v="0"/>
    <x v="1"/>
    <x v="1"/>
    <x v="1"/>
    <x v="0"/>
    <n v="9"/>
    <s v="Jul"/>
    <n v="1966"/>
    <d v="1966-07-09T00:00:00"/>
    <n v="20568.32"/>
    <s v="tier - 3"/>
    <s v="tier - 2"/>
    <s v="R1012"/>
    <n v="60"/>
    <n v="29.7"/>
  </r>
  <r>
    <x v="1856"/>
    <s v="Barker,"/>
    <n v="21.26"/>
    <x v="331"/>
    <s v="Yes"/>
    <x v="0"/>
    <x v="0"/>
    <x v="1"/>
    <x v="1"/>
    <x v="2"/>
    <x v="2"/>
    <n v="17"/>
    <s v="Dec"/>
    <n v="1967"/>
    <d v="1967-12-17T00:00:00"/>
    <n v="20630.28"/>
    <s v="tier - 2"/>
    <s v="tier - 3"/>
    <s v="R1011"/>
    <n v="59"/>
    <n v="21.26"/>
  </r>
  <r>
    <x v="1857"/>
    <s v="Saarnilehto,"/>
    <n v="17.09"/>
    <x v="362"/>
    <s v="No"/>
    <x v="0"/>
    <x v="0"/>
    <x v="0"/>
    <x v="1"/>
    <x v="3"/>
    <x v="2"/>
    <n v="1"/>
    <s v="Aug"/>
    <n v="1965"/>
    <d v="1965-08-01T00:00:00"/>
    <n v="20709.02"/>
    <s v="tier - 3"/>
    <s v="tier - 2"/>
    <s v="R1019"/>
    <n v="61"/>
    <n v="17.09"/>
  </r>
  <r>
    <x v="1858"/>
    <s v="Morton,"/>
    <n v="24.3"/>
    <x v="166"/>
    <s v="Yes"/>
    <x v="0"/>
    <x v="1"/>
    <x v="1"/>
    <x v="1"/>
    <x v="2"/>
    <x v="2"/>
    <n v="14"/>
    <s v="Sep"/>
    <n v="1992"/>
    <d v="1992-09-14T00:00:00"/>
    <n v="20745.990000000002"/>
    <s v="tier - 3"/>
    <s v="tier - 1"/>
    <s v="R1012"/>
    <n v="34"/>
    <n v="24.3"/>
  </r>
  <r>
    <x v="1859"/>
    <s v="Thomas,"/>
    <n v="29.734999999999999"/>
    <x v="123"/>
    <s v="No"/>
    <x v="0"/>
    <x v="0"/>
    <x v="0"/>
    <x v="1"/>
    <x v="1"/>
    <x v="1"/>
    <n v="4"/>
    <s v="Aug"/>
    <n v="1986"/>
    <d v="1986-08-04T00:00:00"/>
    <n v="20773.63"/>
    <s v="tier - 2"/>
    <s v="tier - 3"/>
    <s v="R1017"/>
    <n v="40"/>
    <n v="29.734999999999999"/>
  </r>
  <r>
    <x v="1860"/>
    <s v="Hillman,"/>
    <n v="29.26"/>
    <x v="574"/>
    <s v="No"/>
    <x v="0"/>
    <x v="0"/>
    <x v="0"/>
    <x v="1"/>
    <x v="1"/>
    <x v="2"/>
    <n v="8"/>
    <s v="Sep"/>
    <n v="1967"/>
    <d v="1967-09-08T00:00:00"/>
    <n v="20781.490000000002"/>
    <s v="tier - 2"/>
    <s v="tier - 3"/>
    <s v="R1013"/>
    <n v="59"/>
    <n v="29.26"/>
  </r>
  <r>
    <x v="1861"/>
    <s v="Edwards,"/>
    <n v="33"/>
    <x v="287"/>
    <s v="No"/>
    <x v="0"/>
    <x v="0"/>
    <x v="0"/>
    <x v="1"/>
    <x v="0"/>
    <x v="1"/>
    <n v="8"/>
    <s v="Dec"/>
    <n v="1975"/>
    <d v="1975-12-08T00:00:00"/>
    <n v="20878.78"/>
    <s v="tier - 2"/>
    <s v="tier - 1"/>
    <s v="R1024"/>
    <n v="51"/>
    <n v="33"/>
  </r>
  <r>
    <x v="1862"/>
    <s v="Bartel,"/>
    <n v="31.065000000000001"/>
    <x v="80"/>
    <s v="No"/>
    <x v="0"/>
    <x v="0"/>
    <x v="0"/>
    <x v="1"/>
    <x v="0"/>
    <x v="2"/>
    <n v="19"/>
    <s v="Nov"/>
    <n v="1964"/>
    <d v="1964-11-19T00:00:00"/>
    <n v="20893.060000000001"/>
    <s v="tier - 2"/>
    <s v="tier - 3"/>
    <s v="R1012"/>
    <n v="62"/>
    <n v="31.065000000000001"/>
  </r>
  <r>
    <x v="1863"/>
    <s v="Potekhina,"/>
    <n v="26.51"/>
    <x v="330"/>
    <s v="No"/>
    <x v="0"/>
    <x v="0"/>
    <x v="0"/>
    <x v="1"/>
    <x v="1"/>
    <x v="1"/>
    <n v="27"/>
    <s v="Nov"/>
    <n v="1987"/>
    <d v="1987-11-27T00:00:00"/>
    <n v="20984.09"/>
    <s v="tier - 2"/>
    <s v="tier - 2"/>
    <s v="R1015"/>
    <n v="39"/>
    <n v="26.51"/>
  </r>
  <r>
    <x v="1864"/>
    <s v="Kelly,"/>
    <n v="28.88"/>
    <x v="98"/>
    <s v="No"/>
    <x v="0"/>
    <x v="0"/>
    <x v="0"/>
    <x v="1"/>
    <x v="1"/>
    <x v="2"/>
    <n v="2"/>
    <s v="Jul"/>
    <n v="1983"/>
    <d v="1983-07-02T00:00:00"/>
    <n v="21082.16"/>
    <s v="tier - 3"/>
    <s v="tier - 2"/>
    <s v="R1011"/>
    <n v="43"/>
    <n v="28.88"/>
  </r>
  <r>
    <x v="1865"/>
    <s v="Lapp,"/>
    <n v="35.814999999999998"/>
    <x v="78"/>
    <s v="Yes"/>
    <x v="0"/>
    <x v="0"/>
    <x v="1"/>
    <x v="1"/>
    <x v="0"/>
    <x v="2"/>
    <n v="23"/>
    <s v="Nov"/>
    <n v="1977"/>
    <d v="1977-11-23T00:00:00"/>
    <n v="21098.55"/>
    <s v="tier - 3"/>
    <s v="tier - 3"/>
    <s v="R1012"/>
    <n v="49"/>
    <n v="35.814999999999998"/>
  </r>
  <r>
    <x v="1866"/>
    <s v="Burke,"/>
    <n v="21.28"/>
    <x v="456"/>
    <s v="No"/>
    <x v="1"/>
    <x v="0"/>
    <x v="1"/>
    <x v="1"/>
    <x v="2"/>
    <x v="2"/>
    <n v="26"/>
    <s v="Aug"/>
    <n v="1969"/>
    <d v="1969-08-26T00:00:00"/>
    <n v="21195.82"/>
    <s v="tier - 3"/>
    <s v="tier - 1"/>
    <s v="R1013"/>
    <n v="57"/>
    <n v="21.28"/>
  </r>
  <r>
    <x v="1867"/>
    <s v="Barry,"/>
    <n v="33.81"/>
    <x v="647"/>
    <s v="No"/>
    <x v="0"/>
    <x v="1"/>
    <x v="1"/>
    <x v="1"/>
    <x v="0"/>
    <x v="1"/>
    <n v="14"/>
    <s v="Oct"/>
    <n v="1974"/>
    <d v="1974-10-14T00:00:00"/>
    <n v="21223.68"/>
    <s v="tier - 3"/>
    <s v="tier - 2"/>
    <s v="R1013"/>
    <n v="52"/>
    <n v="33.81"/>
  </r>
  <r>
    <x v="1868"/>
    <s v="McCormick,"/>
    <n v="44.22"/>
    <x v="40"/>
    <s v="No"/>
    <x v="0"/>
    <x v="0"/>
    <x v="1"/>
    <x v="1"/>
    <x v="0"/>
    <x v="2"/>
    <n v="3"/>
    <s v="Sep"/>
    <n v="1974"/>
    <d v="1974-09-03T00:00:00"/>
    <n v="21232.18"/>
    <s v="tier - 3"/>
    <s v="tier - 2"/>
    <s v="R1011"/>
    <n v="52"/>
    <n v="44.22"/>
  </r>
  <r>
    <x v="1869"/>
    <s v="McElroy,"/>
    <n v="15.46"/>
    <x v="115"/>
    <s v="Yes"/>
    <x v="0"/>
    <x v="1"/>
    <x v="1"/>
    <x v="1"/>
    <x v="3"/>
    <x v="2"/>
    <n v="10"/>
    <s v="Dec"/>
    <n v="1980"/>
    <d v="1980-12-10T00:00:00"/>
    <n v="21259.38"/>
    <s v="tier - 3"/>
    <s v="tier - 3"/>
    <s v="R1019"/>
    <n v="46"/>
    <n v="15.46"/>
  </r>
  <r>
    <x v="1870"/>
    <s v="Coffed,"/>
    <n v="30.3"/>
    <x v="370"/>
    <s v="Yes"/>
    <x v="0"/>
    <x v="0"/>
    <x v="1"/>
    <x v="1"/>
    <x v="0"/>
    <x v="2"/>
    <n v="4"/>
    <s v="Aug"/>
    <n v="2004"/>
    <d v="2004-08-04T00:00:00"/>
    <n v="21344.85"/>
    <s v="tier - 3"/>
    <s v="tier - 1"/>
    <s v="R1024"/>
    <n v="22"/>
    <n v="30.3"/>
  </r>
  <r>
    <x v="1871"/>
    <s v="Estes,"/>
    <n v="16.670000000000002"/>
    <x v="338"/>
    <s v="No"/>
    <x v="0"/>
    <x v="0"/>
    <x v="0"/>
    <x v="1"/>
    <x v="3"/>
    <x v="2"/>
    <n v="4"/>
    <s v="Sep"/>
    <n v="1980"/>
    <d v="1980-09-04T00:00:00"/>
    <n v="21348.71"/>
    <s v="tier - 2"/>
    <s v="tier - 1"/>
    <s v="R1012"/>
    <n v="46"/>
    <n v="16.670000000000002"/>
  </r>
  <r>
    <x v="1872"/>
    <s v="Miles,"/>
    <n v="28.594999999999999"/>
    <x v="506"/>
    <s v="No"/>
    <x v="0"/>
    <x v="0"/>
    <x v="0"/>
    <x v="1"/>
    <x v="1"/>
    <x v="2"/>
    <n v="21"/>
    <s v="Nov"/>
    <n v="1990"/>
    <d v="1990-11-21T00:00:00"/>
    <n v="21472.48"/>
    <s v="tier - 2"/>
    <s v="tier - 2"/>
    <s v="R1012"/>
    <n v="36"/>
    <n v="28.594999999999999"/>
  </r>
  <r>
    <x v="1873"/>
    <s v="Zamore,"/>
    <n v="25.934999999999999"/>
    <x v="144"/>
    <s v="No"/>
    <x v="0"/>
    <x v="0"/>
    <x v="0"/>
    <x v="1"/>
    <x v="1"/>
    <x v="2"/>
    <n v="12"/>
    <s v="Jun"/>
    <n v="1999"/>
    <d v="1999-06-12T00:00:00"/>
    <n v="21595.38"/>
    <s v="tier - 2"/>
    <s v="tier - 3"/>
    <s v="R1012"/>
    <n v="27"/>
    <n v="25.934999999999999"/>
  </r>
  <r>
    <x v="1874"/>
    <s v="Donaghy,"/>
    <n v="27.645"/>
    <x v="174"/>
    <s v="No"/>
    <x v="0"/>
    <x v="0"/>
    <x v="1"/>
    <x v="1"/>
    <x v="1"/>
    <x v="2"/>
    <n v="25"/>
    <s v="Dec"/>
    <n v="1983"/>
    <d v="1983-12-25T00:00:00"/>
    <n v="21659.93"/>
    <s v="tier - 3"/>
    <s v="tier - 3"/>
    <s v="R1024"/>
    <n v="43"/>
    <n v="27.645"/>
  </r>
  <r>
    <x v="1875"/>
    <s v="Kennedy,"/>
    <n v="30.1"/>
    <x v="298"/>
    <s v="No"/>
    <x v="0"/>
    <x v="0"/>
    <x v="1"/>
    <x v="1"/>
    <x v="0"/>
    <x v="2"/>
    <n v="16"/>
    <s v="Nov"/>
    <n v="1962"/>
    <d v="1962-11-16T00:00:00"/>
    <n v="21661.16"/>
    <s v="tier - 2"/>
    <s v="tier - 2"/>
    <s v="R1012"/>
    <n v="64"/>
    <n v="30.1"/>
  </r>
  <r>
    <x v="1876"/>
    <s v="Fiorini,"/>
    <n v="26.79"/>
    <x v="96"/>
    <s v="Yes"/>
    <x v="0"/>
    <x v="1"/>
    <x v="1"/>
    <x v="1"/>
    <x v="1"/>
    <x v="0"/>
    <n v="18"/>
    <s v="Jul"/>
    <n v="1976"/>
    <d v="1976-07-18T00:00:00"/>
    <n v="21677.279999999999"/>
    <s v="tier - 3"/>
    <s v="tier - 1"/>
    <s v="R1012"/>
    <n v="50"/>
    <n v="26.79"/>
  </r>
  <r>
    <x v="1877"/>
    <s v="Alexander,"/>
    <n v="27.1"/>
    <x v="138"/>
    <s v="Yes"/>
    <x v="0"/>
    <x v="0"/>
    <x v="1"/>
    <x v="1"/>
    <x v="1"/>
    <x v="2"/>
    <n v="20"/>
    <s v="Sep"/>
    <n v="1979"/>
    <d v="1979-09-20T00:00:00"/>
    <n v="21771.34"/>
    <s v="tier - 3"/>
    <s v="tier - 1"/>
    <s v="R1024"/>
    <n v="47"/>
    <n v="27.1"/>
  </r>
  <r>
    <x v="1878"/>
    <s v="Watkins,"/>
    <n v="24.31"/>
    <x v="66"/>
    <s v="No"/>
    <x v="0"/>
    <x v="0"/>
    <x v="0"/>
    <x v="1"/>
    <x v="2"/>
    <x v="2"/>
    <n v="28"/>
    <s v="Sep"/>
    <n v="1979"/>
    <d v="1979-09-28T00:00:00"/>
    <n v="21774.32"/>
    <s v="tier - 3"/>
    <s v="tier - 2"/>
    <s v="R1012"/>
    <n v="47"/>
    <n v="24.31"/>
  </r>
  <r>
    <x v="1879"/>
    <s v="Cassel,"/>
    <n v="15.53"/>
    <x v="335"/>
    <s v="No"/>
    <x v="0"/>
    <x v="0"/>
    <x v="1"/>
    <x v="1"/>
    <x v="3"/>
    <x v="1"/>
    <n v="27"/>
    <s v="Aug"/>
    <n v="1963"/>
    <d v="1963-08-27T00:00:00"/>
    <n v="21797"/>
    <s v="tier - 3"/>
    <s v="tier - 1"/>
    <s v="R1011"/>
    <n v="63"/>
    <n v="15.53"/>
  </r>
  <r>
    <x v="1880"/>
    <s v="Ferguson,"/>
    <n v="30.7"/>
    <x v="99"/>
    <s v="No"/>
    <x v="0"/>
    <x v="0"/>
    <x v="1"/>
    <x v="1"/>
    <x v="0"/>
    <x v="1"/>
    <n v="17"/>
    <s v="Aug"/>
    <n v="1979"/>
    <d v="1979-08-17T00:00:00"/>
    <n v="21880.82"/>
    <s v="tier - 3"/>
    <s v="tier - 1"/>
    <s v="R1012"/>
    <n v="47"/>
    <n v="30.7"/>
  </r>
  <r>
    <x v="1881"/>
    <s v="O'Sullivan,"/>
    <n v="33.33"/>
    <x v="48"/>
    <s v="No"/>
    <x v="0"/>
    <x v="0"/>
    <x v="1"/>
    <x v="1"/>
    <x v="0"/>
    <x v="2"/>
    <n v="28"/>
    <s v="Sep"/>
    <n v="2003"/>
    <d v="2003-09-28T00:00:00"/>
    <n v="21882.400000000001"/>
    <s v="tier - 2"/>
    <s v="tier - 1"/>
    <s v="R1011"/>
    <n v="23"/>
    <n v="33.33"/>
  </r>
  <r>
    <x v="1882"/>
    <s v="Chepkirui,"/>
    <n v="32.4"/>
    <x v="31"/>
    <s v="No"/>
    <x v="0"/>
    <x v="0"/>
    <x v="1"/>
    <x v="1"/>
    <x v="0"/>
    <x v="2"/>
    <n v="19"/>
    <s v="Dec"/>
    <n v="1975"/>
    <d v="1975-12-19T00:00:00"/>
    <n v="21978.68"/>
    <s v="tier - 3"/>
    <s v="tier - 3"/>
    <s v="R1013"/>
    <n v="51"/>
    <n v="32.4"/>
  </r>
  <r>
    <x v="1883"/>
    <s v="Gurney,"/>
    <n v="27.93"/>
    <x v="448"/>
    <s v="No"/>
    <x v="0"/>
    <x v="0"/>
    <x v="1"/>
    <x v="1"/>
    <x v="1"/>
    <x v="2"/>
    <n v="14"/>
    <s v="Oct"/>
    <n v="1989"/>
    <d v="1989-10-14T00:00:00"/>
    <n v="21984.47"/>
    <s v="tier - 3"/>
    <s v="tier - 1"/>
    <s v="R1012"/>
    <n v="37"/>
    <n v="27.93"/>
  </r>
  <r>
    <x v="1884"/>
    <s v="Francis,"/>
    <n v="21.754999999999999"/>
    <x v="89"/>
    <s v="No"/>
    <x v="0"/>
    <x v="0"/>
    <x v="0"/>
    <x v="1"/>
    <x v="2"/>
    <x v="2"/>
    <n v="28"/>
    <s v="Aug"/>
    <n v="2001"/>
    <d v="2001-08-28T00:00:00"/>
    <n v="22097.62"/>
    <s v="tier - 3"/>
    <s v="tier - 1"/>
    <s v="R1011"/>
    <n v="25"/>
    <n v="21.754999999999999"/>
  </r>
  <r>
    <x v="1885"/>
    <s v="Gruca,"/>
    <n v="25.934999999999999"/>
    <x v="434"/>
    <s v="No"/>
    <x v="0"/>
    <x v="0"/>
    <x v="0"/>
    <x v="1"/>
    <x v="1"/>
    <x v="2"/>
    <n v="12"/>
    <s v="Sep"/>
    <n v="1980"/>
    <d v="1980-09-12T00:00:00"/>
    <n v="22144.03"/>
    <s v="tier - 2"/>
    <s v="tier - 2"/>
    <s v="R1011"/>
    <n v="46"/>
    <n v="25.934999999999999"/>
  </r>
  <r>
    <x v="1886"/>
    <s v="Rojas"/>
    <n v="31.5"/>
    <x v="631"/>
    <s v="No"/>
    <x v="0"/>
    <x v="0"/>
    <x v="0"/>
    <x v="1"/>
    <x v="0"/>
    <x v="1"/>
    <n v="24"/>
    <s v="Aug"/>
    <n v="1965"/>
    <d v="1965-08-24T00:00:00"/>
    <n v="22192.44"/>
    <s v="tier - 3"/>
    <s v="tier - 1"/>
    <s v="R1013"/>
    <n v="61"/>
    <n v="31.5"/>
  </r>
  <r>
    <x v="1887"/>
    <s v="Denton,"/>
    <n v="30.03"/>
    <x v="648"/>
    <s v="No"/>
    <x v="0"/>
    <x v="0"/>
    <x v="0"/>
    <x v="1"/>
    <x v="0"/>
    <x v="1"/>
    <n v="16"/>
    <s v="Jun"/>
    <n v="1971"/>
    <d v="1971-06-16T00:00:00"/>
    <n v="22218.11"/>
    <s v="tier - 2"/>
    <s v="tier - 3"/>
    <s v="R1013"/>
    <n v="55"/>
    <n v="30.03"/>
  </r>
  <r>
    <x v="1888"/>
    <s v="Mason,"/>
    <n v="33.479999999999997"/>
    <x v="649"/>
    <s v="No"/>
    <x v="0"/>
    <x v="0"/>
    <x v="0"/>
    <x v="1"/>
    <x v="0"/>
    <x v="0"/>
    <n v="27"/>
    <s v="Dec"/>
    <n v="1982"/>
    <d v="1982-12-27T00:00:00"/>
    <n v="22331.57"/>
    <s v="tier - 2"/>
    <s v="tier - 3"/>
    <s v="R1024"/>
    <n v="44"/>
    <n v="33.479999999999997"/>
  </r>
  <r>
    <x v="1889"/>
    <s v="Trout,"/>
    <n v="16.510000000000002"/>
    <x v="611"/>
    <s v="Yes"/>
    <x v="0"/>
    <x v="1"/>
    <x v="1"/>
    <x v="1"/>
    <x v="3"/>
    <x v="2"/>
    <n v="26"/>
    <s v="Aug"/>
    <n v="1999"/>
    <d v="1999-08-26T00:00:00"/>
    <n v="22395.74"/>
    <s v="tier - 3"/>
    <s v="tier - 2"/>
    <s v="R1024"/>
    <n v="27"/>
    <n v="16.510000000000002"/>
  </r>
  <r>
    <x v="1890"/>
    <s v="Gilbert,"/>
    <n v="33.155000000000001"/>
    <x v="351"/>
    <s v="Yes"/>
    <x v="0"/>
    <x v="0"/>
    <x v="1"/>
    <x v="1"/>
    <x v="0"/>
    <x v="2"/>
    <n v="18"/>
    <s v="Aug"/>
    <n v="1966"/>
    <d v="1966-08-18T00:00:00"/>
    <n v="22412.65"/>
    <s v="tier - 3"/>
    <s v="tier - 3"/>
    <s v="R1014"/>
    <n v="60"/>
    <n v="33.155000000000001"/>
  </r>
  <r>
    <x v="1891"/>
    <s v="Chong,"/>
    <n v="37.29"/>
    <x v="202"/>
    <s v="No"/>
    <x v="0"/>
    <x v="1"/>
    <x v="1"/>
    <x v="1"/>
    <x v="0"/>
    <x v="2"/>
    <n v="21"/>
    <s v="Dec"/>
    <n v="1983"/>
    <d v="1983-12-21T00:00:00"/>
    <n v="22462.04"/>
    <s v="tier - 3"/>
    <s v="tier - 1"/>
    <s v="R1019"/>
    <n v="43"/>
    <n v="37.29"/>
  </r>
  <r>
    <x v="1892"/>
    <s v="Henry,"/>
    <n v="20.23"/>
    <x v="631"/>
    <s v="Yes"/>
    <x v="0"/>
    <x v="0"/>
    <x v="1"/>
    <x v="1"/>
    <x v="2"/>
    <x v="1"/>
    <n v="14"/>
    <s v="Nov"/>
    <n v="1979"/>
    <d v="1979-11-14T00:00:00"/>
    <n v="22478.6"/>
    <s v="tier - 3"/>
    <s v="tier - 2"/>
    <s v="R1011"/>
    <n v="47"/>
    <n v="20.23"/>
  </r>
  <r>
    <x v="1893"/>
    <s v="Brenneman,"/>
    <n v="28.975000000000001"/>
    <x v="198"/>
    <s v="No"/>
    <x v="0"/>
    <x v="1"/>
    <x v="1"/>
    <x v="1"/>
    <x v="1"/>
    <x v="2"/>
    <n v="25"/>
    <s v="Jul"/>
    <n v="2003"/>
    <d v="2003-07-25T00:00:00"/>
    <n v="22493.66"/>
    <s v="tier - 2"/>
    <s v="tier - 1"/>
    <s v="R1012"/>
    <n v="23"/>
    <n v="28.975000000000001"/>
  </r>
  <r>
    <x v="1894"/>
    <s v="Kemp,"/>
    <n v="16.420000000000002"/>
    <x v="1"/>
    <s v="Yes"/>
    <x v="0"/>
    <x v="1"/>
    <x v="1"/>
    <x v="1"/>
    <x v="3"/>
    <x v="1"/>
    <n v="9"/>
    <s v="Nov"/>
    <n v="1970"/>
    <d v="1970-11-09T00:00:00"/>
    <n v="23045.57"/>
    <s v="tier - 2"/>
    <s v="tier - 2"/>
    <s v="R1024"/>
    <n v="56"/>
    <n v="16.420000000000002"/>
  </r>
  <r>
    <x v="1895"/>
    <s v="Wilson,"/>
    <n v="17.559999999999999"/>
    <x v="58"/>
    <s v="No"/>
    <x v="0"/>
    <x v="0"/>
    <x v="1"/>
    <x v="1"/>
    <x v="3"/>
    <x v="1"/>
    <n v="9"/>
    <s v="Sep"/>
    <n v="1975"/>
    <d v="1975-09-09T00:00:00"/>
    <n v="23065.42"/>
    <s v="tier - 2"/>
    <s v="tier - 2"/>
    <s v="R1013"/>
    <n v="51"/>
    <n v="17.559999999999999"/>
  </r>
  <r>
    <x v="1896"/>
    <s v="Hillyard,"/>
    <n v="24.13"/>
    <x v="493"/>
    <s v="No"/>
    <x v="0"/>
    <x v="0"/>
    <x v="1"/>
    <x v="1"/>
    <x v="2"/>
    <x v="2"/>
    <n v="14"/>
    <s v="Dec"/>
    <n v="2003"/>
    <d v="2003-12-14T00:00:00"/>
    <n v="23082.959999999999"/>
    <s v="tier - 2"/>
    <s v="tier - 2"/>
    <s v="R1011"/>
    <n v="23"/>
    <n v="24.13"/>
  </r>
  <r>
    <x v="1897"/>
    <s v="Turner,"/>
    <n v="19.95"/>
    <x v="272"/>
    <s v="No"/>
    <x v="1"/>
    <x v="0"/>
    <x v="1"/>
    <x v="1"/>
    <x v="2"/>
    <x v="2"/>
    <n v="7"/>
    <s v="Aug"/>
    <n v="1997"/>
    <d v="1997-08-07T00:00:00"/>
    <n v="23241.47"/>
    <s v="tier - 2"/>
    <s v="tier - 3"/>
    <s v="R1018"/>
    <n v="29"/>
    <n v="19.95"/>
  </r>
  <r>
    <x v="1898"/>
    <s v="Benestad,"/>
    <n v="21.24"/>
    <x v="325"/>
    <s v="No"/>
    <x v="0"/>
    <x v="0"/>
    <x v="0"/>
    <x v="1"/>
    <x v="2"/>
    <x v="2"/>
    <n v="14"/>
    <s v="Nov"/>
    <n v="1969"/>
    <d v="1969-11-14T00:00:00"/>
    <n v="23244.79"/>
    <s v="tier - 2"/>
    <s v="tier - 3"/>
    <s v="R1013"/>
    <n v="57"/>
    <n v="21.24"/>
  </r>
  <r>
    <x v="1899"/>
    <s v="Gonzales,"/>
    <n v="44.22"/>
    <x v="347"/>
    <s v="No"/>
    <x v="0"/>
    <x v="0"/>
    <x v="0"/>
    <x v="1"/>
    <x v="0"/>
    <x v="1"/>
    <n v="3"/>
    <s v="Oct"/>
    <n v="1994"/>
    <d v="1994-10-03T00:00:00"/>
    <n v="23288.93"/>
    <s v="tier - 2"/>
    <s v="tier - 3"/>
    <s v="R1024"/>
    <n v="32"/>
    <n v="44.22"/>
  </r>
  <r>
    <x v="1900"/>
    <s v="Newman,"/>
    <n v="41.1"/>
    <x v="425"/>
    <s v="No"/>
    <x v="0"/>
    <x v="0"/>
    <x v="0"/>
    <x v="1"/>
    <x v="0"/>
    <x v="1"/>
    <n v="22"/>
    <s v="Oct"/>
    <n v="1973"/>
    <d v="1973-10-22T00:00:00"/>
    <n v="23306.55"/>
    <s v="tier - 2"/>
    <s v="tier - 2"/>
    <s v="R1011"/>
    <n v="53"/>
    <n v="41.1"/>
  </r>
  <r>
    <x v="1901"/>
    <s v="Sayre,"/>
    <n v="34.200000000000003"/>
    <x v="226"/>
    <s v="Yes"/>
    <x v="0"/>
    <x v="0"/>
    <x v="0"/>
    <x v="1"/>
    <x v="0"/>
    <x v="2"/>
    <n v="13"/>
    <s v="Nov"/>
    <n v="1975"/>
    <d v="1975-11-13T00:00:00"/>
    <n v="23401.31"/>
    <s v="tier - 2"/>
    <s v="tier - 3"/>
    <s v="R1024"/>
    <n v="51"/>
    <n v="34.200000000000003"/>
  </r>
  <r>
    <x v="1902"/>
    <s v="Panke,"/>
    <n v="29.92"/>
    <x v="216"/>
    <s v="Yes"/>
    <x v="0"/>
    <x v="0"/>
    <x v="0"/>
    <x v="1"/>
    <x v="1"/>
    <x v="1"/>
    <n v="26"/>
    <s v="Aug"/>
    <n v="1983"/>
    <d v="1983-08-26T00:00:00"/>
    <n v="23563.02"/>
    <s v="tier - 2"/>
    <s v="tier - 2"/>
    <s v="R1013"/>
    <n v="43"/>
    <n v="29.92"/>
  </r>
  <r>
    <x v="1903"/>
    <s v="Brennan,"/>
    <n v="28.93"/>
    <x v="320"/>
    <s v="No"/>
    <x v="0"/>
    <x v="0"/>
    <x v="0"/>
    <x v="1"/>
    <x v="1"/>
    <x v="2"/>
    <n v="2"/>
    <s v="Jun"/>
    <n v="1974"/>
    <d v="1974-06-02T00:00:00"/>
    <n v="23568.27"/>
    <s v="tier - 2"/>
    <s v="tier - 2"/>
    <s v="R1011"/>
    <n v="52"/>
    <n v="28.93"/>
  </r>
  <r>
    <x v="1904"/>
    <s v="Ngo,"/>
    <n v="31.254999999999999"/>
    <x v="85"/>
    <s v="Yes"/>
    <x v="0"/>
    <x v="0"/>
    <x v="1"/>
    <x v="1"/>
    <x v="0"/>
    <x v="1"/>
    <n v="27"/>
    <s v="Jun"/>
    <n v="1973"/>
    <d v="1973-06-27T00:00:00"/>
    <n v="23807.24"/>
    <s v="tier - 2"/>
    <s v="tier - 3"/>
    <s v="R1012"/>
    <n v="53"/>
    <n v="31.254999999999999"/>
  </r>
  <r>
    <x v="1905"/>
    <s v="Guerdan,"/>
    <n v="29.83"/>
    <x v="125"/>
    <s v="No"/>
    <x v="0"/>
    <x v="0"/>
    <x v="0"/>
    <x v="1"/>
    <x v="1"/>
    <x v="2"/>
    <n v="8"/>
    <s v="Aug"/>
    <n v="1970"/>
    <d v="1970-08-08T00:00:00"/>
    <n v="23887.66"/>
    <s v="tier - 2"/>
    <s v="tier - 3"/>
    <s v="R1012"/>
    <n v="56"/>
    <n v="29.83"/>
  </r>
  <r>
    <x v="1906"/>
    <s v="Shaw,"/>
    <n v="29.59"/>
    <x v="631"/>
    <s v="No"/>
    <x v="0"/>
    <x v="1"/>
    <x v="1"/>
    <x v="1"/>
    <x v="1"/>
    <x v="1"/>
    <n v="10"/>
    <s v="Jul"/>
    <n v="1971"/>
    <d v="1971-07-10T00:00:00"/>
    <n v="23967.38"/>
    <s v="tier - 2"/>
    <s v="tier - 2"/>
    <s v="R1012"/>
    <n v="55"/>
    <n v="29.59"/>
  </r>
  <r>
    <x v="1907"/>
    <s v="Mills-Honarvar,"/>
    <n v="31.16"/>
    <x v="325"/>
    <s v="No"/>
    <x v="0"/>
    <x v="1"/>
    <x v="1"/>
    <x v="1"/>
    <x v="0"/>
    <x v="2"/>
    <n v="30"/>
    <s v="Dec"/>
    <n v="2003"/>
    <d v="2003-12-30T00:00:00"/>
    <n v="24059.68"/>
    <s v="tier - 2"/>
    <s v="tier - 2"/>
    <s v="R1012"/>
    <n v="23"/>
    <n v="31.16"/>
  </r>
  <r>
    <x v="1908"/>
    <s v="Farvard,"/>
    <n v="34.21"/>
    <x v="337"/>
    <s v="Yes"/>
    <x v="0"/>
    <x v="0"/>
    <x v="1"/>
    <x v="1"/>
    <x v="0"/>
    <x v="2"/>
    <n v="13"/>
    <s v="Jun"/>
    <n v="1973"/>
    <d v="1973-06-13T00:00:00"/>
    <n v="24106.91"/>
    <s v="tier - 2"/>
    <s v="tier - 2"/>
    <s v="R1024"/>
    <n v="53"/>
    <n v="34.21"/>
  </r>
  <r>
    <x v="1909"/>
    <s v="Kelly,"/>
    <n v="34.86"/>
    <x v="221"/>
    <s v="No"/>
    <x v="0"/>
    <x v="0"/>
    <x v="0"/>
    <x v="1"/>
    <x v="0"/>
    <x v="0"/>
    <n v="10"/>
    <s v="Sep"/>
    <n v="1974"/>
    <d v="1974-09-10T00:00:00"/>
    <n v="24180.93"/>
    <s v="tier - 2"/>
    <s v="tier - 1"/>
    <s v="R1013"/>
    <n v="52"/>
    <n v="34.86"/>
  </r>
  <r>
    <x v="1910"/>
    <s v="Skinner,"/>
    <n v="34.58"/>
    <x v="39"/>
    <s v="No"/>
    <x v="1"/>
    <x v="0"/>
    <x v="1"/>
    <x v="1"/>
    <x v="0"/>
    <x v="2"/>
    <n v="16"/>
    <s v="Dec"/>
    <n v="1964"/>
    <d v="1964-12-16T00:00:00"/>
    <n v="24227.34"/>
    <s v="tier - 2"/>
    <s v="tier - 1"/>
    <s v="R1013"/>
    <n v="62"/>
    <n v="34.58"/>
  </r>
  <r>
    <x v="1911"/>
    <s v="Murphy,"/>
    <n v="17.940000000000001"/>
    <x v="584"/>
    <s v="Yes"/>
    <x v="0"/>
    <x v="0"/>
    <x v="0"/>
    <x v="1"/>
    <x v="3"/>
    <x v="2"/>
    <n v="3"/>
    <s v="Aug"/>
    <n v="2004"/>
    <d v="2004-08-03T00:00:00"/>
    <n v="24294.02"/>
    <s v="tier - 2"/>
    <s v="tier - 1"/>
    <s v="R1011"/>
    <n v="22"/>
    <n v="17.940000000000001"/>
  </r>
  <r>
    <x v="1912"/>
    <s v="Shue,"/>
    <n v="26.8"/>
    <x v="194"/>
    <s v="Yes"/>
    <x v="0"/>
    <x v="1"/>
    <x v="1"/>
    <x v="1"/>
    <x v="1"/>
    <x v="1"/>
    <n v="7"/>
    <s v="Oct"/>
    <n v="1999"/>
    <d v="1999-10-07T00:00:00"/>
    <n v="24387.74"/>
    <s v="tier - 2"/>
    <s v="tier - 1"/>
    <s v="R1011"/>
    <n v="27"/>
    <n v="26.8"/>
  </r>
  <r>
    <x v="1913"/>
    <s v="Reilly,"/>
    <n v="17.690000000000001"/>
    <x v="269"/>
    <s v="Yes"/>
    <x v="0"/>
    <x v="0"/>
    <x v="0"/>
    <x v="1"/>
    <x v="3"/>
    <x v="0"/>
    <n v="30"/>
    <s v="Nov"/>
    <n v="1970"/>
    <d v="1970-11-30T00:00:00"/>
    <n v="24393.62"/>
    <s v="tier - 2"/>
    <s v="tier - 3"/>
    <s v="R1012"/>
    <n v="56"/>
    <n v="17.690000000000001"/>
  </r>
  <r>
    <x v="1914"/>
    <s v="Blinn,"/>
    <n v="25.77"/>
    <x v="46"/>
    <s v="No"/>
    <x v="0"/>
    <x v="1"/>
    <x v="1"/>
    <x v="1"/>
    <x v="1"/>
    <x v="2"/>
    <n v="6"/>
    <s v="Jul"/>
    <n v="1968"/>
    <d v="1968-07-06T00:00:00"/>
    <n v="24476.48"/>
    <s v="tier - 2"/>
    <s v="tier - 2"/>
    <s v="R1012"/>
    <n v="58"/>
    <n v="25.77"/>
  </r>
  <r>
    <x v="1915"/>
    <s v="Duyn,"/>
    <n v="34.46"/>
    <x v="547"/>
    <s v="No"/>
    <x v="1"/>
    <x v="0"/>
    <x v="1"/>
    <x v="1"/>
    <x v="0"/>
    <x v="2"/>
    <n v="21"/>
    <s v="Oct"/>
    <n v="1961"/>
    <d v="1961-10-21T00:00:00"/>
    <n v="24513.09"/>
    <s v="tier - 2"/>
    <s v="tier - 2"/>
    <s v="R1013"/>
    <n v="65"/>
    <n v="34.46"/>
  </r>
  <r>
    <x v="1916"/>
    <s v="Wardian,"/>
    <n v="30.875"/>
    <x v="434"/>
    <s v="Yes"/>
    <x v="0"/>
    <x v="0"/>
    <x v="0"/>
    <x v="1"/>
    <x v="0"/>
    <x v="2"/>
    <n v="14"/>
    <s v="Sep"/>
    <n v="1972"/>
    <d v="1972-09-14T00:00:00"/>
    <n v="24520.26"/>
    <s v="tier - 2"/>
    <s v="tier - 3"/>
    <s v="R1011"/>
    <n v="54"/>
    <n v="30.875"/>
  </r>
  <r>
    <x v="1917"/>
    <s v="Heuninck,"/>
    <n v="39.49"/>
    <x v="272"/>
    <s v="No"/>
    <x v="0"/>
    <x v="0"/>
    <x v="0"/>
    <x v="1"/>
    <x v="0"/>
    <x v="2"/>
    <n v="13"/>
    <s v="Jun"/>
    <n v="1975"/>
    <d v="1975-06-13T00:00:00"/>
    <n v="24535.7"/>
    <s v="tier - 2"/>
    <s v="tier - 2"/>
    <s v="R1012"/>
    <n v="51"/>
    <n v="39.49"/>
  </r>
  <r>
    <x v="1918"/>
    <s v="Kipyego,"/>
    <n v="28.88"/>
    <x v="275"/>
    <s v="No"/>
    <x v="0"/>
    <x v="0"/>
    <x v="0"/>
    <x v="1"/>
    <x v="1"/>
    <x v="2"/>
    <n v="12"/>
    <s v="Oct"/>
    <n v="1976"/>
    <d v="1976-10-12T00:00:00"/>
    <n v="24603.05"/>
    <s v="tier - 2"/>
    <s v="tier - 2"/>
    <s v="R1011"/>
    <n v="50"/>
    <n v="28.88"/>
  </r>
  <r>
    <x v="1919"/>
    <s v="Kuehl,"/>
    <n v="20.234999999999999"/>
    <x v="170"/>
    <s v="Yes"/>
    <x v="0"/>
    <x v="0"/>
    <x v="0"/>
    <x v="1"/>
    <x v="2"/>
    <x v="2"/>
    <n v="12"/>
    <s v="Jun"/>
    <n v="1970"/>
    <d v="1970-06-12T00:00:00"/>
    <n v="24667.42"/>
    <s v="tier - 2"/>
    <s v="tier - 3"/>
    <s v="R1013"/>
    <n v="56"/>
    <n v="20.234999999999999"/>
  </r>
  <r>
    <x v="1920"/>
    <s v="Burkholder,"/>
    <n v="30.67"/>
    <x v="111"/>
    <s v="Yes"/>
    <x v="0"/>
    <x v="0"/>
    <x v="0"/>
    <x v="1"/>
    <x v="0"/>
    <x v="2"/>
    <n v="28"/>
    <s v="Aug"/>
    <n v="1996"/>
    <d v="1996-08-28T00:00:00"/>
    <n v="24671.66"/>
    <s v="tier - 2"/>
    <s v="tier - 1"/>
    <s v="R1024"/>
    <n v="30"/>
    <n v="30.67"/>
  </r>
  <r>
    <x v="1921"/>
    <s v="Stadolnik,"/>
    <n v="30.875"/>
    <x v="647"/>
    <s v="No"/>
    <x v="0"/>
    <x v="0"/>
    <x v="0"/>
    <x v="1"/>
    <x v="0"/>
    <x v="1"/>
    <n v="11"/>
    <s v="Oct"/>
    <n v="1992"/>
    <d v="1992-10-11T00:00:00"/>
    <n v="24795.040000000001"/>
    <s v="tier - 2"/>
    <s v="tier - 3"/>
    <s v="R1011"/>
    <n v="34"/>
    <n v="30.875"/>
  </r>
  <r>
    <x v="1922"/>
    <s v="Shields,"/>
    <n v="23.8"/>
    <x v="336"/>
    <s v="No"/>
    <x v="0"/>
    <x v="0"/>
    <x v="0"/>
    <x v="1"/>
    <x v="2"/>
    <x v="2"/>
    <n v="9"/>
    <s v="Sep"/>
    <n v="1994"/>
    <d v="1994-09-09T00:00:00"/>
    <n v="24817.25"/>
    <s v="tier - 2"/>
    <s v="tier - 2"/>
    <s v="R1011"/>
    <n v="32"/>
    <n v="23.8"/>
  </r>
  <r>
    <x v="1923"/>
    <s v="Margolis,"/>
    <n v="15.37"/>
    <x v="445"/>
    <s v="Yes"/>
    <x v="0"/>
    <x v="0"/>
    <x v="0"/>
    <x v="1"/>
    <x v="3"/>
    <x v="0"/>
    <n v="10"/>
    <s v="Jun"/>
    <n v="1995"/>
    <d v="1995-06-10T00:00:00"/>
    <n v="24863.25"/>
    <s v="tier - 2"/>
    <s v="tier - 3"/>
    <s v="R1011"/>
    <n v="31"/>
    <n v="15.37"/>
  </r>
  <r>
    <x v="1924"/>
    <s v="Uffenbeck,"/>
    <n v="30.4"/>
    <x v="124"/>
    <s v="No"/>
    <x v="0"/>
    <x v="0"/>
    <x v="0"/>
    <x v="1"/>
    <x v="0"/>
    <x v="2"/>
    <n v="26"/>
    <s v="Nov"/>
    <n v="1970"/>
    <d v="1970-11-26T00:00:00"/>
    <n v="24869.84"/>
    <s v="tier - 2"/>
    <s v="tier - 2"/>
    <s v="R1016"/>
    <n v="56"/>
    <n v="30.4"/>
  </r>
  <r>
    <x v="1925"/>
    <s v="Brake,"/>
    <n v="19.48"/>
    <x v="505"/>
    <s v="Yes"/>
    <x v="0"/>
    <x v="0"/>
    <x v="1"/>
    <x v="1"/>
    <x v="2"/>
    <x v="2"/>
    <n v="23"/>
    <s v="Jul"/>
    <n v="1969"/>
    <d v="1969-07-23T00:00:00"/>
    <n v="24873.38"/>
    <s v="tier - 2"/>
    <s v="tier - 1"/>
    <s v="R1024"/>
    <n v="57"/>
    <n v="19.48"/>
  </r>
  <r>
    <x v="1926"/>
    <s v="Stepanova,"/>
    <n v="16.96"/>
    <x v="62"/>
    <s v="Yes"/>
    <x v="0"/>
    <x v="0"/>
    <x v="0"/>
    <x v="1"/>
    <x v="3"/>
    <x v="0"/>
    <n v="14"/>
    <s v="Jun"/>
    <n v="1987"/>
    <d v="1987-06-14T00:00:00"/>
    <n v="24915.05"/>
    <s v="tier - 2"/>
    <s v="tier - 1"/>
    <s v="R1024"/>
    <n v="39"/>
    <n v="16.96"/>
  </r>
  <r>
    <x v="1927"/>
    <s v="Verdi,"/>
    <n v="19.05"/>
    <x v="328"/>
    <s v="No"/>
    <x v="0"/>
    <x v="0"/>
    <x v="1"/>
    <x v="1"/>
    <x v="2"/>
    <x v="2"/>
    <n v="14"/>
    <s v="Nov"/>
    <n v="1975"/>
    <d v="1975-11-14T00:00:00"/>
    <n v="24915.22"/>
    <s v="tier - 2"/>
    <s v="tier - 3"/>
    <s v="R1012"/>
    <n v="51"/>
    <n v="19.05"/>
  </r>
  <r>
    <x v="1928"/>
    <s v="McLean,"/>
    <n v="37.619999999999997"/>
    <x v="237"/>
    <s v="No"/>
    <x v="0"/>
    <x v="0"/>
    <x v="0"/>
    <x v="1"/>
    <x v="0"/>
    <x v="2"/>
    <n v="4"/>
    <s v="Dec"/>
    <n v="1995"/>
    <d v="1995-12-04T00:00:00"/>
    <n v="25075.97"/>
    <s v="tier - 2"/>
    <s v="tier - 2"/>
    <s v="R1011"/>
    <n v="31"/>
    <n v="37.619999999999997"/>
  </r>
  <r>
    <x v="1929"/>
    <s v="Ryan,"/>
    <n v="29.1"/>
    <x v="145"/>
    <s v="No"/>
    <x v="0"/>
    <x v="0"/>
    <x v="0"/>
    <x v="1"/>
    <x v="1"/>
    <x v="2"/>
    <n v="14"/>
    <s v="Jun"/>
    <n v="1998"/>
    <d v="1998-06-14T00:00:00"/>
    <n v="25081.77"/>
    <s v="tier - 2"/>
    <s v="tier - 2"/>
    <s v="R1013"/>
    <n v="28"/>
    <n v="29.1"/>
  </r>
  <r>
    <x v="1930"/>
    <s v="Mickelson,"/>
    <n v="26.62"/>
    <x v="149"/>
    <s v="No"/>
    <x v="0"/>
    <x v="0"/>
    <x v="0"/>
    <x v="1"/>
    <x v="1"/>
    <x v="1"/>
    <n v="24"/>
    <s v="Nov"/>
    <n v="1998"/>
    <d v="1998-11-24T00:00:00"/>
    <n v="25127.22"/>
    <s v="tier - 2"/>
    <s v="tier - 3"/>
    <s v="R1011"/>
    <n v="28"/>
    <n v="26.62"/>
  </r>
  <r>
    <x v="1931"/>
    <s v="Dibaba,"/>
    <n v="25.74"/>
    <x v="74"/>
    <s v="No"/>
    <x v="0"/>
    <x v="0"/>
    <x v="0"/>
    <x v="1"/>
    <x v="1"/>
    <x v="1"/>
    <n v="14"/>
    <s v="Dec"/>
    <n v="1975"/>
    <d v="1975-12-14T00:00:00"/>
    <n v="25309.49"/>
    <s v="tier - 2"/>
    <s v="tier - 1"/>
    <s v="R1011"/>
    <n v="51"/>
    <n v="25.74"/>
  </r>
  <r>
    <x v="1932"/>
    <s v="Shilling,"/>
    <n v="18.22"/>
    <x v="172"/>
    <s v="Yes"/>
    <x v="0"/>
    <x v="0"/>
    <x v="1"/>
    <x v="1"/>
    <x v="3"/>
    <x v="0"/>
    <n v="26"/>
    <s v="Sep"/>
    <n v="1972"/>
    <d v="1972-09-26T00:00:00"/>
    <n v="25333.33"/>
    <s v="tier - 2"/>
    <s v="tier - 2"/>
    <s v="R1017"/>
    <n v="54"/>
    <n v="18.22"/>
  </r>
  <r>
    <x v="1933"/>
    <s v="Bashaw,"/>
    <n v="26.03"/>
    <x v="410"/>
    <s v="No"/>
    <x v="0"/>
    <x v="1"/>
    <x v="1"/>
    <x v="1"/>
    <x v="1"/>
    <x v="1"/>
    <n v="22"/>
    <s v="Aug"/>
    <n v="1968"/>
    <d v="1968-08-22T00:00:00"/>
    <n v="25382.3"/>
    <s v="tier - 2"/>
    <s v="tier - 2"/>
    <s v="R1011"/>
    <n v="58"/>
    <n v="26.03"/>
  </r>
  <r>
    <x v="1934"/>
    <s v="Jacob,"/>
    <n v="17.29"/>
    <x v="244"/>
    <s v="No"/>
    <x v="0"/>
    <x v="0"/>
    <x v="0"/>
    <x v="1"/>
    <x v="3"/>
    <x v="2"/>
    <n v="11"/>
    <s v="Dec"/>
    <n v="1968"/>
    <d v="1968-12-11T00:00:00"/>
    <n v="25517.11"/>
    <s v="tier - 2"/>
    <s v="tier - 3"/>
    <s v="R1017"/>
    <n v="58"/>
    <n v="17.29"/>
  </r>
  <r>
    <x v="1935"/>
    <s v="McCutcheon,"/>
    <n v="18.170000000000002"/>
    <x v="650"/>
    <s v="Yes"/>
    <x v="0"/>
    <x v="0"/>
    <x v="1"/>
    <x v="1"/>
    <x v="3"/>
    <x v="0"/>
    <n v="2"/>
    <s v="Aug"/>
    <n v="2001"/>
    <d v="2001-08-02T00:00:00"/>
    <n v="25648.98"/>
    <s v="tier - 2"/>
    <s v="tier - 1"/>
    <s v="R1011"/>
    <n v="25"/>
    <n v="18.170000000000002"/>
  </r>
  <r>
    <x v="1936"/>
    <s v="Connor,"/>
    <n v="32.54"/>
    <x v="245"/>
    <s v="No"/>
    <x v="1"/>
    <x v="0"/>
    <x v="1"/>
    <x v="1"/>
    <x v="0"/>
    <x v="1"/>
    <n v="17"/>
    <s v="Jul"/>
    <n v="1972"/>
    <d v="1972-07-17T00:00:00"/>
    <n v="25656.58"/>
    <s v="tier - 2"/>
    <s v="tier - 3"/>
    <s v="R1024"/>
    <n v="54"/>
    <n v="32.54"/>
  </r>
  <r>
    <x v="1937"/>
    <s v="May,"/>
    <n v="30.25"/>
    <x v="370"/>
    <s v="No"/>
    <x v="0"/>
    <x v="0"/>
    <x v="0"/>
    <x v="1"/>
    <x v="0"/>
    <x v="2"/>
    <n v="21"/>
    <s v="Aug"/>
    <n v="1963"/>
    <d v="1963-08-21T00:00:00"/>
    <n v="25678.78"/>
    <s v="tier - 2"/>
    <s v="tier - 3"/>
    <s v="R1012"/>
    <n v="63"/>
    <n v="30.25"/>
  </r>
  <r>
    <x v="1938"/>
    <s v="Geoghegan,"/>
    <n v="19.59"/>
    <x v="60"/>
    <s v="Yes"/>
    <x v="0"/>
    <x v="0"/>
    <x v="1"/>
    <x v="1"/>
    <x v="2"/>
    <x v="1"/>
    <n v="3"/>
    <s v="Dec"/>
    <n v="1970"/>
    <d v="1970-12-03T00:00:00"/>
    <n v="25992.82"/>
    <s v="tier - 2"/>
    <s v="tier - 2"/>
    <s v="R1013"/>
    <n v="56"/>
    <n v="19.59"/>
  </r>
  <r>
    <x v="1939"/>
    <s v="McGinn,"/>
    <n v="45.9"/>
    <x v="167"/>
    <s v="Yes"/>
    <x v="0"/>
    <x v="0"/>
    <x v="1"/>
    <x v="1"/>
    <x v="0"/>
    <x v="2"/>
    <n v="5"/>
    <s v="Jun"/>
    <n v="2001"/>
    <d v="2001-06-05T00:00:00"/>
    <n v="26018.95"/>
    <s v="tier - 2"/>
    <s v="tier - 2"/>
    <s v="R1012"/>
    <n v="25"/>
    <n v="45.9"/>
  </r>
  <r>
    <x v="1940"/>
    <s v="Jones,"/>
    <n v="17.059999999999999"/>
    <x v="355"/>
    <s v="Yes"/>
    <x v="0"/>
    <x v="0"/>
    <x v="0"/>
    <x v="1"/>
    <x v="3"/>
    <x v="0"/>
    <n v="26"/>
    <s v="Dec"/>
    <n v="2000"/>
    <d v="2000-12-26T00:00:00"/>
    <n v="26026.97"/>
    <s v="tier - 2"/>
    <s v="tier - 3"/>
    <s v="R1011"/>
    <n v="26"/>
    <n v="17.059999999999999"/>
  </r>
  <r>
    <x v="1941"/>
    <s v="Quinteros,"/>
    <n v="32.07"/>
    <x v="174"/>
    <s v="No"/>
    <x v="0"/>
    <x v="1"/>
    <x v="1"/>
    <x v="1"/>
    <x v="0"/>
    <x v="2"/>
    <n v="9"/>
    <s v="Jul"/>
    <n v="1966"/>
    <d v="1966-07-09T00:00:00"/>
    <n v="26109.33"/>
    <s v="tier - 2"/>
    <s v="tier - 3"/>
    <s v="R1012"/>
    <n v="60"/>
    <n v="32.07"/>
  </r>
  <r>
    <x v="1942"/>
    <s v="Loenser,"/>
    <n v="16.5"/>
    <x v="52"/>
    <s v="No"/>
    <x v="0"/>
    <x v="0"/>
    <x v="1"/>
    <x v="1"/>
    <x v="3"/>
    <x v="2"/>
    <n v="11"/>
    <s v="Oct"/>
    <n v="2002"/>
    <d v="2002-10-11T00:00:00"/>
    <n v="26125.67"/>
    <s v="tier - 2"/>
    <s v="tier - 1"/>
    <s v="R1013"/>
    <n v="24"/>
    <n v="16.5"/>
  </r>
  <r>
    <x v="1943"/>
    <s v="Aitken,"/>
    <n v="31.4"/>
    <x v="169"/>
    <s v="No"/>
    <x v="0"/>
    <x v="0"/>
    <x v="1"/>
    <x v="1"/>
    <x v="0"/>
    <x v="1"/>
    <n v="7"/>
    <s v="Jul"/>
    <n v="1973"/>
    <d v="1973-07-07T00:00:00"/>
    <n v="26140.36"/>
    <s v="tier - 2"/>
    <s v="tier - 3"/>
    <s v="R1011"/>
    <n v="53"/>
    <n v="31.4"/>
  </r>
  <r>
    <x v="1944"/>
    <s v="Furrer,"/>
    <n v="20.36"/>
    <x v="325"/>
    <s v="No"/>
    <x v="0"/>
    <x v="0"/>
    <x v="0"/>
    <x v="1"/>
    <x v="2"/>
    <x v="2"/>
    <n v="4"/>
    <s v="Jun"/>
    <n v="1975"/>
    <d v="1975-06-04T00:00:00"/>
    <n v="26236.58"/>
    <s v="tier - 2"/>
    <s v="tier - 1"/>
    <s v="R1011"/>
    <n v="51"/>
    <n v="20.36"/>
  </r>
  <r>
    <x v="1945"/>
    <s v="Konigs,"/>
    <n v="25.46"/>
    <x v="417"/>
    <s v="No"/>
    <x v="0"/>
    <x v="0"/>
    <x v="1"/>
    <x v="1"/>
    <x v="1"/>
    <x v="2"/>
    <n v="5"/>
    <s v="Dec"/>
    <n v="2004"/>
    <d v="2004-12-05T00:00:00"/>
    <n v="26316.59"/>
    <s v="tier - 2"/>
    <s v="tier - 3"/>
    <s v="R1011"/>
    <n v="22"/>
    <n v="25.46"/>
  </r>
  <r>
    <x v="1946"/>
    <s v="Tesdahl,"/>
    <n v="17.09"/>
    <x v="329"/>
    <s v="Yes"/>
    <x v="0"/>
    <x v="0"/>
    <x v="0"/>
    <x v="1"/>
    <x v="3"/>
    <x v="1"/>
    <n v="21"/>
    <s v="Sep"/>
    <n v="1974"/>
    <d v="1974-09-21T00:00:00"/>
    <n v="26392.26"/>
    <s v="tier - 2"/>
    <s v="tier - 2"/>
    <s v="R1024"/>
    <n v="52"/>
    <n v="17.09"/>
  </r>
  <r>
    <x v="1947"/>
    <s v="Engel,"/>
    <n v="20.83"/>
    <x v="89"/>
    <s v="No"/>
    <x v="0"/>
    <x v="0"/>
    <x v="0"/>
    <x v="1"/>
    <x v="2"/>
    <x v="2"/>
    <n v="27"/>
    <s v="Aug"/>
    <n v="1970"/>
    <d v="1970-08-27T00:00:00"/>
    <n v="26467.1"/>
    <s v="tier - 2"/>
    <s v="tier - 3"/>
    <s v="R1012"/>
    <n v="56"/>
    <n v="20.83"/>
  </r>
  <r>
    <x v="1948"/>
    <s v="Kuck,"/>
    <n v="18.920000000000002"/>
    <x v="213"/>
    <s v="Yes"/>
    <x v="0"/>
    <x v="0"/>
    <x v="1"/>
    <x v="1"/>
    <x v="2"/>
    <x v="1"/>
    <n v="5"/>
    <s v="Sep"/>
    <n v="2004"/>
    <d v="2004-09-05T00:00:00"/>
    <n v="26479.4"/>
    <s v="tier - 2"/>
    <s v="tier - 2"/>
    <s v="R1011"/>
    <n v="22"/>
    <n v="18.920000000000002"/>
  </r>
  <r>
    <x v="1949"/>
    <s v="Dillon,"/>
    <n v="37.1"/>
    <x v="338"/>
    <s v="No"/>
    <x v="0"/>
    <x v="0"/>
    <x v="0"/>
    <x v="1"/>
    <x v="0"/>
    <x v="2"/>
    <n v="22"/>
    <s v="Jul"/>
    <n v="1988"/>
    <d v="1988-07-22T00:00:00"/>
    <n v="26607.89"/>
    <s v="tier - 2"/>
    <s v="tier - 1"/>
    <s v="R1011"/>
    <n v="38"/>
    <n v="37.1"/>
  </r>
  <r>
    <x v="1950"/>
    <s v="Neuschel,"/>
    <n v="22.515000000000001"/>
    <x v="468"/>
    <s v="Yes"/>
    <x v="0"/>
    <x v="1"/>
    <x v="1"/>
    <x v="1"/>
    <x v="2"/>
    <x v="2"/>
    <n v="22"/>
    <s v="Aug"/>
    <n v="1991"/>
    <d v="1991-08-22T00:00:00"/>
    <n v="26912.560000000001"/>
    <s v="tier - 2"/>
    <s v="tier - 2"/>
    <s v="R1011"/>
    <n v="35"/>
    <n v="22.515000000000001"/>
  </r>
  <r>
    <x v="1951"/>
    <s v="Rosales"/>
    <n v="32.700000000000003"/>
    <x v="495"/>
    <s v="No"/>
    <x v="0"/>
    <x v="0"/>
    <x v="0"/>
    <x v="1"/>
    <x v="0"/>
    <x v="2"/>
    <n v="25"/>
    <s v="Dec"/>
    <n v="1958"/>
    <d v="1958-12-25T00:00:00"/>
    <n v="26926.51"/>
    <s v="tier - 2"/>
    <s v="tier - 1"/>
    <s v="R1013"/>
    <n v="68"/>
    <n v="32.700000000000003"/>
  </r>
  <r>
    <x v="1952"/>
    <s v="Marquez,"/>
    <n v="17.75"/>
    <x v="552"/>
    <s v="Yes"/>
    <x v="0"/>
    <x v="0"/>
    <x v="1"/>
    <x v="1"/>
    <x v="3"/>
    <x v="0"/>
    <n v="17"/>
    <s v="Jun"/>
    <n v="2002"/>
    <d v="2002-06-17T00:00:00"/>
    <n v="26927.69"/>
    <s v="tier - 2"/>
    <s v="tier - 2"/>
    <s v="R1011"/>
    <n v="24"/>
    <n v="17.75"/>
  </r>
  <r>
    <x v="1953"/>
    <s v="Green,"/>
    <n v="33.630000000000003"/>
    <x v="47"/>
    <s v="Yes"/>
    <x v="0"/>
    <x v="0"/>
    <x v="0"/>
    <x v="1"/>
    <x v="0"/>
    <x v="2"/>
    <n v="9"/>
    <s v="Nov"/>
    <n v="2000"/>
    <d v="2000-11-09T00:00:00"/>
    <n v="26936.98"/>
    <s v="tier - 2"/>
    <s v="tier - 3"/>
    <s v="R1011"/>
    <n v="26"/>
    <n v="33.630000000000003"/>
  </r>
  <r>
    <x v="1954"/>
    <s v="Schubel,"/>
    <n v="34.799999999999997"/>
    <x v="336"/>
    <s v="Yes"/>
    <x v="0"/>
    <x v="0"/>
    <x v="1"/>
    <x v="1"/>
    <x v="0"/>
    <x v="2"/>
    <n v="9"/>
    <s v="Jul"/>
    <n v="1960"/>
    <d v="1960-07-09T00:00:00"/>
    <n v="27000.98"/>
    <s v="tier - 2"/>
    <s v="tier - 2"/>
    <s v="R1013"/>
    <n v="66"/>
    <n v="34.799999999999997"/>
  </r>
  <r>
    <x v="1955"/>
    <s v="Jimenez,"/>
    <n v="16.809999999999999"/>
    <x v="49"/>
    <s v="Yes"/>
    <x v="0"/>
    <x v="0"/>
    <x v="1"/>
    <x v="1"/>
    <x v="3"/>
    <x v="2"/>
    <n v="30"/>
    <s v="Jun"/>
    <n v="1958"/>
    <d v="1958-06-30T00:00:00"/>
    <n v="27037.91"/>
    <s v="tier - 2"/>
    <s v="tier - 2"/>
    <s v="R1013"/>
    <n v="68"/>
    <n v="16.809999999999999"/>
  </r>
  <r>
    <x v="1956"/>
    <s v="Zimny-Schmitt,"/>
    <n v="16.690000000000001"/>
    <x v="651"/>
    <s v="Yes"/>
    <x v="0"/>
    <x v="0"/>
    <x v="0"/>
    <x v="1"/>
    <x v="3"/>
    <x v="0"/>
    <n v="2"/>
    <s v="Jul"/>
    <n v="1994"/>
    <d v="1994-07-02T00:00:00"/>
    <n v="27080.639999999999"/>
    <s v="tier - 2"/>
    <s v="tier - 2"/>
    <s v="R1011"/>
    <n v="32"/>
    <n v="16.690000000000001"/>
  </r>
  <r>
    <x v="1957"/>
    <s v="Hill,"/>
    <n v="23.21"/>
    <x v="39"/>
    <s v="Yes"/>
    <x v="0"/>
    <x v="0"/>
    <x v="1"/>
    <x v="1"/>
    <x v="2"/>
    <x v="2"/>
    <n v="13"/>
    <s v="Dec"/>
    <n v="1990"/>
    <d v="1990-12-13T00:00:00"/>
    <n v="27092.38"/>
    <s v="tier - 2"/>
    <s v="tier - 3"/>
    <s v="R1011"/>
    <n v="36"/>
    <n v="23.21"/>
  </r>
  <r>
    <x v="1958"/>
    <s v="Brohart,"/>
    <n v="25.175000000000001"/>
    <x v="127"/>
    <s v="Yes"/>
    <x v="0"/>
    <x v="0"/>
    <x v="1"/>
    <x v="1"/>
    <x v="1"/>
    <x v="2"/>
    <n v="2"/>
    <s v="Oct"/>
    <n v="1970"/>
    <d v="1970-10-02T00:00:00"/>
    <n v="27117.99"/>
    <s v="tier - 2"/>
    <s v="tier - 2"/>
    <s v="R1013"/>
    <n v="56"/>
    <n v="25.175000000000001"/>
  </r>
  <r>
    <x v="1959"/>
    <s v="Ryan,"/>
    <n v="34.770000000000003"/>
    <x v="195"/>
    <s v="No"/>
    <x v="0"/>
    <x v="0"/>
    <x v="0"/>
    <x v="1"/>
    <x v="0"/>
    <x v="1"/>
    <n v="21"/>
    <s v="Dec"/>
    <n v="1965"/>
    <d v="1965-12-21T00:00:00"/>
    <n v="27218.44"/>
    <s v="tier - 2"/>
    <s v="tier - 1"/>
    <s v="R1017"/>
    <n v="61"/>
    <n v="34.770000000000003"/>
  </r>
  <r>
    <x v="1960"/>
    <s v="Oka,"/>
    <n v="27.7"/>
    <x v="372"/>
    <s v="No"/>
    <x v="0"/>
    <x v="0"/>
    <x v="1"/>
    <x v="1"/>
    <x v="1"/>
    <x v="2"/>
    <n v="2"/>
    <s v="Dec"/>
    <n v="1999"/>
    <d v="1999-12-02T00:00:00"/>
    <n v="27236.959999999999"/>
    <s v="tier - 2"/>
    <s v="tier - 1"/>
    <s v="R1011"/>
    <n v="27"/>
    <n v="27.7"/>
  </r>
  <r>
    <x v="1961"/>
    <s v="Newman,"/>
    <n v="19.12"/>
    <x v="18"/>
    <s v="Yes"/>
    <x v="0"/>
    <x v="0"/>
    <x v="1"/>
    <x v="1"/>
    <x v="2"/>
    <x v="2"/>
    <n v="6"/>
    <s v="Jun"/>
    <n v="1968"/>
    <d v="1968-06-06T00:00:00"/>
    <n v="27322.73"/>
    <s v="tier - 2"/>
    <s v="tier - 2"/>
    <s v="R1013"/>
    <n v="58"/>
    <n v="19.12"/>
  </r>
  <r>
    <x v="1962"/>
    <s v="Metzger,"/>
    <n v="32.67"/>
    <x v="145"/>
    <s v="No"/>
    <x v="0"/>
    <x v="1"/>
    <x v="1"/>
    <x v="1"/>
    <x v="0"/>
    <x v="2"/>
    <n v="16"/>
    <s v="Oct"/>
    <n v="1969"/>
    <d v="1969-10-16T00:00:00"/>
    <n v="27346.04"/>
    <s v="tier - 2"/>
    <s v="tier - 2"/>
    <s v="R1013"/>
    <n v="57"/>
    <n v="32.67"/>
  </r>
  <r>
    <x v="1963"/>
    <s v="Gonzalez,"/>
    <n v="28.5"/>
    <x v="184"/>
    <s v="No"/>
    <x v="0"/>
    <x v="0"/>
    <x v="1"/>
    <x v="1"/>
    <x v="1"/>
    <x v="1"/>
    <n v="15"/>
    <s v="Sep"/>
    <n v="1988"/>
    <d v="1988-09-15T00:00:00"/>
    <n v="27375.9"/>
    <s v="tier - 2"/>
    <s v="tier - 3"/>
    <s v="R1015"/>
    <n v="38"/>
    <n v="28.5"/>
  </r>
  <r>
    <x v="1964"/>
    <s v="Vaughn,"/>
    <n v="39.270000000000003"/>
    <x v="178"/>
    <s v="No"/>
    <x v="0"/>
    <x v="0"/>
    <x v="0"/>
    <x v="1"/>
    <x v="0"/>
    <x v="1"/>
    <n v="5"/>
    <s v="Dec"/>
    <n v="1985"/>
    <d v="1985-12-05T00:00:00"/>
    <n v="27432.73"/>
    <s v="tier - 2"/>
    <s v="tier - 1"/>
    <s v="R1011"/>
    <n v="41"/>
    <n v="39.270000000000003"/>
  </r>
  <r>
    <x v="1965"/>
    <s v="Clifford,"/>
    <n v="32.49"/>
    <x v="96"/>
    <s v="Yes"/>
    <x v="0"/>
    <x v="0"/>
    <x v="0"/>
    <x v="1"/>
    <x v="0"/>
    <x v="0"/>
    <n v="3"/>
    <s v="Oct"/>
    <n v="1981"/>
    <d v="1981-10-03T00:00:00"/>
    <n v="27495.59"/>
    <s v="tier - 2"/>
    <s v="tier - 1"/>
    <s v="R1011"/>
    <n v="45"/>
    <n v="32.49"/>
  </r>
  <r>
    <x v="1966"/>
    <s v="Petty,"/>
    <n v="23.7"/>
    <x v="122"/>
    <s v="Yes"/>
    <x v="0"/>
    <x v="0"/>
    <x v="0"/>
    <x v="1"/>
    <x v="2"/>
    <x v="2"/>
    <n v="19"/>
    <s v="Oct"/>
    <n v="1965"/>
    <d v="1965-10-19T00:00:00"/>
    <n v="27533.91"/>
    <s v="tier - 2"/>
    <s v="tier - 3"/>
    <s v="R1013"/>
    <n v="61"/>
    <n v="23.7"/>
  </r>
  <r>
    <x v="1967"/>
    <s v="Sanford,"/>
    <n v="30.4"/>
    <x v="33"/>
    <s v="No"/>
    <x v="1"/>
    <x v="0"/>
    <x v="1"/>
    <x v="1"/>
    <x v="0"/>
    <x v="1"/>
    <n v="22"/>
    <s v="Jul"/>
    <n v="1984"/>
    <d v="1984-07-22T00:00:00"/>
    <n v="27534.53"/>
    <s v="tier - 2"/>
    <s v="tier - 2"/>
    <s v="R1011"/>
    <n v="42"/>
    <n v="30.4"/>
  </r>
  <r>
    <x v="1968"/>
    <s v="Sprague,"/>
    <n v="38.94"/>
    <x v="67"/>
    <s v="No"/>
    <x v="0"/>
    <x v="1"/>
    <x v="1"/>
    <x v="1"/>
    <x v="0"/>
    <x v="2"/>
    <n v="6"/>
    <s v="Nov"/>
    <n v="1985"/>
    <d v="1985-11-06T00:00:00"/>
    <n v="27598.93"/>
    <s v="tier - 2"/>
    <s v="tier - 1"/>
    <s v="R1011"/>
    <n v="41"/>
    <n v="38.94"/>
  </r>
  <r>
    <x v="1969"/>
    <s v="Lasseron,"/>
    <n v="31.02"/>
    <x v="95"/>
    <s v="No"/>
    <x v="0"/>
    <x v="1"/>
    <x v="1"/>
    <x v="1"/>
    <x v="0"/>
    <x v="2"/>
    <n v="11"/>
    <s v="Jun"/>
    <n v="1992"/>
    <d v="1992-06-11T00:00:00"/>
    <n v="27614.71"/>
    <s v="tier - 2"/>
    <s v="tier - 3"/>
    <s v="R1011"/>
    <n v="34"/>
    <n v="31.02"/>
  </r>
  <r>
    <x v="1970"/>
    <s v="Bushong,"/>
    <n v="17.5"/>
    <x v="176"/>
    <s v="No"/>
    <x v="0"/>
    <x v="0"/>
    <x v="1"/>
    <x v="1"/>
    <x v="3"/>
    <x v="2"/>
    <n v="9"/>
    <s v="Sep"/>
    <n v="1997"/>
    <d v="1997-09-09T00:00:00"/>
    <n v="27619.360000000001"/>
    <s v="tier - 2"/>
    <s v="tier - 3"/>
    <s v="R1011"/>
    <n v="29"/>
    <n v="17.5"/>
  </r>
  <r>
    <x v="1971"/>
    <s v="Dennison,"/>
    <n v="34.799999999999997"/>
    <x v="611"/>
    <s v="Yes"/>
    <x v="1"/>
    <x v="0"/>
    <x v="1"/>
    <x v="1"/>
    <x v="0"/>
    <x v="2"/>
    <n v="7"/>
    <s v="Oct"/>
    <n v="1997"/>
    <d v="1997-10-07T00:00:00"/>
    <n v="27625.17"/>
    <s v="tier - 1"/>
    <s v="tier - 1"/>
    <s v="R1011"/>
    <n v="29"/>
    <n v="34.799999999999997"/>
  </r>
  <r>
    <x v="1972"/>
    <s v="Lira,"/>
    <n v="17.3"/>
    <x v="223"/>
    <s v="Yes"/>
    <x v="0"/>
    <x v="0"/>
    <x v="1"/>
    <x v="1"/>
    <x v="3"/>
    <x v="0"/>
    <n v="3"/>
    <s v="Jul"/>
    <n v="1992"/>
    <d v="1992-07-03T00:00:00"/>
    <n v="27696.11"/>
    <s v="tier - 1"/>
    <s v="tier - 2"/>
    <s v="R1011"/>
    <n v="34"/>
    <n v="17.3"/>
  </r>
  <r>
    <x v="1973"/>
    <s v="Nahigian,"/>
    <n v="32.25"/>
    <x v="112"/>
    <s v="Yes"/>
    <x v="0"/>
    <x v="0"/>
    <x v="0"/>
    <x v="1"/>
    <x v="0"/>
    <x v="2"/>
    <n v="6"/>
    <s v="Dec"/>
    <n v="2002"/>
    <d v="2002-12-06T00:00:00"/>
    <n v="27724.29"/>
    <s v="tier - 1"/>
    <s v="tier - 3"/>
    <s v="R1013"/>
    <n v="24"/>
    <n v="32.25"/>
  </r>
  <r>
    <x v="1974"/>
    <s v="Cackett,"/>
    <n v="42.4"/>
    <x v="102"/>
    <s v="Yes"/>
    <x v="0"/>
    <x v="0"/>
    <x v="0"/>
    <x v="1"/>
    <x v="0"/>
    <x v="2"/>
    <n v="6"/>
    <s v="Jul"/>
    <n v="1960"/>
    <d v="1960-07-06T00:00:00"/>
    <n v="27808.73"/>
    <s v="tier - 1"/>
    <s v="tier - 1"/>
    <s v="R1013"/>
    <n v="66"/>
    <n v="42.4"/>
  </r>
  <r>
    <x v="1975"/>
    <s v="Hunter-Galvan,"/>
    <n v="38.664999999999999"/>
    <x v="319"/>
    <s v="No"/>
    <x v="1"/>
    <x v="0"/>
    <x v="1"/>
    <x v="1"/>
    <x v="0"/>
    <x v="2"/>
    <n v="4"/>
    <s v="Dec"/>
    <n v="1985"/>
    <d v="1985-12-04T00:00:00"/>
    <n v="27849.94"/>
    <s v="tier - 1"/>
    <s v="tier - 1"/>
    <s v="R1011"/>
    <n v="41"/>
    <n v="38.664999999999999"/>
  </r>
  <r>
    <x v="1976"/>
    <s v="Pierret,"/>
    <n v="29.92"/>
    <x v="206"/>
    <s v="Yes"/>
    <x v="0"/>
    <x v="0"/>
    <x v="0"/>
    <x v="1"/>
    <x v="1"/>
    <x v="2"/>
    <n v="21"/>
    <s v="Nov"/>
    <n v="1989"/>
    <d v="1989-11-21T00:00:00"/>
    <n v="27925.86"/>
    <s v="tier - 1"/>
    <s v="tier - 2"/>
    <s v="R1011"/>
    <n v="37"/>
    <n v="29.92"/>
  </r>
  <r>
    <x v="1977"/>
    <s v="White,"/>
    <n v="29.48"/>
    <x v="197"/>
    <s v="Yes"/>
    <x v="0"/>
    <x v="0"/>
    <x v="0"/>
    <x v="1"/>
    <x v="1"/>
    <x v="2"/>
    <n v="4"/>
    <s v="Jun"/>
    <n v="1991"/>
    <d v="1991-06-04T00:00:00"/>
    <n v="27931.11"/>
    <s v="tier - 1"/>
    <s v="tier - 3"/>
    <s v="R1011"/>
    <n v="35"/>
    <n v="29.48"/>
  </r>
  <r>
    <x v="1978"/>
    <s v="O'Neil,"/>
    <n v="28.785"/>
    <x v="282"/>
    <s v="Yes"/>
    <x v="0"/>
    <x v="0"/>
    <x v="0"/>
    <x v="1"/>
    <x v="1"/>
    <x v="2"/>
    <n v="28"/>
    <s v="Jul"/>
    <n v="1961"/>
    <d v="1961-07-28T00:00:00"/>
    <n v="27941.29"/>
    <s v="tier - 1"/>
    <s v="tier - 3"/>
    <s v="R1011"/>
    <n v="65"/>
    <n v="28.785"/>
  </r>
  <r>
    <x v="1979"/>
    <s v="Leitz,"/>
    <n v="19.8"/>
    <x v="96"/>
    <s v="Yes"/>
    <x v="0"/>
    <x v="0"/>
    <x v="0"/>
    <x v="1"/>
    <x v="2"/>
    <x v="0"/>
    <n v="21"/>
    <s v="Dec"/>
    <n v="1999"/>
    <d v="1999-12-21T00:00:00"/>
    <n v="27980.77"/>
    <s v="tier - 1"/>
    <s v="tier - 1"/>
    <s v="R1011"/>
    <n v="27"/>
    <n v="19.8"/>
  </r>
  <r>
    <x v="1980"/>
    <s v="Durfee,"/>
    <n v="35.53"/>
    <x v="82"/>
    <s v="No"/>
    <x v="0"/>
    <x v="1"/>
    <x v="1"/>
    <x v="1"/>
    <x v="0"/>
    <x v="2"/>
    <n v="29"/>
    <s v="Nov"/>
    <n v="1985"/>
    <d v="1985-11-29T00:00:00"/>
    <n v="28006.94"/>
    <s v="tier - 1"/>
    <s v="tier - 2"/>
    <s v="R1011"/>
    <n v="41"/>
    <n v="35.53"/>
  </r>
  <r>
    <x v="1981"/>
    <s v="Maylone,"/>
    <n v="21.47"/>
    <x v="93"/>
    <s v="Yes"/>
    <x v="0"/>
    <x v="0"/>
    <x v="1"/>
    <x v="1"/>
    <x v="2"/>
    <x v="2"/>
    <n v="22"/>
    <s v="Nov"/>
    <n v="1960"/>
    <d v="1960-11-22T00:00:00"/>
    <n v="28101.33"/>
    <s v="tier - 1"/>
    <s v="tier - 2"/>
    <s v="R1019"/>
    <n v="66"/>
    <n v="21.47"/>
  </r>
  <r>
    <x v="1982"/>
    <s v="Reiland,"/>
    <n v="25.9"/>
    <x v="89"/>
    <s v="No"/>
    <x v="0"/>
    <x v="1"/>
    <x v="1"/>
    <x v="1"/>
    <x v="1"/>
    <x v="2"/>
    <n v="6"/>
    <s v="Sep"/>
    <n v="1999"/>
    <d v="1999-09-06T00:00:00"/>
    <n v="28245.34"/>
    <s v="tier - 1"/>
    <s v="tier - 3"/>
    <s v="R1011"/>
    <n v="27"/>
    <n v="25.9"/>
  </r>
  <r>
    <x v="1983"/>
    <s v="Hu,"/>
    <n v="20.81"/>
    <x v="314"/>
    <s v="No"/>
    <x v="0"/>
    <x v="0"/>
    <x v="0"/>
    <x v="1"/>
    <x v="2"/>
    <x v="2"/>
    <n v="25"/>
    <s v="Nov"/>
    <n v="1963"/>
    <d v="1963-11-25T00:00:00"/>
    <n v="28287.9"/>
    <s v="tier - 1"/>
    <s v="tier - 1"/>
    <s v="R1013"/>
    <n v="63"/>
    <n v="20.81"/>
  </r>
  <r>
    <x v="1984"/>
    <s v="Lessek,"/>
    <n v="25.84"/>
    <x v="335"/>
    <s v="Yes"/>
    <x v="0"/>
    <x v="1"/>
    <x v="1"/>
    <x v="1"/>
    <x v="1"/>
    <x v="1"/>
    <n v="24"/>
    <s v="Dec"/>
    <n v="1990"/>
    <d v="1990-12-24T00:00:00"/>
    <n v="28302.33"/>
    <s v="tier - 1"/>
    <s v="tier - 2"/>
    <s v="R1011"/>
    <n v="36"/>
    <n v="25.84"/>
  </r>
  <r>
    <x v="1985"/>
    <s v="Colavincenzo,"/>
    <n v="30.95"/>
    <x v="360"/>
    <s v="No"/>
    <x v="0"/>
    <x v="1"/>
    <x v="1"/>
    <x v="1"/>
    <x v="0"/>
    <x v="2"/>
    <n v="2"/>
    <s v="Dec"/>
    <n v="1977"/>
    <d v="1977-12-02T00:00:00"/>
    <n v="28340.19"/>
    <s v="tier - 1"/>
    <s v="tier - 2"/>
    <s v="R1012"/>
    <n v="49"/>
    <n v="30.95"/>
  </r>
  <r>
    <x v="1986"/>
    <s v="Mendez-Karr,"/>
    <n v="30.54"/>
    <x v="96"/>
    <s v="No"/>
    <x v="0"/>
    <x v="1"/>
    <x v="1"/>
    <x v="1"/>
    <x v="0"/>
    <x v="0"/>
    <n v="16"/>
    <s v="Sep"/>
    <n v="1974"/>
    <d v="1974-09-16T00:00:00"/>
    <n v="28468.92"/>
    <s v="tier - 1"/>
    <s v="tier - 1"/>
    <s v="R1012"/>
    <n v="52"/>
    <n v="30.54"/>
  </r>
  <r>
    <x v="1987"/>
    <s v="Saulnier,"/>
    <n v="33.914999999999999"/>
    <x v="85"/>
    <s v="Yes"/>
    <x v="0"/>
    <x v="0"/>
    <x v="0"/>
    <x v="1"/>
    <x v="0"/>
    <x v="1"/>
    <n v="11"/>
    <s v="Dec"/>
    <n v="1982"/>
    <d v="1982-12-11T00:00:00"/>
    <n v="28476.73"/>
    <s v="tier - 1"/>
    <s v="tier - 2"/>
    <s v="R1012"/>
    <n v="44"/>
    <n v="33.914999999999999"/>
  </r>
  <r>
    <x v="1988"/>
    <s v="Schoonover,"/>
    <n v="33.31"/>
    <x v="40"/>
    <s v="No"/>
    <x v="0"/>
    <x v="1"/>
    <x v="1"/>
    <x v="1"/>
    <x v="0"/>
    <x v="2"/>
    <n v="27"/>
    <s v="Sep"/>
    <n v="1985"/>
    <d v="1985-09-27T00:00:00"/>
    <n v="28542.86"/>
    <s v="tier - 1"/>
    <s v="tier - 3"/>
    <s v="R1011"/>
    <n v="41"/>
    <n v="33.31"/>
  </r>
  <r>
    <x v="1989"/>
    <s v="Hass,"/>
    <n v="25.745000000000001"/>
    <x v="471"/>
    <s v="Yes"/>
    <x v="0"/>
    <x v="0"/>
    <x v="0"/>
    <x v="1"/>
    <x v="1"/>
    <x v="2"/>
    <n v="5"/>
    <s v="Dec"/>
    <n v="1990"/>
    <d v="1990-12-05T00:00:00"/>
    <n v="28716.14"/>
    <s v="tier - 1"/>
    <s v="tier - 3"/>
    <s v="R1011"/>
    <n v="36"/>
    <n v="25.745000000000001"/>
  </r>
  <r>
    <x v="1990"/>
    <s v="Cadotte,"/>
    <n v="37.1"/>
    <x v="149"/>
    <s v="No"/>
    <x v="0"/>
    <x v="0"/>
    <x v="0"/>
    <x v="1"/>
    <x v="0"/>
    <x v="1"/>
    <n v="3"/>
    <s v="Aug"/>
    <n v="1961"/>
    <d v="1961-08-03T00:00:00"/>
    <n v="28868.66"/>
    <s v="tier - 1"/>
    <s v="tier - 2"/>
    <s v="R1012"/>
    <n v="65"/>
    <n v="37.1"/>
  </r>
  <r>
    <x v="1991"/>
    <s v="Cacciapaglia,"/>
    <n v="35.435000000000002"/>
    <x v="335"/>
    <s v="No"/>
    <x v="0"/>
    <x v="0"/>
    <x v="0"/>
    <x v="1"/>
    <x v="0"/>
    <x v="1"/>
    <n v="25"/>
    <s v="Jul"/>
    <n v="1962"/>
    <d v="1962-07-25T00:00:00"/>
    <n v="28923.14"/>
    <s v="tier - 1"/>
    <s v="tier - 1"/>
    <s v="R1012"/>
    <n v="64"/>
    <n v="35.435000000000002"/>
  </r>
  <r>
    <x v="1992"/>
    <s v="Mininger,"/>
    <n v="20.399999999999999"/>
    <x v="249"/>
    <s v="No"/>
    <x v="0"/>
    <x v="0"/>
    <x v="0"/>
    <x v="1"/>
    <x v="2"/>
    <x v="2"/>
    <n v="5"/>
    <s v="Dec"/>
    <n v="1959"/>
    <d v="1959-12-05T00:00:00"/>
    <n v="28950.47"/>
    <s v="tier - 1"/>
    <s v="tier - 1"/>
    <s v="R1012"/>
    <n v="67"/>
    <n v="20.399999999999999"/>
  </r>
  <r>
    <x v="1993"/>
    <s v="Mayo,"/>
    <n v="42.13"/>
    <x v="186"/>
    <s v="Yes"/>
    <x v="0"/>
    <x v="1"/>
    <x v="1"/>
    <x v="1"/>
    <x v="0"/>
    <x v="1"/>
    <n v="1"/>
    <s v="Sep"/>
    <n v="2003"/>
    <d v="2003-09-01T00:00:00"/>
    <n v="28998.68"/>
    <s v="tier - 1"/>
    <s v="tier - 3"/>
    <s v="R1011"/>
    <n v="23"/>
    <n v="42.13"/>
  </r>
  <r>
    <x v="1994"/>
    <s v="Zicko,"/>
    <n v="33.99"/>
    <x v="249"/>
    <s v="Yes"/>
    <x v="0"/>
    <x v="1"/>
    <x v="1"/>
    <x v="1"/>
    <x v="0"/>
    <x v="2"/>
    <n v="7"/>
    <s v="Jul"/>
    <n v="1992"/>
    <d v="1992-07-07T00:00:00"/>
    <n v="29007.82"/>
    <s v="tier - 1"/>
    <s v="tier - 3"/>
    <s v="R1011"/>
    <n v="34"/>
    <n v="33.99"/>
  </r>
  <r>
    <x v="1995"/>
    <s v="Graham,"/>
    <n v="28.594999999999999"/>
    <x v="417"/>
    <s v="Yes"/>
    <x v="0"/>
    <x v="1"/>
    <x v="1"/>
    <x v="1"/>
    <x v="1"/>
    <x v="2"/>
    <n v="14"/>
    <s v="Jul"/>
    <n v="1980"/>
    <d v="1980-07-14T00:00:00"/>
    <n v="29114.21"/>
    <s v="tier - 1"/>
    <s v="tier - 3"/>
    <s v="R1011"/>
    <n v="46"/>
    <n v="28.594999999999999"/>
  </r>
  <r>
    <x v="1996"/>
    <s v="Boland,"/>
    <n v="20.8"/>
    <x v="212"/>
    <s v="Yes"/>
    <x v="0"/>
    <x v="1"/>
    <x v="1"/>
    <x v="1"/>
    <x v="2"/>
    <x v="2"/>
    <n v="29"/>
    <s v="Nov"/>
    <n v="1978"/>
    <d v="1978-11-29T00:00:00"/>
    <n v="29114.77"/>
    <s v="tier - 1"/>
    <s v="tier - 1"/>
    <s v="R1011"/>
    <n v="48"/>
    <n v="20.8"/>
  </r>
  <r>
    <x v="1997"/>
    <s v="Cupp,"/>
    <n v="23.465"/>
    <x v="106"/>
    <s v="Yes"/>
    <x v="0"/>
    <x v="1"/>
    <x v="1"/>
    <x v="1"/>
    <x v="2"/>
    <x v="1"/>
    <n v="24"/>
    <s v="Dec"/>
    <n v="1961"/>
    <d v="1961-12-24T00:00:00"/>
    <n v="29141.360000000001"/>
    <s v="tier - 1"/>
    <s v="tier - 3"/>
    <s v="R1012"/>
    <n v="65"/>
    <n v="23.465"/>
  </r>
  <r>
    <x v="1998"/>
    <s v="Shaw,"/>
    <n v="40.185000000000002"/>
    <x v="169"/>
    <s v="Yes"/>
    <x v="0"/>
    <x v="0"/>
    <x v="0"/>
    <x v="1"/>
    <x v="0"/>
    <x v="1"/>
    <n v="8"/>
    <s v="Nov"/>
    <n v="1976"/>
    <d v="1976-11-08T00:00:00"/>
    <n v="29160.39"/>
    <s v="tier - 1"/>
    <s v="tier - 2"/>
    <s v="R1011"/>
    <n v="50"/>
    <n v="40.185000000000002"/>
  </r>
  <r>
    <x v="1999"/>
    <s v="Klassen,"/>
    <n v="21.89"/>
    <x v="186"/>
    <s v="Yes"/>
    <x v="0"/>
    <x v="0"/>
    <x v="0"/>
    <x v="1"/>
    <x v="2"/>
    <x v="1"/>
    <n v="9"/>
    <s v="Jul"/>
    <n v="1969"/>
    <d v="1969-07-09T00:00:00"/>
    <n v="29186.48"/>
    <s v="tier - 1"/>
    <s v="tier - 3"/>
    <s v="R1024"/>
    <n v="57"/>
    <n v="21.89"/>
  </r>
  <r>
    <x v="2000"/>
    <s v="Musal,"/>
    <n v="29.34"/>
    <x v="34"/>
    <s v="Yes"/>
    <x v="1"/>
    <x v="0"/>
    <x v="1"/>
    <x v="1"/>
    <x v="1"/>
    <x v="1"/>
    <n v="21"/>
    <s v="Jul"/>
    <n v="1978"/>
    <d v="1978-07-21T00:00:00"/>
    <n v="29227.599999999999"/>
    <s v="tier - 1"/>
    <s v="tier - 3"/>
    <s v="R1012"/>
    <n v="48"/>
    <n v="29.34"/>
  </r>
  <r>
    <x v="2001"/>
    <s v="Kitayama,"/>
    <n v="22.61"/>
    <x v="69"/>
    <s v="Yes"/>
    <x v="0"/>
    <x v="0"/>
    <x v="0"/>
    <x v="1"/>
    <x v="2"/>
    <x v="2"/>
    <n v="5"/>
    <s v="Jun"/>
    <n v="1958"/>
    <d v="1958-06-05T00:00:00"/>
    <n v="29330.98"/>
    <s v="tier - 1"/>
    <s v="tier - 2"/>
    <s v="R1012"/>
    <n v="68"/>
    <n v="22.61"/>
  </r>
  <r>
    <x v="2002"/>
    <s v="Altman,"/>
    <n v="22.23"/>
    <x v="34"/>
    <s v="Yes"/>
    <x v="0"/>
    <x v="0"/>
    <x v="0"/>
    <x v="1"/>
    <x v="2"/>
    <x v="1"/>
    <n v="7"/>
    <s v="Nov"/>
    <n v="1985"/>
    <d v="1985-11-07T00:00:00"/>
    <n v="29352.560000000001"/>
    <s v="tier - 1"/>
    <s v="tier - 1"/>
    <s v="R1011"/>
    <n v="41"/>
    <n v="22.23"/>
  </r>
  <r>
    <x v="2003"/>
    <s v="Demchko,"/>
    <n v="33.4"/>
    <x v="49"/>
    <s v="No"/>
    <x v="0"/>
    <x v="0"/>
    <x v="0"/>
    <x v="1"/>
    <x v="0"/>
    <x v="2"/>
    <n v="16"/>
    <s v="Jul"/>
    <n v="1987"/>
    <d v="1987-07-16T00:00:00"/>
    <n v="29443.59"/>
    <s v="tier - 1"/>
    <s v="tier - 1"/>
    <s v="R1011"/>
    <n v="39"/>
    <n v="33.4"/>
  </r>
  <r>
    <x v="2004"/>
    <s v="Wild,"/>
    <n v="33.11"/>
    <x v="505"/>
    <s v="No"/>
    <x v="0"/>
    <x v="0"/>
    <x v="0"/>
    <x v="1"/>
    <x v="0"/>
    <x v="2"/>
    <n v="20"/>
    <s v="Oct"/>
    <n v="1959"/>
    <d v="1959-10-20T00:00:00"/>
    <n v="29523.17"/>
    <s v="tier - 1"/>
    <s v="tier - 2"/>
    <s v="R1024"/>
    <n v="67"/>
    <n v="33.11"/>
  </r>
  <r>
    <x v="2005"/>
    <s v="Betts,"/>
    <n v="16.815000000000001"/>
    <x v="318"/>
    <s v="Yes"/>
    <x v="0"/>
    <x v="0"/>
    <x v="0"/>
    <x v="1"/>
    <x v="3"/>
    <x v="2"/>
    <n v="3"/>
    <s v="Nov"/>
    <n v="1975"/>
    <d v="1975-11-03T00:00:00"/>
    <n v="29583.8"/>
    <s v="tier - 1"/>
    <s v="tier - 1"/>
    <s v="R1011"/>
    <n v="51"/>
    <n v="16.815000000000001"/>
  </r>
  <r>
    <x v="2006"/>
    <s v="Martin,"/>
    <n v="25.61"/>
    <x v="96"/>
    <s v="No"/>
    <x v="0"/>
    <x v="1"/>
    <x v="1"/>
    <x v="1"/>
    <x v="1"/>
    <x v="0"/>
    <n v="27"/>
    <s v="Jul"/>
    <n v="1993"/>
    <d v="1993-07-27T00:00:00"/>
    <n v="29622.69"/>
    <s v="tier - 1"/>
    <s v="tier - 1"/>
    <s v="R1011"/>
    <n v="33"/>
    <n v="25.61"/>
  </r>
  <r>
    <x v="2007"/>
    <s v="Vandeventer,"/>
    <n v="25.8"/>
    <x v="206"/>
    <s v="No"/>
    <x v="0"/>
    <x v="0"/>
    <x v="0"/>
    <x v="1"/>
    <x v="1"/>
    <x v="2"/>
    <n v="23"/>
    <s v="Aug"/>
    <n v="1973"/>
    <d v="1973-08-23T00:00:00"/>
    <n v="29757.69"/>
    <s v="tier - 1"/>
    <s v="tier - 3"/>
    <s v="R1011"/>
    <n v="53"/>
    <n v="25.8"/>
  </r>
  <r>
    <x v="2008"/>
    <s v="Hirano,"/>
    <n v="27.39"/>
    <x v="45"/>
    <s v="No"/>
    <x v="0"/>
    <x v="0"/>
    <x v="0"/>
    <x v="1"/>
    <x v="1"/>
    <x v="2"/>
    <n v="20"/>
    <s v="Jun"/>
    <n v="1998"/>
    <d v="1998-06-20T00:00:00"/>
    <n v="29760.6"/>
    <s v="tier - 1"/>
    <s v="tier - 2"/>
    <s v="R1011"/>
    <n v="28"/>
    <n v="27.39"/>
  </r>
  <r>
    <x v="2009"/>
    <s v="Davi,"/>
    <n v="17.03"/>
    <x v="198"/>
    <s v="No"/>
    <x v="0"/>
    <x v="0"/>
    <x v="1"/>
    <x v="1"/>
    <x v="3"/>
    <x v="2"/>
    <n v="13"/>
    <s v="Aug"/>
    <n v="1981"/>
    <d v="1981-08-13T00:00:00"/>
    <n v="29816.639999999999"/>
    <s v="tier - 1"/>
    <s v="tier - 2"/>
    <s v="R1011"/>
    <n v="45"/>
    <n v="17.03"/>
  </r>
  <r>
    <x v="2010"/>
    <s v="Sloan,"/>
    <n v="23.75"/>
    <x v="206"/>
    <s v="Yes"/>
    <x v="0"/>
    <x v="0"/>
    <x v="0"/>
    <x v="1"/>
    <x v="2"/>
    <x v="2"/>
    <n v="29"/>
    <s v="Oct"/>
    <n v="1982"/>
    <d v="1982-10-29T00:00:00"/>
    <n v="29818.76"/>
    <s v="tier - 1"/>
    <s v="tier - 1"/>
    <s v="R1012"/>
    <n v="44"/>
    <n v="23.75"/>
  </r>
  <r>
    <x v="2011"/>
    <s v="Homich,"/>
    <n v="26.03"/>
    <x v="78"/>
    <s v="Yes"/>
    <x v="0"/>
    <x v="0"/>
    <x v="1"/>
    <x v="1"/>
    <x v="1"/>
    <x v="2"/>
    <n v="30"/>
    <s v="Dec"/>
    <n v="1989"/>
    <d v="1989-12-30T00:00:00"/>
    <n v="29852.48"/>
    <s v="tier - 1"/>
    <s v="tier - 3"/>
    <s v="R1011"/>
    <n v="37"/>
    <n v="26.03"/>
  </r>
  <r>
    <x v="2012"/>
    <s v="Bell,"/>
    <n v="16.079999999999998"/>
    <x v="423"/>
    <s v="No"/>
    <x v="0"/>
    <x v="0"/>
    <x v="0"/>
    <x v="1"/>
    <x v="3"/>
    <x v="1"/>
    <n v="19"/>
    <s v="Aug"/>
    <n v="1975"/>
    <d v="1975-08-19T00:00:00"/>
    <n v="29899.25"/>
    <s v="tier - 1"/>
    <s v="tier - 3"/>
    <s v="R1011"/>
    <n v="51"/>
    <n v="16.079999999999998"/>
  </r>
  <r>
    <x v="2013"/>
    <s v="Kristjansson,"/>
    <n v="30.875"/>
    <x v="538"/>
    <s v="No"/>
    <x v="0"/>
    <x v="0"/>
    <x v="0"/>
    <x v="1"/>
    <x v="0"/>
    <x v="2"/>
    <n v="30"/>
    <s v="Dec"/>
    <n v="1988"/>
    <d v="1988-12-30T00:00:00"/>
    <n v="29929.56"/>
    <s v="tier - 1"/>
    <s v="tier - 1"/>
    <s v="R1011"/>
    <n v="38"/>
    <n v="30.875"/>
  </r>
  <r>
    <x v="2014"/>
    <s v="Pitman,"/>
    <n v="31.79"/>
    <x v="652"/>
    <s v="No"/>
    <x v="0"/>
    <x v="0"/>
    <x v="0"/>
    <x v="1"/>
    <x v="0"/>
    <x v="0"/>
    <n v="12"/>
    <s v="Jun"/>
    <n v="1976"/>
    <d v="1976-06-12T00:00:00"/>
    <n v="29933.75"/>
    <s v="tier - 1"/>
    <s v="tier - 1"/>
    <s v="R1011"/>
    <n v="50"/>
    <n v="31.79"/>
  </r>
  <r>
    <x v="2015"/>
    <s v="Curley,"/>
    <n v="28.48"/>
    <x v="21"/>
    <s v="Yes"/>
    <x v="0"/>
    <x v="1"/>
    <x v="1"/>
    <x v="1"/>
    <x v="1"/>
    <x v="1"/>
    <n v="5"/>
    <s v="Oct"/>
    <n v="1991"/>
    <d v="1991-10-05T00:00:00"/>
    <n v="29969.67"/>
    <s v="tier - 1"/>
    <s v="tier - 1"/>
    <s v="R1011"/>
    <n v="35"/>
    <n v="28.48"/>
  </r>
  <r>
    <x v="2016"/>
    <s v="Zimmer,"/>
    <n v="26.6"/>
    <x v="279"/>
    <s v="No"/>
    <x v="0"/>
    <x v="0"/>
    <x v="1"/>
    <x v="1"/>
    <x v="1"/>
    <x v="2"/>
    <n v="4"/>
    <s v="Aug"/>
    <n v="1981"/>
    <d v="1981-08-04T00:00:00"/>
    <n v="30026.87"/>
    <s v="tier - 2"/>
    <s v="tier - 3"/>
    <s v="R1012"/>
    <n v="45"/>
    <n v="26.6"/>
  </r>
  <r>
    <x v="2017"/>
    <s v="Granski,"/>
    <n v="25.27"/>
    <x v="333"/>
    <s v="No"/>
    <x v="0"/>
    <x v="0"/>
    <x v="1"/>
    <x v="1"/>
    <x v="1"/>
    <x v="1"/>
    <n v="16"/>
    <s v="Jun"/>
    <n v="1967"/>
    <d v="1967-06-16T00:00:00"/>
    <n v="30063.58"/>
    <s v="tier - 1"/>
    <s v="tier - 1"/>
    <s v="R1012"/>
    <n v="59"/>
    <n v="25.27"/>
  </r>
  <r>
    <x v="2018"/>
    <s v="Dunn,"/>
    <n v="34.484999999999999"/>
    <x v="574"/>
    <s v="Yes"/>
    <x v="0"/>
    <x v="1"/>
    <x v="1"/>
    <x v="1"/>
    <x v="0"/>
    <x v="2"/>
    <n v="2"/>
    <s v="Sep"/>
    <n v="1979"/>
    <d v="1979-09-02T00:00:00"/>
    <n v="30095.97"/>
    <s v="tier - 2"/>
    <s v="tier - 3"/>
    <s v="R1011"/>
    <n v="47"/>
    <n v="34.484999999999999"/>
  </r>
  <r>
    <x v="2019"/>
    <s v="Regina,"/>
    <n v="15.57"/>
    <x v="212"/>
    <s v="Yes"/>
    <x v="0"/>
    <x v="0"/>
    <x v="1"/>
    <x v="1"/>
    <x v="3"/>
    <x v="2"/>
    <n v="25"/>
    <s v="Dec"/>
    <n v="1971"/>
    <d v="1971-12-25T00:00:00"/>
    <n v="30134.75"/>
    <s v="tier - 2"/>
    <s v="tier - 3"/>
    <s v="R1011"/>
    <n v="55"/>
    <n v="15.57"/>
  </r>
  <r>
    <x v="2020"/>
    <s v="O'Connor,"/>
    <n v="30.36"/>
    <x v="462"/>
    <s v="No"/>
    <x v="0"/>
    <x v="0"/>
    <x v="0"/>
    <x v="1"/>
    <x v="0"/>
    <x v="0"/>
    <n v="11"/>
    <s v="Aug"/>
    <n v="1958"/>
    <d v="1958-08-11T00:00:00"/>
    <n v="30166.62"/>
    <s v="tier - 1"/>
    <s v="tier - 3"/>
    <s v="R1012"/>
    <n v="68"/>
    <n v="30.36"/>
  </r>
  <r>
    <x v="2021"/>
    <s v="Howe,"/>
    <n v="19.37"/>
    <x v="237"/>
    <s v="No"/>
    <x v="0"/>
    <x v="0"/>
    <x v="0"/>
    <x v="1"/>
    <x v="2"/>
    <x v="2"/>
    <n v="13"/>
    <s v="Sep"/>
    <n v="1963"/>
    <d v="1963-09-13T00:00:00"/>
    <n v="30184.94"/>
    <s v="tier - 1"/>
    <s v="tier - 1"/>
    <s v="R1014"/>
    <n v="63"/>
    <n v="19.37"/>
  </r>
  <r>
    <x v="2022"/>
    <s v="Atwater,"/>
    <n v="16.71"/>
    <x v="237"/>
    <s v="No"/>
    <x v="0"/>
    <x v="0"/>
    <x v="1"/>
    <x v="1"/>
    <x v="3"/>
    <x v="2"/>
    <n v="15"/>
    <s v="Sep"/>
    <n v="1962"/>
    <d v="1962-09-15T00:00:00"/>
    <n v="30260"/>
    <s v="tier - 1"/>
    <s v="tier - 1"/>
    <s v="R1014"/>
    <n v="64"/>
    <n v="16.71"/>
  </r>
  <r>
    <x v="2023"/>
    <s v="Gurganus,"/>
    <n v="24.1"/>
    <x v="171"/>
    <s v="Yes"/>
    <x v="0"/>
    <x v="0"/>
    <x v="1"/>
    <x v="1"/>
    <x v="2"/>
    <x v="2"/>
    <n v="24"/>
    <s v="Jul"/>
    <n v="1972"/>
    <d v="1972-07-24T00:00:00"/>
    <n v="30284.639999999999"/>
    <s v="tier - 1"/>
    <s v="tier - 1"/>
    <s v="R1012"/>
    <n v="54"/>
    <n v="24.1"/>
  </r>
  <r>
    <x v="2024"/>
    <s v="Holden,"/>
    <n v="29.77"/>
    <x v="207"/>
    <s v="No"/>
    <x v="0"/>
    <x v="0"/>
    <x v="0"/>
    <x v="1"/>
    <x v="1"/>
    <x v="0"/>
    <n v="1"/>
    <s v="Jun"/>
    <n v="2004"/>
    <d v="2004-06-01T00:00:00"/>
    <n v="30328.27"/>
    <s v="tier - 2"/>
    <s v="tier - 2"/>
    <s v="R1011"/>
    <n v="22"/>
    <n v="29.77"/>
  </r>
  <r>
    <x v="2025"/>
    <s v="Parton,"/>
    <n v="46.53"/>
    <x v="95"/>
    <s v="Yes"/>
    <x v="0"/>
    <x v="0"/>
    <x v="0"/>
    <x v="1"/>
    <x v="0"/>
    <x v="2"/>
    <n v="30"/>
    <s v="Jul"/>
    <n v="1969"/>
    <d v="1969-07-30T00:00:00"/>
    <n v="30366.93"/>
    <s v="tier - 2"/>
    <s v="tier - 2"/>
    <s v="R1011"/>
    <n v="57"/>
    <n v="46.53"/>
  </r>
  <r>
    <x v="2026"/>
    <s v="Downs,"/>
    <n v="23.4"/>
    <x v="102"/>
    <s v="No"/>
    <x v="0"/>
    <x v="1"/>
    <x v="1"/>
    <x v="1"/>
    <x v="2"/>
    <x v="2"/>
    <n v="3"/>
    <s v="Sep"/>
    <n v="1976"/>
    <d v="1976-09-03T00:00:00"/>
    <n v="30409.53"/>
    <s v="tier - 2"/>
    <s v="tier - 3"/>
    <s v="R1012"/>
    <n v="50"/>
    <n v="23.4"/>
  </r>
  <r>
    <x v="2027"/>
    <s v="Dent,"/>
    <n v="30"/>
    <x v="279"/>
    <s v="Yes"/>
    <x v="0"/>
    <x v="0"/>
    <x v="0"/>
    <x v="1"/>
    <x v="0"/>
    <x v="2"/>
    <n v="28"/>
    <s v="Oct"/>
    <n v="1998"/>
    <d v="1998-10-28T00:00:00"/>
    <n v="30422.03"/>
    <s v="tier - 2"/>
    <s v="tier - 3"/>
    <s v="R1011"/>
    <n v="28"/>
    <n v="30"/>
  </r>
  <r>
    <x v="2028"/>
    <s v="Ranti,"/>
    <n v="29.15"/>
    <x v="468"/>
    <s v="Yes"/>
    <x v="0"/>
    <x v="0"/>
    <x v="0"/>
    <x v="1"/>
    <x v="1"/>
    <x v="2"/>
    <n v="3"/>
    <s v="Sep"/>
    <n v="1983"/>
    <d v="1983-09-03T00:00:00"/>
    <n v="30457.37"/>
    <s v="tier - 2"/>
    <s v="tier - 1"/>
    <s v="R1012"/>
    <n v="43"/>
    <n v="29.15"/>
  </r>
  <r>
    <x v="2029"/>
    <s v="Ishaq,"/>
    <n v="34.865000000000002"/>
    <x v="373"/>
    <s v="No"/>
    <x v="0"/>
    <x v="0"/>
    <x v="0"/>
    <x v="1"/>
    <x v="0"/>
    <x v="2"/>
    <n v="10"/>
    <s v="Aug"/>
    <n v="1986"/>
    <d v="1986-08-10T00:00:00"/>
    <n v="30530.5"/>
    <s v="tier - 2"/>
    <s v="tier - 1"/>
    <s v="R1011"/>
    <n v="40"/>
    <n v="34.865000000000002"/>
  </r>
  <r>
    <x v="2030"/>
    <s v="Wiles,"/>
    <n v="28.12"/>
    <x v="122"/>
    <s v="Yes"/>
    <x v="1"/>
    <x v="0"/>
    <x v="1"/>
    <x v="1"/>
    <x v="1"/>
    <x v="2"/>
    <n v="11"/>
    <s v="Nov"/>
    <n v="1970"/>
    <d v="1970-11-11T00:00:00"/>
    <n v="30625.65"/>
    <s v="tier - 2"/>
    <s v="tier - 3"/>
    <s v="R1011"/>
    <n v="56"/>
    <n v="28.12"/>
  </r>
  <r>
    <x v="2031"/>
    <s v="Roberts,"/>
    <n v="29.45"/>
    <x v="219"/>
    <s v="Yes"/>
    <x v="0"/>
    <x v="0"/>
    <x v="0"/>
    <x v="1"/>
    <x v="1"/>
    <x v="2"/>
    <n v="21"/>
    <s v="Sep"/>
    <n v="1999"/>
    <d v="1999-09-21T00:00:00"/>
    <n v="30697.71"/>
    <s v="tier - 1"/>
    <s v="tier - 2"/>
    <s v="R1011"/>
    <n v="27"/>
    <n v="29.45"/>
  </r>
  <r>
    <x v="2032"/>
    <s v="Serafini,"/>
    <n v="27.94"/>
    <x v="633"/>
    <s v="No"/>
    <x v="0"/>
    <x v="1"/>
    <x v="1"/>
    <x v="1"/>
    <x v="1"/>
    <x v="1"/>
    <n v="21"/>
    <s v="Dec"/>
    <n v="1983"/>
    <d v="1983-12-21T00:00:00"/>
    <n v="30724.44"/>
    <s v="tier - 2"/>
    <s v="tier - 3"/>
    <s v="R1011"/>
    <n v="43"/>
    <n v="27.94"/>
  </r>
  <r>
    <x v="2033"/>
    <s v="Button,"/>
    <n v="27.2"/>
    <x v="333"/>
    <s v="No"/>
    <x v="0"/>
    <x v="1"/>
    <x v="1"/>
    <x v="1"/>
    <x v="1"/>
    <x v="1"/>
    <n v="5"/>
    <s v="Sep"/>
    <n v="1988"/>
    <d v="1988-09-05T00:00:00"/>
    <n v="30763.01"/>
    <s v="tier - 2"/>
    <s v="tier - 1"/>
    <s v="R1011"/>
    <n v="38"/>
    <n v="27.2"/>
  </r>
  <r>
    <x v="2034"/>
    <s v="Gaal,"/>
    <n v="33.344999999999999"/>
    <x v="144"/>
    <s v="No"/>
    <x v="0"/>
    <x v="0"/>
    <x v="1"/>
    <x v="1"/>
    <x v="0"/>
    <x v="2"/>
    <n v="9"/>
    <s v="Sep"/>
    <n v="1961"/>
    <d v="1961-09-09T00:00:00"/>
    <n v="30942.19"/>
    <s v="tier - 2"/>
    <s v="tier - 2"/>
    <s v="R1013"/>
    <n v="65"/>
    <n v="33.344999999999999"/>
  </r>
  <r>
    <x v="2035"/>
    <s v="Liptak,"/>
    <n v="29.925000000000001"/>
    <x v="351"/>
    <s v="No"/>
    <x v="0"/>
    <x v="0"/>
    <x v="1"/>
    <x v="1"/>
    <x v="1"/>
    <x v="2"/>
    <n v="9"/>
    <s v="Nov"/>
    <n v="2004"/>
    <d v="2004-11-09T00:00:00"/>
    <n v="31196.61"/>
    <s v="tier - 2"/>
    <s v="tier - 1"/>
    <s v="R1011"/>
    <n v="22"/>
    <n v="29.925000000000001"/>
  </r>
  <r>
    <x v="2036"/>
    <s v="Kellam,"/>
    <n v="24.225000000000001"/>
    <x v="611"/>
    <s v="No"/>
    <x v="0"/>
    <x v="0"/>
    <x v="1"/>
    <x v="1"/>
    <x v="2"/>
    <x v="2"/>
    <n v="22"/>
    <s v="Jul"/>
    <n v="2000"/>
    <d v="2000-07-22T00:00:00"/>
    <n v="31234.560000000001"/>
    <s v="tier - 1"/>
    <s v="tier - 1"/>
    <s v="R1011"/>
    <n v="26"/>
    <n v="24.225000000000001"/>
  </r>
  <r>
    <x v="2037"/>
    <s v="Gordon,"/>
    <n v="29.68"/>
    <x v="251"/>
    <s v="No"/>
    <x v="1"/>
    <x v="0"/>
    <x v="1"/>
    <x v="1"/>
    <x v="1"/>
    <x v="2"/>
    <n v="9"/>
    <s v="Jul"/>
    <n v="1968"/>
    <d v="1968-07-09T00:00:00"/>
    <n v="31322.53"/>
    <s v="tier - 2"/>
    <s v="tier - 1"/>
    <s v="R1011"/>
    <n v="58"/>
    <n v="29.68"/>
  </r>
  <r>
    <x v="2038"/>
    <s v="Hyland,"/>
    <n v="20.614999999999998"/>
    <x v="3"/>
    <s v="No"/>
    <x v="0"/>
    <x v="1"/>
    <x v="1"/>
    <x v="1"/>
    <x v="2"/>
    <x v="1"/>
    <n v="27"/>
    <s v="Sep"/>
    <n v="1995"/>
    <d v="1995-09-27T00:00:00"/>
    <n v="31328.27"/>
    <s v="tier - 2"/>
    <s v="tier - 2"/>
    <s v="R1011"/>
    <n v="31"/>
    <n v="20.614999999999998"/>
  </r>
  <r>
    <x v="2039"/>
    <s v="Wagoner,"/>
    <n v="32.119999999999997"/>
    <x v="196"/>
    <s v="No"/>
    <x v="1"/>
    <x v="0"/>
    <x v="1"/>
    <x v="1"/>
    <x v="0"/>
    <x v="2"/>
    <n v="8"/>
    <s v="Oct"/>
    <n v="1974"/>
    <d v="1974-10-08T00:00:00"/>
    <n v="31368.81"/>
    <s v="tier - 2"/>
    <s v="tier - 3"/>
    <s v="R1011"/>
    <n v="52"/>
    <n v="32.119999999999997"/>
  </r>
  <r>
    <x v="2040"/>
    <s v="Thomas,"/>
    <n v="27.36"/>
    <x v="21"/>
    <s v="No"/>
    <x v="0"/>
    <x v="0"/>
    <x v="0"/>
    <x v="1"/>
    <x v="1"/>
    <x v="1"/>
    <n v="29"/>
    <s v="Oct"/>
    <n v="1975"/>
    <d v="1975-10-29T00:00:00"/>
    <n v="31591.82"/>
    <s v="tier - 2"/>
    <s v="tier - 1"/>
    <s v="R1011"/>
    <n v="51"/>
    <n v="27.36"/>
  </r>
  <r>
    <x v="2041"/>
    <s v="Goffi,"/>
    <n v="17.385000000000002"/>
    <x v="85"/>
    <s v="No"/>
    <x v="0"/>
    <x v="0"/>
    <x v="0"/>
    <x v="1"/>
    <x v="3"/>
    <x v="1"/>
    <n v="13"/>
    <s v="Dec"/>
    <n v="1960"/>
    <d v="1960-12-13T00:00:00"/>
    <n v="31620"/>
    <s v="tier - 2"/>
    <s v="tier - 1"/>
    <s v="R1024"/>
    <n v="66"/>
    <n v="17.385000000000002"/>
  </r>
  <r>
    <x v="2042"/>
    <s v="Salovaara,"/>
    <n v="30.13"/>
    <x v="268"/>
    <s v="No"/>
    <x v="1"/>
    <x v="0"/>
    <x v="1"/>
    <x v="1"/>
    <x v="0"/>
    <x v="1"/>
    <n v="14"/>
    <s v="Oct"/>
    <n v="1977"/>
    <d v="1977-10-14T00:00:00"/>
    <n v="31736.7"/>
    <s v="tier - 2"/>
    <s v="tier - 2"/>
    <s v="R1012"/>
    <n v="49"/>
    <n v="30.13"/>
  </r>
  <r>
    <x v="2043"/>
    <s v="Reid,"/>
    <n v="25.44"/>
    <x v="60"/>
    <s v="Yes"/>
    <x v="0"/>
    <x v="1"/>
    <x v="1"/>
    <x v="1"/>
    <x v="1"/>
    <x v="1"/>
    <n v="10"/>
    <s v="Sep"/>
    <n v="1984"/>
    <d v="1984-09-10T00:00:00"/>
    <n v="31743.919999999998"/>
    <s v="tier - 2"/>
    <s v="tier - 1"/>
    <s v="R1011"/>
    <n v="42"/>
    <n v="25.44"/>
  </r>
  <r>
    <x v="2044"/>
    <s v="Allan,"/>
    <n v="39.805"/>
    <x v="24"/>
    <s v="No"/>
    <x v="1"/>
    <x v="0"/>
    <x v="1"/>
    <x v="1"/>
    <x v="0"/>
    <x v="2"/>
    <n v="25"/>
    <s v="Sep"/>
    <n v="1975"/>
    <d v="1975-09-25T00:00:00"/>
    <n v="31897.1"/>
    <s v="tier - 2"/>
    <s v="tier - 3"/>
    <s v="R1011"/>
    <n v="51"/>
    <n v="39.805"/>
  </r>
  <r>
    <x v="2045"/>
    <s v="McLaughlin,"/>
    <n v="30.4"/>
    <x v="209"/>
    <s v="Yes"/>
    <x v="1"/>
    <x v="0"/>
    <x v="1"/>
    <x v="1"/>
    <x v="0"/>
    <x v="2"/>
    <n v="21"/>
    <s v="Sep"/>
    <n v="1972"/>
    <d v="1972-09-21T00:00:00"/>
    <n v="31980.89"/>
    <s v="tier - 2"/>
    <s v="tier - 1"/>
    <s v="R1011"/>
    <n v="54"/>
    <n v="30.4"/>
  </r>
  <r>
    <x v="2046"/>
    <s v="Lee,"/>
    <n v="23.18"/>
    <x v="180"/>
    <s v="No"/>
    <x v="1"/>
    <x v="0"/>
    <x v="1"/>
    <x v="1"/>
    <x v="2"/>
    <x v="2"/>
    <n v="13"/>
    <s v="Sep"/>
    <n v="1993"/>
    <d v="1993-09-13T00:00:00"/>
    <n v="32086.21"/>
    <s v="tier - 1"/>
    <s v="tier - 3"/>
    <s v="R1011"/>
    <n v="33"/>
    <n v="23.18"/>
  </r>
  <r>
    <x v="2047"/>
    <s v="Tang,"/>
    <n v="39.615000000000002"/>
    <x v="147"/>
    <s v="No"/>
    <x v="0"/>
    <x v="1"/>
    <x v="1"/>
    <x v="1"/>
    <x v="0"/>
    <x v="1"/>
    <n v="10"/>
    <s v="Nov"/>
    <n v="1978"/>
    <d v="1978-11-10T00:00:00"/>
    <n v="32108.66"/>
    <s v="tier - 1"/>
    <s v="tier - 3"/>
    <s v="R1017"/>
    <n v="48"/>
    <n v="39.615000000000002"/>
  </r>
  <r>
    <x v="2048"/>
    <s v="Kennedy,"/>
    <n v="30.59"/>
    <x v="559"/>
    <s v="Yes"/>
    <x v="0"/>
    <x v="1"/>
    <x v="1"/>
    <x v="1"/>
    <x v="0"/>
    <x v="1"/>
    <n v="11"/>
    <s v="Sep"/>
    <n v="1969"/>
    <d v="1969-09-11T00:00:00"/>
    <n v="32192.76"/>
    <s v="tier - 1"/>
    <s v="tier - 2"/>
    <s v="R1011"/>
    <n v="57"/>
    <n v="30.59"/>
  </r>
  <r>
    <x v="2049"/>
    <s v="Condon,"/>
    <n v="16.72"/>
    <x v="24"/>
    <s v="Yes"/>
    <x v="0"/>
    <x v="0"/>
    <x v="1"/>
    <x v="1"/>
    <x v="3"/>
    <x v="2"/>
    <n v="8"/>
    <s v="Sep"/>
    <n v="1994"/>
    <d v="1994-09-08T00:00:00"/>
    <n v="32222.81"/>
    <s v="tier - 2"/>
    <s v="tier - 1"/>
    <s v="R1011"/>
    <n v="32"/>
    <n v="16.72"/>
  </r>
  <r>
    <x v="2050"/>
    <s v="Chepkwony,"/>
    <n v="26.22"/>
    <x v="346"/>
    <s v="Yes"/>
    <x v="0"/>
    <x v="1"/>
    <x v="1"/>
    <x v="1"/>
    <x v="1"/>
    <x v="2"/>
    <n v="17"/>
    <s v="Dec"/>
    <n v="1975"/>
    <d v="1975-12-17T00:00:00"/>
    <n v="32259.96"/>
    <s v="tier - 2"/>
    <s v="tier - 3"/>
    <s v="R1012"/>
    <n v="51"/>
    <n v="26.22"/>
  </r>
  <r>
    <x v="2051"/>
    <s v="Rodriguez,"/>
    <n v="31.824999999999999"/>
    <x v="574"/>
    <s v="No"/>
    <x v="0"/>
    <x v="1"/>
    <x v="1"/>
    <x v="1"/>
    <x v="0"/>
    <x v="2"/>
    <n v="2"/>
    <s v="Dec"/>
    <n v="1986"/>
    <d v="1986-12-02T00:00:00"/>
    <n v="32288.49"/>
    <s v="tier - 2"/>
    <s v="tier - 2"/>
    <s v="R1011"/>
    <n v="40"/>
    <n v="31.824999999999999"/>
  </r>
  <r>
    <x v="2052"/>
    <s v="Szynkarczuk,"/>
    <n v="25.745000000000001"/>
    <x v="83"/>
    <s v="No"/>
    <x v="0"/>
    <x v="1"/>
    <x v="1"/>
    <x v="1"/>
    <x v="1"/>
    <x v="2"/>
    <n v="19"/>
    <s v="Oct"/>
    <n v="1972"/>
    <d v="1972-10-19T00:00:00"/>
    <n v="32428.63"/>
    <s v="tier - 2"/>
    <s v="tier - 2"/>
    <s v="R1011"/>
    <n v="54"/>
    <n v="25.745000000000001"/>
  </r>
  <r>
    <x v="2053"/>
    <s v="Brill,"/>
    <n v="24.605"/>
    <x v="133"/>
    <s v="No"/>
    <x v="0"/>
    <x v="1"/>
    <x v="1"/>
    <x v="1"/>
    <x v="2"/>
    <x v="2"/>
    <n v="9"/>
    <s v="Aug"/>
    <n v="1976"/>
    <d v="1976-08-09T00:00:00"/>
    <n v="32430.22"/>
    <s v="tier - 2"/>
    <s v="tier - 3"/>
    <s v="R1011"/>
    <n v="50"/>
    <n v="24.605"/>
  </r>
  <r>
    <x v="2054"/>
    <s v="Adams,"/>
    <n v="24.51"/>
    <x v="180"/>
    <s v="No"/>
    <x v="0"/>
    <x v="1"/>
    <x v="1"/>
    <x v="1"/>
    <x v="2"/>
    <x v="2"/>
    <n v="27"/>
    <s v="Sep"/>
    <n v="1981"/>
    <d v="1981-09-27T00:00:00"/>
    <n v="32462.35"/>
    <s v="tier - 2"/>
    <s v="tier - 2"/>
    <s v="R1011"/>
    <n v="45"/>
    <n v="24.51"/>
  </r>
  <r>
    <x v="2055"/>
    <s v="Nunn,"/>
    <n v="31.065000000000001"/>
    <x v="90"/>
    <s v="Yes"/>
    <x v="0"/>
    <x v="0"/>
    <x v="0"/>
    <x v="1"/>
    <x v="0"/>
    <x v="2"/>
    <n v="19"/>
    <s v="Sep"/>
    <n v="1976"/>
    <d v="1976-09-19T00:00:00"/>
    <n v="32485.46"/>
    <s v="tier - 2"/>
    <s v="tier - 1"/>
    <s v="R1011"/>
    <n v="50"/>
    <n v="31.065000000000001"/>
  </r>
  <r>
    <x v="2056"/>
    <s v="Blair,"/>
    <n v="28.12"/>
    <x v="203"/>
    <s v="No"/>
    <x v="0"/>
    <x v="0"/>
    <x v="0"/>
    <x v="1"/>
    <x v="1"/>
    <x v="2"/>
    <n v="8"/>
    <s v="Oct"/>
    <n v="2003"/>
    <d v="2003-10-08T00:00:00"/>
    <n v="32548.34"/>
    <s v="tier - 1"/>
    <s v="tier - 2"/>
    <s v="R1013"/>
    <n v="23"/>
    <n v="28.12"/>
  </r>
  <r>
    <x v="2057"/>
    <s v="Sharkey,"/>
    <n v="38.06"/>
    <x v="631"/>
    <s v="No"/>
    <x v="0"/>
    <x v="0"/>
    <x v="0"/>
    <x v="1"/>
    <x v="0"/>
    <x v="1"/>
    <n v="13"/>
    <s v="Jul"/>
    <n v="1990"/>
    <d v="1990-07-13T00:00:00"/>
    <n v="32672.11"/>
    <s v="tier - 1"/>
    <s v="tier - 1"/>
    <s v="R1011"/>
    <n v="36"/>
    <n v="38.06"/>
  </r>
  <r>
    <x v="2058"/>
    <s v="Scalard,"/>
    <n v="24.96"/>
    <x v="90"/>
    <s v="No"/>
    <x v="0"/>
    <x v="0"/>
    <x v="0"/>
    <x v="1"/>
    <x v="2"/>
    <x v="2"/>
    <n v="1"/>
    <s v="Nov"/>
    <n v="1968"/>
    <d v="1968-11-01T00:00:00"/>
    <n v="32686.080000000002"/>
    <s v="tier - 2"/>
    <s v="tier - 3"/>
    <s v="R1011"/>
    <n v="58"/>
    <n v="24.96"/>
  </r>
  <r>
    <x v="2059"/>
    <s v="Burget,"/>
    <n v="17.670000000000002"/>
    <x v="102"/>
    <s v="Yes"/>
    <x v="0"/>
    <x v="0"/>
    <x v="0"/>
    <x v="1"/>
    <x v="3"/>
    <x v="2"/>
    <n v="30"/>
    <s v="Sep"/>
    <n v="1990"/>
    <d v="1990-09-30T00:00:00"/>
    <n v="32716.2"/>
    <s v="tier - 1"/>
    <s v="tier - 2"/>
    <s v="R1011"/>
    <n v="36"/>
    <n v="17.670000000000002"/>
  </r>
  <r>
    <x v="2060"/>
    <s v="English,"/>
    <n v="31.35"/>
    <x v="85"/>
    <s v="No"/>
    <x v="1"/>
    <x v="0"/>
    <x v="1"/>
    <x v="1"/>
    <x v="0"/>
    <x v="1"/>
    <n v="9"/>
    <s v="Jul"/>
    <n v="1990"/>
    <d v="1990-07-09T00:00:00"/>
    <n v="32734.19"/>
    <s v="tier - 2"/>
    <s v="tier - 1"/>
    <s v="R1012"/>
    <n v="36"/>
    <n v="31.35"/>
  </r>
  <r>
    <x v="2061"/>
    <s v="Hampton,"/>
    <n v="28.31"/>
    <x v="648"/>
    <s v="No"/>
    <x v="1"/>
    <x v="0"/>
    <x v="1"/>
    <x v="1"/>
    <x v="1"/>
    <x v="1"/>
    <n v="6"/>
    <s v="Dec"/>
    <n v="1974"/>
    <d v="1974-12-06T00:00:00"/>
    <n v="32760.48"/>
    <s v="tier - 1"/>
    <s v="tier - 1"/>
    <s v="R1011"/>
    <n v="52"/>
    <n v="28.31"/>
  </r>
  <r>
    <x v="2062"/>
    <s v="Flynn,"/>
    <n v="30.3"/>
    <x v="374"/>
    <s v="Yes"/>
    <x v="0"/>
    <x v="1"/>
    <x v="1"/>
    <x v="1"/>
    <x v="0"/>
    <x v="2"/>
    <n v="7"/>
    <s v="Nov"/>
    <n v="1972"/>
    <d v="1972-11-07T00:00:00"/>
    <n v="32765.33"/>
    <s v="tier - 2"/>
    <s v="tier - 2"/>
    <s v="R1012"/>
    <n v="54"/>
    <n v="30.3"/>
  </r>
  <r>
    <x v="2063"/>
    <s v="Knast,"/>
    <n v="26.4"/>
    <x v="21"/>
    <s v="Yes"/>
    <x v="0"/>
    <x v="0"/>
    <x v="0"/>
    <x v="1"/>
    <x v="1"/>
    <x v="1"/>
    <n v="12"/>
    <s v="Dec"/>
    <n v="1980"/>
    <d v="1980-12-12T00:00:00"/>
    <n v="32787.46"/>
    <s v="tier - 1"/>
    <s v="tier - 3"/>
    <s v="R1012"/>
    <n v="46"/>
    <n v="26.4"/>
  </r>
  <r>
    <x v="2064"/>
    <s v="Lucas,"/>
    <n v="22.135000000000002"/>
    <x v="135"/>
    <s v="Yes"/>
    <x v="0"/>
    <x v="0"/>
    <x v="0"/>
    <x v="1"/>
    <x v="2"/>
    <x v="2"/>
    <n v="4"/>
    <s v="Dec"/>
    <n v="1995"/>
    <d v="1995-12-04T00:00:00"/>
    <n v="32827.51"/>
    <s v="tier - 1"/>
    <s v="tier - 2"/>
    <s v="R1011"/>
    <n v="31"/>
    <n v="22.135000000000002"/>
  </r>
  <r>
    <x v="2065"/>
    <s v="Thomas,"/>
    <n v="17.399999999999999"/>
    <x v="146"/>
    <s v="Yes"/>
    <x v="0"/>
    <x v="0"/>
    <x v="0"/>
    <x v="1"/>
    <x v="3"/>
    <x v="2"/>
    <n v="17"/>
    <s v="Nov"/>
    <n v="1981"/>
    <d v="1981-11-17T00:00:00"/>
    <n v="32906.69"/>
    <s v="tier - 2"/>
    <s v="tier - 3"/>
    <s v="R1011"/>
    <n v="45"/>
    <n v="17.399999999999999"/>
  </r>
  <r>
    <x v="2066"/>
    <s v="Cherewatti,"/>
    <n v="28.06"/>
    <x v="636"/>
    <s v="No"/>
    <x v="0"/>
    <x v="0"/>
    <x v="0"/>
    <x v="1"/>
    <x v="1"/>
    <x v="0"/>
    <n v="24"/>
    <s v="Aug"/>
    <n v="1971"/>
    <d v="1971-08-24T00:00:00"/>
    <n v="32947.629999999997"/>
    <s v="tier - 2"/>
    <s v="tier - 1"/>
    <s v="R1011"/>
    <n v="55"/>
    <n v="28.06"/>
  </r>
  <r>
    <x v="2067"/>
    <s v="Olle,"/>
    <n v="31.13"/>
    <x v="653"/>
    <s v="No"/>
    <x v="0"/>
    <x v="0"/>
    <x v="0"/>
    <x v="1"/>
    <x v="0"/>
    <x v="0"/>
    <n v="8"/>
    <s v="Jul"/>
    <n v="1995"/>
    <d v="1995-07-08T00:00:00"/>
    <n v="33017.46"/>
    <s v="tier - 1"/>
    <s v="tier - 1"/>
    <s v="R1011"/>
    <n v="31"/>
    <n v="31.13"/>
  </r>
  <r>
    <x v="2068"/>
    <s v="Hamsi,"/>
    <n v="18.46"/>
    <x v="174"/>
    <s v="No"/>
    <x v="0"/>
    <x v="0"/>
    <x v="0"/>
    <x v="1"/>
    <x v="3"/>
    <x v="2"/>
    <n v="10"/>
    <s v="Jul"/>
    <n v="1967"/>
    <d v="1967-07-10T00:00:00"/>
    <n v="33025.32"/>
    <s v="tier - 2"/>
    <s v="tier - 3"/>
    <s v="R1011"/>
    <n v="59"/>
    <n v="18.46"/>
  </r>
  <r>
    <x v="2069"/>
    <s v="Finnegan,"/>
    <n v="17.3"/>
    <x v="503"/>
    <s v="No"/>
    <x v="0"/>
    <x v="0"/>
    <x v="0"/>
    <x v="1"/>
    <x v="3"/>
    <x v="2"/>
    <n v="28"/>
    <s v="Jul"/>
    <n v="1994"/>
    <d v="1994-07-28T00:00:00"/>
    <n v="33057.230000000003"/>
    <s v="tier - 1"/>
    <s v="tier - 2"/>
    <s v="R1011"/>
    <n v="32"/>
    <n v="17.3"/>
  </r>
  <r>
    <x v="2070"/>
    <s v="Walsh,"/>
    <n v="35.625"/>
    <x v="82"/>
    <s v="Yes"/>
    <x v="0"/>
    <x v="1"/>
    <x v="1"/>
    <x v="1"/>
    <x v="0"/>
    <x v="2"/>
    <n v="1"/>
    <s v="Jul"/>
    <n v="1962"/>
    <d v="1962-07-01T00:00:00"/>
    <n v="33074.94"/>
    <s v="tier - 1"/>
    <s v="tier - 2"/>
    <s v="R1011"/>
    <n v="64"/>
    <n v="35.625"/>
  </r>
  <r>
    <x v="2071"/>
    <s v="Villa,"/>
    <n v="20.234999999999999"/>
    <x v="330"/>
    <s v="Yes"/>
    <x v="1"/>
    <x v="0"/>
    <x v="1"/>
    <x v="1"/>
    <x v="2"/>
    <x v="1"/>
    <n v="30"/>
    <s v="Oct"/>
    <n v="1969"/>
    <d v="1969-10-30T00:00:00"/>
    <n v="33090.660000000003"/>
    <s v="tier - 2"/>
    <s v="tier - 2"/>
    <s v="R1011"/>
    <n v="57"/>
    <n v="20.234999999999999"/>
  </r>
  <r>
    <x v="2072"/>
    <s v="Cable,"/>
    <n v="27.55"/>
    <x v="176"/>
    <s v="Yes"/>
    <x v="0"/>
    <x v="1"/>
    <x v="1"/>
    <x v="1"/>
    <x v="1"/>
    <x v="2"/>
    <n v="15"/>
    <s v="Jul"/>
    <n v="1985"/>
    <d v="1985-07-15T00:00:00"/>
    <n v="33121"/>
    <s v="tier - 2"/>
    <s v="tier - 1"/>
    <s v="R1011"/>
    <n v="41"/>
    <n v="27.55"/>
  </r>
  <r>
    <x v="2073"/>
    <s v="Eiring,"/>
    <n v="17.97"/>
    <x v="559"/>
    <s v="No"/>
    <x v="0"/>
    <x v="0"/>
    <x v="0"/>
    <x v="1"/>
    <x v="3"/>
    <x v="1"/>
    <n v="12"/>
    <s v="Oct"/>
    <n v="1990"/>
    <d v="1990-10-12T00:00:00"/>
    <n v="33292.83"/>
    <s v="tier - 2"/>
    <s v="tier - 1"/>
    <s v="R1011"/>
    <n v="36"/>
    <n v="17.97"/>
  </r>
  <r>
    <x v="2074"/>
    <s v="Connor,"/>
    <n v="29.98"/>
    <x v="100"/>
    <s v="No"/>
    <x v="1"/>
    <x v="0"/>
    <x v="1"/>
    <x v="1"/>
    <x v="1"/>
    <x v="1"/>
    <n v="28"/>
    <s v="Nov"/>
    <n v="2003"/>
    <d v="2003-11-28T00:00:00"/>
    <n v="33307.550000000003"/>
    <s v="tier - 2"/>
    <s v="tier - 3"/>
    <s v="R1012"/>
    <n v="23"/>
    <n v="29.98"/>
  </r>
  <r>
    <x v="2075"/>
    <s v="Friedman,"/>
    <n v="33.659999999999997"/>
    <x v="267"/>
    <s v="Yes"/>
    <x v="0"/>
    <x v="0"/>
    <x v="1"/>
    <x v="1"/>
    <x v="0"/>
    <x v="2"/>
    <n v="5"/>
    <s v="Sep"/>
    <n v="1972"/>
    <d v="1972-09-05T00:00:00"/>
    <n v="33344.449999999997"/>
    <s v="tier - 2"/>
    <s v="tier - 3"/>
    <s v="R1011"/>
    <n v="54"/>
    <n v="33.659999999999997"/>
  </r>
  <r>
    <x v="2076"/>
    <s v="Croker,"/>
    <n v="32.67"/>
    <x v="513"/>
    <s v="Yes"/>
    <x v="0"/>
    <x v="0"/>
    <x v="1"/>
    <x v="1"/>
    <x v="0"/>
    <x v="2"/>
    <n v="7"/>
    <s v="Dec"/>
    <n v="1985"/>
    <d v="1985-12-07T00:00:00"/>
    <n v="33450.99"/>
    <s v="tier - 2"/>
    <s v="tier - 2"/>
    <s v="R1011"/>
    <n v="41"/>
    <n v="32.67"/>
  </r>
  <r>
    <x v="2077"/>
    <s v="Beganics,"/>
    <n v="30.5"/>
    <x v="169"/>
    <s v="Yes"/>
    <x v="0"/>
    <x v="0"/>
    <x v="1"/>
    <x v="1"/>
    <x v="0"/>
    <x v="1"/>
    <n v="18"/>
    <s v="Jun"/>
    <n v="1970"/>
    <d v="1970-06-18T00:00:00"/>
    <n v="33471.97"/>
    <s v="tier - 2"/>
    <s v="tier - 2"/>
    <s v="R1012"/>
    <n v="56"/>
    <n v="30.5"/>
  </r>
  <r>
    <x v="2078"/>
    <s v="Huberty,"/>
    <n v="23.1"/>
    <x v="560"/>
    <s v="Yes"/>
    <x v="0"/>
    <x v="0"/>
    <x v="1"/>
    <x v="1"/>
    <x v="2"/>
    <x v="1"/>
    <n v="25"/>
    <s v="Aug"/>
    <n v="2002"/>
    <d v="2002-08-25T00:00:00"/>
    <n v="33475.82"/>
    <s v="tier - 1"/>
    <s v="tier - 1"/>
    <s v="R1018"/>
    <n v="24"/>
    <n v="23.1"/>
  </r>
  <r>
    <x v="2079"/>
    <s v="Jacobs,"/>
    <n v="39.49"/>
    <x v="357"/>
    <s v="No"/>
    <x v="0"/>
    <x v="0"/>
    <x v="1"/>
    <x v="1"/>
    <x v="0"/>
    <x v="2"/>
    <n v="22"/>
    <s v="Jul"/>
    <n v="1984"/>
    <d v="1984-07-22T00:00:00"/>
    <n v="33527.1"/>
    <s v="tier - 2"/>
    <s v="tier - 3"/>
    <s v="R1011"/>
    <n v="42"/>
    <n v="39.49"/>
  </r>
  <r>
    <x v="2080"/>
    <s v="Hazlehurst,"/>
    <n v="33.99"/>
    <x v="188"/>
    <s v="No"/>
    <x v="0"/>
    <x v="0"/>
    <x v="1"/>
    <x v="1"/>
    <x v="0"/>
    <x v="2"/>
    <n v="9"/>
    <s v="Sep"/>
    <n v="2003"/>
    <d v="2003-09-09T00:00:00"/>
    <n v="33611.71"/>
    <s v="tier - 1"/>
    <s v="tier - 2"/>
    <s v="R1011"/>
    <n v="23"/>
    <n v="33.99"/>
  </r>
  <r>
    <x v="2081"/>
    <s v="Marin,"/>
    <n v="27.72"/>
    <x v="654"/>
    <s v="No"/>
    <x v="0"/>
    <x v="0"/>
    <x v="1"/>
    <x v="1"/>
    <x v="1"/>
    <x v="1"/>
    <n v="28"/>
    <s v="Nov"/>
    <n v="1993"/>
    <d v="1993-11-28T00:00:00"/>
    <n v="33707.550000000003"/>
    <s v="tier - 2"/>
    <s v="tier - 2"/>
    <s v="R1011"/>
    <n v="33"/>
    <n v="27.72"/>
  </r>
  <r>
    <x v="2082"/>
    <s v="Dear,"/>
    <n v="30.59"/>
    <x v="655"/>
    <s v="No"/>
    <x v="0"/>
    <x v="0"/>
    <x v="0"/>
    <x v="1"/>
    <x v="0"/>
    <x v="0"/>
    <n v="1"/>
    <s v="Nov"/>
    <n v="2004"/>
    <d v="2004-11-01T00:00:00"/>
    <n v="33732.69"/>
    <s v="tier - 1"/>
    <s v="tier - 1"/>
    <s v="R1017"/>
    <n v="22"/>
    <n v="30.59"/>
  </r>
  <r>
    <x v="2083"/>
    <s v="Lederer,"/>
    <n v="22.6"/>
    <x v="60"/>
    <s v="No"/>
    <x v="0"/>
    <x v="0"/>
    <x v="1"/>
    <x v="1"/>
    <x v="2"/>
    <x v="1"/>
    <n v="12"/>
    <s v="Sep"/>
    <n v="2003"/>
    <d v="2003-09-12T00:00:00"/>
    <n v="33750.29"/>
    <s v="tier - 1"/>
    <s v="tier - 3"/>
    <s v="R1012"/>
    <n v="23"/>
    <n v="22.6"/>
  </r>
  <r>
    <x v="2084"/>
    <s v="Robson,"/>
    <n v="28.785"/>
    <x v="163"/>
    <s v="No"/>
    <x v="0"/>
    <x v="0"/>
    <x v="0"/>
    <x v="1"/>
    <x v="1"/>
    <x v="0"/>
    <n v="11"/>
    <s v="Dec"/>
    <n v="1962"/>
    <d v="1962-12-11T00:00:00"/>
    <n v="33753.32"/>
    <s v="tier - 1"/>
    <s v="tier - 3"/>
    <s v="R1011"/>
    <n v="64"/>
    <n v="28.785"/>
  </r>
  <r>
    <x v="2085"/>
    <s v="Galvan,"/>
    <n v="50.38"/>
    <x v="329"/>
    <s v="No"/>
    <x v="0"/>
    <x v="0"/>
    <x v="0"/>
    <x v="1"/>
    <x v="0"/>
    <x v="1"/>
    <n v="26"/>
    <s v="Oct"/>
    <n v="2000"/>
    <d v="2000-10-26T00:00:00"/>
    <n v="33829.39"/>
    <s v="tier - 2"/>
    <s v="tier - 3"/>
    <s v="R1011"/>
    <n v="26"/>
    <n v="50.38"/>
  </r>
  <r>
    <x v="2086"/>
    <s v="Walsh,"/>
    <n v="35.200000000000003"/>
    <x v="141"/>
    <s v="No"/>
    <x v="0"/>
    <x v="0"/>
    <x v="0"/>
    <x v="1"/>
    <x v="0"/>
    <x v="2"/>
    <n v="9"/>
    <s v="Aug"/>
    <n v="1997"/>
    <d v="1997-08-09T00:00:00"/>
    <n v="33900.65"/>
    <s v="tier - 2"/>
    <s v="tier - 3"/>
    <s v="R1011"/>
    <n v="29"/>
    <n v="35.200000000000003"/>
  </r>
  <r>
    <x v="2087"/>
    <s v="Teeuwen,"/>
    <n v="35.72"/>
    <x v="334"/>
    <s v="Yes"/>
    <x v="0"/>
    <x v="0"/>
    <x v="0"/>
    <x v="1"/>
    <x v="0"/>
    <x v="2"/>
    <n v="27"/>
    <s v="Dec"/>
    <n v="2000"/>
    <d v="2000-12-27T00:00:00"/>
    <n v="33907.550000000003"/>
    <s v="tier - 2"/>
    <s v="tier - 2"/>
    <s v="R1012"/>
    <n v="26"/>
    <n v="35.72"/>
  </r>
  <r>
    <x v="2088"/>
    <s v="List,"/>
    <n v="24.51"/>
    <x v="164"/>
    <s v="No"/>
    <x v="0"/>
    <x v="0"/>
    <x v="0"/>
    <x v="1"/>
    <x v="2"/>
    <x v="2"/>
    <n v="25"/>
    <s v="Sep"/>
    <n v="1994"/>
    <d v="1994-09-25T00:00:00"/>
    <n v="33975.47"/>
    <s v="tier - 2"/>
    <s v="tier - 2"/>
    <s v="R1011"/>
    <n v="32"/>
    <n v="24.51"/>
  </r>
  <r>
    <x v="2089"/>
    <s v="Shafar,"/>
    <n v="23.844999999999999"/>
    <x v="46"/>
    <s v="No"/>
    <x v="0"/>
    <x v="0"/>
    <x v="0"/>
    <x v="1"/>
    <x v="2"/>
    <x v="2"/>
    <n v="26"/>
    <s v="Jul"/>
    <n v="1972"/>
    <d v="1972-07-26T00:00:00"/>
    <n v="34053.360000000001"/>
    <s v="tier - 2"/>
    <s v="tier - 2"/>
    <s v="R1011"/>
    <n v="54"/>
    <n v="23.844999999999999"/>
  </r>
  <r>
    <x v="2090"/>
    <s v="Copenhaver,"/>
    <n v="15.68"/>
    <x v="631"/>
    <s v="Yes"/>
    <x v="0"/>
    <x v="0"/>
    <x v="1"/>
    <x v="1"/>
    <x v="3"/>
    <x v="1"/>
    <n v="26"/>
    <s v="Dec"/>
    <n v="2002"/>
    <d v="2002-12-26T00:00:00"/>
    <n v="34084.68"/>
    <s v="tier - 2"/>
    <s v="tier - 3"/>
    <s v="R1011"/>
    <n v="24"/>
    <n v="15.68"/>
  </r>
  <r>
    <x v="2091"/>
    <s v="Stump,"/>
    <n v="32.395000000000003"/>
    <x v="483"/>
    <s v="No"/>
    <x v="0"/>
    <x v="0"/>
    <x v="0"/>
    <x v="1"/>
    <x v="0"/>
    <x v="0"/>
    <n v="6"/>
    <s v="Nov"/>
    <n v="1999"/>
    <d v="1999-11-06T00:00:00"/>
    <n v="34166.269999999997"/>
    <s v="tier - 2"/>
    <s v="tier - 3"/>
    <s v="R1011"/>
    <n v="27"/>
    <n v="32.395000000000003"/>
  </r>
  <r>
    <x v="2092"/>
    <s v="Wehrman,"/>
    <n v="23.655000000000001"/>
    <x v="560"/>
    <s v="No"/>
    <x v="0"/>
    <x v="0"/>
    <x v="1"/>
    <x v="1"/>
    <x v="2"/>
    <x v="1"/>
    <n v="25"/>
    <s v="Aug"/>
    <n v="1971"/>
    <d v="1971-08-25T00:00:00"/>
    <n v="34205.07"/>
    <s v="tier - 2"/>
    <s v="tier - 2"/>
    <s v="R1011"/>
    <n v="55"/>
    <n v="23.655000000000001"/>
  </r>
  <r>
    <x v="2093"/>
    <s v="Sischo,"/>
    <n v="28.4"/>
    <x v="410"/>
    <s v="No"/>
    <x v="0"/>
    <x v="1"/>
    <x v="1"/>
    <x v="1"/>
    <x v="1"/>
    <x v="1"/>
    <n v="21"/>
    <s v="Jul"/>
    <n v="1975"/>
    <d v="1975-07-21T00:00:00"/>
    <n v="34210.33"/>
    <s v="tier - 2"/>
    <s v="tier - 1"/>
    <s v="R1012"/>
    <n v="51"/>
    <n v="28.4"/>
  </r>
  <r>
    <x v="2094"/>
    <s v="Fonti,"/>
    <n v="35.42"/>
    <x v="202"/>
    <s v="Yes"/>
    <x v="0"/>
    <x v="0"/>
    <x v="0"/>
    <x v="1"/>
    <x v="0"/>
    <x v="2"/>
    <n v="5"/>
    <s v="Jul"/>
    <n v="1962"/>
    <d v="1962-07-05T00:00:00"/>
    <n v="34218.019999999997"/>
    <s v="tier - 1"/>
    <s v="tier - 1"/>
    <s v="R1011"/>
    <n v="64"/>
    <n v="35.42"/>
  </r>
  <r>
    <x v="2095"/>
    <s v="Merlis,"/>
    <n v="26.18"/>
    <x v="65"/>
    <s v="No"/>
    <x v="1"/>
    <x v="0"/>
    <x v="1"/>
    <x v="1"/>
    <x v="1"/>
    <x v="1"/>
    <n v="11"/>
    <s v="Jun"/>
    <n v="1998"/>
    <d v="1998-06-11T00:00:00"/>
    <n v="34254.050000000003"/>
    <s v="tier - 1"/>
    <s v="tier - 3"/>
    <s v="R1019"/>
    <n v="28"/>
    <n v="26.18"/>
  </r>
  <r>
    <x v="2096"/>
    <s v="Hasegawa,"/>
    <n v="20.8"/>
    <x v="189"/>
    <s v="Yes"/>
    <x v="0"/>
    <x v="0"/>
    <x v="0"/>
    <x v="1"/>
    <x v="2"/>
    <x v="2"/>
    <n v="30"/>
    <s v="Oct"/>
    <n v="1995"/>
    <d v="1995-10-30T00:00:00"/>
    <n v="34289.43"/>
    <s v="tier - 1"/>
    <s v="tier - 1"/>
    <s v="R1011"/>
    <n v="31"/>
    <n v="20.8"/>
  </r>
  <r>
    <x v="2097"/>
    <s v="Haselden,"/>
    <n v="15.82"/>
    <x v="192"/>
    <s v="No"/>
    <x v="0"/>
    <x v="0"/>
    <x v="0"/>
    <x v="1"/>
    <x v="3"/>
    <x v="2"/>
    <n v="11"/>
    <s v="Oct"/>
    <n v="1986"/>
    <d v="1986-10-11T00:00:00"/>
    <n v="34293.120000000003"/>
    <s v="tier - 1"/>
    <s v="tier - 2"/>
    <s v="R1011"/>
    <n v="40"/>
    <n v="15.82"/>
  </r>
  <r>
    <x v="2098"/>
    <s v="Simonson,"/>
    <n v="17.670000000000002"/>
    <x v="226"/>
    <s v="No"/>
    <x v="0"/>
    <x v="0"/>
    <x v="0"/>
    <x v="1"/>
    <x v="3"/>
    <x v="2"/>
    <n v="1"/>
    <s v="Nov"/>
    <n v="2004"/>
    <d v="2004-11-01T00:00:00"/>
    <n v="34303.17"/>
    <s v="tier - 1"/>
    <s v="tier - 3"/>
    <s v="R1013"/>
    <n v="22"/>
    <n v="17.670000000000002"/>
  </r>
  <r>
    <x v="2099"/>
    <s v="Montag,"/>
    <n v="31.92"/>
    <x v="53"/>
    <s v="No"/>
    <x v="0"/>
    <x v="0"/>
    <x v="0"/>
    <x v="1"/>
    <x v="0"/>
    <x v="0"/>
    <n v="2"/>
    <s v="Oct"/>
    <n v="1983"/>
    <d v="1983-10-02T00:00:00"/>
    <n v="34307.22"/>
    <s v="tier - 2"/>
    <s v="tier - 2"/>
    <s v="R1012"/>
    <n v="43"/>
    <n v="31.92"/>
  </r>
  <r>
    <x v="2100"/>
    <s v="Deroian,"/>
    <n v="28.975000000000001"/>
    <x v="577"/>
    <s v="No"/>
    <x v="0"/>
    <x v="0"/>
    <x v="0"/>
    <x v="1"/>
    <x v="1"/>
    <x v="0"/>
    <n v="1"/>
    <s v="Oct"/>
    <n v="1984"/>
    <d v="1984-10-01T00:00:00"/>
    <n v="34402.22"/>
    <s v="tier - 2"/>
    <s v="tier - 3"/>
    <s v="R1011"/>
    <n v="42"/>
    <n v="28.975000000000001"/>
  </r>
  <r>
    <x v="2101"/>
    <s v="Goetz,"/>
    <n v="31.73"/>
    <x v="226"/>
    <s v="Yes"/>
    <x v="1"/>
    <x v="0"/>
    <x v="1"/>
    <x v="1"/>
    <x v="0"/>
    <x v="2"/>
    <n v="5"/>
    <s v="Oct"/>
    <n v="2003"/>
    <d v="2003-10-05T00:00:00"/>
    <n v="34439.86"/>
    <s v="tier - 2"/>
    <s v="tier - 1"/>
    <s v="R1013"/>
    <n v="23"/>
    <n v="31.73"/>
  </r>
  <r>
    <x v="2102"/>
    <s v="Brady,"/>
    <n v="28.88"/>
    <x v="34"/>
    <s v="Yes"/>
    <x v="1"/>
    <x v="0"/>
    <x v="1"/>
    <x v="1"/>
    <x v="1"/>
    <x v="1"/>
    <n v="24"/>
    <s v="Sep"/>
    <n v="1990"/>
    <d v="1990-09-24T00:00:00"/>
    <n v="34456.269999999997"/>
    <s v="tier - 1"/>
    <s v="tier - 2"/>
    <s v="R1011"/>
    <n v="36"/>
    <n v="28.88"/>
  </r>
  <r>
    <x v="2103"/>
    <s v="Moran,"/>
    <n v="25.555"/>
    <x v="78"/>
    <s v="No"/>
    <x v="0"/>
    <x v="1"/>
    <x v="1"/>
    <x v="1"/>
    <x v="1"/>
    <x v="2"/>
    <n v="24"/>
    <s v="Jun"/>
    <n v="1998"/>
    <d v="1998-06-24T00:00:00"/>
    <n v="34472.839999999997"/>
    <s v="tier - 1"/>
    <s v="tier - 3"/>
    <s v="R1011"/>
    <n v="28"/>
    <n v="25.555"/>
  </r>
  <r>
    <x v="2104"/>
    <s v="Strickler,"/>
    <n v="37.29"/>
    <x v="135"/>
    <s v="No"/>
    <x v="1"/>
    <x v="0"/>
    <x v="1"/>
    <x v="1"/>
    <x v="0"/>
    <x v="2"/>
    <n v="25"/>
    <s v="Nov"/>
    <n v="1976"/>
    <d v="1976-11-25T00:00:00"/>
    <n v="34543.39"/>
    <s v="tier - 2"/>
    <s v="tier - 3"/>
    <s v="R1011"/>
    <n v="50"/>
    <n v="37.29"/>
  </r>
  <r>
    <x v="2105"/>
    <s v="Simone,"/>
    <n v="40.28"/>
    <x v="184"/>
    <s v="No"/>
    <x v="1"/>
    <x v="0"/>
    <x v="1"/>
    <x v="1"/>
    <x v="0"/>
    <x v="1"/>
    <n v="9"/>
    <s v="Oct"/>
    <n v="2004"/>
    <d v="2004-10-09T00:00:00"/>
    <n v="34617.839999999997"/>
    <s v="tier - 1"/>
    <s v="tier - 3"/>
    <s v="R1016"/>
    <n v="22"/>
    <n v="40.28"/>
  </r>
  <r>
    <x v="2106"/>
    <s v="Von"/>
    <n v="40.185000000000002"/>
    <x v="495"/>
    <s v="No"/>
    <x v="1"/>
    <x v="0"/>
    <x v="1"/>
    <x v="1"/>
    <x v="0"/>
    <x v="2"/>
    <n v="7"/>
    <s v="Jul"/>
    <n v="1994"/>
    <d v="1994-07-07T00:00:00"/>
    <n v="34672.15"/>
    <s v="tier - 1"/>
    <s v="tier - 3"/>
    <s v="R1013"/>
    <n v="32"/>
    <n v="40.185000000000002"/>
  </r>
  <r>
    <x v="2107"/>
    <s v="Woodard,"/>
    <n v="23.57"/>
    <x v="105"/>
    <s v="No"/>
    <x v="0"/>
    <x v="0"/>
    <x v="0"/>
    <x v="1"/>
    <x v="2"/>
    <x v="1"/>
    <n v="3"/>
    <s v="Jul"/>
    <n v="2003"/>
    <d v="2003-07-03T00:00:00"/>
    <n v="34779.620000000003"/>
    <s v="tier - 1"/>
    <s v="tier - 2"/>
    <s v="R1011"/>
    <n v="23"/>
    <n v="23.57"/>
  </r>
  <r>
    <x v="2108"/>
    <s v="Li,"/>
    <n v="35.625"/>
    <x v="200"/>
    <s v="No"/>
    <x v="1"/>
    <x v="0"/>
    <x v="1"/>
    <x v="1"/>
    <x v="0"/>
    <x v="1"/>
    <n v="27"/>
    <s v="Dec"/>
    <n v="1995"/>
    <d v="1995-12-27T00:00:00"/>
    <n v="34806.47"/>
    <s v="tier - 1"/>
    <s v="tier - 2"/>
    <s v="R1013"/>
    <n v="31"/>
    <n v="35.625"/>
  </r>
  <r>
    <x v="2109"/>
    <s v="Sinda,"/>
    <n v="33.155000000000001"/>
    <x v="192"/>
    <s v="No"/>
    <x v="1"/>
    <x v="0"/>
    <x v="1"/>
    <x v="1"/>
    <x v="0"/>
    <x v="2"/>
    <n v="17"/>
    <s v="Sep"/>
    <n v="2003"/>
    <d v="2003-09-17T00:00:00"/>
    <n v="34828.65"/>
    <s v="tier - 1"/>
    <s v="tier - 3"/>
    <s v="R1011"/>
    <n v="23"/>
    <n v="33.155000000000001"/>
  </r>
  <r>
    <x v="2110"/>
    <s v="Rydland,"/>
    <n v="31.92"/>
    <x v="264"/>
    <s v="No"/>
    <x v="1"/>
    <x v="0"/>
    <x v="1"/>
    <x v="1"/>
    <x v="0"/>
    <x v="2"/>
    <n v="17"/>
    <s v="Oct"/>
    <n v="1995"/>
    <d v="1995-10-17T00:00:00"/>
    <n v="34838.870000000003"/>
    <s v="tier - 2"/>
    <s v="tier - 3"/>
    <s v="R1011"/>
    <n v="31"/>
    <n v="31.92"/>
  </r>
  <r>
    <x v="2111"/>
    <s v="Vespa,"/>
    <n v="30.305"/>
    <x v="31"/>
    <s v="No"/>
    <x v="1"/>
    <x v="0"/>
    <x v="1"/>
    <x v="1"/>
    <x v="0"/>
    <x v="2"/>
    <n v="29"/>
    <s v="Jul"/>
    <n v="1983"/>
    <d v="1983-07-29T00:00:00"/>
    <n v="34940.61"/>
    <s v="tier - 2"/>
    <s v="tier - 3"/>
    <s v="R1011"/>
    <n v="43"/>
    <n v="30.305"/>
  </r>
  <r>
    <x v="2112"/>
    <s v="Meadows,"/>
    <n v="30.114999999999998"/>
    <x v="24"/>
    <s v="No"/>
    <x v="1"/>
    <x v="0"/>
    <x v="1"/>
    <x v="1"/>
    <x v="0"/>
    <x v="2"/>
    <n v="7"/>
    <s v="Oct"/>
    <n v="1967"/>
    <d v="1967-10-07T00:00:00"/>
    <n v="34975.68"/>
    <s v="tier - 2"/>
    <s v="tier - 2"/>
    <s v="R1011"/>
    <n v="59"/>
    <n v="30.114999999999998"/>
  </r>
  <r>
    <x v="2113"/>
    <s v="Toppen,"/>
    <n v="24.09"/>
    <x v="270"/>
    <s v="No"/>
    <x v="1"/>
    <x v="0"/>
    <x v="1"/>
    <x v="1"/>
    <x v="2"/>
    <x v="2"/>
    <n v="22"/>
    <s v="Aug"/>
    <n v="1998"/>
    <d v="1998-08-22T00:00:00"/>
    <n v="34976.42"/>
    <s v="tier - 2"/>
    <s v="tier - 1"/>
    <s v="R1011"/>
    <n v="28"/>
    <n v="24.09"/>
  </r>
  <r>
    <x v="2114"/>
    <s v="Ermer,"/>
    <n v="28.215"/>
    <x v="139"/>
    <s v="No"/>
    <x v="1"/>
    <x v="0"/>
    <x v="1"/>
    <x v="1"/>
    <x v="1"/>
    <x v="2"/>
    <n v="22"/>
    <s v="Aug"/>
    <n v="1997"/>
    <d v="1997-08-22T00:00:00"/>
    <n v="34979.86"/>
    <s v="tier - 2"/>
    <s v="tier - 2"/>
    <s v="R1011"/>
    <n v="29"/>
    <n v="28.215"/>
  </r>
  <r>
    <x v="2115"/>
    <s v="Dionne,"/>
    <n v="26.315000000000001"/>
    <x v="323"/>
    <s v="No"/>
    <x v="1"/>
    <x v="0"/>
    <x v="1"/>
    <x v="1"/>
    <x v="1"/>
    <x v="2"/>
    <n v="5"/>
    <s v="Jul"/>
    <n v="1982"/>
    <d v="1982-07-05T00:00:00"/>
    <n v="35000.730000000003"/>
    <s v="tier - 2"/>
    <s v="tier - 3"/>
    <s v="R1011"/>
    <n v="44"/>
    <n v="26.315000000000001"/>
  </r>
  <r>
    <x v="2116"/>
    <s v="Stasulli,"/>
    <n v="25.08"/>
    <x v="111"/>
    <s v="No"/>
    <x v="1"/>
    <x v="0"/>
    <x v="1"/>
    <x v="1"/>
    <x v="1"/>
    <x v="2"/>
    <n v="29"/>
    <s v="Aug"/>
    <n v="1975"/>
    <d v="1975-08-29T00:00:00"/>
    <n v="35050.620000000003"/>
    <s v="tier - 2"/>
    <s v="tier - 1"/>
    <s v="R1011"/>
    <n v="51"/>
    <n v="25.08"/>
  </r>
  <r>
    <x v="2117"/>
    <s v="Duran,"/>
    <n v="15.41"/>
    <x v="31"/>
    <s v="No"/>
    <x v="0"/>
    <x v="0"/>
    <x v="0"/>
    <x v="1"/>
    <x v="3"/>
    <x v="2"/>
    <n v="29"/>
    <s v="Jun"/>
    <n v="1977"/>
    <d v="1977-06-29T00:00:00"/>
    <n v="35069.370000000003"/>
    <s v="tier - 1"/>
    <s v="tier - 1"/>
    <s v="R1017"/>
    <n v="49"/>
    <n v="15.41"/>
  </r>
  <r>
    <x v="2118"/>
    <s v="Klundt,"/>
    <n v="23.83"/>
    <x v="251"/>
    <s v="No"/>
    <x v="0"/>
    <x v="0"/>
    <x v="0"/>
    <x v="1"/>
    <x v="2"/>
    <x v="2"/>
    <n v="22"/>
    <s v="Dec"/>
    <n v="1998"/>
    <d v="1998-12-22T00:00:00"/>
    <n v="35147.53"/>
    <s v="tier - 1"/>
    <s v="tier - 1"/>
    <s v="R1016"/>
    <n v="28"/>
    <n v="23.83"/>
  </r>
  <r>
    <x v="2119"/>
    <s v="Waters,"/>
    <n v="36"/>
    <x v="495"/>
    <s v="No"/>
    <x v="1"/>
    <x v="0"/>
    <x v="1"/>
    <x v="1"/>
    <x v="0"/>
    <x v="2"/>
    <n v="30"/>
    <s v="Dec"/>
    <n v="1967"/>
    <d v="1967-12-30T00:00:00"/>
    <n v="35160.129999999997"/>
    <s v="tier - 2"/>
    <s v="tier - 2"/>
    <s v="R1011"/>
    <n v="59"/>
    <n v="36"/>
  </r>
  <r>
    <x v="2120"/>
    <s v="Rusk,"/>
    <n v="28.82"/>
    <x v="448"/>
    <s v="No"/>
    <x v="1"/>
    <x v="0"/>
    <x v="1"/>
    <x v="1"/>
    <x v="1"/>
    <x v="2"/>
    <n v="9"/>
    <s v="Jul"/>
    <n v="1997"/>
    <d v="1997-07-09T00:00:00"/>
    <n v="35302.089999999997"/>
    <s v="tier - 1"/>
    <s v="tier - 2"/>
    <s v="R1011"/>
    <n v="29"/>
    <n v="28.82"/>
  </r>
  <r>
    <x v="2121"/>
    <s v="Gersbach,"/>
    <n v="28.05"/>
    <x v="58"/>
    <s v="No"/>
    <x v="1"/>
    <x v="0"/>
    <x v="1"/>
    <x v="1"/>
    <x v="1"/>
    <x v="1"/>
    <n v="19"/>
    <s v="Sep"/>
    <n v="1988"/>
    <d v="1988-09-19T00:00:00"/>
    <n v="35315.96"/>
    <s v="tier - 2"/>
    <s v="tier - 1"/>
    <s v="R1011"/>
    <n v="38"/>
    <n v="28.05"/>
  </r>
  <r>
    <x v="2122"/>
    <s v="Taylor-Watson,"/>
    <n v="27.1"/>
    <x v="150"/>
    <s v="No"/>
    <x v="1"/>
    <x v="0"/>
    <x v="1"/>
    <x v="1"/>
    <x v="1"/>
    <x v="2"/>
    <n v="22"/>
    <s v="Sep"/>
    <n v="1971"/>
    <d v="1971-09-22T00:00:00"/>
    <n v="35345.730000000003"/>
    <s v="tier - 2"/>
    <s v="tier - 3"/>
    <s v="R1011"/>
    <n v="55"/>
    <n v="27.1"/>
  </r>
  <r>
    <x v="2123"/>
    <s v="Crawford,"/>
    <n v="24.3"/>
    <x v="148"/>
    <s v="Yes"/>
    <x v="1"/>
    <x v="0"/>
    <x v="1"/>
    <x v="1"/>
    <x v="2"/>
    <x v="1"/>
    <n v="20"/>
    <s v="Nov"/>
    <n v="1988"/>
    <d v="1988-11-20T00:00:00"/>
    <n v="35491.64"/>
    <s v="tier - 1"/>
    <s v="tier - 2"/>
    <s v="R1011"/>
    <n v="38"/>
    <n v="24.3"/>
  </r>
  <r>
    <x v="2124"/>
    <s v="Levitsky,"/>
    <n v="30.72"/>
    <x v="87"/>
    <s v="No"/>
    <x v="1"/>
    <x v="0"/>
    <x v="1"/>
    <x v="1"/>
    <x v="0"/>
    <x v="1"/>
    <n v="16"/>
    <s v="Dec"/>
    <n v="1973"/>
    <d v="1973-12-16T00:00:00"/>
    <n v="35517.19"/>
    <s v="tier - 2"/>
    <s v="tier - 2"/>
    <s v="R1011"/>
    <n v="53"/>
    <n v="30.72"/>
  </r>
  <r>
    <x v="2125"/>
    <s v="Carroll,"/>
    <n v="37.43"/>
    <x v="176"/>
    <s v="No"/>
    <x v="0"/>
    <x v="1"/>
    <x v="1"/>
    <x v="1"/>
    <x v="0"/>
    <x v="2"/>
    <n v="13"/>
    <s v="Sep"/>
    <n v="1992"/>
    <d v="1992-09-13T00:00:00"/>
    <n v="35547.47"/>
    <s v="tier - 2"/>
    <s v="tier - 3"/>
    <s v="R1011"/>
    <n v="34"/>
    <n v="37.43"/>
  </r>
  <r>
    <x v="2126"/>
    <s v="Campos,"/>
    <n v="25.74"/>
    <x v="648"/>
    <s v="Yes"/>
    <x v="0"/>
    <x v="1"/>
    <x v="1"/>
    <x v="1"/>
    <x v="1"/>
    <x v="1"/>
    <n v="27"/>
    <s v="Oct"/>
    <n v="1973"/>
    <d v="1973-10-27T00:00:00"/>
    <n v="35547.72"/>
    <s v="tier - 1"/>
    <s v="tier - 1"/>
    <s v="R1011"/>
    <n v="53"/>
    <n v="25.74"/>
  </r>
  <r>
    <x v="2127"/>
    <s v="Flajslik,"/>
    <n v="36.575000000000003"/>
    <x v="252"/>
    <s v="No"/>
    <x v="0"/>
    <x v="1"/>
    <x v="1"/>
    <x v="1"/>
    <x v="0"/>
    <x v="2"/>
    <n v="29"/>
    <s v="Aug"/>
    <n v="1964"/>
    <d v="1964-08-29T00:00:00"/>
    <n v="35573.26"/>
    <s v="tier - 2"/>
    <s v="tier - 1"/>
    <s v="R1011"/>
    <n v="62"/>
    <n v="36.575000000000003"/>
  </r>
  <r>
    <x v="2128"/>
    <s v="Chua,"/>
    <n v="35.15"/>
    <x v="323"/>
    <s v="No"/>
    <x v="0"/>
    <x v="1"/>
    <x v="1"/>
    <x v="1"/>
    <x v="0"/>
    <x v="2"/>
    <n v="10"/>
    <s v="Aug"/>
    <n v="1971"/>
    <d v="1971-08-10T00:00:00"/>
    <n v="35583.17"/>
    <s v="tier - 1"/>
    <s v="tier - 3"/>
    <s v="R1011"/>
    <n v="55"/>
    <n v="35.15"/>
  </r>
  <r>
    <x v="2129"/>
    <s v="Wiltse,"/>
    <n v="32.11"/>
    <x v="46"/>
    <s v="No"/>
    <x v="0"/>
    <x v="1"/>
    <x v="1"/>
    <x v="1"/>
    <x v="0"/>
    <x v="2"/>
    <n v="13"/>
    <s v="Oct"/>
    <n v="2000"/>
    <d v="2000-10-13T00:00:00"/>
    <n v="35585.58"/>
    <s v="tier - 1"/>
    <s v="tier - 2"/>
    <s v="R1011"/>
    <n v="26"/>
    <n v="32.11"/>
  </r>
  <r>
    <x v="2130"/>
    <s v="Fisher,"/>
    <n v="30.495000000000001"/>
    <x v="434"/>
    <s v="No"/>
    <x v="0"/>
    <x v="1"/>
    <x v="1"/>
    <x v="1"/>
    <x v="0"/>
    <x v="2"/>
    <n v="19"/>
    <s v="Nov"/>
    <n v="2000"/>
    <d v="2000-11-19T00:00:00"/>
    <n v="35585.58"/>
    <s v="tier - 2"/>
    <s v="tier - 3"/>
    <s v="R1011"/>
    <n v="26"/>
    <n v="30.495000000000001"/>
  </r>
  <r>
    <x v="2131"/>
    <s v="Wilzbacher,"/>
    <n v="29.24"/>
    <x v="298"/>
    <s v="No"/>
    <x v="1"/>
    <x v="0"/>
    <x v="1"/>
    <x v="1"/>
    <x v="1"/>
    <x v="2"/>
    <n v="17"/>
    <s v="Dec"/>
    <n v="2000"/>
    <d v="2000-12-17T00:00:00"/>
    <n v="35595.589999999997"/>
    <s v="tier - 2"/>
    <s v="tier - 3"/>
    <s v="R1013"/>
    <n v="26"/>
    <n v="29.24"/>
  </r>
  <r>
    <x v="2132"/>
    <s v="Thayer,"/>
    <n v="22.515000000000001"/>
    <x v="620"/>
    <s v="No"/>
    <x v="0"/>
    <x v="1"/>
    <x v="1"/>
    <x v="1"/>
    <x v="2"/>
    <x v="1"/>
    <n v="19"/>
    <s v="Dec"/>
    <n v="1978"/>
    <d v="1978-12-19T00:00:00"/>
    <n v="35701.9"/>
    <s v="tier - 2"/>
    <s v="tier - 1"/>
    <s v="R1011"/>
    <n v="48"/>
    <n v="22.515000000000001"/>
  </r>
  <r>
    <x v="2133"/>
    <s v="Brosseau,"/>
    <n v="15.65"/>
    <x v="80"/>
    <s v="No"/>
    <x v="0"/>
    <x v="0"/>
    <x v="0"/>
    <x v="1"/>
    <x v="3"/>
    <x v="2"/>
    <n v="15"/>
    <s v="Jul"/>
    <n v="1974"/>
    <d v="1974-07-15T00:00:00"/>
    <n v="35711.39"/>
    <s v="tier - 2"/>
    <s v="tier - 3"/>
    <s v="R1012"/>
    <n v="52"/>
    <n v="15.65"/>
  </r>
  <r>
    <x v="2134"/>
    <s v="Phares,"/>
    <n v="27.36"/>
    <x v="448"/>
    <s v="Yes"/>
    <x v="0"/>
    <x v="0"/>
    <x v="0"/>
    <x v="1"/>
    <x v="1"/>
    <x v="2"/>
    <n v="4"/>
    <s v="Oct"/>
    <n v="1976"/>
    <d v="1976-10-04T00:00:00"/>
    <n v="35733.96"/>
    <s v="tier - 2"/>
    <s v="tier - 2"/>
    <s v="R1011"/>
    <n v="50"/>
    <n v="27.36"/>
  </r>
  <r>
    <x v="2135"/>
    <s v="Curley,"/>
    <n v="22.3"/>
    <x v="143"/>
    <s v="Yes"/>
    <x v="0"/>
    <x v="0"/>
    <x v="0"/>
    <x v="1"/>
    <x v="2"/>
    <x v="2"/>
    <n v="18"/>
    <s v="Jun"/>
    <n v="1992"/>
    <d v="1992-06-18T00:00:00"/>
    <n v="35883.269999999997"/>
    <s v="tier - 2"/>
    <s v="tier - 1"/>
    <s v="R1011"/>
    <n v="34"/>
    <n v="22.3"/>
  </r>
  <r>
    <x v="2136"/>
    <s v="Johnston,"/>
    <n v="26.03"/>
    <x v="335"/>
    <s v="Yes"/>
    <x v="0"/>
    <x v="0"/>
    <x v="0"/>
    <x v="1"/>
    <x v="1"/>
    <x v="1"/>
    <n v="22"/>
    <s v="Nov"/>
    <n v="1981"/>
    <d v="1981-11-22T00:00:00"/>
    <n v="35952.65"/>
    <s v="tier - 1"/>
    <s v="tier - 3"/>
    <s v="R1011"/>
    <n v="45"/>
    <n v="26.03"/>
  </r>
  <r>
    <x v="2137"/>
    <s v="Padula,"/>
    <n v="27.74"/>
    <x v="144"/>
    <s v="No"/>
    <x v="1"/>
    <x v="0"/>
    <x v="1"/>
    <x v="1"/>
    <x v="1"/>
    <x v="2"/>
    <n v="4"/>
    <s v="Sep"/>
    <n v="1999"/>
    <d v="1999-09-04T00:00:00"/>
    <n v="36021.01"/>
    <s v="tier - 2"/>
    <s v="tier - 3"/>
    <s v="R1013"/>
    <n v="27"/>
    <n v="27.74"/>
  </r>
  <r>
    <x v="2138"/>
    <s v="Gamirov,"/>
    <n v="32.11"/>
    <x v="79"/>
    <s v="Yes"/>
    <x v="1"/>
    <x v="0"/>
    <x v="1"/>
    <x v="1"/>
    <x v="0"/>
    <x v="2"/>
    <n v="22"/>
    <s v="Jul"/>
    <n v="1963"/>
    <d v="1963-07-22T00:00:00"/>
    <n v="36074.339999999997"/>
    <s v="tier - 2"/>
    <s v="tier - 1"/>
    <s v="R1011"/>
    <n v="63"/>
    <n v="32.11"/>
  </r>
  <r>
    <x v="2139"/>
    <s v="Briot,"/>
    <n v="25.175000000000001"/>
    <x v="109"/>
    <s v="Yes"/>
    <x v="1"/>
    <x v="0"/>
    <x v="1"/>
    <x v="1"/>
    <x v="1"/>
    <x v="1"/>
    <n v="20"/>
    <s v="Aug"/>
    <n v="1996"/>
    <d v="1996-08-20T00:00:00"/>
    <n v="36085.22"/>
    <s v="tier - 1"/>
    <s v="tier - 1"/>
    <s v="R1011"/>
    <n v="30"/>
    <n v="25.175000000000001"/>
  </r>
  <r>
    <x v="2140"/>
    <s v="De"/>
    <n v="39.49"/>
    <x v="337"/>
    <s v="Yes"/>
    <x v="0"/>
    <x v="0"/>
    <x v="0"/>
    <x v="1"/>
    <x v="0"/>
    <x v="2"/>
    <n v="4"/>
    <s v="Nov"/>
    <n v="1979"/>
    <d v="1979-11-04T00:00:00"/>
    <n v="36090.49"/>
    <s v="tier - 2"/>
    <s v="tier - 2"/>
    <s v="R1011"/>
    <n v="47"/>
    <n v="39.49"/>
  </r>
  <r>
    <x v="2141"/>
    <s v="Putt,"/>
    <n v="34.869999999999997"/>
    <x v="49"/>
    <s v="Yes"/>
    <x v="0"/>
    <x v="0"/>
    <x v="0"/>
    <x v="1"/>
    <x v="0"/>
    <x v="2"/>
    <n v="12"/>
    <s v="Jun"/>
    <n v="1997"/>
    <d v="1997-06-12T00:00:00"/>
    <n v="36124.57"/>
    <s v="tier - 1"/>
    <s v="tier - 3"/>
    <s v="R1013"/>
    <n v="29"/>
    <n v="34.869999999999997"/>
  </r>
  <r>
    <x v="2142"/>
    <s v="Deiman,"/>
    <n v="34.6"/>
    <x v="146"/>
    <s v="Yes"/>
    <x v="0"/>
    <x v="0"/>
    <x v="0"/>
    <x v="1"/>
    <x v="0"/>
    <x v="2"/>
    <n v="30"/>
    <s v="Aug"/>
    <n v="2004"/>
    <d v="2004-08-30T00:00:00"/>
    <n v="36149.480000000003"/>
    <s v="tier - 2"/>
    <s v="tier - 2"/>
    <s v="R1013"/>
    <n v="22"/>
    <n v="34.6"/>
  </r>
  <r>
    <x v="2143"/>
    <s v="Bonanni,"/>
    <n v="25.8"/>
    <x v="109"/>
    <s v="Yes"/>
    <x v="0"/>
    <x v="0"/>
    <x v="0"/>
    <x v="1"/>
    <x v="1"/>
    <x v="1"/>
    <n v="6"/>
    <s v="Dec"/>
    <n v="1974"/>
    <d v="1974-12-06T00:00:00"/>
    <n v="36182.870000000003"/>
    <s v="tier - 2"/>
    <s v="tier - 3"/>
    <s v="R1012"/>
    <n v="52"/>
    <n v="25.8"/>
  </r>
  <r>
    <x v="2144"/>
    <s v="Stein,"/>
    <n v="35.86"/>
    <x v="279"/>
    <s v="No"/>
    <x v="0"/>
    <x v="0"/>
    <x v="1"/>
    <x v="1"/>
    <x v="0"/>
    <x v="2"/>
    <n v="1"/>
    <s v="Oct"/>
    <n v="1999"/>
    <d v="1999-10-01T00:00:00"/>
    <n v="36189.1"/>
    <s v="tier - 1"/>
    <s v="tier - 3"/>
    <s v="R1016"/>
    <n v="27"/>
    <n v="35.86"/>
  </r>
  <r>
    <x v="2145"/>
    <s v="Laumann,"/>
    <n v="40.47"/>
    <x v="656"/>
    <s v="No"/>
    <x v="0"/>
    <x v="0"/>
    <x v="0"/>
    <x v="1"/>
    <x v="0"/>
    <x v="0"/>
    <n v="28"/>
    <s v="Dec"/>
    <n v="1993"/>
    <d v="1993-12-28T00:00:00"/>
    <n v="36197.699999999997"/>
    <s v="tier - 1"/>
    <s v="tier - 3"/>
    <s v="R1011"/>
    <n v="33"/>
    <n v="40.47"/>
  </r>
  <r>
    <x v="2146"/>
    <s v="Galaviz,"/>
    <n v="32.01"/>
    <x v="586"/>
    <s v="No"/>
    <x v="0"/>
    <x v="0"/>
    <x v="1"/>
    <x v="1"/>
    <x v="0"/>
    <x v="1"/>
    <n v="5"/>
    <s v="Sep"/>
    <n v="2003"/>
    <d v="2003-09-05T00:00:00"/>
    <n v="36219.410000000003"/>
    <s v="tier - 1"/>
    <s v="tier - 1"/>
    <s v="R1012"/>
    <n v="23"/>
    <n v="32.01"/>
  </r>
  <r>
    <x v="2147"/>
    <s v="Piper,"/>
    <n v="33"/>
    <x v="101"/>
    <s v="No"/>
    <x v="0"/>
    <x v="0"/>
    <x v="0"/>
    <x v="1"/>
    <x v="0"/>
    <x v="0"/>
    <n v="25"/>
    <s v="Dec"/>
    <n v="2004"/>
    <d v="2004-12-25T00:00:00"/>
    <n v="36307.800000000003"/>
    <s v="tier - 1"/>
    <s v="tier - 2"/>
    <s v="R1013"/>
    <n v="22"/>
    <n v="33"/>
  </r>
  <r>
    <x v="2148"/>
    <s v="Cantini,"/>
    <n v="29.3"/>
    <x v="259"/>
    <s v="No"/>
    <x v="0"/>
    <x v="0"/>
    <x v="1"/>
    <x v="1"/>
    <x v="1"/>
    <x v="1"/>
    <n v="16"/>
    <s v="Jun"/>
    <n v="1992"/>
    <d v="1992-06-16T00:00:00"/>
    <n v="36314.050000000003"/>
    <s v="tier - 2"/>
    <s v="tier - 2"/>
    <s v="R1011"/>
    <n v="34"/>
    <n v="29.3"/>
  </r>
  <r>
    <x v="2149"/>
    <s v="Hartman,"/>
    <n v="25.8"/>
    <x v="350"/>
    <s v="No"/>
    <x v="0"/>
    <x v="0"/>
    <x v="1"/>
    <x v="1"/>
    <x v="1"/>
    <x v="2"/>
    <n v="18"/>
    <s v="Oct"/>
    <n v="1967"/>
    <d v="1967-10-18T00:00:00"/>
    <n v="36332.449999999997"/>
    <s v="tier - 1"/>
    <s v="tier - 3"/>
    <s v="R1011"/>
    <n v="59"/>
    <n v="25.8"/>
  </r>
  <r>
    <x v="2150"/>
    <s v="Werhane,"/>
    <n v="23.4"/>
    <x v="180"/>
    <s v="No"/>
    <x v="0"/>
    <x v="0"/>
    <x v="1"/>
    <x v="1"/>
    <x v="2"/>
    <x v="2"/>
    <n v="5"/>
    <s v="Jun"/>
    <n v="1975"/>
    <d v="1975-06-05T00:00:00"/>
    <n v="36350.71"/>
    <s v="tier - 1"/>
    <s v="tier - 2"/>
    <s v="R1011"/>
    <n v="51"/>
    <n v="23.4"/>
  </r>
  <r>
    <x v="2151"/>
    <s v="Davies,"/>
    <n v="27.93"/>
    <x v="500"/>
    <s v="No"/>
    <x v="0"/>
    <x v="0"/>
    <x v="0"/>
    <x v="1"/>
    <x v="1"/>
    <x v="0"/>
    <n v="9"/>
    <s v="Dec"/>
    <n v="2003"/>
    <d v="2003-12-09T00:00:00"/>
    <n v="36397.58"/>
    <s v="tier - 2"/>
    <s v="tier - 3"/>
    <s v="R1011"/>
    <n v="23"/>
    <n v="27.93"/>
  </r>
  <r>
    <x v="2152"/>
    <s v="Hummel,"/>
    <n v="22"/>
    <x v="291"/>
    <s v="No"/>
    <x v="0"/>
    <x v="0"/>
    <x v="0"/>
    <x v="1"/>
    <x v="2"/>
    <x v="0"/>
    <n v="19"/>
    <s v="Nov"/>
    <n v="1962"/>
    <d v="1962-11-19T00:00:00"/>
    <n v="36445.550000000003"/>
    <s v="tier - 2"/>
    <s v="tier - 2"/>
    <s v="R1011"/>
    <n v="64"/>
    <n v="22"/>
  </r>
  <r>
    <x v="2153"/>
    <s v="Lutz,"/>
    <n v="36.86"/>
    <x v="480"/>
    <s v="Yes"/>
    <x v="0"/>
    <x v="0"/>
    <x v="0"/>
    <x v="1"/>
    <x v="0"/>
    <x v="2"/>
    <n v="9"/>
    <s v="Aug"/>
    <n v="1973"/>
    <d v="1973-08-09T00:00:00"/>
    <n v="36541.550000000003"/>
    <s v="tier - 2"/>
    <s v="tier - 3"/>
    <s v="R1011"/>
    <n v="53"/>
    <n v="36.86"/>
  </r>
  <r>
    <x v="2154"/>
    <s v="Waters,"/>
    <n v="31.254999999999999"/>
    <x v="206"/>
    <s v="Yes"/>
    <x v="0"/>
    <x v="0"/>
    <x v="0"/>
    <x v="1"/>
    <x v="0"/>
    <x v="2"/>
    <n v="9"/>
    <s v="Oct"/>
    <n v="1992"/>
    <d v="1992-10-09T00:00:00"/>
    <n v="36572.800000000003"/>
    <s v="tier - 1"/>
    <s v="tier - 2"/>
    <s v="R1011"/>
    <n v="34"/>
    <n v="31.254999999999999"/>
  </r>
  <r>
    <x v="2155"/>
    <s v="Viglienzoni,"/>
    <n v="23.06"/>
    <x v="47"/>
    <s v="No"/>
    <x v="0"/>
    <x v="0"/>
    <x v="0"/>
    <x v="1"/>
    <x v="2"/>
    <x v="2"/>
    <n v="29"/>
    <s v="Jul"/>
    <n v="1961"/>
    <d v="1961-07-29T00:00:00"/>
    <n v="36580.28"/>
    <s v="tier - 2"/>
    <s v="tier - 2"/>
    <s v="R1013"/>
    <n v="65"/>
    <n v="23.06"/>
  </r>
  <r>
    <x v="2156"/>
    <s v="Rathbun,"/>
    <n v="28.975000000000001"/>
    <x v="83"/>
    <s v="Yes"/>
    <x v="0"/>
    <x v="0"/>
    <x v="0"/>
    <x v="1"/>
    <x v="1"/>
    <x v="2"/>
    <n v="14"/>
    <s v="Jul"/>
    <n v="1970"/>
    <d v="1970-07-14T00:00:00"/>
    <n v="36786.370000000003"/>
    <s v="tier - 1"/>
    <s v="tier - 1"/>
    <s v="R1011"/>
    <n v="56"/>
    <n v="28.975000000000001"/>
  </r>
  <r>
    <x v="2157"/>
    <s v="crane,"/>
    <n v="33.299999999999997"/>
    <x v="657"/>
    <s v="No"/>
    <x v="0"/>
    <x v="0"/>
    <x v="0"/>
    <x v="1"/>
    <x v="0"/>
    <x v="0"/>
    <n v="28"/>
    <s v="Dec"/>
    <n v="1965"/>
    <d v="1965-12-28T00:00:00"/>
    <n v="36795.29"/>
    <s v="tier - 2"/>
    <s v="tier - 1"/>
    <s v="R1011"/>
    <n v="61"/>
    <n v="33.299999999999997"/>
  </r>
  <r>
    <x v="2158"/>
    <s v="Conant,"/>
    <n v="33"/>
    <x v="306"/>
    <s v="No"/>
    <x v="0"/>
    <x v="0"/>
    <x v="0"/>
    <x v="1"/>
    <x v="0"/>
    <x v="0"/>
    <n v="6"/>
    <s v="Oct"/>
    <n v="1992"/>
    <d v="1992-10-06T00:00:00"/>
    <n v="36837.47"/>
    <s v="tier - 1"/>
    <s v="tier - 2"/>
    <s v="R1011"/>
    <n v="34"/>
    <n v="33"/>
  </r>
  <r>
    <x v="2159"/>
    <s v="Huyser-Wierenga,"/>
    <n v="31.46"/>
    <x v="217"/>
    <s v="No"/>
    <x v="0"/>
    <x v="0"/>
    <x v="0"/>
    <x v="1"/>
    <x v="0"/>
    <x v="0"/>
    <n v="4"/>
    <s v="Jul"/>
    <n v="1992"/>
    <d v="1992-07-04T00:00:00"/>
    <n v="36837.47"/>
    <s v="tier - 2"/>
    <s v="tier - 3"/>
    <s v="R1011"/>
    <n v="34"/>
    <n v="31.46"/>
  </r>
  <r>
    <x v="2160"/>
    <s v="Natalini,"/>
    <n v="29.6"/>
    <x v="302"/>
    <s v="No"/>
    <x v="0"/>
    <x v="0"/>
    <x v="0"/>
    <x v="1"/>
    <x v="1"/>
    <x v="0"/>
    <n v="5"/>
    <s v="Dec"/>
    <n v="1972"/>
    <d v="1972-12-05T00:00:00"/>
    <n v="36889.99"/>
    <s v="tier - 1"/>
    <s v="tier - 3"/>
    <s v="R1011"/>
    <n v="54"/>
    <n v="29.6"/>
  </r>
  <r>
    <x v="2161"/>
    <s v="Robbins,"/>
    <n v="22.05"/>
    <x v="46"/>
    <s v="Yes"/>
    <x v="0"/>
    <x v="0"/>
    <x v="0"/>
    <x v="1"/>
    <x v="2"/>
    <x v="2"/>
    <n v="21"/>
    <s v="Jun"/>
    <n v="2003"/>
    <d v="2003-06-21T00:00:00"/>
    <n v="36898.730000000003"/>
    <s v="tier - 2"/>
    <s v="tier - 1"/>
    <s v="R1012"/>
    <n v="23"/>
    <n v="22.05"/>
  </r>
  <r>
    <x v="2162"/>
    <s v="Stanislav,"/>
    <n v="27.06"/>
    <x v="105"/>
    <s v="No"/>
    <x v="1"/>
    <x v="0"/>
    <x v="1"/>
    <x v="1"/>
    <x v="1"/>
    <x v="1"/>
    <n v="24"/>
    <s v="Jul"/>
    <n v="1963"/>
    <d v="1963-07-24T00:00:00"/>
    <n v="36910.61"/>
    <s v="tier - 2"/>
    <s v="tier - 2"/>
    <s v="R1011"/>
    <n v="63"/>
    <n v="27.06"/>
  </r>
  <r>
    <x v="2163"/>
    <s v="Meyer,"/>
    <n v="20.49"/>
    <x v="189"/>
    <s v="No"/>
    <x v="0"/>
    <x v="0"/>
    <x v="0"/>
    <x v="1"/>
    <x v="2"/>
    <x v="2"/>
    <n v="10"/>
    <s v="Jun"/>
    <n v="1991"/>
    <d v="1991-06-10T00:00:00"/>
    <n v="36911.99"/>
    <s v="tier - 2"/>
    <s v="tier - 2"/>
    <s v="R1011"/>
    <n v="35"/>
    <n v="20.49"/>
  </r>
  <r>
    <x v="2164"/>
    <s v="Mears,"/>
    <n v="28.4"/>
    <x v="167"/>
    <s v="No"/>
    <x v="0"/>
    <x v="1"/>
    <x v="1"/>
    <x v="1"/>
    <x v="1"/>
    <x v="2"/>
    <n v="22"/>
    <s v="Oct"/>
    <n v="1968"/>
    <d v="1968-10-22T00:00:00"/>
    <n v="36922.61"/>
    <s v="tier - 2"/>
    <s v="tier - 1"/>
    <s v="R1011"/>
    <n v="58"/>
    <n v="28.4"/>
  </r>
  <r>
    <x v="2165"/>
    <s v="Neill,"/>
    <n v="41.91"/>
    <x v="364"/>
    <s v="No"/>
    <x v="0"/>
    <x v="0"/>
    <x v="0"/>
    <x v="1"/>
    <x v="0"/>
    <x v="1"/>
    <n v="13"/>
    <s v="Aug"/>
    <n v="1977"/>
    <d v="1977-08-13T00:00:00"/>
    <n v="36935.64"/>
    <s v="tier - 2"/>
    <s v="tier - 1"/>
    <s v="R1011"/>
    <n v="49"/>
    <n v="41.91"/>
  </r>
  <r>
    <x v="2166"/>
    <s v="Tola,"/>
    <n v="24.6"/>
    <x v="364"/>
    <s v="No"/>
    <x v="0"/>
    <x v="1"/>
    <x v="1"/>
    <x v="1"/>
    <x v="2"/>
    <x v="1"/>
    <n v="25"/>
    <s v="Aug"/>
    <n v="1992"/>
    <d v="1992-08-25T00:00:00"/>
    <n v="36950.26"/>
    <s v="tier - 1"/>
    <s v="tier - 1"/>
    <s v="R1013"/>
    <n v="34"/>
    <n v="24.6"/>
  </r>
  <r>
    <x v="2167"/>
    <s v="Briskman,"/>
    <n v="20.9"/>
    <x v="89"/>
    <s v="No"/>
    <x v="0"/>
    <x v="1"/>
    <x v="1"/>
    <x v="1"/>
    <x v="2"/>
    <x v="2"/>
    <n v="13"/>
    <s v="Sep"/>
    <n v="1992"/>
    <d v="1992-09-13T00:00:00"/>
    <n v="36976.449999999997"/>
    <s v="tier - 2"/>
    <s v="tier - 3"/>
    <s v="R1011"/>
    <n v="34"/>
    <n v="20.9"/>
  </r>
  <r>
    <x v="2168"/>
    <s v="Ritzenhein,"/>
    <n v="34.4"/>
    <x v="298"/>
    <s v="No"/>
    <x v="0"/>
    <x v="0"/>
    <x v="0"/>
    <x v="1"/>
    <x v="0"/>
    <x v="2"/>
    <n v="1"/>
    <s v="Nov"/>
    <n v="1991"/>
    <d v="1991-11-01T00:00:00"/>
    <n v="37040.879999999997"/>
    <s v="tier - 2"/>
    <s v="tier - 2"/>
    <s v="R1011"/>
    <n v="35"/>
    <n v="34.4"/>
  </r>
  <r>
    <x v="2169"/>
    <s v="Malkowski,"/>
    <n v="32.56"/>
    <x v="331"/>
    <s v="No"/>
    <x v="0"/>
    <x v="0"/>
    <x v="0"/>
    <x v="1"/>
    <x v="0"/>
    <x v="2"/>
    <n v="17"/>
    <s v="Dec"/>
    <n v="1988"/>
    <d v="1988-12-17T00:00:00"/>
    <n v="37076.370000000003"/>
    <s v="tier - 2"/>
    <s v="tier - 1"/>
    <s v="R1011"/>
    <n v="38"/>
    <n v="32.56"/>
  </r>
  <r>
    <x v="2170"/>
    <s v="Andreyko,"/>
    <n v="27.98"/>
    <x v="24"/>
    <s v="No"/>
    <x v="1"/>
    <x v="0"/>
    <x v="1"/>
    <x v="1"/>
    <x v="1"/>
    <x v="2"/>
    <n v="10"/>
    <s v="Jun"/>
    <n v="1989"/>
    <d v="1989-06-10T00:00:00"/>
    <n v="37079.370000000003"/>
    <s v="tier - 2"/>
    <s v="tier - 3"/>
    <s v="R1011"/>
    <n v="37"/>
    <n v="27.98"/>
  </r>
  <r>
    <x v="2171"/>
    <s v="Landry,"/>
    <n v="26.51"/>
    <x v="253"/>
    <s v="No"/>
    <x v="0"/>
    <x v="0"/>
    <x v="0"/>
    <x v="1"/>
    <x v="1"/>
    <x v="2"/>
    <n v="30"/>
    <s v="Oct"/>
    <n v="1995"/>
    <d v="1995-10-30T00:00:00"/>
    <n v="37133.9"/>
    <s v="tier - 2"/>
    <s v="tier - 2"/>
    <s v="R1013"/>
    <n v="31"/>
    <n v="26.51"/>
  </r>
  <r>
    <x v="2172"/>
    <s v="Lozier,"/>
    <n v="29.734999999999999"/>
    <x v="395"/>
    <s v="No"/>
    <x v="0"/>
    <x v="0"/>
    <x v="0"/>
    <x v="1"/>
    <x v="1"/>
    <x v="0"/>
    <n v="5"/>
    <s v="Sep"/>
    <n v="2000"/>
    <d v="2000-09-05T00:00:00"/>
    <n v="37165.160000000003"/>
    <s v="tier - 1"/>
    <s v="tier - 3"/>
    <s v="?"/>
    <n v="26"/>
    <n v="29.734999999999999"/>
  </r>
  <r>
    <x v="2173"/>
    <s v="O'Brien,"/>
    <n v="40.5"/>
    <x v="66"/>
    <s v="No"/>
    <x v="0"/>
    <x v="1"/>
    <x v="1"/>
    <x v="1"/>
    <x v="0"/>
    <x v="2"/>
    <n v="17"/>
    <s v="Oct"/>
    <n v="1990"/>
    <d v="1990-10-17T00:00:00"/>
    <n v="37251.22"/>
    <s v="tier - 2"/>
    <s v="tier - 2"/>
    <s v="R1011"/>
    <n v="36"/>
    <n v="40.5"/>
  </r>
  <r>
    <x v="2174"/>
    <s v="Rodas,"/>
    <n v="25.64"/>
    <x v="70"/>
    <s v="No"/>
    <x v="0"/>
    <x v="0"/>
    <x v="1"/>
    <x v="1"/>
    <x v="1"/>
    <x v="2"/>
    <n v="17"/>
    <s v="Nov"/>
    <n v="1985"/>
    <d v="1985-11-17T00:00:00"/>
    <n v="37270.15"/>
    <s v="tier - 2"/>
    <s v="tier - 1"/>
    <s v="R1024"/>
    <n v="41"/>
    <n v="25.64"/>
  </r>
  <r>
    <x v="2175"/>
    <s v="O'Connor,"/>
    <n v="32.9"/>
    <x v="226"/>
    <s v="No"/>
    <x v="0"/>
    <x v="1"/>
    <x v="1"/>
    <x v="1"/>
    <x v="0"/>
    <x v="2"/>
    <n v="9"/>
    <s v="Nov"/>
    <n v="1975"/>
    <d v="1975-11-09T00:00:00"/>
    <n v="37272.339999999997"/>
    <s v="tier - 2"/>
    <s v="tier - 3"/>
    <s v="R1011"/>
    <n v="51"/>
    <n v="32.9"/>
  </r>
  <r>
    <x v="2176"/>
    <s v="White,"/>
    <n v="29.8"/>
    <x v="228"/>
    <s v="No"/>
    <x v="0"/>
    <x v="1"/>
    <x v="1"/>
    <x v="1"/>
    <x v="1"/>
    <x v="2"/>
    <n v="30"/>
    <s v="Oct"/>
    <n v="1969"/>
    <d v="1969-10-30T00:00:00"/>
    <n v="37277.269999999997"/>
    <s v="tier - 1"/>
    <s v="tier - 3"/>
    <s v="R1011"/>
    <n v="57"/>
    <n v="29.8"/>
  </r>
  <r>
    <x v="2177"/>
    <s v="Davenport,"/>
    <n v="28.9"/>
    <x v="558"/>
    <s v="No"/>
    <x v="0"/>
    <x v="1"/>
    <x v="1"/>
    <x v="1"/>
    <x v="1"/>
    <x v="1"/>
    <n v="3"/>
    <s v="Aug"/>
    <n v="1979"/>
    <d v="1979-08-03T00:00:00"/>
    <n v="37425.94"/>
    <s v="tier - 2"/>
    <s v="tier - 1"/>
    <s v="R1011"/>
    <n v="47"/>
    <n v="28.9"/>
  </r>
  <r>
    <x v="2178"/>
    <s v="Karmen,"/>
    <n v="24.7"/>
    <x v="134"/>
    <s v="No"/>
    <x v="0"/>
    <x v="1"/>
    <x v="1"/>
    <x v="1"/>
    <x v="2"/>
    <x v="2"/>
    <n v="27"/>
    <s v="Sep"/>
    <n v="2002"/>
    <d v="2002-09-27T00:00:00"/>
    <n v="37465.339999999997"/>
    <s v="tier - 1"/>
    <s v="tier - 2"/>
    <s v="R1012"/>
    <n v="24"/>
    <n v="24.7"/>
  </r>
  <r>
    <x v="2179"/>
    <s v="Miller,"/>
    <n v="20.6"/>
    <x v="39"/>
    <s v="No"/>
    <x v="0"/>
    <x v="1"/>
    <x v="1"/>
    <x v="1"/>
    <x v="2"/>
    <x v="2"/>
    <n v="12"/>
    <s v="Oct"/>
    <n v="2000"/>
    <d v="2000-10-12T00:00:00"/>
    <n v="37484.449999999997"/>
    <s v="tier - 1"/>
    <s v="tier - 1"/>
    <s v="R1013"/>
    <n v="26"/>
    <n v="20.6"/>
  </r>
  <r>
    <x v="2180"/>
    <s v="Lippmann,"/>
    <n v="18.600000000000001"/>
    <x v="96"/>
    <s v="No"/>
    <x v="0"/>
    <x v="1"/>
    <x v="1"/>
    <x v="1"/>
    <x v="2"/>
    <x v="0"/>
    <n v="16"/>
    <s v="Nov"/>
    <n v="1990"/>
    <d v="1990-11-16T00:00:00"/>
    <n v="37607.53"/>
    <s v="tier - 1"/>
    <s v="tier - 2"/>
    <s v="R1019"/>
    <n v="36"/>
    <n v="18.600000000000001"/>
  </r>
  <r>
    <x v="2181"/>
    <s v="Klehm,"/>
    <n v="17.8"/>
    <x v="188"/>
    <s v="No"/>
    <x v="0"/>
    <x v="1"/>
    <x v="1"/>
    <x v="1"/>
    <x v="3"/>
    <x v="2"/>
    <n v="20"/>
    <s v="Jun"/>
    <n v="1982"/>
    <d v="1982-06-20T00:00:00"/>
    <n v="37650.74"/>
    <s v="tier - 2"/>
    <s v="tier - 2"/>
    <s v="R1012"/>
    <n v="44"/>
    <n v="17.8"/>
  </r>
  <r>
    <x v="2182"/>
    <s v="Murphy,"/>
    <n v="35.200000000000003"/>
    <x v="410"/>
    <s v="No"/>
    <x v="1"/>
    <x v="0"/>
    <x v="1"/>
    <x v="1"/>
    <x v="0"/>
    <x v="1"/>
    <n v="28"/>
    <s v="Oct"/>
    <n v="1970"/>
    <d v="1970-10-28T00:00:00"/>
    <n v="37675.06"/>
    <s v="tier - 2"/>
    <s v="tier - 3"/>
    <s v="R1011"/>
    <n v="56"/>
    <n v="35.200000000000003"/>
  </r>
  <r>
    <x v="2183"/>
    <s v="Desisa,"/>
    <n v="33.770000000000003"/>
    <x v="93"/>
    <s v="No"/>
    <x v="1"/>
    <x v="0"/>
    <x v="1"/>
    <x v="1"/>
    <x v="0"/>
    <x v="2"/>
    <n v="10"/>
    <s v="Oct"/>
    <n v="1988"/>
    <d v="1988-10-10T00:00:00"/>
    <n v="37701.879999999997"/>
    <s v="tier - 2"/>
    <s v="tier - 3"/>
    <s v="R1023"/>
    <n v="38"/>
    <n v="33.770000000000003"/>
  </r>
  <r>
    <x v="2184"/>
    <s v="Brooks,"/>
    <n v="30.03"/>
    <x v="298"/>
    <s v="No"/>
    <x v="1"/>
    <x v="0"/>
    <x v="1"/>
    <x v="1"/>
    <x v="0"/>
    <x v="2"/>
    <n v="18"/>
    <s v="Sep"/>
    <n v="1976"/>
    <d v="1976-09-18T00:00:00"/>
    <n v="37735.199999999997"/>
    <s v="tier - 2"/>
    <s v="tier - 2"/>
    <s v="R1011"/>
    <n v="50"/>
    <n v="30.03"/>
  </r>
  <r>
    <x v="2185"/>
    <s v="Stone,"/>
    <n v="29.37"/>
    <x v="538"/>
    <s v="No"/>
    <x v="1"/>
    <x v="0"/>
    <x v="1"/>
    <x v="1"/>
    <x v="1"/>
    <x v="2"/>
    <n v="15"/>
    <s v="Aug"/>
    <n v="1986"/>
    <d v="1986-08-15T00:00:00"/>
    <n v="37742.58"/>
    <s v="tier - 1"/>
    <s v="tier - 1"/>
    <s v="R1013"/>
    <n v="40"/>
    <n v="29.37"/>
  </r>
  <r>
    <x v="2186"/>
    <s v="Weispfennig,"/>
    <n v="28.5"/>
    <x v="79"/>
    <s v="No"/>
    <x v="1"/>
    <x v="0"/>
    <x v="1"/>
    <x v="1"/>
    <x v="1"/>
    <x v="2"/>
    <n v="26"/>
    <s v="Jul"/>
    <n v="1983"/>
    <d v="1983-07-26T00:00:00"/>
    <n v="37800.980000000003"/>
    <s v="tier - 2"/>
    <s v="tier - 2"/>
    <s v="R1011"/>
    <n v="43"/>
    <n v="28.5"/>
  </r>
  <r>
    <x v="2187"/>
    <s v="Sorrell,"/>
    <n v="23.32"/>
    <x v="133"/>
    <s v="No"/>
    <x v="1"/>
    <x v="0"/>
    <x v="1"/>
    <x v="1"/>
    <x v="2"/>
    <x v="2"/>
    <n v="9"/>
    <s v="Sep"/>
    <n v="1979"/>
    <d v="1979-09-09T00:00:00"/>
    <n v="37829.72"/>
    <s v="tier - 1"/>
    <s v="tier - 2"/>
    <s v="R1011"/>
    <n v="47"/>
    <n v="23.32"/>
  </r>
  <r>
    <x v="2188"/>
    <s v="Morris,"/>
    <n v="26.125"/>
    <x v="173"/>
    <s v="No"/>
    <x v="1"/>
    <x v="0"/>
    <x v="1"/>
    <x v="1"/>
    <x v="1"/>
    <x v="2"/>
    <n v="29"/>
    <s v="Jul"/>
    <n v="1998"/>
    <d v="1998-07-29T00:00:00"/>
    <n v="38126.25"/>
    <s v="tier - 1"/>
    <s v="tier - 3"/>
    <s v="R1013"/>
    <n v="28"/>
    <n v="26.125"/>
  </r>
  <r>
    <x v="2189"/>
    <s v="Marek,"/>
    <n v="25.46"/>
    <x v="107"/>
    <s v="No"/>
    <x v="1"/>
    <x v="0"/>
    <x v="1"/>
    <x v="1"/>
    <x v="1"/>
    <x v="2"/>
    <n v="19"/>
    <s v="Nov"/>
    <n v="1972"/>
    <d v="1972-11-19T00:00:00"/>
    <n v="38189.1"/>
    <s v="tier - 2"/>
    <s v="tier - 2"/>
    <s v="R1011"/>
    <n v="54"/>
    <n v="25.46"/>
  </r>
  <r>
    <x v="2190"/>
    <s v="Armstrong,"/>
    <n v="23.75"/>
    <x v="173"/>
    <s v="No"/>
    <x v="1"/>
    <x v="0"/>
    <x v="1"/>
    <x v="1"/>
    <x v="2"/>
    <x v="2"/>
    <n v="8"/>
    <s v="Sep"/>
    <n v="1989"/>
    <d v="1989-09-08T00:00:00"/>
    <n v="38237.339999999997"/>
    <s v="tier - 2"/>
    <s v="tier - 3"/>
    <s v="R1011"/>
    <n v="37"/>
    <n v="23.75"/>
  </r>
  <r>
    <x v="2191"/>
    <s v="Werner,"/>
    <n v="23.085000000000001"/>
    <x v="133"/>
    <s v="No"/>
    <x v="1"/>
    <x v="0"/>
    <x v="1"/>
    <x v="1"/>
    <x v="2"/>
    <x v="2"/>
    <n v="16"/>
    <s v="Jun"/>
    <n v="1964"/>
    <d v="1964-06-16T00:00:00"/>
    <n v="38241.74"/>
    <s v="tier - 2"/>
    <s v="tier - 3"/>
    <s v="R1011"/>
    <n v="62"/>
    <n v="23.085000000000001"/>
  </r>
  <r>
    <x v="2192"/>
    <s v="Gries,"/>
    <n v="22.99"/>
    <x v="386"/>
    <s v="No"/>
    <x v="1"/>
    <x v="0"/>
    <x v="1"/>
    <x v="1"/>
    <x v="2"/>
    <x v="2"/>
    <n v="16"/>
    <s v="Aug"/>
    <n v="1980"/>
    <d v="1980-08-16T00:00:00"/>
    <n v="38245.589999999997"/>
    <s v="tier - 1"/>
    <s v="tier - 2"/>
    <s v="R1013"/>
    <n v="46"/>
    <n v="22.99"/>
  </r>
  <r>
    <x v="2193"/>
    <s v="Mills,"/>
    <n v="21.47"/>
    <x v="164"/>
    <s v="No"/>
    <x v="1"/>
    <x v="0"/>
    <x v="1"/>
    <x v="1"/>
    <x v="2"/>
    <x v="2"/>
    <n v="30"/>
    <s v="Oct"/>
    <n v="1989"/>
    <d v="1989-10-30T00:00:00"/>
    <n v="38282.75"/>
    <s v="tier - 1"/>
    <s v="tier - 2"/>
    <s v="R1013"/>
    <n v="37"/>
    <n v="21.47"/>
  </r>
  <r>
    <x v="2194"/>
    <s v="Penny,"/>
    <n v="15.96"/>
    <x v="573"/>
    <s v="No"/>
    <x v="1"/>
    <x v="0"/>
    <x v="1"/>
    <x v="1"/>
    <x v="3"/>
    <x v="2"/>
    <n v="12"/>
    <s v="Jun"/>
    <n v="1980"/>
    <d v="1980-06-12T00:00:00"/>
    <n v="38313.129999999997"/>
    <s v="tier - 1"/>
    <s v="tier - 3"/>
    <s v="R1011"/>
    <n v="46"/>
    <n v="15.96"/>
  </r>
  <r>
    <x v="2195"/>
    <s v="Hicks,"/>
    <n v="39.5"/>
    <x v="203"/>
    <s v="No"/>
    <x v="1"/>
    <x v="0"/>
    <x v="1"/>
    <x v="1"/>
    <x v="0"/>
    <x v="2"/>
    <n v="17"/>
    <s v="Sep"/>
    <n v="2002"/>
    <d v="2002-09-17T00:00:00"/>
    <n v="38344.57"/>
    <s v="tier - 1"/>
    <s v="tier - 3"/>
    <s v="R1011"/>
    <n v="24"/>
    <n v="39.5"/>
  </r>
  <r>
    <x v="2196"/>
    <s v="Masayesva,"/>
    <n v="33.770000000000003"/>
    <x v="96"/>
    <s v="No"/>
    <x v="1"/>
    <x v="0"/>
    <x v="1"/>
    <x v="1"/>
    <x v="0"/>
    <x v="0"/>
    <n v="22"/>
    <s v="Aug"/>
    <n v="1970"/>
    <d v="1970-08-22T00:00:00"/>
    <n v="38389.79"/>
    <s v="tier - 2"/>
    <s v="tier - 3"/>
    <s v="R1011"/>
    <n v="56"/>
    <n v="33.770000000000003"/>
  </r>
  <r>
    <x v="2197"/>
    <s v="Paavola,"/>
    <n v="26.84"/>
    <x v="74"/>
    <s v="Yes"/>
    <x v="1"/>
    <x v="0"/>
    <x v="1"/>
    <x v="1"/>
    <x v="1"/>
    <x v="1"/>
    <n v="23"/>
    <s v="Dec"/>
    <n v="1971"/>
    <d v="1971-12-23T00:00:00"/>
    <n v="38405.26"/>
    <s v="tier - 2"/>
    <s v="tier - 1"/>
    <s v="R1011"/>
    <n v="55"/>
    <n v="26.84"/>
  </r>
  <r>
    <x v="2198"/>
    <s v="Gehlsen,"/>
    <n v="35.53"/>
    <x v="67"/>
    <s v="No"/>
    <x v="0"/>
    <x v="1"/>
    <x v="1"/>
    <x v="1"/>
    <x v="0"/>
    <x v="2"/>
    <n v="21"/>
    <s v="Jun"/>
    <n v="1986"/>
    <d v="1986-06-21T00:00:00"/>
    <n v="38415.47"/>
    <s v="tier - 1"/>
    <s v="tier - 2"/>
    <s v="R1011"/>
    <n v="40"/>
    <n v="35.53"/>
  </r>
  <r>
    <x v="2199"/>
    <s v="Roche,"/>
    <n v="30.59"/>
    <x v="498"/>
    <s v="No"/>
    <x v="0"/>
    <x v="1"/>
    <x v="1"/>
    <x v="1"/>
    <x v="0"/>
    <x v="2"/>
    <n v="12"/>
    <s v="Nov"/>
    <n v="1999"/>
    <d v="1999-11-12T00:00:00"/>
    <n v="38511.629999999997"/>
    <s v="tier - 2"/>
    <s v="tier - 2"/>
    <s v="R1024"/>
    <n v="27"/>
    <n v="30.59"/>
  </r>
  <r>
    <x v="2200"/>
    <s v="Hearn,"/>
    <n v="30.59"/>
    <x v="547"/>
    <s v="No"/>
    <x v="0"/>
    <x v="1"/>
    <x v="1"/>
    <x v="1"/>
    <x v="0"/>
    <x v="2"/>
    <n v="13"/>
    <s v="Jul"/>
    <n v="1990"/>
    <d v="1990-07-13T00:00:00"/>
    <n v="38652.089999999997"/>
    <s v="tier - 2"/>
    <s v="tier - 2"/>
    <s v="R1011"/>
    <n v="36"/>
    <n v="30.59"/>
  </r>
  <r>
    <x v="2201"/>
    <s v="Dimson,"/>
    <n v="27.835000000000001"/>
    <x v="320"/>
    <s v="No"/>
    <x v="0"/>
    <x v="1"/>
    <x v="1"/>
    <x v="1"/>
    <x v="1"/>
    <x v="2"/>
    <n v="20"/>
    <s v="Jul"/>
    <n v="1986"/>
    <d v="1986-07-20T00:00:00"/>
    <n v="38709.18"/>
    <s v="tier - 1"/>
    <s v="tier - 3"/>
    <s v="R1013"/>
    <n v="40"/>
    <n v="27.835000000000001"/>
  </r>
  <r>
    <x v="2202"/>
    <s v="Slason,"/>
    <n v="40.26"/>
    <x v="314"/>
    <s v="No"/>
    <x v="1"/>
    <x v="0"/>
    <x v="1"/>
    <x v="1"/>
    <x v="0"/>
    <x v="2"/>
    <n v="22"/>
    <s v="Nov"/>
    <n v="1991"/>
    <d v="1991-11-22T00:00:00"/>
    <n v="38711"/>
    <s v="tier - 1"/>
    <s v="tier - 3"/>
    <s v="R1011"/>
    <n v="35"/>
    <n v="40.26"/>
  </r>
  <r>
    <x v="2203"/>
    <s v="Gibson,"/>
    <n v="39.82"/>
    <x v="214"/>
    <s v="No"/>
    <x v="1"/>
    <x v="0"/>
    <x v="1"/>
    <x v="1"/>
    <x v="0"/>
    <x v="1"/>
    <n v="2"/>
    <s v="Nov"/>
    <n v="1991"/>
    <d v="1991-11-02T00:00:00"/>
    <n v="38711"/>
    <s v="tier - 2"/>
    <s v="tier - 2"/>
    <s v="R1011"/>
    <n v="35"/>
    <n v="39.82"/>
  </r>
  <r>
    <x v="2204"/>
    <s v="Erdos,"/>
    <n v="39.159999999999997"/>
    <x v="335"/>
    <s v="No"/>
    <x v="1"/>
    <x v="0"/>
    <x v="1"/>
    <x v="1"/>
    <x v="0"/>
    <x v="1"/>
    <n v="15"/>
    <s v="Jun"/>
    <n v="1976"/>
    <d v="1976-06-15T00:00:00"/>
    <n v="38740.120000000003"/>
    <s v="tier - 2"/>
    <s v="tier - 2"/>
    <s v="R1012"/>
    <n v="50"/>
    <n v="39.159999999999997"/>
  </r>
  <r>
    <x v="2205"/>
    <s v="Cushman,"/>
    <n v="25.555"/>
    <x v="161"/>
    <s v="No"/>
    <x v="0"/>
    <x v="1"/>
    <x v="1"/>
    <x v="1"/>
    <x v="1"/>
    <x v="2"/>
    <n v="8"/>
    <s v="Nov"/>
    <n v="1991"/>
    <d v="1991-11-08T00:00:00"/>
    <n v="38746.36"/>
    <s v="tier - 1"/>
    <s v="tier - 2"/>
    <s v="R1012"/>
    <n v="35"/>
    <n v="25.555"/>
  </r>
  <r>
    <x v="2206"/>
    <s v="Hammel,"/>
    <n v="25.175000000000001"/>
    <x v="299"/>
    <s v="No"/>
    <x v="0"/>
    <x v="1"/>
    <x v="1"/>
    <x v="1"/>
    <x v="1"/>
    <x v="1"/>
    <n v="5"/>
    <s v="Dec"/>
    <n v="2004"/>
    <d v="2004-12-05T00:00:00"/>
    <n v="38792.69"/>
    <s v="tier - 2"/>
    <s v="tier - 2"/>
    <s v="R1013"/>
    <n v="22"/>
    <n v="25.175000000000001"/>
  </r>
  <r>
    <x v="2207"/>
    <s v="Ytterstad,"/>
    <n v="38.28"/>
    <x v="125"/>
    <s v="No"/>
    <x v="1"/>
    <x v="0"/>
    <x v="1"/>
    <x v="1"/>
    <x v="0"/>
    <x v="2"/>
    <n v="3"/>
    <s v="Dec"/>
    <n v="1979"/>
    <d v="1979-12-03T00:00:00"/>
    <n v="38836.980000000003"/>
    <s v="tier - 2"/>
    <s v="tier - 1"/>
    <s v="R1011"/>
    <n v="47"/>
    <n v="38.28"/>
  </r>
  <r>
    <x v="2208"/>
    <s v="Prince,"/>
    <n v="38.17"/>
    <x v="212"/>
    <s v="No"/>
    <x v="1"/>
    <x v="0"/>
    <x v="1"/>
    <x v="1"/>
    <x v="0"/>
    <x v="2"/>
    <n v="6"/>
    <s v="Jun"/>
    <n v="1964"/>
    <d v="1964-06-06T00:00:00"/>
    <n v="38869.25"/>
    <s v="tier - 2"/>
    <s v="tier - 2"/>
    <s v="R1011"/>
    <n v="62"/>
    <n v="38.17"/>
  </r>
  <r>
    <x v="2209"/>
    <s v="Freeman,"/>
    <n v="36.85"/>
    <x v="206"/>
    <s v="No"/>
    <x v="1"/>
    <x v="0"/>
    <x v="1"/>
    <x v="1"/>
    <x v="0"/>
    <x v="2"/>
    <n v="30"/>
    <s v="Jul"/>
    <n v="1967"/>
    <d v="1967-07-30T00:00:00"/>
    <n v="38893.360000000001"/>
    <s v="tier - 1"/>
    <s v="tier - 2"/>
    <s v="R1011"/>
    <n v="59"/>
    <n v="36.85"/>
  </r>
  <r>
    <x v="2210"/>
    <s v="Petrulak,"/>
    <n v="22.61"/>
    <x v="251"/>
    <s v="No"/>
    <x v="0"/>
    <x v="1"/>
    <x v="1"/>
    <x v="1"/>
    <x v="2"/>
    <x v="2"/>
    <n v="16"/>
    <s v="Jun"/>
    <n v="1987"/>
    <d v="1987-06-16T00:00:00"/>
    <n v="38924.04"/>
    <s v="tier - 2"/>
    <s v="tier - 2"/>
    <s v="R1011"/>
    <n v="39"/>
    <n v="22.61"/>
  </r>
  <r>
    <x v="2211"/>
    <s v="Lloyd,"/>
    <n v="21.754999999999999"/>
    <x v="34"/>
    <s v="No"/>
    <x v="0"/>
    <x v="1"/>
    <x v="1"/>
    <x v="1"/>
    <x v="2"/>
    <x v="1"/>
    <n v="15"/>
    <s v="Dec"/>
    <n v="1976"/>
    <d v="1976-12-15T00:00:00"/>
    <n v="38932.559999999998"/>
    <s v="tier - 2"/>
    <s v="tier - 3"/>
    <s v="R1011"/>
    <n v="50"/>
    <n v="21.754999999999999"/>
  </r>
  <r>
    <x v="2212"/>
    <s v="Zablocki,"/>
    <n v="20.425000000000001"/>
    <x v="102"/>
    <s v="No"/>
    <x v="0"/>
    <x v="1"/>
    <x v="1"/>
    <x v="1"/>
    <x v="2"/>
    <x v="2"/>
    <n v="24"/>
    <s v="Sep"/>
    <n v="1980"/>
    <d v="1980-09-24T00:00:00"/>
    <n v="38947.43"/>
    <s v="tier - 2"/>
    <s v="tier - 3"/>
    <s v="R1011"/>
    <n v="46"/>
    <n v="20.425000000000001"/>
  </r>
  <r>
    <x v="2213"/>
    <s v="Van"/>
    <n v="31.35"/>
    <x v="141"/>
    <s v="No"/>
    <x v="1"/>
    <x v="0"/>
    <x v="1"/>
    <x v="1"/>
    <x v="0"/>
    <x v="2"/>
    <n v="12"/>
    <s v="Oct"/>
    <n v="1978"/>
    <d v="1978-10-12T00:00:00"/>
    <n v="38998.550000000003"/>
    <s v="tier - 1"/>
    <s v="tier - 1"/>
    <s v="R1011"/>
    <n v="48"/>
    <n v="31.35"/>
  </r>
  <r>
    <x v="2214"/>
    <s v="Babay,"/>
    <n v="31.13"/>
    <x v="214"/>
    <s v="No"/>
    <x v="1"/>
    <x v="0"/>
    <x v="1"/>
    <x v="1"/>
    <x v="0"/>
    <x v="1"/>
    <n v="20"/>
    <s v="Sep"/>
    <n v="1985"/>
    <d v="1985-09-20T00:00:00"/>
    <n v="39047.29"/>
    <s v="tier - 1"/>
    <s v="tier - 3"/>
    <s v="R1017"/>
    <n v="41"/>
    <n v="31.13"/>
  </r>
  <r>
    <x v="2215"/>
    <s v="Taylor,"/>
    <n v="17.48"/>
    <x v="658"/>
    <s v="No"/>
    <x v="0"/>
    <x v="1"/>
    <x v="1"/>
    <x v="1"/>
    <x v="3"/>
    <x v="2"/>
    <n v="4"/>
    <s v="Aug"/>
    <n v="1982"/>
    <d v="1982-08-04T00:00:00"/>
    <n v="39125.33"/>
    <s v="tier - 1"/>
    <s v="tier - 1"/>
    <s v="R1016"/>
    <n v="44"/>
    <n v="17.48"/>
  </r>
  <r>
    <x v="2216"/>
    <s v="Smith,"/>
    <n v="22.57"/>
    <x v="329"/>
    <s v="Yes"/>
    <x v="0"/>
    <x v="0"/>
    <x v="1"/>
    <x v="1"/>
    <x v="2"/>
    <x v="1"/>
    <n v="7"/>
    <s v="Jul"/>
    <n v="1962"/>
    <d v="1962-07-07T00:00:00"/>
    <n v="39221.120000000003"/>
    <s v="tier - 2"/>
    <s v="tier - 1"/>
    <s v="R1011"/>
    <n v="64"/>
    <n v="22.57"/>
  </r>
  <r>
    <x v="2217"/>
    <s v="Moody,"/>
    <n v="26.73"/>
    <x v="31"/>
    <s v="No"/>
    <x v="1"/>
    <x v="0"/>
    <x v="1"/>
    <x v="1"/>
    <x v="1"/>
    <x v="2"/>
    <n v="30"/>
    <s v="Nov"/>
    <n v="1992"/>
    <d v="1992-11-30T00:00:00"/>
    <n v="39241.440000000002"/>
    <s v="tier - 1"/>
    <s v="tier - 3"/>
    <s v="R1011"/>
    <n v="34"/>
    <n v="26.73"/>
  </r>
  <r>
    <x v="2218"/>
    <s v="Swierzbinski,"/>
    <n v="20.79"/>
    <x v="85"/>
    <s v="No"/>
    <x v="1"/>
    <x v="0"/>
    <x v="1"/>
    <x v="1"/>
    <x v="2"/>
    <x v="1"/>
    <n v="16"/>
    <s v="Aug"/>
    <n v="1982"/>
    <d v="1982-08-16T00:00:00"/>
    <n v="39315.279999999999"/>
    <s v="tier - 2"/>
    <s v="tier - 3"/>
    <s v="R1011"/>
    <n v="44"/>
    <n v="20.79"/>
  </r>
  <r>
    <x v="2219"/>
    <s v="Schwartz,"/>
    <n v="20.149999999999999"/>
    <x v="324"/>
    <s v="No"/>
    <x v="0"/>
    <x v="0"/>
    <x v="1"/>
    <x v="1"/>
    <x v="2"/>
    <x v="2"/>
    <n v="5"/>
    <s v="Aug"/>
    <n v="1978"/>
    <d v="1978-08-05T00:00:00"/>
    <n v="39352.6"/>
    <s v="tier - 2"/>
    <s v="tier - 3"/>
    <s v="R1011"/>
    <n v="48"/>
    <n v="20.149999999999999"/>
  </r>
  <r>
    <x v="2220"/>
    <s v="Sanseverino,"/>
    <n v="36.85"/>
    <x v="67"/>
    <s v="Yes"/>
    <x v="0"/>
    <x v="0"/>
    <x v="0"/>
    <x v="1"/>
    <x v="0"/>
    <x v="2"/>
    <n v="24"/>
    <s v="Jun"/>
    <n v="1966"/>
    <d v="1966-06-24T00:00:00"/>
    <n v="39396.86"/>
    <s v="tier - 2"/>
    <s v="tier - 2"/>
    <s v="R1011"/>
    <n v="60"/>
    <n v="36.85"/>
  </r>
  <r>
    <x v="2221"/>
    <s v="Lawder,"/>
    <n v="35.53"/>
    <x v="188"/>
    <s v="Yes"/>
    <x v="0"/>
    <x v="0"/>
    <x v="0"/>
    <x v="1"/>
    <x v="0"/>
    <x v="2"/>
    <n v="12"/>
    <s v="Jul"/>
    <n v="1978"/>
    <d v="1978-07-12T00:00:00"/>
    <n v="39556.49"/>
    <s v="tier - 1"/>
    <s v="tier - 2"/>
    <s v="R1015"/>
    <n v="48"/>
    <n v="35.53"/>
  </r>
  <r>
    <x v="2222"/>
    <s v="Young,"/>
    <n v="31.1"/>
    <x v="161"/>
    <s v="Yes"/>
    <x v="0"/>
    <x v="0"/>
    <x v="0"/>
    <x v="1"/>
    <x v="0"/>
    <x v="2"/>
    <n v="5"/>
    <s v="Jul"/>
    <n v="1981"/>
    <d v="1981-07-05T00:00:00"/>
    <n v="39597.410000000003"/>
    <s v="tier - 1"/>
    <s v="tier - 2"/>
    <s v="R1017"/>
    <n v="45"/>
    <n v="31.1"/>
  </r>
  <r>
    <x v="2223"/>
    <s v="Hoerner,"/>
    <n v="23.21"/>
    <x v="219"/>
    <s v="Yes"/>
    <x v="0"/>
    <x v="0"/>
    <x v="0"/>
    <x v="1"/>
    <x v="2"/>
    <x v="2"/>
    <n v="7"/>
    <s v="Aug"/>
    <n v="1995"/>
    <d v="1995-08-07T00:00:00"/>
    <n v="39611.760000000002"/>
    <s v="tier - 1"/>
    <s v="tier - 3"/>
    <s v="R1013"/>
    <n v="31"/>
    <n v="23.21"/>
  </r>
  <r>
    <x v="2224"/>
    <s v="Benson,"/>
    <n v="18.36"/>
    <x v="10"/>
    <s v="No"/>
    <x v="0"/>
    <x v="0"/>
    <x v="1"/>
    <x v="1"/>
    <x v="3"/>
    <x v="1"/>
    <n v="17"/>
    <s v="Dec"/>
    <n v="1977"/>
    <d v="1977-12-17T00:00:00"/>
    <n v="39670.44"/>
    <s v="tier - 2"/>
    <s v="tier - 1"/>
    <s v="R1012"/>
    <n v="49"/>
    <n v="18.36"/>
  </r>
  <r>
    <x v="2225"/>
    <s v="Horton,"/>
    <n v="15.92"/>
    <x v="70"/>
    <s v="Yes"/>
    <x v="0"/>
    <x v="0"/>
    <x v="1"/>
    <x v="1"/>
    <x v="3"/>
    <x v="2"/>
    <n v="29"/>
    <s v="Sep"/>
    <n v="1968"/>
    <d v="1968-09-29T00:00:00"/>
    <n v="39721.93"/>
    <s v="tier - 2"/>
    <s v="tier - 2"/>
    <s v="R1011"/>
    <n v="58"/>
    <n v="15.92"/>
  </r>
  <r>
    <x v="2226"/>
    <s v="McGraw,"/>
    <n v="15.17"/>
    <x v="167"/>
    <s v="Yes"/>
    <x v="0"/>
    <x v="1"/>
    <x v="1"/>
    <x v="1"/>
    <x v="3"/>
    <x v="2"/>
    <n v="16"/>
    <s v="Jul"/>
    <n v="2003"/>
    <d v="2003-07-16T00:00:00"/>
    <n v="39722.75"/>
    <s v="tier - 1"/>
    <s v="tier - 1"/>
    <s v="R1013"/>
    <n v="23"/>
    <n v="15.17"/>
  </r>
  <r>
    <x v="2227"/>
    <s v="Beaulne,"/>
    <n v="16.63"/>
    <x v="146"/>
    <s v="No"/>
    <x v="0"/>
    <x v="0"/>
    <x v="1"/>
    <x v="1"/>
    <x v="3"/>
    <x v="2"/>
    <n v="12"/>
    <s v="Aug"/>
    <n v="1977"/>
    <d v="1977-08-12T00:00:00"/>
    <n v="39725.519999999997"/>
    <s v="tier - 2"/>
    <s v="tier - 1"/>
    <s v="R1012"/>
    <n v="49"/>
    <n v="16.63"/>
  </r>
  <r>
    <x v="2228"/>
    <s v="Lunz,"/>
    <n v="19.39"/>
    <x v="448"/>
    <s v="No"/>
    <x v="0"/>
    <x v="1"/>
    <x v="1"/>
    <x v="1"/>
    <x v="2"/>
    <x v="2"/>
    <n v="17"/>
    <s v="Dec"/>
    <n v="1973"/>
    <d v="1973-12-17T00:00:00"/>
    <n v="39727.61"/>
    <s v="tier - 1"/>
    <s v="tier - 2"/>
    <s v="R1011"/>
    <n v="53"/>
    <n v="19.39"/>
  </r>
  <r>
    <x v="2229"/>
    <s v="Kyle,"/>
    <n v="17.34"/>
    <x v="109"/>
    <s v="Yes"/>
    <x v="0"/>
    <x v="1"/>
    <x v="1"/>
    <x v="1"/>
    <x v="3"/>
    <x v="1"/>
    <n v="24"/>
    <s v="Jul"/>
    <n v="1987"/>
    <d v="1987-07-24T00:00:00"/>
    <n v="39774.28"/>
    <s v="tier - 1"/>
    <s v="tier - 1"/>
    <s v="R1014"/>
    <n v="39"/>
    <n v="17.34"/>
  </r>
  <r>
    <x v="2230"/>
    <s v="Brackenwagen,"/>
    <n v="17.940000000000001"/>
    <x v="40"/>
    <s v="No"/>
    <x v="1"/>
    <x v="0"/>
    <x v="1"/>
    <x v="1"/>
    <x v="3"/>
    <x v="2"/>
    <n v="17"/>
    <s v="Jul"/>
    <n v="1985"/>
    <d v="1985-07-17T00:00:00"/>
    <n v="39836.519999999997"/>
    <s v="tier - 2"/>
    <s v="tier - 1"/>
    <s v="R1011"/>
    <n v="41"/>
    <n v="17.940000000000001"/>
  </r>
  <r>
    <x v="2231"/>
    <s v="Schmitt,"/>
    <n v="16.670000000000002"/>
    <x v="574"/>
    <s v="Yes"/>
    <x v="0"/>
    <x v="1"/>
    <x v="1"/>
    <x v="1"/>
    <x v="3"/>
    <x v="2"/>
    <n v="1"/>
    <s v="Jun"/>
    <n v="1983"/>
    <d v="1983-06-01T00:00:00"/>
    <n v="39865.699999999997"/>
    <s v="tier - 2"/>
    <s v="tier - 2"/>
    <s v="R1011"/>
    <n v="43"/>
    <n v="16.670000000000002"/>
  </r>
  <r>
    <x v="2232"/>
    <s v="Borden,"/>
    <n v="20.58"/>
    <x v="407"/>
    <s v="Yes"/>
    <x v="0"/>
    <x v="0"/>
    <x v="0"/>
    <x v="1"/>
    <x v="2"/>
    <x v="2"/>
    <n v="22"/>
    <s v="Aug"/>
    <n v="1985"/>
    <d v="1985-08-22T00:00:00"/>
    <n v="39871.699999999997"/>
    <s v="tier - 1"/>
    <s v="tier - 2"/>
    <s v="R1013"/>
    <n v="41"/>
    <n v="20.58"/>
  </r>
  <r>
    <x v="2233"/>
    <s v="McLean,"/>
    <n v="16.5"/>
    <x v="92"/>
    <s v="Yes"/>
    <x v="0"/>
    <x v="0"/>
    <x v="0"/>
    <x v="1"/>
    <x v="3"/>
    <x v="2"/>
    <n v="2"/>
    <s v="Dec"/>
    <n v="1975"/>
    <d v="1975-12-02T00:00:00"/>
    <n v="39963.120000000003"/>
    <s v="tier - 2"/>
    <s v="tier - 2"/>
    <s v="R1011"/>
    <n v="51"/>
    <n v="16.5"/>
  </r>
  <r>
    <x v="2234"/>
    <s v="Regan,"/>
    <n v="15.41"/>
    <x v="506"/>
    <s v="Yes"/>
    <x v="0"/>
    <x v="1"/>
    <x v="1"/>
    <x v="1"/>
    <x v="3"/>
    <x v="2"/>
    <n v="8"/>
    <s v="Aug"/>
    <n v="1987"/>
    <d v="1987-08-08T00:00:00"/>
    <n v="39983.43"/>
    <s v="tier - 2"/>
    <s v="tier - 3"/>
    <s v="R1012"/>
    <n v="39"/>
    <n v="15.41"/>
  </r>
  <r>
    <x v="2235"/>
    <s v="Koenis,"/>
    <n v="24.59"/>
    <x v="24"/>
    <s v="No"/>
    <x v="0"/>
    <x v="0"/>
    <x v="1"/>
    <x v="1"/>
    <x v="2"/>
    <x v="2"/>
    <n v="25"/>
    <s v="Dec"/>
    <n v="1982"/>
    <d v="1982-12-25T00:00:00"/>
    <n v="40003.33"/>
    <s v="tier - 1"/>
    <s v="tier - 1"/>
    <s v="R1012"/>
    <n v="44"/>
    <n v="24.59"/>
  </r>
  <r>
    <x v="2236"/>
    <s v="Kittaka,"/>
    <n v="33.33"/>
    <x v="659"/>
    <s v="No"/>
    <x v="0"/>
    <x v="0"/>
    <x v="0"/>
    <x v="1"/>
    <x v="0"/>
    <x v="0"/>
    <n v="20"/>
    <s v="Dec"/>
    <n v="1978"/>
    <d v="1978-12-20T00:00:00"/>
    <n v="40054.730000000003"/>
    <s v="tier - 1"/>
    <s v="tier - 3"/>
    <s v="R1011"/>
    <n v="48"/>
    <n v="33.33"/>
  </r>
  <r>
    <x v="2237"/>
    <s v="Concannon,"/>
    <n v="18.5"/>
    <x v="494"/>
    <s v="No"/>
    <x v="0"/>
    <x v="0"/>
    <x v="0"/>
    <x v="1"/>
    <x v="2"/>
    <x v="0"/>
    <n v="12"/>
    <s v="Aug"/>
    <n v="1966"/>
    <d v="1966-08-12T00:00:00"/>
    <n v="40069.440000000002"/>
    <s v="tier - 1"/>
    <s v="tier - 3"/>
    <s v="R1011"/>
    <n v="60"/>
    <n v="18.5"/>
  </r>
  <r>
    <x v="2238"/>
    <s v="Johnson,"/>
    <n v="18.579999999999998"/>
    <x v="21"/>
    <s v="No"/>
    <x v="0"/>
    <x v="0"/>
    <x v="0"/>
    <x v="1"/>
    <x v="2"/>
    <x v="1"/>
    <n v="14"/>
    <s v="Oct"/>
    <n v="1983"/>
    <d v="1983-10-14T00:00:00"/>
    <n v="40103.89"/>
    <s v="tier - 1"/>
    <s v="tier - 2"/>
    <s v="R1011"/>
    <n v="43"/>
    <n v="18.579999999999998"/>
  </r>
  <r>
    <x v="2239"/>
    <s v="Schultz,"/>
    <n v="16.64"/>
    <x v="561"/>
    <s v="No"/>
    <x v="0"/>
    <x v="0"/>
    <x v="0"/>
    <x v="1"/>
    <x v="3"/>
    <x v="0"/>
    <n v="21"/>
    <s v="Oct"/>
    <n v="1985"/>
    <d v="1985-10-21T00:00:00"/>
    <n v="40182.25"/>
    <s v="tier - 1"/>
    <s v="tier - 2"/>
    <s v="R1011"/>
    <n v="41"/>
    <n v="16.64"/>
  </r>
  <r>
    <x v="2240"/>
    <s v="Brannigan,"/>
    <n v="19.329999999999998"/>
    <x v="536"/>
    <s v="No"/>
    <x v="0"/>
    <x v="0"/>
    <x v="1"/>
    <x v="1"/>
    <x v="2"/>
    <x v="2"/>
    <n v="18"/>
    <s v="Aug"/>
    <n v="1979"/>
    <d v="1979-08-18T00:00:00"/>
    <n v="40204.83"/>
    <s v="tier - 1"/>
    <s v="tier - 3"/>
    <s v="R1012"/>
    <n v="47"/>
    <n v="19.329999999999998"/>
  </r>
  <r>
    <x v="2241"/>
    <s v="Cavallo,"/>
    <n v="21.26"/>
    <x v="120"/>
    <s v="Yes"/>
    <x v="0"/>
    <x v="1"/>
    <x v="1"/>
    <x v="1"/>
    <x v="2"/>
    <x v="2"/>
    <n v="28"/>
    <s v="Jul"/>
    <n v="1981"/>
    <d v="1981-07-28T00:00:00"/>
    <n v="40208.559999999998"/>
    <s v="tier - 1"/>
    <s v="tier - 2"/>
    <s v="R1011"/>
    <n v="45"/>
    <n v="21.26"/>
  </r>
  <r>
    <x v="2242"/>
    <s v="Chang,"/>
    <n v="15.6"/>
    <x v="198"/>
    <s v="Yes"/>
    <x v="0"/>
    <x v="0"/>
    <x v="1"/>
    <x v="1"/>
    <x v="3"/>
    <x v="2"/>
    <n v="4"/>
    <s v="Oct"/>
    <n v="1981"/>
    <d v="1981-10-04T00:00:00"/>
    <n v="40273.65"/>
    <s v="tier - 1"/>
    <s v="tier - 3"/>
    <s v="R1013"/>
    <n v="45"/>
    <n v="15.6"/>
  </r>
  <r>
    <x v="2243"/>
    <s v="Axelrod,"/>
    <n v="24.39"/>
    <x v="149"/>
    <s v="No"/>
    <x v="0"/>
    <x v="0"/>
    <x v="1"/>
    <x v="1"/>
    <x v="2"/>
    <x v="1"/>
    <n v="27"/>
    <s v="Jun"/>
    <n v="1977"/>
    <d v="1977-06-27T00:00:00"/>
    <n v="40284.379999999997"/>
    <s v="tier - 1"/>
    <s v="tier - 3"/>
    <s v="R1012"/>
    <n v="49"/>
    <n v="24.39"/>
  </r>
  <r>
    <x v="2244"/>
    <s v="Davenport,"/>
    <n v="24.75"/>
    <x v="249"/>
    <s v="No"/>
    <x v="0"/>
    <x v="0"/>
    <x v="0"/>
    <x v="1"/>
    <x v="2"/>
    <x v="2"/>
    <n v="4"/>
    <s v="Sep"/>
    <n v="1962"/>
    <d v="1962-09-04T00:00:00"/>
    <n v="40309.93"/>
    <s v="tier - 1"/>
    <s v="tier - 3"/>
    <s v="R1011"/>
    <n v="64"/>
    <n v="24.75"/>
  </r>
  <r>
    <x v="2245"/>
    <s v="Roberge,"/>
    <n v="20.88"/>
    <x v="562"/>
    <s v="No"/>
    <x v="0"/>
    <x v="0"/>
    <x v="0"/>
    <x v="1"/>
    <x v="2"/>
    <x v="0"/>
    <n v="12"/>
    <s v="Aug"/>
    <n v="1966"/>
    <d v="1966-08-12T00:00:00"/>
    <n v="40373.74"/>
    <s v="tier - 1"/>
    <s v="tier - 3"/>
    <s v="R1011"/>
    <n v="60"/>
    <n v="20.88"/>
  </r>
  <r>
    <x v="2246"/>
    <s v="Schmidt,"/>
    <n v="20.43"/>
    <x v="117"/>
    <s v="No"/>
    <x v="0"/>
    <x v="0"/>
    <x v="0"/>
    <x v="1"/>
    <x v="2"/>
    <x v="2"/>
    <n v="3"/>
    <s v="Nov"/>
    <n v="1985"/>
    <d v="1985-11-03T00:00:00"/>
    <n v="40419.019999999997"/>
    <s v="tier - 1"/>
    <s v="tier - 2"/>
    <s v="R1013"/>
    <n v="41"/>
    <n v="20.43"/>
  </r>
  <r>
    <x v="2247"/>
    <s v="Kosters,"/>
    <n v="15.18"/>
    <x v="496"/>
    <s v="No"/>
    <x v="0"/>
    <x v="0"/>
    <x v="0"/>
    <x v="1"/>
    <x v="3"/>
    <x v="0"/>
    <n v="10"/>
    <s v="Jul"/>
    <n v="1975"/>
    <d v="1975-07-10T00:00:00"/>
    <n v="40590.550000000003"/>
    <s v="tier - 1"/>
    <s v="tier - 3"/>
    <s v="R1012"/>
    <n v="51"/>
    <n v="15.18"/>
  </r>
  <r>
    <x v="2248"/>
    <s v="Dykes,"/>
    <n v="15.12"/>
    <x v="79"/>
    <s v="Yes"/>
    <x v="0"/>
    <x v="0"/>
    <x v="0"/>
    <x v="1"/>
    <x v="3"/>
    <x v="2"/>
    <n v="25"/>
    <s v="Sep"/>
    <n v="1970"/>
    <d v="1970-09-25T00:00:00"/>
    <n v="40692.910000000003"/>
    <s v="tier - 1"/>
    <s v="tier - 1"/>
    <s v="R1011"/>
    <n v="56"/>
    <n v="15.12"/>
  </r>
  <r>
    <x v="2249"/>
    <s v="Velan,"/>
    <n v="23.88"/>
    <x v="521"/>
    <s v="No"/>
    <x v="0"/>
    <x v="0"/>
    <x v="1"/>
    <x v="1"/>
    <x v="2"/>
    <x v="2"/>
    <n v="26"/>
    <s v="Dec"/>
    <n v="1976"/>
    <d v="1976-12-26T00:00:00"/>
    <n v="40720.550000000003"/>
    <s v="tier - 1"/>
    <s v="tier - 3"/>
    <s v="R1012"/>
    <n v="50"/>
    <n v="23.88"/>
  </r>
  <r>
    <x v="2250"/>
    <s v="Goolik,"/>
    <n v="16.13"/>
    <x v="209"/>
    <s v="No"/>
    <x v="1"/>
    <x v="0"/>
    <x v="1"/>
    <x v="1"/>
    <x v="3"/>
    <x v="2"/>
    <n v="10"/>
    <s v="Jun"/>
    <n v="1972"/>
    <d v="1972-06-10T00:00:00"/>
    <n v="40817.85"/>
    <s v="tier - 1"/>
    <s v="tier - 3"/>
    <s v="R1011"/>
    <n v="54"/>
    <n v="16.13"/>
  </r>
  <r>
    <x v="2251"/>
    <s v="Bain,"/>
    <n v="24.09"/>
    <x v="275"/>
    <s v="No"/>
    <x v="1"/>
    <x v="0"/>
    <x v="1"/>
    <x v="1"/>
    <x v="2"/>
    <x v="2"/>
    <n v="2"/>
    <s v="Jul"/>
    <n v="1999"/>
    <d v="1999-07-02T00:00:00"/>
    <n v="40904.199999999997"/>
    <s v="tier - 1"/>
    <s v="tier - 1"/>
    <s v="R1024"/>
    <n v="27"/>
    <n v="24.09"/>
  </r>
  <r>
    <x v="2252"/>
    <s v="Wieck,"/>
    <n v="19.43"/>
    <x v="558"/>
    <s v="No"/>
    <x v="1"/>
    <x v="0"/>
    <x v="1"/>
    <x v="1"/>
    <x v="2"/>
    <x v="1"/>
    <n v="4"/>
    <s v="Aug"/>
    <n v="1992"/>
    <d v="1992-08-04T00:00:00"/>
    <n v="40932.43"/>
    <s v="tier - 1"/>
    <s v="tier - 2"/>
    <s v="R1013"/>
    <n v="34"/>
    <n v="19.43"/>
  </r>
  <r>
    <x v="2253"/>
    <s v="Friel,"/>
    <n v="15.22"/>
    <x v="328"/>
    <s v="Yes"/>
    <x v="0"/>
    <x v="1"/>
    <x v="1"/>
    <x v="1"/>
    <x v="3"/>
    <x v="2"/>
    <n v="16"/>
    <s v="Sep"/>
    <n v="1979"/>
    <d v="1979-09-16T00:00:00"/>
    <n v="40941.29"/>
    <s v="tier - 1"/>
    <s v="tier - 2"/>
    <s v="R1013"/>
    <n v="47"/>
    <n v="15.22"/>
  </r>
  <r>
    <x v="2254"/>
    <s v="Santandreu,"/>
    <n v="20.72"/>
    <x v="401"/>
    <s v="No"/>
    <x v="0"/>
    <x v="0"/>
    <x v="0"/>
    <x v="1"/>
    <x v="2"/>
    <x v="0"/>
    <n v="8"/>
    <s v="Sep"/>
    <n v="1983"/>
    <d v="1983-09-08T00:00:00"/>
    <n v="40961.29"/>
    <s v="tier - 1"/>
    <s v="tier - 2"/>
    <s v="R1011"/>
    <n v="43"/>
    <n v="20.72"/>
  </r>
  <r>
    <x v="2255"/>
    <s v="Johnson,"/>
    <n v="35.4"/>
    <x v="423"/>
    <s v="No"/>
    <x v="0"/>
    <x v="1"/>
    <x v="1"/>
    <x v="1"/>
    <x v="0"/>
    <x v="1"/>
    <n v="5"/>
    <s v="Jun"/>
    <n v="1974"/>
    <d v="1974-06-05T00:00:00"/>
    <n v="40974.160000000003"/>
    <s v="tier - 1"/>
    <s v="tier - 2"/>
    <s v="R1013"/>
    <n v="52"/>
    <n v="35.4"/>
  </r>
  <r>
    <x v="2256"/>
    <s v="Gerber,"/>
    <n v="34.4"/>
    <x v="155"/>
    <s v="No"/>
    <x v="0"/>
    <x v="1"/>
    <x v="1"/>
    <x v="1"/>
    <x v="0"/>
    <x v="1"/>
    <n v="11"/>
    <s v="Oct"/>
    <n v="1979"/>
    <d v="1979-10-11T00:00:00"/>
    <n v="41034.22"/>
    <s v="tier - 1"/>
    <s v="tier - 3"/>
    <s v="R1017"/>
    <n v="47"/>
    <n v="34.4"/>
  </r>
  <r>
    <x v="2257"/>
    <s v="Benadum,"/>
    <n v="34.1"/>
    <x v="350"/>
    <s v="No"/>
    <x v="0"/>
    <x v="1"/>
    <x v="1"/>
    <x v="1"/>
    <x v="0"/>
    <x v="2"/>
    <n v="12"/>
    <s v="Aug"/>
    <n v="1972"/>
    <d v="1972-08-12T00:00:00"/>
    <n v="41055.29"/>
    <s v="tier - 1"/>
    <s v="tier - 2"/>
    <s v="R1011"/>
    <n v="54"/>
    <n v="34.1"/>
  </r>
  <r>
    <x v="2258"/>
    <s v="Ragazzini,"/>
    <n v="30.4"/>
    <x v="370"/>
    <s v="No"/>
    <x v="0"/>
    <x v="1"/>
    <x v="1"/>
    <x v="1"/>
    <x v="0"/>
    <x v="2"/>
    <n v="6"/>
    <s v="Sep"/>
    <n v="1972"/>
    <d v="1972-09-06T00:00:00"/>
    <n v="41097.160000000003"/>
    <s v="tier - 1"/>
    <s v="tier - 3"/>
    <s v="R1016"/>
    <n v="54"/>
    <n v="30.4"/>
  </r>
  <r>
    <x v="2259"/>
    <s v="Kessinger,"/>
    <n v="28.7"/>
    <x v="115"/>
    <s v="No"/>
    <x v="0"/>
    <x v="1"/>
    <x v="1"/>
    <x v="1"/>
    <x v="1"/>
    <x v="2"/>
    <n v="8"/>
    <s v="Aug"/>
    <n v="1969"/>
    <d v="1969-08-08T00:00:00"/>
    <n v="41191.57"/>
    <s v="tier - 1"/>
    <s v="tier - 2"/>
    <s v="R1011"/>
    <n v="57"/>
    <n v="28.7"/>
  </r>
  <r>
    <x v="2260"/>
    <s v="Bezgin,"/>
    <n v="17.440000000000001"/>
    <x v="611"/>
    <s v="Yes"/>
    <x v="0"/>
    <x v="1"/>
    <x v="1"/>
    <x v="1"/>
    <x v="3"/>
    <x v="2"/>
    <n v="6"/>
    <s v="Jun"/>
    <n v="1964"/>
    <d v="1964-06-06T00:00:00"/>
    <n v="41250.39"/>
    <s v="tier - 1"/>
    <s v="tier - 3"/>
    <s v="R1011"/>
    <n v="62"/>
    <n v="17.440000000000001"/>
  </r>
  <r>
    <x v="2261"/>
    <s v="Woldesilassie,"/>
    <n v="27.6"/>
    <x v="138"/>
    <s v="No"/>
    <x v="0"/>
    <x v="1"/>
    <x v="1"/>
    <x v="1"/>
    <x v="1"/>
    <x v="2"/>
    <n v="27"/>
    <s v="Aug"/>
    <n v="1977"/>
    <d v="1977-08-27T00:00:00"/>
    <n v="41271.5"/>
    <s v="tier - 1"/>
    <s v="tier - 2"/>
    <s v="R1011"/>
    <n v="49"/>
    <n v="27.6"/>
  </r>
  <r>
    <x v="2262"/>
    <s v="Ruiz"/>
    <n v="20.7"/>
    <x v="325"/>
    <s v="No"/>
    <x v="0"/>
    <x v="1"/>
    <x v="1"/>
    <x v="1"/>
    <x v="2"/>
    <x v="2"/>
    <n v="7"/>
    <s v="Oct"/>
    <n v="1964"/>
    <d v="1964-10-07T00:00:00"/>
    <n v="41331.79"/>
    <s v="tier - 1"/>
    <s v="tier - 2"/>
    <s v="R1011"/>
    <n v="62"/>
    <n v="20.7"/>
  </r>
  <r>
    <x v="2263"/>
    <s v="Bin"/>
    <n v="20.3"/>
    <x v="240"/>
    <s v="No"/>
    <x v="0"/>
    <x v="1"/>
    <x v="1"/>
    <x v="1"/>
    <x v="2"/>
    <x v="1"/>
    <n v="16"/>
    <s v="Oct"/>
    <n v="1971"/>
    <d v="1971-10-16T00:00:00"/>
    <n v="41351.879999999997"/>
    <s v="tier - 1"/>
    <s v="tier - 2"/>
    <s v="R1011"/>
    <n v="55"/>
    <n v="20.3"/>
  </r>
  <r>
    <x v="2264"/>
    <s v="Fischer-Daly,"/>
    <n v="19.8"/>
    <x v="89"/>
    <s v="No"/>
    <x v="0"/>
    <x v="1"/>
    <x v="1"/>
    <x v="1"/>
    <x v="2"/>
    <x v="2"/>
    <n v="22"/>
    <s v="Dec"/>
    <n v="1967"/>
    <d v="1967-12-22T00:00:00"/>
    <n v="41505.15"/>
    <s v="tier - 1"/>
    <s v="tier - 2"/>
    <s v="R1011"/>
    <n v="59"/>
    <n v="19.8"/>
  </r>
  <r>
    <x v="2265"/>
    <s v="Pulliam,"/>
    <n v="21.87"/>
    <x v="349"/>
    <s v="No"/>
    <x v="0"/>
    <x v="0"/>
    <x v="0"/>
    <x v="1"/>
    <x v="2"/>
    <x v="0"/>
    <n v="24"/>
    <s v="Nov"/>
    <n v="1974"/>
    <d v="1974-11-24T00:00:00"/>
    <n v="41636.199999999997"/>
    <s v="tier - 1"/>
    <s v="tier - 1"/>
    <s v="R1011"/>
    <n v="52"/>
    <n v="21.87"/>
  </r>
  <r>
    <x v="2266"/>
    <s v="Guisinger,"/>
    <n v="16.600000000000001"/>
    <x v="231"/>
    <s v="No"/>
    <x v="0"/>
    <x v="0"/>
    <x v="1"/>
    <x v="1"/>
    <x v="3"/>
    <x v="1"/>
    <n v="29"/>
    <s v="Oct"/>
    <n v="1976"/>
    <d v="1976-10-29T00:00:00"/>
    <n v="41661.599999999999"/>
    <s v="tier - 1"/>
    <s v="tier - 3"/>
    <s v="R1011"/>
    <n v="50"/>
    <n v="16.600000000000001"/>
  </r>
  <r>
    <x v="2267"/>
    <s v="Arnerich,"/>
    <n v="21.98"/>
    <x v="354"/>
    <s v="No"/>
    <x v="0"/>
    <x v="0"/>
    <x v="0"/>
    <x v="1"/>
    <x v="2"/>
    <x v="0"/>
    <n v="14"/>
    <s v="Nov"/>
    <n v="1975"/>
    <d v="1975-11-14T00:00:00"/>
    <n v="41676.080000000002"/>
    <s v="tier - 1"/>
    <s v="tier - 2"/>
    <s v="R1013"/>
    <n v="51"/>
    <n v="21.98"/>
  </r>
  <r>
    <x v="2268"/>
    <s v="Lynch,"/>
    <n v="19.7"/>
    <x v="49"/>
    <s v="No"/>
    <x v="0"/>
    <x v="0"/>
    <x v="1"/>
    <x v="1"/>
    <x v="2"/>
    <x v="2"/>
    <n v="29"/>
    <s v="Sep"/>
    <n v="1975"/>
    <d v="1975-09-29T00:00:00"/>
    <n v="41681.86"/>
    <s v="tier - 1"/>
    <s v="tier - 1"/>
    <s v="R1011"/>
    <n v="51"/>
    <n v="19.7"/>
  </r>
  <r>
    <x v="2269"/>
    <s v="Reilly,"/>
    <n v="19.21"/>
    <x v="70"/>
    <s v="No"/>
    <x v="1"/>
    <x v="0"/>
    <x v="1"/>
    <x v="1"/>
    <x v="2"/>
    <x v="2"/>
    <n v="22"/>
    <s v="Sep"/>
    <n v="1962"/>
    <d v="1962-09-22T00:00:00"/>
    <n v="41794.629999999997"/>
    <s v="tier - 1"/>
    <s v="tier - 3"/>
    <s v="R1011"/>
    <n v="64"/>
    <n v="19.21"/>
  </r>
  <r>
    <x v="2270"/>
    <s v="Nolette,"/>
    <n v="19.3"/>
    <x v="574"/>
    <s v="No"/>
    <x v="1"/>
    <x v="0"/>
    <x v="1"/>
    <x v="1"/>
    <x v="2"/>
    <x v="2"/>
    <n v="21"/>
    <s v="Sep"/>
    <n v="1966"/>
    <d v="1966-09-21T00:00:00"/>
    <n v="41886.54"/>
    <s v="tier - 1"/>
    <s v="tier - 3"/>
    <s v="R1011"/>
    <n v="60"/>
    <n v="19.3"/>
  </r>
  <r>
    <x v="2271"/>
    <s v="Chabrier,"/>
    <n v="16.22"/>
    <x v="200"/>
    <s v="Yes"/>
    <x v="0"/>
    <x v="0"/>
    <x v="0"/>
    <x v="1"/>
    <x v="3"/>
    <x v="1"/>
    <n v="8"/>
    <s v="Jun"/>
    <n v="1972"/>
    <d v="1972-06-08T00:00:00"/>
    <n v="41919.1"/>
    <s v="tier - 1"/>
    <s v="tier - 1"/>
    <s v="R1016"/>
    <n v="54"/>
    <n v="16.22"/>
  </r>
  <r>
    <x v="2272"/>
    <s v="Lee,"/>
    <n v="17.12"/>
    <x v="193"/>
    <s v="No"/>
    <x v="1"/>
    <x v="0"/>
    <x v="1"/>
    <x v="1"/>
    <x v="3"/>
    <x v="2"/>
    <n v="10"/>
    <s v="Nov"/>
    <n v="1984"/>
    <d v="1984-11-10T00:00:00"/>
    <n v="41949.24"/>
    <s v="tier - 1"/>
    <s v="tier - 1"/>
    <s v="R1013"/>
    <n v="42"/>
    <n v="17.12"/>
  </r>
  <r>
    <x v="2273"/>
    <s v="Knotts,"/>
    <n v="19.07"/>
    <x v="4"/>
    <s v="No"/>
    <x v="0"/>
    <x v="0"/>
    <x v="1"/>
    <x v="1"/>
    <x v="2"/>
    <x v="2"/>
    <n v="19"/>
    <s v="Dec"/>
    <n v="1968"/>
    <d v="1968-12-19T00:00:00"/>
    <n v="41999.519999999997"/>
    <s v="tier - 1"/>
    <s v="tier - 3"/>
    <s v="R1013"/>
    <n v="58"/>
    <n v="19.07"/>
  </r>
  <r>
    <x v="2274"/>
    <s v="Pultorak,"/>
    <n v="15.56"/>
    <x v="611"/>
    <s v="No"/>
    <x v="0"/>
    <x v="0"/>
    <x v="0"/>
    <x v="1"/>
    <x v="3"/>
    <x v="2"/>
    <n v="28"/>
    <s v="Nov"/>
    <n v="1976"/>
    <d v="1976-11-28T00:00:00"/>
    <n v="42111.66"/>
    <s v="tier - 1"/>
    <s v="tier - 1"/>
    <s v="R1024"/>
    <n v="50"/>
    <n v="15.56"/>
  </r>
  <r>
    <x v="2275"/>
    <s v="Maxon,"/>
    <n v="22.76"/>
    <x v="660"/>
    <s v="No"/>
    <x v="0"/>
    <x v="0"/>
    <x v="0"/>
    <x v="1"/>
    <x v="2"/>
    <x v="0"/>
    <n v="9"/>
    <s v="Dec"/>
    <n v="1997"/>
    <d v="1997-12-09T00:00:00"/>
    <n v="42112.24"/>
    <s v="tier - 1"/>
    <s v="tier - 3"/>
    <s v="R1013"/>
    <n v="29"/>
    <n v="22.76"/>
  </r>
  <r>
    <x v="2276"/>
    <s v="Kraai,"/>
    <n v="22.79"/>
    <x v="259"/>
    <s v="Yes"/>
    <x v="0"/>
    <x v="1"/>
    <x v="1"/>
    <x v="1"/>
    <x v="2"/>
    <x v="1"/>
    <n v="3"/>
    <s v="Jul"/>
    <n v="1979"/>
    <d v="1979-07-03T00:00:00"/>
    <n v="42124.52"/>
    <s v="tier - 1"/>
    <s v="tier - 1"/>
    <s v="R1013"/>
    <n v="47"/>
    <n v="22.79"/>
  </r>
  <r>
    <x v="2277"/>
    <s v="Larosa,"/>
    <n v="17.41"/>
    <x v="272"/>
    <s v="Yes"/>
    <x v="0"/>
    <x v="0"/>
    <x v="0"/>
    <x v="1"/>
    <x v="3"/>
    <x v="2"/>
    <n v="18"/>
    <s v="Sep"/>
    <n v="1973"/>
    <d v="1973-09-18T00:00:00"/>
    <n v="42188.15"/>
    <s v="tier - 1"/>
    <s v="tier - 1"/>
    <s v="R1011"/>
    <n v="53"/>
    <n v="17.41"/>
  </r>
  <r>
    <x v="2278"/>
    <s v="King,"/>
    <n v="19.32"/>
    <x v="98"/>
    <s v="Yes"/>
    <x v="0"/>
    <x v="0"/>
    <x v="0"/>
    <x v="1"/>
    <x v="2"/>
    <x v="2"/>
    <n v="15"/>
    <s v="Aug"/>
    <n v="1975"/>
    <d v="1975-08-15T00:00:00"/>
    <n v="42211.14"/>
    <s v="tier - 1"/>
    <s v="tier - 3"/>
    <s v="R1013"/>
    <n v="51"/>
    <n v="19.32"/>
  </r>
  <r>
    <x v="2279"/>
    <s v="Haney,"/>
    <n v="18.25"/>
    <x v="398"/>
    <s v="No"/>
    <x v="0"/>
    <x v="0"/>
    <x v="0"/>
    <x v="1"/>
    <x v="3"/>
    <x v="0"/>
    <n v="28"/>
    <s v="Jun"/>
    <n v="1967"/>
    <d v="1967-06-28T00:00:00"/>
    <n v="42303.69"/>
    <s v="tier - 1"/>
    <s v="tier - 2"/>
    <s v="R1016"/>
    <n v="59"/>
    <n v="18.25"/>
  </r>
  <r>
    <x v="2280"/>
    <s v="Boulay,"/>
    <n v="53.13"/>
    <x v="320"/>
    <s v="No"/>
    <x v="1"/>
    <x v="0"/>
    <x v="1"/>
    <x v="1"/>
    <x v="0"/>
    <x v="2"/>
    <n v="3"/>
    <s v="Aug"/>
    <n v="1968"/>
    <d v="1968-08-03T00:00:00"/>
    <n v="42478.6"/>
    <s v="tier - 1"/>
    <s v="tier - 2"/>
    <s v="R1011"/>
    <n v="58"/>
    <n v="53.13"/>
  </r>
  <r>
    <x v="2281"/>
    <s v="Peters,"/>
    <n v="20.46"/>
    <x v="93"/>
    <s v="No"/>
    <x v="0"/>
    <x v="0"/>
    <x v="0"/>
    <x v="1"/>
    <x v="2"/>
    <x v="2"/>
    <n v="27"/>
    <s v="Jun"/>
    <n v="1967"/>
    <d v="1967-06-27T00:00:00"/>
    <n v="42538.720000000001"/>
    <s v="tier - 1"/>
    <s v="tier - 3"/>
    <s v="R1011"/>
    <n v="59"/>
    <n v="20.46"/>
  </r>
  <r>
    <x v="2282"/>
    <s v="Luy,"/>
    <n v="43.01"/>
    <x v="573"/>
    <s v="No"/>
    <x v="1"/>
    <x v="0"/>
    <x v="1"/>
    <x v="1"/>
    <x v="0"/>
    <x v="2"/>
    <n v="27"/>
    <s v="Dec"/>
    <n v="1979"/>
    <d v="1979-12-27T00:00:00"/>
    <n v="42560.43"/>
    <s v="tier - 1"/>
    <s v="tier - 3"/>
    <s v="R1013"/>
    <n v="47"/>
    <n v="43.01"/>
  </r>
  <r>
    <x v="2283"/>
    <s v="Fava,"/>
    <n v="15.01"/>
    <x v="324"/>
    <s v="No"/>
    <x v="0"/>
    <x v="1"/>
    <x v="1"/>
    <x v="1"/>
    <x v="3"/>
    <x v="2"/>
    <n v="3"/>
    <s v="Nov"/>
    <n v="1971"/>
    <d v="1971-11-03T00:00:00"/>
    <n v="42644.2"/>
    <s v="tier - 1"/>
    <s v="tier - 3"/>
    <s v="R1011"/>
    <n v="55"/>
    <n v="15.01"/>
  </r>
  <r>
    <x v="2284"/>
    <s v="Montoya,"/>
    <n v="41.14"/>
    <x v="216"/>
    <s v="No"/>
    <x v="1"/>
    <x v="0"/>
    <x v="1"/>
    <x v="1"/>
    <x v="0"/>
    <x v="1"/>
    <n v="21"/>
    <s v="Oct"/>
    <n v="1977"/>
    <d v="1977-10-21T00:00:00"/>
    <n v="42760.5"/>
    <s v="tier - 1"/>
    <s v="tier - 2"/>
    <s v="R1012"/>
    <n v="49"/>
    <n v="41.14"/>
  </r>
  <r>
    <x v="2285"/>
    <s v="Bain,"/>
    <n v="16.55"/>
    <x v="579"/>
    <s v="No"/>
    <x v="0"/>
    <x v="0"/>
    <x v="0"/>
    <x v="1"/>
    <x v="3"/>
    <x v="0"/>
    <n v="29"/>
    <s v="Oct"/>
    <n v="1965"/>
    <d v="1965-10-29T00:00:00"/>
    <n v="42764.12"/>
    <s v="tier - 1"/>
    <s v="tier - 2"/>
    <s v="R1011"/>
    <n v="61"/>
    <n v="16.55"/>
  </r>
  <r>
    <x v="2286"/>
    <s v="Albertson,"/>
    <n v="37.29"/>
    <x v="52"/>
    <s v="No"/>
    <x v="1"/>
    <x v="0"/>
    <x v="1"/>
    <x v="1"/>
    <x v="0"/>
    <x v="2"/>
    <n v="10"/>
    <s v="Sep"/>
    <n v="1972"/>
    <d v="1972-09-10T00:00:00"/>
    <n v="42856.84"/>
    <s v="tier - 1"/>
    <s v="tier - 1"/>
    <s v="R1011"/>
    <n v="54"/>
    <n v="37.29"/>
  </r>
  <r>
    <x v="2287"/>
    <s v="Barger,"/>
    <n v="16.739999999999998"/>
    <x v="336"/>
    <s v="Yes"/>
    <x v="0"/>
    <x v="0"/>
    <x v="0"/>
    <x v="1"/>
    <x v="3"/>
    <x v="2"/>
    <n v="23"/>
    <s v="Oct"/>
    <n v="1975"/>
    <d v="1975-10-23T00:00:00"/>
    <n v="42969.85"/>
    <s v="tier - 1"/>
    <s v="tier - 3"/>
    <s v="R1013"/>
    <n v="51"/>
    <n v="16.739999999999998"/>
  </r>
  <r>
    <x v="2288"/>
    <s v="Fraioli,"/>
    <n v="34.43"/>
    <x v="159"/>
    <s v="No"/>
    <x v="1"/>
    <x v="0"/>
    <x v="1"/>
    <x v="1"/>
    <x v="0"/>
    <x v="2"/>
    <n v="4"/>
    <s v="Nov"/>
    <n v="1978"/>
    <d v="1978-11-04T00:00:00"/>
    <n v="42983.46"/>
    <s v="tier - 1"/>
    <s v="tier - 2"/>
    <s v="R1012"/>
    <n v="48"/>
    <n v="34.43"/>
  </r>
  <r>
    <x v="2289"/>
    <s v="April,"/>
    <n v="34.1"/>
    <x v="212"/>
    <s v="No"/>
    <x v="1"/>
    <x v="0"/>
    <x v="1"/>
    <x v="1"/>
    <x v="0"/>
    <x v="2"/>
    <n v="29"/>
    <s v="Nov"/>
    <n v="1965"/>
    <d v="1965-11-29T00:00:00"/>
    <n v="43073.760000000002"/>
    <s v="tier - 2"/>
    <s v="tier - 2"/>
    <s v="R1011"/>
    <n v="61"/>
    <n v="34.1"/>
  </r>
  <r>
    <x v="2290"/>
    <s v="King,"/>
    <n v="19.3"/>
    <x v="661"/>
    <s v="No"/>
    <x v="0"/>
    <x v="0"/>
    <x v="0"/>
    <x v="1"/>
    <x v="2"/>
    <x v="0"/>
    <n v="3"/>
    <s v="Dec"/>
    <n v="1969"/>
    <d v="1969-12-03T00:00:00"/>
    <n v="43254.42"/>
    <s v="tier - 2"/>
    <s v="tier - 2"/>
    <s v="R1016"/>
    <n v="57"/>
    <n v="19.3"/>
  </r>
  <r>
    <x v="2291"/>
    <s v="Talhelm,"/>
    <n v="33.659999999999997"/>
    <x v="268"/>
    <s v="No"/>
    <x v="1"/>
    <x v="0"/>
    <x v="1"/>
    <x v="1"/>
    <x v="0"/>
    <x v="1"/>
    <n v="22"/>
    <s v="Aug"/>
    <n v="1965"/>
    <d v="1965-08-22T00:00:00"/>
    <n v="43578.94"/>
    <s v="tier - 2"/>
    <s v="tier - 2"/>
    <s v="R1012"/>
    <n v="61"/>
    <n v="33.659999999999997"/>
  </r>
  <r>
    <x v="2292"/>
    <s v="Regnier,"/>
    <n v="33.33"/>
    <x v="633"/>
    <s v="No"/>
    <x v="1"/>
    <x v="0"/>
    <x v="1"/>
    <x v="1"/>
    <x v="0"/>
    <x v="1"/>
    <n v="29"/>
    <s v="Dec"/>
    <n v="1986"/>
    <d v="1986-12-29T00:00:00"/>
    <n v="43753.34"/>
    <s v="tier - 2"/>
    <s v="tier - 1"/>
    <s v="R1015"/>
    <n v="40"/>
    <n v="33.33"/>
  </r>
  <r>
    <x v="2293"/>
    <s v="Treece,"/>
    <n v="21.84"/>
    <x v="268"/>
    <s v="No"/>
    <x v="1"/>
    <x v="0"/>
    <x v="1"/>
    <x v="1"/>
    <x v="2"/>
    <x v="1"/>
    <n v="25"/>
    <s v="Oct"/>
    <n v="1966"/>
    <d v="1966-10-25T00:00:00"/>
    <n v="43813.87"/>
    <s v="tier - 2"/>
    <s v="tier - 2"/>
    <s v="R1013"/>
    <n v="60"/>
    <n v="21.84"/>
  </r>
  <r>
    <x v="2294"/>
    <s v="Beisel,"/>
    <n v="16.87"/>
    <x v="400"/>
    <s v="No"/>
    <x v="0"/>
    <x v="0"/>
    <x v="0"/>
    <x v="1"/>
    <x v="3"/>
    <x v="0"/>
    <n v="2"/>
    <s v="Jul"/>
    <n v="1966"/>
    <d v="1966-07-02T00:00:00"/>
    <n v="43817.45"/>
    <s v="tier - 2"/>
    <s v="tier - 3"/>
    <s v="R1012"/>
    <n v="60"/>
    <n v="16.87"/>
  </r>
  <r>
    <x v="2295"/>
    <s v="Enke,"/>
    <n v="30.14"/>
    <x v="206"/>
    <s v="No"/>
    <x v="1"/>
    <x v="0"/>
    <x v="1"/>
    <x v="1"/>
    <x v="0"/>
    <x v="2"/>
    <n v="10"/>
    <s v="Nov"/>
    <n v="1980"/>
    <d v="1980-11-10T00:00:00"/>
    <n v="43896.38"/>
    <s v="tier - 2"/>
    <s v="tier - 1"/>
    <s v="R1013"/>
    <n v="46"/>
    <n v="30.14"/>
  </r>
  <r>
    <x v="2296"/>
    <s v="Ruiz-Tagle"/>
    <n v="23.21"/>
    <x v="161"/>
    <s v="No"/>
    <x v="1"/>
    <x v="0"/>
    <x v="1"/>
    <x v="1"/>
    <x v="2"/>
    <x v="2"/>
    <n v="5"/>
    <s v="Oct"/>
    <n v="1966"/>
    <d v="1966-10-05T00:00:00"/>
    <n v="43921.18"/>
    <s v="tier - 2"/>
    <s v="tier - 2"/>
    <s v="R1012"/>
    <n v="60"/>
    <n v="23.21"/>
  </r>
  <r>
    <x v="2297"/>
    <s v="Ferrell,"/>
    <n v="17.170000000000002"/>
    <x v="662"/>
    <s v="No"/>
    <x v="0"/>
    <x v="0"/>
    <x v="0"/>
    <x v="1"/>
    <x v="3"/>
    <x v="0"/>
    <n v="16"/>
    <s v="Jul"/>
    <n v="1988"/>
    <d v="1988-07-16T00:00:00"/>
    <n v="43943.88"/>
    <s v="tier - 2"/>
    <s v="tier - 1"/>
    <s v="R1012"/>
    <n v="38"/>
    <n v="17.170000000000002"/>
  </r>
  <r>
    <x v="2298"/>
    <s v="Gates,"/>
    <n v="15.61"/>
    <x v="124"/>
    <s v="No"/>
    <x v="0"/>
    <x v="0"/>
    <x v="1"/>
    <x v="1"/>
    <x v="3"/>
    <x v="2"/>
    <n v="1"/>
    <s v="Jun"/>
    <n v="1975"/>
    <d v="1975-06-01T00:00:00"/>
    <n v="44202.65"/>
    <s v="tier - 2"/>
    <s v="tier - 2"/>
    <s v="R1013"/>
    <n v="51"/>
    <n v="15.61"/>
  </r>
  <r>
    <x v="2299"/>
    <s v="Jeffers,"/>
    <n v="17.98"/>
    <x v="196"/>
    <s v="Yes"/>
    <x v="0"/>
    <x v="1"/>
    <x v="1"/>
    <x v="1"/>
    <x v="3"/>
    <x v="2"/>
    <n v="24"/>
    <s v="Nov"/>
    <n v="1968"/>
    <d v="1968-11-24T00:00:00"/>
    <n v="44260.75"/>
    <s v="tier - 2"/>
    <s v="tier - 1"/>
    <s v="R1013"/>
    <n v="58"/>
    <n v="17.98"/>
  </r>
  <r>
    <x v="2300"/>
    <s v="Sulhanek,"/>
    <n v="21.64"/>
    <x v="334"/>
    <s v="No"/>
    <x v="1"/>
    <x v="0"/>
    <x v="1"/>
    <x v="1"/>
    <x v="2"/>
    <x v="2"/>
    <n v="29"/>
    <s v="Oct"/>
    <n v="1971"/>
    <d v="1971-10-29T00:00:00"/>
    <n v="44400.41"/>
    <s v="tier - 2"/>
    <s v="tier - 2"/>
    <s v="R1013"/>
    <n v="55"/>
    <n v="21.64"/>
  </r>
  <r>
    <x v="2301"/>
    <s v="Ozahowski,"/>
    <n v="16.399999999999999"/>
    <x v="66"/>
    <s v="No"/>
    <x v="0"/>
    <x v="1"/>
    <x v="1"/>
    <x v="1"/>
    <x v="3"/>
    <x v="2"/>
    <n v="14"/>
    <s v="Sep"/>
    <n v="1967"/>
    <d v="1967-09-14T00:00:00"/>
    <n v="44423.8"/>
    <s v="tier - 2"/>
    <s v="tier - 3"/>
    <s v="R1013"/>
    <n v="59"/>
    <n v="16.399999999999999"/>
  </r>
  <r>
    <x v="2302"/>
    <s v="Caron,"/>
    <n v="15.77"/>
    <x v="3"/>
    <s v="Yes"/>
    <x v="0"/>
    <x v="0"/>
    <x v="1"/>
    <x v="1"/>
    <x v="3"/>
    <x v="1"/>
    <n v="2"/>
    <s v="Aug"/>
    <n v="2000"/>
    <d v="2000-08-02T00:00:00"/>
    <n v="44501.4"/>
    <s v="tier - 2"/>
    <s v="tier - 3"/>
    <s v="R1013"/>
    <n v="26"/>
    <n v="15.77"/>
  </r>
  <r>
    <x v="2303"/>
    <s v="Fullarton,"/>
    <n v="18.27"/>
    <x v="465"/>
    <s v="No"/>
    <x v="0"/>
    <x v="0"/>
    <x v="0"/>
    <x v="1"/>
    <x v="3"/>
    <x v="0"/>
    <n v="11"/>
    <s v="Oct"/>
    <n v="1993"/>
    <d v="1993-10-11T00:00:00"/>
    <n v="44585.46"/>
    <s v="tier - 2"/>
    <s v="tier - 2"/>
    <s v="R1011"/>
    <n v="33"/>
    <n v="18.27"/>
  </r>
  <r>
    <x v="2304"/>
    <s v="Lindgren,"/>
    <n v="16.489999999999998"/>
    <x v="454"/>
    <s v="No"/>
    <x v="0"/>
    <x v="0"/>
    <x v="0"/>
    <x v="1"/>
    <x v="3"/>
    <x v="0"/>
    <n v="13"/>
    <s v="Aug"/>
    <n v="1971"/>
    <d v="1971-08-13T00:00:00"/>
    <n v="44641.2"/>
    <s v="tier - 2"/>
    <s v="tier - 3"/>
    <s v="R1024"/>
    <n v="55"/>
    <n v="16.489999999999998"/>
  </r>
  <r>
    <x v="2305"/>
    <s v="Akiha,"/>
    <n v="16.14"/>
    <x v="319"/>
    <s v="No"/>
    <x v="0"/>
    <x v="0"/>
    <x v="0"/>
    <x v="1"/>
    <x v="3"/>
    <x v="2"/>
    <n v="17"/>
    <s v="Dec"/>
    <n v="1962"/>
    <d v="1962-12-17T00:00:00"/>
    <n v="45008.959999999999"/>
    <s v="tier - 2"/>
    <s v="tier - 2"/>
    <s v="R1013"/>
    <n v="64"/>
    <n v="16.14"/>
  </r>
  <r>
    <x v="2306"/>
    <s v="Sweny,"/>
    <n v="20.85"/>
    <x v="150"/>
    <s v="Yes"/>
    <x v="0"/>
    <x v="0"/>
    <x v="1"/>
    <x v="1"/>
    <x v="2"/>
    <x v="2"/>
    <n v="9"/>
    <s v="Aug"/>
    <n v="1974"/>
    <d v="1974-08-09T00:00:00"/>
    <n v="45702.02"/>
    <s v="tier - 2"/>
    <s v="tier - 2"/>
    <s v="R1012"/>
    <n v="52"/>
    <n v="20.85"/>
  </r>
  <r>
    <x v="2307"/>
    <s v="Tobin,"/>
    <n v="15.88"/>
    <x v="67"/>
    <s v="No"/>
    <x v="0"/>
    <x v="0"/>
    <x v="0"/>
    <x v="1"/>
    <x v="3"/>
    <x v="2"/>
    <n v="21"/>
    <s v="Dec"/>
    <n v="1960"/>
    <d v="1960-12-21T00:00:00"/>
    <n v="45710.21"/>
    <s v="tier - 2"/>
    <s v="tier - 2"/>
    <s v="R1016"/>
    <n v="66"/>
    <n v="15.88"/>
  </r>
  <r>
    <x v="2308"/>
    <s v="Pedersen,"/>
    <n v="20.66"/>
    <x v="329"/>
    <s v="No"/>
    <x v="1"/>
    <x v="0"/>
    <x v="1"/>
    <x v="1"/>
    <x v="2"/>
    <x v="1"/>
    <n v="12"/>
    <s v="Aug"/>
    <n v="1979"/>
    <d v="1979-08-12T00:00:00"/>
    <n v="45863.21"/>
    <s v="tier - 2"/>
    <s v="tier - 1"/>
    <s v="R1013"/>
    <n v="47"/>
    <n v="20.66"/>
  </r>
  <r>
    <x v="2309"/>
    <s v="Lynch,"/>
    <n v="20.399999999999999"/>
    <x v="173"/>
    <s v="No"/>
    <x v="0"/>
    <x v="0"/>
    <x v="0"/>
    <x v="1"/>
    <x v="2"/>
    <x v="2"/>
    <n v="30"/>
    <s v="Sep"/>
    <n v="1985"/>
    <d v="1985-09-30T00:00:00"/>
    <n v="46113.51"/>
    <s v="tier - 2"/>
    <s v="tier - 3"/>
    <s v="R1011"/>
    <n v="41"/>
    <n v="20.399999999999999"/>
  </r>
  <r>
    <x v="2310"/>
    <s v="Keys,"/>
    <n v="25.19"/>
    <x v="407"/>
    <s v="Yes"/>
    <x v="0"/>
    <x v="0"/>
    <x v="0"/>
    <x v="1"/>
    <x v="1"/>
    <x v="2"/>
    <n v="4"/>
    <s v="Dec"/>
    <n v="1962"/>
    <d v="1962-12-04T00:00:00"/>
    <n v="46130.53"/>
    <s v="tier - 1"/>
    <s v="tier - 1"/>
    <s v="R1012"/>
    <n v="64"/>
    <n v="25.19"/>
  </r>
  <r>
    <x v="2311"/>
    <s v="Wilbur,"/>
    <n v="20.54"/>
    <x v="267"/>
    <s v="Yes"/>
    <x v="0"/>
    <x v="0"/>
    <x v="1"/>
    <x v="1"/>
    <x v="2"/>
    <x v="2"/>
    <n v="2"/>
    <s v="Dec"/>
    <n v="1976"/>
    <d v="1976-12-02T00:00:00"/>
    <n v="46151.12"/>
    <s v="tier - 1"/>
    <s v="tier - 3"/>
    <s v="R1013"/>
    <n v="50"/>
    <n v="20.54"/>
  </r>
  <r>
    <x v="2312"/>
    <s v="Ditota,"/>
    <n v="20.13"/>
    <x v="140"/>
    <s v="No"/>
    <x v="0"/>
    <x v="0"/>
    <x v="0"/>
    <x v="1"/>
    <x v="2"/>
    <x v="2"/>
    <n v="17"/>
    <s v="Aug"/>
    <n v="1978"/>
    <d v="1978-08-17T00:00:00"/>
    <n v="46200.99"/>
    <s v="tier - 1"/>
    <s v="tier - 1"/>
    <s v="R1013"/>
    <n v="48"/>
    <n v="20.13"/>
  </r>
  <r>
    <x v="2313"/>
    <s v="Horbol,"/>
    <n v="18.93"/>
    <x v="184"/>
    <s v="No"/>
    <x v="0"/>
    <x v="1"/>
    <x v="1"/>
    <x v="1"/>
    <x v="2"/>
    <x v="1"/>
    <n v="6"/>
    <s v="Dec"/>
    <n v="1971"/>
    <d v="1971-12-06T00:00:00"/>
    <n v="46255.11"/>
    <s v="tier - 1"/>
    <s v="tier - 3"/>
    <s v="R1024"/>
    <n v="55"/>
    <n v="18.93"/>
  </r>
  <r>
    <x v="2314"/>
    <s v="O'Rourke,"/>
    <n v="24.14"/>
    <x v="318"/>
    <s v="No"/>
    <x v="1"/>
    <x v="0"/>
    <x v="1"/>
    <x v="1"/>
    <x v="2"/>
    <x v="2"/>
    <n v="8"/>
    <s v="Aug"/>
    <n v="1961"/>
    <d v="1961-08-08T00:00:00"/>
    <n v="46599.11"/>
    <s v="tier - 1"/>
    <s v="tier - 1"/>
    <s v="R1013"/>
    <n v="65"/>
    <n v="24.14"/>
  </r>
  <r>
    <x v="2315"/>
    <s v="Williams,"/>
    <n v="25.03"/>
    <x v="119"/>
    <s v="No"/>
    <x v="1"/>
    <x v="0"/>
    <x v="1"/>
    <x v="1"/>
    <x v="1"/>
    <x v="1"/>
    <n v="23"/>
    <s v="Jun"/>
    <n v="1969"/>
    <d v="1969-06-23T00:00:00"/>
    <n v="46661.440000000002"/>
    <s v="tier - 1"/>
    <s v="tier - 3"/>
    <s v="R1012"/>
    <n v="57"/>
    <n v="25.03"/>
  </r>
  <r>
    <x v="2316"/>
    <s v="Murakami,"/>
    <n v="20.47"/>
    <x v="335"/>
    <s v="Yes"/>
    <x v="0"/>
    <x v="0"/>
    <x v="1"/>
    <x v="1"/>
    <x v="2"/>
    <x v="1"/>
    <n v="17"/>
    <s v="Nov"/>
    <n v="1960"/>
    <d v="1960-11-17T00:00:00"/>
    <n v="46718.16"/>
    <s v="tier - 1"/>
    <s v="tier - 1"/>
    <s v="R1012"/>
    <n v="66"/>
    <n v="20.47"/>
  </r>
  <r>
    <x v="2317"/>
    <s v="Gagnon,"/>
    <n v="18.82"/>
    <x v="49"/>
    <s v="Yes"/>
    <x v="0"/>
    <x v="0"/>
    <x v="0"/>
    <x v="1"/>
    <x v="2"/>
    <x v="2"/>
    <n v="15"/>
    <s v="Sep"/>
    <n v="1958"/>
    <d v="1958-09-15T00:00:00"/>
    <n v="46889.26"/>
    <s v="tier - 2"/>
    <s v="tier - 3"/>
    <s v="R1013"/>
    <n v="68"/>
    <n v="18.82"/>
  </r>
  <r>
    <x v="2318"/>
    <s v="Petermann,"/>
    <n v="17.079999999999998"/>
    <x v="208"/>
    <s v="No"/>
    <x v="0"/>
    <x v="1"/>
    <x v="1"/>
    <x v="1"/>
    <x v="3"/>
    <x v="1"/>
    <n v="14"/>
    <s v="Jul"/>
    <n v="1959"/>
    <d v="1959-07-14T00:00:00"/>
    <n v="47055.53"/>
    <s v="tier - 2"/>
    <s v="tier - 1"/>
    <s v="R1013"/>
    <n v="67"/>
    <n v="17.079999999999998"/>
  </r>
  <r>
    <x v="2319"/>
    <s v="Graves"/>
    <n v="19.21"/>
    <x v="102"/>
    <s v="Yes"/>
    <x v="0"/>
    <x v="0"/>
    <x v="0"/>
    <x v="1"/>
    <x v="2"/>
    <x v="2"/>
    <n v="28"/>
    <s v="Dec"/>
    <n v="1970"/>
    <d v="1970-12-28T00:00:00"/>
    <n v="47269.85"/>
    <s v="tier - 1"/>
    <s v="tier - 2"/>
    <s v="R1013"/>
    <n v="56"/>
    <n v="19.21"/>
  </r>
  <r>
    <x v="2320"/>
    <s v="Danielson,"/>
    <n v="17.86"/>
    <x v="506"/>
    <s v="No"/>
    <x v="0"/>
    <x v="1"/>
    <x v="1"/>
    <x v="1"/>
    <x v="3"/>
    <x v="2"/>
    <n v="3"/>
    <s v="Sep"/>
    <n v="1958"/>
    <d v="1958-09-03T00:00:00"/>
    <n v="47291.06"/>
    <s v="tier - 2"/>
    <s v="tier - 1"/>
    <s v="R1011"/>
    <n v="68"/>
    <n v="17.86"/>
  </r>
  <r>
    <x v="2321"/>
    <s v="Street,"/>
    <n v="21.38"/>
    <x v="126"/>
    <s v="No"/>
    <x v="0"/>
    <x v="0"/>
    <x v="0"/>
    <x v="1"/>
    <x v="2"/>
    <x v="0"/>
    <n v="4"/>
    <s v="Oct"/>
    <n v="1959"/>
    <d v="1959-10-04T00:00:00"/>
    <n v="47305.31"/>
    <s v="tier - 2"/>
    <s v="tier - 1"/>
    <s v="R1011"/>
    <n v="67"/>
    <n v="21.38"/>
  </r>
  <r>
    <x v="2322"/>
    <s v="Buss,"/>
    <n v="23.35"/>
    <x v="423"/>
    <s v="No"/>
    <x v="0"/>
    <x v="0"/>
    <x v="0"/>
    <x v="1"/>
    <x v="2"/>
    <x v="1"/>
    <n v="13"/>
    <s v="Jun"/>
    <n v="1961"/>
    <d v="1961-06-13T00:00:00"/>
    <n v="47403.88"/>
    <s v="tier - 1"/>
    <s v="tier - 3"/>
    <s v="R1011"/>
    <n v="65"/>
    <n v="23.35"/>
  </r>
  <r>
    <x v="2323"/>
    <s v="Duffy,"/>
    <n v="22.24"/>
    <x v="264"/>
    <s v="No"/>
    <x v="0"/>
    <x v="0"/>
    <x v="0"/>
    <x v="1"/>
    <x v="2"/>
    <x v="2"/>
    <n v="27"/>
    <s v="Sep"/>
    <n v="1971"/>
    <d v="1971-09-27T00:00:00"/>
    <n v="47462.89"/>
    <s v="tier - 1"/>
    <s v="tier - 2"/>
    <s v="R1013"/>
    <n v="55"/>
    <n v="22.24"/>
  </r>
  <r>
    <x v="2324"/>
    <s v="Hines,"/>
    <n v="24.76"/>
    <x v="117"/>
    <s v="Yes"/>
    <x v="0"/>
    <x v="0"/>
    <x v="0"/>
    <x v="1"/>
    <x v="2"/>
    <x v="2"/>
    <n v="7"/>
    <s v="Nov"/>
    <n v="1964"/>
    <d v="1964-11-07T00:00:00"/>
    <n v="47496.49"/>
    <s v="tier - 1"/>
    <s v="tier - 3"/>
    <s v="R1012"/>
    <n v="62"/>
    <n v="24.76"/>
  </r>
  <r>
    <x v="2325"/>
    <s v="Castro,"/>
    <n v="20.100000000000001"/>
    <x v="372"/>
    <s v="Yes"/>
    <x v="0"/>
    <x v="1"/>
    <x v="1"/>
    <x v="1"/>
    <x v="2"/>
    <x v="2"/>
    <n v="5"/>
    <s v="Aug"/>
    <n v="1963"/>
    <d v="1963-08-05T00:00:00"/>
    <n v="47896.79"/>
    <s v="tier - 1"/>
    <s v="tier - 3"/>
    <s v="R1024"/>
    <n v="63"/>
    <n v="20.100000000000001"/>
  </r>
  <r>
    <x v="2326"/>
    <s v="Howell,"/>
    <n v="21.77"/>
    <x v="156"/>
    <s v="No"/>
    <x v="0"/>
    <x v="0"/>
    <x v="0"/>
    <x v="1"/>
    <x v="2"/>
    <x v="0"/>
    <n v="16"/>
    <s v="Nov"/>
    <n v="1958"/>
    <d v="1958-11-16T00:00:00"/>
    <n v="47928.03"/>
    <s v="tier - 2"/>
    <s v="tier - 3"/>
    <s v="R1011"/>
    <n v="68"/>
    <n v="21.77"/>
  </r>
  <r>
    <x v="2327"/>
    <s v="Avery,"/>
    <n v="17.82"/>
    <x v="273"/>
    <s v="Yes"/>
    <x v="0"/>
    <x v="0"/>
    <x v="1"/>
    <x v="1"/>
    <x v="3"/>
    <x v="2"/>
    <n v="27"/>
    <s v="Aug"/>
    <n v="1962"/>
    <d v="1962-08-27T00:00:00"/>
    <n v="48173.36"/>
    <s v="tier - 1"/>
    <s v="tier - 3"/>
    <s v="R1011"/>
    <n v="64"/>
    <n v="17.82"/>
  </r>
  <r>
    <x v="2328"/>
    <s v="Bohinski,"/>
    <n v="17.07"/>
    <x v="151"/>
    <s v="No"/>
    <x v="0"/>
    <x v="1"/>
    <x v="1"/>
    <x v="1"/>
    <x v="3"/>
    <x v="2"/>
    <n v="21"/>
    <s v="Dec"/>
    <n v="1961"/>
    <d v="1961-12-21T00:00:00"/>
    <n v="48517.56"/>
    <s v="tier - 1"/>
    <s v="tier - 3"/>
    <s v="R1024"/>
    <n v="65"/>
    <n v="17.07"/>
  </r>
  <r>
    <x v="2329"/>
    <s v="Kohls,"/>
    <n v="22.24"/>
    <x v="144"/>
    <s v="Yes"/>
    <x v="0"/>
    <x v="0"/>
    <x v="0"/>
    <x v="1"/>
    <x v="2"/>
    <x v="2"/>
    <n v="1"/>
    <s v="Dec"/>
    <n v="1968"/>
    <d v="1968-12-01T00:00:00"/>
    <n v="48549.18"/>
    <s v="tier - 1"/>
    <s v="tier - 3"/>
    <s v="R1016"/>
    <n v="58"/>
    <n v="22.24"/>
  </r>
  <r>
    <x v="2330"/>
    <s v="Brietzke,"/>
    <n v="22.34"/>
    <x v="252"/>
    <s v="No"/>
    <x v="0"/>
    <x v="0"/>
    <x v="1"/>
    <x v="1"/>
    <x v="2"/>
    <x v="2"/>
    <n v="11"/>
    <s v="Oct"/>
    <n v="1962"/>
    <d v="1962-10-11T00:00:00"/>
    <n v="48673.56"/>
    <s v="tier - 1"/>
    <s v="tier - 2"/>
    <s v="R1013"/>
    <n v="64"/>
    <n v="22.34"/>
  </r>
  <r>
    <x v="2331"/>
    <s v="Riveros"/>
    <n v="17.7"/>
    <x v="287"/>
    <s v="No"/>
    <x v="0"/>
    <x v="0"/>
    <x v="1"/>
    <x v="1"/>
    <x v="3"/>
    <x v="1"/>
    <n v="27"/>
    <s v="Oct"/>
    <n v="1965"/>
    <d v="1965-10-27T00:00:00"/>
    <n v="48675.519999999997"/>
    <s v="tier - 1"/>
    <s v="tier - 2"/>
    <s v="R1013"/>
    <n v="61"/>
    <n v="17.7"/>
  </r>
  <r>
    <x v="2332"/>
    <s v="Albano,"/>
    <n v="16.47"/>
    <x v="347"/>
    <s v="No"/>
    <x v="0"/>
    <x v="1"/>
    <x v="1"/>
    <x v="1"/>
    <x v="3"/>
    <x v="1"/>
    <n v="22"/>
    <s v="Jul"/>
    <n v="1959"/>
    <d v="1959-07-22T00:00:00"/>
    <n v="48824.45"/>
    <s v="tier - 2"/>
    <s v="tier - 1"/>
    <s v="R1011"/>
    <n v="67"/>
    <n v="16.47"/>
  </r>
  <r>
    <x v="2333"/>
    <s v="Rosendahl,"/>
    <n v="17.600000000000001"/>
    <x v="493"/>
    <s v="No"/>
    <x v="0"/>
    <x v="0"/>
    <x v="1"/>
    <x v="1"/>
    <x v="3"/>
    <x v="2"/>
    <n v="29"/>
    <s v="Dec"/>
    <n v="1978"/>
    <d v="1978-12-29T00:00:00"/>
    <n v="48885.14"/>
    <s v="tier - 1"/>
    <s v="tier - 2"/>
    <s v="R1013"/>
    <n v="48"/>
    <n v="17.600000000000001"/>
  </r>
  <r>
    <x v="2334"/>
    <s v="German,"/>
    <n v="17.579999999999998"/>
    <x v="521"/>
    <s v="No"/>
    <x v="0"/>
    <x v="0"/>
    <x v="1"/>
    <x v="1"/>
    <x v="3"/>
    <x v="2"/>
    <n v="4"/>
    <s v="Sep"/>
    <n v="1963"/>
    <d v="1963-09-04T00:00:00"/>
    <n v="48970.25"/>
    <s v="tier - 1"/>
    <s v="tier - 2"/>
    <s v="R1013"/>
    <n v="63"/>
    <n v="17.57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CEAA8-C670-4DA7-8A47-3C65CE3ACA2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G12" firstHeaderRow="1" firstDataRow="3" firstDataCol="1"/>
  <pivotFields count="21">
    <pivotField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axis="axisRow" dataField="1" showAll="0">
      <items count="664">
        <item x="138"/>
        <item x="93"/>
        <item x="79"/>
        <item x="298"/>
        <item x="456"/>
        <item x="81"/>
        <item x="212"/>
        <item x="336"/>
        <item x="197"/>
        <item x="275"/>
        <item x="92"/>
        <item x="198"/>
        <item x="350"/>
        <item x="417"/>
        <item x="324"/>
        <item x="243"/>
        <item x="547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2"/>
        <item x="536"/>
        <item x="279"/>
        <item x="83"/>
        <item x="261"/>
        <item x="67"/>
        <item x="161"/>
        <item x="24"/>
        <item x="493"/>
        <item x="171"/>
        <item x="498"/>
        <item x="611"/>
        <item x="46"/>
        <item x="320"/>
        <item x="150"/>
        <item x="135"/>
        <item x="47"/>
        <item x="337"/>
        <item x="325"/>
        <item x="146"/>
        <item x="521"/>
        <item x="193"/>
        <item x="165"/>
        <item x="117"/>
        <item x="188"/>
        <item x="176"/>
        <item x="90"/>
        <item x="253"/>
        <item x="658"/>
        <item x="192"/>
        <item x="152"/>
        <item x="471"/>
        <item x="366"/>
        <item x="202"/>
        <item x="346"/>
        <item x="495"/>
        <item x="145"/>
        <item x="82"/>
        <item x="164"/>
        <item x="574"/>
        <item x="378"/>
        <item x="18"/>
        <item x="374"/>
        <item x="433"/>
        <item x="503"/>
        <item x="70"/>
        <item x="370"/>
        <item x="226"/>
        <item x="270"/>
        <item x="373"/>
        <item x="357"/>
        <item x="48"/>
        <item x="249"/>
        <item x="95"/>
        <item x="239"/>
        <item x="319"/>
        <item x="189"/>
        <item x="315"/>
        <item x="143"/>
        <item x="166"/>
        <item x="468"/>
        <item x="328"/>
        <item x="327"/>
        <item x="527"/>
        <item x="434"/>
        <item x="98"/>
        <item x="480"/>
        <item x="244"/>
        <item x="115"/>
        <item x="170"/>
        <item x="339"/>
        <item x="52"/>
        <item x="264"/>
        <item x="203"/>
        <item x="386"/>
        <item x="103"/>
        <item x="31"/>
        <item x="111"/>
        <item x="199"/>
        <item x="78"/>
        <item x="89"/>
        <item x="272"/>
        <item x="39"/>
        <item x="613"/>
        <item x="360"/>
        <item x="584"/>
        <item x="107"/>
        <item x="27"/>
        <item x="112"/>
        <item x="127"/>
        <item x="151"/>
        <item x="182"/>
        <item x="219"/>
        <item x="174"/>
        <item x="273"/>
        <item x="173"/>
        <item x="124"/>
        <item x="318"/>
        <item x="351"/>
        <item x="389"/>
        <item x="134"/>
        <item x="196"/>
        <item x="45"/>
        <item x="352"/>
        <item x="331"/>
        <item x="191"/>
        <item x="623"/>
        <item x="125"/>
        <item x="66"/>
        <item x="86"/>
        <item x="140"/>
        <item x="506"/>
        <item x="573"/>
        <item x="4"/>
        <item x="338"/>
        <item x="323"/>
        <item x="233"/>
        <item x="206"/>
        <item x="334"/>
        <item x="49"/>
        <item x="314"/>
        <item x="102"/>
        <item x="538"/>
        <item x="122"/>
        <item x="209"/>
        <item x="252"/>
        <item x="224"/>
        <item x="448"/>
        <item x="372"/>
        <item x="513"/>
        <item x="133"/>
        <item x="505"/>
        <item x="407"/>
        <item x="120"/>
        <item x="582"/>
        <item x="215"/>
        <item x="251"/>
        <item x="362"/>
        <item x="155"/>
        <item x="268"/>
        <item x="186"/>
        <item x="208"/>
        <item x="299"/>
        <item x="56"/>
        <item x="136"/>
        <item x="1"/>
        <item x="123"/>
        <item x="425"/>
        <item x="329"/>
        <item x="335"/>
        <item x="99"/>
        <item x="333"/>
        <item x="85"/>
        <item x="558"/>
        <item x="236"/>
        <item x="231"/>
        <item x="169"/>
        <item x="256"/>
        <item x="229"/>
        <item x="119"/>
        <item x="560"/>
        <item x="620"/>
        <item x="423"/>
        <item x="33"/>
        <item x="10"/>
        <item x="410"/>
        <item x="213"/>
        <item x="74"/>
        <item x="214"/>
        <item x="216"/>
        <item x="100"/>
        <item x="60"/>
        <item x="3"/>
        <item x="87"/>
        <item x="6"/>
        <item x="633"/>
        <item x="34"/>
        <item x="148"/>
        <item x="184"/>
        <item x="65"/>
        <item x="296"/>
        <item x="105"/>
        <item x="259"/>
        <item x="631"/>
        <item x="330"/>
        <item x="194"/>
        <item x="364"/>
        <item x="58"/>
        <item x="200"/>
        <item x="21"/>
        <item x="195"/>
        <item x="149"/>
        <item x="178"/>
        <item x="106"/>
        <item x="128"/>
        <item x="287"/>
        <item x="109"/>
        <item x="559"/>
        <item x="476"/>
        <item x="147"/>
        <item x="300"/>
        <item x="347"/>
        <item x="340"/>
        <item x="240"/>
        <item x="245"/>
        <item x="313"/>
        <item x="551"/>
        <item x="648"/>
        <item x="654"/>
        <item x="639"/>
        <item x="586"/>
        <item x="645"/>
        <item x="344"/>
        <item x="276"/>
        <item x="647"/>
        <item x="363"/>
        <item x="38"/>
        <item x="590"/>
        <item x="597"/>
        <item x="424"/>
        <item x="426"/>
        <item x="5"/>
        <item x="414"/>
        <item x="635"/>
        <item x="449"/>
        <item x="483"/>
        <item x="76"/>
        <item x="405"/>
        <item x="608"/>
        <item x="379"/>
        <item x="394"/>
        <item x="377"/>
        <item x="28"/>
        <item x="157"/>
        <item x="132"/>
        <item x="646"/>
        <item x="421"/>
        <item x="552"/>
        <item x="596"/>
        <item x="371"/>
        <item x="181"/>
        <item x="308"/>
        <item x="32"/>
        <item x="343"/>
        <item x="629"/>
        <item x="450"/>
        <item x="650"/>
        <item x="94"/>
        <item x="619"/>
        <item x="455"/>
        <item x="557"/>
        <item x="293"/>
        <item x="42"/>
        <item x="528"/>
        <item x="25"/>
        <item x="13"/>
        <item x="354"/>
        <item x="604"/>
        <item x="309"/>
        <item x="438"/>
        <item x="652"/>
        <item x="390"/>
        <item x="435"/>
        <item x="322"/>
        <item x="385"/>
        <item x="461"/>
        <item x="525"/>
        <item x="470"/>
        <item x="160"/>
        <item x="508"/>
        <item x="278"/>
        <item x="17"/>
        <item x="375"/>
        <item x="342"/>
        <item x="179"/>
        <item x="522"/>
        <item x="575"/>
        <item x="36"/>
        <item x="284"/>
        <item x="562"/>
        <item x="532"/>
        <item x="511"/>
        <item x="554"/>
        <item x="258"/>
        <item x="0"/>
        <item x="486"/>
        <item x="446"/>
        <item x="614"/>
        <item x="473"/>
        <item x="543"/>
        <item x="121"/>
        <item x="546"/>
        <item x="598"/>
        <item x="481"/>
        <item x="14"/>
        <item x="516"/>
        <item x="593"/>
        <item x="577"/>
        <item x="280"/>
        <item x="368"/>
        <item x="223"/>
        <item x="16"/>
        <item x="472"/>
        <item x="467"/>
        <item x="365"/>
        <item x="55"/>
        <item x="579"/>
        <item x="514"/>
        <item x="387"/>
        <item x="230"/>
        <item x="603"/>
        <item x="567"/>
        <item x="488"/>
        <item x="555"/>
        <item x="235"/>
        <item x="591"/>
        <item x="440"/>
        <item x="23"/>
        <item x="510"/>
        <item x="485"/>
        <item x="7"/>
        <item x="566"/>
        <item x="544"/>
        <item x="71"/>
        <item x="599"/>
        <item x="585"/>
        <item x="126"/>
        <item x="524"/>
        <item x="422"/>
        <item x="430"/>
        <item x="474"/>
        <item x="358"/>
        <item x="321"/>
        <item x="413"/>
        <item x="581"/>
        <item x="478"/>
        <item x="428"/>
        <item x="592"/>
        <item x="222"/>
        <item x="605"/>
        <item x="463"/>
        <item x="606"/>
        <item x="210"/>
        <item x="294"/>
        <item x="477"/>
        <item x="295"/>
        <item x="612"/>
        <item x="376"/>
        <item x="583"/>
        <item x="526"/>
        <item x="205"/>
        <item x="507"/>
        <item x="43"/>
        <item x="341"/>
        <item x="353"/>
        <item x="651"/>
        <item x="12"/>
        <item x="638"/>
        <item x="29"/>
        <item x="113"/>
        <item x="662"/>
        <item x="266"/>
        <item x="454"/>
        <item x="44"/>
        <item x="517"/>
        <item x="348"/>
        <item x="622"/>
        <item x="637"/>
        <item x="311"/>
        <item x="595"/>
        <item x="563"/>
        <item x="349"/>
        <item x="459"/>
        <item x="632"/>
        <item x="445"/>
        <item x="263"/>
        <item x="262"/>
        <item x="64"/>
        <item x="402"/>
        <item x="234"/>
        <item x="30"/>
        <item x="177"/>
        <item x="406"/>
        <item x="355"/>
        <item x="545"/>
        <item x="97"/>
        <item x="63"/>
        <item x="484"/>
        <item x="163"/>
        <item x="265"/>
        <item x="600"/>
        <item x="571"/>
        <item x="285"/>
        <item x="539"/>
        <item x="142"/>
        <item x="281"/>
        <item x="636"/>
        <item x="649"/>
        <item x="475"/>
        <item x="254"/>
        <item x="429"/>
        <item x="211"/>
        <item x="274"/>
        <item x="289"/>
        <item x="442"/>
        <item x="269"/>
        <item x="232"/>
        <item x="499"/>
        <item x="436"/>
        <item x="400"/>
        <item x="607"/>
        <item x="403"/>
        <item x="399"/>
        <item x="520"/>
        <item x="460"/>
        <item x="77"/>
        <item x="621"/>
        <item x="447"/>
        <item x="569"/>
        <item x="458"/>
        <item x="642"/>
        <item x="158"/>
        <item x="101"/>
        <item x="565"/>
        <item x="504"/>
        <item x="626"/>
        <item x="388"/>
        <item x="61"/>
        <item x="51"/>
        <item x="356"/>
        <item x="462"/>
        <item x="108"/>
        <item x="190"/>
        <item x="660"/>
        <item x="305"/>
        <item x="401"/>
        <item x="301"/>
        <item x="553"/>
        <item x="657"/>
        <item x="291"/>
        <item x="118"/>
        <item x="303"/>
        <item x="201"/>
        <item x="114"/>
        <item x="609"/>
        <item x="409"/>
        <item x="8"/>
        <item x="397"/>
        <item x="326"/>
        <item x="628"/>
        <item x="383"/>
        <item x="572"/>
        <item x="501"/>
        <item x="381"/>
        <item x="183"/>
        <item x="247"/>
        <item x="625"/>
        <item x="317"/>
        <item x="68"/>
        <item x="91"/>
        <item x="659"/>
        <item x="549"/>
        <item x="241"/>
        <item x="418"/>
        <item x="568"/>
        <item x="260"/>
        <item x="500"/>
        <item x="512"/>
        <item x="207"/>
        <item x="416"/>
        <item x="630"/>
        <item x="564"/>
        <item x="359"/>
        <item x="529"/>
        <item x="641"/>
        <item x="561"/>
        <item x="492"/>
        <item x="153"/>
        <item x="220"/>
        <item x="615"/>
        <item x="479"/>
        <item x="369"/>
        <item x="415"/>
        <item x="306"/>
        <item x="556"/>
        <item x="578"/>
        <item x="540"/>
        <item x="391"/>
        <item x="246"/>
        <item x="457"/>
        <item x="588"/>
        <item x="248"/>
        <item x="172"/>
        <item x="432"/>
        <item x="411"/>
        <item x="530"/>
        <item x="661"/>
        <item x="408"/>
        <item x="204"/>
        <item x="392"/>
        <item x="580"/>
        <item x="345"/>
        <item x="361"/>
        <item x="444"/>
        <item x="283"/>
        <item x="297"/>
        <item x="441"/>
        <item x="412"/>
        <item x="312"/>
        <item x="84"/>
        <item x="130"/>
        <item x="316"/>
        <item x="116"/>
        <item x="110"/>
        <item x="523"/>
        <item x="509"/>
        <item x="487"/>
        <item x="617"/>
        <item x="225"/>
        <item x="59"/>
        <item x="490"/>
        <item x="257"/>
        <item x="624"/>
        <item x="156"/>
        <item x="601"/>
        <item x="491"/>
        <item x="550"/>
        <item x="129"/>
        <item x="535"/>
        <item x="602"/>
        <item x="384"/>
        <item x="9"/>
        <item x="469"/>
        <item x="589"/>
        <item x="137"/>
        <item x="533"/>
        <item x="292"/>
        <item x="218"/>
        <item x="250"/>
        <item x="50"/>
        <item x="332"/>
        <item x="72"/>
        <item x="185"/>
        <item x="398"/>
        <item x="286"/>
        <item x="221"/>
        <item x="453"/>
        <item x="380"/>
        <item x="482"/>
        <item x="420"/>
        <item x="653"/>
        <item x="302"/>
        <item x="570"/>
        <item x="53"/>
        <item x="576"/>
        <item x="443"/>
        <item x="419"/>
        <item x="304"/>
        <item x="502"/>
        <item x="496"/>
        <item x="175"/>
        <item x="288"/>
        <item x="656"/>
        <item x="104"/>
        <item x="587"/>
        <item x="217"/>
        <item x="531"/>
        <item x="489"/>
        <item x="518"/>
        <item x="452"/>
        <item x="404"/>
        <item x="519"/>
        <item x="290"/>
        <item x="15"/>
        <item x="466"/>
        <item x="168"/>
        <item x="439"/>
        <item x="542"/>
        <item x="431"/>
        <item x="22"/>
        <item x="271"/>
        <item x="154"/>
        <item x="19"/>
        <item x="548"/>
        <item x="367"/>
        <item x="610"/>
        <item x="465"/>
        <item x="62"/>
        <item x="643"/>
        <item x="515"/>
        <item x="20"/>
        <item x="73"/>
        <item x="451"/>
        <item x="227"/>
        <item x="162"/>
        <item x="75"/>
        <item x="616"/>
        <item x="427"/>
        <item x="655"/>
        <item x="627"/>
        <item x="310"/>
        <item x="277"/>
        <item x="41"/>
        <item x="644"/>
        <item x="307"/>
        <item x="640"/>
        <item x="634"/>
        <item x="255"/>
        <item x="35"/>
        <item x="437"/>
        <item x="382"/>
        <item x="242"/>
        <item x="534"/>
        <item x="131"/>
        <item x="187"/>
        <item x="494"/>
        <item x="541"/>
        <item x="464"/>
        <item x="2"/>
        <item x="26"/>
        <item x="57"/>
        <item x="11"/>
        <item x="37"/>
        <item x="395"/>
        <item x="396"/>
        <item x="537"/>
        <item x="54"/>
        <item x="497"/>
        <item x="393"/>
        <item x="618"/>
        <item x="238"/>
        <item x="594"/>
        <item x="9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axis="axisRow" showAll="0">
      <items count="3"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</pivotFields>
  <rowFields count="3">
    <field x="5"/>
    <field x="8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HBA1C" fld="3" subtotal="average" baseField="5" baseItem="0"/>
    <dataField name="Sum of NumberOfMajorSurgeries" fld="7" baseField="5" baseItem="0"/>
  </dataFields>
  <chartFormats count="24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24">
      <pivotArea type="data" outline="0" fieldPosition="0">
        <references count="4">
          <reference field="429496729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25">
      <pivotArea type="data" outline="0" fieldPosition="0">
        <references count="4">
          <reference field="429496729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26">
      <pivotArea type="data" outline="0" fieldPosition="0">
        <references count="4">
          <reference field="429496729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27">
      <pivotArea type="data" outline="0" fieldPosition="0">
        <references count="4">
          <reference field="429496729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44">
      <pivotArea type="data" outline="0" fieldPosition="0">
        <references count="4">
          <reference field="429496729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45">
      <pivotArea type="data" outline="0" fieldPosition="0">
        <references count="4">
          <reference field="429496729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46">
      <pivotArea type="data" outline="0" fieldPosition="0">
        <references count="4">
          <reference field="429496729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47">
      <pivotArea type="data" outline="0" fieldPosition="0">
        <references count="4">
          <reference field="429496729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35" format="12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05077-C4FA-4C90-80D9-D17059FE982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M8" firstHeaderRow="1" firstDataRow="3" firstDataCol="1"/>
  <pivotFields count="21">
    <pivotField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dataField="1" showAll="0">
      <items count="664">
        <item x="138"/>
        <item x="93"/>
        <item x="79"/>
        <item x="298"/>
        <item x="456"/>
        <item x="81"/>
        <item x="212"/>
        <item x="336"/>
        <item x="197"/>
        <item x="275"/>
        <item x="92"/>
        <item x="198"/>
        <item x="350"/>
        <item x="417"/>
        <item x="324"/>
        <item x="243"/>
        <item x="547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2"/>
        <item x="536"/>
        <item x="279"/>
        <item x="83"/>
        <item x="261"/>
        <item x="67"/>
        <item x="161"/>
        <item x="24"/>
        <item x="493"/>
        <item x="171"/>
        <item x="498"/>
        <item x="611"/>
        <item x="46"/>
        <item x="320"/>
        <item x="150"/>
        <item x="135"/>
        <item x="47"/>
        <item x="337"/>
        <item x="325"/>
        <item x="146"/>
        <item x="521"/>
        <item x="193"/>
        <item x="165"/>
        <item x="117"/>
        <item x="188"/>
        <item x="176"/>
        <item x="90"/>
        <item x="253"/>
        <item x="658"/>
        <item x="192"/>
        <item x="152"/>
        <item x="471"/>
        <item x="366"/>
        <item x="202"/>
        <item x="346"/>
        <item x="495"/>
        <item x="145"/>
        <item x="82"/>
        <item x="164"/>
        <item x="574"/>
        <item x="378"/>
        <item x="18"/>
        <item x="374"/>
        <item x="433"/>
        <item x="503"/>
        <item x="70"/>
        <item x="370"/>
        <item x="226"/>
        <item x="270"/>
        <item x="373"/>
        <item x="357"/>
        <item x="48"/>
        <item x="249"/>
        <item x="95"/>
        <item x="239"/>
        <item x="319"/>
        <item x="189"/>
        <item x="315"/>
        <item x="143"/>
        <item x="166"/>
        <item x="468"/>
        <item x="328"/>
        <item x="327"/>
        <item x="527"/>
        <item x="434"/>
        <item x="98"/>
        <item x="480"/>
        <item x="244"/>
        <item x="115"/>
        <item x="170"/>
        <item x="339"/>
        <item x="52"/>
        <item x="264"/>
        <item x="203"/>
        <item x="386"/>
        <item x="103"/>
        <item x="31"/>
        <item x="111"/>
        <item x="199"/>
        <item x="78"/>
        <item x="89"/>
        <item x="272"/>
        <item x="39"/>
        <item x="613"/>
        <item x="360"/>
        <item x="584"/>
        <item x="107"/>
        <item x="27"/>
        <item x="112"/>
        <item x="127"/>
        <item x="151"/>
        <item x="182"/>
        <item x="219"/>
        <item x="174"/>
        <item x="273"/>
        <item x="173"/>
        <item x="124"/>
        <item x="318"/>
        <item x="351"/>
        <item x="389"/>
        <item x="134"/>
        <item x="196"/>
        <item x="45"/>
        <item x="352"/>
        <item x="331"/>
        <item x="191"/>
        <item x="623"/>
        <item x="125"/>
        <item x="66"/>
        <item x="86"/>
        <item x="140"/>
        <item x="506"/>
        <item x="573"/>
        <item x="4"/>
        <item x="338"/>
        <item x="323"/>
        <item x="233"/>
        <item x="206"/>
        <item x="334"/>
        <item x="49"/>
        <item x="314"/>
        <item x="102"/>
        <item x="538"/>
        <item x="122"/>
        <item x="209"/>
        <item x="252"/>
        <item x="224"/>
        <item x="448"/>
        <item x="372"/>
        <item x="513"/>
        <item x="133"/>
        <item x="505"/>
        <item x="407"/>
        <item x="120"/>
        <item x="582"/>
        <item x="215"/>
        <item x="251"/>
        <item x="362"/>
        <item x="155"/>
        <item x="268"/>
        <item x="186"/>
        <item x="208"/>
        <item x="299"/>
        <item x="56"/>
        <item x="136"/>
        <item x="1"/>
        <item x="123"/>
        <item x="425"/>
        <item x="329"/>
        <item x="335"/>
        <item x="99"/>
        <item x="333"/>
        <item x="85"/>
        <item x="558"/>
        <item x="236"/>
        <item x="231"/>
        <item x="169"/>
        <item x="256"/>
        <item x="229"/>
        <item x="119"/>
        <item x="560"/>
        <item x="620"/>
        <item x="423"/>
        <item x="33"/>
        <item x="10"/>
        <item x="410"/>
        <item x="213"/>
        <item x="74"/>
        <item x="214"/>
        <item x="216"/>
        <item x="100"/>
        <item x="60"/>
        <item x="3"/>
        <item x="87"/>
        <item x="6"/>
        <item x="633"/>
        <item x="34"/>
        <item x="148"/>
        <item x="184"/>
        <item x="65"/>
        <item x="296"/>
        <item x="105"/>
        <item x="259"/>
        <item x="631"/>
        <item x="330"/>
        <item x="194"/>
        <item x="364"/>
        <item x="58"/>
        <item x="200"/>
        <item x="21"/>
        <item x="195"/>
        <item x="149"/>
        <item x="178"/>
        <item x="106"/>
        <item x="128"/>
        <item x="287"/>
        <item x="109"/>
        <item x="559"/>
        <item x="476"/>
        <item x="147"/>
        <item x="300"/>
        <item x="347"/>
        <item x="340"/>
        <item x="240"/>
        <item x="245"/>
        <item x="313"/>
        <item x="551"/>
        <item x="648"/>
        <item x="654"/>
        <item x="639"/>
        <item x="586"/>
        <item x="645"/>
        <item x="344"/>
        <item x="276"/>
        <item x="647"/>
        <item x="363"/>
        <item x="38"/>
        <item x="590"/>
        <item x="597"/>
        <item x="424"/>
        <item x="426"/>
        <item x="5"/>
        <item x="414"/>
        <item x="635"/>
        <item x="449"/>
        <item x="483"/>
        <item x="76"/>
        <item x="405"/>
        <item x="608"/>
        <item x="379"/>
        <item x="394"/>
        <item x="377"/>
        <item x="28"/>
        <item x="157"/>
        <item x="132"/>
        <item x="646"/>
        <item x="421"/>
        <item x="552"/>
        <item x="596"/>
        <item x="371"/>
        <item x="181"/>
        <item x="308"/>
        <item x="32"/>
        <item x="343"/>
        <item x="629"/>
        <item x="450"/>
        <item x="650"/>
        <item x="94"/>
        <item x="619"/>
        <item x="455"/>
        <item x="557"/>
        <item x="293"/>
        <item x="42"/>
        <item x="528"/>
        <item x="25"/>
        <item x="13"/>
        <item x="354"/>
        <item x="604"/>
        <item x="309"/>
        <item x="438"/>
        <item x="652"/>
        <item x="390"/>
        <item x="435"/>
        <item x="322"/>
        <item x="385"/>
        <item x="461"/>
        <item x="525"/>
        <item x="470"/>
        <item x="160"/>
        <item x="508"/>
        <item x="278"/>
        <item x="17"/>
        <item x="375"/>
        <item x="342"/>
        <item x="179"/>
        <item x="522"/>
        <item x="575"/>
        <item x="36"/>
        <item x="284"/>
        <item x="562"/>
        <item x="532"/>
        <item x="511"/>
        <item x="554"/>
        <item x="258"/>
        <item x="0"/>
        <item x="486"/>
        <item x="446"/>
        <item x="614"/>
        <item x="473"/>
        <item x="543"/>
        <item x="121"/>
        <item x="546"/>
        <item x="598"/>
        <item x="481"/>
        <item x="14"/>
        <item x="516"/>
        <item x="593"/>
        <item x="577"/>
        <item x="280"/>
        <item x="368"/>
        <item x="223"/>
        <item x="16"/>
        <item x="472"/>
        <item x="467"/>
        <item x="365"/>
        <item x="55"/>
        <item x="579"/>
        <item x="514"/>
        <item x="387"/>
        <item x="230"/>
        <item x="603"/>
        <item x="567"/>
        <item x="488"/>
        <item x="555"/>
        <item x="235"/>
        <item x="591"/>
        <item x="440"/>
        <item x="23"/>
        <item x="510"/>
        <item x="485"/>
        <item x="7"/>
        <item x="566"/>
        <item x="544"/>
        <item x="71"/>
        <item x="599"/>
        <item x="585"/>
        <item x="126"/>
        <item x="524"/>
        <item x="422"/>
        <item x="430"/>
        <item x="474"/>
        <item x="358"/>
        <item x="321"/>
        <item x="413"/>
        <item x="581"/>
        <item x="478"/>
        <item x="428"/>
        <item x="592"/>
        <item x="222"/>
        <item x="605"/>
        <item x="463"/>
        <item x="606"/>
        <item x="210"/>
        <item x="294"/>
        <item x="477"/>
        <item x="295"/>
        <item x="612"/>
        <item x="376"/>
        <item x="583"/>
        <item x="526"/>
        <item x="205"/>
        <item x="507"/>
        <item x="43"/>
        <item x="341"/>
        <item x="353"/>
        <item x="651"/>
        <item x="12"/>
        <item x="638"/>
        <item x="29"/>
        <item x="113"/>
        <item x="662"/>
        <item x="266"/>
        <item x="454"/>
        <item x="44"/>
        <item x="517"/>
        <item x="348"/>
        <item x="622"/>
        <item x="637"/>
        <item x="311"/>
        <item x="595"/>
        <item x="563"/>
        <item x="349"/>
        <item x="459"/>
        <item x="632"/>
        <item x="445"/>
        <item x="263"/>
        <item x="262"/>
        <item x="64"/>
        <item x="402"/>
        <item x="234"/>
        <item x="30"/>
        <item x="177"/>
        <item x="406"/>
        <item x="355"/>
        <item x="545"/>
        <item x="97"/>
        <item x="63"/>
        <item x="484"/>
        <item x="163"/>
        <item x="265"/>
        <item x="600"/>
        <item x="571"/>
        <item x="285"/>
        <item x="539"/>
        <item x="142"/>
        <item x="281"/>
        <item x="636"/>
        <item x="649"/>
        <item x="475"/>
        <item x="254"/>
        <item x="429"/>
        <item x="211"/>
        <item x="274"/>
        <item x="289"/>
        <item x="442"/>
        <item x="269"/>
        <item x="232"/>
        <item x="499"/>
        <item x="436"/>
        <item x="400"/>
        <item x="607"/>
        <item x="403"/>
        <item x="399"/>
        <item x="520"/>
        <item x="460"/>
        <item x="77"/>
        <item x="621"/>
        <item x="447"/>
        <item x="569"/>
        <item x="458"/>
        <item x="642"/>
        <item x="158"/>
        <item x="101"/>
        <item x="565"/>
        <item x="504"/>
        <item x="626"/>
        <item x="388"/>
        <item x="61"/>
        <item x="51"/>
        <item x="356"/>
        <item x="462"/>
        <item x="108"/>
        <item x="190"/>
        <item x="660"/>
        <item x="305"/>
        <item x="401"/>
        <item x="301"/>
        <item x="553"/>
        <item x="657"/>
        <item x="291"/>
        <item x="118"/>
        <item x="303"/>
        <item x="201"/>
        <item x="114"/>
        <item x="609"/>
        <item x="409"/>
        <item x="8"/>
        <item x="397"/>
        <item x="326"/>
        <item x="628"/>
        <item x="383"/>
        <item x="572"/>
        <item x="501"/>
        <item x="381"/>
        <item x="183"/>
        <item x="247"/>
        <item x="625"/>
        <item x="317"/>
        <item x="68"/>
        <item x="91"/>
        <item x="659"/>
        <item x="549"/>
        <item x="241"/>
        <item x="418"/>
        <item x="568"/>
        <item x="260"/>
        <item x="500"/>
        <item x="512"/>
        <item x="207"/>
        <item x="416"/>
        <item x="630"/>
        <item x="564"/>
        <item x="359"/>
        <item x="529"/>
        <item x="641"/>
        <item x="561"/>
        <item x="492"/>
        <item x="153"/>
        <item x="220"/>
        <item x="615"/>
        <item x="479"/>
        <item x="369"/>
        <item x="415"/>
        <item x="306"/>
        <item x="556"/>
        <item x="578"/>
        <item x="540"/>
        <item x="391"/>
        <item x="246"/>
        <item x="457"/>
        <item x="588"/>
        <item x="248"/>
        <item x="172"/>
        <item x="432"/>
        <item x="411"/>
        <item x="530"/>
        <item x="661"/>
        <item x="408"/>
        <item x="204"/>
        <item x="392"/>
        <item x="580"/>
        <item x="345"/>
        <item x="361"/>
        <item x="444"/>
        <item x="283"/>
        <item x="297"/>
        <item x="441"/>
        <item x="412"/>
        <item x="312"/>
        <item x="84"/>
        <item x="130"/>
        <item x="316"/>
        <item x="116"/>
        <item x="110"/>
        <item x="523"/>
        <item x="509"/>
        <item x="487"/>
        <item x="617"/>
        <item x="225"/>
        <item x="59"/>
        <item x="490"/>
        <item x="257"/>
        <item x="624"/>
        <item x="156"/>
        <item x="601"/>
        <item x="491"/>
        <item x="550"/>
        <item x="129"/>
        <item x="535"/>
        <item x="602"/>
        <item x="384"/>
        <item x="9"/>
        <item x="469"/>
        <item x="589"/>
        <item x="137"/>
        <item x="533"/>
        <item x="292"/>
        <item x="218"/>
        <item x="250"/>
        <item x="50"/>
        <item x="332"/>
        <item x="72"/>
        <item x="185"/>
        <item x="398"/>
        <item x="286"/>
        <item x="221"/>
        <item x="453"/>
        <item x="380"/>
        <item x="482"/>
        <item x="420"/>
        <item x="653"/>
        <item x="302"/>
        <item x="570"/>
        <item x="53"/>
        <item x="576"/>
        <item x="443"/>
        <item x="419"/>
        <item x="304"/>
        <item x="502"/>
        <item x="496"/>
        <item x="175"/>
        <item x="288"/>
        <item x="656"/>
        <item x="104"/>
        <item x="587"/>
        <item x="217"/>
        <item x="531"/>
        <item x="489"/>
        <item x="518"/>
        <item x="452"/>
        <item x="404"/>
        <item x="519"/>
        <item x="290"/>
        <item x="15"/>
        <item x="466"/>
        <item x="168"/>
        <item x="439"/>
        <item x="542"/>
        <item x="431"/>
        <item x="22"/>
        <item x="271"/>
        <item x="154"/>
        <item x="19"/>
        <item x="548"/>
        <item x="367"/>
        <item x="610"/>
        <item x="465"/>
        <item x="62"/>
        <item x="643"/>
        <item x="515"/>
        <item x="20"/>
        <item x="73"/>
        <item x="451"/>
        <item x="227"/>
        <item x="162"/>
        <item x="75"/>
        <item x="616"/>
        <item x="427"/>
        <item x="655"/>
        <item x="627"/>
        <item x="310"/>
        <item x="277"/>
        <item x="41"/>
        <item x="644"/>
        <item x="307"/>
        <item x="640"/>
        <item x="634"/>
        <item x="255"/>
        <item x="35"/>
        <item x="437"/>
        <item x="382"/>
        <item x="242"/>
        <item x="534"/>
        <item x="131"/>
        <item x="187"/>
        <item x="494"/>
        <item x="541"/>
        <item x="464"/>
        <item x="2"/>
        <item x="26"/>
        <item x="57"/>
        <item x="11"/>
        <item x="37"/>
        <item x="395"/>
        <item x="396"/>
        <item x="537"/>
        <item x="54"/>
        <item x="497"/>
        <item x="393"/>
        <item x="618"/>
        <item x="238"/>
        <item x="594"/>
        <item x="9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2">
    <field x="6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HBA1C" fld="3" subtotal="count" baseField="0" baseItem="0"/>
    <dataField name="Average of HBA1C" fld="3" subtotal="average" baseField="0" baseItem="0"/>
    <dataField name="Sum of NumberOfMajorSurgeries2" fld="7" baseField="0" baseItem="0"/>
    <dataField name="Sum of NumberOfMajorSurgeries" fld="7" baseField="0" baseItem="0"/>
  </dataFields>
  <chartFormats count="8">
    <chartFormat chart="6" format="2" series="1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FD309-EE2B-49DE-A9CE-BEF82164CC1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charges" fld="15" subtotal="average" baseField="9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75D0-238B-4756-A55A-70C5822A39AC}">
  <dimension ref="A1:H2336"/>
  <sheetViews>
    <sheetView workbookViewId="0">
      <selection activeCell="G10" sqref="G10"/>
    </sheetView>
  </sheetViews>
  <sheetFormatPr defaultRowHeight="14.5" x14ac:dyDescent="0.35"/>
  <cols>
    <col min="1" max="1" width="13.08984375" customWidth="1"/>
    <col min="2" max="2" width="32.90625" customWidth="1"/>
  </cols>
  <sheetData>
    <row r="1" spans="1:6" ht="15.5" x14ac:dyDescent="0.35">
      <c r="A1" s="3" t="s">
        <v>0</v>
      </c>
      <c r="B1" s="4" t="s">
        <v>1</v>
      </c>
    </row>
    <row r="2" spans="1:6" ht="15.5" x14ac:dyDescent="0.35">
      <c r="A2" s="2" t="s">
        <v>2</v>
      </c>
      <c r="B2" s="2" t="s">
        <v>2393</v>
      </c>
      <c r="C2" t="s">
        <v>2394</v>
      </c>
      <c r="D2" t="s">
        <v>2395</v>
      </c>
    </row>
    <row r="3" spans="1:6" ht="15.5" x14ac:dyDescent="0.35">
      <c r="A3" s="2" t="s">
        <v>3</v>
      </c>
      <c r="B3" s="2" t="s">
        <v>2396</v>
      </c>
      <c r="C3" t="s">
        <v>2397</v>
      </c>
      <c r="D3" t="s">
        <v>2398</v>
      </c>
      <c r="E3" t="s">
        <v>2399</v>
      </c>
    </row>
    <row r="4" spans="1:6" ht="15.5" x14ac:dyDescent="0.35">
      <c r="A4" s="2" t="s">
        <v>4</v>
      </c>
      <c r="B4" s="2" t="s">
        <v>2400</v>
      </c>
      <c r="C4" t="s">
        <v>2397</v>
      </c>
      <c r="D4" t="s">
        <v>2401</v>
      </c>
    </row>
    <row r="5" spans="1:6" ht="15.5" x14ac:dyDescent="0.35">
      <c r="A5" s="2" t="s">
        <v>5</v>
      </c>
      <c r="B5" s="2" t="s">
        <v>2402</v>
      </c>
      <c r="C5" t="s">
        <v>2394</v>
      </c>
      <c r="D5" t="s">
        <v>2403</v>
      </c>
    </row>
    <row r="6" spans="1:6" ht="15.5" x14ac:dyDescent="0.35">
      <c r="A6" s="2" t="s">
        <v>6</v>
      </c>
      <c r="B6" s="2" t="s">
        <v>2404</v>
      </c>
      <c r="C6" t="s">
        <v>2394</v>
      </c>
      <c r="D6" t="s">
        <v>2405</v>
      </c>
    </row>
    <row r="7" spans="1:6" ht="15.5" x14ac:dyDescent="0.35">
      <c r="A7" s="2" t="s">
        <v>7</v>
      </c>
      <c r="B7" s="2" t="s">
        <v>2406</v>
      </c>
      <c r="C7" t="s">
        <v>2397</v>
      </c>
      <c r="D7" t="s">
        <v>2407</v>
      </c>
      <c r="E7" t="s">
        <v>2408</v>
      </c>
    </row>
    <row r="8" spans="1:6" ht="15.5" x14ac:dyDescent="0.35">
      <c r="A8" s="2" t="s">
        <v>8</v>
      </c>
      <c r="B8" s="2" t="s">
        <v>2409</v>
      </c>
      <c r="C8" t="s">
        <v>2397</v>
      </c>
      <c r="D8" t="s">
        <v>2410</v>
      </c>
    </row>
    <row r="9" spans="1:6" ht="15.5" x14ac:dyDescent="0.35">
      <c r="A9" s="2" t="s">
        <v>9</v>
      </c>
      <c r="B9" s="2" t="s">
        <v>2411</v>
      </c>
      <c r="C9" t="s">
        <v>2397</v>
      </c>
      <c r="D9" t="s">
        <v>2412</v>
      </c>
    </row>
    <row r="10" spans="1:6" ht="15.5" x14ac:dyDescent="0.35">
      <c r="A10" s="2" t="s">
        <v>10</v>
      </c>
      <c r="B10" s="2" t="s">
        <v>2413</v>
      </c>
      <c r="C10" t="s">
        <v>2397</v>
      </c>
      <c r="D10" t="s">
        <v>2414</v>
      </c>
      <c r="E10" t="s">
        <v>2415</v>
      </c>
    </row>
    <row r="11" spans="1:6" ht="15.5" x14ac:dyDescent="0.35">
      <c r="A11" s="2" t="s">
        <v>11</v>
      </c>
      <c r="B11" s="2" t="s">
        <v>2416</v>
      </c>
      <c r="C11" t="s">
        <v>2394</v>
      </c>
      <c r="D11" t="s">
        <v>2417</v>
      </c>
      <c r="E11" t="s">
        <v>2418</v>
      </c>
    </row>
    <row r="12" spans="1:6" ht="15.5" x14ac:dyDescent="0.35">
      <c r="A12" s="2" t="s">
        <v>12</v>
      </c>
      <c r="B12" s="2" t="s">
        <v>2419</v>
      </c>
      <c r="C12" t="s">
        <v>2420</v>
      </c>
      <c r="D12" t="s">
        <v>2394</v>
      </c>
      <c r="E12" t="s">
        <v>2421</v>
      </c>
      <c r="F12" t="s">
        <v>2422</v>
      </c>
    </row>
    <row r="13" spans="1:6" ht="15.5" x14ac:dyDescent="0.35">
      <c r="A13" s="2" t="s">
        <v>13</v>
      </c>
      <c r="B13" s="2" t="s">
        <v>2423</v>
      </c>
      <c r="C13" t="s">
        <v>2397</v>
      </c>
      <c r="D13" t="s">
        <v>2424</v>
      </c>
    </row>
    <row r="14" spans="1:6" ht="15.5" x14ac:dyDescent="0.35">
      <c r="A14" s="2" t="s">
        <v>14</v>
      </c>
      <c r="B14" s="2" t="s">
        <v>2425</v>
      </c>
      <c r="C14" t="s">
        <v>2397</v>
      </c>
      <c r="D14" t="s">
        <v>2426</v>
      </c>
    </row>
    <row r="15" spans="1:6" ht="15.5" x14ac:dyDescent="0.35">
      <c r="A15" s="2" t="s">
        <v>15</v>
      </c>
      <c r="B15" s="2" t="s">
        <v>2427</v>
      </c>
      <c r="C15" t="s">
        <v>2397</v>
      </c>
      <c r="D15" t="s">
        <v>2428</v>
      </c>
    </row>
    <row r="16" spans="1:6" ht="15.5" x14ac:dyDescent="0.35">
      <c r="A16" s="2" t="s">
        <v>16</v>
      </c>
      <c r="B16" s="2" t="s">
        <v>2429</v>
      </c>
      <c r="C16" t="s">
        <v>2394</v>
      </c>
      <c r="D16" t="s">
        <v>2430</v>
      </c>
      <c r="E16" t="s">
        <v>2431</v>
      </c>
    </row>
    <row r="17" spans="1:5" ht="15.5" x14ac:dyDescent="0.35">
      <c r="A17" s="2" t="s">
        <v>17</v>
      </c>
      <c r="B17" s="2" t="s">
        <v>2432</v>
      </c>
      <c r="C17" t="s">
        <v>2397</v>
      </c>
      <c r="D17" t="s">
        <v>2433</v>
      </c>
    </row>
    <row r="18" spans="1:5" ht="15.5" x14ac:dyDescent="0.35">
      <c r="A18" s="2" t="s">
        <v>18</v>
      </c>
      <c r="B18" s="2" t="s">
        <v>2434</v>
      </c>
      <c r="C18" t="s">
        <v>2394</v>
      </c>
      <c r="D18" t="s">
        <v>2435</v>
      </c>
      <c r="E18" t="s">
        <v>2436</v>
      </c>
    </row>
    <row r="19" spans="1:5" ht="15.5" x14ac:dyDescent="0.35">
      <c r="A19" s="2" t="s">
        <v>19</v>
      </c>
      <c r="B19" s="2" t="s">
        <v>2437</v>
      </c>
      <c r="C19" t="s">
        <v>2394</v>
      </c>
      <c r="D19" t="s">
        <v>2438</v>
      </c>
      <c r="E19" t="s">
        <v>2431</v>
      </c>
    </row>
    <row r="20" spans="1:5" ht="15.5" x14ac:dyDescent="0.35">
      <c r="A20" s="2" t="s">
        <v>20</v>
      </c>
      <c r="B20" s="2" t="s">
        <v>2439</v>
      </c>
      <c r="C20" t="s">
        <v>2397</v>
      </c>
      <c r="D20" t="s">
        <v>2440</v>
      </c>
      <c r="E20" t="s">
        <v>2441</v>
      </c>
    </row>
    <row r="21" spans="1:5" ht="15.5" x14ac:dyDescent="0.35">
      <c r="A21" s="2" t="s">
        <v>21</v>
      </c>
      <c r="B21" s="2" t="s">
        <v>2442</v>
      </c>
      <c r="C21" t="s">
        <v>2397</v>
      </c>
      <c r="D21" t="s">
        <v>2443</v>
      </c>
    </row>
    <row r="22" spans="1:5" ht="15.5" x14ac:dyDescent="0.35">
      <c r="A22" s="2" t="s">
        <v>22</v>
      </c>
      <c r="B22" s="2" t="s">
        <v>2444</v>
      </c>
      <c r="C22" t="s">
        <v>2397</v>
      </c>
      <c r="D22" t="s">
        <v>2445</v>
      </c>
    </row>
    <row r="23" spans="1:5" ht="15.5" x14ac:dyDescent="0.35">
      <c r="A23" s="2" t="s">
        <v>23</v>
      </c>
      <c r="B23" s="2" t="s">
        <v>2446</v>
      </c>
      <c r="C23" t="s">
        <v>2394</v>
      </c>
      <c r="D23" t="s">
        <v>2447</v>
      </c>
      <c r="E23" t="s">
        <v>2448</v>
      </c>
    </row>
    <row r="24" spans="1:5" ht="15.5" x14ac:dyDescent="0.35">
      <c r="A24" s="2" t="s">
        <v>24</v>
      </c>
      <c r="B24" s="2" t="s">
        <v>2449</v>
      </c>
      <c r="C24" t="s">
        <v>2394</v>
      </c>
      <c r="D24" t="s">
        <v>2450</v>
      </c>
    </row>
    <row r="25" spans="1:5" ht="15.5" x14ac:dyDescent="0.35">
      <c r="A25" s="2" t="s">
        <v>25</v>
      </c>
      <c r="B25" s="2" t="s">
        <v>2451</v>
      </c>
      <c r="C25" t="s">
        <v>2397</v>
      </c>
      <c r="D25" t="s">
        <v>2452</v>
      </c>
      <c r="E25" t="s">
        <v>2436</v>
      </c>
    </row>
    <row r="26" spans="1:5" ht="15.5" x14ac:dyDescent="0.35">
      <c r="A26" s="2" t="s">
        <v>26</v>
      </c>
      <c r="B26" s="2" t="s">
        <v>2453</v>
      </c>
      <c r="C26" t="s">
        <v>2397</v>
      </c>
      <c r="D26" t="s">
        <v>2454</v>
      </c>
      <c r="E26" t="s">
        <v>2455</v>
      </c>
    </row>
    <row r="27" spans="1:5" ht="15.5" x14ac:dyDescent="0.35">
      <c r="A27" s="2" t="s">
        <v>27</v>
      </c>
      <c r="B27" s="2" t="s">
        <v>2456</v>
      </c>
      <c r="C27" t="s">
        <v>2397</v>
      </c>
      <c r="D27" t="s">
        <v>2457</v>
      </c>
    </row>
    <row r="28" spans="1:5" ht="15.5" x14ac:dyDescent="0.35">
      <c r="A28" s="2" t="s">
        <v>28</v>
      </c>
      <c r="B28" s="2" t="s">
        <v>2458</v>
      </c>
      <c r="C28" t="s">
        <v>2397</v>
      </c>
      <c r="D28" t="s">
        <v>2459</v>
      </c>
    </row>
    <row r="29" spans="1:5" ht="15.5" x14ac:dyDescent="0.35">
      <c r="A29" s="2" t="s">
        <v>29</v>
      </c>
      <c r="B29" s="2" t="s">
        <v>2460</v>
      </c>
      <c r="C29" t="s">
        <v>2394</v>
      </c>
      <c r="D29" t="s">
        <v>2461</v>
      </c>
      <c r="E29" t="s">
        <v>2462</v>
      </c>
    </row>
    <row r="30" spans="1:5" ht="15.5" x14ac:dyDescent="0.35">
      <c r="A30" s="2" t="s">
        <v>30</v>
      </c>
      <c r="B30" s="2" t="s">
        <v>2463</v>
      </c>
      <c r="C30" t="s">
        <v>2397</v>
      </c>
      <c r="D30" t="s">
        <v>2412</v>
      </c>
    </row>
    <row r="31" spans="1:5" ht="15.5" x14ac:dyDescent="0.35">
      <c r="A31" s="2" t="s">
        <v>31</v>
      </c>
      <c r="B31" s="2" t="s">
        <v>2464</v>
      </c>
      <c r="C31" t="s">
        <v>2394</v>
      </c>
      <c r="D31" t="s">
        <v>2465</v>
      </c>
    </row>
    <row r="32" spans="1:5" ht="15.5" x14ac:dyDescent="0.35">
      <c r="A32" s="2" t="s">
        <v>32</v>
      </c>
      <c r="B32" s="2" t="s">
        <v>2466</v>
      </c>
      <c r="C32" t="s">
        <v>2394</v>
      </c>
      <c r="D32" t="s">
        <v>2450</v>
      </c>
      <c r="E32" t="s">
        <v>2467</v>
      </c>
    </row>
    <row r="33" spans="1:5" ht="15.5" x14ac:dyDescent="0.35">
      <c r="A33" s="2" t="s">
        <v>33</v>
      </c>
      <c r="B33" s="2" t="s">
        <v>2468</v>
      </c>
      <c r="C33" t="s">
        <v>2397</v>
      </c>
      <c r="D33" t="s">
        <v>2469</v>
      </c>
      <c r="E33" t="s">
        <v>2399</v>
      </c>
    </row>
    <row r="34" spans="1:5" ht="15.5" x14ac:dyDescent="0.35">
      <c r="A34" s="2" t="s">
        <v>34</v>
      </c>
      <c r="B34" s="2" t="s">
        <v>2470</v>
      </c>
      <c r="C34" t="s">
        <v>2397</v>
      </c>
      <c r="D34" t="s">
        <v>2471</v>
      </c>
      <c r="E34" t="s">
        <v>2472</v>
      </c>
    </row>
    <row r="35" spans="1:5" ht="15.5" x14ac:dyDescent="0.35">
      <c r="A35" s="2" t="s">
        <v>35</v>
      </c>
      <c r="B35" s="2" t="s">
        <v>2473</v>
      </c>
      <c r="C35" t="s">
        <v>2394</v>
      </c>
      <c r="D35" t="s">
        <v>2474</v>
      </c>
    </row>
    <row r="36" spans="1:5" ht="15.5" x14ac:dyDescent="0.35">
      <c r="A36" s="2" t="s">
        <v>36</v>
      </c>
      <c r="B36" s="2" t="s">
        <v>2475</v>
      </c>
      <c r="C36" t="s">
        <v>2394</v>
      </c>
      <c r="D36" t="s">
        <v>2476</v>
      </c>
      <c r="E36" t="s">
        <v>2477</v>
      </c>
    </row>
    <row r="37" spans="1:5" ht="15.5" x14ac:dyDescent="0.35">
      <c r="A37" s="2" t="s">
        <v>37</v>
      </c>
      <c r="B37" s="2" t="s">
        <v>2478</v>
      </c>
      <c r="C37" t="s">
        <v>2397</v>
      </c>
      <c r="D37" t="s">
        <v>2479</v>
      </c>
    </row>
    <row r="38" spans="1:5" ht="15.5" x14ac:dyDescent="0.35">
      <c r="A38" s="2" t="s">
        <v>38</v>
      </c>
      <c r="B38" s="2" t="s">
        <v>2480</v>
      </c>
      <c r="C38" t="s">
        <v>2397</v>
      </c>
      <c r="D38" t="s">
        <v>2481</v>
      </c>
      <c r="E38" t="s">
        <v>2482</v>
      </c>
    </row>
    <row r="39" spans="1:5" ht="15.5" x14ac:dyDescent="0.35">
      <c r="A39" s="2" t="s">
        <v>39</v>
      </c>
      <c r="B39" s="2" t="s">
        <v>2483</v>
      </c>
      <c r="C39" t="s">
        <v>2394</v>
      </c>
      <c r="D39" t="s">
        <v>2484</v>
      </c>
      <c r="E39" t="s">
        <v>2485</v>
      </c>
    </row>
    <row r="40" spans="1:5" ht="15.5" x14ac:dyDescent="0.35">
      <c r="A40" s="2" t="s">
        <v>40</v>
      </c>
      <c r="B40" s="2" t="s">
        <v>2486</v>
      </c>
      <c r="C40" t="s">
        <v>2394</v>
      </c>
      <c r="D40" t="s">
        <v>2487</v>
      </c>
    </row>
    <row r="41" spans="1:5" ht="15.5" x14ac:dyDescent="0.35">
      <c r="A41" s="2" t="s">
        <v>41</v>
      </c>
      <c r="B41" s="2" t="s">
        <v>2488</v>
      </c>
      <c r="C41" t="s">
        <v>2397</v>
      </c>
      <c r="D41" t="s">
        <v>2489</v>
      </c>
    </row>
    <row r="42" spans="1:5" ht="15.5" x14ac:dyDescent="0.35">
      <c r="A42" s="2" t="s">
        <v>42</v>
      </c>
      <c r="B42" s="2" t="s">
        <v>2490</v>
      </c>
      <c r="C42" t="s">
        <v>2397</v>
      </c>
      <c r="D42" t="s">
        <v>2491</v>
      </c>
      <c r="E42" t="s">
        <v>2415</v>
      </c>
    </row>
    <row r="43" spans="1:5" ht="15.5" x14ac:dyDescent="0.35">
      <c r="A43" s="2" t="s">
        <v>43</v>
      </c>
      <c r="B43" s="2" t="s">
        <v>2492</v>
      </c>
      <c r="C43" t="s">
        <v>2394</v>
      </c>
      <c r="D43" t="s">
        <v>2493</v>
      </c>
    </row>
    <row r="44" spans="1:5" ht="15.5" x14ac:dyDescent="0.35">
      <c r="A44" s="2" t="s">
        <v>44</v>
      </c>
      <c r="B44" s="2" t="s">
        <v>2494</v>
      </c>
      <c r="C44" t="s">
        <v>2394</v>
      </c>
      <c r="D44" t="s">
        <v>2450</v>
      </c>
    </row>
    <row r="45" spans="1:5" ht="15.5" x14ac:dyDescent="0.35">
      <c r="A45" s="2" t="s">
        <v>45</v>
      </c>
      <c r="B45" s="2" t="s">
        <v>2495</v>
      </c>
      <c r="C45" t="s">
        <v>2397</v>
      </c>
      <c r="D45" t="s">
        <v>2496</v>
      </c>
    </row>
    <row r="46" spans="1:5" ht="15.5" x14ac:dyDescent="0.35">
      <c r="A46" s="2" t="s">
        <v>46</v>
      </c>
      <c r="B46" s="2" t="s">
        <v>2497</v>
      </c>
      <c r="C46" t="s">
        <v>2397</v>
      </c>
      <c r="D46" t="s">
        <v>2452</v>
      </c>
      <c r="E46" t="s">
        <v>2498</v>
      </c>
    </row>
    <row r="47" spans="1:5" ht="15.5" x14ac:dyDescent="0.35">
      <c r="A47" s="2" t="s">
        <v>47</v>
      </c>
      <c r="B47" s="2" t="s">
        <v>2499</v>
      </c>
      <c r="C47" t="s">
        <v>2394</v>
      </c>
      <c r="D47" t="s">
        <v>2500</v>
      </c>
      <c r="E47" t="s">
        <v>2501</v>
      </c>
    </row>
    <row r="48" spans="1:5" ht="15.5" x14ac:dyDescent="0.35">
      <c r="A48" s="2" t="s">
        <v>48</v>
      </c>
      <c r="B48" s="2" t="s">
        <v>2502</v>
      </c>
      <c r="C48" t="s">
        <v>2397</v>
      </c>
      <c r="D48" t="s">
        <v>2503</v>
      </c>
      <c r="E48" t="s">
        <v>2467</v>
      </c>
    </row>
    <row r="49" spans="1:5" ht="15.5" x14ac:dyDescent="0.35">
      <c r="A49" s="2" t="s">
        <v>49</v>
      </c>
      <c r="B49" s="2" t="s">
        <v>2492</v>
      </c>
      <c r="C49" t="s">
        <v>2394</v>
      </c>
      <c r="D49" t="s">
        <v>2504</v>
      </c>
      <c r="E49" t="s">
        <v>2501</v>
      </c>
    </row>
    <row r="50" spans="1:5" ht="15.5" x14ac:dyDescent="0.35">
      <c r="A50" s="2" t="s">
        <v>50</v>
      </c>
      <c r="B50" s="2" t="s">
        <v>2505</v>
      </c>
      <c r="C50" t="s">
        <v>2506</v>
      </c>
      <c r="D50" t="s">
        <v>2397</v>
      </c>
      <c r="E50" t="s">
        <v>2507</v>
      </c>
    </row>
    <row r="51" spans="1:5" ht="15.5" x14ac:dyDescent="0.35">
      <c r="A51" s="2" t="s">
        <v>51</v>
      </c>
      <c r="B51" s="2" t="s">
        <v>2508</v>
      </c>
      <c r="C51" t="s">
        <v>2397</v>
      </c>
      <c r="D51" t="s">
        <v>2481</v>
      </c>
    </row>
    <row r="52" spans="1:5" ht="15.5" x14ac:dyDescent="0.35">
      <c r="A52" s="2" t="s">
        <v>52</v>
      </c>
      <c r="B52" s="2" t="s">
        <v>2509</v>
      </c>
      <c r="C52" t="s">
        <v>2397</v>
      </c>
      <c r="D52" t="s">
        <v>2510</v>
      </c>
      <c r="E52" t="s">
        <v>2467</v>
      </c>
    </row>
    <row r="53" spans="1:5" ht="15.5" x14ac:dyDescent="0.35">
      <c r="A53" s="2" t="s">
        <v>53</v>
      </c>
      <c r="B53" s="2" t="s">
        <v>2511</v>
      </c>
      <c r="C53" t="s">
        <v>2394</v>
      </c>
      <c r="D53" t="s">
        <v>2512</v>
      </c>
    </row>
    <row r="54" spans="1:5" ht="15.5" x14ac:dyDescent="0.35">
      <c r="A54" s="2" t="s">
        <v>54</v>
      </c>
      <c r="B54" s="2" t="s">
        <v>2513</v>
      </c>
      <c r="C54" t="s">
        <v>2397</v>
      </c>
      <c r="D54" t="s">
        <v>2424</v>
      </c>
    </row>
    <row r="55" spans="1:5" ht="15.5" x14ac:dyDescent="0.35">
      <c r="A55" s="2" t="s">
        <v>55</v>
      </c>
      <c r="B55" s="2" t="s">
        <v>2514</v>
      </c>
      <c r="C55" t="s">
        <v>2397</v>
      </c>
      <c r="D55" t="s">
        <v>2515</v>
      </c>
      <c r="E55" t="s">
        <v>2516</v>
      </c>
    </row>
    <row r="56" spans="1:5" ht="15.5" x14ac:dyDescent="0.35">
      <c r="A56" s="2" t="s">
        <v>56</v>
      </c>
      <c r="B56" s="2" t="s">
        <v>2517</v>
      </c>
      <c r="C56" t="s">
        <v>2394</v>
      </c>
      <c r="D56" t="s">
        <v>2518</v>
      </c>
      <c r="E56" t="s">
        <v>2519</v>
      </c>
    </row>
    <row r="57" spans="1:5" ht="15.5" x14ac:dyDescent="0.35">
      <c r="A57" s="2" t="s">
        <v>57</v>
      </c>
      <c r="B57" s="2" t="s">
        <v>2520</v>
      </c>
      <c r="C57" t="s">
        <v>2394</v>
      </c>
      <c r="D57" t="s">
        <v>2521</v>
      </c>
    </row>
    <row r="58" spans="1:5" ht="15.5" x14ac:dyDescent="0.35">
      <c r="A58" s="2" t="s">
        <v>58</v>
      </c>
      <c r="B58" s="2" t="s">
        <v>2522</v>
      </c>
      <c r="C58" t="s">
        <v>2397</v>
      </c>
      <c r="D58" t="s">
        <v>2523</v>
      </c>
    </row>
    <row r="59" spans="1:5" ht="15.5" x14ac:dyDescent="0.35">
      <c r="A59" s="2" t="s">
        <v>59</v>
      </c>
      <c r="B59" s="2" t="s">
        <v>2524</v>
      </c>
      <c r="C59" t="s">
        <v>2394</v>
      </c>
      <c r="D59" t="s">
        <v>2525</v>
      </c>
    </row>
    <row r="60" spans="1:5" ht="15.5" x14ac:dyDescent="0.35">
      <c r="A60" s="2" t="s">
        <v>60</v>
      </c>
      <c r="B60" s="2" t="s">
        <v>2526</v>
      </c>
      <c r="C60" t="s">
        <v>2397</v>
      </c>
      <c r="D60" t="s">
        <v>2527</v>
      </c>
    </row>
    <row r="61" spans="1:5" ht="15.5" x14ac:dyDescent="0.35">
      <c r="A61" s="2" t="s">
        <v>61</v>
      </c>
      <c r="B61" s="2" t="s">
        <v>2528</v>
      </c>
      <c r="C61" t="s">
        <v>2394</v>
      </c>
      <c r="D61" t="s">
        <v>2529</v>
      </c>
    </row>
    <row r="62" spans="1:5" ht="15.5" x14ac:dyDescent="0.35">
      <c r="A62" s="2" t="s">
        <v>62</v>
      </c>
      <c r="B62" s="2" t="s">
        <v>2530</v>
      </c>
      <c r="C62" t="s">
        <v>2397</v>
      </c>
      <c r="D62" t="s">
        <v>2531</v>
      </c>
    </row>
    <row r="63" spans="1:5" ht="15.5" x14ac:dyDescent="0.35">
      <c r="A63" s="2" t="s">
        <v>63</v>
      </c>
      <c r="B63" s="2" t="s">
        <v>2532</v>
      </c>
      <c r="C63" t="s">
        <v>2394</v>
      </c>
      <c r="D63" t="s">
        <v>2533</v>
      </c>
      <c r="E63" t="s">
        <v>2534</v>
      </c>
    </row>
    <row r="64" spans="1:5" ht="15.5" x14ac:dyDescent="0.35">
      <c r="A64" s="2" t="s">
        <v>64</v>
      </c>
      <c r="B64" s="2" t="s">
        <v>2535</v>
      </c>
      <c r="C64" t="s">
        <v>2394</v>
      </c>
      <c r="D64" t="s">
        <v>2536</v>
      </c>
    </row>
    <row r="65" spans="1:6" ht="15.5" x14ac:dyDescent="0.35">
      <c r="A65" s="2" t="s">
        <v>65</v>
      </c>
      <c r="B65" s="2" t="s">
        <v>2537</v>
      </c>
      <c r="C65" t="s">
        <v>2397</v>
      </c>
      <c r="D65" t="s">
        <v>2424</v>
      </c>
    </row>
    <row r="66" spans="1:6" ht="15.5" x14ac:dyDescent="0.35">
      <c r="A66" s="2" t="s">
        <v>66</v>
      </c>
      <c r="B66" s="2" t="s">
        <v>2538</v>
      </c>
      <c r="C66" t="s">
        <v>2397</v>
      </c>
      <c r="D66" t="s">
        <v>2539</v>
      </c>
      <c r="E66" t="s">
        <v>2540</v>
      </c>
    </row>
    <row r="67" spans="1:6" ht="15.5" x14ac:dyDescent="0.35">
      <c r="A67" s="2" t="s">
        <v>67</v>
      </c>
      <c r="B67" s="2" t="s">
        <v>2541</v>
      </c>
      <c r="C67" t="s">
        <v>2394</v>
      </c>
      <c r="D67" t="s">
        <v>2542</v>
      </c>
    </row>
    <row r="68" spans="1:6" ht="15.5" x14ac:dyDescent="0.35">
      <c r="A68" s="2" t="s">
        <v>68</v>
      </c>
      <c r="B68" s="2" t="s">
        <v>2543</v>
      </c>
      <c r="C68" t="s">
        <v>2397</v>
      </c>
      <c r="D68" t="s">
        <v>2544</v>
      </c>
    </row>
    <row r="69" spans="1:6" ht="15.5" x14ac:dyDescent="0.35">
      <c r="A69" s="2" t="s">
        <v>69</v>
      </c>
      <c r="B69" s="2" t="s">
        <v>2545</v>
      </c>
      <c r="C69" t="s">
        <v>2397</v>
      </c>
      <c r="D69" t="s">
        <v>2546</v>
      </c>
      <c r="E69" t="s">
        <v>2431</v>
      </c>
    </row>
    <row r="70" spans="1:6" ht="15.5" x14ac:dyDescent="0.35">
      <c r="A70" s="2" t="s">
        <v>70</v>
      </c>
      <c r="B70" s="2" t="s">
        <v>2547</v>
      </c>
      <c r="C70" t="s">
        <v>2394</v>
      </c>
      <c r="D70" t="s">
        <v>2548</v>
      </c>
      <c r="E70" t="s">
        <v>2477</v>
      </c>
    </row>
    <row r="71" spans="1:6" ht="15.5" x14ac:dyDescent="0.35">
      <c r="A71" s="2" t="s">
        <v>71</v>
      </c>
      <c r="B71" s="2" t="s">
        <v>2549</v>
      </c>
      <c r="C71" t="s">
        <v>2397</v>
      </c>
      <c r="D71" t="s">
        <v>2550</v>
      </c>
    </row>
    <row r="72" spans="1:6" ht="15.5" x14ac:dyDescent="0.35">
      <c r="A72" s="2" t="s">
        <v>72</v>
      </c>
      <c r="B72" s="2" t="s">
        <v>2551</v>
      </c>
      <c r="C72" t="s">
        <v>2397</v>
      </c>
      <c r="D72" t="s">
        <v>2552</v>
      </c>
    </row>
    <row r="73" spans="1:6" ht="15.5" x14ac:dyDescent="0.35">
      <c r="A73" s="2" t="s">
        <v>73</v>
      </c>
      <c r="B73" s="2" t="s">
        <v>2553</v>
      </c>
      <c r="C73" t="s">
        <v>2397</v>
      </c>
      <c r="D73" t="s">
        <v>2554</v>
      </c>
      <c r="E73" t="s">
        <v>2555</v>
      </c>
      <c r="F73" t="s">
        <v>2441</v>
      </c>
    </row>
    <row r="74" spans="1:6" ht="15.5" x14ac:dyDescent="0.35">
      <c r="A74" s="2" t="s">
        <v>74</v>
      </c>
      <c r="B74" s="2" t="s">
        <v>2556</v>
      </c>
      <c r="C74" t="s">
        <v>2394</v>
      </c>
      <c r="D74" t="s">
        <v>2557</v>
      </c>
    </row>
    <row r="75" spans="1:6" ht="15.5" x14ac:dyDescent="0.35">
      <c r="A75" s="2" t="s">
        <v>75</v>
      </c>
      <c r="B75" s="2" t="s">
        <v>2558</v>
      </c>
      <c r="C75" t="s">
        <v>2394</v>
      </c>
      <c r="D75" t="s">
        <v>2487</v>
      </c>
      <c r="E75" t="s">
        <v>2448</v>
      </c>
    </row>
    <row r="76" spans="1:6" ht="15.5" x14ac:dyDescent="0.35">
      <c r="A76" s="2" t="s">
        <v>76</v>
      </c>
      <c r="B76" s="2" t="s">
        <v>2559</v>
      </c>
      <c r="C76" t="s">
        <v>2394</v>
      </c>
      <c r="D76" t="s">
        <v>2560</v>
      </c>
      <c r="E76" t="s">
        <v>2561</v>
      </c>
    </row>
    <row r="77" spans="1:6" ht="15.5" x14ac:dyDescent="0.35">
      <c r="A77" s="2" t="s">
        <v>77</v>
      </c>
      <c r="B77" s="2" t="s">
        <v>2562</v>
      </c>
      <c r="C77" t="s">
        <v>2397</v>
      </c>
      <c r="D77" t="s">
        <v>2563</v>
      </c>
    </row>
    <row r="78" spans="1:6" ht="15.5" x14ac:dyDescent="0.35">
      <c r="A78" s="2" t="s">
        <v>78</v>
      </c>
      <c r="B78" s="2" t="s">
        <v>2564</v>
      </c>
      <c r="C78" t="s">
        <v>2394</v>
      </c>
      <c r="D78" t="s">
        <v>2565</v>
      </c>
    </row>
    <row r="79" spans="1:6" ht="15.5" x14ac:dyDescent="0.35">
      <c r="A79" s="2" t="s">
        <v>79</v>
      </c>
      <c r="B79" s="2" t="s">
        <v>2566</v>
      </c>
      <c r="C79" t="s">
        <v>2394</v>
      </c>
      <c r="D79" t="s">
        <v>2567</v>
      </c>
    </row>
    <row r="80" spans="1:6" ht="15.5" x14ac:dyDescent="0.35">
      <c r="A80" s="2" t="s">
        <v>80</v>
      </c>
      <c r="B80" s="2" t="s">
        <v>2568</v>
      </c>
      <c r="C80" t="s">
        <v>2397</v>
      </c>
      <c r="D80" t="s">
        <v>2569</v>
      </c>
    </row>
    <row r="81" spans="1:5" ht="15.5" x14ac:dyDescent="0.35">
      <c r="A81" s="2" t="s">
        <v>81</v>
      </c>
      <c r="B81" s="2" t="s">
        <v>2570</v>
      </c>
      <c r="C81" t="s">
        <v>2394</v>
      </c>
      <c r="D81" t="s">
        <v>2435</v>
      </c>
    </row>
    <row r="82" spans="1:5" ht="15.5" x14ac:dyDescent="0.35">
      <c r="A82" s="2" t="s">
        <v>82</v>
      </c>
      <c r="B82" s="2" t="s">
        <v>2571</v>
      </c>
      <c r="C82" t="s">
        <v>2394</v>
      </c>
      <c r="D82" t="s">
        <v>2572</v>
      </c>
      <c r="E82" t="s">
        <v>2431</v>
      </c>
    </row>
    <row r="83" spans="1:5" ht="15.5" x14ac:dyDescent="0.35">
      <c r="A83" s="2" t="s">
        <v>83</v>
      </c>
      <c r="B83" s="2" t="s">
        <v>2573</v>
      </c>
      <c r="C83" t="s">
        <v>2397</v>
      </c>
      <c r="D83" t="s">
        <v>2414</v>
      </c>
    </row>
    <row r="84" spans="1:5" ht="15.5" x14ac:dyDescent="0.35">
      <c r="A84" s="2" t="s">
        <v>84</v>
      </c>
      <c r="B84" s="2" t="s">
        <v>2574</v>
      </c>
      <c r="C84" t="s">
        <v>2394</v>
      </c>
      <c r="D84" t="s">
        <v>2575</v>
      </c>
    </row>
    <row r="85" spans="1:5" ht="15.5" x14ac:dyDescent="0.35">
      <c r="A85" s="2" t="s">
        <v>85</v>
      </c>
      <c r="B85" s="2" t="s">
        <v>2576</v>
      </c>
      <c r="C85" t="s">
        <v>2397</v>
      </c>
      <c r="D85" t="s">
        <v>2577</v>
      </c>
    </row>
    <row r="86" spans="1:5" ht="15.5" x14ac:dyDescent="0.35">
      <c r="A86" s="2" t="s">
        <v>86</v>
      </c>
      <c r="B86" s="2" t="s">
        <v>2578</v>
      </c>
      <c r="C86" t="s">
        <v>2397</v>
      </c>
      <c r="D86" t="s">
        <v>2412</v>
      </c>
      <c r="E86" t="s">
        <v>2579</v>
      </c>
    </row>
    <row r="87" spans="1:5" ht="15.5" x14ac:dyDescent="0.35">
      <c r="A87" s="2" t="s">
        <v>87</v>
      </c>
      <c r="B87" s="2" t="s">
        <v>2580</v>
      </c>
      <c r="C87" t="s">
        <v>2397</v>
      </c>
      <c r="D87" t="s">
        <v>2581</v>
      </c>
    </row>
    <row r="88" spans="1:5" ht="15.5" x14ac:dyDescent="0.35">
      <c r="A88" s="2" t="s">
        <v>88</v>
      </c>
      <c r="B88" s="2" t="s">
        <v>2582</v>
      </c>
      <c r="C88" t="s">
        <v>2397</v>
      </c>
      <c r="D88" t="s">
        <v>2583</v>
      </c>
      <c r="E88" t="s">
        <v>2561</v>
      </c>
    </row>
    <row r="89" spans="1:5" ht="15.5" x14ac:dyDescent="0.35">
      <c r="A89" s="2" t="s">
        <v>89</v>
      </c>
      <c r="B89" s="2" t="s">
        <v>2584</v>
      </c>
      <c r="C89" t="s">
        <v>2394</v>
      </c>
      <c r="D89" t="s">
        <v>2585</v>
      </c>
    </row>
    <row r="90" spans="1:5" ht="15.5" x14ac:dyDescent="0.35">
      <c r="A90" s="2" t="s">
        <v>90</v>
      </c>
      <c r="B90" s="2" t="s">
        <v>2586</v>
      </c>
      <c r="C90" t="s">
        <v>2394</v>
      </c>
      <c r="D90" t="s">
        <v>2587</v>
      </c>
    </row>
    <row r="91" spans="1:5" ht="15.5" x14ac:dyDescent="0.35">
      <c r="A91" s="2" t="s">
        <v>91</v>
      </c>
      <c r="B91" s="2" t="s">
        <v>2588</v>
      </c>
      <c r="C91" t="s">
        <v>2394</v>
      </c>
      <c r="D91" t="s">
        <v>2589</v>
      </c>
      <c r="E91" t="s">
        <v>2590</v>
      </c>
    </row>
    <row r="92" spans="1:5" ht="15.5" x14ac:dyDescent="0.35">
      <c r="A92" s="2" t="s">
        <v>92</v>
      </c>
      <c r="B92" s="2" t="s">
        <v>2591</v>
      </c>
      <c r="C92" t="s">
        <v>2394</v>
      </c>
      <c r="D92" t="s">
        <v>2592</v>
      </c>
    </row>
    <row r="93" spans="1:5" ht="15.5" x14ac:dyDescent="0.35">
      <c r="A93" s="2" t="s">
        <v>93</v>
      </c>
      <c r="B93" s="2" t="s">
        <v>2593</v>
      </c>
      <c r="C93" t="s">
        <v>2394</v>
      </c>
      <c r="D93" t="s">
        <v>2594</v>
      </c>
      <c r="E93" t="s">
        <v>2431</v>
      </c>
    </row>
    <row r="94" spans="1:5" ht="15.5" x14ac:dyDescent="0.35">
      <c r="A94" s="2" t="s">
        <v>94</v>
      </c>
      <c r="B94" s="2" t="s">
        <v>2595</v>
      </c>
      <c r="C94" t="s">
        <v>2397</v>
      </c>
      <c r="D94" t="s">
        <v>2596</v>
      </c>
    </row>
    <row r="95" spans="1:5" ht="15.5" x14ac:dyDescent="0.35">
      <c r="A95" s="2" t="s">
        <v>95</v>
      </c>
      <c r="B95" s="2" t="s">
        <v>2597</v>
      </c>
      <c r="C95" t="s">
        <v>2397</v>
      </c>
      <c r="D95" t="s">
        <v>2424</v>
      </c>
    </row>
    <row r="96" spans="1:5" ht="15.5" x14ac:dyDescent="0.35">
      <c r="A96" s="2" t="s">
        <v>96</v>
      </c>
      <c r="B96" s="2" t="s">
        <v>2598</v>
      </c>
      <c r="C96" t="s">
        <v>2394</v>
      </c>
      <c r="D96" t="s">
        <v>2465</v>
      </c>
    </row>
    <row r="97" spans="1:6" ht="15.5" x14ac:dyDescent="0.35">
      <c r="A97" s="2" t="s">
        <v>97</v>
      </c>
      <c r="B97" s="2" t="s">
        <v>2599</v>
      </c>
      <c r="C97" t="s">
        <v>2397</v>
      </c>
      <c r="D97" t="s">
        <v>2503</v>
      </c>
    </row>
    <row r="98" spans="1:6" ht="15.5" x14ac:dyDescent="0.35">
      <c r="A98" s="2" t="s">
        <v>98</v>
      </c>
      <c r="B98" s="2" t="s">
        <v>2600</v>
      </c>
      <c r="C98" t="s">
        <v>2601</v>
      </c>
      <c r="D98" t="s">
        <v>2394</v>
      </c>
      <c r="E98" t="s">
        <v>2602</v>
      </c>
      <c r="F98" t="s">
        <v>2467</v>
      </c>
    </row>
    <row r="99" spans="1:6" ht="15.5" x14ac:dyDescent="0.35">
      <c r="A99" s="2" t="s">
        <v>99</v>
      </c>
      <c r="B99" s="2" t="s">
        <v>2603</v>
      </c>
      <c r="C99" t="s">
        <v>2394</v>
      </c>
      <c r="D99" t="s">
        <v>2604</v>
      </c>
    </row>
    <row r="100" spans="1:6" ht="15.5" x14ac:dyDescent="0.35">
      <c r="A100" s="2" t="s">
        <v>100</v>
      </c>
      <c r="B100" s="2" t="s">
        <v>2605</v>
      </c>
      <c r="C100" t="s">
        <v>2397</v>
      </c>
      <c r="D100" t="s">
        <v>2606</v>
      </c>
      <c r="E100" t="s">
        <v>2607</v>
      </c>
    </row>
    <row r="101" spans="1:6" ht="15.5" x14ac:dyDescent="0.35">
      <c r="A101" s="2" t="s">
        <v>101</v>
      </c>
      <c r="B101" s="2" t="s">
        <v>2608</v>
      </c>
      <c r="C101" t="s">
        <v>2397</v>
      </c>
      <c r="D101" t="s">
        <v>2544</v>
      </c>
    </row>
    <row r="102" spans="1:6" ht="15.5" x14ac:dyDescent="0.35">
      <c r="A102" s="2" t="s">
        <v>102</v>
      </c>
      <c r="B102" s="2" t="s">
        <v>2609</v>
      </c>
      <c r="C102" t="s">
        <v>2397</v>
      </c>
      <c r="D102" t="s">
        <v>2610</v>
      </c>
    </row>
    <row r="103" spans="1:6" ht="15.5" x14ac:dyDescent="0.35">
      <c r="A103" s="2" t="s">
        <v>103</v>
      </c>
      <c r="B103" s="2" t="s">
        <v>2611</v>
      </c>
      <c r="C103" t="s">
        <v>2394</v>
      </c>
      <c r="D103" t="s">
        <v>2612</v>
      </c>
    </row>
    <row r="104" spans="1:6" ht="15.5" x14ac:dyDescent="0.35">
      <c r="A104" s="2" t="s">
        <v>104</v>
      </c>
      <c r="B104" s="2" t="s">
        <v>2613</v>
      </c>
      <c r="C104" t="s">
        <v>2397</v>
      </c>
      <c r="D104" t="s">
        <v>2489</v>
      </c>
      <c r="E104" t="s">
        <v>2431</v>
      </c>
    </row>
    <row r="105" spans="1:6" ht="15.5" x14ac:dyDescent="0.35">
      <c r="A105" s="2" t="s">
        <v>105</v>
      </c>
      <c r="B105" s="2" t="s">
        <v>2614</v>
      </c>
      <c r="C105" t="s">
        <v>2397</v>
      </c>
      <c r="D105" t="s">
        <v>2615</v>
      </c>
    </row>
    <row r="106" spans="1:6" ht="15.5" x14ac:dyDescent="0.35">
      <c r="A106" s="2" t="s">
        <v>106</v>
      </c>
      <c r="B106" s="2" t="s">
        <v>2616</v>
      </c>
      <c r="C106" t="s">
        <v>2397</v>
      </c>
      <c r="D106" t="s">
        <v>2617</v>
      </c>
    </row>
    <row r="107" spans="1:6" ht="15.5" x14ac:dyDescent="0.35">
      <c r="A107" s="2" t="s">
        <v>107</v>
      </c>
      <c r="B107" s="2" t="s">
        <v>2618</v>
      </c>
      <c r="C107" t="s">
        <v>2397</v>
      </c>
      <c r="D107" t="s">
        <v>2619</v>
      </c>
    </row>
    <row r="108" spans="1:6" ht="15.5" x14ac:dyDescent="0.35">
      <c r="A108" s="2" t="s">
        <v>108</v>
      </c>
      <c r="B108" s="2" t="s">
        <v>2620</v>
      </c>
      <c r="C108" t="s">
        <v>2397</v>
      </c>
      <c r="D108" t="s">
        <v>2621</v>
      </c>
      <c r="E108" t="s">
        <v>2622</v>
      </c>
    </row>
    <row r="109" spans="1:6" ht="15.5" x14ac:dyDescent="0.35">
      <c r="A109" s="2" t="s">
        <v>109</v>
      </c>
      <c r="B109" s="2" t="s">
        <v>2623</v>
      </c>
      <c r="C109" t="s">
        <v>2394</v>
      </c>
      <c r="D109" t="s">
        <v>2624</v>
      </c>
      <c r="E109" t="s">
        <v>2625</v>
      </c>
    </row>
    <row r="110" spans="1:6" ht="15.5" x14ac:dyDescent="0.35">
      <c r="A110" s="2" t="s">
        <v>110</v>
      </c>
      <c r="B110" s="2" t="s">
        <v>2626</v>
      </c>
      <c r="C110" t="s">
        <v>2394</v>
      </c>
      <c r="D110" t="s">
        <v>2627</v>
      </c>
    </row>
    <row r="111" spans="1:6" ht="15.5" x14ac:dyDescent="0.35">
      <c r="A111" s="2" t="s">
        <v>111</v>
      </c>
      <c r="B111" s="2" t="s">
        <v>2628</v>
      </c>
      <c r="C111" t="s">
        <v>2397</v>
      </c>
      <c r="D111" t="s">
        <v>2596</v>
      </c>
    </row>
    <row r="112" spans="1:6" ht="15.5" x14ac:dyDescent="0.35">
      <c r="A112" s="2" t="s">
        <v>112</v>
      </c>
      <c r="B112" s="2" t="s">
        <v>2629</v>
      </c>
      <c r="C112" t="s">
        <v>2397</v>
      </c>
      <c r="D112" t="s">
        <v>2630</v>
      </c>
    </row>
    <row r="113" spans="1:6" ht="15.5" x14ac:dyDescent="0.35">
      <c r="A113" s="2" t="s">
        <v>113</v>
      </c>
      <c r="B113" s="2" t="s">
        <v>2631</v>
      </c>
      <c r="C113" t="s">
        <v>2394</v>
      </c>
      <c r="D113" t="s">
        <v>2632</v>
      </c>
    </row>
    <row r="114" spans="1:6" ht="15.5" x14ac:dyDescent="0.35">
      <c r="A114" s="2" t="s">
        <v>114</v>
      </c>
      <c r="B114" s="2" t="s">
        <v>2633</v>
      </c>
      <c r="C114" t="s">
        <v>2394</v>
      </c>
      <c r="D114" t="s">
        <v>2634</v>
      </c>
    </row>
    <row r="115" spans="1:6" ht="15.5" x14ac:dyDescent="0.35">
      <c r="A115" s="2" t="s">
        <v>115</v>
      </c>
      <c r="B115" s="2" t="s">
        <v>2635</v>
      </c>
      <c r="C115" t="s">
        <v>2397</v>
      </c>
      <c r="D115" t="s">
        <v>2636</v>
      </c>
      <c r="E115" t="s">
        <v>2622</v>
      </c>
    </row>
    <row r="116" spans="1:6" ht="15.5" x14ac:dyDescent="0.35">
      <c r="A116" s="2" t="s">
        <v>116</v>
      </c>
      <c r="B116" s="2" t="s">
        <v>2637</v>
      </c>
      <c r="C116" t="s">
        <v>2397</v>
      </c>
      <c r="D116" t="s">
        <v>2638</v>
      </c>
    </row>
    <row r="117" spans="1:6" ht="15.5" x14ac:dyDescent="0.35">
      <c r="A117" s="2" t="s">
        <v>117</v>
      </c>
      <c r="B117" s="2" t="s">
        <v>2639</v>
      </c>
      <c r="C117" t="s">
        <v>2394</v>
      </c>
      <c r="D117" t="s">
        <v>2640</v>
      </c>
    </row>
    <row r="118" spans="1:6" ht="15.5" x14ac:dyDescent="0.35">
      <c r="A118" s="2" t="s">
        <v>118</v>
      </c>
      <c r="B118" s="2" t="s">
        <v>2641</v>
      </c>
      <c r="C118" t="s">
        <v>2397</v>
      </c>
      <c r="D118" t="s">
        <v>2642</v>
      </c>
      <c r="E118" t="s">
        <v>2643</v>
      </c>
    </row>
    <row r="119" spans="1:6" ht="15.5" x14ac:dyDescent="0.35">
      <c r="A119" s="2" t="s">
        <v>119</v>
      </c>
      <c r="B119" s="2" t="s">
        <v>2644</v>
      </c>
      <c r="C119" t="s">
        <v>2397</v>
      </c>
      <c r="D119" t="s">
        <v>2443</v>
      </c>
    </row>
    <row r="120" spans="1:6" ht="15.5" x14ac:dyDescent="0.35">
      <c r="A120" s="2" t="s">
        <v>120</v>
      </c>
      <c r="B120" s="2" t="s">
        <v>2645</v>
      </c>
      <c r="C120" t="s">
        <v>2397</v>
      </c>
      <c r="D120" t="s">
        <v>2646</v>
      </c>
    </row>
    <row r="121" spans="1:6" ht="15.5" x14ac:dyDescent="0.35">
      <c r="A121" s="2" t="s">
        <v>121</v>
      </c>
      <c r="B121" s="2" t="s">
        <v>2647</v>
      </c>
      <c r="C121" t="s">
        <v>2397</v>
      </c>
      <c r="D121" t="s">
        <v>2648</v>
      </c>
    </row>
    <row r="122" spans="1:6" ht="15.5" x14ac:dyDescent="0.35">
      <c r="A122" s="2" t="s">
        <v>122</v>
      </c>
      <c r="B122" s="2" t="s">
        <v>2649</v>
      </c>
      <c r="C122" t="s">
        <v>2397</v>
      </c>
      <c r="D122" t="s">
        <v>2650</v>
      </c>
      <c r="E122" t="s">
        <v>2477</v>
      </c>
    </row>
    <row r="123" spans="1:6" ht="15.5" x14ac:dyDescent="0.35">
      <c r="A123" s="2" t="s">
        <v>123</v>
      </c>
      <c r="B123" s="2" t="s">
        <v>2651</v>
      </c>
      <c r="C123" t="s">
        <v>2397</v>
      </c>
      <c r="D123" t="s">
        <v>2638</v>
      </c>
      <c r="E123" t="s">
        <v>2436</v>
      </c>
    </row>
    <row r="124" spans="1:6" ht="15.5" x14ac:dyDescent="0.35">
      <c r="A124" s="2" t="s">
        <v>124</v>
      </c>
      <c r="B124" s="2" t="s">
        <v>2652</v>
      </c>
      <c r="C124" t="s">
        <v>2394</v>
      </c>
      <c r="D124" t="s">
        <v>2653</v>
      </c>
    </row>
    <row r="125" spans="1:6" ht="15.5" x14ac:dyDescent="0.35">
      <c r="A125" s="2" t="s">
        <v>125</v>
      </c>
      <c r="B125" s="2" t="s">
        <v>2654</v>
      </c>
      <c r="C125" t="s">
        <v>2397</v>
      </c>
      <c r="D125" t="s">
        <v>2655</v>
      </c>
    </row>
    <row r="126" spans="1:6" ht="15.5" x14ac:dyDescent="0.35">
      <c r="A126" s="2" t="s">
        <v>126</v>
      </c>
      <c r="B126" s="2" t="s">
        <v>2656</v>
      </c>
      <c r="C126" t="s">
        <v>2394</v>
      </c>
      <c r="D126" t="s">
        <v>2657</v>
      </c>
      <c r="E126" t="s">
        <v>2467</v>
      </c>
    </row>
    <row r="127" spans="1:6" ht="15.5" x14ac:dyDescent="0.35">
      <c r="A127" s="2" t="s">
        <v>127</v>
      </c>
      <c r="B127" s="2" t="s">
        <v>2658</v>
      </c>
      <c r="C127" t="s">
        <v>2397</v>
      </c>
      <c r="D127" t="s">
        <v>2398</v>
      </c>
      <c r="E127" t="s">
        <v>2643</v>
      </c>
    </row>
    <row r="128" spans="1:6" ht="15.5" x14ac:dyDescent="0.35">
      <c r="A128" s="2" t="s">
        <v>128</v>
      </c>
      <c r="B128" s="2" t="s">
        <v>2659</v>
      </c>
      <c r="C128" t="s">
        <v>2660</v>
      </c>
      <c r="D128" t="s">
        <v>2397</v>
      </c>
      <c r="E128" t="s">
        <v>2661</v>
      </c>
      <c r="F128" t="s">
        <v>2441</v>
      </c>
    </row>
    <row r="129" spans="1:5" ht="15.5" x14ac:dyDescent="0.35">
      <c r="A129" s="2" t="s">
        <v>129</v>
      </c>
      <c r="B129" s="2" t="s">
        <v>2662</v>
      </c>
      <c r="C129" t="s">
        <v>2397</v>
      </c>
      <c r="D129" t="s">
        <v>2481</v>
      </c>
      <c r="E129" t="s">
        <v>2448</v>
      </c>
    </row>
    <row r="130" spans="1:5" ht="15.5" x14ac:dyDescent="0.35">
      <c r="A130" s="2" t="s">
        <v>130</v>
      </c>
      <c r="B130" s="2" t="s">
        <v>2663</v>
      </c>
      <c r="C130" t="s">
        <v>2397</v>
      </c>
      <c r="D130" t="s">
        <v>2664</v>
      </c>
    </row>
    <row r="131" spans="1:5" ht="15.5" x14ac:dyDescent="0.35">
      <c r="A131" s="2" t="s">
        <v>131</v>
      </c>
      <c r="B131" s="2" t="s">
        <v>2665</v>
      </c>
      <c r="C131" t="s">
        <v>2397</v>
      </c>
      <c r="D131" t="s">
        <v>2666</v>
      </c>
    </row>
    <row r="132" spans="1:5" ht="15.5" x14ac:dyDescent="0.35">
      <c r="A132" s="2" t="s">
        <v>132</v>
      </c>
      <c r="B132" s="2" t="s">
        <v>2667</v>
      </c>
      <c r="C132" t="s">
        <v>2397</v>
      </c>
      <c r="D132" t="s">
        <v>2668</v>
      </c>
      <c r="E132" t="s">
        <v>2519</v>
      </c>
    </row>
    <row r="133" spans="1:5" ht="15.5" x14ac:dyDescent="0.35">
      <c r="A133" s="2" t="s">
        <v>133</v>
      </c>
      <c r="B133" s="2" t="s">
        <v>2669</v>
      </c>
      <c r="C133" t="s">
        <v>2394</v>
      </c>
      <c r="D133" t="s">
        <v>2670</v>
      </c>
      <c r="E133" t="s">
        <v>2671</v>
      </c>
    </row>
    <row r="134" spans="1:5" ht="15.5" x14ac:dyDescent="0.35">
      <c r="A134" s="2" t="s">
        <v>134</v>
      </c>
      <c r="B134" s="2" t="s">
        <v>2672</v>
      </c>
      <c r="C134" t="s">
        <v>2397</v>
      </c>
      <c r="D134" t="s">
        <v>2673</v>
      </c>
    </row>
    <row r="135" spans="1:5" ht="15.5" x14ac:dyDescent="0.35">
      <c r="A135" s="2" t="s">
        <v>135</v>
      </c>
      <c r="B135" s="2" t="s">
        <v>2674</v>
      </c>
      <c r="C135" t="s">
        <v>2397</v>
      </c>
      <c r="D135" t="s">
        <v>2675</v>
      </c>
    </row>
    <row r="136" spans="1:5" ht="15.5" x14ac:dyDescent="0.35">
      <c r="A136" s="2" t="s">
        <v>136</v>
      </c>
      <c r="B136" s="2" t="s">
        <v>2676</v>
      </c>
      <c r="C136" t="s">
        <v>2394</v>
      </c>
      <c r="D136" t="s">
        <v>2677</v>
      </c>
      <c r="E136" t="s">
        <v>2501</v>
      </c>
    </row>
    <row r="137" spans="1:5" ht="15.5" x14ac:dyDescent="0.35">
      <c r="A137" s="2" t="s">
        <v>137</v>
      </c>
      <c r="B137" s="2" t="s">
        <v>2678</v>
      </c>
      <c r="C137" t="s">
        <v>2394</v>
      </c>
      <c r="D137" t="s">
        <v>2679</v>
      </c>
      <c r="E137" t="s">
        <v>2680</v>
      </c>
    </row>
    <row r="138" spans="1:5" ht="15.5" x14ac:dyDescent="0.35">
      <c r="A138" s="2" t="s">
        <v>138</v>
      </c>
      <c r="B138" s="2" t="s">
        <v>2681</v>
      </c>
      <c r="C138" t="s">
        <v>2394</v>
      </c>
      <c r="D138" t="s">
        <v>2682</v>
      </c>
      <c r="E138" t="s">
        <v>2408</v>
      </c>
    </row>
    <row r="139" spans="1:5" ht="15.5" x14ac:dyDescent="0.35">
      <c r="A139" s="2" t="s">
        <v>139</v>
      </c>
      <c r="B139" s="2" t="s">
        <v>2683</v>
      </c>
      <c r="C139" t="s">
        <v>2397</v>
      </c>
      <c r="D139" t="s">
        <v>2684</v>
      </c>
      <c r="E139" t="s">
        <v>2516</v>
      </c>
    </row>
    <row r="140" spans="1:5" ht="15.5" x14ac:dyDescent="0.35">
      <c r="A140" s="2" t="s">
        <v>140</v>
      </c>
      <c r="B140" s="2" t="s">
        <v>2685</v>
      </c>
      <c r="C140" t="s">
        <v>2397</v>
      </c>
      <c r="D140" t="s">
        <v>2686</v>
      </c>
    </row>
    <row r="141" spans="1:5" ht="15.5" x14ac:dyDescent="0.35">
      <c r="A141" s="2" t="s">
        <v>141</v>
      </c>
      <c r="B141" s="2" t="s">
        <v>2687</v>
      </c>
      <c r="C141" t="s">
        <v>2397</v>
      </c>
      <c r="D141" t="s">
        <v>2688</v>
      </c>
    </row>
    <row r="142" spans="1:5" ht="15.5" x14ac:dyDescent="0.35">
      <c r="A142" s="2" t="s">
        <v>142</v>
      </c>
      <c r="B142" s="2" t="s">
        <v>2689</v>
      </c>
      <c r="C142" t="s">
        <v>2397</v>
      </c>
      <c r="D142" t="s">
        <v>2690</v>
      </c>
    </row>
    <row r="143" spans="1:5" ht="15.5" x14ac:dyDescent="0.35">
      <c r="A143" s="2" t="s">
        <v>143</v>
      </c>
      <c r="B143" s="2" t="s">
        <v>2691</v>
      </c>
      <c r="C143" t="s">
        <v>2397</v>
      </c>
      <c r="D143" t="s">
        <v>2692</v>
      </c>
    </row>
    <row r="144" spans="1:5" ht="15.5" x14ac:dyDescent="0.35">
      <c r="A144" s="2" t="s">
        <v>144</v>
      </c>
      <c r="B144" s="2" t="s">
        <v>2693</v>
      </c>
      <c r="C144" t="s">
        <v>2394</v>
      </c>
      <c r="D144" t="s">
        <v>2694</v>
      </c>
      <c r="E144" t="s">
        <v>2467</v>
      </c>
    </row>
    <row r="145" spans="1:5" ht="15.5" x14ac:dyDescent="0.35">
      <c r="A145" s="2" t="s">
        <v>145</v>
      </c>
      <c r="B145" s="2" t="s">
        <v>2695</v>
      </c>
      <c r="C145" t="s">
        <v>2397</v>
      </c>
      <c r="D145" t="s">
        <v>2398</v>
      </c>
      <c r="E145" t="s">
        <v>2696</v>
      </c>
    </row>
    <row r="146" spans="1:5" ht="15.5" x14ac:dyDescent="0.35">
      <c r="A146" s="2" t="s">
        <v>146</v>
      </c>
      <c r="B146" s="2" t="s">
        <v>2697</v>
      </c>
      <c r="C146" t="s">
        <v>2397</v>
      </c>
      <c r="D146" t="s">
        <v>2452</v>
      </c>
    </row>
    <row r="147" spans="1:5" ht="15.5" x14ac:dyDescent="0.35">
      <c r="A147" s="2" t="s">
        <v>147</v>
      </c>
      <c r="B147" s="2" t="s">
        <v>2698</v>
      </c>
      <c r="C147" t="s">
        <v>2394</v>
      </c>
      <c r="D147" t="s">
        <v>2699</v>
      </c>
      <c r="E147" t="s">
        <v>2700</v>
      </c>
    </row>
    <row r="148" spans="1:5" ht="15.5" x14ac:dyDescent="0.35">
      <c r="A148" s="2" t="s">
        <v>148</v>
      </c>
      <c r="B148" s="2" t="s">
        <v>2571</v>
      </c>
      <c r="C148" t="s">
        <v>2397</v>
      </c>
      <c r="D148" t="s">
        <v>2701</v>
      </c>
      <c r="E148" t="s">
        <v>2643</v>
      </c>
    </row>
    <row r="149" spans="1:5" ht="15.5" x14ac:dyDescent="0.35">
      <c r="A149" s="2" t="s">
        <v>149</v>
      </c>
      <c r="B149" s="2" t="s">
        <v>2702</v>
      </c>
      <c r="C149" t="s">
        <v>2397</v>
      </c>
      <c r="D149" t="s">
        <v>2703</v>
      </c>
    </row>
    <row r="150" spans="1:5" ht="15.5" x14ac:dyDescent="0.35">
      <c r="A150" s="2" t="s">
        <v>150</v>
      </c>
      <c r="B150" s="2" t="s">
        <v>2704</v>
      </c>
      <c r="C150" t="s">
        <v>2397</v>
      </c>
      <c r="D150" t="s">
        <v>2705</v>
      </c>
    </row>
    <row r="151" spans="1:5" ht="15.5" x14ac:dyDescent="0.35">
      <c r="A151" s="2" t="s">
        <v>151</v>
      </c>
      <c r="B151" s="2" t="s">
        <v>2706</v>
      </c>
      <c r="C151" t="s">
        <v>2397</v>
      </c>
      <c r="D151" t="s">
        <v>2610</v>
      </c>
      <c r="E151" t="s">
        <v>2519</v>
      </c>
    </row>
    <row r="152" spans="1:5" ht="15.5" x14ac:dyDescent="0.35">
      <c r="A152" s="2" t="s">
        <v>152</v>
      </c>
      <c r="B152" s="2" t="s">
        <v>2707</v>
      </c>
      <c r="C152" t="s">
        <v>2394</v>
      </c>
      <c r="D152" t="s">
        <v>2708</v>
      </c>
    </row>
    <row r="153" spans="1:5" ht="15.5" x14ac:dyDescent="0.35">
      <c r="A153" s="2" t="s">
        <v>153</v>
      </c>
      <c r="B153" s="2" t="s">
        <v>2709</v>
      </c>
      <c r="C153" t="s">
        <v>2397</v>
      </c>
      <c r="D153" t="s">
        <v>2701</v>
      </c>
      <c r="E153" t="s">
        <v>2643</v>
      </c>
    </row>
    <row r="154" spans="1:5" ht="15.5" x14ac:dyDescent="0.35">
      <c r="A154" s="2" t="s">
        <v>154</v>
      </c>
      <c r="B154" s="2" t="s">
        <v>2710</v>
      </c>
      <c r="C154" t="s">
        <v>2397</v>
      </c>
      <c r="D154" t="s">
        <v>2711</v>
      </c>
    </row>
    <row r="155" spans="1:5" ht="15.5" x14ac:dyDescent="0.35">
      <c r="A155" s="2" t="s">
        <v>155</v>
      </c>
      <c r="B155" s="2" t="s">
        <v>2712</v>
      </c>
      <c r="C155" t="s">
        <v>2397</v>
      </c>
      <c r="D155" t="s">
        <v>2701</v>
      </c>
    </row>
    <row r="156" spans="1:5" ht="15.5" x14ac:dyDescent="0.35">
      <c r="A156" s="2" t="s">
        <v>156</v>
      </c>
      <c r="B156" s="2" t="s">
        <v>2713</v>
      </c>
      <c r="C156" t="s">
        <v>2397</v>
      </c>
      <c r="D156" t="s">
        <v>2714</v>
      </c>
    </row>
    <row r="157" spans="1:5" ht="15.5" x14ac:dyDescent="0.35">
      <c r="A157" s="2" t="s">
        <v>157</v>
      </c>
      <c r="B157" s="2" t="s">
        <v>2715</v>
      </c>
      <c r="C157" t="s">
        <v>2397</v>
      </c>
      <c r="D157" t="s">
        <v>2398</v>
      </c>
    </row>
    <row r="158" spans="1:5" ht="15.5" x14ac:dyDescent="0.35">
      <c r="A158" s="2" t="s">
        <v>158</v>
      </c>
      <c r="B158" s="2" t="s">
        <v>2716</v>
      </c>
      <c r="C158" t="s">
        <v>2397</v>
      </c>
      <c r="D158" t="s">
        <v>2544</v>
      </c>
    </row>
    <row r="159" spans="1:5" ht="15.5" x14ac:dyDescent="0.35">
      <c r="A159" s="2" t="s">
        <v>159</v>
      </c>
      <c r="B159" s="2" t="s">
        <v>2717</v>
      </c>
      <c r="C159" t="s">
        <v>2394</v>
      </c>
      <c r="D159" t="s">
        <v>2718</v>
      </c>
    </row>
    <row r="160" spans="1:5" ht="15.5" x14ac:dyDescent="0.35">
      <c r="A160" s="2" t="s">
        <v>160</v>
      </c>
      <c r="B160" s="2" t="s">
        <v>2719</v>
      </c>
      <c r="C160" t="s">
        <v>2394</v>
      </c>
      <c r="D160" t="s">
        <v>2720</v>
      </c>
    </row>
    <row r="161" spans="1:6" ht="15.5" x14ac:dyDescent="0.35">
      <c r="A161" s="2" t="s">
        <v>161</v>
      </c>
      <c r="B161" s="2" t="s">
        <v>2721</v>
      </c>
      <c r="C161" t="s">
        <v>2397</v>
      </c>
      <c r="D161" t="s">
        <v>2722</v>
      </c>
      <c r="E161" t="s">
        <v>2723</v>
      </c>
      <c r="F161" t="s">
        <v>2441</v>
      </c>
    </row>
    <row r="162" spans="1:6" ht="15.5" x14ac:dyDescent="0.35">
      <c r="A162" s="2" t="s">
        <v>162</v>
      </c>
      <c r="B162" s="2" t="s">
        <v>2724</v>
      </c>
      <c r="C162" t="s">
        <v>2397</v>
      </c>
      <c r="D162" t="s">
        <v>2725</v>
      </c>
    </row>
    <row r="163" spans="1:6" ht="15.5" x14ac:dyDescent="0.35">
      <c r="A163" s="2" t="s">
        <v>163</v>
      </c>
      <c r="B163" s="2" t="s">
        <v>2726</v>
      </c>
      <c r="C163" t="s">
        <v>2397</v>
      </c>
      <c r="D163" t="s">
        <v>2727</v>
      </c>
      <c r="E163" t="s">
        <v>2723</v>
      </c>
    </row>
    <row r="164" spans="1:6" ht="15.5" x14ac:dyDescent="0.35">
      <c r="A164" s="2" t="s">
        <v>164</v>
      </c>
      <c r="B164" s="2" t="s">
        <v>2728</v>
      </c>
      <c r="C164" t="s">
        <v>2397</v>
      </c>
      <c r="D164" t="s">
        <v>2729</v>
      </c>
    </row>
    <row r="165" spans="1:6" ht="15.5" x14ac:dyDescent="0.35">
      <c r="A165" s="2" t="s">
        <v>165</v>
      </c>
      <c r="B165" s="2" t="s">
        <v>2730</v>
      </c>
      <c r="C165" t="s">
        <v>2397</v>
      </c>
      <c r="D165" t="s">
        <v>2731</v>
      </c>
    </row>
    <row r="166" spans="1:6" ht="15.5" x14ac:dyDescent="0.35">
      <c r="A166" s="2" t="s">
        <v>166</v>
      </c>
      <c r="B166" s="2" t="s">
        <v>2732</v>
      </c>
      <c r="C166" t="s">
        <v>2394</v>
      </c>
      <c r="D166" t="s">
        <v>2733</v>
      </c>
    </row>
    <row r="167" spans="1:6" ht="15.5" x14ac:dyDescent="0.35">
      <c r="A167" s="2" t="s">
        <v>167</v>
      </c>
      <c r="B167" s="2" t="s">
        <v>2734</v>
      </c>
      <c r="C167" t="s">
        <v>2397</v>
      </c>
      <c r="D167" t="s">
        <v>2735</v>
      </c>
      <c r="E167" t="s">
        <v>2534</v>
      </c>
    </row>
    <row r="168" spans="1:6" ht="15.5" x14ac:dyDescent="0.35">
      <c r="A168" s="2" t="s">
        <v>168</v>
      </c>
      <c r="B168" s="2" t="s">
        <v>2736</v>
      </c>
      <c r="C168" t="s">
        <v>2394</v>
      </c>
      <c r="D168" t="s">
        <v>2737</v>
      </c>
    </row>
    <row r="169" spans="1:6" ht="15.5" x14ac:dyDescent="0.35">
      <c r="A169" s="2" t="s">
        <v>169</v>
      </c>
      <c r="B169" s="2" t="s">
        <v>2738</v>
      </c>
      <c r="C169" t="s">
        <v>2394</v>
      </c>
      <c r="D169" t="s">
        <v>2739</v>
      </c>
      <c r="E169" t="s">
        <v>2700</v>
      </c>
    </row>
    <row r="170" spans="1:6" ht="15.5" x14ac:dyDescent="0.35">
      <c r="A170" s="2" t="s">
        <v>170</v>
      </c>
      <c r="B170" s="2" t="s">
        <v>2740</v>
      </c>
      <c r="C170" t="s">
        <v>2397</v>
      </c>
      <c r="D170" t="s">
        <v>2741</v>
      </c>
      <c r="E170" t="s">
        <v>2501</v>
      </c>
    </row>
    <row r="171" spans="1:6" ht="15.5" x14ac:dyDescent="0.35">
      <c r="A171" s="2" t="s">
        <v>171</v>
      </c>
      <c r="B171" s="2" t="s">
        <v>2742</v>
      </c>
      <c r="C171" t="s">
        <v>2397</v>
      </c>
      <c r="D171" t="s">
        <v>2743</v>
      </c>
    </row>
    <row r="172" spans="1:6" ht="15.5" x14ac:dyDescent="0.35">
      <c r="A172" s="2" t="s">
        <v>172</v>
      </c>
      <c r="B172" s="2" t="s">
        <v>2744</v>
      </c>
      <c r="C172" t="s">
        <v>2394</v>
      </c>
      <c r="D172" t="s">
        <v>2465</v>
      </c>
    </row>
    <row r="173" spans="1:6" ht="15.5" x14ac:dyDescent="0.35">
      <c r="A173" s="2" t="s">
        <v>173</v>
      </c>
      <c r="B173" s="2" t="s">
        <v>2745</v>
      </c>
      <c r="C173" t="s">
        <v>2394</v>
      </c>
      <c r="D173" t="s">
        <v>2746</v>
      </c>
    </row>
    <row r="174" spans="1:6" ht="15.5" x14ac:dyDescent="0.35">
      <c r="A174" s="2" t="s">
        <v>174</v>
      </c>
      <c r="B174" s="2" t="s">
        <v>2747</v>
      </c>
      <c r="C174" t="s">
        <v>2397</v>
      </c>
      <c r="D174" t="s">
        <v>2748</v>
      </c>
    </row>
    <row r="175" spans="1:6" ht="15.5" x14ac:dyDescent="0.35">
      <c r="A175" s="2" t="s">
        <v>175</v>
      </c>
      <c r="B175" s="2" t="s">
        <v>2749</v>
      </c>
      <c r="C175" t="s">
        <v>2394</v>
      </c>
      <c r="D175" t="s">
        <v>2627</v>
      </c>
    </row>
    <row r="176" spans="1:6" ht="15.5" x14ac:dyDescent="0.35">
      <c r="A176" s="2" t="s">
        <v>176</v>
      </c>
      <c r="B176" s="2" t="s">
        <v>2750</v>
      </c>
      <c r="C176" t="s">
        <v>2397</v>
      </c>
      <c r="D176" t="s">
        <v>2751</v>
      </c>
    </row>
    <row r="177" spans="1:6" ht="15.5" x14ac:dyDescent="0.35">
      <c r="A177" s="2" t="s">
        <v>177</v>
      </c>
      <c r="B177" s="2" t="s">
        <v>2752</v>
      </c>
      <c r="C177" t="s">
        <v>2397</v>
      </c>
      <c r="D177" t="s">
        <v>2443</v>
      </c>
    </row>
    <row r="178" spans="1:6" ht="15.5" x14ac:dyDescent="0.35">
      <c r="A178" s="2" t="s">
        <v>178</v>
      </c>
      <c r="B178" s="2" t="s">
        <v>2753</v>
      </c>
      <c r="C178" t="s">
        <v>2394</v>
      </c>
      <c r="D178" t="s">
        <v>2403</v>
      </c>
      <c r="E178" t="s">
        <v>2436</v>
      </c>
    </row>
    <row r="179" spans="1:6" ht="15.5" x14ac:dyDescent="0.35">
      <c r="A179" s="2" t="s">
        <v>179</v>
      </c>
      <c r="B179" s="2" t="s">
        <v>2754</v>
      </c>
      <c r="C179" t="s">
        <v>2394</v>
      </c>
      <c r="D179" t="s">
        <v>2755</v>
      </c>
      <c r="E179" t="s">
        <v>2501</v>
      </c>
    </row>
    <row r="180" spans="1:6" ht="15.5" x14ac:dyDescent="0.35">
      <c r="A180" s="2" t="s">
        <v>180</v>
      </c>
      <c r="B180" s="2" t="s">
        <v>2756</v>
      </c>
      <c r="C180" t="s">
        <v>2394</v>
      </c>
      <c r="D180" t="s">
        <v>2757</v>
      </c>
    </row>
    <row r="181" spans="1:6" ht="15.5" x14ac:dyDescent="0.35">
      <c r="A181" s="2" t="s">
        <v>181</v>
      </c>
      <c r="B181" s="2" t="s">
        <v>2758</v>
      </c>
      <c r="C181" t="s">
        <v>2394</v>
      </c>
      <c r="D181" t="s">
        <v>2435</v>
      </c>
      <c r="E181" t="s">
        <v>2501</v>
      </c>
    </row>
    <row r="182" spans="1:6" ht="15.5" x14ac:dyDescent="0.35">
      <c r="A182" s="2" t="s">
        <v>182</v>
      </c>
      <c r="B182" s="2" t="s">
        <v>2759</v>
      </c>
      <c r="C182" t="s">
        <v>2394</v>
      </c>
      <c r="D182" t="s">
        <v>2760</v>
      </c>
      <c r="E182" t="s">
        <v>2462</v>
      </c>
    </row>
    <row r="183" spans="1:6" ht="15.5" x14ac:dyDescent="0.35">
      <c r="A183" s="2" t="s">
        <v>183</v>
      </c>
      <c r="B183" s="2" t="s">
        <v>2761</v>
      </c>
      <c r="C183" t="s">
        <v>2397</v>
      </c>
      <c r="D183" t="s">
        <v>2762</v>
      </c>
    </row>
    <row r="184" spans="1:6" ht="15.5" x14ac:dyDescent="0.35">
      <c r="A184" s="2" t="s">
        <v>184</v>
      </c>
      <c r="B184" s="2" t="s">
        <v>2763</v>
      </c>
      <c r="C184" t="s">
        <v>2397</v>
      </c>
      <c r="D184" t="s">
        <v>2764</v>
      </c>
    </row>
    <row r="185" spans="1:6" ht="15.5" x14ac:dyDescent="0.35">
      <c r="A185" s="2" t="s">
        <v>185</v>
      </c>
      <c r="B185" s="2" t="s">
        <v>2765</v>
      </c>
      <c r="C185" t="s">
        <v>2397</v>
      </c>
      <c r="D185" t="s">
        <v>2398</v>
      </c>
      <c r="E185" t="s">
        <v>2766</v>
      </c>
    </row>
    <row r="186" spans="1:6" ht="15.5" x14ac:dyDescent="0.35">
      <c r="A186" s="2" t="s">
        <v>186</v>
      </c>
      <c r="B186" s="2" t="s">
        <v>2767</v>
      </c>
      <c r="C186" t="s">
        <v>2397</v>
      </c>
      <c r="D186" t="s">
        <v>2481</v>
      </c>
      <c r="E186" t="s">
        <v>2467</v>
      </c>
    </row>
    <row r="187" spans="1:6" ht="15.5" x14ac:dyDescent="0.35">
      <c r="A187" s="2" t="s">
        <v>187</v>
      </c>
      <c r="B187" s="2" t="s">
        <v>2768</v>
      </c>
      <c r="C187" t="s">
        <v>2394</v>
      </c>
      <c r="D187" t="s">
        <v>2769</v>
      </c>
    </row>
    <row r="188" spans="1:6" ht="15.5" x14ac:dyDescent="0.35">
      <c r="A188" s="2" t="s">
        <v>188</v>
      </c>
      <c r="B188" s="2" t="s">
        <v>2770</v>
      </c>
      <c r="C188" t="s">
        <v>2397</v>
      </c>
      <c r="D188" t="s">
        <v>2515</v>
      </c>
      <c r="E188" t="s">
        <v>2643</v>
      </c>
    </row>
    <row r="189" spans="1:6" ht="15.5" x14ac:dyDescent="0.35">
      <c r="A189" s="2" t="s">
        <v>189</v>
      </c>
      <c r="B189" s="2" t="s">
        <v>2771</v>
      </c>
      <c r="C189" t="s">
        <v>2397</v>
      </c>
      <c r="D189" t="s">
        <v>2668</v>
      </c>
      <c r="E189" t="s">
        <v>2431</v>
      </c>
      <c r="F189" t="s">
        <v>2772</v>
      </c>
    </row>
    <row r="190" spans="1:6" ht="15.5" x14ac:dyDescent="0.35">
      <c r="A190" s="2" t="s">
        <v>190</v>
      </c>
      <c r="B190" s="2" t="s">
        <v>2773</v>
      </c>
      <c r="C190" t="s">
        <v>2394</v>
      </c>
      <c r="D190" t="s">
        <v>2774</v>
      </c>
    </row>
    <row r="191" spans="1:6" ht="15.5" x14ac:dyDescent="0.35">
      <c r="A191" s="2" t="s">
        <v>191</v>
      </c>
      <c r="B191" s="2" t="s">
        <v>2775</v>
      </c>
      <c r="C191" t="s">
        <v>2394</v>
      </c>
      <c r="D191" t="s">
        <v>2776</v>
      </c>
    </row>
    <row r="192" spans="1:6" ht="15.5" x14ac:dyDescent="0.35">
      <c r="A192" s="2" t="s">
        <v>192</v>
      </c>
      <c r="B192" s="2" t="s">
        <v>2777</v>
      </c>
      <c r="C192" t="s">
        <v>2397</v>
      </c>
      <c r="D192" t="s">
        <v>2778</v>
      </c>
    </row>
    <row r="193" spans="1:5" ht="15.5" x14ac:dyDescent="0.35">
      <c r="A193" s="2" t="s">
        <v>193</v>
      </c>
      <c r="B193" s="2" t="s">
        <v>2779</v>
      </c>
      <c r="C193" t="s">
        <v>2397</v>
      </c>
      <c r="D193" t="s">
        <v>2780</v>
      </c>
    </row>
    <row r="194" spans="1:5" ht="15.5" x14ac:dyDescent="0.35">
      <c r="A194" s="2" t="s">
        <v>194</v>
      </c>
      <c r="B194" s="2" t="s">
        <v>2781</v>
      </c>
      <c r="C194" t="s">
        <v>2394</v>
      </c>
      <c r="D194" t="s">
        <v>2782</v>
      </c>
    </row>
    <row r="195" spans="1:5" ht="15.5" x14ac:dyDescent="0.35">
      <c r="A195" s="2" t="s">
        <v>195</v>
      </c>
      <c r="B195" s="2" t="s">
        <v>2783</v>
      </c>
      <c r="C195" t="s">
        <v>2453</v>
      </c>
      <c r="D195" t="s">
        <v>2397</v>
      </c>
      <c r="E195" t="s">
        <v>2784</v>
      </c>
    </row>
    <row r="196" spans="1:5" ht="15.5" x14ac:dyDescent="0.35">
      <c r="A196" s="2" t="s">
        <v>196</v>
      </c>
      <c r="B196" s="2" t="s">
        <v>2785</v>
      </c>
      <c r="C196" t="s">
        <v>2397</v>
      </c>
      <c r="D196" t="s">
        <v>2786</v>
      </c>
      <c r="E196" t="s">
        <v>2700</v>
      </c>
    </row>
    <row r="197" spans="1:5" ht="15.5" x14ac:dyDescent="0.35">
      <c r="A197" s="2" t="s">
        <v>197</v>
      </c>
      <c r="B197" s="2" t="s">
        <v>2787</v>
      </c>
      <c r="C197" t="s">
        <v>2397</v>
      </c>
      <c r="D197" t="s">
        <v>2788</v>
      </c>
    </row>
    <row r="198" spans="1:5" ht="15.5" x14ac:dyDescent="0.35">
      <c r="A198" s="2" t="s">
        <v>198</v>
      </c>
      <c r="B198" s="2" t="s">
        <v>2789</v>
      </c>
      <c r="C198" t="s">
        <v>2397</v>
      </c>
      <c r="D198" t="s">
        <v>2790</v>
      </c>
      <c r="E198" t="s">
        <v>2448</v>
      </c>
    </row>
    <row r="199" spans="1:5" ht="15.5" x14ac:dyDescent="0.35">
      <c r="A199" s="2" t="s">
        <v>199</v>
      </c>
      <c r="B199" s="2" t="s">
        <v>2791</v>
      </c>
      <c r="C199" t="s">
        <v>2397</v>
      </c>
      <c r="D199" t="s">
        <v>2692</v>
      </c>
    </row>
    <row r="200" spans="1:5" ht="15.5" x14ac:dyDescent="0.35">
      <c r="A200" s="2" t="s">
        <v>200</v>
      </c>
      <c r="B200" s="2" t="s">
        <v>2792</v>
      </c>
      <c r="C200" t="s">
        <v>2394</v>
      </c>
      <c r="D200" t="s">
        <v>2793</v>
      </c>
    </row>
    <row r="201" spans="1:5" ht="15.5" x14ac:dyDescent="0.35">
      <c r="A201" s="2" t="s">
        <v>201</v>
      </c>
      <c r="B201" s="2" t="s">
        <v>2794</v>
      </c>
      <c r="C201" t="s">
        <v>2397</v>
      </c>
      <c r="D201" t="s">
        <v>2686</v>
      </c>
    </row>
    <row r="202" spans="1:5" ht="15.5" x14ac:dyDescent="0.35">
      <c r="A202" s="2" t="s">
        <v>202</v>
      </c>
      <c r="B202" s="2" t="s">
        <v>2795</v>
      </c>
      <c r="C202" t="s">
        <v>2397</v>
      </c>
      <c r="D202" t="s">
        <v>2796</v>
      </c>
    </row>
    <row r="203" spans="1:5" ht="15.5" x14ac:dyDescent="0.35">
      <c r="A203" s="2" t="s">
        <v>203</v>
      </c>
      <c r="B203" s="2" t="s">
        <v>2797</v>
      </c>
      <c r="C203" t="s">
        <v>2397</v>
      </c>
      <c r="D203" t="s">
        <v>2798</v>
      </c>
      <c r="E203" t="s">
        <v>2799</v>
      </c>
    </row>
    <row r="204" spans="1:5" ht="15.5" x14ac:dyDescent="0.35">
      <c r="A204" s="2" t="s">
        <v>204</v>
      </c>
      <c r="B204" s="2" t="s">
        <v>2800</v>
      </c>
      <c r="C204" t="s">
        <v>2397</v>
      </c>
      <c r="D204" t="s">
        <v>2801</v>
      </c>
      <c r="E204" t="s">
        <v>2441</v>
      </c>
    </row>
    <row r="205" spans="1:5" ht="15.5" x14ac:dyDescent="0.35">
      <c r="A205" s="2" t="s">
        <v>205</v>
      </c>
      <c r="B205" s="2" t="s">
        <v>2802</v>
      </c>
      <c r="C205" t="s">
        <v>2394</v>
      </c>
      <c r="D205" t="s">
        <v>2585</v>
      </c>
    </row>
    <row r="206" spans="1:5" ht="15.5" x14ac:dyDescent="0.35">
      <c r="A206" s="2" t="s">
        <v>206</v>
      </c>
      <c r="B206" s="2" t="s">
        <v>2803</v>
      </c>
      <c r="C206" t="s">
        <v>2397</v>
      </c>
      <c r="D206" t="s">
        <v>2804</v>
      </c>
    </row>
    <row r="207" spans="1:5" ht="15.5" x14ac:dyDescent="0.35">
      <c r="A207" s="2" t="s">
        <v>207</v>
      </c>
      <c r="B207" s="2" t="s">
        <v>2805</v>
      </c>
      <c r="C207" t="s">
        <v>2394</v>
      </c>
      <c r="D207" t="s">
        <v>2657</v>
      </c>
      <c r="E207" t="s">
        <v>2806</v>
      </c>
    </row>
    <row r="208" spans="1:5" ht="15.5" x14ac:dyDescent="0.35">
      <c r="A208" s="2" t="s">
        <v>208</v>
      </c>
      <c r="B208" s="2" t="s">
        <v>2807</v>
      </c>
      <c r="C208" t="s">
        <v>2394</v>
      </c>
      <c r="D208" t="s">
        <v>2808</v>
      </c>
    </row>
    <row r="209" spans="1:5" ht="15.5" x14ac:dyDescent="0.35">
      <c r="A209" s="2" t="s">
        <v>209</v>
      </c>
      <c r="B209" s="2" t="s">
        <v>2809</v>
      </c>
      <c r="C209" t="s">
        <v>2397</v>
      </c>
      <c r="D209" t="s">
        <v>2810</v>
      </c>
    </row>
    <row r="210" spans="1:5" ht="15.5" x14ac:dyDescent="0.35">
      <c r="A210" s="2" t="s">
        <v>210</v>
      </c>
      <c r="B210" s="2" t="s">
        <v>2811</v>
      </c>
      <c r="C210" t="s">
        <v>2394</v>
      </c>
      <c r="D210" t="s">
        <v>2812</v>
      </c>
    </row>
    <row r="211" spans="1:5" ht="15.5" x14ac:dyDescent="0.35">
      <c r="A211" s="2" t="s">
        <v>211</v>
      </c>
      <c r="B211" s="2" t="s">
        <v>2813</v>
      </c>
      <c r="C211" t="s">
        <v>2394</v>
      </c>
      <c r="D211" t="s">
        <v>2575</v>
      </c>
      <c r="E211" t="s">
        <v>2501</v>
      </c>
    </row>
    <row r="212" spans="1:5" ht="15.5" x14ac:dyDescent="0.35">
      <c r="A212" s="2" t="s">
        <v>212</v>
      </c>
      <c r="B212" s="2" t="s">
        <v>2814</v>
      </c>
      <c r="C212" t="s">
        <v>2397</v>
      </c>
      <c r="D212" t="s">
        <v>2815</v>
      </c>
    </row>
    <row r="213" spans="1:5" ht="15.5" x14ac:dyDescent="0.35">
      <c r="A213" s="2" t="s">
        <v>213</v>
      </c>
      <c r="B213" s="2" t="s">
        <v>2816</v>
      </c>
      <c r="C213" t="s">
        <v>2397</v>
      </c>
      <c r="D213" t="s">
        <v>2675</v>
      </c>
      <c r="E213" t="s">
        <v>2772</v>
      </c>
    </row>
    <row r="214" spans="1:5" ht="15.5" x14ac:dyDescent="0.35">
      <c r="A214" s="2" t="s">
        <v>214</v>
      </c>
      <c r="B214" s="2" t="s">
        <v>2817</v>
      </c>
      <c r="C214" t="s">
        <v>2397</v>
      </c>
      <c r="D214" t="s">
        <v>2515</v>
      </c>
      <c r="E214" t="s">
        <v>2671</v>
      </c>
    </row>
    <row r="215" spans="1:5" ht="15.5" x14ac:dyDescent="0.35">
      <c r="A215" s="2" t="s">
        <v>215</v>
      </c>
      <c r="B215" s="2" t="s">
        <v>2818</v>
      </c>
      <c r="C215" t="s">
        <v>2397</v>
      </c>
      <c r="D215" t="s">
        <v>2398</v>
      </c>
      <c r="E215" t="s">
        <v>2399</v>
      </c>
    </row>
    <row r="216" spans="1:5" ht="15.5" x14ac:dyDescent="0.35">
      <c r="A216" s="2" t="s">
        <v>216</v>
      </c>
      <c r="B216" s="2" t="s">
        <v>2819</v>
      </c>
      <c r="C216" t="s">
        <v>2394</v>
      </c>
      <c r="D216" t="s">
        <v>2604</v>
      </c>
    </row>
    <row r="217" spans="1:5" ht="15.5" x14ac:dyDescent="0.35">
      <c r="A217" s="2" t="s">
        <v>217</v>
      </c>
      <c r="B217" s="2" t="s">
        <v>2820</v>
      </c>
      <c r="C217" t="s">
        <v>2397</v>
      </c>
      <c r="D217" t="s">
        <v>2821</v>
      </c>
    </row>
    <row r="218" spans="1:5" ht="15.5" x14ac:dyDescent="0.35">
      <c r="A218" s="2" t="s">
        <v>218</v>
      </c>
      <c r="B218" s="2" t="s">
        <v>2822</v>
      </c>
      <c r="C218" t="s">
        <v>2397</v>
      </c>
      <c r="D218" t="s">
        <v>2512</v>
      </c>
    </row>
    <row r="219" spans="1:5" ht="15.5" x14ac:dyDescent="0.35">
      <c r="A219" s="2" t="s">
        <v>219</v>
      </c>
      <c r="B219" s="2" t="s">
        <v>2823</v>
      </c>
      <c r="C219" t="s">
        <v>2397</v>
      </c>
      <c r="D219" t="s">
        <v>2577</v>
      </c>
    </row>
    <row r="220" spans="1:5" ht="15.5" x14ac:dyDescent="0.35">
      <c r="A220" s="2" t="s">
        <v>220</v>
      </c>
      <c r="B220" s="2" t="s">
        <v>2824</v>
      </c>
      <c r="C220" t="s">
        <v>2397</v>
      </c>
      <c r="D220" t="s">
        <v>2825</v>
      </c>
      <c r="E220" t="s">
        <v>2431</v>
      </c>
    </row>
    <row r="221" spans="1:5" ht="15.5" x14ac:dyDescent="0.35">
      <c r="A221" s="2" t="s">
        <v>221</v>
      </c>
      <c r="B221" s="2" t="s">
        <v>2571</v>
      </c>
      <c r="C221" t="s">
        <v>2397</v>
      </c>
      <c r="D221" t="s">
        <v>2826</v>
      </c>
      <c r="E221" t="s">
        <v>2519</v>
      </c>
    </row>
    <row r="222" spans="1:5" ht="15.5" x14ac:dyDescent="0.35">
      <c r="A222" s="2" t="s">
        <v>222</v>
      </c>
      <c r="B222" s="2" t="s">
        <v>2827</v>
      </c>
      <c r="C222" t="s">
        <v>2394</v>
      </c>
      <c r="D222" t="s">
        <v>2422</v>
      </c>
      <c r="E222" t="s">
        <v>2485</v>
      </c>
    </row>
    <row r="223" spans="1:5" ht="15.5" x14ac:dyDescent="0.35">
      <c r="A223" s="2" t="s">
        <v>223</v>
      </c>
      <c r="B223" s="2" t="s">
        <v>2828</v>
      </c>
      <c r="C223" t="s">
        <v>2397</v>
      </c>
      <c r="D223" t="s">
        <v>2510</v>
      </c>
      <c r="E223" t="s">
        <v>2671</v>
      </c>
    </row>
    <row r="224" spans="1:5" ht="15.5" x14ac:dyDescent="0.35">
      <c r="A224" s="2" t="s">
        <v>224</v>
      </c>
      <c r="B224" s="2" t="s">
        <v>2829</v>
      </c>
      <c r="C224" t="s">
        <v>2397</v>
      </c>
      <c r="D224" t="s">
        <v>2830</v>
      </c>
    </row>
    <row r="225" spans="1:5" ht="15.5" x14ac:dyDescent="0.35">
      <c r="A225" s="2" t="s">
        <v>225</v>
      </c>
      <c r="B225" s="2" t="s">
        <v>2831</v>
      </c>
      <c r="C225" t="s">
        <v>2394</v>
      </c>
      <c r="D225" t="s">
        <v>2832</v>
      </c>
      <c r="E225" t="s">
        <v>2399</v>
      </c>
    </row>
    <row r="226" spans="1:5" ht="15.5" x14ac:dyDescent="0.35">
      <c r="A226" s="2" t="s">
        <v>226</v>
      </c>
      <c r="B226" s="2" t="s">
        <v>2833</v>
      </c>
      <c r="C226" t="s">
        <v>2394</v>
      </c>
      <c r="D226" t="s">
        <v>2435</v>
      </c>
    </row>
    <row r="227" spans="1:5" ht="15.5" x14ac:dyDescent="0.35">
      <c r="A227" s="2" t="s">
        <v>227</v>
      </c>
      <c r="B227" s="2" t="s">
        <v>2538</v>
      </c>
      <c r="C227" t="s">
        <v>2397</v>
      </c>
      <c r="D227" t="s">
        <v>2834</v>
      </c>
    </row>
    <row r="228" spans="1:5" ht="15.5" x14ac:dyDescent="0.35">
      <c r="A228" s="2" t="s">
        <v>228</v>
      </c>
      <c r="B228" s="2" t="s">
        <v>2835</v>
      </c>
      <c r="C228" t="s">
        <v>2394</v>
      </c>
      <c r="D228" t="s">
        <v>2836</v>
      </c>
      <c r="E228" t="s">
        <v>2431</v>
      </c>
    </row>
    <row r="229" spans="1:5" ht="15.5" x14ac:dyDescent="0.35">
      <c r="A229" s="2" t="s">
        <v>229</v>
      </c>
      <c r="B229" s="2" t="s">
        <v>2837</v>
      </c>
      <c r="C229" t="s">
        <v>2397</v>
      </c>
      <c r="D229" t="s">
        <v>2838</v>
      </c>
    </row>
    <row r="230" spans="1:5" ht="15.5" x14ac:dyDescent="0.35">
      <c r="A230" s="2" t="s">
        <v>230</v>
      </c>
      <c r="B230" s="2" t="s">
        <v>2839</v>
      </c>
      <c r="C230" t="s">
        <v>2394</v>
      </c>
      <c r="D230" t="s">
        <v>2840</v>
      </c>
      <c r="E230" t="s">
        <v>2806</v>
      </c>
    </row>
    <row r="231" spans="1:5" ht="15.5" x14ac:dyDescent="0.35">
      <c r="A231" s="2" t="s">
        <v>231</v>
      </c>
      <c r="B231" s="2" t="s">
        <v>2841</v>
      </c>
      <c r="C231" t="s">
        <v>2394</v>
      </c>
      <c r="D231" t="s">
        <v>2657</v>
      </c>
    </row>
    <row r="232" spans="1:5" ht="15.5" x14ac:dyDescent="0.35">
      <c r="A232" s="2" t="s">
        <v>232</v>
      </c>
      <c r="B232" s="2" t="s">
        <v>2842</v>
      </c>
      <c r="C232" t="s">
        <v>2397</v>
      </c>
      <c r="D232" t="s">
        <v>2515</v>
      </c>
    </row>
    <row r="233" spans="1:5" ht="15.5" x14ac:dyDescent="0.35">
      <c r="A233" s="2" t="s">
        <v>233</v>
      </c>
      <c r="B233" s="2" t="s">
        <v>2843</v>
      </c>
      <c r="C233" t="s">
        <v>2397</v>
      </c>
      <c r="D233" t="s">
        <v>2844</v>
      </c>
      <c r="E233" t="s">
        <v>2625</v>
      </c>
    </row>
    <row r="234" spans="1:5" ht="15.5" x14ac:dyDescent="0.35">
      <c r="A234" s="2" t="s">
        <v>234</v>
      </c>
      <c r="B234" s="2" t="s">
        <v>2845</v>
      </c>
      <c r="C234" t="s">
        <v>2397</v>
      </c>
      <c r="D234" t="s">
        <v>2846</v>
      </c>
    </row>
    <row r="235" spans="1:5" ht="15.5" x14ac:dyDescent="0.35">
      <c r="A235" s="2" t="s">
        <v>235</v>
      </c>
      <c r="B235" s="2" t="s">
        <v>2847</v>
      </c>
      <c r="C235" t="s">
        <v>2397</v>
      </c>
      <c r="D235" t="s">
        <v>2610</v>
      </c>
      <c r="E235" t="s">
        <v>2431</v>
      </c>
    </row>
    <row r="236" spans="1:5" ht="15.5" x14ac:dyDescent="0.35">
      <c r="A236" s="2" t="s">
        <v>236</v>
      </c>
      <c r="B236" s="2" t="s">
        <v>2674</v>
      </c>
      <c r="C236" t="s">
        <v>2397</v>
      </c>
      <c r="D236" t="s">
        <v>2838</v>
      </c>
    </row>
    <row r="237" spans="1:5" ht="15.5" x14ac:dyDescent="0.35">
      <c r="A237" s="2" t="s">
        <v>237</v>
      </c>
      <c r="B237" s="2" t="s">
        <v>2848</v>
      </c>
      <c r="C237" t="s">
        <v>2394</v>
      </c>
      <c r="D237" t="s">
        <v>2849</v>
      </c>
    </row>
    <row r="238" spans="1:5" ht="15.5" x14ac:dyDescent="0.35">
      <c r="A238" s="2" t="s">
        <v>238</v>
      </c>
      <c r="B238" s="2" t="s">
        <v>2850</v>
      </c>
      <c r="C238" t="s">
        <v>2397</v>
      </c>
      <c r="D238" t="s">
        <v>2851</v>
      </c>
    </row>
    <row r="239" spans="1:5" ht="15.5" x14ac:dyDescent="0.35">
      <c r="A239" s="2" t="s">
        <v>239</v>
      </c>
      <c r="B239" s="2" t="s">
        <v>2852</v>
      </c>
      <c r="C239" t="s">
        <v>2397</v>
      </c>
      <c r="D239" t="s">
        <v>2853</v>
      </c>
    </row>
    <row r="240" spans="1:5" ht="15.5" x14ac:dyDescent="0.35">
      <c r="A240" s="2" t="s">
        <v>240</v>
      </c>
      <c r="B240" s="2" t="s">
        <v>2854</v>
      </c>
      <c r="C240" t="s">
        <v>2394</v>
      </c>
      <c r="D240" t="s">
        <v>2855</v>
      </c>
      <c r="E240" t="s">
        <v>2477</v>
      </c>
    </row>
    <row r="241" spans="1:5" ht="15.5" x14ac:dyDescent="0.35">
      <c r="A241" s="2" t="s">
        <v>241</v>
      </c>
      <c r="B241" s="2" t="s">
        <v>2856</v>
      </c>
      <c r="C241" t="s">
        <v>2394</v>
      </c>
      <c r="D241" t="s">
        <v>2857</v>
      </c>
      <c r="E241" t="s">
        <v>2467</v>
      </c>
    </row>
    <row r="242" spans="1:5" ht="15.5" x14ac:dyDescent="0.35">
      <c r="A242" s="2" t="s">
        <v>242</v>
      </c>
      <c r="B242" s="2" t="s">
        <v>2858</v>
      </c>
      <c r="C242" t="s">
        <v>2397</v>
      </c>
      <c r="D242" t="s">
        <v>2859</v>
      </c>
      <c r="E242" t="s">
        <v>2498</v>
      </c>
    </row>
    <row r="243" spans="1:5" ht="15.5" x14ac:dyDescent="0.35">
      <c r="A243" s="2" t="s">
        <v>243</v>
      </c>
      <c r="B243" s="2" t="s">
        <v>2860</v>
      </c>
      <c r="C243" t="s">
        <v>2397</v>
      </c>
      <c r="D243" t="s">
        <v>2861</v>
      </c>
    </row>
    <row r="244" spans="1:5" ht="15.5" x14ac:dyDescent="0.35">
      <c r="A244" s="2" t="s">
        <v>244</v>
      </c>
      <c r="B244" s="2" t="s">
        <v>2862</v>
      </c>
      <c r="C244" t="s">
        <v>2397</v>
      </c>
      <c r="D244" t="s">
        <v>2863</v>
      </c>
    </row>
    <row r="245" spans="1:5" ht="15.5" x14ac:dyDescent="0.35">
      <c r="A245" s="2" t="s">
        <v>245</v>
      </c>
      <c r="B245" s="2" t="s">
        <v>2864</v>
      </c>
      <c r="C245" t="s">
        <v>2397</v>
      </c>
      <c r="D245" t="s">
        <v>2863</v>
      </c>
      <c r="E245" t="s">
        <v>2431</v>
      </c>
    </row>
    <row r="246" spans="1:5" ht="15.5" x14ac:dyDescent="0.35">
      <c r="A246" s="2" t="s">
        <v>246</v>
      </c>
      <c r="B246" s="2" t="s">
        <v>2865</v>
      </c>
      <c r="C246" t="s">
        <v>2397</v>
      </c>
      <c r="D246" t="s">
        <v>2452</v>
      </c>
      <c r="E246" t="s">
        <v>2477</v>
      </c>
    </row>
    <row r="247" spans="1:5" ht="15.5" x14ac:dyDescent="0.35">
      <c r="A247" s="2" t="s">
        <v>247</v>
      </c>
      <c r="B247" s="2" t="s">
        <v>2866</v>
      </c>
      <c r="C247" t="s">
        <v>2397</v>
      </c>
      <c r="D247" t="s">
        <v>2867</v>
      </c>
      <c r="E247" t="s">
        <v>2625</v>
      </c>
    </row>
    <row r="248" spans="1:5" ht="15.5" x14ac:dyDescent="0.35">
      <c r="A248" s="2" t="s">
        <v>248</v>
      </c>
      <c r="B248" s="2" t="s">
        <v>2868</v>
      </c>
      <c r="C248" t="s">
        <v>2394</v>
      </c>
      <c r="D248" t="s">
        <v>2461</v>
      </c>
    </row>
    <row r="249" spans="1:5" ht="15.5" x14ac:dyDescent="0.35">
      <c r="A249" s="2" t="s">
        <v>249</v>
      </c>
      <c r="B249" s="2" t="s">
        <v>2869</v>
      </c>
      <c r="C249" t="s">
        <v>2394</v>
      </c>
      <c r="D249" t="s">
        <v>2504</v>
      </c>
      <c r="E249" t="s">
        <v>2870</v>
      </c>
    </row>
    <row r="250" spans="1:5" ht="15.5" x14ac:dyDescent="0.35">
      <c r="A250" s="2" t="s">
        <v>250</v>
      </c>
      <c r="B250" s="2" t="s">
        <v>2871</v>
      </c>
      <c r="C250" t="s">
        <v>2394</v>
      </c>
      <c r="D250" t="s">
        <v>2872</v>
      </c>
    </row>
    <row r="251" spans="1:5" ht="15.5" x14ac:dyDescent="0.35">
      <c r="A251" s="2" t="s">
        <v>251</v>
      </c>
      <c r="B251" s="2" t="s">
        <v>2873</v>
      </c>
      <c r="C251" t="s">
        <v>2394</v>
      </c>
      <c r="D251" t="s">
        <v>2461</v>
      </c>
      <c r="E251" t="s">
        <v>2431</v>
      </c>
    </row>
    <row r="252" spans="1:5" ht="15.5" x14ac:dyDescent="0.35">
      <c r="A252" s="2" t="s">
        <v>252</v>
      </c>
      <c r="B252" s="2" t="s">
        <v>2874</v>
      </c>
      <c r="C252" t="s">
        <v>2394</v>
      </c>
      <c r="D252" t="s">
        <v>2875</v>
      </c>
    </row>
    <row r="253" spans="1:5" ht="15.5" x14ac:dyDescent="0.35">
      <c r="A253" s="2" t="s">
        <v>253</v>
      </c>
      <c r="B253" s="2" t="s">
        <v>2876</v>
      </c>
      <c r="C253" t="s">
        <v>2394</v>
      </c>
      <c r="D253" t="s">
        <v>2395</v>
      </c>
    </row>
    <row r="254" spans="1:5" ht="15.5" x14ac:dyDescent="0.35">
      <c r="A254" s="2" t="s">
        <v>254</v>
      </c>
      <c r="B254" s="2" t="s">
        <v>2877</v>
      </c>
      <c r="C254" t="s">
        <v>2394</v>
      </c>
      <c r="D254" t="s">
        <v>2878</v>
      </c>
    </row>
    <row r="255" spans="1:5" ht="15.5" x14ac:dyDescent="0.35">
      <c r="A255" s="2" t="s">
        <v>255</v>
      </c>
      <c r="B255" s="2" t="s">
        <v>2879</v>
      </c>
      <c r="C255" t="s">
        <v>2397</v>
      </c>
      <c r="D255" t="s">
        <v>2512</v>
      </c>
    </row>
    <row r="256" spans="1:5" ht="15.5" x14ac:dyDescent="0.35">
      <c r="A256" s="2" t="s">
        <v>256</v>
      </c>
      <c r="B256" s="2" t="s">
        <v>2880</v>
      </c>
      <c r="C256" t="s">
        <v>2397</v>
      </c>
      <c r="D256" t="s">
        <v>2459</v>
      </c>
      <c r="E256" t="s">
        <v>2671</v>
      </c>
    </row>
    <row r="257" spans="1:5" ht="15.5" x14ac:dyDescent="0.35">
      <c r="A257" s="2" t="s">
        <v>257</v>
      </c>
      <c r="B257" s="2" t="s">
        <v>2881</v>
      </c>
      <c r="C257" t="s">
        <v>2397</v>
      </c>
      <c r="D257" t="s">
        <v>2882</v>
      </c>
    </row>
    <row r="258" spans="1:5" ht="15.5" x14ac:dyDescent="0.35">
      <c r="A258" s="2" t="s">
        <v>258</v>
      </c>
      <c r="B258" s="2" t="s">
        <v>2883</v>
      </c>
      <c r="C258" t="s">
        <v>2397</v>
      </c>
      <c r="D258" t="s">
        <v>2884</v>
      </c>
    </row>
    <row r="259" spans="1:5" ht="15.5" x14ac:dyDescent="0.35">
      <c r="A259" s="2" t="s">
        <v>259</v>
      </c>
      <c r="B259" s="2" t="s">
        <v>2885</v>
      </c>
      <c r="C259" t="s">
        <v>2397</v>
      </c>
      <c r="D259" t="s">
        <v>2692</v>
      </c>
      <c r="E259" t="s">
        <v>2886</v>
      </c>
    </row>
    <row r="260" spans="1:5" ht="15.5" x14ac:dyDescent="0.35">
      <c r="A260" s="2" t="s">
        <v>260</v>
      </c>
      <c r="B260" s="2" t="s">
        <v>2887</v>
      </c>
      <c r="C260" t="s">
        <v>2397</v>
      </c>
      <c r="D260" t="s">
        <v>2888</v>
      </c>
    </row>
    <row r="261" spans="1:5" ht="15.5" x14ac:dyDescent="0.35">
      <c r="A261" s="2" t="s">
        <v>261</v>
      </c>
      <c r="B261" s="2" t="s">
        <v>2889</v>
      </c>
      <c r="C261" t="s">
        <v>2394</v>
      </c>
      <c r="D261" t="s">
        <v>2542</v>
      </c>
      <c r="E261" t="s">
        <v>2436</v>
      </c>
    </row>
    <row r="262" spans="1:5" ht="15.5" x14ac:dyDescent="0.35">
      <c r="A262" s="2" t="s">
        <v>262</v>
      </c>
      <c r="B262" s="2" t="s">
        <v>2890</v>
      </c>
      <c r="C262" t="s">
        <v>2397</v>
      </c>
      <c r="D262" t="s">
        <v>2891</v>
      </c>
      <c r="E262" t="s">
        <v>2482</v>
      </c>
    </row>
    <row r="263" spans="1:5" ht="15.5" x14ac:dyDescent="0.35">
      <c r="A263" s="2" t="s">
        <v>263</v>
      </c>
      <c r="B263" s="2" t="s">
        <v>2892</v>
      </c>
      <c r="C263" t="s">
        <v>2394</v>
      </c>
      <c r="D263" t="s">
        <v>2893</v>
      </c>
      <c r="E263" t="s">
        <v>2399</v>
      </c>
    </row>
    <row r="264" spans="1:5" ht="15.5" x14ac:dyDescent="0.35">
      <c r="A264" s="2" t="s">
        <v>264</v>
      </c>
      <c r="B264" s="2" t="s">
        <v>2894</v>
      </c>
      <c r="C264" t="s">
        <v>2397</v>
      </c>
      <c r="D264" t="s">
        <v>2895</v>
      </c>
      <c r="E264" t="s">
        <v>2886</v>
      </c>
    </row>
    <row r="265" spans="1:5" ht="15.5" x14ac:dyDescent="0.35">
      <c r="A265" s="2" t="s">
        <v>265</v>
      </c>
      <c r="B265" s="2" t="s">
        <v>2896</v>
      </c>
      <c r="C265" t="s">
        <v>2394</v>
      </c>
      <c r="D265" t="s">
        <v>2897</v>
      </c>
      <c r="E265" t="s">
        <v>2799</v>
      </c>
    </row>
    <row r="266" spans="1:5" ht="15.5" x14ac:dyDescent="0.35">
      <c r="A266" s="2" t="s">
        <v>266</v>
      </c>
      <c r="B266" s="2" t="s">
        <v>2898</v>
      </c>
      <c r="C266" t="s">
        <v>2394</v>
      </c>
      <c r="D266" t="s">
        <v>2899</v>
      </c>
      <c r="E266" t="s">
        <v>2436</v>
      </c>
    </row>
    <row r="267" spans="1:5" ht="15.5" x14ac:dyDescent="0.35">
      <c r="A267" s="2" t="s">
        <v>267</v>
      </c>
      <c r="B267" s="2" t="s">
        <v>2900</v>
      </c>
      <c r="C267" t="s">
        <v>2397</v>
      </c>
      <c r="D267" t="s">
        <v>2830</v>
      </c>
    </row>
    <row r="268" spans="1:5" ht="15.5" x14ac:dyDescent="0.35">
      <c r="A268" s="2" t="s">
        <v>268</v>
      </c>
      <c r="B268" s="2" t="s">
        <v>2901</v>
      </c>
      <c r="C268" t="s">
        <v>2394</v>
      </c>
      <c r="D268" t="s">
        <v>2902</v>
      </c>
      <c r="E268" t="s">
        <v>2540</v>
      </c>
    </row>
    <row r="269" spans="1:5" ht="15.5" x14ac:dyDescent="0.35">
      <c r="A269" s="2" t="s">
        <v>269</v>
      </c>
      <c r="B269" s="2" t="s">
        <v>2775</v>
      </c>
      <c r="C269" t="s">
        <v>2394</v>
      </c>
      <c r="D269" t="s">
        <v>2903</v>
      </c>
    </row>
    <row r="270" spans="1:5" ht="15.5" x14ac:dyDescent="0.35">
      <c r="A270" s="2" t="s">
        <v>270</v>
      </c>
      <c r="B270" s="2" t="s">
        <v>2904</v>
      </c>
      <c r="C270" t="s">
        <v>2397</v>
      </c>
      <c r="D270" t="s">
        <v>2457</v>
      </c>
    </row>
    <row r="271" spans="1:5" ht="15.5" x14ac:dyDescent="0.35">
      <c r="A271" s="2" t="s">
        <v>271</v>
      </c>
      <c r="B271" s="2" t="s">
        <v>2905</v>
      </c>
      <c r="C271" t="s">
        <v>2397</v>
      </c>
      <c r="D271" t="s">
        <v>2906</v>
      </c>
    </row>
    <row r="272" spans="1:5" ht="15.5" x14ac:dyDescent="0.35">
      <c r="A272" s="2" t="s">
        <v>272</v>
      </c>
      <c r="B272" s="2" t="s">
        <v>2907</v>
      </c>
      <c r="C272" t="s">
        <v>2397</v>
      </c>
      <c r="D272" t="s">
        <v>2762</v>
      </c>
      <c r="E272" t="s">
        <v>2482</v>
      </c>
    </row>
    <row r="273" spans="1:5" ht="15.5" x14ac:dyDescent="0.35">
      <c r="A273" s="2" t="s">
        <v>273</v>
      </c>
      <c r="B273" s="2" t="s">
        <v>2908</v>
      </c>
      <c r="C273" t="s">
        <v>2397</v>
      </c>
      <c r="D273" t="s">
        <v>2412</v>
      </c>
    </row>
    <row r="274" spans="1:5" ht="15.5" x14ac:dyDescent="0.35">
      <c r="A274" s="2" t="s">
        <v>274</v>
      </c>
      <c r="B274" s="2" t="s">
        <v>2909</v>
      </c>
      <c r="C274" t="s">
        <v>2397</v>
      </c>
      <c r="D274" t="s">
        <v>2515</v>
      </c>
      <c r="E274" t="s">
        <v>2408</v>
      </c>
    </row>
    <row r="275" spans="1:5" ht="15.5" x14ac:dyDescent="0.35">
      <c r="A275" s="2" t="s">
        <v>275</v>
      </c>
      <c r="B275" s="2" t="s">
        <v>2910</v>
      </c>
      <c r="C275" t="s">
        <v>2397</v>
      </c>
      <c r="D275" t="s">
        <v>2491</v>
      </c>
    </row>
    <row r="276" spans="1:5" ht="15.5" x14ac:dyDescent="0.35">
      <c r="A276" s="2" t="s">
        <v>276</v>
      </c>
      <c r="B276" s="2" t="s">
        <v>2911</v>
      </c>
      <c r="C276" t="s">
        <v>2397</v>
      </c>
      <c r="D276" t="s">
        <v>2912</v>
      </c>
      <c r="E276" t="s">
        <v>2622</v>
      </c>
    </row>
    <row r="277" spans="1:5" ht="15.5" x14ac:dyDescent="0.35">
      <c r="A277" s="2" t="s">
        <v>277</v>
      </c>
      <c r="B277" s="2" t="s">
        <v>2913</v>
      </c>
      <c r="C277" t="s">
        <v>2397</v>
      </c>
      <c r="D277" t="s">
        <v>2804</v>
      </c>
    </row>
    <row r="278" spans="1:5" ht="15.5" x14ac:dyDescent="0.35">
      <c r="A278" s="2" t="s">
        <v>278</v>
      </c>
      <c r="B278" s="2" t="s">
        <v>2914</v>
      </c>
      <c r="C278" t="s">
        <v>2397</v>
      </c>
      <c r="D278" t="s">
        <v>2915</v>
      </c>
    </row>
    <row r="279" spans="1:5" ht="15.5" x14ac:dyDescent="0.35">
      <c r="A279" s="2" t="s">
        <v>279</v>
      </c>
      <c r="B279" s="2" t="s">
        <v>2916</v>
      </c>
      <c r="C279" t="s">
        <v>2397</v>
      </c>
      <c r="D279" t="s">
        <v>2577</v>
      </c>
      <c r="E279" t="s">
        <v>2472</v>
      </c>
    </row>
    <row r="280" spans="1:5" ht="15.5" x14ac:dyDescent="0.35">
      <c r="A280" s="2" t="s">
        <v>280</v>
      </c>
      <c r="B280" s="2" t="s">
        <v>2759</v>
      </c>
      <c r="C280" t="s">
        <v>2394</v>
      </c>
      <c r="D280" t="s">
        <v>2917</v>
      </c>
    </row>
    <row r="281" spans="1:5" ht="15.5" x14ac:dyDescent="0.35">
      <c r="A281" s="2" t="s">
        <v>281</v>
      </c>
      <c r="B281" s="2" t="s">
        <v>2918</v>
      </c>
      <c r="C281" t="s">
        <v>2397</v>
      </c>
      <c r="D281" t="s">
        <v>2790</v>
      </c>
      <c r="E281" t="s">
        <v>2561</v>
      </c>
    </row>
    <row r="282" spans="1:5" ht="15.5" x14ac:dyDescent="0.35">
      <c r="A282" s="2" t="s">
        <v>282</v>
      </c>
      <c r="B282" s="2" t="s">
        <v>2919</v>
      </c>
      <c r="C282" t="s">
        <v>2394</v>
      </c>
      <c r="D282" t="s">
        <v>2920</v>
      </c>
      <c r="E282" t="s">
        <v>2477</v>
      </c>
    </row>
    <row r="283" spans="1:5" ht="15.5" x14ac:dyDescent="0.35">
      <c r="A283" s="2" t="s">
        <v>283</v>
      </c>
      <c r="B283" s="2" t="s">
        <v>2597</v>
      </c>
      <c r="C283" t="s">
        <v>2397</v>
      </c>
      <c r="D283" t="s">
        <v>2636</v>
      </c>
      <c r="E283" t="s">
        <v>2485</v>
      </c>
    </row>
    <row r="284" spans="1:5" ht="15.5" x14ac:dyDescent="0.35">
      <c r="A284" s="2" t="s">
        <v>284</v>
      </c>
      <c r="B284" s="2" t="s">
        <v>2921</v>
      </c>
      <c r="C284" t="s">
        <v>2397</v>
      </c>
      <c r="D284" t="s">
        <v>2922</v>
      </c>
      <c r="E284" t="s">
        <v>2467</v>
      </c>
    </row>
    <row r="285" spans="1:5" ht="15.5" x14ac:dyDescent="0.35">
      <c r="A285" s="2" t="s">
        <v>285</v>
      </c>
      <c r="B285" s="2" t="s">
        <v>2923</v>
      </c>
      <c r="C285" t="s">
        <v>2397</v>
      </c>
      <c r="D285" t="s">
        <v>2701</v>
      </c>
      <c r="E285" t="s">
        <v>2534</v>
      </c>
    </row>
    <row r="286" spans="1:5" ht="15.5" x14ac:dyDescent="0.35">
      <c r="A286" s="2" t="s">
        <v>286</v>
      </c>
      <c r="B286" s="2" t="s">
        <v>2924</v>
      </c>
      <c r="C286" t="s">
        <v>2397</v>
      </c>
      <c r="D286" t="s">
        <v>2925</v>
      </c>
    </row>
    <row r="287" spans="1:5" ht="15.5" x14ac:dyDescent="0.35">
      <c r="A287" s="2" t="s">
        <v>287</v>
      </c>
      <c r="B287" s="2" t="s">
        <v>2926</v>
      </c>
      <c r="C287" t="s">
        <v>2394</v>
      </c>
      <c r="D287" t="s">
        <v>2422</v>
      </c>
    </row>
    <row r="288" spans="1:5" ht="15.5" x14ac:dyDescent="0.35">
      <c r="A288" s="2" t="s">
        <v>288</v>
      </c>
      <c r="B288" s="2" t="s">
        <v>2927</v>
      </c>
      <c r="C288" t="s">
        <v>2394</v>
      </c>
      <c r="D288" t="s">
        <v>2928</v>
      </c>
      <c r="E288" t="s">
        <v>2482</v>
      </c>
    </row>
    <row r="289" spans="1:5" ht="15.5" x14ac:dyDescent="0.35">
      <c r="A289" s="2" t="s">
        <v>289</v>
      </c>
      <c r="B289" s="2" t="s">
        <v>2929</v>
      </c>
      <c r="C289" t="s">
        <v>2397</v>
      </c>
      <c r="D289" t="s">
        <v>2804</v>
      </c>
    </row>
    <row r="290" spans="1:5" ht="15.5" x14ac:dyDescent="0.35">
      <c r="A290" s="2" t="s">
        <v>290</v>
      </c>
      <c r="B290" s="2" t="s">
        <v>2930</v>
      </c>
      <c r="C290" t="s">
        <v>2397</v>
      </c>
      <c r="D290" t="s">
        <v>2931</v>
      </c>
    </row>
    <row r="291" spans="1:5" ht="15.5" x14ac:dyDescent="0.35">
      <c r="A291" s="2" t="s">
        <v>291</v>
      </c>
      <c r="B291" s="2" t="s">
        <v>2932</v>
      </c>
      <c r="C291" t="s">
        <v>2397</v>
      </c>
      <c r="D291" t="s">
        <v>2834</v>
      </c>
    </row>
    <row r="292" spans="1:5" ht="15.5" x14ac:dyDescent="0.35">
      <c r="A292" s="2" t="s">
        <v>292</v>
      </c>
      <c r="B292" s="2" t="s">
        <v>2933</v>
      </c>
      <c r="C292" t="s">
        <v>2397</v>
      </c>
      <c r="D292" t="s">
        <v>2830</v>
      </c>
      <c r="E292" t="s">
        <v>2534</v>
      </c>
    </row>
    <row r="293" spans="1:5" ht="15.5" x14ac:dyDescent="0.35">
      <c r="A293" s="2" t="s">
        <v>293</v>
      </c>
      <c r="B293" s="2" t="s">
        <v>2934</v>
      </c>
      <c r="C293" t="s">
        <v>2397</v>
      </c>
      <c r="D293" t="s">
        <v>2935</v>
      </c>
      <c r="E293" t="s">
        <v>2498</v>
      </c>
    </row>
    <row r="294" spans="1:5" ht="15.5" x14ac:dyDescent="0.35">
      <c r="A294" s="2" t="s">
        <v>294</v>
      </c>
      <c r="B294" s="2" t="s">
        <v>2936</v>
      </c>
      <c r="C294" t="s">
        <v>2397</v>
      </c>
      <c r="D294" t="s">
        <v>2937</v>
      </c>
    </row>
    <row r="295" spans="1:5" ht="15.5" x14ac:dyDescent="0.35">
      <c r="A295" s="2" t="s">
        <v>295</v>
      </c>
      <c r="B295" s="2" t="s">
        <v>2938</v>
      </c>
      <c r="C295" t="s">
        <v>2394</v>
      </c>
      <c r="D295" t="s">
        <v>2939</v>
      </c>
      <c r="E295" t="s">
        <v>2477</v>
      </c>
    </row>
    <row r="296" spans="1:5" ht="15.5" x14ac:dyDescent="0.35">
      <c r="A296" s="2" t="s">
        <v>296</v>
      </c>
      <c r="B296" s="2" t="s">
        <v>2940</v>
      </c>
      <c r="C296" t="s">
        <v>2397</v>
      </c>
      <c r="D296" t="s">
        <v>2452</v>
      </c>
      <c r="E296" t="s">
        <v>2625</v>
      </c>
    </row>
    <row r="297" spans="1:5" ht="15.5" x14ac:dyDescent="0.35">
      <c r="A297" s="2" t="s">
        <v>297</v>
      </c>
      <c r="B297" s="2" t="s">
        <v>2941</v>
      </c>
      <c r="C297" t="s">
        <v>2397</v>
      </c>
      <c r="D297" t="s">
        <v>2942</v>
      </c>
    </row>
    <row r="298" spans="1:5" ht="15.5" x14ac:dyDescent="0.35">
      <c r="A298" s="2" t="s">
        <v>298</v>
      </c>
      <c r="B298" s="2" t="s">
        <v>2943</v>
      </c>
      <c r="C298" t="s">
        <v>2397</v>
      </c>
      <c r="D298" t="s">
        <v>2944</v>
      </c>
    </row>
    <row r="299" spans="1:5" ht="15.5" x14ac:dyDescent="0.35">
      <c r="A299" s="2" t="s">
        <v>299</v>
      </c>
      <c r="B299" s="2" t="s">
        <v>2945</v>
      </c>
      <c r="C299" t="s">
        <v>2394</v>
      </c>
      <c r="D299" t="s">
        <v>2872</v>
      </c>
      <c r="E299" t="s">
        <v>2607</v>
      </c>
    </row>
    <row r="300" spans="1:5" ht="15.5" x14ac:dyDescent="0.35">
      <c r="A300" s="2" t="s">
        <v>300</v>
      </c>
      <c r="B300" s="2" t="s">
        <v>2946</v>
      </c>
      <c r="C300" t="s">
        <v>2397</v>
      </c>
      <c r="D300" t="s">
        <v>2947</v>
      </c>
      <c r="E300" t="s">
        <v>2399</v>
      </c>
    </row>
    <row r="301" spans="1:5" ht="15.5" x14ac:dyDescent="0.35">
      <c r="A301" s="2" t="s">
        <v>301</v>
      </c>
      <c r="B301" s="2" t="s">
        <v>2948</v>
      </c>
      <c r="C301" t="s">
        <v>2394</v>
      </c>
      <c r="D301" t="s">
        <v>2949</v>
      </c>
    </row>
    <row r="302" spans="1:5" ht="15.5" x14ac:dyDescent="0.35">
      <c r="A302" s="2" t="s">
        <v>302</v>
      </c>
      <c r="B302" s="2" t="s">
        <v>2862</v>
      </c>
      <c r="C302" t="s">
        <v>2397</v>
      </c>
      <c r="D302" t="s">
        <v>2950</v>
      </c>
    </row>
    <row r="303" spans="1:5" ht="15.5" x14ac:dyDescent="0.35">
      <c r="A303" s="2" t="s">
        <v>303</v>
      </c>
      <c r="B303" s="2" t="s">
        <v>2951</v>
      </c>
      <c r="C303" t="s">
        <v>2394</v>
      </c>
      <c r="D303" t="s">
        <v>2575</v>
      </c>
    </row>
    <row r="304" spans="1:5" ht="15.5" x14ac:dyDescent="0.35">
      <c r="A304" s="2" t="s">
        <v>304</v>
      </c>
      <c r="B304" s="2" t="s">
        <v>2952</v>
      </c>
      <c r="C304" t="s">
        <v>2397</v>
      </c>
      <c r="D304" t="s">
        <v>2953</v>
      </c>
      <c r="E304" t="s">
        <v>2436</v>
      </c>
    </row>
    <row r="305" spans="1:6" ht="15.5" x14ac:dyDescent="0.35">
      <c r="A305" s="2" t="s">
        <v>305</v>
      </c>
      <c r="B305" s="2" t="s">
        <v>2954</v>
      </c>
      <c r="C305" t="s">
        <v>2394</v>
      </c>
      <c r="D305" t="s">
        <v>2955</v>
      </c>
    </row>
    <row r="306" spans="1:6" ht="15.5" x14ac:dyDescent="0.35">
      <c r="A306" s="2" t="s">
        <v>306</v>
      </c>
      <c r="B306" s="2" t="s">
        <v>2956</v>
      </c>
      <c r="C306" t="s">
        <v>2394</v>
      </c>
      <c r="D306" t="s">
        <v>2957</v>
      </c>
    </row>
    <row r="307" spans="1:6" ht="15.5" x14ac:dyDescent="0.35">
      <c r="A307" s="2" t="s">
        <v>307</v>
      </c>
      <c r="B307" s="2" t="s">
        <v>2856</v>
      </c>
      <c r="C307" t="s">
        <v>2394</v>
      </c>
      <c r="D307" t="s">
        <v>2774</v>
      </c>
      <c r="E307" t="s">
        <v>2540</v>
      </c>
    </row>
    <row r="308" spans="1:6" ht="15.5" x14ac:dyDescent="0.35">
      <c r="A308" s="2" t="s">
        <v>308</v>
      </c>
      <c r="B308" s="2" t="s">
        <v>2958</v>
      </c>
      <c r="C308" t="s">
        <v>2394</v>
      </c>
      <c r="D308" t="s">
        <v>2542</v>
      </c>
    </row>
    <row r="309" spans="1:6" ht="15.5" x14ac:dyDescent="0.35">
      <c r="A309" s="2" t="s">
        <v>309</v>
      </c>
      <c r="B309" s="2" t="s">
        <v>2959</v>
      </c>
      <c r="C309" t="s">
        <v>2397</v>
      </c>
      <c r="D309" t="s">
        <v>2888</v>
      </c>
      <c r="E309" t="s">
        <v>2498</v>
      </c>
    </row>
    <row r="310" spans="1:6" ht="15.5" x14ac:dyDescent="0.35">
      <c r="A310" s="2" t="s">
        <v>310</v>
      </c>
      <c r="B310" s="2" t="s">
        <v>2960</v>
      </c>
      <c r="C310" t="s">
        <v>2394</v>
      </c>
      <c r="D310" t="s">
        <v>2961</v>
      </c>
    </row>
    <row r="311" spans="1:6" ht="15.5" x14ac:dyDescent="0.35">
      <c r="A311" s="2" t="s">
        <v>311</v>
      </c>
      <c r="B311" s="2" t="s">
        <v>2962</v>
      </c>
      <c r="C311" t="s">
        <v>2394</v>
      </c>
      <c r="D311" t="s">
        <v>2963</v>
      </c>
    </row>
    <row r="312" spans="1:6" ht="15.5" x14ac:dyDescent="0.35">
      <c r="A312" s="2" t="s">
        <v>312</v>
      </c>
      <c r="B312" s="2" t="s">
        <v>2551</v>
      </c>
      <c r="C312" t="s">
        <v>2397</v>
      </c>
      <c r="D312" t="s">
        <v>2581</v>
      </c>
      <c r="E312" t="s">
        <v>2467</v>
      </c>
    </row>
    <row r="313" spans="1:6" ht="15.5" x14ac:dyDescent="0.35">
      <c r="A313" s="2" t="s">
        <v>313</v>
      </c>
      <c r="B313" s="2" t="s">
        <v>2964</v>
      </c>
      <c r="C313" t="s">
        <v>2397</v>
      </c>
      <c r="D313" t="s">
        <v>2965</v>
      </c>
      <c r="E313" t="s">
        <v>2501</v>
      </c>
    </row>
    <row r="314" spans="1:6" ht="15.5" x14ac:dyDescent="0.35">
      <c r="A314" s="2" t="s">
        <v>314</v>
      </c>
      <c r="B314" s="2" t="s">
        <v>2966</v>
      </c>
      <c r="C314" t="s">
        <v>2397</v>
      </c>
      <c r="D314" t="s">
        <v>2675</v>
      </c>
      <c r="E314" t="s">
        <v>2766</v>
      </c>
    </row>
    <row r="315" spans="1:6" ht="15.5" x14ac:dyDescent="0.35">
      <c r="A315" s="2" t="s">
        <v>315</v>
      </c>
      <c r="B315" s="2" t="s">
        <v>2967</v>
      </c>
      <c r="C315" t="s">
        <v>2968</v>
      </c>
      <c r="D315" t="s">
        <v>2394</v>
      </c>
      <c r="E315" t="s">
        <v>2969</v>
      </c>
      <c r="F315" t="s">
        <v>2482</v>
      </c>
    </row>
    <row r="316" spans="1:6" ht="15.5" x14ac:dyDescent="0.35">
      <c r="A316" s="2" t="s">
        <v>316</v>
      </c>
      <c r="B316" s="2" t="s">
        <v>2970</v>
      </c>
      <c r="C316" t="s">
        <v>2394</v>
      </c>
      <c r="D316" t="s">
        <v>2971</v>
      </c>
      <c r="E316" t="s">
        <v>2431</v>
      </c>
    </row>
    <row r="317" spans="1:6" ht="15.5" x14ac:dyDescent="0.35">
      <c r="A317" s="2" t="s">
        <v>317</v>
      </c>
      <c r="B317" s="2" t="s">
        <v>2972</v>
      </c>
      <c r="C317" t="s">
        <v>2397</v>
      </c>
      <c r="D317" t="s">
        <v>2751</v>
      </c>
    </row>
    <row r="318" spans="1:6" ht="15.5" x14ac:dyDescent="0.35">
      <c r="A318" s="2" t="s">
        <v>318</v>
      </c>
      <c r="B318" s="2" t="s">
        <v>2973</v>
      </c>
      <c r="C318" t="s">
        <v>2397</v>
      </c>
      <c r="D318" t="s">
        <v>2443</v>
      </c>
    </row>
    <row r="319" spans="1:6" ht="15.5" x14ac:dyDescent="0.35">
      <c r="A319" s="2" t="s">
        <v>319</v>
      </c>
      <c r="B319" s="2" t="s">
        <v>2974</v>
      </c>
      <c r="C319" t="s">
        <v>2397</v>
      </c>
      <c r="D319" t="s">
        <v>2975</v>
      </c>
    </row>
    <row r="320" spans="1:6" ht="15.5" x14ac:dyDescent="0.35">
      <c r="A320" s="2" t="s">
        <v>320</v>
      </c>
      <c r="B320" s="2" t="s">
        <v>2976</v>
      </c>
      <c r="C320" t="s">
        <v>2397</v>
      </c>
      <c r="D320" t="s">
        <v>2888</v>
      </c>
      <c r="E320" t="s">
        <v>2431</v>
      </c>
    </row>
    <row r="321" spans="1:5" ht="15.5" x14ac:dyDescent="0.35">
      <c r="A321" s="2" t="s">
        <v>321</v>
      </c>
      <c r="B321" s="2" t="s">
        <v>2977</v>
      </c>
      <c r="C321" t="s">
        <v>2394</v>
      </c>
      <c r="D321" t="s">
        <v>2978</v>
      </c>
      <c r="E321" t="s">
        <v>2590</v>
      </c>
    </row>
    <row r="322" spans="1:5" ht="15.5" x14ac:dyDescent="0.35">
      <c r="A322" s="2" t="s">
        <v>322</v>
      </c>
      <c r="B322" s="2" t="s">
        <v>2979</v>
      </c>
      <c r="C322" t="s">
        <v>2394</v>
      </c>
      <c r="D322" t="s">
        <v>2980</v>
      </c>
    </row>
    <row r="323" spans="1:5" ht="15.5" x14ac:dyDescent="0.35">
      <c r="A323" s="2" t="s">
        <v>323</v>
      </c>
      <c r="B323" s="2" t="s">
        <v>2981</v>
      </c>
      <c r="C323" t="s">
        <v>2397</v>
      </c>
      <c r="D323" t="s">
        <v>2675</v>
      </c>
      <c r="E323" t="s">
        <v>2886</v>
      </c>
    </row>
    <row r="324" spans="1:5" ht="15.5" x14ac:dyDescent="0.35">
      <c r="A324" s="2" t="s">
        <v>324</v>
      </c>
      <c r="B324" s="2" t="s">
        <v>2921</v>
      </c>
      <c r="C324" t="s">
        <v>2397</v>
      </c>
      <c r="D324" t="s">
        <v>2882</v>
      </c>
      <c r="E324" t="s">
        <v>2700</v>
      </c>
    </row>
    <row r="325" spans="1:5" ht="15.5" x14ac:dyDescent="0.35">
      <c r="A325" s="2" t="s">
        <v>325</v>
      </c>
      <c r="B325" s="2" t="s">
        <v>2982</v>
      </c>
      <c r="C325" t="s">
        <v>2397</v>
      </c>
      <c r="D325" t="s">
        <v>2701</v>
      </c>
    </row>
    <row r="326" spans="1:5" ht="15.5" x14ac:dyDescent="0.35">
      <c r="A326" s="2" t="s">
        <v>326</v>
      </c>
      <c r="B326" s="2" t="s">
        <v>2983</v>
      </c>
      <c r="C326" t="s">
        <v>2394</v>
      </c>
      <c r="D326" t="s">
        <v>2984</v>
      </c>
    </row>
    <row r="327" spans="1:5" ht="15.5" x14ac:dyDescent="0.35">
      <c r="A327" s="2" t="s">
        <v>327</v>
      </c>
      <c r="B327" s="2" t="s">
        <v>2985</v>
      </c>
      <c r="C327" t="s">
        <v>2397</v>
      </c>
      <c r="D327" t="s">
        <v>2830</v>
      </c>
      <c r="E327" t="s">
        <v>2986</v>
      </c>
    </row>
    <row r="328" spans="1:5" ht="15.5" x14ac:dyDescent="0.35">
      <c r="A328" s="2" t="s">
        <v>328</v>
      </c>
      <c r="B328" s="2" t="s">
        <v>2987</v>
      </c>
      <c r="C328" t="s">
        <v>2397</v>
      </c>
      <c r="D328" t="s">
        <v>2515</v>
      </c>
    </row>
    <row r="329" spans="1:5" ht="15.5" x14ac:dyDescent="0.35">
      <c r="A329" s="2" t="s">
        <v>329</v>
      </c>
      <c r="B329" s="2" t="s">
        <v>2988</v>
      </c>
      <c r="C329" t="s">
        <v>2397</v>
      </c>
      <c r="D329" t="s">
        <v>2510</v>
      </c>
    </row>
    <row r="330" spans="1:5" ht="15.5" x14ac:dyDescent="0.35">
      <c r="A330" s="2" t="s">
        <v>330</v>
      </c>
      <c r="B330" s="2" t="s">
        <v>2989</v>
      </c>
      <c r="C330" t="s">
        <v>2397</v>
      </c>
      <c r="D330" t="s">
        <v>2834</v>
      </c>
    </row>
    <row r="331" spans="1:5" ht="15.5" x14ac:dyDescent="0.35">
      <c r="A331" s="2" t="s">
        <v>331</v>
      </c>
      <c r="B331" s="2" t="s">
        <v>2990</v>
      </c>
      <c r="C331" t="s">
        <v>2397</v>
      </c>
      <c r="D331" t="s">
        <v>2991</v>
      </c>
    </row>
    <row r="332" spans="1:5" ht="15.5" x14ac:dyDescent="0.35">
      <c r="A332" s="2" t="s">
        <v>332</v>
      </c>
      <c r="B332" s="2" t="s">
        <v>2992</v>
      </c>
      <c r="C332" t="s">
        <v>2397</v>
      </c>
      <c r="D332" t="s">
        <v>2993</v>
      </c>
      <c r="E332" t="s">
        <v>2607</v>
      </c>
    </row>
    <row r="333" spans="1:5" ht="15.5" x14ac:dyDescent="0.35">
      <c r="A333" s="2" t="s">
        <v>333</v>
      </c>
      <c r="B333" s="2" t="s">
        <v>2994</v>
      </c>
      <c r="C333" t="s">
        <v>2397</v>
      </c>
      <c r="D333" t="s">
        <v>2888</v>
      </c>
      <c r="E333" t="s">
        <v>2431</v>
      </c>
    </row>
    <row r="334" spans="1:5" ht="15.5" x14ac:dyDescent="0.35">
      <c r="A334" s="2" t="s">
        <v>334</v>
      </c>
      <c r="B334" s="2" t="s">
        <v>2995</v>
      </c>
      <c r="C334" t="s">
        <v>2394</v>
      </c>
      <c r="D334" t="s">
        <v>2996</v>
      </c>
      <c r="E334" t="s">
        <v>2700</v>
      </c>
    </row>
    <row r="335" spans="1:5" ht="15.5" x14ac:dyDescent="0.35">
      <c r="A335" s="2" t="s">
        <v>335</v>
      </c>
      <c r="B335" s="2" t="s">
        <v>2997</v>
      </c>
      <c r="C335" t="s">
        <v>2397</v>
      </c>
      <c r="D335" t="s">
        <v>2998</v>
      </c>
      <c r="E335" t="s">
        <v>2625</v>
      </c>
    </row>
    <row r="336" spans="1:5" ht="15.5" x14ac:dyDescent="0.35">
      <c r="A336" s="2" t="s">
        <v>336</v>
      </c>
      <c r="B336" s="2" t="s">
        <v>2999</v>
      </c>
      <c r="C336" t="s">
        <v>2394</v>
      </c>
      <c r="D336" t="s">
        <v>3000</v>
      </c>
    </row>
    <row r="337" spans="1:5" ht="15.5" x14ac:dyDescent="0.35">
      <c r="A337" s="2" t="s">
        <v>337</v>
      </c>
      <c r="B337" s="2" t="s">
        <v>3001</v>
      </c>
      <c r="C337" t="s">
        <v>2397</v>
      </c>
      <c r="D337" t="s">
        <v>3002</v>
      </c>
      <c r="E337" t="s">
        <v>2561</v>
      </c>
    </row>
    <row r="338" spans="1:5" ht="15.5" x14ac:dyDescent="0.35">
      <c r="A338" s="2" t="s">
        <v>338</v>
      </c>
      <c r="B338" s="2" t="s">
        <v>3003</v>
      </c>
      <c r="C338" t="s">
        <v>2394</v>
      </c>
      <c r="D338" t="s">
        <v>3004</v>
      </c>
    </row>
    <row r="339" spans="1:5" ht="15.5" x14ac:dyDescent="0.35">
      <c r="A339" s="2" t="s">
        <v>339</v>
      </c>
      <c r="B339" s="2" t="s">
        <v>3005</v>
      </c>
      <c r="C339" t="s">
        <v>2394</v>
      </c>
      <c r="D339" t="s">
        <v>2657</v>
      </c>
      <c r="E339" t="s">
        <v>2485</v>
      </c>
    </row>
    <row r="340" spans="1:5" ht="15.5" x14ac:dyDescent="0.35">
      <c r="A340" s="2" t="s">
        <v>340</v>
      </c>
      <c r="B340" s="2" t="s">
        <v>3006</v>
      </c>
      <c r="C340" t="s">
        <v>2397</v>
      </c>
      <c r="D340" t="s">
        <v>2731</v>
      </c>
    </row>
    <row r="341" spans="1:5" ht="15.5" x14ac:dyDescent="0.35">
      <c r="A341" s="2" t="s">
        <v>341</v>
      </c>
      <c r="B341" s="2" t="s">
        <v>3007</v>
      </c>
      <c r="C341" t="s">
        <v>2394</v>
      </c>
      <c r="D341" t="s">
        <v>3008</v>
      </c>
      <c r="E341" t="s">
        <v>2561</v>
      </c>
    </row>
    <row r="342" spans="1:5" ht="15.5" x14ac:dyDescent="0.35">
      <c r="A342" s="2" t="s">
        <v>342</v>
      </c>
      <c r="B342" s="2" t="s">
        <v>3009</v>
      </c>
      <c r="C342" t="s">
        <v>2394</v>
      </c>
      <c r="D342" t="s">
        <v>3010</v>
      </c>
      <c r="E342" t="s">
        <v>2561</v>
      </c>
    </row>
    <row r="343" spans="1:5" ht="15.5" x14ac:dyDescent="0.35">
      <c r="A343" s="2" t="s">
        <v>343</v>
      </c>
      <c r="B343" s="2" t="s">
        <v>3011</v>
      </c>
      <c r="C343" t="s">
        <v>2394</v>
      </c>
      <c r="D343" t="s">
        <v>3012</v>
      </c>
    </row>
    <row r="344" spans="1:5" ht="15.5" x14ac:dyDescent="0.35">
      <c r="A344" s="2" t="s">
        <v>344</v>
      </c>
      <c r="B344" s="2" t="s">
        <v>3013</v>
      </c>
      <c r="C344" t="s">
        <v>2394</v>
      </c>
      <c r="D344" t="s">
        <v>2604</v>
      </c>
    </row>
    <row r="345" spans="1:5" ht="15.5" x14ac:dyDescent="0.35">
      <c r="A345" s="2" t="s">
        <v>345</v>
      </c>
      <c r="B345" s="2" t="s">
        <v>3014</v>
      </c>
      <c r="C345" t="s">
        <v>2397</v>
      </c>
      <c r="D345" t="s">
        <v>3015</v>
      </c>
    </row>
    <row r="346" spans="1:5" ht="15.5" x14ac:dyDescent="0.35">
      <c r="A346" s="2" t="s">
        <v>346</v>
      </c>
      <c r="B346" s="2" t="s">
        <v>3016</v>
      </c>
      <c r="C346" t="s">
        <v>2394</v>
      </c>
      <c r="D346" t="s">
        <v>2840</v>
      </c>
    </row>
    <row r="347" spans="1:5" ht="15.5" x14ac:dyDescent="0.35">
      <c r="A347" s="2" t="s">
        <v>347</v>
      </c>
      <c r="B347" s="2" t="s">
        <v>3017</v>
      </c>
      <c r="C347" t="s">
        <v>2397</v>
      </c>
      <c r="D347" t="s">
        <v>2512</v>
      </c>
    </row>
    <row r="348" spans="1:5" ht="15.5" x14ac:dyDescent="0.35">
      <c r="A348" s="2" t="s">
        <v>348</v>
      </c>
      <c r="B348" s="2" t="s">
        <v>3018</v>
      </c>
      <c r="C348" t="s">
        <v>2394</v>
      </c>
      <c r="D348" t="s">
        <v>3019</v>
      </c>
    </row>
    <row r="349" spans="1:5" ht="15.5" x14ac:dyDescent="0.35">
      <c r="A349" s="2" t="s">
        <v>349</v>
      </c>
      <c r="B349" s="2" t="s">
        <v>3020</v>
      </c>
      <c r="C349" t="s">
        <v>2394</v>
      </c>
      <c r="D349" t="s">
        <v>3021</v>
      </c>
    </row>
    <row r="350" spans="1:5" ht="15.5" x14ac:dyDescent="0.35">
      <c r="A350" s="2" t="s">
        <v>350</v>
      </c>
      <c r="B350" s="2" t="s">
        <v>3022</v>
      </c>
      <c r="C350" t="s">
        <v>2397</v>
      </c>
      <c r="D350" t="s">
        <v>2888</v>
      </c>
      <c r="E350" t="s">
        <v>2561</v>
      </c>
    </row>
    <row r="351" spans="1:5" ht="15.5" x14ac:dyDescent="0.35">
      <c r="A351" s="2" t="s">
        <v>351</v>
      </c>
      <c r="B351" s="2" t="s">
        <v>3023</v>
      </c>
      <c r="C351" t="s">
        <v>2394</v>
      </c>
      <c r="D351" t="s">
        <v>3024</v>
      </c>
      <c r="E351" t="s">
        <v>2540</v>
      </c>
    </row>
    <row r="352" spans="1:5" ht="15.5" x14ac:dyDescent="0.35">
      <c r="A352" s="2" t="s">
        <v>352</v>
      </c>
      <c r="B352" s="2" t="s">
        <v>3025</v>
      </c>
      <c r="C352" t="s">
        <v>2397</v>
      </c>
      <c r="D352" t="s">
        <v>3026</v>
      </c>
      <c r="E352" t="s">
        <v>2436</v>
      </c>
    </row>
    <row r="353" spans="1:6" ht="15.5" x14ac:dyDescent="0.35">
      <c r="A353" s="2" t="s">
        <v>353</v>
      </c>
      <c r="B353" s="2" t="s">
        <v>3027</v>
      </c>
      <c r="C353" t="s">
        <v>2394</v>
      </c>
      <c r="D353" t="s">
        <v>3028</v>
      </c>
      <c r="E353" t="s">
        <v>2501</v>
      </c>
    </row>
    <row r="354" spans="1:6" ht="15.5" x14ac:dyDescent="0.35">
      <c r="A354" s="2" t="s">
        <v>354</v>
      </c>
      <c r="B354" s="2" t="s">
        <v>2571</v>
      </c>
      <c r="C354" t="s">
        <v>2397</v>
      </c>
      <c r="D354" t="s">
        <v>3029</v>
      </c>
    </row>
    <row r="355" spans="1:6" ht="15.5" x14ac:dyDescent="0.35">
      <c r="A355" s="2" t="s">
        <v>355</v>
      </c>
      <c r="B355" s="2" t="s">
        <v>3030</v>
      </c>
      <c r="C355" t="s">
        <v>2394</v>
      </c>
      <c r="D355" t="s">
        <v>3031</v>
      </c>
    </row>
    <row r="356" spans="1:6" ht="15.5" x14ac:dyDescent="0.35">
      <c r="A356" s="2" t="s">
        <v>356</v>
      </c>
      <c r="B356" s="2" t="s">
        <v>3032</v>
      </c>
      <c r="C356" t="s">
        <v>2870</v>
      </c>
      <c r="D356" t="s">
        <v>3033</v>
      </c>
      <c r="E356" t="s">
        <v>2394</v>
      </c>
      <c r="F356" t="s">
        <v>3034</v>
      </c>
    </row>
    <row r="357" spans="1:6" ht="15.5" x14ac:dyDescent="0.35">
      <c r="A357" s="2" t="s">
        <v>357</v>
      </c>
      <c r="B357" s="2" t="s">
        <v>3035</v>
      </c>
      <c r="C357" t="s">
        <v>2394</v>
      </c>
      <c r="D357" t="s">
        <v>3036</v>
      </c>
    </row>
    <row r="358" spans="1:6" ht="15.5" x14ac:dyDescent="0.35">
      <c r="A358" s="2" t="s">
        <v>358</v>
      </c>
      <c r="B358" s="2" t="s">
        <v>3037</v>
      </c>
      <c r="C358" t="s">
        <v>2397</v>
      </c>
      <c r="D358" t="s">
        <v>3038</v>
      </c>
    </row>
    <row r="359" spans="1:6" ht="15.5" x14ac:dyDescent="0.35">
      <c r="A359" s="2" t="s">
        <v>359</v>
      </c>
      <c r="B359" s="2" t="s">
        <v>3039</v>
      </c>
      <c r="C359" t="s">
        <v>2397</v>
      </c>
      <c r="D359" t="s">
        <v>3040</v>
      </c>
    </row>
    <row r="360" spans="1:6" ht="15.5" x14ac:dyDescent="0.35">
      <c r="A360" s="2" t="s">
        <v>360</v>
      </c>
      <c r="B360" s="2" t="s">
        <v>3041</v>
      </c>
      <c r="C360" t="s">
        <v>2397</v>
      </c>
      <c r="D360" t="s">
        <v>3042</v>
      </c>
    </row>
    <row r="361" spans="1:6" ht="15.5" x14ac:dyDescent="0.35">
      <c r="A361" s="2" t="s">
        <v>361</v>
      </c>
      <c r="B361" s="2" t="s">
        <v>2773</v>
      </c>
      <c r="C361" t="s">
        <v>2397</v>
      </c>
      <c r="D361" t="s">
        <v>2826</v>
      </c>
    </row>
    <row r="362" spans="1:6" ht="15.5" x14ac:dyDescent="0.35">
      <c r="A362" s="2" t="s">
        <v>362</v>
      </c>
      <c r="B362" s="2" t="s">
        <v>3043</v>
      </c>
      <c r="C362" t="s">
        <v>2397</v>
      </c>
      <c r="D362" t="s">
        <v>3044</v>
      </c>
    </row>
    <row r="363" spans="1:6" ht="15.5" x14ac:dyDescent="0.35">
      <c r="A363" s="2" t="s">
        <v>363</v>
      </c>
      <c r="B363" s="2" t="s">
        <v>3045</v>
      </c>
      <c r="C363" t="s">
        <v>2397</v>
      </c>
      <c r="D363" t="s">
        <v>2544</v>
      </c>
    </row>
    <row r="364" spans="1:6" ht="15.5" x14ac:dyDescent="0.35">
      <c r="A364" s="2" t="s">
        <v>364</v>
      </c>
      <c r="B364" s="2" t="s">
        <v>3046</v>
      </c>
      <c r="C364" t="s">
        <v>2397</v>
      </c>
      <c r="D364" t="s">
        <v>2610</v>
      </c>
      <c r="E364" t="s">
        <v>2477</v>
      </c>
    </row>
    <row r="365" spans="1:6" ht="15.5" x14ac:dyDescent="0.35">
      <c r="A365" s="2" t="s">
        <v>365</v>
      </c>
      <c r="B365" s="2" t="s">
        <v>3047</v>
      </c>
      <c r="C365" t="s">
        <v>2394</v>
      </c>
      <c r="D365" t="s">
        <v>3048</v>
      </c>
      <c r="E365" t="s">
        <v>2431</v>
      </c>
    </row>
    <row r="366" spans="1:6" ht="15.5" x14ac:dyDescent="0.35">
      <c r="A366" s="2" t="s">
        <v>366</v>
      </c>
      <c r="B366" s="2" t="s">
        <v>3049</v>
      </c>
      <c r="C366" t="s">
        <v>2394</v>
      </c>
      <c r="D366" t="s">
        <v>3050</v>
      </c>
    </row>
    <row r="367" spans="1:6" ht="15.5" x14ac:dyDescent="0.35">
      <c r="A367" s="2" t="s">
        <v>367</v>
      </c>
      <c r="B367" s="2" t="s">
        <v>3051</v>
      </c>
      <c r="C367" t="s">
        <v>2397</v>
      </c>
      <c r="D367" t="s">
        <v>3052</v>
      </c>
      <c r="E367" t="s">
        <v>2534</v>
      </c>
    </row>
    <row r="368" spans="1:6" ht="15.5" x14ac:dyDescent="0.35">
      <c r="A368" s="2" t="s">
        <v>368</v>
      </c>
      <c r="B368" s="2" t="s">
        <v>3053</v>
      </c>
      <c r="C368" t="s">
        <v>2397</v>
      </c>
      <c r="D368" t="s">
        <v>3054</v>
      </c>
      <c r="E368" t="s">
        <v>2498</v>
      </c>
    </row>
    <row r="369" spans="1:5" ht="15.5" x14ac:dyDescent="0.35">
      <c r="A369" s="2" t="s">
        <v>369</v>
      </c>
      <c r="B369" s="2" t="s">
        <v>3055</v>
      </c>
      <c r="C369" t="s">
        <v>2394</v>
      </c>
      <c r="D369" t="s">
        <v>3056</v>
      </c>
    </row>
    <row r="370" spans="1:5" ht="15.5" x14ac:dyDescent="0.35">
      <c r="A370" s="2" t="s">
        <v>370</v>
      </c>
      <c r="B370" s="2" t="s">
        <v>3057</v>
      </c>
      <c r="C370" t="s">
        <v>2397</v>
      </c>
      <c r="D370" t="s">
        <v>3058</v>
      </c>
      <c r="E370" t="s">
        <v>2561</v>
      </c>
    </row>
    <row r="371" spans="1:5" ht="15.5" x14ac:dyDescent="0.35">
      <c r="A371" s="2" t="s">
        <v>371</v>
      </c>
      <c r="B371" s="2" t="s">
        <v>3059</v>
      </c>
      <c r="C371" t="s">
        <v>2809</v>
      </c>
      <c r="D371" t="s">
        <v>2397</v>
      </c>
      <c r="E371" t="s">
        <v>3060</v>
      </c>
    </row>
    <row r="372" spans="1:5" ht="15.5" x14ac:dyDescent="0.35">
      <c r="A372" s="2" t="s">
        <v>372</v>
      </c>
      <c r="B372" s="2" t="s">
        <v>3061</v>
      </c>
      <c r="C372" t="s">
        <v>2394</v>
      </c>
      <c r="D372" t="s">
        <v>3062</v>
      </c>
      <c r="E372" t="s">
        <v>2534</v>
      </c>
    </row>
    <row r="373" spans="1:5" ht="15.5" x14ac:dyDescent="0.35">
      <c r="A373" s="2" t="s">
        <v>373</v>
      </c>
      <c r="B373" s="2" t="s">
        <v>3063</v>
      </c>
      <c r="C373" t="s">
        <v>2397</v>
      </c>
      <c r="D373" t="s">
        <v>2684</v>
      </c>
    </row>
    <row r="374" spans="1:5" ht="15.5" x14ac:dyDescent="0.35">
      <c r="A374" s="2" t="s">
        <v>374</v>
      </c>
      <c r="B374" s="2" t="s">
        <v>3064</v>
      </c>
      <c r="C374" t="s">
        <v>2394</v>
      </c>
      <c r="D374" t="s">
        <v>3065</v>
      </c>
      <c r="E374" t="s">
        <v>2482</v>
      </c>
    </row>
    <row r="375" spans="1:5" ht="15.5" x14ac:dyDescent="0.35">
      <c r="A375" s="2" t="s">
        <v>375</v>
      </c>
      <c r="B375" s="2" t="s">
        <v>3066</v>
      </c>
      <c r="C375" t="s">
        <v>2394</v>
      </c>
      <c r="D375" t="s">
        <v>2422</v>
      </c>
    </row>
    <row r="376" spans="1:5" ht="15.5" x14ac:dyDescent="0.35">
      <c r="A376" s="2" t="s">
        <v>376</v>
      </c>
      <c r="B376" s="2" t="s">
        <v>3067</v>
      </c>
      <c r="C376" t="s">
        <v>2394</v>
      </c>
      <c r="D376" t="s">
        <v>3068</v>
      </c>
      <c r="E376" t="s">
        <v>2643</v>
      </c>
    </row>
    <row r="377" spans="1:5" ht="15.5" x14ac:dyDescent="0.35">
      <c r="A377" s="2" t="s">
        <v>377</v>
      </c>
      <c r="B377" s="2" t="s">
        <v>3069</v>
      </c>
      <c r="C377" t="s">
        <v>2397</v>
      </c>
      <c r="D377" t="s">
        <v>3070</v>
      </c>
    </row>
    <row r="378" spans="1:5" ht="15.5" x14ac:dyDescent="0.35">
      <c r="A378" s="2" t="s">
        <v>378</v>
      </c>
      <c r="B378" s="2" t="s">
        <v>3071</v>
      </c>
      <c r="C378" t="s">
        <v>2397</v>
      </c>
      <c r="D378" t="s">
        <v>2701</v>
      </c>
    </row>
    <row r="379" spans="1:5" ht="15.5" x14ac:dyDescent="0.35">
      <c r="A379" s="2" t="s">
        <v>379</v>
      </c>
      <c r="B379" s="2" t="s">
        <v>3072</v>
      </c>
      <c r="C379" t="s">
        <v>2394</v>
      </c>
      <c r="D379" t="s">
        <v>3073</v>
      </c>
      <c r="E379" t="s">
        <v>2680</v>
      </c>
    </row>
    <row r="380" spans="1:5" ht="15.5" x14ac:dyDescent="0.35">
      <c r="A380" s="2" t="s">
        <v>380</v>
      </c>
      <c r="B380" s="2" t="s">
        <v>3074</v>
      </c>
      <c r="C380" t="s">
        <v>2394</v>
      </c>
      <c r="D380" t="s">
        <v>2782</v>
      </c>
    </row>
    <row r="381" spans="1:5" ht="15.5" x14ac:dyDescent="0.35">
      <c r="A381" s="2" t="s">
        <v>381</v>
      </c>
      <c r="B381" s="2" t="s">
        <v>3075</v>
      </c>
      <c r="C381" t="s">
        <v>2397</v>
      </c>
      <c r="D381" t="s">
        <v>3076</v>
      </c>
    </row>
    <row r="382" spans="1:5" ht="15.5" x14ac:dyDescent="0.35">
      <c r="A382" s="2" t="s">
        <v>382</v>
      </c>
      <c r="B382" s="2" t="s">
        <v>3077</v>
      </c>
      <c r="C382" t="s">
        <v>2394</v>
      </c>
      <c r="D382" t="s">
        <v>2670</v>
      </c>
      <c r="E382" t="s">
        <v>2799</v>
      </c>
    </row>
    <row r="383" spans="1:5" ht="15.5" x14ac:dyDescent="0.35">
      <c r="A383" s="2" t="s">
        <v>383</v>
      </c>
      <c r="B383" s="2" t="s">
        <v>3078</v>
      </c>
      <c r="C383" t="s">
        <v>2397</v>
      </c>
      <c r="D383" t="s">
        <v>2410</v>
      </c>
    </row>
    <row r="384" spans="1:5" ht="15.5" x14ac:dyDescent="0.35">
      <c r="A384" s="2" t="s">
        <v>384</v>
      </c>
      <c r="B384" s="2" t="s">
        <v>3079</v>
      </c>
      <c r="C384" t="s">
        <v>2397</v>
      </c>
      <c r="D384" t="s">
        <v>2846</v>
      </c>
    </row>
    <row r="385" spans="1:5" ht="15.5" x14ac:dyDescent="0.35">
      <c r="A385" s="2" t="s">
        <v>385</v>
      </c>
      <c r="B385" s="2" t="s">
        <v>3080</v>
      </c>
      <c r="C385" t="s">
        <v>2394</v>
      </c>
      <c r="D385" t="s">
        <v>2565</v>
      </c>
    </row>
    <row r="386" spans="1:5" ht="15.5" x14ac:dyDescent="0.35">
      <c r="A386" s="2" t="s">
        <v>386</v>
      </c>
      <c r="B386" s="2" t="s">
        <v>3081</v>
      </c>
      <c r="C386" t="s">
        <v>2397</v>
      </c>
      <c r="D386" t="s">
        <v>2515</v>
      </c>
      <c r="E386" t="s">
        <v>2472</v>
      </c>
    </row>
    <row r="387" spans="1:5" ht="15.5" x14ac:dyDescent="0.35">
      <c r="A387" s="2" t="s">
        <v>387</v>
      </c>
      <c r="B387" s="2" t="s">
        <v>3082</v>
      </c>
      <c r="C387" t="s">
        <v>2397</v>
      </c>
      <c r="D387" t="s">
        <v>3083</v>
      </c>
      <c r="E387" t="s">
        <v>2399</v>
      </c>
    </row>
    <row r="388" spans="1:5" ht="15.5" x14ac:dyDescent="0.35">
      <c r="A388" s="2" t="s">
        <v>388</v>
      </c>
      <c r="B388" s="2" t="s">
        <v>3084</v>
      </c>
      <c r="C388" t="s">
        <v>2394</v>
      </c>
      <c r="D388" t="s">
        <v>3085</v>
      </c>
    </row>
    <row r="389" spans="1:5" ht="15.5" x14ac:dyDescent="0.35">
      <c r="A389" s="2" t="s">
        <v>389</v>
      </c>
      <c r="B389" s="2" t="s">
        <v>3086</v>
      </c>
      <c r="C389" t="s">
        <v>2397</v>
      </c>
      <c r="D389" t="s">
        <v>2701</v>
      </c>
      <c r="E389" t="s">
        <v>2467</v>
      </c>
    </row>
    <row r="390" spans="1:5" ht="15.5" x14ac:dyDescent="0.35">
      <c r="A390" s="2" t="s">
        <v>390</v>
      </c>
      <c r="B390" s="2" t="s">
        <v>3087</v>
      </c>
      <c r="C390" t="s">
        <v>2394</v>
      </c>
      <c r="D390" t="s">
        <v>2963</v>
      </c>
    </row>
    <row r="391" spans="1:5" ht="15.5" x14ac:dyDescent="0.35">
      <c r="A391" s="2" t="s">
        <v>391</v>
      </c>
      <c r="B391" s="2" t="s">
        <v>3088</v>
      </c>
      <c r="C391" t="s">
        <v>2394</v>
      </c>
      <c r="D391" t="s">
        <v>3089</v>
      </c>
      <c r="E391" t="s">
        <v>2408</v>
      </c>
    </row>
    <row r="392" spans="1:5" ht="15.5" x14ac:dyDescent="0.35">
      <c r="A392" s="2" t="s">
        <v>392</v>
      </c>
      <c r="B392" s="2" t="s">
        <v>3090</v>
      </c>
      <c r="C392" t="s">
        <v>2397</v>
      </c>
      <c r="D392" t="s">
        <v>3091</v>
      </c>
    </row>
    <row r="393" spans="1:5" ht="15.5" x14ac:dyDescent="0.35">
      <c r="A393" s="2" t="s">
        <v>393</v>
      </c>
      <c r="B393" s="2" t="s">
        <v>3092</v>
      </c>
      <c r="C393" t="s">
        <v>2397</v>
      </c>
      <c r="D393" t="s">
        <v>2481</v>
      </c>
    </row>
    <row r="394" spans="1:5" ht="15.5" x14ac:dyDescent="0.35">
      <c r="A394" s="2" t="s">
        <v>394</v>
      </c>
      <c r="B394" s="2" t="s">
        <v>3093</v>
      </c>
      <c r="C394" t="s">
        <v>2394</v>
      </c>
      <c r="D394" t="s">
        <v>3094</v>
      </c>
    </row>
    <row r="395" spans="1:5" ht="15.5" x14ac:dyDescent="0.35">
      <c r="A395" s="2" t="s">
        <v>395</v>
      </c>
      <c r="B395" s="2" t="s">
        <v>2805</v>
      </c>
      <c r="C395" t="s">
        <v>2397</v>
      </c>
      <c r="D395" t="s">
        <v>3095</v>
      </c>
    </row>
    <row r="396" spans="1:5" ht="15.5" x14ac:dyDescent="0.35">
      <c r="A396" s="2" t="s">
        <v>396</v>
      </c>
      <c r="B396" s="2" t="s">
        <v>3096</v>
      </c>
      <c r="C396" t="s">
        <v>2394</v>
      </c>
      <c r="D396" t="s">
        <v>3097</v>
      </c>
    </row>
    <row r="397" spans="1:5" ht="15.5" x14ac:dyDescent="0.35">
      <c r="A397" s="2" t="s">
        <v>397</v>
      </c>
      <c r="B397" s="2" t="s">
        <v>3098</v>
      </c>
      <c r="C397" t="s">
        <v>2394</v>
      </c>
      <c r="D397" t="s">
        <v>2604</v>
      </c>
      <c r="E397" t="s">
        <v>2485</v>
      </c>
    </row>
    <row r="398" spans="1:5" ht="15.5" x14ac:dyDescent="0.35">
      <c r="A398" s="2" t="s">
        <v>398</v>
      </c>
      <c r="B398" s="2" t="s">
        <v>3099</v>
      </c>
      <c r="C398" t="s">
        <v>2394</v>
      </c>
      <c r="D398" t="s">
        <v>3100</v>
      </c>
    </row>
    <row r="399" spans="1:5" ht="15.5" x14ac:dyDescent="0.35">
      <c r="A399" s="2" t="s">
        <v>399</v>
      </c>
      <c r="B399" s="2" t="s">
        <v>3101</v>
      </c>
      <c r="C399" t="s">
        <v>2397</v>
      </c>
      <c r="D399" t="s">
        <v>2859</v>
      </c>
    </row>
    <row r="400" spans="1:5" ht="15.5" x14ac:dyDescent="0.35">
      <c r="A400" s="2" t="s">
        <v>400</v>
      </c>
      <c r="B400" s="2" t="s">
        <v>3102</v>
      </c>
      <c r="C400" t="s">
        <v>2394</v>
      </c>
      <c r="D400" t="s">
        <v>2585</v>
      </c>
    </row>
    <row r="401" spans="1:5" ht="15.5" x14ac:dyDescent="0.35">
      <c r="A401" s="2" t="s">
        <v>401</v>
      </c>
      <c r="B401" s="2" t="s">
        <v>3103</v>
      </c>
      <c r="C401" t="s">
        <v>2394</v>
      </c>
      <c r="D401" t="s">
        <v>2657</v>
      </c>
      <c r="E401" t="s">
        <v>2431</v>
      </c>
    </row>
    <row r="402" spans="1:5" ht="15.5" x14ac:dyDescent="0.35">
      <c r="A402" s="2" t="s">
        <v>402</v>
      </c>
      <c r="B402" s="2" t="s">
        <v>3104</v>
      </c>
      <c r="C402" t="s">
        <v>2397</v>
      </c>
      <c r="D402" t="s">
        <v>3105</v>
      </c>
    </row>
    <row r="403" spans="1:5" ht="15.5" x14ac:dyDescent="0.35">
      <c r="A403" s="2" t="s">
        <v>403</v>
      </c>
      <c r="B403" s="2" t="s">
        <v>3106</v>
      </c>
      <c r="C403" t="s">
        <v>2394</v>
      </c>
      <c r="D403" t="s">
        <v>2774</v>
      </c>
      <c r="E403" t="s">
        <v>2799</v>
      </c>
    </row>
    <row r="404" spans="1:5" ht="15.5" x14ac:dyDescent="0.35">
      <c r="A404" s="2" t="s">
        <v>404</v>
      </c>
      <c r="B404" s="2" t="s">
        <v>3107</v>
      </c>
      <c r="C404" t="s">
        <v>2394</v>
      </c>
      <c r="D404" t="s">
        <v>3108</v>
      </c>
      <c r="E404" t="s">
        <v>3109</v>
      </c>
    </row>
    <row r="405" spans="1:5" ht="15.5" x14ac:dyDescent="0.35">
      <c r="A405" s="2" t="s">
        <v>405</v>
      </c>
      <c r="B405" s="2" t="s">
        <v>3110</v>
      </c>
      <c r="C405" t="s">
        <v>2397</v>
      </c>
      <c r="D405" t="s">
        <v>2790</v>
      </c>
      <c r="E405" t="s">
        <v>2700</v>
      </c>
    </row>
    <row r="406" spans="1:5" ht="15.5" x14ac:dyDescent="0.35">
      <c r="A406" s="2" t="s">
        <v>406</v>
      </c>
      <c r="B406" s="2" t="s">
        <v>3111</v>
      </c>
      <c r="C406" t="s">
        <v>2397</v>
      </c>
      <c r="D406" t="s">
        <v>3112</v>
      </c>
    </row>
    <row r="407" spans="1:5" ht="15.5" x14ac:dyDescent="0.35">
      <c r="A407" s="2" t="s">
        <v>407</v>
      </c>
      <c r="B407" s="2" t="s">
        <v>3113</v>
      </c>
      <c r="C407" t="s">
        <v>2397</v>
      </c>
      <c r="D407" t="s">
        <v>2790</v>
      </c>
      <c r="E407" t="s">
        <v>2472</v>
      </c>
    </row>
    <row r="408" spans="1:5" ht="15.5" x14ac:dyDescent="0.35">
      <c r="A408" s="2" t="s">
        <v>408</v>
      </c>
      <c r="B408" s="2" t="s">
        <v>3114</v>
      </c>
      <c r="C408" t="s">
        <v>2397</v>
      </c>
      <c r="D408" t="s">
        <v>3115</v>
      </c>
    </row>
    <row r="409" spans="1:5" ht="15.5" x14ac:dyDescent="0.35">
      <c r="A409" s="2" t="s">
        <v>409</v>
      </c>
      <c r="B409" s="2" t="s">
        <v>3116</v>
      </c>
      <c r="C409" t="s">
        <v>2397</v>
      </c>
      <c r="D409" t="s">
        <v>2414</v>
      </c>
      <c r="E409" t="s">
        <v>2472</v>
      </c>
    </row>
    <row r="410" spans="1:5" ht="15.5" x14ac:dyDescent="0.35">
      <c r="A410" s="2" t="s">
        <v>410</v>
      </c>
      <c r="B410" s="2" t="s">
        <v>3117</v>
      </c>
      <c r="C410" t="s">
        <v>2397</v>
      </c>
      <c r="D410" t="s">
        <v>2510</v>
      </c>
      <c r="E410" t="s">
        <v>2472</v>
      </c>
    </row>
    <row r="411" spans="1:5" ht="15.5" x14ac:dyDescent="0.35">
      <c r="A411" s="2" t="s">
        <v>411</v>
      </c>
      <c r="B411" s="2" t="s">
        <v>3118</v>
      </c>
      <c r="C411" t="s">
        <v>2394</v>
      </c>
      <c r="D411" t="s">
        <v>2504</v>
      </c>
    </row>
    <row r="412" spans="1:5" ht="15.5" x14ac:dyDescent="0.35">
      <c r="A412" s="2" t="s">
        <v>412</v>
      </c>
      <c r="B412" s="2" t="s">
        <v>3119</v>
      </c>
      <c r="C412" t="s">
        <v>2394</v>
      </c>
      <c r="D412" t="s">
        <v>3120</v>
      </c>
    </row>
    <row r="413" spans="1:5" ht="15.5" x14ac:dyDescent="0.35">
      <c r="A413" s="2" t="s">
        <v>413</v>
      </c>
      <c r="B413" s="2" t="s">
        <v>3121</v>
      </c>
      <c r="C413" t="s">
        <v>2397</v>
      </c>
      <c r="D413" t="s">
        <v>2790</v>
      </c>
    </row>
    <row r="414" spans="1:5" ht="15.5" x14ac:dyDescent="0.35">
      <c r="A414" s="2" t="s">
        <v>414</v>
      </c>
      <c r="B414" s="2" t="s">
        <v>3122</v>
      </c>
      <c r="C414" t="s">
        <v>2394</v>
      </c>
      <c r="D414" t="s">
        <v>3123</v>
      </c>
      <c r="E414" t="s">
        <v>2561</v>
      </c>
    </row>
    <row r="415" spans="1:5" ht="15.5" x14ac:dyDescent="0.35">
      <c r="A415" s="2" t="s">
        <v>415</v>
      </c>
      <c r="B415" s="2" t="s">
        <v>3124</v>
      </c>
      <c r="C415" t="s">
        <v>2394</v>
      </c>
      <c r="D415" t="s">
        <v>3125</v>
      </c>
    </row>
    <row r="416" spans="1:5" ht="15.5" x14ac:dyDescent="0.35">
      <c r="A416" s="2" t="s">
        <v>416</v>
      </c>
      <c r="B416" s="2" t="s">
        <v>3126</v>
      </c>
      <c r="C416" t="s">
        <v>2397</v>
      </c>
      <c r="D416" t="s">
        <v>3127</v>
      </c>
    </row>
    <row r="417" spans="1:5" ht="15.5" x14ac:dyDescent="0.35">
      <c r="A417" s="2" t="s">
        <v>417</v>
      </c>
      <c r="B417" s="2" t="s">
        <v>3128</v>
      </c>
      <c r="C417" t="s">
        <v>2397</v>
      </c>
      <c r="D417" t="s">
        <v>2410</v>
      </c>
    </row>
    <row r="418" spans="1:5" ht="15.5" x14ac:dyDescent="0.35">
      <c r="A418" s="2" t="s">
        <v>418</v>
      </c>
      <c r="B418" s="2" t="s">
        <v>3129</v>
      </c>
      <c r="C418" t="s">
        <v>2394</v>
      </c>
      <c r="D418" t="s">
        <v>2996</v>
      </c>
    </row>
    <row r="419" spans="1:5" ht="15.5" x14ac:dyDescent="0.35">
      <c r="A419" s="2" t="s">
        <v>419</v>
      </c>
      <c r="B419" s="2" t="s">
        <v>3130</v>
      </c>
      <c r="C419" t="s">
        <v>2394</v>
      </c>
      <c r="D419" t="s">
        <v>2840</v>
      </c>
    </row>
    <row r="420" spans="1:5" ht="15.5" x14ac:dyDescent="0.35">
      <c r="A420" s="2" t="s">
        <v>420</v>
      </c>
      <c r="B420" s="2" t="s">
        <v>3131</v>
      </c>
      <c r="C420" t="s">
        <v>2394</v>
      </c>
      <c r="D420" t="s">
        <v>3132</v>
      </c>
      <c r="E420" t="s">
        <v>3133</v>
      </c>
    </row>
    <row r="421" spans="1:5" ht="15.5" x14ac:dyDescent="0.35">
      <c r="A421" s="2" t="s">
        <v>421</v>
      </c>
      <c r="B421" s="2" t="s">
        <v>3134</v>
      </c>
      <c r="C421" t="s">
        <v>2394</v>
      </c>
      <c r="D421" t="s">
        <v>3135</v>
      </c>
      <c r="E421" t="s">
        <v>2482</v>
      </c>
    </row>
    <row r="422" spans="1:5" ht="15.5" x14ac:dyDescent="0.35">
      <c r="A422" s="2" t="s">
        <v>422</v>
      </c>
      <c r="B422" s="2" t="s">
        <v>3136</v>
      </c>
      <c r="C422" t="s">
        <v>2397</v>
      </c>
      <c r="D422" t="s">
        <v>3137</v>
      </c>
      <c r="E422" t="s">
        <v>2431</v>
      </c>
    </row>
    <row r="423" spans="1:5" ht="15.5" x14ac:dyDescent="0.35">
      <c r="A423" s="2" t="s">
        <v>423</v>
      </c>
      <c r="B423" s="2" t="s">
        <v>2629</v>
      </c>
      <c r="C423" t="s">
        <v>2394</v>
      </c>
      <c r="D423" t="s">
        <v>3138</v>
      </c>
    </row>
    <row r="424" spans="1:5" ht="15.5" x14ac:dyDescent="0.35">
      <c r="A424" s="2" t="s">
        <v>424</v>
      </c>
      <c r="B424" s="2" t="s">
        <v>3139</v>
      </c>
      <c r="C424" t="s">
        <v>2394</v>
      </c>
      <c r="D424" t="s">
        <v>2624</v>
      </c>
    </row>
    <row r="425" spans="1:5" ht="15.5" x14ac:dyDescent="0.35">
      <c r="A425" s="2" t="s">
        <v>425</v>
      </c>
      <c r="B425" s="2" t="s">
        <v>3140</v>
      </c>
      <c r="C425" t="s">
        <v>2394</v>
      </c>
      <c r="D425" t="s">
        <v>3141</v>
      </c>
    </row>
    <row r="426" spans="1:5" ht="15.5" x14ac:dyDescent="0.35">
      <c r="A426" s="2" t="s">
        <v>426</v>
      </c>
      <c r="B426" s="2" t="s">
        <v>3142</v>
      </c>
      <c r="C426" t="s">
        <v>2397</v>
      </c>
      <c r="D426" t="s">
        <v>3125</v>
      </c>
    </row>
    <row r="427" spans="1:5" ht="15.5" x14ac:dyDescent="0.35">
      <c r="A427" s="2" t="s">
        <v>427</v>
      </c>
      <c r="B427" s="2" t="s">
        <v>3143</v>
      </c>
      <c r="C427" t="s">
        <v>2397</v>
      </c>
      <c r="D427" t="s">
        <v>2804</v>
      </c>
    </row>
    <row r="428" spans="1:5" ht="15.5" x14ac:dyDescent="0.35">
      <c r="A428" s="2" t="s">
        <v>428</v>
      </c>
      <c r="B428" s="2" t="s">
        <v>3144</v>
      </c>
      <c r="C428" t="s">
        <v>2394</v>
      </c>
      <c r="D428" t="s">
        <v>3145</v>
      </c>
      <c r="E428" t="s">
        <v>2501</v>
      </c>
    </row>
    <row r="429" spans="1:5" ht="15.5" x14ac:dyDescent="0.35">
      <c r="A429" s="2" t="s">
        <v>429</v>
      </c>
      <c r="B429" s="2" t="s">
        <v>3146</v>
      </c>
      <c r="C429" t="s">
        <v>2394</v>
      </c>
      <c r="D429" t="s">
        <v>3147</v>
      </c>
    </row>
    <row r="430" spans="1:5" ht="15.5" x14ac:dyDescent="0.35">
      <c r="A430" s="2" t="s">
        <v>430</v>
      </c>
      <c r="B430" s="2" t="s">
        <v>3148</v>
      </c>
      <c r="C430" t="s">
        <v>2394</v>
      </c>
      <c r="D430" t="s">
        <v>2435</v>
      </c>
    </row>
    <row r="431" spans="1:5" ht="15.5" x14ac:dyDescent="0.35">
      <c r="A431" s="2" t="s">
        <v>431</v>
      </c>
      <c r="B431" s="2" t="s">
        <v>3149</v>
      </c>
      <c r="C431" t="s">
        <v>2394</v>
      </c>
      <c r="D431" t="s">
        <v>3150</v>
      </c>
      <c r="E431" t="s">
        <v>2431</v>
      </c>
    </row>
    <row r="432" spans="1:5" ht="15.5" x14ac:dyDescent="0.35">
      <c r="A432" s="2" t="s">
        <v>432</v>
      </c>
      <c r="B432" s="2" t="s">
        <v>3151</v>
      </c>
      <c r="C432" t="s">
        <v>2394</v>
      </c>
      <c r="D432" t="s">
        <v>3152</v>
      </c>
      <c r="E432" t="s">
        <v>2431</v>
      </c>
    </row>
    <row r="433" spans="1:5" ht="15.5" x14ac:dyDescent="0.35">
      <c r="A433" s="2" t="s">
        <v>433</v>
      </c>
      <c r="B433" s="2" t="s">
        <v>3153</v>
      </c>
      <c r="C433" t="s">
        <v>2394</v>
      </c>
      <c r="D433" t="s">
        <v>3154</v>
      </c>
    </row>
    <row r="434" spans="1:5" ht="15.5" x14ac:dyDescent="0.35">
      <c r="A434" s="2" t="s">
        <v>434</v>
      </c>
      <c r="B434" s="2" t="s">
        <v>3155</v>
      </c>
      <c r="C434" t="s">
        <v>2397</v>
      </c>
      <c r="D434" t="s">
        <v>3115</v>
      </c>
    </row>
    <row r="435" spans="1:5" ht="15.5" x14ac:dyDescent="0.35">
      <c r="A435" s="2" t="s">
        <v>435</v>
      </c>
      <c r="B435" s="2" t="s">
        <v>3156</v>
      </c>
      <c r="C435" t="s">
        <v>2394</v>
      </c>
      <c r="D435" t="s">
        <v>2585</v>
      </c>
    </row>
    <row r="436" spans="1:5" ht="15.5" x14ac:dyDescent="0.35">
      <c r="A436" s="2" t="s">
        <v>436</v>
      </c>
      <c r="B436" s="2" t="s">
        <v>3157</v>
      </c>
      <c r="C436" t="s">
        <v>2397</v>
      </c>
      <c r="D436" t="s">
        <v>2596</v>
      </c>
      <c r="E436" t="s">
        <v>2399</v>
      </c>
    </row>
    <row r="437" spans="1:5" ht="15.5" x14ac:dyDescent="0.35">
      <c r="A437" s="2" t="s">
        <v>437</v>
      </c>
      <c r="B437" s="2" t="s">
        <v>3158</v>
      </c>
      <c r="C437" t="s">
        <v>2397</v>
      </c>
      <c r="D437" t="s">
        <v>3159</v>
      </c>
    </row>
    <row r="438" spans="1:5" ht="15.5" x14ac:dyDescent="0.35">
      <c r="A438" s="2" t="s">
        <v>438</v>
      </c>
      <c r="B438" s="2" t="s">
        <v>3160</v>
      </c>
      <c r="C438" t="s">
        <v>2397</v>
      </c>
      <c r="D438" t="s">
        <v>3161</v>
      </c>
      <c r="E438" t="s">
        <v>2696</v>
      </c>
    </row>
    <row r="439" spans="1:5" ht="15.5" x14ac:dyDescent="0.35">
      <c r="A439" s="2" t="s">
        <v>439</v>
      </c>
      <c r="B439" s="2" t="s">
        <v>3162</v>
      </c>
      <c r="C439" t="s">
        <v>2394</v>
      </c>
      <c r="D439" t="s">
        <v>3050</v>
      </c>
    </row>
    <row r="440" spans="1:5" ht="15.5" x14ac:dyDescent="0.35">
      <c r="A440" s="2" t="s">
        <v>440</v>
      </c>
      <c r="B440" s="2" t="s">
        <v>3163</v>
      </c>
      <c r="C440" t="s">
        <v>2397</v>
      </c>
      <c r="D440" t="s">
        <v>2569</v>
      </c>
      <c r="E440" t="s">
        <v>2472</v>
      </c>
    </row>
    <row r="441" spans="1:5" ht="15.5" x14ac:dyDescent="0.35">
      <c r="A441" s="2" t="s">
        <v>441</v>
      </c>
      <c r="B441" s="2" t="s">
        <v>3164</v>
      </c>
      <c r="C441" t="s">
        <v>2394</v>
      </c>
      <c r="D441" t="s">
        <v>3165</v>
      </c>
    </row>
    <row r="442" spans="1:5" ht="15.5" x14ac:dyDescent="0.35">
      <c r="A442" s="2" t="s">
        <v>442</v>
      </c>
      <c r="B442" s="2" t="s">
        <v>3166</v>
      </c>
      <c r="C442" t="s">
        <v>2394</v>
      </c>
      <c r="D442" t="s">
        <v>3167</v>
      </c>
      <c r="E442" t="s">
        <v>2482</v>
      </c>
    </row>
    <row r="443" spans="1:5" ht="15.5" x14ac:dyDescent="0.35">
      <c r="A443" s="2" t="s">
        <v>443</v>
      </c>
      <c r="B443" s="2" t="s">
        <v>3168</v>
      </c>
      <c r="C443" t="s">
        <v>2397</v>
      </c>
      <c r="D443" t="s">
        <v>2859</v>
      </c>
      <c r="E443" t="s">
        <v>2415</v>
      </c>
    </row>
    <row r="444" spans="1:5" ht="15.5" x14ac:dyDescent="0.35">
      <c r="A444" s="2" t="s">
        <v>444</v>
      </c>
      <c r="B444" s="2" t="s">
        <v>2549</v>
      </c>
      <c r="C444" t="s">
        <v>2397</v>
      </c>
      <c r="D444" t="s">
        <v>3169</v>
      </c>
      <c r="E444" t="s">
        <v>2590</v>
      </c>
    </row>
    <row r="445" spans="1:5" ht="15.5" x14ac:dyDescent="0.35">
      <c r="A445" s="2" t="s">
        <v>445</v>
      </c>
      <c r="B445" s="2" t="s">
        <v>3170</v>
      </c>
      <c r="C445" t="s">
        <v>2394</v>
      </c>
      <c r="D445" t="s">
        <v>3171</v>
      </c>
    </row>
    <row r="446" spans="1:5" ht="15.5" x14ac:dyDescent="0.35">
      <c r="A446" s="2" t="s">
        <v>446</v>
      </c>
      <c r="B446" s="2" t="s">
        <v>3172</v>
      </c>
      <c r="C446" t="s">
        <v>2394</v>
      </c>
      <c r="D446" t="s">
        <v>3173</v>
      </c>
    </row>
    <row r="447" spans="1:5" ht="15.5" x14ac:dyDescent="0.35">
      <c r="A447" s="2" t="s">
        <v>447</v>
      </c>
      <c r="B447" s="2" t="s">
        <v>3174</v>
      </c>
      <c r="C447" t="s">
        <v>2397</v>
      </c>
      <c r="D447" t="s">
        <v>2510</v>
      </c>
    </row>
    <row r="448" spans="1:5" ht="15.5" x14ac:dyDescent="0.35">
      <c r="A448" s="2" t="s">
        <v>448</v>
      </c>
      <c r="B448" s="2" t="s">
        <v>3175</v>
      </c>
      <c r="C448" t="s">
        <v>2394</v>
      </c>
      <c r="D448" t="s">
        <v>3176</v>
      </c>
      <c r="E448" t="s">
        <v>2540</v>
      </c>
    </row>
    <row r="449" spans="1:5" ht="15.5" x14ac:dyDescent="0.35">
      <c r="A449" s="2" t="s">
        <v>449</v>
      </c>
      <c r="B449" s="2" t="s">
        <v>3177</v>
      </c>
      <c r="C449" t="s">
        <v>2397</v>
      </c>
      <c r="D449" t="s">
        <v>3178</v>
      </c>
      <c r="E449" t="s">
        <v>2436</v>
      </c>
    </row>
    <row r="450" spans="1:5" ht="15.5" x14ac:dyDescent="0.35">
      <c r="A450" s="2" t="s">
        <v>450</v>
      </c>
      <c r="B450" s="2" t="s">
        <v>3179</v>
      </c>
      <c r="C450" t="s">
        <v>2397</v>
      </c>
      <c r="D450" t="s">
        <v>2491</v>
      </c>
      <c r="E450" t="s">
        <v>2431</v>
      </c>
    </row>
    <row r="451" spans="1:5" ht="15.5" x14ac:dyDescent="0.35">
      <c r="A451" s="2" t="s">
        <v>451</v>
      </c>
      <c r="B451" s="2" t="s">
        <v>3180</v>
      </c>
      <c r="C451" t="s">
        <v>2394</v>
      </c>
      <c r="D451" t="s">
        <v>3181</v>
      </c>
    </row>
    <row r="452" spans="1:5" ht="15.5" x14ac:dyDescent="0.35">
      <c r="A452" s="2" t="s">
        <v>452</v>
      </c>
      <c r="B452" s="2" t="s">
        <v>3023</v>
      </c>
      <c r="C452" t="s">
        <v>2394</v>
      </c>
      <c r="D452" t="s">
        <v>2961</v>
      </c>
      <c r="E452" t="s">
        <v>2555</v>
      </c>
    </row>
    <row r="453" spans="1:5" ht="15.5" x14ac:dyDescent="0.35">
      <c r="A453" s="2" t="s">
        <v>453</v>
      </c>
      <c r="B453" s="2" t="s">
        <v>2511</v>
      </c>
      <c r="C453" t="s">
        <v>2397</v>
      </c>
      <c r="D453" t="s">
        <v>3182</v>
      </c>
    </row>
    <row r="454" spans="1:5" ht="15.5" x14ac:dyDescent="0.35">
      <c r="A454" s="2" t="s">
        <v>454</v>
      </c>
      <c r="B454" s="2" t="s">
        <v>3183</v>
      </c>
      <c r="C454" t="s">
        <v>2394</v>
      </c>
      <c r="D454" t="s">
        <v>3184</v>
      </c>
      <c r="E454" t="s">
        <v>2501</v>
      </c>
    </row>
    <row r="455" spans="1:5" ht="15.5" x14ac:dyDescent="0.35">
      <c r="A455" s="2" t="s">
        <v>455</v>
      </c>
      <c r="B455" s="2" t="s">
        <v>3185</v>
      </c>
      <c r="C455" t="s">
        <v>2397</v>
      </c>
      <c r="D455" t="s">
        <v>2673</v>
      </c>
    </row>
    <row r="456" spans="1:5" ht="15.5" x14ac:dyDescent="0.35">
      <c r="A456" s="2" t="s">
        <v>456</v>
      </c>
      <c r="B456" s="2" t="s">
        <v>3186</v>
      </c>
      <c r="C456" t="s">
        <v>2397</v>
      </c>
      <c r="D456" t="s">
        <v>2410</v>
      </c>
    </row>
    <row r="457" spans="1:5" ht="15.5" x14ac:dyDescent="0.35">
      <c r="A457" s="2" t="s">
        <v>457</v>
      </c>
      <c r="B457" s="2" t="s">
        <v>3187</v>
      </c>
      <c r="C457" t="s">
        <v>2397</v>
      </c>
      <c r="D457" t="s">
        <v>3188</v>
      </c>
    </row>
    <row r="458" spans="1:5" ht="15.5" x14ac:dyDescent="0.35">
      <c r="A458" s="2" t="s">
        <v>458</v>
      </c>
      <c r="B458" s="2" t="s">
        <v>3189</v>
      </c>
      <c r="C458" t="s">
        <v>2397</v>
      </c>
      <c r="D458" t="s">
        <v>2931</v>
      </c>
    </row>
    <row r="459" spans="1:5" ht="15.5" x14ac:dyDescent="0.35">
      <c r="A459" s="2" t="s">
        <v>459</v>
      </c>
      <c r="B459" s="2" t="s">
        <v>3190</v>
      </c>
      <c r="C459" t="s">
        <v>2397</v>
      </c>
      <c r="D459" t="s">
        <v>3191</v>
      </c>
    </row>
    <row r="460" spans="1:5" ht="15.5" x14ac:dyDescent="0.35">
      <c r="A460" s="2" t="s">
        <v>460</v>
      </c>
      <c r="B460" s="2" t="s">
        <v>3192</v>
      </c>
      <c r="C460" t="s">
        <v>2394</v>
      </c>
      <c r="D460" t="s">
        <v>3193</v>
      </c>
    </row>
    <row r="461" spans="1:5" ht="15.5" x14ac:dyDescent="0.35">
      <c r="A461" s="2" t="s">
        <v>461</v>
      </c>
      <c r="B461" s="2" t="s">
        <v>2538</v>
      </c>
      <c r="C461" t="s">
        <v>2397</v>
      </c>
      <c r="D461" t="s">
        <v>3194</v>
      </c>
      <c r="E461" t="s">
        <v>2467</v>
      </c>
    </row>
    <row r="462" spans="1:5" ht="15.5" x14ac:dyDescent="0.35">
      <c r="A462" s="2" t="s">
        <v>462</v>
      </c>
      <c r="B462" s="2" t="s">
        <v>2940</v>
      </c>
      <c r="C462" t="s">
        <v>2394</v>
      </c>
      <c r="D462" t="s">
        <v>3195</v>
      </c>
    </row>
    <row r="463" spans="1:5" ht="15.5" x14ac:dyDescent="0.35">
      <c r="A463" s="2" t="s">
        <v>463</v>
      </c>
      <c r="B463" s="2" t="s">
        <v>2571</v>
      </c>
      <c r="C463" t="s">
        <v>2394</v>
      </c>
      <c r="D463" t="s">
        <v>2525</v>
      </c>
    </row>
    <row r="464" spans="1:5" ht="15.5" x14ac:dyDescent="0.35">
      <c r="A464" s="2" t="s">
        <v>464</v>
      </c>
      <c r="B464" s="2" t="s">
        <v>3196</v>
      </c>
      <c r="C464" t="s">
        <v>2394</v>
      </c>
      <c r="D464" t="s">
        <v>3197</v>
      </c>
      <c r="E464" t="s">
        <v>2399</v>
      </c>
    </row>
    <row r="465" spans="1:6" ht="15.5" x14ac:dyDescent="0.35">
      <c r="A465" s="2" t="s">
        <v>465</v>
      </c>
      <c r="B465" s="2" t="s">
        <v>3198</v>
      </c>
      <c r="C465" t="s">
        <v>2397</v>
      </c>
      <c r="D465" t="s">
        <v>3199</v>
      </c>
      <c r="E465" t="s">
        <v>3200</v>
      </c>
    </row>
    <row r="466" spans="1:6" ht="15.5" x14ac:dyDescent="0.35">
      <c r="A466" s="2" t="s">
        <v>466</v>
      </c>
      <c r="B466" s="2" t="s">
        <v>3201</v>
      </c>
      <c r="C466" t="s">
        <v>2394</v>
      </c>
      <c r="D466" t="s">
        <v>2565</v>
      </c>
    </row>
    <row r="467" spans="1:6" ht="15.5" x14ac:dyDescent="0.35">
      <c r="A467" s="2" t="s">
        <v>467</v>
      </c>
      <c r="B467" s="2" t="s">
        <v>3202</v>
      </c>
      <c r="C467" t="s">
        <v>2397</v>
      </c>
      <c r="D467" t="s">
        <v>3203</v>
      </c>
    </row>
    <row r="468" spans="1:6" ht="15.5" x14ac:dyDescent="0.35">
      <c r="A468" s="2" t="s">
        <v>468</v>
      </c>
      <c r="B468" s="2" t="s">
        <v>2545</v>
      </c>
      <c r="C468" t="s">
        <v>2397</v>
      </c>
      <c r="D468" t="s">
        <v>2398</v>
      </c>
      <c r="E468" t="s">
        <v>2723</v>
      </c>
    </row>
    <row r="469" spans="1:6" ht="15.5" x14ac:dyDescent="0.35">
      <c r="A469" s="2" t="s">
        <v>469</v>
      </c>
      <c r="B469" s="2" t="s">
        <v>3204</v>
      </c>
      <c r="C469" t="s">
        <v>2394</v>
      </c>
      <c r="D469" t="s">
        <v>3205</v>
      </c>
      <c r="E469" t="s">
        <v>2477</v>
      </c>
    </row>
    <row r="470" spans="1:6" ht="15.5" x14ac:dyDescent="0.35">
      <c r="A470" s="2" t="s">
        <v>470</v>
      </c>
      <c r="B470" s="2" t="s">
        <v>3206</v>
      </c>
      <c r="C470" t="s">
        <v>2394</v>
      </c>
      <c r="D470" t="s">
        <v>3207</v>
      </c>
    </row>
    <row r="471" spans="1:6" ht="15.5" x14ac:dyDescent="0.35">
      <c r="A471" s="2" t="s">
        <v>471</v>
      </c>
      <c r="B471" s="2" t="s">
        <v>3208</v>
      </c>
      <c r="C471" t="s">
        <v>2397</v>
      </c>
      <c r="D471" t="s">
        <v>3209</v>
      </c>
    </row>
    <row r="472" spans="1:6" ht="15.5" x14ac:dyDescent="0.35">
      <c r="A472" s="2" t="s">
        <v>472</v>
      </c>
      <c r="B472" s="2" t="s">
        <v>3210</v>
      </c>
      <c r="C472" t="s">
        <v>2397</v>
      </c>
      <c r="D472" t="s">
        <v>3211</v>
      </c>
    </row>
    <row r="473" spans="1:6" ht="15.5" x14ac:dyDescent="0.35">
      <c r="A473" s="2" t="s">
        <v>473</v>
      </c>
      <c r="B473" s="2" t="s">
        <v>3212</v>
      </c>
      <c r="C473" t="s">
        <v>2397</v>
      </c>
      <c r="D473" t="s">
        <v>2834</v>
      </c>
    </row>
    <row r="474" spans="1:6" ht="15.5" x14ac:dyDescent="0.35">
      <c r="A474" s="2" t="s">
        <v>474</v>
      </c>
      <c r="B474" s="2" t="s">
        <v>2865</v>
      </c>
      <c r="C474" t="s">
        <v>2397</v>
      </c>
      <c r="D474" t="s">
        <v>2825</v>
      </c>
      <c r="E474" t="s">
        <v>2555</v>
      </c>
    </row>
    <row r="475" spans="1:6" ht="15.5" x14ac:dyDescent="0.35">
      <c r="A475" s="2" t="s">
        <v>475</v>
      </c>
      <c r="B475" s="2" t="s">
        <v>3213</v>
      </c>
      <c r="C475" t="s">
        <v>2397</v>
      </c>
      <c r="D475" t="s">
        <v>2424</v>
      </c>
    </row>
    <row r="476" spans="1:6" ht="15.5" x14ac:dyDescent="0.35">
      <c r="A476" s="2" t="s">
        <v>476</v>
      </c>
      <c r="B476" s="2" t="s">
        <v>3214</v>
      </c>
      <c r="C476" t="s">
        <v>2397</v>
      </c>
      <c r="D476" t="s">
        <v>3215</v>
      </c>
    </row>
    <row r="477" spans="1:6" ht="15.5" x14ac:dyDescent="0.35">
      <c r="A477" s="2" t="s">
        <v>477</v>
      </c>
      <c r="B477" s="2" t="s">
        <v>3216</v>
      </c>
      <c r="C477" t="s">
        <v>2397</v>
      </c>
      <c r="D477" t="s">
        <v>2625</v>
      </c>
      <c r="E477" t="s">
        <v>2622</v>
      </c>
      <c r="F477" t="s">
        <v>2579</v>
      </c>
    </row>
    <row r="478" spans="1:6" ht="15.5" x14ac:dyDescent="0.35">
      <c r="A478" s="2" t="s">
        <v>478</v>
      </c>
      <c r="B478" s="2" t="s">
        <v>3217</v>
      </c>
      <c r="C478" t="s">
        <v>2394</v>
      </c>
      <c r="D478" t="s">
        <v>2996</v>
      </c>
      <c r="E478" t="s">
        <v>2431</v>
      </c>
    </row>
    <row r="479" spans="1:6" ht="15.5" x14ac:dyDescent="0.35">
      <c r="A479" s="2" t="s">
        <v>479</v>
      </c>
      <c r="B479" s="2" t="s">
        <v>3218</v>
      </c>
      <c r="C479" t="s">
        <v>2397</v>
      </c>
      <c r="D479" t="s">
        <v>3219</v>
      </c>
      <c r="E479" t="s">
        <v>2680</v>
      </c>
    </row>
    <row r="480" spans="1:6" ht="15.5" x14ac:dyDescent="0.35">
      <c r="A480" s="2" t="s">
        <v>480</v>
      </c>
      <c r="B480" s="2" t="s">
        <v>3220</v>
      </c>
      <c r="C480" t="s">
        <v>2397</v>
      </c>
      <c r="D480" t="s">
        <v>2610</v>
      </c>
      <c r="E480" t="s">
        <v>2534</v>
      </c>
    </row>
    <row r="481" spans="1:5" ht="15.5" x14ac:dyDescent="0.35">
      <c r="A481" s="2" t="s">
        <v>481</v>
      </c>
      <c r="B481" s="2" t="s">
        <v>3221</v>
      </c>
      <c r="C481" t="s">
        <v>2397</v>
      </c>
      <c r="D481" t="s">
        <v>3222</v>
      </c>
    </row>
    <row r="482" spans="1:5" ht="15.5" x14ac:dyDescent="0.35">
      <c r="A482" s="2" t="s">
        <v>482</v>
      </c>
      <c r="B482" s="2" t="s">
        <v>3223</v>
      </c>
      <c r="C482" t="s">
        <v>2397</v>
      </c>
      <c r="D482" t="s">
        <v>2764</v>
      </c>
    </row>
    <row r="483" spans="1:5" ht="15.5" x14ac:dyDescent="0.35">
      <c r="A483" s="2" t="s">
        <v>483</v>
      </c>
      <c r="B483" s="2" t="s">
        <v>3224</v>
      </c>
      <c r="C483" t="s">
        <v>2397</v>
      </c>
      <c r="D483" t="s">
        <v>3225</v>
      </c>
      <c r="E483" t="s">
        <v>2467</v>
      </c>
    </row>
    <row r="484" spans="1:5" ht="15.5" x14ac:dyDescent="0.35">
      <c r="A484" s="2" t="s">
        <v>484</v>
      </c>
      <c r="B484" s="2" t="s">
        <v>3226</v>
      </c>
      <c r="C484" t="s">
        <v>2394</v>
      </c>
      <c r="D484" t="s">
        <v>3227</v>
      </c>
      <c r="E484" t="s">
        <v>2408</v>
      </c>
    </row>
    <row r="485" spans="1:5" ht="15.5" x14ac:dyDescent="0.35">
      <c r="A485" s="2" t="s">
        <v>485</v>
      </c>
      <c r="B485" s="2" t="s">
        <v>2667</v>
      </c>
      <c r="C485" t="s">
        <v>2394</v>
      </c>
      <c r="D485" t="s">
        <v>3228</v>
      </c>
    </row>
    <row r="486" spans="1:5" ht="15.5" x14ac:dyDescent="0.35">
      <c r="A486" s="2" t="s">
        <v>486</v>
      </c>
      <c r="B486" s="2" t="s">
        <v>3229</v>
      </c>
      <c r="C486" t="s">
        <v>2397</v>
      </c>
      <c r="D486" t="s">
        <v>2398</v>
      </c>
    </row>
    <row r="487" spans="1:5" ht="15.5" x14ac:dyDescent="0.35">
      <c r="A487" s="2" t="s">
        <v>487</v>
      </c>
      <c r="B487" s="2" t="s">
        <v>2989</v>
      </c>
      <c r="C487" t="s">
        <v>2397</v>
      </c>
      <c r="D487" t="s">
        <v>2552</v>
      </c>
    </row>
    <row r="488" spans="1:5" ht="15.5" x14ac:dyDescent="0.35">
      <c r="A488" s="2" t="s">
        <v>488</v>
      </c>
      <c r="B488" s="2" t="s">
        <v>3230</v>
      </c>
      <c r="C488" t="s">
        <v>3231</v>
      </c>
      <c r="D488" t="s">
        <v>3232</v>
      </c>
      <c r="E488" t="s">
        <v>2700</v>
      </c>
    </row>
    <row r="489" spans="1:5" ht="15.5" x14ac:dyDescent="0.35">
      <c r="A489" s="2" t="s">
        <v>489</v>
      </c>
      <c r="B489" s="2" t="s">
        <v>3233</v>
      </c>
      <c r="C489" t="s">
        <v>2394</v>
      </c>
      <c r="D489" t="s">
        <v>3234</v>
      </c>
    </row>
    <row r="490" spans="1:5" ht="15.5" x14ac:dyDescent="0.35">
      <c r="A490" s="2" t="s">
        <v>490</v>
      </c>
      <c r="B490" s="2" t="s">
        <v>3235</v>
      </c>
      <c r="C490" t="s">
        <v>2397</v>
      </c>
      <c r="D490" t="s">
        <v>2675</v>
      </c>
    </row>
    <row r="491" spans="1:5" ht="15.5" x14ac:dyDescent="0.35">
      <c r="A491" s="2" t="s">
        <v>491</v>
      </c>
      <c r="B491" s="2" t="s">
        <v>3236</v>
      </c>
      <c r="C491" t="s">
        <v>2397</v>
      </c>
      <c r="D491" t="s">
        <v>2410</v>
      </c>
    </row>
    <row r="492" spans="1:5" ht="15.5" x14ac:dyDescent="0.35">
      <c r="A492" s="2" t="s">
        <v>492</v>
      </c>
      <c r="B492" s="2" t="s">
        <v>3237</v>
      </c>
      <c r="C492" t="s">
        <v>2394</v>
      </c>
      <c r="D492" t="s">
        <v>3238</v>
      </c>
      <c r="E492" t="s">
        <v>2519</v>
      </c>
    </row>
    <row r="493" spans="1:5" ht="15.5" x14ac:dyDescent="0.35">
      <c r="A493" s="2" t="s">
        <v>493</v>
      </c>
      <c r="B493" s="2" t="s">
        <v>3239</v>
      </c>
      <c r="C493" t="s">
        <v>2394</v>
      </c>
      <c r="D493" t="s">
        <v>3240</v>
      </c>
    </row>
    <row r="494" spans="1:5" ht="15.5" x14ac:dyDescent="0.35">
      <c r="A494" s="2" t="s">
        <v>494</v>
      </c>
      <c r="B494" s="2" t="s">
        <v>3241</v>
      </c>
      <c r="C494" t="s">
        <v>2394</v>
      </c>
      <c r="D494" t="s">
        <v>2955</v>
      </c>
    </row>
    <row r="495" spans="1:5" ht="15.5" x14ac:dyDescent="0.35">
      <c r="A495" s="2" t="s">
        <v>495</v>
      </c>
      <c r="B495" s="2" t="s">
        <v>3242</v>
      </c>
      <c r="C495" t="s">
        <v>2397</v>
      </c>
      <c r="D495" t="s">
        <v>3243</v>
      </c>
    </row>
    <row r="496" spans="1:5" ht="15.5" x14ac:dyDescent="0.35">
      <c r="A496" s="2" t="s">
        <v>496</v>
      </c>
      <c r="B496" s="2" t="s">
        <v>3223</v>
      </c>
      <c r="C496" t="s">
        <v>2397</v>
      </c>
      <c r="D496" t="s">
        <v>2610</v>
      </c>
      <c r="E496" t="s">
        <v>2415</v>
      </c>
    </row>
    <row r="497" spans="1:5" ht="15.5" x14ac:dyDescent="0.35">
      <c r="A497" s="2" t="s">
        <v>497</v>
      </c>
      <c r="B497" s="2" t="s">
        <v>3244</v>
      </c>
      <c r="C497" t="s">
        <v>3231</v>
      </c>
      <c r="D497" t="s">
        <v>2604</v>
      </c>
    </row>
    <row r="498" spans="1:5" ht="15.5" x14ac:dyDescent="0.35">
      <c r="A498" s="2" t="s">
        <v>498</v>
      </c>
      <c r="B498" s="2" t="s">
        <v>3245</v>
      </c>
      <c r="C498" t="s">
        <v>2394</v>
      </c>
      <c r="D498" t="s">
        <v>3246</v>
      </c>
      <c r="E498" t="s">
        <v>2431</v>
      </c>
    </row>
    <row r="499" spans="1:5" ht="15.5" x14ac:dyDescent="0.35">
      <c r="A499" s="2" t="s">
        <v>499</v>
      </c>
      <c r="B499" s="2" t="s">
        <v>2600</v>
      </c>
      <c r="C499" t="s">
        <v>3247</v>
      </c>
      <c r="D499" t="s">
        <v>2397</v>
      </c>
      <c r="E499" t="s">
        <v>2834</v>
      </c>
    </row>
    <row r="500" spans="1:5" ht="15.5" x14ac:dyDescent="0.35">
      <c r="A500" s="2" t="s">
        <v>500</v>
      </c>
      <c r="B500" s="2" t="s">
        <v>3248</v>
      </c>
      <c r="C500" t="s">
        <v>2394</v>
      </c>
      <c r="D500" t="s">
        <v>3249</v>
      </c>
    </row>
    <row r="501" spans="1:5" ht="15.5" x14ac:dyDescent="0.35">
      <c r="A501" s="2" t="s">
        <v>501</v>
      </c>
      <c r="B501" s="2" t="s">
        <v>3250</v>
      </c>
      <c r="C501" t="s">
        <v>2394</v>
      </c>
      <c r="D501" t="s">
        <v>2604</v>
      </c>
    </row>
    <row r="502" spans="1:5" ht="15.5" x14ac:dyDescent="0.35">
      <c r="A502" s="2" t="s">
        <v>502</v>
      </c>
      <c r="B502" s="2" t="s">
        <v>3251</v>
      </c>
      <c r="C502" t="s">
        <v>2397</v>
      </c>
      <c r="D502" t="s">
        <v>3252</v>
      </c>
    </row>
    <row r="503" spans="1:5" ht="15.5" x14ac:dyDescent="0.35">
      <c r="A503" s="2" t="s">
        <v>503</v>
      </c>
      <c r="B503" s="2" t="s">
        <v>2549</v>
      </c>
      <c r="C503" t="s">
        <v>2397</v>
      </c>
      <c r="D503" t="s">
        <v>3253</v>
      </c>
      <c r="E503" t="s">
        <v>2696</v>
      </c>
    </row>
    <row r="504" spans="1:5" ht="15.5" x14ac:dyDescent="0.35">
      <c r="A504" s="2" t="s">
        <v>504</v>
      </c>
      <c r="B504" s="2" t="s">
        <v>3254</v>
      </c>
      <c r="C504" t="s">
        <v>2394</v>
      </c>
      <c r="D504" t="s">
        <v>3255</v>
      </c>
      <c r="E504" t="s">
        <v>2561</v>
      </c>
    </row>
    <row r="505" spans="1:5" ht="15.5" x14ac:dyDescent="0.35">
      <c r="A505" s="2" t="s">
        <v>505</v>
      </c>
      <c r="B505" s="2" t="s">
        <v>3256</v>
      </c>
      <c r="C505" t="s">
        <v>2394</v>
      </c>
      <c r="D505" t="s">
        <v>3257</v>
      </c>
      <c r="E505" t="s">
        <v>2700</v>
      </c>
    </row>
    <row r="506" spans="1:5" ht="15.5" x14ac:dyDescent="0.35">
      <c r="A506" s="2" t="s">
        <v>506</v>
      </c>
      <c r="B506" s="2" t="s">
        <v>3258</v>
      </c>
      <c r="C506" t="s">
        <v>2394</v>
      </c>
      <c r="D506" t="s">
        <v>2435</v>
      </c>
    </row>
    <row r="507" spans="1:5" ht="15.5" x14ac:dyDescent="0.35">
      <c r="A507" s="2" t="s">
        <v>507</v>
      </c>
      <c r="B507" s="2" t="s">
        <v>3259</v>
      </c>
      <c r="C507" t="s">
        <v>2394</v>
      </c>
      <c r="D507" t="s">
        <v>3260</v>
      </c>
    </row>
    <row r="508" spans="1:5" ht="15.5" x14ac:dyDescent="0.35">
      <c r="A508" s="2" t="s">
        <v>508</v>
      </c>
      <c r="B508" s="2" t="s">
        <v>3261</v>
      </c>
      <c r="C508" t="s">
        <v>2397</v>
      </c>
      <c r="D508" t="s">
        <v>2925</v>
      </c>
      <c r="E508" t="s">
        <v>2436</v>
      </c>
    </row>
    <row r="509" spans="1:5" ht="15.5" x14ac:dyDescent="0.35">
      <c r="A509" s="2" t="s">
        <v>509</v>
      </c>
      <c r="B509" s="2" t="s">
        <v>3262</v>
      </c>
      <c r="C509" t="s">
        <v>2397</v>
      </c>
      <c r="D509" t="s">
        <v>2471</v>
      </c>
    </row>
    <row r="510" spans="1:5" ht="15.5" x14ac:dyDescent="0.35">
      <c r="A510" s="2" t="s">
        <v>510</v>
      </c>
      <c r="B510" s="2" t="s">
        <v>3263</v>
      </c>
      <c r="C510" t="s">
        <v>2394</v>
      </c>
      <c r="D510" t="s">
        <v>3264</v>
      </c>
      <c r="E510" t="s">
        <v>2700</v>
      </c>
    </row>
    <row r="511" spans="1:5" ht="15.5" x14ac:dyDescent="0.35">
      <c r="A511" s="2" t="s">
        <v>511</v>
      </c>
      <c r="B511" s="2" t="s">
        <v>3265</v>
      </c>
      <c r="C511" t="s">
        <v>2397</v>
      </c>
      <c r="D511" t="s">
        <v>2846</v>
      </c>
      <c r="E511" t="s">
        <v>2590</v>
      </c>
    </row>
    <row r="512" spans="1:5" ht="15.5" x14ac:dyDescent="0.35">
      <c r="A512" s="2" t="s">
        <v>512</v>
      </c>
      <c r="B512" s="2" t="s">
        <v>3266</v>
      </c>
      <c r="C512" t="s">
        <v>2397</v>
      </c>
      <c r="D512" t="s">
        <v>2826</v>
      </c>
    </row>
    <row r="513" spans="1:5" ht="15.5" x14ac:dyDescent="0.35">
      <c r="A513" s="2" t="s">
        <v>513</v>
      </c>
      <c r="B513" s="2" t="s">
        <v>3267</v>
      </c>
      <c r="C513" t="s">
        <v>2397</v>
      </c>
      <c r="D513" t="s">
        <v>2398</v>
      </c>
    </row>
    <row r="514" spans="1:5" ht="15.5" x14ac:dyDescent="0.35">
      <c r="A514" s="2" t="s">
        <v>514</v>
      </c>
      <c r="B514" s="2" t="s">
        <v>3268</v>
      </c>
      <c r="C514" t="s">
        <v>2397</v>
      </c>
      <c r="D514" t="s">
        <v>3269</v>
      </c>
    </row>
    <row r="515" spans="1:5" ht="15.5" x14ac:dyDescent="0.35">
      <c r="A515" s="2" t="s">
        <v>515</v>
      </c>
      <c r="B515" s="2" t="s">
        <v>3270</v>
      </c>
      <c r="C515" t="s">
        <v>2394</v>
      </c>
      <c r="D515" t="s">
        <v>3271</v>
      </c>
    </row>
    <row r="516" spans="1:5" ht="15.5" x14ac:dyDescent="0.35">
      <c r="A516" s="2" t="s">
        <v>516</v>
      </c>
      <c r="B516" s="2" t="s">
        <v>3272</v>
      </c>
      <c r="C516" t="s">
        <v>2397</v>
      </c>
      <c r="D516" t="s">
        <v>2838</v>
      </c>
      <c r="E516" t="s">
        <v>2561</v>
      </c>
    </row>
    <row r="517" spans="1:5" ht="15.5" x14ac:dyDescent="0.35">
      <c r="A517" s="2" t="s">
        <v>517</v>
      </c>
      <c r="B517" s="2" t="s">
        <v>3273</v>
      </c>
      <c r="C517" t="s">
        <v>2397</v>
      </c>
      <c r="D517" t="s">
        <v>2544</v>
      </c>
    </row>
    <row r="518" spans="1:5" ht="15.5" x14ac:dyDescent="0.35">
      <c r="A518" s="2" t="s">
        <v>518</v>
      </c>
      <c r="B518" s="2" t="s">
        <v>3274</v>
      </c>
      <c r="C518" t="s">
        <v>2394</v>
      </c>
      <c r="D518" t="s">
        <v>2627</v>
      </c>
    </row>
    <row r="519" spans="1:5" ht="15.5" x14ac:dyDescent="0.35">
      <c r="A519" s="2" t="s">
        <v>519</v>
      </c>
      <c r="B519" s="2" t="s">
        <v>3275</v>
      </c>
      <c r="C519" t="s">
        <v>2394</v>
      </c>
      <c r="D519" t="s">
        <v>3249</v>
      </c>
    </row>
    <row r="520" spans="1:5" ht="15.5" x14ac:dyDescent="0.35">
      <c r="A520" s="2" t="s">
        <v>520</v>
      </c>
      <c r="B520" s="2" t="s">
        <v>3276</v>
      </c>
      <c r="C520" t="s">
        <v>2397</v>
      </c>
      <c r="D520" t="s">
        <v>3105</v>
      </c>
    </row>
    <row r="521" spans="1:5" ht="15.5" x14ac:dyDescent="0.35">
      <c r="A521" s="2" t="s">
        <v>521</v>
      </c>
      <c r="B521" s="2" t="s">
        <v>3277</v>
      </c>
      <c r="C521" t="s">
        <v>2394</v>
      </c>
      <c r="D521" t="s">
        <v>3278</v>
      </c>
    </row>
    <row r="522" spans="1:5" ht="15.5" x14ac:dyDescent="0.35">
      <c r="A522" s="2" t="s">
        <v>522</v>
      </c>
      <c r="B522" s="2" t="s">
        <v>3279</v>
      </c>
      <c r="C522" t="s">
        <v>2397</v>
      </c>
      <c r="D522" t="s">
        <v>3280</v>
      </c>
    </row>
    <row r="523" spans="1:5" ht="15.5" x14ac:dyDescent="0.35">
      <c r="A523" s="2" t="s">
        <v>523</v>
      </c>
      <c r="B523" s="2" t="s">
        <v>3281</v>
      </c>
      <c r="C523" t="s">
        <v>2397</v>
      </c>
      <c r="D523" t="s">
        <v>2457</v>
      </c>
    </row>
    <row r="524" spans="1:5" ht="15.5" x14ac:dyDescent="0.35">
      <c r="A524" s="2" t="s">
        <v>524</v>
      </c>
      <c r="B524" s="2" t="s">
        <v>3282</v>
      </c>
      <c r="C524" t="s">
        <v>2394</v>
      </c>
      <c r="D524" t="s">
        <v>3283</v>
      </c>
      <c r="E524" t="s">
        <v>2561</v>
      </c>
    </row>
    <row r="525" spans="1:5" ht="15.5" x14ac:dyDescent="0.35">
      <c r="A525" s="2" t="s">
        <v>525</v>
      </c>
      <c r="B525" s="2" t="s">
        <v>3284</v>
      </c>
      <c r="C525" t="s">
        <v>3231</v>
      </c>
      <c r="D525" t="s">
        <v>3285</v>
      </c>
      <c r="E525" t="s">
        <v>2477</v>
      </c>
    </row>
    <row r="526" spans="1:5" ht="15.5" x14ac:dyDescent="0.35">
      <c r="A526" s="2" t="s">
        <v>526</v>
      </c>
      <c r="B526" s="2" t="s">
        <v>3286</v>
      </c>
      <c r="C526" t="s">
        <v>2394</v>
      </c>
      <c r="D526" t="s">
        <v>3287</v>
      </c>
      <c r="E526" t="s">
        <v>2799</v>
      </c>
    </row>
    <row r="527" spans="1:5" ht="15.5" x14ac:dyDescent="0.35">
      <c r="A527" s="2" t="s">
        <v>527</v>
      </c>
      <c r="B527" s="2" t="s">
        <v>3288</v>
      </c>
      <c r="C527" t="s">
        <v>2394</v>
      </c>
      <c r="D527" t="s">
        <v>2774</v>
      </c>
    </row>
    <row r="528" spans="1:5" ht="15.5" x14ac:dyDescent="0.35">
      <c r="A528" s="2" t="s">
        <v>528</v>
      </c>
      <c r="B528" s="2" t="s">
        <v>3289</v>
      </c>
      <c r="C528" t="s">
        <v>3231</v>
      </c>
      <c r="D528" t="s">
        <v>2872</v>
      </c>
      <c r="E528" t="s">
        <v>2519</v>
      </c>
    </row>
    <row r="529" spans="1:5" ht="15.5" x14ac:dyDescent="0.35">
      <c r="A529" s="2" t="s">
        <v>529</v>
      </c>
      <c r="B529" s="2" t="s">
        <v>3290</v>
      </c>
      <c r="C529" t="s">
        <v>2394</v>
      </c>
      <c r="D529" t="s">
        <v>2525</v>
      </c>
    </row>
    <row r="530" spans="1:5" ht="15.5" x14ac:dyDescent="0.35">
      <c r="A530" s="2" t="s">
        <v>530</v>
      </c>
      <c r="B530" s="2" t="s">
        <v>3291</v>
      </c>
      <c r="C530" t="s">
        <v>2397</v>
      </c>
      <c r="D530" t="s">
        <v>2882</v>
      </c>
    </row>
    <row r="531" spans="1:5" ht="15.5" x14ac:dyDescent="0.35">
      <c r="A531" s="2" t="s">
        <v>531</v>
      </c>
      <c r="B531" s="2" t="s">
        <v>3292</v>
      </c>
      <c r="C531" t="s">
        <v>2397</v>
      </c>
      <c r="D531" t="s">
        <v>2863</v>
      </c>
      <c r="E531" t="s">
        <v>2415</v>
      </c>
    </row>
    <row r="532" spans="1:5" ht="15.5" x14ac:dyDescent="0.35">
      <c r="A532" s="2" t="s">
        <v>532</v>
      </c>
      <c r="B532" s="2" t="s">
        <v>3293</v>
      </c>
      <c r="C532" t="s">
        <v>2394</v>
      </c>
      <c r="D532" t="s">
        <v>2533</v>
      </c>
    </row>
    <row r="533" spans="1:5" ht="15.5" x14ac:dyDescent="0.35">
      <c r="A533" s="2" t="s">
        <v>533</v>
      </c>
      <c r="B533" s="2" t="s">
        <v>3294</v>
      </c>
      <c r="C533" t="s">
        <v>2397</v>
      </c>
      <c r="D533" t="s">
        <v>2452</v>
      </c>
    </row>
    <row r="534" spans="1:5" ht="15.5" x14ac:dyDescent="0.35">
      <c r="A534" s="2" t="s">
        <v>534</v>
      </c>
      <c r="B534" s="2" t="s">
        <v>3295</v>
      </c>
      <c r="C534" t="s">
        <v>2394</v>
      </c>
      <c r="D534" t="s">
        <v>3296</v>
      </c>
    </row>
    <row r="535" spans="1:5" ht="15.5" x14ac:dyDescent="0.35">
      <c r="A535" s="2" t="s">
        <v>535</v>
      </c>
      <c r="B535" s="2" t="s">
        <v>3297</v>
      </c>
      <c r="C535" t="s">
        <v>2397</v>
      </c>
      <c r="D535" t="s">
        <v>2471</v>
      </c>
    </row>
    <row r="536" spans="1:5" ht="15.5" x14ac:dyDescent="0.35">
      <c r="A536" s="2" t="s">
        <v>536</v>
      </c>
      <c r="B536" s="2" t="s">
        <v>3298</v>
      </c>
      <c r="C536" t="s">
        <v>2394</v>
      </c>
      <c r="D536" t="s">
        <v>3299</v>
      </c>
    </row>
    <row r="537" spans="1:5" ht="15.5" x14ac:dyDescent="0.35">
      <c r="A537" s="2" t="s">
        <v>537</v>
      </c>
      <c r="B537" s="2" t="s">
        <v>2549</v>
      </c>
      <c r="C537" t="s">
        <v>2397</v>
      </c>
      <c r="D537" t="s">
        <v>3300</v>
      </c>
    </row>
    <row r="538" spans="1:5" ht="15.5" x14ac:dyDescent="0.35">
      <c r="A538" s="2" t="s">
        <v>538</v>
      </c>
      <c r="B538" s="2" t="s">
        <v>3301</v>
      </c>
      <c r="C538" t="s">
        <v>2394</v>
      </c>
      <c r="D538" t="s">
        <v>3302</v>
      </c>
    </row>
    <row r="539" spans="1:5" ht="15.5" x14ac:dyDescent="0.35">
      <c r="A539" s="2" t="s">
        <v>539</v>
      </c>
      <c r="B539" s="2" t="s">
        <v>3303</v>
      </c>
      <c r="C539" t="s">
        <v>2394</v>
      </c>
      <c r="D539" t="s">
        <v>3304</v>
      </c>
    </row>
    <row r="540" spans="1:5" ht="15.5" x14ac:dyDescent="0.35">
      <c r="A540" s="2" t="s">
        <v>540</v>
      </c>
      <c r="B540" s="2" t="s">
        <v>3305</v>
      </c>
      <c r="C540" t="s">
        <v>2394</v>
      </c>
      <c r="D540" t="s">
        <v>2533</v>
      </c>
    </row>
    <row r="541" spans="1:5" ht="15.5" x14ac:dyDescent="0.35">
      <c r="A541" s="2" t="s">
        <v>541</v>
      </c>
      <c r="B541" s="2" t="s">
        <v>3306</v>
      </c>
      <c r="C541" t="s">
        <v>2397</v>
      </c>
      <c r="D541" t="s">
        <v>2544</v>
      </c>
    </row>
    <row r="542" spans="1:5" ht="15.5" x14ac:dyDescent="0.35">
      <c r="A542" s="2" t="s">
        <v>542</v>
      </c>
      <c r="B542" s="2" t="s">
        <v>3307</v>
      </c>
      <c r="C542" t="s">
        <v>2397</v>
      </c>
      <c r="D542" t="s">
        <v>2583</v>
      </c>
      <c r="E542" t="s">
        <v>2498</v>
      </c>
    </row>
    <row r="543" spans="1:5" ht="15.5" x14ac:dyDescent="0.35">
      <c r="A543" s="2" t="s">
        <v>543</v>
      </c>
      <c r="B543" s="2" t="s">
        <v>3308</v>
      </c>
      <c r="C543" t="s">
        <v>2397</v>
      </c>
      <c r="D543" t="s">
        <v>3309</v>
      </c>
      <c r="E543" t="s">
        <v>2625</v>
      </c>
    </row>
    <row r="544" spans="1:5" ht="15.5" x14ac:dyDescent="0.35">
      <c r="A544" s="2" t="s">
        <v>544</v>
      </c>
      <c r="B544" s="2" t="s">
        <v>3310</v>
      </c>
      <c r="C544" t="s">
        <v>2394</v>
      </c>
      <c r="D544" t="s">
        <v>2657</v>
      </c>
    </row>
    <row r="545" spans="1:5" ht="15.5" x14ac:dyDescent="0.35">
      <c r="A545" s="2" t="s">
        <v>545</v>
      </c>
      <c r="B545" s="2" t="s">
        <v>3311</v>
      </c>
      <c r="C545" t="s">
        <v>2394</v>
      </c>
      <c r="D545" t="s">
        <v>2417</v>
      </c>
      <c r="E545" t="s">
        <v>2431</v>
      </c>
    </row>
    <row r="546" spans="1:5" ht="15.5" x14ac:dyDescent="0.35">
      <c r="A546" s="2" t="s">
        <v>546</v>
      </c>
      <c r="B546" s="2" t="s">
        <v>3312</v>
      </c>
      <c r="C546" t="s">
        <v>3231</v>
      </c>
      <c r="D546" t="s">
        <v>3313</v>
      </c>
    </row>
    <row r="547" spans="1:5" ht="15.5" x14ac:dyDescent="0.35">
      <c r="A547" s="2" t="s">
        <v>547</v>
      </c>
      <c r="B547" s="2" t="s">
        <v>3314</v>
      </c>
      <c r="C547" t="s">
        <v>2397</v>
      </c>
      <c r="D547" t="s">
        <v>3070</v>
      </c>
    </row>
    <row r="548" spans="1:5" ht="15.5" x14ac:dyDescent="0.35">
      <c r="A548" s="2" t="s">
        <v>548</v>
      </c>
      <c r="B548" s="2" t="s">
        <v>3315</v>
      </c>
      <c r="C548" t="s">
        <v>2394</v>
      </c>
      <c r="D548" t="s">
        <v>3316</v>
      </c>
    </row>
    <row r="549" spans="1:5" ht="15.5" x14ac:dyDescent="0.35">
      <c r="A549" s="2" t="s">
        <v>549</v>
      </c>
      <c r="B549" s="2" t="s">
        <v>3317</v>
      </c>
      <c r="C549" t="s">
        <v>2397</v>
      </c>
      <c r="D549" t="s">
        <v>2481</v>
      </c>
      <c r="E549" t="s">
        <v>2561</v>
      </c>
    </row>
    <row r="550" spans="1:5" ht="15.5" x14ac:dyDescent="0.35">
      <c r="A550" s="2" t="s">
        <v>550</v>
      </c>
      <c r="B550" s="2" t="s">
        <v>3318</v>
      </c>
      <c r="C550" t="s">
        <v>2397</v>
      </c>
      <c r="D550" t="s">
        <v>3319</v>
      </c>
      <c r="E550" t="s">
        <v>2441</v>
      </c>
    </row>
    <row r="551" spans="1:5" ht="15.5" x14ac:dyDescent="0.35">
      <c r="A551" s="2" t="s">
        <v>551</v>
      </c>
      <c r="B551" s="2" t="s">
        <v>3320</v>
      </c>
      <c r="C551" t="s">
        <v>2397</v>
      </c>
      <c r="D551" t="s">
        <v>2965</v>
      </c>
    </row>
    <row r="552" spans="1:5" ht="15.5" x14ac:dyDescent="0.35">
      <c r="A552" s="2" t="s">
        <v>552</v>
      </c>
      <c r="B552" s="2" t="s">
        <v>3321</v>
      </c>
      <c r="C552" t="s">
        <v>2394</v>
      </c>
      <c r="D552" t="s">
        <v>3322</v>
      </c>
    </row>
    <row r="553" spans="1:5" ht="15.5" x14ac:dyDescent="0.35">
      <c r="A553" s="2" t="s">
        <v>553</v>
      </c>
      <c r="B553" s="2" t="s">
        <v>2758</v>
      </c>
      <c r="C553" t="s">
        <v>2397</v>
      </c>
      <c r="D553" t="s">
        <v>3211</v>
      </c>
    </row>
    <row r="554" spans="1:5" ht="15.5" x14ac:dyDescent="0.35">
      <c r="A554" s="2" t="s">
        <v>554</v>
      </c>
      <c r="B554" s="2" t="s">
        <v>3323</v>
      </c>
      <c r="C554" t="s">
        <v>2397</v>
      </c>
      <c r="D554" t="s">
        <v>3324</v>
      </c>
    </row>
    <row r="555" spans="1:5" ht="15.5" x14ac:dyDescent="0.35">
      <c r="A555" s="2" t="s">
        <v>555</v>
      </c>
      <c r="B555" s="2" t="s">
        <v>3325</v>
      </c>
      <c r="C555" t="s">
        <v>2394</v>
      </c>
      <c r="D555" t="s">
        <v>2769</v>
      </c>
      <c r="E555" t="s">
        <v>2415</v>
      </c>
    </row>
    <row r="556" spans="1:5" ht="15.5" x14ac:dyDescent="0.35">
      <c r="A556" s="2" t="s">
        <v>556</v>
      </c>
      <c r="B556" s="2" t="s">
        <v>3326</v>
      </c>
      <c r="C556" t="s">
        <v>2397</v>
      </c>
      <c r="D556" t="s">
        <v>2610</v>
      </c>
    </row>
    <row r="557" spans="1:5" ht="15.5" x14ac:dyDescent="0.35">
      <c r="A557" s="2" t="s">
        <v>557</v>
      </c>
      <c r="B557" s="2" t="s">
        <v>3327</v>
      </c>
      <c r="C557" t="s">
        <v>2397</v>
      </c>
      <c r="D557" t="s">
        <v>3042</v>
      </c>
      <c r="E557" t="s">
        <v>3328</v>
      </c>
    </row>
    <row r="558" spans="1:5" ht="15.5" x14ac:dyDescent="0.35">
      <c r="A558" s="2" t="s">
        <v>558</v>
      </c>
      <c r="B558" s="2" t="s">
        <v>3329</v>
      </c>
      <c r="C558" t="s">
        <v>2394</v>
      </c>
      <c r="D558" t="s">
        <v>3330</v>
      </c>
      <c r="E558" t="s">
        <v>2441</v>
      </c>
    </row>
    <row r="559" spans="1:5" ht="15.5" x14ac:dyDescent="0.35">
      <c r="A559" s="2" t="s">
        <v>559</v>
      </c>
      <c r="B559" s="2" t="s">
        <v>3331</v>
      </c>
      <c r="C559" t="s">
        <v>2397</v>
      </c>
      <c r="D559" t="s">
        <v>2596</v>
      </c>
    </row>
    <row r="560" spans="1:5" ht="15.5" x14ac:dyDescent="0.35">
      <c r="A560" s="2" t="s">
        <v>560</v>
      </c>
      <c r="B560" s="2" t="s">
        <v>3332</v>
      </c>
      <c r="C560" t="s">
        <v>2394</v>
      </c>
      <c r="D560" t="s">
        <v>2996</v>
      </c>
      <c r="E560" t="s">
        <v>2482</v>
      </c>
    </row>
    <row r="561" spans="1:5" ht="15.5" x14ac:dyDescent="0.35">
      <c r="A561" s="2" t="s">
        <v>561</v>
      </c>
      <c r="B561" s="2" t="s">
        <v>3333</v>
      </c>
      <c r="C561" t="s">
        <v>2397</v>
      </c>
      <c r="D561" t="s">
        <v>3334</v>
      </c>
    </row>
    <row r="562" spans="1:5" ht="15.5" x14ac:dyDescent="0.35">
      <c r="A562" s="2" t="s">
        <v>562</v>
      </c>
      <c r="B562" s="2" t="s">
        <v>3335</v>
      </c>
      <c r="C562" t="s">
        <v>2394</v>
      </c>
      <c r="D562" t="s">
        <v>2902</v>
      </c>
      <c r="E562" t="s">
        <v>2431</v>
      </c>
    </row>
    <row r="563" spans="1:5" ht="15.5" x14ac:dyDescent="0.35">
      <c r="A563" s="2" t="s">
        <v>563</v>
      </c>
      <c r="B563" s="2" t="s">
        <v>3336</v>
      </c>
      <c r="C563" t="s">
        <v>2397</v>
      </c>
      <c r="D563" t="s">
        <v>2743</v>
      </c>
      <c r="E563" t="s">
        <v>2799</v>
      </c>
    </row>
    <row r="564" spans="1:5" ht="15.5" x14ac:dyDescent="0.35">
      <c r="A564" s="2" t="s">
        <v>564</v>
      </c>
      <c r="B564" s="2" t="s">
        <v>3337</v>
      </c>
      <c r="C564" t="s">
        <v>2397</v>
      </c>
      <c r="D564" t="s">
        <v>2544</v>
      </c>
      <c r="E564" t="s">
        <v>2622</v>
      </c>
    </row>
    <row r="565" spans="1:5" ht="15.5" x14ac:dyDescent="0.35">
      <c r="A565" s="2" t="s">
        <v>565</v>
      </c>
      <c r="B565" s="2" t="s">
        <v>3338</v>
      </c>
      <c r="C565" t="s">
        <v>2394</v>
      </c>
      <c r="D565" t="s">
        <v>3036</v>
      </c>
      <c r="E565" t="s">
        <v>2799</v>
      </c>
    </row>
    <row r="566" spans="1:5" ht="15.5" x14ac:dyDescent="0.35">
      <c r="A566" s="2" t="s">
        <v>566</v>
      </c>
      <c r="B566" s="2" t="s">
        <v>3339</v>
      </c>
      <c r="C566" t="s">
        <v>3231</v>
      </c>
      <c r="D566" t="s">
        <v>2533</v>
      </c>
    </row>
    <row r="567" spans="1:5" ht="15.5" x14ac:dyDescent="0.35">
      <c r="A567" s="2" t="s">
        <v>567</v>
      </c>
      <c r="B567" s="2" t="s">
        <v>3340</v>
      </c>
      <c r="C567" t="s">
        <v>2397</v>
      </c>
      <c r="D567" t="s">
        <v>2452</v>
      </c>
      <c r="E567" t="s">
        <v>2399</v>
      </c>
    </row>
    <row r="568" spans="1:5" ht="15.5" x14ac:dyDescent="0.35">
      <c r="A568" s="2" t="s">
        <v>568</v>
      </c>
      <c r="B568" s="2" t="s">
        <v>3341</v>
      </c>
      <c r="C568" t="s">
        <v>2394</v>
      </c>
      <c r="D568" t="s">
        <v>3232</v>
      </c>
    </row>
    <row r="569" spans="1:5" ht="15.5" x14ac:dyDescent="0.35">
      <c r="A569" s="2" t="s">
        <v>569</v>
      </c>
      <c r="B569" s="2" t="s">
        <v>3342</v>
      </c>
      <c r="C569" t="s">
        <v>2394</v>
      </c>
      <c r="D569" t="s">
        <v>3343</v>
      </c>
      <c r="E569" t="s">
        <v>2501</v>
      </c>
    </row>
    <row r="570" spans="1:5" ht="15.5" x14ac:dyDescent="0.35">
      <c r="A570" s="2" t="s">
        <v>570</v>
      </c>
      <c r="B570" s="2" t="s">
        <v>3344</v>
      </c>
      <c r="C570" t="s">
        <v>2394</v>
      </c>
      <c r="D570" t="s">
        <v>3345</v>
      </c>
      <c r="E570" t="s">
        <v>2408</v>
      </c>
    </row>
    <row r="571" spans="1:5" ht="15.5" x14ac:dyDescent="0.35">
      <c r="A571" s="2" t="s">
        <v>571</v>
      </c>
      <c r="B571" s="2" t="s">
        <v>3346</v>
      </c>
      <c r="C571" t="s">
        <v>2397</v>
      </c>
      <c r="D571" t="s">
        <v>2619</v>
      </c>
      <c r="E571" t="s">
        <v>2472</v>
      </c>
    </row>
    <row r="572" spans="1:5" ht="15.5" x14ac:dyDescent="0.35">
      <c r="A572" s="2" t="s">
        <v>572</v>
      </c>
      <c r="B572" s="2" t="s">
        <v>3347</v>
      </c>
      <c r="C572" t="s">
        <v>2397</v>
      </c>
      <c r="D572" t="s">
        <v>2414</v>
      </c>
      <c r="E572" t="s">
        <v>2467</v>
      </c>
    </row>
    <row r="573" spans="1:5" ht="15.5" x14ac:dyDescent="0.35">
      <c r="A573" s="2" t="s">
        <v>573</v>
      </c>
      <c r="B573" s="2" t="s">
        <v>3348</v>
      </c>
      <c r="C573" t="s">
        <v>2397</v>
      </c>
      <c r="D573" t="s">
        <v>2796</v>
      </c>
    </row>
    <row r="574" spans="1:5" ht="15.5" x14ac:dyDescent="0.35">
      <c r="A574" s="2" t="s">
        <v>574</v>
      </c>
      <c r="B574" s="2" t="s">
        <v>3349</v>
      </c>
      <c r="C574" t="s">
        <v>3231</v>
      </c>
      <c r="D574" t="s">
        <v>3350</v>
      </c>
      <c r="E574" t="s">
        <v>2561</v>
      </c>
    </row>
    <row r="575" spans="1:5" ht="15.5" x14ac:dyDescent="0.35">
      <c r="A575" s="2" t="s">
        <v>575</v>
      </c>
      <c r="B575" s="2" t="s">
        <v>3351</v>
      </c>
      <c r="C575" t="s">
        <v>2397</v>
      </c>
      <c r="D575" t="s">
        <v>2888</v>
      </c>
      <c r="E575" t="s">
        <v>2700</v>
      </c>
    </row>
    <row r="576" spans="1:5" ht="15.5" x14ac:dyDescent="0.35">
      <c r="A576" s="2" t="s">
        <v>576</v>
      </c>
      <c r="B576" s="2" t="s">
        <v>3352</v>
      </c>
      <c r="C576" t="s">
        <v>2397</v>
      </c>
      <c r="D576" t="s">
        <v>3353</v>
      </c>
    </row>
    <row r="577" spans="1:5" ht="15.5" x14ac:dyDescent="0.35">
      <c r="A577" s="2" t="s">
        <v>577</v>
      </c>
      <c r="B577" s="2" t="s">
        <v>3354</v>
      </c>
      <c r="C577" t="s">
        <v>2394</v>
      </c>
      <c r="D577" t="s">
        <v>2903</v>
      </c>
      <c r="E577" t="s">
        <v>2886</v>
      </c>
    </row>
    <row r="578" spans="1:5" ht="15.5" x14ac:dyDescent="0.35">
      <c r="A578" s="2" t="s">
        <v>578</v>
      </c>
      <c r="B578" s="2" t="s">
        <v>3355</v>
      </c>
      <c r="C578" t="s">
        <v>3231</v>
      </c>
      <c r="D578" t="s">
        <v>2653</v>
      </c>
    </row>
    <row r="579" spans="1:5" ht="15.5" x14ac:dyDescent="0.35">
      <c r="A579" s="2" t="s">
        <v>579</v>
      </c>
      <c r="B579" s="2" t="s">
        <v>3356</v>
      </c>
      <c r="C579" t="s">
        <v>2397</v>
      </c>
      <c r="D579" t="s">
        <v>3357</v>
      </c>
    </row>
    <row r="580" spans="1:5" ht="15.5" x14ac:dyDescent="0.35">
      <c r="A580" s="2" t="s">
        <v>580</v>
      </c>
      <c r="B580" s="2" t="s">
        <v>3358</v>
      </c>
      <c r="C580" t="s">
        <v>2394</v>
      </c>
      <c r="D580" t="s">
        <v>3359</v>
      </c>
      <c r="E580" t="s">
        <v>2436</v>
      </c>
    </row>
    <row r="581" spans="1:5" ht="15.5" x14ac:dyDescent="0.35">
      <c r="A581" s="2" t="s">
        <v>581</v>
      </c>
      <c r="B581" s="2" t="s">
        <v>3360</v>
      </c>
      <c r="C581" t="s">
        <v>2394</v>
      </c>
      <c r="D581" t="s">
        <v>3361</v>
      </c>
      <c r="E581" t="s">
        <v>2455</v>
      </c>
    </row>
    <row r="582" spans="1:5" ht="15.5" x14ac:dyDescent="0.35">
      <c r="A582" s="2" t="s">
        <v>582</v>
      </c>
      <c r="B582" s="2" t="s">
        <v>3362</v>
      </c>
      <c r="C582" t="s">
        <v>2397</v>
      </c>
      <c r="D582" t="s">
        <v>3363</v>
      </c>
    </row>
    <row r="583" spans="1:5" ht="15.5" x14ac:dyDescent="0.35">
      <c r="A583" s="2" t="s">
        <v>583</v>
      </c>
      <c r="B583" s="2" t="s">
        <v>3364</v>
      </c>
      <c r="C583" t="s">
        <v>2397</v>
      </c>
      <c r="D583" t="s">
        <v>2401</v>
      </c>
    </row>
    <row r="584" spans="1:5" ht="15.5" x14ac:dyDescent="0.35">
      <c r="A584" s="2" t="s">
        <v>584</v>
      </c>
      <c r="B584" s="2" t="s">
        <v>3365</v>
      </c>
      <c r="C584" t="s">
        <v>2394</v>
      </c>
      <c r="D584" t="s">
        <v>3366</v>
      </c>
      <c r="E584" t="s">
        <v>2448</v>
      </c>
    </row>
    <row r="585" spans="1:5" ht="15.5" x14ac:dyDescent="0.35">
      <c r="A585" s="2" t="s">
        <v>585</v>
      </c>
      <c r="B585" s="2" t="s">
        <v>3367</v>
      </c>
      <c r="C585" t="s">
        <v>2397</v>
      </c>
      <c r="D585" t="s">
        <v>2790</v>
      </c>
    </row>
    <row r="586" spans="1:5" ht="15.5" x14ac:dyDescent="0.35">
      <c r="A586" s="2" t="s">
        <v>586</v>
      </c>
      <c r="B586" s="2" t="s">
        <v>3368</v>
      </c>
      <c r="C586" t="s">
        <v>2394</v>
      </c>
      <c r="D586" t="s">
        <v>3369</v>
      </c>
      <c r="E586" t="s">
        <v>2516</v>
      </c>
    </row>
    <row r="587" spans="1:5" ht="15.5" x14ac:dyDescent="0.35">
      <c r="A587" s="2" t="s">
        <v>587</v>
      </c>
      <c r="B587" s="2" t="s">
        <v>3370</v>
      </c>
      <c r="C587" t="s">
        <v>2394</v>
      </c>
      <c r="D587" t="s">
        <v>3050</v>
      </c>
    </row>
    <row r="588" spans="1:5" ht="15.5" x14ac:dyDescent="0.35">
      <c r="A588" s="2" t="s">
        <v>588</v>
      </c>
      <c r="B588" s="2" t="s">
        <v>3371</v>
      </c>
      <c r="C588" t="s">
        <v>2394</v>
      </c>
      <c r="D588" t="s">
        <v>3372</v>
      </c>
      <c r="E588" t="s">
        <v>2607</v>
      </c>
    </row>
    <row r="589" spans="1:5" ht="15.5" x14ac:dyDescent="0.35">
      <c r="A589" s="2" t="s">
        <v>589</v>
      </c>
      <c r="B589" s="2" t="s">
        <v>3373</v>
      </c>
      <c r="C589" t="s">
        <v>2394</v>
      </c>
      <c r="D589" t="s">
        <v>3374</v>
      </c>
      <c r="E589" t="s">
        <v>2501</v>
      </c>
    </row>
    <row r="590" spans="1:5" ht="15.5" x14ac:dyDescent="0.35">
      <c r="A590" s="2" t="s">
        <v>590</v>
      </c>
      <c r="B590" s="2" t="s">
        <v>2568</v>
      </c>
      <c r="C590" t="s">
        <v>3231</v>
      </c>
      <c r="D590" t="s">
        <v>3375</v>
      </c>
    </row>
    <row r="591" spans="1:5" ht="15.5" x14ac:dyDescent="0.35">
      <c r="A591" s="2" t="s">
        <v>591</v>
      </c>
      <c r="B591" s="2" t="s">
        <v>3376</v>
      </c>
      <c r="C591" t="s">
        <v>2394</v>
      </c>
      <c r="D591" t="s">
        <v>3377</v>
      </c>
    </row>
    <row r="592" spans="1:5" ht="15.5" x14ac:dyDescent="0.35">
      <c r="A592" s="2" t="s">
        <v>592</v>
      </c>
      <c r="B592" s="2" t="s">
        <v>3378</v>
      </c>
      <c r="C592" t="s">
        <v>2397</v>
      </c>
      <c r="D592" t="s">
        <v>2888</v>
      </c>
    </row>
    <row r="593" spans="1:5" ht="15.5" x14ac:dyDescent="0.35">
      <c r="A593" s="2" t="s">
        <v>593</v>
      </c>
      <c r="B593" s="2" t="s">
        <v>2545</v>
      </c>
      <c r="C593" t="s">
        <v>2394</v>
      </c>
      <c r="D593" t="s">
        <v>3379</v>
      </c>
    </row>
    <row r="594" spans="1:5" ht="15.5" x14ac:dyDescent="0.35">
      <c r="A594" s="2" t="s">
        <v>594</v>
      </c>
      <c r="B594" s="2" t="s">
        <v>3380</v>
      </c>
      <c r="C594" t="s">
        <v>2394</v>
      </c>
      <c r="D594" t="s">
        <v>3381</v>
      </c>
      <c r="E594" t="s">
        <v>2561</v>
      </c>
    </row>
    <row r="595" spans="1:5" ht="15.5" x14ac:dyDescent="0.35">
      <c r="A595" s="2" t="s">
        <v>595</v>
      </c>
      <c r="B595" s="2" t="s">
        <v>3382</v>
      </c>
      <c r="C595" t="s">
        <v>3231</v>
      </c>
      <c r="D595" t="s">
        <v>2395</v>
      </c>
      <c r="E595" t="s">
        <v>2625</v>
      </c>
    </row>
    <row r="596" spans="1:5" ht="15.5" x14ac:dyDescent="0.35">
      <c r="A596" s="2" t="s">
        <v>596</v>
      </c>
      <c r="B596" s="2" t="s">
        <v>3383</v>
      </c>
      <c r="C596" t="s">
        <v>2394</v>
      </c>
      <c r="D596" t="s">
        <v>3384</v>
      </c>
      <c r="E596" t="s">
        <v>2399</v>
      </c>
    </row>
    <row r="597" spans="1:5" ht="15.5" x14ac:dyDescent="0.35">
      <c r="A597" s="2" t="s">
        <v>597</v>
      </c>
      <c r="B597" s="2" t="s">
        <v>3385</v>
      </c>
      <c r="C597" t="s">
        <v>2397</v>
      </c>
      <c r="D597" t="s">
        <v>3386</v>
      </c>
    </row>
    <row r="598" spans="1:5" ht="15.5" x14ac:dyDescent="0.35">
      <c r="A598" s="2" t="s">
        <v>598</v>
      </c>
      <c r="B598" s="2" t="s">
        <v>3387</v>
      </c>
      <c r="C598" t="s">
        <v>2397</v>
      </c>
      <c r="D598" t="s">
        <v>3388</v>
      </c>
      <c r="E598" t="s">
        <v>2482</v>
      </c>
    </row>
    <row r="599" spans="1:5" ht="15.5" x14ac:dyDescent="0.35">
      <c r="A599" s="2" t="s">
        <v>599</v>
      </c>
      <c r="B599" s="2" t="s">
        <v>3389</v>
      </c>
      <c r="C599" t="s">
        <v>2394</v>
      </c>
      <c r="D599" t="s">
        <v>2902</v>
      </c>
      <c r="E599" t="s">
        <v>2399</v>
      </c>
    </row>
    <row r="600" spans="1:5" ht="15.5" x14ac:dyDescent="0.35">
      <c r="A600" s="2" t="s">
        <v>600</v>
      </c>
      <c r="B600" s="2" t="s">
        <v>3390</v>
      </c>
      <c r="C600" t="s">
        <v>2394</v>
      </c>
      <c r="D600" t="s">
        <v>3391</v>
      </c>
    </row>
    <row r="601" spans="1:5" ht="15.5" x14ac:dyDescent="0.35">
      <c r="A601" s="2" t="s">
        <v>601</v>
      </c>
      <c r="B601" s="2" t="s">
        <v>3392</v>
      </c>
      <c r="C601" t="s">
        <v>2397</v>
      </c>
      <c r="D601" t="s">
        <v>3393</v>
      </c>
      <c r="E601" t="s">
        <v>2455</v>
      </c>
    </row>
    <row r="602" spans="1:5" ht="15.5" x14ac:dyDescent="0.35">
      <c r="A602" s="2" t="s">
        <v>602</v>
      </c>
      <c r="B602" s="2" t="s">
        <v>3394</v>
      </c>
      <c r="C602" t="s">
        <v>2394</v>
      </c>
      <c r="D602" t="s">
        <v>3135</v>
      </c>
      <c r="E602" t="s">
        <v>2501</v>
      </c>
    </row>
    <row r="603" spans="1:5" ht="15.5" x14ac:dyDescent="0.35">
      <c r="A603" s="2" t="s">
        <v>603</v>
      </c>
      <c r="B603" s="2" t="s">
        <v>3395</v>
      </c>
      <c r="C603" t="s">
        <v>3231</v>
      </c>
      <c r="D603" t="s">
        <v>2782</v>
      </c>
    </row>
    <row r="604" spans="1:5" ht="15.5" x14ac:dyDescent="0.35">
      <c r="A604" s="2" t="s">
        <v>604</v>
      </c>
      <c r="B604" s="2" t="s">
        <v>3396</v>
      </c>
      <c r="C604" t="s">
        <v>3231</v>
      </c>
      <c r="D604" t="s">
        <v>2542</v>
      </c>
      <c r="E604" t="s">
        <v>2448</v>
      </c>
    </row>
    <row r="605" spans="1:5" ht="15.5" x14ac:dyDescent="0.35">
      <c r="A605" s="2" t="s">
        <v>605</v>
      </c>
      <c r="B605" s="2" t="s">
        <v>3397</v>
      </c>
      <c r="C605" t="s">
        <v>2397</v>
      </c>
      <c r="D605" t="s">
        <v>3363</v>
      </c>
    </row>
    <row r="606" spans="1:5" ht="15.5" x14ac:dyDescent="0.35">
      <c r="A606" s="2" t="s">
        <v>606</v>
      </c>
      <c r="B606" s="2" t="s">
        <v>2639</v>
      </c>
      <c r="C606" t="s">
        <v>2397</v>
      </c>
      <c r="D606" t="s">
        <v>2751</v>
      </c>
      <c r="E606" t="s">
        <v>2472</v>
      </c>
    </row>
    <row r="607" spans="1:5" ht="15.5" x14ac:dyDescent="0.35">
      <c r="A607" s="2" t="s">
        <v>607</v>
      </c>
      <c r="B607" s="2" t="s">
        <v>3398</v>
      </c>
      <c r="C607" t="s">
        <v>2397</v>
      </c>
      <c r="D607" t="s">
        <v>2546</v>
      </c>
      <c r="E607" t="s">
        <v>2477</v>
      </c>
    </row>
    <row r="608" spans="1:5" ht="15.5" x14ac:dyDescent="0.35">
      <c r="A608" s="2" t="s">
        <v>608</v>
      </c>
      <c r="B608" s="2" t="s">
        <v>3399</v>
      </c>
      <c r="C608" t="s">
        <v>2397</v>
      </c>
      <c r="D608" t="s">
        <v>3400</v>
      </c>
    </row>
    <row r="609" spans="1:5" ht="15.5" x14ac:dyDescent="0.35">
      <c r="A609" s="2" t="s">
        <v>609</v>
      </c>
      <c r="B609" s="2" t="s">
        <v>3401</v>
      </c>
      <c r="C609" t="s">
        <v>2397</v>
      </c>
      <c r="D609" t="s">
        <v>2801</v>
      </c>
    </row>
    <row r="610" spans="1:5" ht="15.5" x14ac:dyDescent="0.35">
      <c r="A610" s="2" t="s">
        <v>610</v>
      </c>
      <c r="B610" s="2" t="s">
        <v>3402</v>
      </c>
      <c r="C610" t="s">
        <v>2397</v>
      </c>
      <c r="D610" t="s">
        <v>2619</v>
      </c>
      <c r="E610" t="s">
        <v>2462</v>
      </c>
    </row>
    <row r="611" spans="1:5" ht="15.5" x14ac:dyDescent="0.35">
      <c r="A611" s="2" t="s">
        <v>611</v>
      </c>
      <c r="B611" s="2" t="s">
        <v>3403</v>
      </c>
      <c r="C611" t="s">
        <v>3231</v>
      </c>
      <c r="D611" t="s">
        <v>3404</v>
      </c>
    </row>
    <row r="612" spans="1:5" ht="15.5" x14ac:dyDescent="0.35">
      <c r="A612" s="2" t="s">
        <v>612</v>
      </c>
      <c r="B612" s="2" t="s">
        <v>3405</v>
      </c>
      <c r="C612" t="s">
        <v>2397</v>
      </c>
      <c r="D612" t="s">
        <v>3406</v>
      </c>
    </row>
    <row r="613" spans="1:5" ht="15.5" x14ac:dyDescent="0.35">
      <c r="A613" s="2" t="s">
        <v>613</v>
      </c>
      <c r="B613" s="2" t="s">
        <v>3407</v>
      </c>
      <c r="C613" t="s">
        <v>2394</v>
      </c>
      <c r="D613" t="s">
        <v>2542</v>
      </c>
      <c r="E613" t="s">
        <v>2436</v>
      </c>
    </row>
    <row r="614" spans="1:5" ht="15.5" x14ac:dyDescent="0.35">
      <c r="A614" s="2" t="s">
        <v>614</v>
      </c>
      <c r="B614" s="2" t="s">
        <v>3408</v>
      </c>
      <c r="C614" t="s">
        <v>2394</v>
      </c>
      <c r="D614" t="s">
        <v>3409</v>
      </c>
      <c r="E614" t="s">
        <v>2431</v>
      </c>
    </row>
    <row r="615" spans="1:5" ht="15.5" x14ac:dyDescent="0.35">
      <c r="A615" s="2" t="s">
        <v>615</v>
      </c>
      <c r="B615" s="2" t="s">
        <v>3410</v>
      </c>
      <c r="C615" t="s">
        <v>2397</v>
      </c>
      <c r="D615" t="s">
        <v>2544</v>
      </c>
      <c r="E615" t="s">
        <v>2886</v>
      </c>
    </row>
    <row r="616" spans="1:5" ht="15.5" x14ac:dyDescent="0.35">
      <c r="A616" s="2" t="s">
        <v>616</v>
      </c>
      <c r="B616" s="2" t="s">
        <v>3411</v>
      </c>
      <c r="C616" t="s">
        <v>2394</v>
      </c>
      <c r="D616" t="s">
        <v>3412</v>
      </c>
      <c r="E616" t="s">
        <v>2540</v>
      </c>
    </row>
    <row r="617" spans="1:5" ht="15.5" x14ac:dyDescent="0.35">
      <c r="A617" s="2" t="s">
        <v>617</v>
      </c>
      <c r="B617" s="2" t="s">
        <v>2551</v>
      </c>
      <c r="C617" t="s">
        <v>2394</v>
      </c>
      <c r="D617" t="s">
        <v>2529</v>
      </c>
      <c r="E617" t="s">
        <v>2561</v>
      </c>
    </row>
    <row r="618" spans="1:5" ht="15.5" x14ac:dyDescent="0.35">
      <c r="A618" s="2" t="s">
        <v>618</v>
      </c>
      <c r="B618" s="2" t="s">
        <v>2921</v>
      </c>
      <c r="C618" t="s">
        <v>3231</v>
      </c>
      <c r="D618" t="s">
        <v>2774</v>
      </c>
    </row>
    <row r="619" spans="1:5" ht="15.5" x14ac:dyDescent="0.35">
      <c r="A619" s="2" t="s">
        <v>619</v>
      </c>
      <c r="B619" s="2" t="s">
        <v>3413</v>
      </c>
      <c r="C619" t="s">
        <v>2394</v>
      </c>
      <c r="D619" t="s">
        <v>2769</v>
      </c>
    </row>
    <row r="620" spans="1:5" ht="15.5" x14ac:dyDescent="0.35">
      <c r="A620" s="2" t="s">
        <v>620</v>
      </c>
      <c r="B620" s="2" t="s">
        <v>3414</v>
      </c>
      <c r="C620" t="s">
        <v>2394</v>
      </c>
      <c r="D620" t="s">
        <v>2855</v>
      </c>
      <c r="E620" t="s">
        <v>2477</v>
      </c>
    </row>
    <row r="621" spans="1:5" ht="15.5" x14ac:dyDescent="0.35">
      <c r="A621" s="2" t="s">
        <v>621</v>
      </c>
      <c r="B621" s="2" t="s">
        <v>3415</v>
      </c>
      <c r="C621" t="s">
        <v>2394</v>
      </c>
      <c r="D621" t="s">
        <v>2604</v>
      </c>
      <c r="E621" t="s">
        <v>2501</v>
      </c>
    </row>
    <row r="622" spans="1:5" ht="15.5" x14ac:dyDescent="0.35">
      <c r="A622" s="2" t="s">
        <v>622</v>
      </c>
      <c r="B622" s="2" t="s">
        <v>3416</v>
      </c>
      <c r="C622" t="s">
        <v>3231</v>
      </c>
      <c r="D622" t="s">
        <v>3417</v>
      </c>
      <c r="E622" t="s">
        <v>2590</v>
      </c>
    </row>
    <row r="623" spans="1:5" ht="15.5" x14ac:dyDescent="0.35">
      <c r="A623" s="2" t="s">
        <v>623</v>
      </c>
      <c r="B623" s="2" t="s">
        <v>3418</v>
      </c>
      <c r="C623" t="s">
        <v>2397</v>
      </c>
      <c r="D623" t="s">
        <v>3419</v>
      </c>
    </row>
    <row r="624" spans="1:5" ht="15.5" x14ac:dyDescent="0.35">
      <c r="A624" s="2" t="s">
        <v>624</v>
      </c>
      <c r="B624" s="2" t="s">
        <v>3420</v>
      </c>
      <c r="C624" t="s">
        <v>2394</v>
      </c>
      <c r="D624" t="s">
        <v>3227</v>
      </c>
      <c r="E624" t="s">
        <v>3421</v>
      </c>
    </row>
    <row r="625" spans="1:5" ht="15.5" x14ac:dyDescent="0.35">
      <c r="A625" s="2" t="s">
        <v>625</v>
      </c>
      <c r="B625" s="2" t="s">
        <v>3422</v>
      </c>
      <c r="C625" t="s">
        <v>2397</v>
      </c>
      <c r="D625" t="s">
        <v>2638</v>
      </c>
      <c r="E625" t="s">
        <v>2415</v>
      </c>
    </row>
    <row r="626" spans="1:5" ht="15.5" x14ac:dyDescent="0.35">
      <c r="A626" s="2" t="s">
        <v>626</v>
      </c>
      <c r="B626" s="2" t="s">
        <v>3423</v>
      </c>
      <c r="C626" t="s">
        <v>2397</v>
      </c>
      <c r="D626" t="s">
        <v>3424</v>
      </c>
    </row>
    <row r="627" spans="1:5" ht="15.5" x14ac:dyDescent="0.35">
      <c r="A627" s="2" t="s">
        <v>627</v>
      </c>
      <c r="B627" s="2" t="s">
        <v>3425</v>
      </c>
      <c r="C627" t="s">
        <v>2397</v>
      </c>
      <c r="D627" t="s">
        <v>2790</v>
      </c>
      <c r="E627" t="s">
        <v>2625</v>
      </c>
    </row>
    <row r="628" spans="1:5" ht="15.5" x14ac:dyDescent="0.35">
      <c r="A628" s="2" t="s">
        <v>628</v>
      </c>
      <c r="B628" s="2" t="s">
        <v>3426</v>
      </c>
      <c r="C628" t="s">
        <v>2397</v>
      </c>
      <c r="D628" t="s">
        <v>3427</v>
      </c>
      <c r="E628" t="s">
        <v>2441</v>
      </c>
    </row>
    <row r="629" spans="1:5" ht="15.5" x14ac:dyDescent="0.35">
      <c r="A629" s="2" t="s">
        <v>629</v>
      </c>
      <c r="B629" s="2" t="s">
        <v>3428</v>
      </c>
      <c r="C629" t="s">
        <v>3231</v>
      </c>
      <c r="D629" t="s">
        <v>3429</v>
      </c>
      <c r="E629" t="s">
        <v>2415</v>
      </c>
    </row>
    <row r="630" spans="1:5" ht="15.5" x14ac:dyDescent="0.35">
      <c r="A630" s="2" t="s">
        <v>630</v>
      </c>
      <c r="B630" s="2" t="s">
        <v>3430</v>
      </c>
      <c r="C630" t="s">
        <v>2397</v>
      </c>
      <c r="D630" t="s">
        <v>2410</v>
      </c>
      <c r="E630" t="s">
        <v>2482</v>
      </c>
    </row>
    <row r="631" spans="1:5" ht="15.5" x14ac:dyDescent="0.35">
      <c r="A631" s="2" t="s">
        <v>631</v>
      </c>
      <c r="B631" s="2" t="s">
        <v>2907</v>
      </c>
      <c r="C631" t="s">
        <v>2394</v>
      </c>
      <c r="D631" t="s">
        <v>3132</v>
      </c>
      <c r="E631" t="s">
        <v>2799</v>
      </c>
    </row>
    <row r="632" spans="1:5" ht="15.5" x14ac:dyDescent="0.35">
      <c r="A632" s="2" t="s">
        <v>632</v>
      </c>
      <c r="B632" s="2" t="s">
        <v>3431</v>
      </c>
      <c r="C632" t="s">
        <v>3231</v>
      </c>
      <c r="D632" t="s">
        <v>2487</v>
      </c>
      <c r="E632" t="s">
        <v>2436</v>
      </c>
    </row>
    <row r="633" spans="1:5" ht="15.5" x14ac:dyDescent="0.35">
      <c r="A633" s="2" t="s">
        <v>633</v>
      </c>
      <c r="B633" s="2" t="s">
        <v>3432</v>
      </c>
      <c r="C633" t="s">
        <v>2397</v>
      </c>
      <c r="D633" t="s">
        <v>2830</v>
      </c>
    </row>
    <row r="634" spans="1:5" ht="15.5" x14ac:dyDescent="0.35">
      <c r="A634" s="2" t="s">
        <v>634</v>
      </c>
      <c r="B634" s="2" t="s">
        <v>3433</v>
      </c>
      <c r="C634" t="s">
        <v>2397</v>
      </c>
      <c r="D634" t="s">
        <v>2790</v>
      </c>
    </row>
    <row r="635" spans="1:5" ht="15.5" x14ac:dyDescent="0.35">
      <c r="A635" s="2" t="s">
        <v>635</v>
      </c>
      <c r="B635" s="2" t="s">
        <v>3434</v>
      </c>
      <c r="C635" t="s">
        <v>3231</v>
      </c>
      <c r="D635" t="s">
        <v>3435</v>
      </c>
    </row>
    <row r="636" spans="1:5" ht="15.5" x14ac:dyDescent="0.35">
      <c r="A636" s="2" t="s">
        <v>636</v>
      </c>
      <c r="B636" s="2" t="s">
        <v>2994</v>
      </c>
      <c r="C636" t="s">
        <v>2397</v>
      </c>
      <c r="D636" t="s">
        <v>3070</v>
      </c>
      <c r="E636" t="s">
        <v>2723</v>
      </c>
    </row>
    <row r="637" spans="1:5" ht="15.5" x14ac:dyDescent="0.35">
      <c r="A637" s="2" t="s">
        <v>637</v>
      </c>
      <c r="B637" s="2" t="s">
        <v>3436</v>
      </c>
      <c r="C637" t="s">
        <v>3231</v>
      </c>
      <c r="D637" t="s">
        <v>3437</v>
      </c>
    </row>
    <row r="638" spans="1:5" ht="15.5" x14ac:dyDescent="0.35">
      <c r="A638" s="2" t="s">
        <v>638</v>
      </c>
      <c r="B638" s="2" t="s">
        <v>3438</v>
      </c>
      <c r="C638" t="s">
        <v>2394</v>
      </c>
      <c r="D638" t="s">
        <v>2461</v>
      </c>
    </row>
    <row r="639" spans="1:5" ht="15.5" x14ac:dyDescent="0.35">
      <c r="A639" s="2" t="s">
        <v>639</v>
      </c>
      <c r="B639" s="2" t="s">
        <v>3439</v>
      </c>
      <c r="C639" t="s">
        <v>2397</v>
      </c>
      <c r="D639" t="s">
        <v>2655</v>
      </c>
    </row>
    <row r="640" spans="1:5" ht="15.5" x14ac:dyDescent="0.35">
      <c r="A640" s="2" t="s">
        <v>640</v>
      </c>
      <c r="B640" s="2" t="s">
        <v>3440</v>
      </c>
      <c r="C640" t="s">
        <v>2394</v>
      </c>
      <c r="D640" t="s">
        <v>2560</v>
      </c>
      <c r="E640" t="s">
        <v>2418</v>
      </c>
    </row>
    <row r="641" spans="1:5" ht="15.5" x14ac:dyDescent="0.35">
      <c r="A641" s="2" t="s">
        <v>641</v>
      </c>
      <c r="B641" s="2" t="s">
        <v>2402</v>
      </c>
      <c r="C641" t="s">
        <v>3231</v>
      </c>
      <c r="D641" t="s">
        <v>3441</v>
      </c>
      <c r="E641" t="s">
        <v>2806</v>
      </c>
    </row>
    <row r="642" spans="1:5" ht="15.5" x14ac:dyDescent="0.35">
      <c r="A642" s="2" t="s">
        <v>642</v>
      </c>
      <c r="B642" s="2" t="s">
        <v>3442</v>
      </c>
      <c r="C642" t="s">
        <v>2397</v>
      </c>
      <c r="D642" t="s">
        <v>3443</v>
      </c>
    </row>
    <row r="643" spans="1:5" ht="15.5" x14ac:dyDescent="0.35">
      <c r="A643" s="2" t="s">
        <v>643</v>
      </c>
      <c r="B643" s="2" t="s">
        <v>2538</v>
      </c>
      <c r="C643" t="s">
        <v>2394</v>
      </c>
      <c r="D643" t="s">
        <v>2395</v>
      </c>
      <c r="E643" t="s">
        <v>2436</v>
      </c>
    </row>
    <row r="644" spans="1:5" ht="15.5" x14ac:dyDescent="0.35">
      <c r="A644" s="2" t="s">
        <v>644</v>
      </c>
      <c r="B644" s="2" t="s">
        <v>3444</v>
      </c>
      <c r="C644" t="s">
        <v>2397</v>
      </c>
      <c r="D644" t="s">
        <v>2410</v>
      </c>
    </row>
    <row r="645" spans="1:5" ht="15.5" x14ac:dyDescent="0.35">
      <c r="A645" s="2" t="s">
        <v>645</v>
      </c>
      <c r="B645" s="2" t="s">
        <v>3445</v>
      </c>
      <c r="C645" t="s">
        <v>2397</v>
      </c>
      <c r="D645" t="s">
        <v>3446</v>
      </c>
    </row>
    <row r="646" spans="1:5" ht="15.5" x14ac:dyDescent="0.35">
      <c r="A646" s="2" t="s">
        <v>646</v>
      </c>
      <c r="B646" s="2" t="s">
        <v>3447</v>
      </c>
      <c r="C646" t="s">
        <v>2394</v>
      </c>
      <c r="D646" t="s">
        <v>2657</v>
      </c>
      <c r="E646" t="s">
        <v>2431</v>
      </c>
    </row>
    <row r="647" spans="1:5" ht="15.5" x14ac:dyDescent="0.35">
      <c r="A647" s="2" t="s">
        <v>647</v>
      </c>
      <c r="B647" s="2" t="s">
        <v>3448</v>
      </c>
      <c r="C647" t="s">
        <v>2394</v>
      </c>
      <c r="D647" t="s">
        <v>2604</v>
      </c>
      <c r="E647" t="s">
        <v>2436</v>
      </c>
    </row>
    <row r="648" spans="1:5" ht="15.5" x14ac:dyDescent="0.35">
      <c r="A648" s="2" t="s">
        <v>648</v>
      </c>
      <c r="B648" s="2" t="s">
        <v>3449</v>
      </c>
      <c r="C648" t="s">
        <v>2394</v>
      </c>
      <c r="D648" t="s">
        <v>3450</v>
      </c>
      <c r="E648" t="s">
        <v>2590</v>
      </c>
    </row>
    <row r="649" spans="1:5" ht="15.5" x14ac:dyDescent="0.35">
      <c r="A649" s="2" t="s">
        <v>649</v>
      </c>
      <c r="B649" s="2" t="s">
        <v>3451</v>
      </c>
      <c r="C649" t="s">
        <v>2397</v>
      </c>
      <c r="D649" t="s">
        <v>2577</v>
      </c>
      <c r="E649" t="s">
        <v>2501</v>
      </c>
    </row>
    <row r="650" spans="1:5" ht="15.5" x14ac:dyDescent="0.35">
      <c r="A650" s="2" t="s">
        <v>650</v>
      </c>
      <c r="B650" s="2" t="s">
        <v>3452</v>
      </c>
      <c r="C650" t="s">
        <v>2397</v>
      </c>
      <c r="D650" t="s">
        <v>3105</v>
      </c>
    </row>
    <row r="651" spans="1:5" ht="15.5" x14ac:dyDescent="0.35">
      <c r="A651" s="2" t="s">
        <v>651</v>
      </c>
      <c r="B651" s="2" t="s">
        <v>3453</v>
      </c>
      <c r="C651" t="s">
        <v>2394</v>
      </c>
      <c r="D651" t="s">
        <v>3454</v>
      </c>
    </row>
    <row r="652" spans="1:5" ht="15.5" x14ac:dyDescent="0.35">
      <c r="A652" s="2" t="s">
        <v>652</v>
      </c>
      <c r="B652" s="2" t="s">
        <v>3455</v>
      </c>
      <c r="C652" t="s">
        <v>2397</v>
      </c>
      <c r="D652" t="s">
        <v>2424</v>
      </c>
    </row>
    <row r="653" spans="1:5" ht="15.5" x14ac:dyDescent="0.35">
      <c r="A653" s="2" t="s">
        <v>653</v>
      </c>
      <c r="B653" s="2" t="s">
        <v>3456</v>
      </c>
      <c r="C653" t="s">
        <v>2394</v>
      </c>
      <c r="D653" t="s">
        <v>3152</v>
      </c>
    </row>
    <row r="654" spans="1:5" ht="15.5" x14ac:dyDescent="0.35">
      <c r="A654" s="2" t="s">
        <v>654</v>
      </c>
      <c r="B654" s="2" t="s">
        <v>3457</v>
      </c>
      <c r="C654" t="s">
        <v>2397</v>
      </c>
      <c r="D654" t="s">
        <v>3458</v>
      </c>
    </row>
    <row r="655" spans="1:5" ht="15.5" x14ac:dyDescent="0.35">
      <c r="A655" s="2" t="s">
        <v>655</v>
      </c>
      <c r="B655" s="2" t="s">
        <v>3459</v>
      </c>
      <c r="C655" t="s">
        <v>2397</v>
      </c>
      <c r="D655" t="s">
        <v>2503</v>
      </c>
    </row>
    <row r="656" spans="1:5" ht="15.5" x14ac:dyDescent="0.35">
      <c r="A656" s="2" t="s">
        <v>656</v>
      </c>
      <c r="B656" s="2" t="s">
        <v>3460</v>
      </c>
      <c r="C656" t="s">
        <v>2397</v>
      </c>
      <c r="D656" t="s">
        <v>3461</v>
      </c>
    </row>
    <row r="657" spans="1:5" ht="15.5" x14ac:dyDescent="0.35">
      <c r="A657" s="2" t="s">
        <v>657</v>
      </c>
      <c r="B657" s="2" t="s">
        <v>3462</v>
      </c>
      <c r="C657" t="s">
        <v>2397</v>
      </c>
      <c r="D657" t="s">
        <v>2398</v>
      </c>
      <c r="E657" t="s">
        <v>2436</v>
      </c>
    </row>
    <row r="658" spans="1:5" ht="15.5" x14ac:dyDescent="0.35">
      <c r="A658" s="2" t="s">
        <v>658</v>
      </c>
      <c r="B658" s="2" t="s">
        <v>3463</v>
      </c>
      <c r="C658" t="s">
        <v>2394</v>
      </c>
      <c r="D658" t="s">
        <v>3464</v>
      </c>
    </row>
    <row r="659" spans="1:5" ht="15.5" x14ac:dyDescent="0.35">
      <c r="A659" s="2" t="s">
        <v>659</v>
      </c>
      <c r="B659" s="2" t="s">
        <v>3465</v>
      </c>
      <c r="C659" t="s">
        <v>2394</v>
      </c>
      <c r="D659" t="s">
        <v>3205</v>
      </c>
      <c r="E659" t="s">
        <v>2519</v>
      </c>
    </row>
    <row r="660" spans="1:5" ht="15.5" x14ac:dyDescent="0.35">
      <c r="A660" s="2" t="s">
        <v>660</v>
      </c>
      <c r="B660" s="2" t="s">
        <v>3466</v>
      </c>
      <c r="C660" t="s">
        <v>2394</v>
      </c>
      <c r="D660" t="s">
        <v>3467</v>
      </c>
    </row>
    <row r="661" spans="1:5" ht="15.5" x14ac:dyDescent="0.35">
      <c r="A661" s="2" t="s">
        <v>661</v>
      </c>
      <c r="B661" s="2" t="s">
        <v>3468</v>
      </c>
      <c r="C661" t="s">
        <v>2394</v>
      </c>
      <c r="D661" t="s">
        <v>3469</v>
      </c>
    </row>
    <row r="662" spans="1:5" ht="15.5" x14ac:dyDescent="0.35">
      <c r="A662" s="2" t="s">
        <v>662</v>
      </c>
      <c r="B662" s="2" t="s">
        <v>3470</v>
      </c>
      <c r="C662" t="s">
        <v>2397</v>
      </c>
      <c r="D662" t="s">
        <v>3471</v>
      </c>
      <c r="E662" t="s">
        <v>2472</v>
      </c>
    </row>
    <row r="663" spans="1:5" ht="15.5" x14ac:dyDescent="0.35">
      <c r="A663" s="2" t="s">
        <v>663</v>
      </c>
      <c r="B663" s="2" t="s">
        <v>3472</v>
      </c>
      <c r="C663" t="s">
        <v>2397</v>
      </c>
      <c r="D663" t="s">
        <v>2552</v>
      </c>
      <c r="E663" t="s">
        <v>2723</v>
      </c>
    </row>
    <row r="664" spans="1:5" ht="15.5" x14ac:dyDescent="0.35">
      <c r="A664" s="2" t="s">
        <v>664</v>
      </c>
      <c r="B664" s="2" t="s">
        <v>3473</v>
      </c>
      <c r="C664" t="s">
        <v>2397</v>
      </c>
      <c r="D664" t="s">
        <v>3474</v>
      </c>
      <c r="E664" t="s">
        <v>2399</v>
      </c>
    </row>
    <row r="665" spans="1:5" ht="15.5" x14ac:dyDescent="0.35">
      <c r="A665" s="2" t="s">
        <v>665</v>
      </c>
      <c r="B665" s="2" t="s">
        <v>3475</v>
      </c>
      <c r="C665" t="s">
        <v>2394</v>
      </c>
      <c r="D665" t="s">
        <v>3171</v>
      </c>
      <c r="E665" t="s">
        <v>2477</v>
      </c>
    </row>
    <row r="666" spans="1:5" ht="15.5" x14ac:dyDescent="0.35">
      <c r="A666" s="2" t="s">
        <v>666</v>
      </c>
      <c r="B666" s="2" t="s">
        <v>3476</v>
      </c>
      <c r="C666" t="s">
        <v>2394</v>
      </c>
      <c r="D666" t="s">
        <v>3477</v>
      </c>
      <c r="E666" t="s">
        <v>2519</v>
      </c>
    </row>
    <row r="667" spans="1:5" ht="15.5" x14ac:dyDescent="0.35">
      <c r="A667" s="2" t="s">
        <v>667</v>
      </c>
      <c r="B667" s="2" t="s">
        <v>3478</v>
      </c>
      <c r="C667" t="s">
        <v>2397</v>
      </c>
      <c r="D667" t="s">
        <v>2790</v>
      </c>
      <c r="E667" t="s">
        <v>2643</v>
      </c>
    </row>
    <row r="668" spans="1:5" ht="15.5" x14ac:dyDescent="0.35">
      <c r="A668" s="2" t="s">
        <v>668</v>
      </c>
      <c r="B668" s="2" t="s">
        <v>3479</v>
      </c>
      <c r="C668" t="s">
        <v>3231</v>
      </c>
      <c r="D668" t="s">
        <v>2902</v>
      </c>
      <c r="E668" t="s">
        <v>2431</v>
      </c>
    </row>
    <row r="669" spans="1:5" ht="15.5" x14ac:dyDescent="0.35">
      <c r="A669" s="2" t="s">
        <v>669</v>
      </c>
      <c r="B669" s="2" t="s">
        <v>3480</v>
      </c>
      <c r="C669" t="s">
        <v>3231</v>
      </c>
      <c r="D669" t="s">
        <v>3481</v>
      </c>
      <c r="E669" t="s">
        <v>2680</v>
      </c>
    </row>
    <row r="670" spans="1:5" ht="15.5" x14ac:dyDescent="0.35">
      <c r="A670" s="2" t="s">
        <v>670</v>
      </c>
      <c r="B670" s="2" t="s">
        <v>3482</v>
      </c>
      <c r="C670" t="s">
        <v>2397</v>
      </c>
      <c r="D670" t="s">
        <v>2481</v>
      </c>
      <c r="E670" t="s">
        <v>2467</v>
      </c>
    </row>
    <row r="671" spans="1:5" ht="15.5" x14ac:dyDescent="0.35">
      <c r="A671" s="2" t="s">
        <v>671</v>
      </c>
      <c r="B671" s="2" t="s">
        <v>3051</v>
      </c>
      <c r="C671" t="s">
        <v>3231</v>
      </c>
      <c r="D671" t="s">
        <v>2435</v>
      </c>
    </row>
    <row r="672" spans="1:5" ht="15.5" x14ac:dyDescent="0.35">
      <c r="A672" s="2" t="s">
        <v>672</v>
      </c>
      <c r="B672" s="2" t="s">
        <v>3483</v>
      </c>
      <c r="C672" t="s">
        <v>2397</v>
      </c>
      <c r="D672" t="s">
        <v>2544</v>
      </c>
      <c r="E672" t="s">
        <v>2482</v>
      </c>
    </row>
    <row r="673" spans="1:5" ht="15.5" x14ac:dyDescent="0.35">
      <c r="A673" s="2" t="s">
        <v>673</v>
      </c>
      <c r="B673" s="2" t="s">
        <v>3484</v>
      </c>
      <c r="C673" t="s">
        <v>2394</v>
      </c>
      <c r="D673" t="s">
        <v>3485</v>
      </c>
    </row>
    <row r="674" spans="1:5" ht="15.5" x14ac:dyDescent="0.35">
      <c r="A674" s="2" t="s">
        <v>674</v>
      </c>
      <c r="B674" s="2" t="s">
        <v>3486</v>
      </c>
      <c r="C674" t="s">
        <v>2394</v>
      </c>
      <c r="D674" t="s">
        <v>3487</v>
      </c>
      <c r="E674" t="s">
        <v>2485</v>
      </c>
    </row>
    <row r="675" spans="1:5" ht="15.5" x14ac:dyDescent="0.35">
      <c r="A675" s="2" t="s">
        <v>675</v>
      </c>
      <c r="B675" s="2" t="s">
        <v>3488</v>
      </c>
      <c r="C675" t="s">
        <v>2394</v>
      </c>
      <c r="D675" t="s">
        <v>3489</v>
      </c>
    </row>
    <row r="676" spans="1:5" ht="15.5" x14ac:dyDescent="0.35">
      <c r="A676" s="2" t="s">
        <v>676</v>
      </c>
      <c r="B676" s="2" t="s">
        <v>3490</v>
      </c>
      <c r="C676" t="s">
        <v>2394</v>
      </c>
      <c r="D676" t="s">
        <v>2653</v>
      </c>
      <c r="E676" t="s">
        <v>2477</v>
      </c>
    </row>
    <row r="677" spans="1:5" ht="15.5" x14ac:dyDescent="0.35">
      <c r="A677" s="2" t="s">
        <v>677</v>
      </c>
      <c r="B677" s="2" t="s">
        <v>3491</v>
      </c>
      <c r="C677" t="s">
        <v>2394</v>
      </c>
      <c r="D677" t="s">
        <v>3492</v>
      </c>
    </row>
    <row r="678" spans="1:5" ht="15.5" x14ac:dyDescent="0.35">
      <c r="A678" s="2" t="s">
        <v>678</v>
      </c>
      <c r="B678" s="2" t="s">
        <v>3493</v>
      </c>
      <c r="C678" t="s">
        <v>3231</v>
      </c>
      <c r="D678" t="s">
        <v>3494</v>
      </c>
    </row>
    <row r="679" spans="1:5" ht="15.5" x14ac:dyDescent="0.35">
      <c r="A679" s="2" t="s">
        <v>679</v>
      </c>
      <c r="B679" s="2" t="s">
        <v>3495</v>
      </c>
      <c r="C679" t="s">
        <v>2394</v>
      </c>
      <c r="D679" t="s">
        <v>3227</v>
      </c>
      <c r="E679" t="s">
        <v>2519</v>
      </c>
    </row>
    <row r="680" spans="1:5" ht="15.5" x14ac:dyDescent="0.35">
      <c r="A680" s="2" t="s">
        <v>680</v>
      </c>
      <c r="B680" s="2" t="s">
        <v>3496</v>
      </c>
      <c r="C680" t="s">
        <v>2397</v>
      </c>
      <c r="D680" t="s">
        <v>3427</v>
      </c>
      <c r="E680" t="s">
        <v>2467</v>
      </c>
    </row>
    <row r="681" spans="1:5" ht="15.5" x14ac:dyDescent="0.35">
      <c r="A681" s="2" t="s">
        <v>681</v>
      </c>
      <c r="B681" s="2" t="s">
        <v>3497</v>
      </c>
      <c r="C681" t="s">
        <v>2397</v>
      </c>
      <c r="D681" t="s">
        <v>2859</v>
      </c>
    </row>
    <row r="682" spans="1:5" ht="15.5" x14ac:dyDescent="0.35">
      <c r="A682" s="2" t="s">
        <v>682</v>
      </c>
      <c r="B682" s="2" t="s">
        <v>3498</v>
      </c>
      <c r="C682" t="s">
        <v>2394</v>
      </c>
      <c r="D682" t="s">
        <v>3499</v>
      </c>
    </row>
    <row r="683" spans="1:5" ht="15.5" x14ac:dyDescent="0.35">
      <c r="A683" s="2" t="s">
        <v>683</v>
      </c>
      <c r="B683" s="2" t="s">
        <v>3500</v>
      </c>
      <c r="C683" t="s">
        <v>3231</v>
      </c>
      <c r="D683" t="s">
        <v>3138</v>
      </c>
      <c r="E683" t="s">
        <v>2680</v>
      </c>
    </row>
    <row r="684" spans="1:5" ht="15.5" x14ac:dyDescent="0.35">
      <c r="A684" s="2" t="s">
        <v>684</v>
      </c>
      <c r="B684" s="2" t="s">
        <v>3501</v>
      </c>
      <c r="C684" t="s">
        <v>2394</v>
      </c>
      <c r="D684" t="s">
        <v>2604</v>
      </c>
    </row>
    <row r="685" spans="1:5" ht="15.5" x14ac:dyDescent="0.35">
      <c r="A685" s="2" t="s">
        <v>685</v>
      </c>
      <c r="B685" s="2" t="s">
        <v>3502</v>
      </c>
      <c r="C685" t="s">
        <v>2394</v>
      </c>
      <c r="D685" t="s">
        <v>3010</v>
      </c>
      <c r="E685" t="s">
        <v>2399</v>
      </c>
    </row>
    <row r="686" spans="1:5" ht="15.5" x14ac:dyDescent="0.35">
      <c r="A686" s="2" t="s">
        <v>686</v>
      </c>
      <c r="B686" s="2" t="s">
        <v>3503</v>
      </c>
      <c r="C686" t="s">
        <v>2397</v>
      </c>
      <c r="D686" t="s">
        <v>3504</v>
      </c>
    </row>
    <row r="687" spans="1:5" ht="15.5" x14ac:dyDescent="0.35">
      <c r="A687" s="2" t="s">
        <v>687</v>
      </c>
      <c r="B687" s="2" t="s">
        <v>3505</v>
      </c>
      <c r="C687" t="s">
        <v>2397</v>
      </c>
      <c r="D687" t="s">
        <v>2407</v>
      </c>
      <c r="E687" t="s">
        <v>2625</v>
      </c>
    </row>
    <row r="688" spans="1:5" ht="15.5" x14ac:dyDescent="0.35">
      <c r="A688" s="2" t="s">
        <v>688</v>
      </c>
      <c r="B688" s="2" t="s">
        <v>3506</v>
      </c>
      <c r="C688" t="s">
        <v>2394</v>
      </c>
      <c r="D688" t="s">
        <v>3507</v>
      </c>
    </row>
    <row r="689" spans="1:5" ht="15.5" x14ac:dyDescent="0.35">
      <c r="A689" s="2" t="s">
        <v>689</v>
      </c>
      <c r="B689" s="2" t="s">
        <v>3508</v>
      </c>
      <c r="C689" t="s">
        <v>2463</v>
      </c>
      <c r="D689" t="s">
        <v>2394</v>
      </c>
      <c r="E689" t="s">
        <v>3008</v>
      </c>
    </row>
    <row r="690" spans="1:5" ht="15.5" x14ac:dyDescent="0.35">
      <c r="A690" s="2" t="s">
        <v>690</v>
      </c>
      <c r="B690" s="2" t="s">
        <v>3509</v>
      </c>
      <c r="C690" t="s">
        <v>2394</v>
      </c>
      <c r="D690" t="s">
        <v>2840</v>
      </c>
      <c r="E690" t="s">
        <v>2431</v>
      </c>
    </row>
    <row r="691" spans="1:5" ht="15.5" x14ac:dyDescent="0.35">
      <c r="A691" s="2" t="s">
        <v>691</v>
      </c>
      <c r="B691" s="2" t="s">
        <v>3510</v>
      </c>
      <c r="C691" t="s">
        <v>2394</v>
      </c>
      <c r="D691" t="s">
        <v>3511</v>
      </c>
    </row>
    <row r="692" spans="1:5" ht="15.5" x14ac:dyDescent="0.35">
      <c r="A692" s="2" t="s">
        <v>692</v>
      </c>
      <c r="B692" s="2" t="s">
        <v>3512</v>
      </c>
      <c r="C692" t="s">
        <v>2394</v>
      </c>
      <c r="D692" t="s">
        <v>3513</v>
      </c>
      <c r="E692" t="s">
        <v>2625</v>
      </c>
    </row>
    <row r="693" spans="1:5" ht="15.5" x14ac:dyDescent="0.35">
      <c r="A693" s="2" t="s">
        <v>693</v>
      </c>
      <c r="B693" s="2" t="s">
        <v>3514</v>
      </c>
      <c r="C693" t="s">
        <v>3515</v>
      </c>
      <c r="D693" t="s">
        <v>2397</v>
      </c>
      <c r="E693" t="s">
        <v>3516</v>
      </c>
    </row>
    <row r="694" spans="1:5" ht="15.5" x14ac:dyDescent="0.35">
      <c r="A694" s="2" t="s">
        <v>694</v>
      </c>
      <c r="B694" s="2" t="s">
        <v>3517</v>
      </c>
      <c r="C694" t="s">
        <v>3231</v>
      </c>
      <c r="D694" t="s">
        <v>2585</v>
      </c>
      <c r="E694" t="s">
        <v>2408</v>
      </c>
    </row>
    <row r="695" spans="1:5" ht="15.5" x14ac:dyDescent="0.35">
      <c r="A695" s="2" t="s">
        <v>695</v>
      </c>
      <c r="B695" s="2" t="s">
        <v>3518</v>
      </c>
      <c r="C695" t="s">
        <v>2394</v>
      </c>
      <c r="D695" t="s">
        <v>3519</v>
      </c>
    </row>
    <row r="696" spans="1:5" ht="15.5" x14ac:dyDescent="0.35">
      <c r="A696" s="2" t="s">
        <v>696</v>
      </c>
      <c r="B696" s="2" t="s">
        <v>3520</v>
      </c>
      <c r="C696" t="s">
        <v>2397</v>
      </c>
      <c r="D696" t="s">
        <v>3521</v>
      </c>
    </row>
    <row r="697" spans="1:5" ht="15.5" x14ac:dyDescent="0.35">
      <c r="A697" s="2" t="s">
        <v>697</v>
      </c>
      <c r="B697" s="2" t="s">
        <v>3522</v>
      </c>
      <c r="C697" t="s">
        <v>2397</v>
      </c>
      <c r="D697" t="s">
        <v>3523</v>
      </c>
      <c r="E697" t="s">
        <v>2482</v>
      </c>
    </row>
    <row r="698" spans="1:5" ht="15.5" x14ac:dyDescent="0.35">
      <c r="A698" s="2" t="s">
        <v>698</v>
      </c>
      <c r="B698" s="2" t="s">
        <v>3524</v>
      </c>
      <c r="C698" t="s">
        <v>2397</v>
      </c>
      <c r="D698" t="s">
        <v>2727</v>
      </c>
      <c r="E698" t="s">
        <v>2448</v>
      </c>
    </row>
    <row r="699" spans="1:5" ht="15.5" x14ac:dyDescent="0.35">
      <c r="A699" s="2" t="s">
        <v>699</v>
      </c>
      <c r="B699" s="2" t="s">
        <v>3525</v>
      </c>
      <c r="C699" t="s">
        <v>2394</v>
      </c>
      <c r="D699" t="s">
        <v>2575</v>
      </c>
    </row>
    <row r="700" spans="1:5" ht="15.5" x14ac:dyDescent="0.35">
      <c r="A700" s="2" t="s">
        <v>700</v>
      </c>
      <c r="B700" s="2" t="s">
        <v>3526</v>
      </c>
      <c r="C700" t="s">
        <v>2394</v>
      </c>
      <c r="D700" t="s">
        <v>3361</v>
      </c>
      <c r="E700" t="s">
        <v>2482</v>
      </c>
    </row>
    <row r="701" spans="1:5" ht="15.5" x14ac:dyDescent="0.35">
      <c r="A701" s="2" t="s">
        <v>701</v>
      </c>
      <c r="B701" s="2" t="s">
        <v>3527</v>
      </c>
      <c r="C701" t="s">
        <v>2397</v>
      </c>
      <c r="D701" t="s">
        <v>3528</v>
      </c>
      <c r="E701" t="s">
        <v>2498</v>
      </c>
    </row>
    <row r="702" spans="1:5" ht="15.5" x14ac:dyDescent="0.35">
      <c r="A702" s="2" t="s">
        <v>702</v>
      </c>
      <c r="B702" s="2" t="s">
        <v>3529</v>
      </c>
      <c r="C702" t="s">
        <v>3231</v>
      </c>
      <c r="D702" t="s">
        <v>3530</v>
      </c>
    </row>
    <row r="703" spans="1:5" ht="15.5" x14ac:dyDescent="0.35">
      <c r="A703" s="2" t="s">
        <v>703</v>
      </c>
      <c r="B703" s="2" t="s">
        <v>3531</v>
      </c>
      <c r="C703" t="s">
        <v>2397</v>
      </c>
      <c r="D703" t="s">
        <v>3532</v>
      </c>
    </row>
    <row r="704" spans="1:5" ht="15.5" x14ac:dyDescent="0.35">
      <c r="A704" s="2" t="s">
        <v>704</v>
      </c>
      <c r="B704" s="2" t="s">
        <v>3533</v>
      </c>
      <c r="C704" t="s">
        <v>2397</v>
      </c>
      <c r="D704" t="s">
        <v>2844</v>
      </c>
    </row>
    <row r="705" spans="1:5" ht="15.5" x14ac:dyDescent="0.35">
      <c r="A705" s="2" t="s">
        <v>705</v>
      </c>
      <c r="B705" s="2" t="s">
        <v>3534</v>
      </c>
      <c r="C705" t="s">
        <v>2394</v>
      </c>
      <c r="D705" t="s">
        <v>2565</v>
      </c>
    </row>
    <row r="706" spans="1:5" ht="15.5" x14ac:dyDescent="0.35">
      <c r="A706" s="2" t="s">
        <v>706</v>
      </c>
      <c r="B706" s="2" t="s">
        <v>3535</v>
      </c>
      <c r="C706" t="s">
        <v>2394</v>
      </c>
      <c r="D706" t="s">
        <v>3536</v>
      </c>
      <c r="E706" t="s">
        <v>2607</v>
      </c>
    </row>
    <row r="707" spans="1:5" ht="15.5" x14ac:dyDescent="0.35">
      <c r="A707" s="2" t="s">
        <v>707</v>
      </c>
      <c r="B707" s="2" t="s">
        <v>3537</v>
      </c>
      <c r="C707" t="s">
        <v>2397</v>
      </c>
      <c r="D707" t="s">
        <v>3538</v>
      </c>
      <c r="E707" t="s">
        <v>2986</v>
      </c>
    </row>
    <row r="708" spans="1:5" ht="15.5" x14ac:dyDescent="0.35">
      <c r="A708" s="2" t="s">
        <v>708</v>
      </c>
      <c r="B708" s="2" t="s">
        <v>3539</v>
      </c>
      <c r="C708" t="s">
        <v>2394</v>
      </c>
      <c r="D708" t="s">
        <v>2624</v>
      </c>
    </row>
    <row r="709" spans="1:5" ht="15.5" x14ac:dyDescent="0.35">
      <c r="A709" s="2" t="s">
        <v>709</v>
      </c>
      <c r="B709" s="2" t="s">
        <v>3223</v>
      </c>
      <c r="C709" t="s">
        <v>3231</v>
      </c>
      <c r="D709" t="s">
        <v>2533</v>
      </c>
    </row>
    <row r="710" spans="1:5" ht="15.5" x14ac:dyDescent="0.35">
      <c r="A710" s="2" t="s">
        <v>710</v>
      </c>
      <c r="B710" s="2" t="s">
        <v>3540</v>
      </c>
      <c r="C710" t="s">
        <v>3231</v>
      </c>
      <c r="D710" t="s">
        <v>3541</v>
      </c>
    </row>
    <row r="711" spans="1:5" ht="15.5" x14ac:dyDescent="0.35">
      <c r="A711" s="2" t="s">
        <v>711</v>
      </c>
      <c r="B711" s="2" t="s">
        <v>3542</v>
      </c>
      <c r="C711" t="s">
        <v>2394</v>
      </c>
      <c r="D711" t="s">
        <v>3543</v>
      </c>
      <c r="E711" t="s">
        <v>2625</v>
      </c>
    </row>
    <row r="712" spans="1:5" ht="15.5" x14ac:dyDescent="0.35">
      <c r="A712" s="2" t="s">
        <v>712</v>
      </c>
      <c r="B712" s="2" t="s">
        <v>3544</v>
      </c>
      <c r="C712" t="s">
        <v>2394</v>
      </c>
      <c r="D712" t="s">
        <v>3545</v>
      </c>
    </row>
    <row r="713" spans="1:5" ht="15.5" x14ac:dyDescent="0.35">
      <c r="A713" s="2" t="s">
        <v>713</v>
      </c>
      <c r="B713" s="2" t="s">
        <v>3546</v>
      </c>
      <c r="C713" t="s">
        <v>2394</v>
      </c>
      <c r="D713" t="s">
        <v>3234</v>
      </c>
      <c r="E713" t="s">
        <v>2622</v>
      </c>
    </row>
    <row r="714" spans="1:5" ht="15.5" x14ac:dyDescent="0.35">
      <c r="A714" s="2" t="s">
        <v>714</v>
      </c>
      <c r="B714" s="2" t="s">
        <v>3547</v>
      </c>
      <c r="C714" t="s">
        <v>2397</v>
      </c>
      <c r="D714" t="s">
        <v>3548</v>
      </c>
    </row>
    <row r="715" spans="1:5" ht="15.5" x14ac:dyDescent="0.35">
      <c r="A715" s="2" t="s">
        <v>715</v>
      </c>
      <c r="B715" s="2" t="s">
        <v>3549</v>
      </c>
      <c r="C715" t="s">
        <v>3231</v>
      </c>
      <c r="D715" t="s">
        <v>2872</v>
      </c>
    </row>
    <row r="716" spans="1:5" ht="15.5" x14ac:dyDescent="0.35">
      <c r="A716" s="2" t="s">
        <v>716</v>
      </c>
      <c r="B716" s="2" t="s">
        <v>2538</v>
      </c>
      <c r="C716" t="s">
        <v>3231</v>
      </c>
      <c r="D716" t="s">
        <v>3550</v>
      </c>
      <c r="E716" t="s">
        <v>2501</v>
      </c>
    </row>
    <row r="717" spans="1:5" ht="15.5" x14ac:dyDescent="0.35">
      <c r="A717" s="2" t="s">
        <v>717</v>
      </c>
      <c r="B717" s="2" t="s">
        <v>3551</v>
      </c>
      <c r="C717" t="s">
        <v>2394</v>
      </c>
      <c r="D717" t="s">
        <v>2769</v>
      </c>
      <c r="E717" t="s">
        <v>2516</v>
      </c>
    </row>
    <row r="718" spans="1:5" ht="15.5" x14ac:dyDescent="0.35">
      <c r="A718" s="2" t="s">
        <v>718</v>
      </c>
      <c r="B718" s="2" t="s">
        <v>3552</v>
      </c>
      <c r="C718" t="s">
        <v>2394</v>
      </c>
      <c r="D718" t="s">
        <v>2561</v>
      </c>
      <c r="E718" t="s">
        <v>2565</v>
      </c>
    </row>
    <row r="719" spans="1:5" ht="15.5" x14ac:dyDescent="0.35">
      <c r="A719" s="2" t="s">
        <v>719</v>
      </c>
      <c r="B719" s="2" t="s">
        <v>3553</v>
      </c>
      <c r="C719" t="s">
        <v>2397</v>
      </c>
      <c r="D719" t="s">
        <v>3554</v>
      </c>
      <c r="E719" t="s">
        <v>2766</v>
      </c>
    </row>
    <row r="720" spans="1:5" ht="15.5" x14ac:dyDescent="0.35">
      <c r="A720" s="2" t="s">
        <v>720</v>
      </c>
      <c r="B720" s="2" t="s">
        <v>3555</v>
      </c>
      <c r="C720" t="s">
        <v>2397</v>
      </c>
      <c r="D720" t="s">
        <v>3556</v>
      </c>
    </row>
    <row r="721" spans="1:6" ht="15.5" x14ac:dyDescent="0.35">
      <c r="A721" s="2" t="s">
        <v>721</v>
      </c>
      <c r="B721" s="2" t="s">
        <v>3557</v>
      </c>
      <c r="C721" t="s">
        <v>2397</v>
      </c>
      <c r="D721" t="s">
        <v>3558</v>
      </c>
    </row>
    <row r="722" spans="1:6" ht="15.5" x14ac:dyDescent="0.35">
      <c r="A722" s="2" t="s">
        <v>722</v>
      </c>
      <c r="B722" s="2" t="s">
        <v>3559</v>
      </c>
      <c r="C722" t="s">
        <v>2394</v>
      </c>
      <c r="D722" t="s">
        <v>2465</v>
      </c>
    </row>
    <row r="723" spans="1:6" ht="15.5" x14ac:dyDescent="0.35">
      <c r="A723" s="2" t="s">
        <v>723</v>
      </c>
      <c r="B723" s="2" t="s">
        <v>3560</v>
      </c>
      <c r="C723" t="s">
        <v>2394</v>
      </c>
      <c r="D723" t="s">
        <v>2504</v>
      </c>
    </row>
    <row r="724" spans="1:6" ht="15.5" x14ac:dyDescent="0.35">
      <c r="A724" s="2" t="s">
        <v>724</v>
      </c>
      <c r="B724" s="2" t="s">
        <v>3561</v>
      </c>
      <c r="C724" t="s">
        <v>2394</v>
      </c>
      <c r="D724" t="s">
        <v>3287</v>
      </c>
      <c r="E724" t="s">
        <v>2622</v>
      </c>
    </row>
    <row r="725" spans="1:6" ht="15.5" x14ac:dyDescent="0.35">
      <c r="A725" s="2" t="s">
        <v>725</v>
      </c>
      <c r="B725" s="2" t="s">
        <v>3562</v>
      </c>
      <c r="C725" t="s">
        <v>3231</v>
      </c>
      <c r="D725" t="s">
        <v>3240</v>
      </c>
    </row>
    <row r="726" spans="1:6" ht="15.5" x14ac:dyDescent="0.35">
      <c r="A726" s="2" t="s">
        <v>726</v>
      </c>
      <c r="B726" s="2" t="s">
        <v>3563</v>
      </c>
      <c r="C726" t="s">
        <v>2397</v>
      </c>
      <c r="D726" t="s">
        <v>2686</v>
      </c>
      <c r="E726" t="s">
        <v>2472</v>
      </c>
      <c r="F726" t="s">
        <v>3564</v>
      </c>
    </row>
    <row r="727" spans="1:6" ht="15.5" x14ac:dyDescent="0.35">
      <c r="A727" s="2" t="s">
        <v>727</v>
      </c>
      <c r="B727" s="2" t="s">
        <v>2586</v>
      </c>
      <c r="C727" t="s">
        <v>2397</v>
      </c>
      <c r="D727" t="s">
        <v>2491</v>
      </c>
    </row>
    <row r="728" spans="1:6" ht="15.5" x14ac:dyDescent="0.35">
      <c r="A728" s="2" t="s">
        <v>728</v>
      </c>
      <c r="B728" s="2" t="s">
        <v>3565</v>
      </c>
      <c r="C728" t="s">
        <v>2397</v>
      </c>
      <c r="D728" t="s">
        <v>2443</v>
      </c>
    </row>
    <row r="729" spans="1:6" ht="15.5" x14ac:dyDescent="0.35">
      <c r="A729" s="2" t="s">
        <v>729</v>
      </c>
      <c r="B729" s="2" t="s">
        <v>3566</v>
      </c>
      <c r="C729" t="s">
        <v>2397</v>
      </c>
      <c r="D729" t="s">
        <v>2457</v>
      </c>
      <c r="E729" t="s">
        <v>2671</v>
      </c>
    </row>
    <row r="730" spans="1:6" ht="15.5" x14ac:dyDescent="0.35">
      <c r="A730" s="2" t="s">
        <v>730</v>
      </c>
      <c r="B730" s="2" t="s">
        <v>3555</v>
      </c>
      <c r="C730" t="s">
        <v>2397</v>
      </c>
      <c r="D730" t="s">
        <v>3567</v>
      </c>
    </row>
    <row r="731" spans="1:6" ht="15.5" x14ac:dyDescent="0.35">
      <c r="A731" s="2" t="s">
        <v>731</v>
      </c>
      <c r="B731" s="2" t="s">
        <v>3568</v>
      </c>
      <c r="C731" t="s">
        <v>3033</v>
      </c>
      <c r="D731" t="s">
        <v>2394</v>
      </c>
      <c r="E731" t="s">
        <v>3569</v>
      </c>
    </row>
    <row r="732" spans="1:6" ht="15.5" x14ac:dyDescent="0.35">
      <c r="A732" s="2" t="s">
        <v>732</v>
      </c>
      <c r="B732" s="2" t="s">
        <v>3570</v>
      </c>
      <c r="C732" t="s">
        <v>2394</v>
      </c>
      <c r="D732" t="s">
        <v>2435</v>
      </c>
      <c r="E732" t="s">
        <v>2501</v>
      </c>
    </row>
    <row r="733" spans="1:6" ht="15.5" x14ac:dyDescent="0.35">
      <c r="A733" s="2" t="s">
        <v>733</v>
      </c>
      <c r="B733" s="2" t="s">
        <v>3571</v>
      </c>
      <c r="C733" t="s">
        <v>2397</v>
      </c>
      <c r="D733" t="s">
        <v>2636</v>
      </c>
    </row>
    <row r="734" spans="1:6" ht="15.5" x14ac:dyDescent="0.35">
      <c r="A734" s="2" t="s">
        <v>734</v>
      </c>
      <c r="B734" s="2" t="s">
        <v>3572</v>
      </c>
      <c r="C734" t="s">
        <v>2394</v>
      </c>
      <c r="D734" t="s">
        <v>3573</v>
      </c>
    </row>
    <row r="735" spans="1:6" ht="15.5" x14ac:dyDescent="0.35">
      <c r="A735" s="2" t="s">
        <v>735</v>
      </c>
      <c r="B735" s="2" t="s">
        <v>2545</v>
      </c>
      <c r="C735" t="s">
        <v>2394</v>
      </c>
      <c r="D735" t="s">
        <v>3135</v>
      </c>
    </row>
    <row r="736" spans="1:6" ht="15.5" x14ac:dyDescent="0.35">
      <c r="A736" s="2" t="s">
        <v>736</v>
      </c>
      <c r="B736" s="2" t="s">
        <v>3574</v>
      </c>
      <c r="C736" t="s">
        <v>2394</v>
      </c>
      <c r="D736" t="s">
        <v>2624</v>
      </c>
      <c r="E736" t="s">
        <v>2671</v>
      </c>
    </row>
    <row r="737" spans="1:6" ht="15.5" x14ac:dyDescent="0.35">
      <c r="A737" s="2" t="s">
        <v>737</v>
      </c>
      <c r="B737" s="2" t="s">
        <v>3575</v>
      </c>
      <c r="C737" t="s">
        <v>2394</v>
      </c>
      <c r="D737" t="s">
        <v>2395</v>
      </c>
      <c r="E737" t="s">
        <v>2700</v>
      </c>
    </row>
    <row r="738" spans="1:6" ht="15.5" x14ac:dyDescent="0.35">
      <c r="A738" s="2" t="s">
        <v>738</v>
      </c>
      <c r="B738" s="2" t="s">
        <v>3576</v>
      </c>
      <c r="C738" t="s">
        <v>2397</v>
      </c>
      <c r="D738" t="s">
        <v>2950</v>
      </c>
    </row>
    <row r="739" spans="1:6" ht="15.5" x14ac:dyDescent="0.35">
      <c r="A739" s="2" t="s">
        <v>739</v>
      </c>
      <c r="B739" s="2" t="s">
        <v>3577</v>
      </c>
      <c r="C739" t="s">
        <v>2397</v>
      </c>
      <c r="D739" t="s">
        <v>3015</v>
      </c>
      <c r="E739" t="s">
        <v>2561</v>
      </c>
      <c r="F739" t="s">
        <v>3564</v>
      </c>
    </row>
    <row r="740" spans="1:6" ht="15.5" x14ac:dyDescent="0.35">
      <c r="A740" s="2" t="s">
        <v>740</v>
      </c>
      <c r="B740" s="2" t="s">
        <v>3578</v>
      </c>
      <c r="C740" t="s">
        <v>2397</v>
      </c>
      <c r="D740" t="s">
        <v>3579</v>
      </c>
      <c r="E740" t="s">
        <v>2625</v>
      </c>
    </row>
    <row r="741" spans="1:6" ht="15.5" x14ac:dyDescent="0.35">
      <c r="A741" s="2" t="s">
        <v>741</v>
      </c>
      <c r="B741" s="2" t="s">
        <v>3580</v>
      </c>
      <c r="C741" t="s">
        <v>3231</v>
      </c>
      <c r="D741" t="s">
        <v>2793</v>
      </c>
      <c r="E741" t="s">
        <v>2482</v>
      </c>
    </row>
    <row r="742" spans="1:6" ht="15.5" x14ac:dyDescent="0.35">
      <c r="A742" s="2" t="s">
        <v>742</v>
      </c>
      <c r="B742" s="2" t="s">
        <v>3581</v>
      </c>
      <c r="C742" t="s">
        <v>2397</v>
      </c>
      <c r="D742" t="s">
        <v>2834</v>
      </c>
    </row>
    <row r="743" spans="1:6" ht="15.5" x14ac:dyDescent="0.35">
      <c r="A743" s="2" t="s">
        <v>743</v>
      </c>
      <c r="B743" s="2" t="s">
        <v>3582</v>
      </c>
      <c r="C743" t="s">
        <v>2397</v>
      </c>
      <c r="D743" t="s">
        <v>2701</v>
      </c>
      <c r="E743" t="s">
        <v>2799</v>
      </c>
    </row>
    <row r="744" spans="1:6" ht="15.5" x14ac:dyDescent="0.35">
      <c r="A744" s="2" t="s">
        <v>744</v>
      </c>
      <c r="B744" s="2" t="s">
        <v>3583</v>
      </c>
      <c r="C744" t="s">
        <v>3231</v>
      </c>
      <c r="D744" t="s">
        <v>3181</v>
      </c>
    </row>
    <row r="745" spans="1:6" ht="15.5" x14ac:dyDescent="0.35">
      <c r="A745" s="2" t="s">
        <v>745</v>
      </c>
      <c r="B745" s="2" t="s">
        <v>2446</v>
      </c>
      <c r="C745" t="s">
        <v>3231</v>
      </c>
      <c r="D745" t="s">
        <v>3004</v>
      </c>
      <c r="E745" t="s">
        <v>2519</v>
      </c>
    </row>
    <row r="746" spans="1:6" ht="15.5" x14ac:dyDescent="0.35">
      <c r="A746" s="2" t="s">
        <v>746</v>
      </c>
      <c r="B746" s="2" t="s">
        <v>3584</v>
      </c>
      <c r="C746" t="s">
        <v>2394</v>
      </c>
      <c r="D746" t="s">
        <v>3585</v>
      </c>
    </row>
    <row r="747" spans="1:6" ht="15.5" x14ac:dyDescent="0.35">
      <c r="A747" s="2" t="s">
        <v>747</v>
      </c>
      <c r="B747" s="2" t="s">
        <v>3586</v>
      </c>
      <c r="C747" t="s">
        <v>2397</v>
      </c>
      <c r="D747" t="s">
        <v>2619</v>
      </c>
      <c r="E747" t="s">
        <v>2485</v>
      </c>
    </row>
    <row r="748" spans="1:6" ht="15.5" x14ac:dyDescent="0.35">
      <c r="A748" s="2" t="s">
        <v>748</v>
      </c>
      <c r="B748" s="2" t="s">
        <v>3587</v>
      </c>
      <c r="C748" t="s">
        <v>3231</v>
      </c>
      <c r="D748" t="s">
        <v>3588</v>
      </c>
      <c r="E748" t="s">
        <v>2431</v>
      </c>
    </row>
    <row r="749" spans="1:6" ht="15.5" x14ac:dyDescent="0.35">
      <c r="A749" s="2" t="s">
        <v>749</v>
      </c>
      <c r="B749" s="2" t="s">
        <v>3589</v>
      </c>
      <c r="C749" t="s">
        <v>2397</v>
      </c>
      <c r="D749" t="s">
        <v>2834</v>
      </c>
    </row>
    <row r="750" spans="1:6" ht="15.5" x14ac:dyDescent="0.35">
      <c r="A750" s="2" t="s">
        <v>750</v>
      </c>
      <c r="B750" s="2" t="s">
        <v>3590</v>
      </c>
      <c r="C750" t="s">
        <v>2397</v>
      </c>
      <c r="D750" t="s">
        <v>2544</v>
      </c>
    </row>
    <row r="751" spans="1:6" ht="15.5" x14ac:dyDescent="0.35">
      <c r="A751" s="2" t="s">
        <v>751</v>
      </c>
      <c r="B751" s="2" t="s">
        <v>3591</v>
      </c>
      <c r="C751" t="s">
        <v>2394</v>
      </c>
      <c r="D751" t="s">
        <v>2542</v>
      </c>
    </row>
    <row r="752" spans="1:6" ht="15.5" x14ac:dyDescent="0.35">
      <c r="A752" s="2" t="s">
        <v>752</v>
      </c>
      <c r="B752" s="2" t="s">
        <v>3592</v>
      </c>
      <c r="C752" t="s">
        <v>2397</v>
      </c>
      <c r="D752" t="s">
        <v>2577</v>
      </c>
    </row>
    <row r="753" spans="1:6" ht="15.5" x14ac:dyDescent="0.35">
      <c r="A753" s="2" t="s">
        <v>753</v>
      </c>
      <c r="B753" s="2" t="s">
        <v>3593</v>
      </c>
      <c r="C753" t="s">
        <v>2394</v>
      </c>
      <c r="D753" t="s">
        <v>3050</v>
      </c>
      <c r="E753" t="s">
        <v>2696</v>
      </c>
    </row>
    <row r="754" spans="1:6" ht="15.5" x14ac:dyDescent="0.35">
      <c r="A754" s="2" t="s">
        <v>754</v>
      </c>
      <c r="B754" s="2" t="s">
        <v>3594</v>
      </c>
      <c r="C754" t="s">
        <v>2394</v>
      </c>
      <c r="D754" t="s">
        <v>3595</v>
      </c>
    </row>
    <row r="755" spans="1:6" ht="15.5" x14ac:dyDescent="0.35">
      <c r="A755" s="2" t="s">
        <v>755</v>
      </c>
      <c r="B755" s="2" t="s">
        <v>3596</v>
      </c>
      <c r="C755" t="s">
        <v>2394</v>
      </c>
      <c r="D755" t="s">
        <v>3597</v>
      </c>
    </row>
    <row r="756" spans="1:6" ht="15.5" x14ac:dyDescent="0.35">
      <c r="A756" s="2" t="s">
        <v>756</v>
      </c>
      <c r="B756" s="2" t="s">
        <v>3598</v>
      </c>
      <c r="C756" t="s">
        <v>3231</v>
      </c>
      <c r="D756" t="s">
        <v>3599</v>
      </c>
    </row>
    <row r="757" spans="1:6" ht="15.5" x14ac:dyDescent="0.35">
      <c r="A757" s="2" t="s">
        <v>757</v>
      </c>
      <c r="B757" s="2" t="s">
        <v>3600</v>
      </c>
      <c r="C757" t="s">
        <v>2397</v>
      </c>
      <c r="D757" t="s">
        <v>3601</v>
      </c>
      <c r="E757" t="s">
        <v>2625</v>
      </c>
    </row>
    <row r="758" spans="1:6" ht="15.5" x14ac:dyDescent="0.35">
      <c r="A758" s="2" t="s">
        <v>758</v>
      </c>
      <c r="B758" s="2" t="s">
        <v>3602</v>
      </c>
      <c r="C758" t="s">
        <v>2397</v>
      </c>
      <c r="D758" t="s">
        <v>3603</v>
      </c>
      <c r="E758" t="s">
        <v>2482</v>
      </c>
      <c r="F758" t="s">
        <v>2441</v>
      </c>
    </row>
    <row r="759" spans="1:6" ht="15.5" x14ac:dyDescent="0.35">
      <c r="A759" s="2" t="s">
        <v>759</v>
      </c>
      <c r="B759" s="2" t="s">
        <v>3604</v>
      </c>
      <c r="C759" t="s">
        <v>2397</v>
      </c>
      <c r="D759" t="s">
        <v>2751</v>
      </c>
    </row>
    <row r="760" spans="1:6" ht="15.5" x14ac:dyDescent="0.35">
      <c r="A760" s="2" t="s">
        <v>760</v>
      </c>
      <c r="B760" s="2" t="s">
        <v>3605</v>
      </c>
      <c r="C760" t="s">
        <v>2397</v>
      </c>
      <c r="D760" t="s">
        <v>3606</v>
      </c>
    </row>
    <row r="761" spans="1:6" ht="15.5" x14ac:dyDescent="0.35">
      <c r="A761" s="2" t="s">
        <v>761</v>
      </c>
      <c r="B761" s="2" t="s">
        <v>3607</v>
      </c>
      <c r="C761" t="s">
        <v>2394</v>
      </c>
      <c r="D761" t="s">
        <v>3608</v>
      </c>
      <c r="E761" t="s">
        <v>2799</v>
      </c>
    </row>
    <row r="762" spans="1:6" ht="15.5" x14ac:dyDescent="0.35">
      <c r="A762" s="2" t="s">
        <v>762</v>
      </c>
      <c r="B762" s="2" t="s">
        <v>3609</v>
      </c>
      <c r="C762" t="s">
        <v>2394</v>
      </c>
      <c r="D762" t="s">
        <v>3240</v>
      </c>
    </row>
    <row r="763" spans="1:6" ht="15.5" x14ac:dyDescent="0.35">
      <c r="A763" s="2" t="s">
        <v>763</v>
      </c>
      <c r="B763" s="2" t="s">
        <v>3610</v>
      </c>
      <c r="C763" t="s">
        <v>2397</v>
      </c>
      <c r="D763" t="s">
        <v>2888</v>
      </c>
    </row>
    <row r="764" spans="1:6" ht="15.5" x14ac:dyDescent="0.35">
      <c r="A764" s="2" t="s">
        <v>764</v>
      </c>
      <c r="B764" s="2" t="s">
        <v>3611</v>
      </c>
      <c r="C764" t="s">
        <v>2394</v>
      </c>
      <c r="D764" t="s">
        <v>2474</v>
      </c>
    </row>
    <row r="765" spans="1:6" ht="15.5" x14ac:dyDescent="0.35">
      <c r="A765" s="2" t="s">
        <v>765</v>
      </c>
      <c r="B765" s="2" t="s">
        <v>3612</v>
      </c>
      <c r="C765" t="s">
        <v>2394</v>
      </c>
      <c r="D765" t="s">
        <v>2435</v>
      </c>
      <c r="E765" t="s">
        <v>2415</v>
      </c>
    </row>
    <row r="766" spans="1:6" ht="15.5" x14ac:dyDescent="0.35">
      <c r="A766" s="2" t="s">
        <v>766</v>
      </c>
      <c r="B766" s="2" t="s">
        <v>3613</v>
      </c>
      <c r="C766" t="s">
        <v>2394</v>
      </c>
      <c r="D766" t="s">
        <v>3181</v>
      </c>
      <c r="E766" t="s">
        <v>2519</v>
      </c>
    </row>
    <row r="767" spans="1:6" ht="15.5" x14ac:dyDescent="0.35">
      <c r="A767" s="2" t="s">
        <v>767</v>
      </c>
      <c r="B767" s="2" t="s">
        <v>3614</v>
      </c>
      <c r="C767" t="s">
        <v>2394</v>
      </c>
      <c r="D767" t="s">
        <v>2872</v>
      </c>
      <c r="E767" t="s">
        <v>2431</v>
      </c>
    </row>
    <row r="768" spans="1:6" ht="15.5" x14ac:dyDescent="0.35">
      <c r="A768" s="2" t="s">
        <v>768</v>
      </c>
      <c r="B768" s="2" t="s">
        <v>3615</v>
      </c>
      <c r="C768" t="s">
        <v>2394</v>
      </c>
      <c r="D768" t="s">
        <v>3369</v>
      </c>
      <c r="E768" t="s">
        <v>2415</v>
      </c>
    </row>
    <row r="769" spans="1:5" ht="15.5" x14ac:dyDescent="0.35">
      <c r="A769" s="2" t="s">
        <v>769</v>
      </c>
      <c r="B769" s="2" t="s">
        <v>3616</v>
      </c>
      <c r="C769" t="s">
        <v>2394</v>
      </c>
      <c r="D769" t="s">
        <v>3617</v>
      </c>
    </row>
    <row r="770" spans="1:5" ht="15.5" x14ac:dyDescent="0.35">
      <c r="A770" s="2" t="s">
        <v>770</v>
      </c>
      <c r="B770" s="2" t="s">
        <v>3618</v>
      </c>
      <c r="C770" t="s">
        <v>2394</v>
      </c>
      <c r="D770" t="s">
        <v>2955</v>
      </c>
    </row>
    <row r="771" spans="1:5" ht="15.5" x14ac:dyDescent="0.35">
      <c r="A771" s="2" t="s">
        <v>771</v>
      </c>
      <c r="B771" s="2" t="s">
        <v>3619</v>
      </c>
      <c r="C771" t="s">
        <v>2394</v>
      </c>
      <c r="D771" t="s">
        <v>3010</v>
      </c>
    </row>
    <row r="772" spans="1:5" ht="15.5" x14ac:dyDescent="0.35">
      <c r="A772" s="2" t="s">
        <v>772</v>
      </c>
      <c r="B772" s="2" t="s">
        <v>3620</v>
      </c>
      <c r="C772" t="s">
        <v>2397</v>
      </c>
      <c r="D772" t="s">
        <v>2398</v>
      </c>
      <c r="E772" t="s">
        <v>2399</v>
      </c>
    </row>
    <row r="773" spans="1:5" ht="15.5" x14ac:dyDescent="0.35">
      <c r="A773" s="2" t="s">
        <v>773</v>
      </c>
      <c r="B773" s="2" t="s">
        <v>3621</v>
      </c>
      <c r="C773" t="s">
        <v>2397</v>
      </c>
      <c r="D773" t="s">
        <v>2701</v>
      </c>
    </row>
    <row r="774" spans="1:5" ht="15.5" x14ac:dyDescent="0.35">
      <c r="A774" s="2" t="s">
        <v>774</v>
      </c>
      <c r="B774" s="2" t="s">
        <v>3622</v>
      </c>
      <c r="C774" t="s">
        <v>2397</v>
      </c>
      <c r="D774" t="s">
        <v>2731</v>
      </c>
    </row>
    <row r="775" spans="1:5" ht="15.5" x14ac:dyDescent="0.35">
      <c r="A775" s="2" t="s">
        <v>775</v>
      </c>
      <c r="B775" s="2" t="s">
        <v>3623</v>
      </c>
      <c r="C775" t="s">
        <v>2397</v>
      </c>
      <c r="D775" t="s">
        <v>2834</v>
      </c>
    </row>
    <row r="776" spans="1:5" ht="15.5" x14ac:dyDescent="0.35">
      <c r="A776" s="2" t="s">
        <v>776</v>
      </c>
      <c r="B776" s="2" t="s">
        <v>3624</v>
      </c>
      <c r="C776" t="s">
        <v>2397</v>
      </c>
      <c r="D776" t="s">
        <v>2838</v>
      </c>
      <c r="E776" t="s">
        <v>2625</v>
      </c>
    </row>
    <row r="777" spans="1:5" ht="15.5" x14ac:dyDescent="0.35">
      <c r="A777" s="2" t="s">
        <v>777</v>
      </c>
      <c r="B777" s="2" t="s">
        <v>3625</v>
      </c>
      <c r="C777" t="s">
        <v>3231</v>
      </c>
      <c r="D777" t="s">
        <v>2769</v>
      </c>
      <c r="E777" t="s">
        <v>2477</v>
      </c>
    </row>
    <row r="778" spans="1:5" ht="15.5" x14ac:dyDescent="0.35">
      <c r="A778" s="2" t="s">
        <v>778</v>
      </c>
      <c r="B778" s="2" t="s">
        <v>2549</v>
      </c>
      <c r="C778" t="s">
        <v>3231</v>
      </c>
      <c r="D778" t="s">
        <v>3249</v>
      </c>
      <c r="E778" t="s">
        <v>2477</v>
      </c>
    </row>
    <row r="779" spans="1:5" ht="15.5" x14ac:dyDescent="0.35">
      <c r="A779" s="2" t="s">
        <v>779</v>
      </c>
      <c r="B779" s="2" t="s">
        <v>3626</v>
      </c>
      <c r="C779" t="s">
        <v>2394</v>
      </c>
      <c r="D779" t="s">
        <v>3627</v>
      </c>
    </row>
    <row r="780" spans="1:5" ht="15.5" x14ac:dyDescent="0.35">
      <c r="A780" s="2" t="s">
        <v>780</v>
      </c>
      <c r="B780" s="2" t="s">
        <v>3628</v>
      </c>
      <c r="C780" t="s">
        <v>2397</v>
      </c>
      <c r="D780" t="s">
        <v>2804</v>
      </c>
    </row>
    <row r="781" spans="1:5" ht="15.5" x14ac:dyDescent="0.35">
      <c r="A781" s="2" t="s">
        <v>781</v>
      </c>
      <c r="B781" s="2" t="s">
        <v>3629</v>
      </c>
      <c r="C781" t="s">
        <v>2394</v>
      </c>
      <c r="D781" t="s">
        <v>2624</v>
      </c>
    </row>
    <row r="782" spans="1:5" ht="15.5" x14ac:dyDescent="0.35">
      <c r="A782" s="2" t="s">
        <v>782</v>
      </c>
      <c r="B782" s="2" t="s">
        <v>3630</v>
      </c>
      <c r="C782" t="s">
        <v>2397</v>
      </c>
      <c r="D782" t="s">
        <v>3406</v>
      </c>
      <c r="E782" t="s">
        <v>2519</v>
      </c>
    </row>
    <row r="783" spans="1:5" ht="15.5" x14ac:dyDescent="0.35">
      <c r="A783" s="2" t="s">
        <v>783</v>
      </c>
      <c r="B783" s="2" t="s">
        <v>3479</v>
      </c>
      <c r="C783" t="s">
        <v>2394</v>
      </c>
      <c r="D783" t="s">
        <v>3631</v>
      </c>
    </row>
    <row r="784" spans="1:5" ht="15.5" x14ac:dyDescent="0.35">
      <c r="A784" s="2" t="s">
        <v>784</v>
      </c>
      <c r="B784" s="2" t="s">
        <v>3632</v>
      </c>
      <c r="C784" t="s">
        <v>2394</v>
      </c>
      <c r="D784" t="s">
        <v>2604</v>
      </c>
      <c r="E784" t="s">
        <v>2418</v>
      </c>
    </row>
    <row r="785" spans="1:6" ht="15.5" x14ac:dyDescent="0.35">
      <c r="A785" s="2" t="s">
        <v>785</v>
      </c>
      <c r="B785" s="2" t="s">
        <v>3633</v>
      </c>
      <c r="C785" t="s">
        <v>2394</v>
      </c>
      <c r="D785" t="s">
        <v>3634</v>
      </c>
    </row>
    <row r="786" spans="1:6" ht="15.5" x14ac:dyDescent="0.35">
      <c r="A786" s="2" t="s">
        <v>786</v>
      </c>
      <c r="B786" s="2" t="s">
        <v>3635</v>
      </c>
      <c r="C786" t="s">
        <v>3636</v>
      </c>
      <c r="D786" t="s">
        <v>2394</v>
      </c>
      <c r="E786" t="s">
        <v>3637</v>
      </c>
      <c r="F786" t="s">
        <v>3467</v>
      </c>
    </row>
    <row r="787" spans="1:6" ht="15.5" x14ac:dyDescent="0.35">
      <c r="A787" s="2" t="s">
        <v>787</v>
      </c>
      <c r="B787" s="2" t="s">
        <v>3638</v>
      </c>
      <c r="C787" t="s">
        <v>2394</v>
      </c>
      <c r="D787" t="s">
        <v>3639</v>
      </c>
      <c r="E787" t="s">
        <v>2482</v>
      </c>
    </row>
    <row r="788" spans="1:6" ht="15.5" x14ac:dyDescent="0.35">
      <c r="A788" s="2" t="s">
        <v>788</v>
      </c>
      <c r="B788" s="2" t="s">
        <v>3640</v>
      </c>
      <c r="C788" t="s">
        <v>2394</v>
      </c>
      <c r="D788" t="s">
        <v>3641</v>
      </c>
    </row>
    <row r="789" spans="1:6" ht="15.5" x14ac:dyDescent="0.35">
      <c r="A789" s="2" t="s">
        <v>789</v>
      </c>
      <c r="B789" s="2" t="s">
        <v>2488</v>
      </c>
      <c r="C789" t="s">
        <v>2397</v>
      </c>
      <c r="D789" t="s">
        <v>2491</v>
      </c>
      <c r="E789" t="s">
        <v>2561</v>
      </c>
    </row>
    <row r="790" spans="1:6" ht="15.5" x14ac:dyDescent="0.35">
      <c r="A790" s="2" t="s">
        <v>790</v>
      </c>
      <c r="B790" s="2" t="s">
        <v>3642</v>
      </c>
      <c r="C790" t="s">
        <v>2397</v>
      </c>
      <c r="D790" t="s">
        <v>3643</v>
      </c>
    </row>
    <row r="791" spans="1:6" ht="15.5" x14ac:dyDescent="0.35">
      <c r="A791" s="2" t="s">
        <v>791</v>
      </c>
      <c r="B791" s="2" t="s">
        <v>3644</v>
      </c>
      <c r="C791" t="s">
        <v>2397</v>
      </c>
      <c r="D791" t="s">
        <v>3083</v>
      </c>
    </row>
    <row r="792" spans="1:6" ht="15.5" x14ac:dyDescent="0.35">
      <c r="A792" s="2" t="s">
        <v>792</v>
      </c>
      <c r="B792" s="2" t="s">
        <v>3645</v>
      </c>
      <c r="C792" t="s">
        <v>2394</v>
      </c>
      <c r="D792" t="s">
        <v>2602</v>
      </c>
      <c r="E792" t="s">
        <v>2467</v>
      </c>
    </row>
    <row r="793" spans="1:6" ht="15.5" x14ac:dyDescent="0.35">
      <c r="A793" s="2" t="s">
        <v>793</v>
      </c>
      <c r="B793" s="2" t="s">
        <v>3646</v>
      </c>
      <c r="C793" t="s">
        <v>2394</v>
      </c>
      <c r="D793" t="s">
        <v>3647</v>
      </c>
    </row>
    <row r="794" spans="1:6" ht="15.5" x14ac:dyDescent="0.35">
      <c r="A794" s="2" t="s">
        <v>794</v>
      </c>
      <c r="B794" s="2" t="s">
        <v>3648</v>
      </c>
      <c r="C794" t="s">
        <v>3231</v>
      </c>
      <c r="D794" t="s">
        <v>3649</v>
      </c>
    </row>
    <row r="795" spans="1:6" ht="15.5" x14ac:dyDescent="0.35">
      <c r="A795" s="2" t="s">
        <v>795</v>
      </c>
      <c r="B795" s="2" t="s">
        <v>3650</v>
      </c>
      <c r="C795" t="s">
        <v>2397</v>
      </c>
      <c r="D795" t="s">
        <v>3651</v>
      </c>
    </row>
    <row r="796" spans="1:6" ht="15.5" x14ac:dyDescent="0.35">
      <c r="A796" s="2" t="s">
        <v>796</v>
      </c>
      <c r="B796" s="2" t="s">
        <v>3652</v>
      </c>
      <c r="C796" t="s">
        <v>2394</v>
      </c>
      <c r="D796" t="s">
        <v>2774</v>
      </c>
    </row>
    <row r="797" spans="1:6" ht="15.5" x14ac:dyDescent="0.35">
      <c r="A797" s="2" t="s">
        <v>797</v>
      </c>
      <c r="B797" s="2" t="s">
        <v>3653</v>
      </c>
      <c r="C797" t="s">
        <v>3231</v>
      </c>
      <c r="D797" t="s">
        <v>3654</v>
      </c>
      <c r="E797" t="s">
        <v>2482</v>
      </c>
    </row>
    <row r="798" spans="1:6" ht="15.5" x14ac:dyDescent="0.35">
      <c r="A798" s="2" t="s">
        <v>798</v>
      </c>
      <c r="B798" s="2" t="s">
        <v>3655</v>
      </c>
      <c r="C798" t="s">
        <v>2394</v>
      </c>
      <c r="D798" t="s">
        <v>3656</v>
      </c>
      <c r="E798" t="s">
        <v>2886</v>
      </c>
    </row>
    <row r="799" spans="1:6" ht="15.5" x14ac:dyDescent="0.35">
      <c r="A799" s="2" t="s">
        <v>799</v>
      </c>
      <c r="B799" s="2" t="s">
        <v>3657</v>
      </c>
      <c r="C799" t="s">
        <v>3231</v>
      </c>
      <c r="D799" t="s">
        <v>3658</v>
      </c>
    </row>
    <row r="800" spans="1:6" ht="15.5" x14ac:dyDescent="0.35">
      <c r="A800" s="2" t="s">
        <v>800</v>
      </c>
      <c r="B800" s="2" t="s">
        <v>3239</v>
      </c>
      <c r="C800" t="s">
        <v>2394</v>
      </c>
      <c r="D800" t="s">
        <v>2640</v>
      </c>
      <c r="E800" t="s">
        <v>2431</v>
      </c>
    </row>
    <row r="801" spans="1:5" ht="15.5" x14ac:dyDescent="0.35">
      <c r="A801" s="2" t="s">
        <v>801</v>
      </c>
      <c r="B801" s="2" t="s">
        <v>3659</v>
      </c>
      <c r="C801" t="s">
        <v>2394</v>
      </c>
      <c r="D801" t="s">
        <v>2774</v>
      </c>
      <c r="E801" t="s">
        <v>2519</v>
      </c>
    </row>
    <row r="802" spans="1:5" ht="15.5" x14ac:dyDescent="0.35">
      <c r="A802" s="2" t="s">
        <v>802</v>
      </c>
      <c r="B802" s="2" t="s">
        <v>3660</v>
      </c>
      <c r="C802" t="s">
        <v>2394</v>
      </c>
      <c r="D802" t="s">
        <v>3661</v>
      </c>
      <c r="E802" t="s">
        <v>2467</v>
      </c>
    </row>
    <row r="803" spans="1:5" ht="15.5" x14ac:dyDescent="0.35">
      <c r="A803" s="2" t="s">
        <v>803</v>
      </c>
      <c r="B803" s="2" t="s">
        <v>3662</v>
      </c>
      <c r="C803" t="s">
        <v>3231</v>
      </c>
      <c r="D803" t="s">
        <v>3663</v>
      </c>
    </row>
    <row r="804" spans="1:5" ht="15.5" x14ac:dyDescent="0.35">
      <c r="A804" s="2" t="s">
        <v>804</v>
      </c>
      <c r="B804" s="2" t="s">
        <v>2907</v>
      </c>
      <c r="C804" t="s">
        <v>2394</v>
      </c>
      <c r="D804" t="s">
        <v>3171</v>
      </c>
    </row>
    <row r="805" spans="1:5" ht="15.5" x14ac:dyDescent="0.35">
      <c r="A805" s="2" t="s">
        <v>805</v>
      </c>
      <c r="B805" s="2" t="s">
        <v>3664</v>
      </c>
      <c r="C805" t="s">
        <v>2394</v>
      </c>
      <c r="D805" t="s">
        <v>3171</v>
      </c>
    </row>
    <row r="806" spans="1:5" ht="15.5" x14ac:dyDescent="0.35">
      <c r="A806" s="2" t="s">
        <v>806</v>
      </c>
      <c r="B806" s="2" t="s">
        <v>3665</v>
      </c>
      <c r="C806" t="s">
        <v>2397</v>
      </c>
      <c r="D806" t="s">
        <v>3666</v>
      </c>
    </row>
    <row r="807" spans="1:5" ht="15.5" x14ac:dyDescent="0.35">
      <c r="A807" s="2" t="s">
        <v>807</v>
      </c>
      <c r="B807" s="2" t="s">
        <v>3667</v>
      </c>
      <c r="C807" t="s">
        <v>2397</v>
      </c>
      <c r="D807" t="s">
        <v>2412</v>
      </c>
    </row>
    <row r="808" spans="1:5" ht="15.5" x14ac:dyDescent="0.35">
      <c r="A808" s="2" t="s">
        <v>808</v>
      </c>
      <c r="B808" s="2" t="s">
        <v>3668</v>
      </c>
      <c r="C808" t="s">
        <v>2397</v>
      </c>
      <c r="D808" t="s">
        <v>3669</v>
      </c>
    </row>
    <row r="809" spans="1:5" ht="15.5" x14ac:dyDescent="0.35">
      <c r="A809" s="2" t="s">
        <v>809</v>
      </c>
      <c r="B809" s="2" t="s">
        <v>3670</v>
      </c>
      <c r="C809" t="s">
        <v>2397</v>
      </c>
      <c r="D809" t="s">
        <v>2925</v>
      </c>
      <c r="E809" t="s">
        <v>2399</v>
      </c>
    </row>
    <row r="810" spans="1:5" ht="15.5" x14ac:dyDescent="0.35">
      <c r="A810" s="2" t="s">
        <v>810</v>
      </c>
      <c r="B810" s="2" t="s">
        <v>3671</v>
      </c>
      <c r="C810" t="s">
        <v>3231</v>
      </c>
      <c r="D810" t="s">
        <v>2769</v>
      </c>
      <c r="E810" t="s">
        <v>2482</v>
      </c>
    </row>
    <row r="811" spans="1:5" ht="15.5" x14ac:dyDescent="0.35">
      <c r="A811" s="2" t="s">
        <v>811</v>
      </c>
      <c r="B811" s="2" t="s">
        <v>3672</v>
      </c>
      <c r="C811" t="s">
        <v>2397</v>
      </c>
      <c r="D811" t="s">
        <v>2398</v>
      </c>
      <c r="E811" t="s">
        <v>2462</v>
      </c>
    </row>
    <row r="812" spans="1:5" ht="15.5" x14ac:dyDescent="0.35">
      <c r="A812" s="2" t="s">
        <v>812</v>
      </c>
      <c r="B812" s="2" t="s">
        <v>3673</v>
      </c>
      <c r="C812" t="s">
        <v>2397</v>
      </c>
      <c r="D812" t="s">
        <v>2655</v>
      </c>
    </row>
    <row r="813" spans="1:5" ht="15.5" x14ac:dyDescent="0.35">
      <c r="A813" s="2" t="s">
        <v>813</v>
      </c>
      <c r="B813" s="2" t="s">
        <v>3103</v>
      </c>
      <c r="C813" t="s">
        <v>2397</v>
      </c>
      <c r="D813" t="s">
        <v>3674</v>
      </c>
    </row>
    <row r="814" spans="1:5" ht="15.5" x14ac:dyDescent="0.35">
      <c r="A814" s="2" t="s">
        <v>814</v>
      </c>
      <c r="B814" s="2" t="s">
        <v>3675</v>
      </c>
      <c r="C814" t="s">
        <v>2397</v>
      </c>
      <c r="D814" t="s">
        <v>3363</v>
      </c>
    </row>
    <row r="815" spans="1:5" ht="15.5" x14ac:dyDescent="0.35">
      <c r="A815" s="2" t="s">
        <v>815</v>
      </c>
      <c r="B815" s="2" t="s">
        <v>3676</v>
      </c>
      <c r="C815" t="s">
        <v>2397</v>
      </c>
      <c r="D815" t="s">
        <v>3393</v>
      </c>
      <c r="E815" t="s">
        <v>2436</v>
      </c>
    </row>
    <row r="816" spans="1:5" ht="15.5" x14ac:dyDescent="0.35">
      <c r="A816" s="2" t="s">
        <v>816</v>
      </c>
      <c r="B816" s="2" t="s">
        <v>3677</v>
      </c>
      <c r="C816" t="s">
        <v>2397</v>
      </c>
      <c r="D816" t="s">
        <v>3678</v>
      </c>
    </row>
    <row r="817" spans="1:5" ht="15.5" x14ac:dyDescent="0.35">
      <c r="A817" s="2" t="s">
        <v>817</v>
      </c>
      <c r="B817" s="2" t="s">
        <v>3679</v>
      </c>
      <c r="C817" t="s">
        <v>2397</v>
      </c>
      <c r="D817" t="s">
        <v>3523</v>
      </c>
    </row>
    <row r="818" spans="1:5" ht="15.5" x14ac:dyDescent="0.35">
      <c r="A818" s="2" t="s">
        <v>818</v>
      </c>
      <c r="B818" s="2" t="s">
        <v>3680</v>
      </c>
      <c r="C818" t="s">
        <v>2397</v>
      </c>
      <c r="D818" t="s">
        <v>3681</v>
      </c>
      <c r="E818" t="s">
        <v>2671</v>
      </c>
    </row>
    <row r="819" spans="1:5" ht="15.5" x14ac:dyDescent="0.35">
      <c r="A819" s="2" t="s">
        <v>819</v>
      </c>
      <c r="B819" s="2" t="s">
        <v>2954</v>
      </c>
      <c r="C819" t="s">
        <v>2397</v>
      </c>
      <c r="D819" t="s">
        <v>3095</v>
      </c>
    </row>
    <row r="820" spans="1:5" ht="15.5" x14ac:dyDescent="0.35">
      <c r="A820" s="2" t="s">
        <v>820</v>
      </c>
      <c r="B820" s="2" t="s">
        <v>3682</v>
      </c>
      <c r="C820" t="s">
        <v>2397</v>
      </c>
      <c r="D820" t="s">
        <v>3683</v>
      </c>
    </row>
    <row r="821" spans="1:5" ht="15.5" x14ac:dyDescent="0.35">
      <c r="A821" s="2" t="s">
        <v>821</v>
      </c>
      <c r="B821" s="2" t="s">
        <v>3684</v>
      </c>
      <c r="C821" t="s">
        <v>2394</v>
      </c>
      <c r="D821" t="s">
        <v>3379</v>
      </c>
    </row>
    <row r="822" spans="1:5" ht="15.5" x14ac:dyDescent="0.35">
      <c r="A822" s="2" t="s">
        <v>822</v>
      </c>
      <c r="B822" s="2" t="s">
        <v>3685</v>
      </c>
      <c r="C822" t="s">
        <v>2397</v>
      </c>
      <c r="D822" t="s">
        <v>3686</v>
      </c>
      <c r="E822" t="s">
        <v>2516</v>
      </c>
    </row>
    <row r="823" spans="1:5" ht="15.5" x14ac:dyDescent="0.35">
      <c r="A823" s="2" t="s">
        <v>823</v>
      </c>
      <c r="B823" s="2" t="s">
        <v>3687</v>
      </c>
      <c r="C823" t="s">
        <v>2397</v>
      </c>
      <c r="D823" t="s">
        <v>2503</v>
      </c>
      <c r="E823" t="s">
        <v>2680</v>
      </c>
    </row>
    <row r="824" spans="1:5" ht="15.5" x14ac:dyDescent="0.35">
      <c r="A824" s="2" t="s">
        <v>824</v>
      </c>
      <c r="B824" s="2" t="s">
        <v>3688</v>
      </c>
      <c r="C824" t="s">
        <v>2397</v>
      </c>
      <c r="D824" t="s">
        <v>2489</v>
      </c>
    </row>
    <row r="825" spans="1:5" ht="15.5" x14ac:dyDescent="0.35">
      <c r="A825" s="2" t="s">
        <v>825</v>
      </c>
      <c r="B825" s="2" t="s">
        <v>3510</v>
      </c>
      <c r="C825" t="s">
        <v>2397</v>
      </c>
      <c r="D825" t="s">
        <v>3689</v>
      </c>
    </row>
    <row r="826" spans="1:5" ht="15.5" x14ac:dyDescent="0.35">
      <c r="A826" s="2" t="s">
        <v>826</v>
      </c>
      <c r="B826" s="2" t="s">
        <v>3690</v>
      </c>
      <c r="C826" t="s">
        <v>2397</v>
      </c>
      <c r="D826" t="s">
        <v>2834</v>
      </c>
      <c r="E826" t="s">
        <v>2467</v>
      </c>
    </row>
    <row r="827" spans="1:5" ht="15.5" x14ac:dyDescent="0.35">
      <c r="A827" s="2" t="s">
        <v>827</v>
      </c>
      <c r="B827" s="2" t="s">
        <v>3691</v>
      </c>
      <c r="C827" t="s">
        <v>2394</v>
      </c>
      <c r="D827" t="s">
        <v>2575</v>
      </c>
      <c r="E827" t="s">
        <v>2436</v>
      </c>
    </row>
    <row r="828" spans="1:5" ht="15.5" x14ac:dyDescent="0.35">
      <c r="A828" s="2" t="s">
        <v>828</v>
      </c>
      <c r="B828" s="2" t="s">
        <v>3692</v>
      </c>
      <c r="C828" t="s">
        <v>2394</v>
      </c>
      <c r="D828" t="s">
        <v>3693</v>
      </c>
    </row>
    <row r="829" spans="1:5" ht="15.5" x14ac:dyDescent="0.35">
      <c r="A829" s="2" t="s">
        <v>829</v>
      </c>
      <c r="B829" s="2" t="s">
        <v>3239</v>
      </c>
      <c r="C829" t="s">
        <v>3231</v>
      </c>
      <c r="D829" t="s">
        <v>3694</v>
      </c>
      <c r="E829" t="s">
        <v>2482</v>
      </c>
    </row>
    <row r="830" spans="1:5" ht="15.5" x14ac:dyDescent="0.35">
      <c r="A830" s="2" t="s">
        <v>830</v>
      </c>
      <c r="B830" s="2" t="s">
        <v>3265</v>
      </c>
      <c r="C830" t="s">
        <v>3231</v>
      </c>
      <c r="D830" t="s">
        <v>3085</v>
      </c>
      <c r="E830" t="s">
        <v>2477</v>
      </c>
    </row>
    <row r="831" spans="1:5" ht="15.5" x14ac:dyDescent="0.35">
      <c r="A831" s="2" t="s">
        <v>831</v>
      </c>
      <c r="B831" s="2" t="s">
        <v>3695</v>
      </c>
      <c r="C831" t="s">
        <v>3231</v>
      </c>
      <c r="D831" t="s">
        <v>2872</v>
      </c>
      <c r="E831" t="s">
        <v>2590</v>
      </c>
    </row>
    <row r="832" spans="1:5" ht="15.5" x14ac:dyDescent="0.35">
      <c r="A832" s="2" t="s">
        <v>832</v>
      </c>
      <c r="B832" s="2" t="s">
        <v>3696</v>
      </c>
      <c r="C832" t="s">
        <v>2397</v>
      </c>
      <c r="D832" t="s">
        <v>2701</v>
      </c>
    </row>
    <row r="833" spans="1:5" ht="15.5" x14ac:dyDescent="0.35">
      <c r="A833" s="2" t="s">
        <v>833</v>
      </c>
      <c r="B833" s="2" t="s">
        <v>3697</v>
      </c>
      <c r="C833" t="s">
        <v>2397</v>
      </c>
      <c r="D833" t="s">
        <v>2481</v>
      </c>
      <c r="E833" t="s">
        <v>2680</v>
      </c>
    </row>
    <row r="834" spans="1:5" ht="15.5" x14ac:dyDescent="0.35">
      <c r="A834" s="2" t="s">
        <v>834</v>
      </c>
      <c r="B834" s="2" t="s">
        <v>3698</v>
      </c>
      <c r="C834" t="s">
        <v>2397</v>
      </c>
      <c r="D834" t="s">
        <v>2398</v>
      </c>
      <c r="E834" t="s">
        <v>2625</v>
      </c>
    </row>
    <row r="835" spans="1:5" ht="15.5" x14ac:dyDescent="0.35">
      <c r="A835" s="2" t="s">
        <v>835</v>
      </c>
      <c r="B835" s="2" t="s">
        <v>3699</v>
      </c>
      <c r="C835" t="s">
        <v>3231</v>
      </c>
      <c r="D835" t="s">
        <v>3507</v>
      </c>
    </row>
    <row r="836" spans="1:5" ht="15.5" x14ac:dyDescent="0.35">
      <c r="A836" s="2" t="s">
        <v>836</v>
      </c>
      <c r="B836" s="2" t="s">
        <v>3700</v>
      </c>
      <c r="C836" t="s">
        <v>2394</v>
      </c>
      <c r="D836" t="s">
        <v>3701</v>
      </c>
      <c r="E836" t="s">
        <v>3328</v>
      </c>
    </row>
    <row r="837" spans="1:5" ht="15.5" x14ac:dyDescent="0.35">
      <c r="A837" s="2" t="s">
        <v>837</v>
      </c>
      <c r="B837" s="2" t="s">
        <v>2824</v>
      </c>
      <c r="C837" t="s">
        <v>2394</v>
      </c>
      <c r="D837" t="s">
        <v>3702</v>
      </c>
      <c r="E837" t="s">
        <v>2501</v>
      </c>
    </row>
    <row r="838" spans="1:5" ht="15.5" x14ac:dyDescent="0.35">
      <c r="A838" s="2" t="s">
        <v>838</v>
      </c>
      <c r="B838" s="2" t="s">
        <v>3703</v>
      </c>
      <c r="C838" t="s">
        <v>2394</v>
      </c>
      <c r="D838" t="s">
        <v>3704</v>
      </c>
    </row>
    <row r="839" spans="1:5" ht="15.5" x14ac:dyDescent="0.35">
      <c r="A839" s="2" t="s">
        <v>839</v>
      </c>
      <c r="B839" s="2" t="s">
        <v>3430</v>
      </c>
      <c r="C839" t="s">
        <v>2397</v>
      </c>
      <c r="D839" t="s">
        <v>2452</v>
      </c>
      <c r="E839" t="s">
        <v>2399</v>
      </c>
    </row>
    <row r="840" spans="1:5" ht="15.5" x14ac:dyDescent="0.35">
      <c r="A840" s="2" t="s">
        <v>840</v>
      </c>
      <c r="B840" s="2" t="s">
        <v>3705</v>
      </c>
      <c r="C840" t="s">
        <v>2394</v>
      </c>
      <c r="D840" t="s">
        <v>2657</v>
      </c>
    </row>
    <row r="841" spans="1:5" ht="15.5" x14ac:dyDescent="0.35">
      <c r="A841" s="2" t="s">
        <v>841</v>
      </c>
      <c r="B841" s="2" t="s">
        <v>3706</v>
      </c>
      <c r="C841" t="s">
        <v>2394</v>
      </c>
      <c r="D841" t="s">
        <v>3287</v>
      </c>
      <c r="E841" t="s">
        <v>2766</v>
      </c>
    </row>
    <row r="842" spans="1:5" ht="15.5" x14ac:dyDescent="0.35">
      <c r="A842" s="2" t="s">
        <v>842</v>
      </c>
      <c r="B842" s="2" t="s">
        <v>3707</v>
      </c>
      <c r="C842" t="s">
        <v>2394</v>
      </c>
      <c r="D842" t="s">
        <v>3708</v>
      </c>
      <c r="E842" t="s">
        <v>2986</v>
      </c>
    </row>
    <row r="843" spans="1:5" ht="15.5" x14ac:dyDescent="0.35">
      <c r="A843" s="2" t="s">
        <v>843</v>
      </c>
      <c r="B843" s="2" t="s">
        <v>3709</v>
      </c>
      <c r="C843" t="s">
        <v>2394</v>
      </c>
      <c r="D843" t="s">
        <v>2769</v>
      </c>
      <c r="E843" t="s">
        <v>2477</v>
      </c>
    </row>
    <row r="844" spans="1:5" ht="15.5" x14ac:dyDescent="0.35">
      <c r="A844" s="2" t="s">
        <v>844</v>
      </c>
      <c r="B844" s="2" t="s">
        <v>3710</v>
      </c>
      <c r="C844" t="s">
        <v>2394</v>
      </c>
      <c r="D844" t="s">
        <v>2533</v>
      </c>
      <c r="E844" t="s">
        <v>2625</v>
      </c>
    </row>
    <row r="845" spans="1:5" ht="15.5" x14ac:dyDescent="0.35">
      <c r="A845" s="2" t="s">
        <v>845</v>
      </c>
      <c r="B845" s="2" t="s">
        <v>2695</v>
      </c>
      <c r="C845" t="s">
        <v>2394</v>
      </c>
      <c r="D845" t="s">
        <v>3287</v>
      </c>
      <c r="E845" t="s">
        <v>2799</v>
      </c>
    </row>
    <row r="846" spans="1:5" ht="15.5" x14ac:dyDescent="0.35">
      <c r="A846" s="2" t="s">
        <v>846</v>
      </c>
      <c r="B846" s="2" t="s">
        <v>3711</v>
      </c>
      <c r="C846" t="s">
        <v>3231</v>
      </c>
      <c r="D846" t="s">
        <v>3712</v>
      </c>
    </row>
    <row r="847" spans="1:5" ht="15.5" x14ac:dyDescent="0.35">
      <c r="A847" s="2" t="s">
        <v>847</v>
      </c>
      <c r="B847" s="2" t="s">
        <v>3713</v>
      </c>
      <c r="C847" t="s">
        <v>2394</v>
      </c>
      <c r="D847" t="s">
        <v>3714</v>
      </c>
    </row>
    <row r="848" spans="1:5" ht="15.5" x14ac:dyDescent="0.35">
      <c r="A848" s="2" t="s">
        <v>848</v>
      </c>
      <c r="B848" s="2" t="s">
        <v>3715</v>
      </c>
      <c r="C848" t="s">
        <v>2394</v>
      </c>
      <c r="D848" t="s">
        <v>3716</v>
      </c>
      <c r="E848" t="s">
        <v>2607</v>
      </c>
    </row>
    <row r="849" spans="1:5" ht="15.5" x14ac:dyDescent="0.35">
      <c r="A849" s="2" t="s">
        <v>849</v>
      </c>
      <c r="B849" s="2" t="s">
        <v>3717</v>
      </c>
      <c r="C849" t="s">
        <v>2394</v>
      </c>
      <c r="D849" t="s">
        <v>3350</v>
      </c>
    </row>
    <row r="850" spans="1:5" ht="15.5" x14ac:dyDescent="0.35">
      <c r="A850" s="2" t="s">
        <v>850</v>
      </c>
      <c r="B850" s="2" t="s">
        <v>3718</v>
      </c>
      <c r="C850" t="s">
        <v>2397</v>
      </c>
      <c r="D850" t="s">
        <v>2512</v>
      </c>
    </row>
    <row r="851" spans="1:5" ht="15.5" x14ac:dyDescent="0.35">
      <c r="A851" s="2" t="s">
        <v>851</v>
      </c>
      <c r="B851" s="2" t="s">
        <v>3719</v>
      </c>
      <c r="C851" t="s">
        <v>2397</v>
      </c>
      <c r="D851" t="s">
        <v>2496</v>
      </c>
    </row>
    <row r="852" spans="1:5" ht="15.5" x14ac:dyDescent="0.35">
      <c r="A852" s="2" t="s">
        <v>852</v>
      </c>
      <c r="B852" s="2" t="s">
        <v>3720</v>
      </c>
      <c r="C852" t="s">
        <v>2394</v>
      </c>
      <c r="D852" t="s">
        <v>3721</v>
      </c>
      <c r="E852" t="s">
        <v>2462</v>
      </c>
    </row>
    <row r="853" spans="1:5" ht="15.5" x14ac:dyDescent="0.35">
      <c r="A853" s="2" t="s">
        <v>853</v>
      </c>
      <c r="B853" s="2" t="s">
        <v>3722</v>
      </c>
      <c r="C853" t="s">
        <v>3231</v>
      </c>
      <c r="D853" t="s">
        <v>2769</v>
      </c>
    </row>
    <row r="854" spans="1:5" ht="15.5" x14ac:dyDescent="0.35">
      <c r="A854" s="2" t="s">
        <v>854</v>
      </c>
      <c r="B854" s="2" t="s">
        <v>2752</v>
      </c>
      <c r="C854" t="s">
        <v>2397</v>
      </c>
      <c r="D854" t="s">
        <v>2569</v>
      </c>
    </row>
    <row r="855" spans="1:5" ht="15.5" x14ac:dyDescent="0.35">
      <c r="A855" s="2" t="s">
        <v>855</v>
      </c>
      <c r="B855" s="2" t="s">
        <v>3723</v>
      </c>
      <c r="C855" t="s">
        <v>2397</v>
      </c>
      <c r="D855" t="s">
        <v>2448</v>
      </c>
      <c r="E855" t="s">
        <v>3724</v>
      </c>
    </row>
    <row r="856" spans="1:5" ht="15.5" x14ac:dyDescent="0.35">
      <c r="A856" s="2" t="s">
        <v>856</v>
      </c>
      <c r="B856" s="2" t="s">
        <v>3725</v>
      </c>
      <c r="C856" t="s">
        <v>2397</v>
      </c>
      <c r="D856" t="s">
        <v>2838</v>
      </c>
    </row>
    <row r="857" spans="1:5" ht="15.5" x14ac:dyDescent="0.35">
      <c r="A857" s="2" t="s">
        <v>857</v>
      </c>
      <c r="B857" s="2" t="s">
        <v>3726</v>
      </c>
      <c r="C857" t="s">
        <v>2397</v>
      </c>
      <c r="D857" t="s">
        <v>2414</v>
      </c>
      <c r="E857" t="s">
        <v>2441</v>
      </c>
    </row>
    <row r="858" spans="1:5" ht="15.5" x14ac:dyDescent="0.35">
      <c r="A858" s="2" t="s">
        <v>858</v>
      </c>
      <c r="B858" s="2" t="s">
        <v>3727</v>
      </c>
      <c r="C858" t="s">
        <v>2394</v>
      </c>
      <c r="D858" t="s">
        <v>2395</v>
      </c>
      <c r="E858" t="s">
        <v>2431</v>
      </c>
    </row>
    <row r="859" spans="1:5" ht="15.5" x14ac:dyDescent="0.35">
      <c r="A859" s="2" t="s">
        <v>859</v>
      </c>
      <c r="B859" s="2" t="s">
        <v>3728</v>
      </c>
      <c r="C859" t="s">
        <v>2394</v>
      </c>
      <c r="D859" t="s">
        <v>3171</v>
      </c>
    </row>
    <row r="860" spans="1:5" ht="15.5" x14ac:dyDescent="0.35">
      <c r="A860" s="2" t="s">
        <v>860</v>
      </c>
      <c r="B860" s="2" t="s">
        <v>3729</v>
      </c>
      <c r="C860" t="s">
        <v>2394</v>
      </c>
      <c r="D860" t="s">
        <v>3730</v>
      </c>
      <c r="E860" t="s">
        <v>2501</v>
      </c>
    </row>
    <row r="861" spans="1:5" ht="15.5" x14ac:dyDescent="0.35">
      <c r="A861" s="2" t="s">
        <v>861</v>
      </c>
      <c r="B861" s="2" t="s">
        <v>3731</v>
      </c>
      <c r="C861" t="s">
        <v>2394</v>
      </c>
      <c r="D861" t="s">
        <v>3732</v>
      </c>
      <c r="E861" t="s">
        <v>2519</v>
      </c>
    </row>
    <row r="862" spans="1:5" ht="15.5" x14ac:dyDescent="0.35">
      <c r="A862" s="2" t="s">
        <v>862</v>
      </c>
      <c r="B862" s="2" t="s">
        <v>3733</v>
      </c>
      <c r="C862" t="s">
        <v>2397</v>
      </c>
      <c r="D862" t="s">
        <v>2512</v>
      </c>
    </row>
    <row r="863" spans="1:5" ht="15.5" x14ac:dyDescent="0.35">
      <c r="A863" s="2" t="s">
        <v>863</v>
      </c>
      <c r="B863" s="2" t="s">
        <v>3734</v>
      </c>
      <c r="C863" t="s">
        <v>2394</v>
      </c>
      <c r="D863" t="s">
        <v>3004</v>
      </c>
    </row>
    <row r="864" spans="1:5" ht="15.5" x14ac:dyDescent="0.35">
      <c r="A864" s="2" t="s">
        <v>864</v>
      </c>
      <c r="B864" s="2" t="s">
        <v>3735</v>
      </c>
      <c r="C864" t="s">
        <v>2397</v>
      </c>
      <c r="D864" t="s">
        <v>2888</v>
      </c>
      <c r="E864" t="s">
        <v>2477</v>
      </c>
    </row>
    <row r="865" spans="1:5" ht="15.5" x14ac:dyDescent="0.35">
      <c r="A865" s="2" t="s">
        <v>865</v>
      </c>
      <c r="B865" s="2" t="s">
        <v>3736</v>
      </c>
      <c r="C865" t="s">
        <v>2397</v>
      </c>
      <c r="D865" t="s">
        <v>2636</v>
      </c>
      <c r="E865" t="s">
        <v>2467</v>
      </c>
    </row>
    <row r="866" spans="1:5" ht="15.5" x14ac:dyDescent="0.35">
      <c r="A866" s="2" t="s">
        <v>866</v>
      </c>
      <c r="B866" s="2" t="s">
        <v>3737</v>
      </c>
      <c r="C866" t="s">
        <v>2397</v>
      </c>
      <c r="D866" t="s">
        <v>2546</v>
      </c>
      <c r="E866" t="s">
        <v>2431</v>
      </c>
    </row>
    <row r="867" spans="1:5" ht="15.5" x14ac:dyDescent="0.35">
      <c r="A867" s="2" t="s">
        <v>867</v>
      </c>
      <c r="B867" s="2" t="s">
        <v>3738</v>
      </c>
      <c r="C867" t="s">
        <v>3231</v>
      </c>
      <c r="D867" t="s">
        <v>3409</v>
      </c>
    </row>
    <row r="868" spans="1:5" ht="15.5" x14ac:dyDescent="0.35">
      <c r="A868" s="2" t="s">
        <v>868</v>
      </c>
      <c r="B868" s="2" t="s">
        <v>3739</v>
      </c>
      <c r="C868" t="s">
        <v>2397</v>
      </c>
      <c r="D868" t="s">
        <v>3740</v>
      </c>
    </row>
    <row r="869" spans="1:5" ht="15.5" x14ac:dyDescent="0.35">
      <c r="A869" s="2" t="s">
        <v>869</v>
      </c>
      <c r="B869" s="2" t="s">
        <v>3741</v>
      </c>
      <c r="C869" t="s">
        <v>2397</v>
      </c>
      <c r="D869" t="s">
        <v>2619</v>
      </c>
    </row>
    <row r="870" spans="1:5" ht="15.5" x14ac:dyDescent="0.35">
      <c r="A870" s="2" t="s">
        <v>870</v>
      </c>
      <c r="B870" s="2" t="s">
        <v>3742</v>
      </c>
      <c r="C870" t="s">
        <v>2397</v>
      </c>
      <c r="D870" t="s">
        <v>2424</v>
      </c>
    </row>
    <row r="871" spans="1:5" ht="15.5" x14ac:dyDescent="0.35">
      <c r="A871" s="2" t="s">
        <v>871</v>
      </c>
      <c r="B871" s="2" t="s">
        <v>3743</v>
      </c>
      <c r="C871" t="s">
        <v>2397</v>
      </c>
      <c r="D871" t="s">
        <v>2398</v>
      </c>
      <c r="E871" t="s">
        <v>2700</v>
      </c>
    </row>
    <row r="872" spans="1:5" ht="15.5" x14ac:dyDescent="0.35">
      <c r="A872" s="2" t="s">
        <v>872</v>
      </c>
      <c r="B872" s="2" t="s">
        <v>3744</v>
      </c>
      <c r="C872" t="s">
        <v>3231</v>
      </c>
      <c r="D872" t="s">
        <v>3745</v>
      </c>
    </row>
    <row r="873" spans="1:5" ht="15.5" x14ac:dyDescent="0.35">
      <c r="A873" s="2" t="s">
        <v>873</v>
      </c>
      <c r="B873" s="2" t="s">
        <v>3746</v>
      </c>
      <c r="C873" t="s">
        <v>2394</v>
      </c>
      <c r="D873" t="s">
        <v>3747</v>
      </c>
      <c r="E873" t="s">
        <v>2671</v>
      </c>
    </row>
    <row r="874" spans="1:5" ht="15.5" x14ac:dyDescent="0.35">
      <c r="A874" s="2" t="s">
        <v>874</v>
      </c>
      <c r="B874" s="2" t="s">
        <v>3748</v>
      </c>
      <c r="C874" t="s">
        <v>3231</v>
      </c>
      <c r="D874" t="s">
        <v>2624</v>
      </c>
    </row>
    <row r="875" spans="1:5" ht="15.5" x14ac:dyDescent="0.35">
      <c r="A875" s="2" t="s">
        <v>875</v>
      </c>
      <c r="B875" s="2" t="s">
        <v>3749</v>
      </c>
      <c r="C875" t="s">
        <v>2394</v>
      </c>
      <c r="D875" t="s">
        <v>3750</v>
      </c>
      <c r="E875" t="s">
        <v>2436</v>
      </c>
    </row>
    <row r="876" spans="1:5" ht="15.5" x14ac:dyDescent="0.35">
      <c r="A876" s="2" t="s">
        <v>876</v>
      </c>
      <c r="B876" s="2" t="s">
        <v>3751</v>
      </c>
      <c r="C876" t="s">
        <v>2394</v>
      </c>
      <c r="D876" t="s">
        <v>3752</v>
      </c>
    </row>
    <row r="877" spans="1:5" ht="15.5" x14ac:dyDescent="0.35">
      <c r="A877" s="2" t="s">
        <v>877</v>
      </c>
      <c r="B877" s="2" t="s">
        <v>3753</v>
      </c>
      <c r="C877" t="s">
        <v>2394</v>
      </c>
      <c r="D877" t="s">
        <v>3754</v>
      </c>
    </row>
    <row r="878" spans="1:5" ht="15.5" x14ac:dyDescent="0.35">
      <c r="A878" s="2" t="s">
        <v>878</v>
      </c>
      <c r="B878" s="2" t="s">
        <v>3755</v>
      </c>
      <c r="C878" t="s">
        <v>3231</v>
      </c>
      <c r="D878" t="s">
        <v>3152</v>
      </c>
    </row>
    <row r="879" spans="1:5" ht="15.5" x14ac:dyDescent="0.35">
      <c r="A879" s="2" t="s">
        <v>879</v>
      </c>
      <c r="B879" s="2" t="s">
        <v>3756</v>
      </c>
      <c r="C879" t="s">
        <v>3231</v>
      </c>
      <c r="D879" t="s">
        <v>2627</v>
      </c>
      <c r="E879" t="s">
        <v>2501</v>
      </c>
    </row>
    <row r="880" spans="1:5" ht="15.5" x14ac:dyDescent="0.35">
      <c r="A880" s="2" t="s">
        <v>880</v>
      </c>
      <c r="B880" s="2" t="s">
        <v>3757</v>
      </c>
      <c r="C880" t="s">
        <v>3758</v>
      </c>
      <c r="D880" t="s">
        <v>2394</v>
      </c>
      <c r="E880" t="s">
        <v>3759</v>
      </c>
    </row>
    <row r="881" spans="1:6" ht="15.5" x14ac:dyDescent="0.35">
      <c r="A881" s="2" t="s">
        <v>881</v>
      </c>
      <c r="B881" s="2" t="s">
        <v>3760</v>
      </c>
      <c r="C881" t="s">
        <v>2394</v>
      </c>
      <c r="D881" t="s">
        <v>3761</v>
      </c>
      <c r="E881" t="s">
        <v>2436</v>
      </c>
    </row>
    <row r="882" spans="1:6" ht="15.5" x14ac:dyDescent="0.35">
      <c r="A882" s="2" t="s">
        <v>882</v>
      </c>
      <c r="B882" s="2" t="s">
        <v>3762</v>
      </c>
      <c r="C882" t="s">
        <v>2394</v>
      </c>
      <c r="D882" t="s">
        <v>3763</v>
      </c>
    </row>
    <row r="883" spans="1:6" ht="15.5" x14ac:dyDescent="0.35">
      <c r="A883" s="2" t="s">
        <v>883</v>
      </c>
      <c r="B883" s="2" t="s">
        <v>3764</v>
      </c>
      <c r="C883" t="s">
        <v>2394</v>
      </c>
      <c r="D883" t="s">
        <v>2917</v>
      </c>
    </row>
    <row r="884" spans="1:6" ht="15.5" x14ac:dyDescent="0.35">
      <c r="A884" s="2" t="s">
        <v>884</v>
      </c>
      <c r="B884" s="2" t="s">
        <v>3765</v>
      </c>
      <c r="C884" t="s">
        <v>2394</v>
      </c>
      <c r="D884" t="s">
        <v>3766</v>
      </c>
      <c r="E884" t="s">
        <v>2467</v>
      </c>
    </row>
    <row r="885" spans="1:6" ht="15.5" x14ac:dyDescent="0.35">
      <c r="A885" s="2" t="s">
        <v>885</v>
      </c>
      <c r="B885" s="2" t="s">
        <v>3767</v>
      </c>
      <c r="C885" t="s">
        <v>2394</v>
      </c>
      <c r="D885" t="s">
        <v>3768</v>
      </c>
    </row>
    <row r="886" spans="1:6" ht="15.5" x14ac:dyDescent="0.35">
      <c r="A886" s="2" t="s">
        <v>886</v>
      </c>
      <c r="B886" s="2" t="s">
        <v>3769</v>
      </c>
      <c r="C886" t="s">
        <v>2394</v>
      </c>
      <c r="D886" t="s">
        <v>3234</v>
      </c>
      <c r="E886" t="s">
        <v>2436</v>
      </c>
    </row>
    <row r="887" spans="1:6" ht="15.5" x14ac:dyDescent="0.35">
      <c r="A887" s="2" t="s">
        <v>887</v>
      </c>
      <c r="B887" s="2" t="s">
        <v>2600</v>
      </c>
      <c r="C887" t="s">
        <v>3770</v>
      </c>
      <c r="D887" t="s">
        <v>2394</v>
      </c>
      <c r="E887" t="s">
        <v>3771</v>
      </c>
    </row>
    <row r="888" spans="1:6" ht="15.5" x14ac:dyDescent="0.35">
      <c r="A888" s="2" t="s">
        <v>888</v>
      </c>
      <c r="B888" s="2" t="s">
        <v>3772</v>
      </c>
      <c r="C888" t="s">
        <v>2394</v>
      </c>
      <c r="D888" t="s">
        <v>2684</v>
      </c>
      <c r="E888" t="s">
        <v>2625</v>
      </c>
    </row>
    <row r="889" spans="1:6" ht="15.5" x14ac:dyDescent="0.35">
      <c r="A889" s="2" t="s">
        <v>889</v>
      </c>
      <c r="B889" s="2" t="s">
        <v>3773</v>
      </c>
      <c r="C889" t="s">
        <v>3231</v>
      </c>
      <c r="D889" t="s">
        <v>3010</v>
      </c>
      <c r="E889" t="s">
        <v>2431</v>
      </c>
    </row>
    <row r="890" spans="1:6" ht="15.5" x14ac:dyDescent="0.35">
      <c r="A890" s="2" t="s">
        <v>890</v>
      </c>
      <c r="B890" s="2" t="s">
        <v>3774</v>
      </c>
      <c r="C890" t="s">
        <v>2397</v>
      </c>
      <c r="D890" t="s">
        <v>2569</v>
      </c>
      <c r="E890" t="s">
        <v>2799</v>
      </c>
    </row>
    <row r="891" spans="1:6" ht="15.5" x14ac:dyDescent="0.35">
      <c r="A891" s="2" t="s">
        <v>891</v>
      </c>
      <c r="B891" s="2" t="s">
        <v>3775</v>
      </c>
      <c r="C891" t="s">
        <v>2397</v>
      </c>
      <c r="D891" t="s">
        <v>2764</v>
      </c>
    </row>
    <row r="892" spans="1:6" ht="15.5" x14ac:dyDescent="0.35">
      <c r="A892" s="2" t="s">
        <v>892</v>
      </c>
      <c r="B892" s="2" t="s">
        <v>3776</v>
      </c>
      <c r="C892" t="s">
        <v>2397</v>
      </c>
      <c r="D892" t="s">
        <v>2515</v>
      </c>
      <c r="E892" t="s">
        <v>2700</v>
      </c>
    </row>
    <row r="893" spans="1:6" ht="15.5" x14ac:dyDescent="0.35">
      <c r="A893" s="2" t="s">
        <v>893</v>
      </c>
      <c r="B893" s="2" t="s">
        <v>3777</v>
      </c>
      <c r="C893" t="s">
        <v>2397</v>
      </c>
      <c r="D893" t="s">
        <v>3778</v>
      </c>
      <c r="E893" t="s">
        <v>2467</v>
      </c>
      <c r="F893" t="s">
        <v>2441</v>
      </c>
    </row>
    <row r="894" spans="1:6" ht="15.5" x14ac:dyDescent="0.35">
      <c r="A894" s="2" t="s">
        <v>894</v>
      </c>
      <c r="B894" s="2" t="s">
        <v>3779</v>
      </c>
      <c r="C894" t="s">
        <v>3231</v>
      </c>
      <c r="D894" t="s">
        <v>3780</v>
      </c>
    </row>
    <row r="895" spans="1:6" ht="15.5" x14ac:dyDescent="0.35">
      <c r="A895" s="2" t="s">
        <v>895</v>
      </c>
      <c r="B895" s="2" t="s">
        <v>3781</v>
      </c>
      <c r="C895" t="s">
        <v>2397</v>
      </c>
      <c r="D895" t="s">
        <v>2443</v>
      </c>
    </row>
    <row r="896" spans="1:6" ht="15.5" x14ac:dyDescent="0.35">
      <c r="A896" s="2" t="s">
        <v>896</v>
      </c>
      <c r="B896" s="2" t="s">
        <v>3782</v>
      </c>
      <c r="C896" t="s">
        <v>2397</v>
      </c>
      <c r="D896" t="s">
        <v>3783</v>
      </c>
      <c r="E896" t="s">
        <v>2467</v>
      </c>
    </row>
    <row r="897" spans="1:5" ht="15.5" x14ac:dyDescent="0.35">
      <c r="A897" s="2" t="s">
        <v>897</v>
      </c>
      <c r="B897" s="2" t="s">
        <v>3784</v>
      </c>
      <c r="C897" t="s">
        <v>2394</v>
      </c>
      <c r="D897" t="s">
        <v>3785</v>
      </c>
      <c r="E897" t="s">
        <v>2455</v>
      </c>
    </row>
    <row r="898" spans="1:5" ht="15.5" x14ac:dyDescent="0.35">
      <c r="A898" s="2" t="s">
        <v>898</v>
      </c>
      <c r="B898" s="2" t="s">
        <v>3284</v>
      </c>
      <c r="C898" t="s">
        <v>2394</v>
      </c>
      <c r="D898" t="s">
        <v>3786</v>
      </c>
    </row>
    <row r="899" spans="1:5" ht="15.5" x14ac:dyDescent="0.35">
      <c r="A899" s="2" t="s">
        <v>899</v>
      </c>
      <c r="B899" s="2" t="s">
        <v>3787</v>
      </c>
      <c r="C899" t="s">
        <v>2394</v>
      </c>
      <c r="D899" t="s">
        <v>3788</v>
      </c>
    </row>
    <row r="900" spans="1:5" ht="15.5" x14ac:dyDescent="0.35">
      <c r="A900" s="2" t="s">
        <v>900</v>
      </c>
      <c r="B900" s="2" t="s">
        <v>2794</v>
      </c>
      <c r="C900" t="s">
        <v>2397</v>
      </c>
      <c r="D900" t="s">
        <v>2489</v>
      </c>
    </row>
    <row r="901" spans="1:5" ht="15.5" x14ac:dyDescent="0.35">
      <c r="A901" s="2" t="s">
        <v>901</v>
      </c>
      <c r="B901" s="2" t="s">
        <v>2822</v>
      </c>
      <c r="C901" t="s">
        <v>3231</v>
      </c>
      <c r="D901" t="s">
        <v>3073</v>
      </c>
    </row>
    <row r="902" spans="1:5" ht="15.5" x14ac:dyDescent="0.35">
      <c r="A902" s="2" t="s">
        <v>902</v>
      </c>
      <c r="B902" s="2" t="s">
        <v>3789</v>
      </c>
      <c r="C902" t="s">
        <v>2394</v>
      </c>
      <c r="D902" t="s">
        <v>2604</v>
      </c>
      <c r="E902" t="s">
        <v>2799</v>
      </c>
    </row>
    <row r="903" spans="1:5" ht="15.5" x14ac:dyDescent="0.35">
      <c r="A903" s="2" t="s">
        <v>903</v>
      </c>
      <c r="B903" s="2" t="s">
        <v>3790</v>
      </c>
      <c r="C903" t="s">
        <v>2397</v>
      </c>
      <c r="D903" t="s">
        <v>2414</v>
      </c>
      <c r="E903" t="s">
        <v>2467</v>
      </c>
    </row>
    <row r="904" spans="1:5" ht="15.5" x14ac:dyDescent="0.35">
      <c r="A904" s="2" t="s">
        <v>904</v>
      </c>
      <c r="B904" s="2" t="s">
        <v>3791</v>
      </c>
      <c r="C904" t="s">
        <v>2394</v>
      </c>
      <c r="D904" t="s">
        <v>3792</v>
      </c>
    </row>
    <row r="905" spans="1:5" ht="15.5" x14ac:dyDescent="0.35">
      <c r="A905" s="2" t="s">
        <v>905</v>
      </c>
      <c r="B905" s="2" t="s">
        <v>3793</v>
      </c>
      <c r="C905" t="s">
        <v>2394</v>
      </c>
      <c r="D905" t="s">
        <v>3132</v>
      </c>
      <c r="E905" t="s">
        <v>2408</v>
      </c>
    </row>
    <row r="906" spans="1:5" ht="15.5" x14ac:dyDescent="0.35">
      <c r="A906" s="2" t="s">
        <v>906</v>
      </c>
      <c r="B906" s="2" t="s">
        <v>3794</v>
      </c>
      <c r="C906" t="s">
        <v>2397</v>
      </c>
      <c r="D906" t="s">
        <v>3280</v>
      </c>
      <c r="E906" t="s">
        <v>2498</v>
      </c>
    </row>
    <row r="907" spans="1:5" ht="15.5" x14ac:dyDescent="0.35">
      <c r="A907" s="2" t="s">
        <v>907</v>
      </c>
      <c r="B907" s="2" t="s">
        <v>3795</v>
      </c>
      <c r="C907" t="s">
        <v>2394</v>
      </c>
      <c r="D907" t="s">
        <v>3704</v>
      </c>
    </row>
    <row r="908" spans="1:5" ht="15.5" x14ac:dyDescent="0.35">
      <c r="A908" s="2" t="s">
        <v>908</v>
      </c>
      <c r="B908" s="2" t="s">
        <v>3796</v>
      </c>
      <c r="C908" t="s">
        <v>3231</v>
      </c>
      <c r="D908" t="s">
        <v>3797</v>
      </c>
      <c r="E908" t="s">
        <v>2477</v>
      </c>
    </row>
    <row r="909" spans="1:5" ht="15.5" x14ac:dyDescent="0.35">
      <c r="A909" s="2" t="s">
        <v>909</v>
      </c>
      <c r="B909" s="2" t="s">
        <v>3798</v>
      </c>
      <c r="C909" t="s">
        <v>2397</v>
      </c>
      <c r="D909" t="s">
        <v>3393</v>
      </c>
      <c r="E909" t="s">
        <v>2477</v>
      </c>
    </row>
    <row r="910" spans="1:5" ht="15.5" x14ac:dyDescent="0.35">
      <c r="A910" s="2" t="s">
        <v>910</v>
      </c>
      <c r="B910" s="2" t="s">
        <v>3799</v>
      </c>
      <c r="C910" t="s">
        <v>2397</v>
      </c>
      <c r="D910" t="s">
        <v>2888</v>
      </c>
      <c r="E910" t="s">
        <v>2431</v>
      </c>
    </row>
    <row r="911" spans="1:5" ht="15.5" x14ac:dyDescent="0.35">
      <c r="A911" s="2" t="s">
        <v>911</v>
      </c>
      <c r="B911" s="2" t="s">
        <v>3800</v>
      </c>
      <c r="C911" t="s">
        <v>2397</v>
      </c>
      <c r="D911" t="s">
        <v>3801</v>
      </c>
    </row>
    <row r="912" spans="1:5" ht="15.5" x14ac:dyDescent="0.35">
      <c r="A912" s="2" t="s">
        <v>912</v>
      </c>
      <c r="B912" s="2" t="s">
        <v>3802</v>
      </c>
      <c r="C912" t="s">
        <v>2397</v>
      </c>
      <c r="D912" t="s">
        <v>3803</v>
      </c>
    </row>
    <row r="913" spans="1:5" ht="15.5" x14ac:dyDescent="0.35">
      <c r="A913" s="2" t="s">
        <v>913</v>
      </c>
      <c r="B913" s="2" t="s">
        <v>3804</v>
      </c>
      <c r="C913" t="s">
        <v>2397</v>
      </c>
      <c r="D913" t="s">
        <v>2790</v>
      </c>
    </row>
    <row r="914" spans="1:5" ht="15.5" x14ac:dyDescent="0.35">
      <c r="A914" s="2" t="s">
        <v>914</v>
      </c>
      <c r="B914" s="2" t="s">
        <v>3805</v>
      </c>
      <c r="C914" t="s">
        <v>2397</v>
      </c>
      <c r="D914" t="s">
        <v>2577</v>
      </c>
    </row>
    <row r="915" spans="1:5" ht="15.5" x14ac:dyDescent="0.35">
      <c r="A915" s="2" t="s">
        <v>915</v>
      </c>
      <c r="B915" s="2" t="s">
        <v>2667</v>
      </c>
      <c r="C915" t="s">
        <v>2397</v>
      </c>
      <c r="D915" t="s">
        <v>3806</v>
      </c>
      <c r="E915" t="s">
        <v>2607</v>
      </c>
    </row>
    <row r="916" spans="1:5" ht="15.5" x14ac:dyDescent="0.35">
      <c r="A916" s="2" t="s">
        <v>916</v>
      </c>
      <c r="B916" s="2" t="s">
        <v>3807</v>
      </c>
      <c r="C916" t="s">
        <v>2397</v>
      </c>
      <c r="D916" t="s">
        <v>2821</v>
      </c>
      <c r="E916" t="s">
        <v>2472</v>
      </c>
    </row>
    <row r="917" spans="1:5" ht="15.5" x14ac:dyDescent="0.35">
      <c r="A917" s="2" t="s">
        <v>917</v>
      </c>
      <c r="B917" s="2" t="s">
        <v>2822</v>
      </c>
      <c r="C917" t="s">
        <v>2397</v>
      </c>
      <c r="D917" t="s">
        <v>3225</v>
      </c>
    </row>
    <row r="918" spans="1:5" ht="15.5" x14ac:dyDescent="0.35">
      <c r="A918" s="2" t="s">
        <v>918</v>
      </c>
      <c r="B918" s="2" t="s">
        <v>3808</v>
      </c>
      <c r="C918" t="s">
        <v>2394</v>
      </c>
      <c r="D918" t="s">
        <v>2484</v>
      </c>
      <c r="E918" t="s">
        <v>2799</v>
      </c>
    </row>
    <row r="919" spans="1:5" ht="15.5" x14ac:dyDescent="0.35">
      <c r="A919" s="2" t="s">
        <v>919</v>
      </c>
      <c r="B919" s="2" t="s">
        <v>3809</v>
      </c>
      <c r="C919" t="s">
        <v>2394</v>
      </c>
      <c r="D919" t="s">
        <v>3138</v>
      </c>
    </row>
    <row r="920" spans="1:5" ht="15.5" x14ac:dyDescent="0.35">
      <c r="A920" s="2" t="s">
        <v>920</v>
      </c>
      <c r="B920" s="2" t="s">
        <v>3810</v>
      </c>
      <c r="C920" t="s">
        <v>2394</v>
      </c>
      <c r="D920" t="s">
        <v>2504</v>
      </c>
      <c r="E920" t="s">
        <v>2501</v>
      </c>
    </row>
    <row r="921" spans="1:5" ht="15.5" x14ac:dyDescent="0.35">
      <c r="A921" s="2" t="s">
        <v>921</v>
      </c>
      <c r="B921" s="2" t="s">
        <v>3811</v>
      </c>
      <c r="C921" t="s">
        <v>2394</v>
      </c>
      <c r="D921" t="s">
        <v>3812</v>
      </c>
      <c r="E921" t="s">
        <v>2467</v>
      </c>
    </row>
    <row r="922" spans="1:5" ht="15.5" x14ac:dyDescent="0.35">
      <c r="A922" s="2" t="s">
        <v>922</v>
      </c>
      <c r="B922" s="2" t="s">
        <v>3813</v>
      </c>
      <c r="C922" t="s">
        <v>2394</v>
      </c>
      <c r="D922" t="s">
        <v>3287</v>
      </c>
      <c r="E922" t="s">
        <v>2561</v>
      </c>
    </row>
    <row r="923" spans="1:5" ht="15.5" x14ac:dyDescent="0.35">
      <c r="A923" s="2" t="s">
        <v>923</v>
      </c>
      <c r="B923" s="2" t="s">
        <v>3814</v>
      </c>
      <c r="C923" t="s">
        <v>2394</v>
      </c>
      <c r="D923" t="s">
        <v>3815</v>
      </c>
    </row>
    <row r="924" spans="1:5" ht="15.5" x14ac:dyDescent="0.35">
      <c r="A924" s="2" t="s">
        <v>924</v>
      </c>
      <c r="B924" s="2" t="s">
        <v>3816</v>
      </c>
      <c r="C924" t="s">
        <v>2394</v>
      </c>
      <c r="D924" t="s">
        <v>3797</v>
      </c>
      <c r="E924" t="s">
        <v>2436</v>
      </c>
    </row>
    <row r="925" spans="1:5" ht="15.5" x14ac:dyDescent="0.35">
      <c r="A925" s="2" t="s">
        <v>925</v>
      </c>
      <c r="B925" s="2" t="s">
        <v>3817</v>
      </c>
      <c r="C925" t="s">
        <v>2394</v>
      </c>
      <c r="D925" t="s">
        <v>3818</v>
      </c>
    </row>
    <row r="926" spans="1:5" ht="15.5" x14ac:dyDescent="0.35">
      <c r="A926" s="2" t="s">
        <v>926</v>
      </c>
      <c r="B926" s="2" t="s">
        <v>3819</v>
      </c>
      <c r="C926" t="s">
        <v>2394</v>
      </c>
      <c r="D926" t="s">
        <v>3820</v>
      </c>
    </row>
    <row r="927" spans="1:5" ht="15.5" x14ac:dyDescent="0.35">
      <c r="A927" s="2" t="s">
        <v>927</v>
      </c>
      <c r="B927" s="2" t="s">
        <v>3821</v>
      </c>
      <c r="C927" t="s">
        <v>2394</v>
      </c>
      <c r="D927" t="s">
        <v>3822</v>
      </c>
    </row>
    <row r="928" spans="1:5" ht="15.5" x14ac:dyDescent="0.35">
      <c r="A928" s="2" t="s">
        <v>928</v>
      </c>
      <c r="B928" s="2" t="s">
        <v>3823</v>
      </c>
      <c r="C928" t="s">
        <v>2394</v>
      </c>
      <c r="D928" t="s">
        <v>2585</v>
      </c>
      <c r="E928" t="s">
        <v>2408</v>
      </c>
    </row>
    <row r="929" spans="1:5" ht="15.5" x14ac:dyDescent="0.35">
      <c r="A929" s="2" t="s">
        <v>929</v>
      </c>
      <c r="B929" s="2" t="s">
        <v>3824</v>
      </c>
      <c r="C929" t="s">
        <v>2394</v>
      </c>
      <c r="D929" t="s">
        <v>3361</v>
      </c>
      <c r="E929" t="s">
        <v>2436</v>
      </c>
    </row>
    <row r="930" spans="1:5" ht="15.5" x14ac:dyDescent="0.35">
      <c r="A930" s="2" t="s">
        <v>930</v>
      </c>
      <c r="B930" s="2" t="s">
        <v>3825</v>
      </c>
      <c r="C930" t="s">
        <v>3231</v>
      </c>
      <c r="D930" t="s">
        <v>3240</v>
      </c>
      <c r="E930" t="s">
        <v>2482</v>
      </c>
    </row>
    <row r="931" spans="1:5" ht="15.5" x14ac:dyDescent="0.35">
      <c r="A931" s="2" t="s">
        <v>931</v>
      </c>
      <c r="B931" s="2" t="s">
        <v>3826</v>
      </c>
      <c r="C931" t="s">
        <v>2397</v>
      </c>
      <c r="D931" t="s">
        <v>3827</v>
      </c>
      <c r="E931" t="s">
        <v>3564</v>
      </c>
    </row>
    <row r="932" spans="1:5" ht="15.5" x14ac:dyDescent="0.35">
      <c r="A932" s="2" t="s">
        <v>932</v>
      </c>
      <c r="B932" s="2" t="s">
        <v>3828</v>
      </c>
      <c r="C932" t="s">
        <v>3231</v>
      </c>
      <c r="D932" t="s">
        <v>3519</v>
      </c>
    </row>
    <row r="933" spans="1:5" ht="15.5" x14ac:dyDescent="0.35">
      <c r="A933" s="2" t="s">
        <v>933</v>
      </c>
      <c r="B933" s="2" t="s">
        <v>3829</v>
      </c>
      <c r="C933" t="s">
        <v>2397</v>
      </c>
      <c r="D933" t="s">
        <v>2751</v>
      </c>
    </row>
    <row r="934" spans="1:5" ht="15.5" x14ac:dyDescent="0.35">
      <c r="A934" s="2" t="s">
        <v>934</v>
      </c>
      <c r="B934" s="2" t="s">
        <v>3830</v>
      </c>
      <c r="C934" t="s">
        <v>2397</v>
      </c>
      <c r="D934" t="s">
        <v>3831</v>
      </c>
    </row>
    <row r="935" spans="1:5" ht="15.5" x14ac:dyDescent="0.35">
      <c r="A935" s="2" t="s">
        <v>935</v>
      </c>
      <c r="B935" s="2" t="s">
        <v>2413</v>
      </c>
      <c r="C935" t="s">
        <v>2394</v>
      </c>
      <c r="D935" t="s">
        <v>2855</v>
      </c>
      <c r="E935" t="s">
        <v>2436</v>
      </c>
    </row>
    <row r="936" spans="1:5" ht="15.5" x14ac:dyDescent="0.35">
      <c r="A936" s="2" t="s">
        <v>936</v>
      </c>
      <c r="B936" s="2" t="s">
        <v>3832</v>
      </c>
      <c r="C936" t="s">
        <v>2397</v>
      </c>
      <c r="D936" t="s">
        <v>2489</v>
      </c>
      <c r="E936" t="s">
        <v>2671</v>
      </c>
    </row>
    <row r="937" spans="1:5" ht="15.5" x14ac:dyDescent="0.35">
      <c r="A937" s="2" t="s">
        <v>937</v>
      </c>
      <c r="B937" s="2" t="s">
        <v>3833</v>
      </c>
      <c r="C937" t="s">
        <v>2397</v>
      </c>
      <c r="D937" t="s">
        <v>2531</v>
      </c>
    </row>
    <row r="938" spans="1:5" ht="15.5" x14ac:dyDescent="0.35">
      <c r="A938" s="2" t="s">
        <v>938</v>
      </c>
      <c r="B938" s="2" t="s">
        <v>3808</v>
      </c>
      <c r="C938" t="s">
        <v>3231</v>
      </c>
      <c r="D938" t="s">
        <v>3834</v>
      </c>
    </row>
    <row r="939" spans="1:5" ht="15.5" x14ac:dyDescent="0.35">
      <c r="A939" s="2" t="s">
        <v>939</v>
      </c>
      <c r="B939" s="2" t="s">
        <v>3835</v>
      </c>
      <c r="C939" t="s">
        <v>2394</v>
      </c>
      <c r="D939" t="s">
        <v>3836</v>
      </c>
      <c r="E939" t="s">
        <v>2436</v>
      </c>
    </row>
    <row r="940" spans="1:5" ht="15.5" x14ac:dyDescent="0.35">
      <c r="A940" s="2" t="s">
        <v>940</v>
      </c>
      <c r="B940" s="2" t="s">
        <v>3837</v>
      </c>
      <c r="C940" t="s">
        <v>2397</v>
      </c>
      <c r="D940" t="s">
        <v>3048</v>
      </c>
      <c r="E940" t="s">
        <v>2408</v>
      </c>
    </row>
    <row r="941" spans="1:5" ht="15.5" x14ac:dyDescent="0.35">
      <c r="A941" s="2" t="s">
        <v>941</v>
      </c>
      <c r="B941" s="2" t="s">
        <v>3838</v>
      </c>
      <c r="C941" t="s">
        <v>2397</v>
      </c>
      <c r="D941" t="s">
        <v>2859</v>
      </c>
    </row>
    <row r="942" spans="1:5" ht="15.5" x14ac:dyDescent="0.35">
      <c r="A942" s="2" t="s">
        <v>942</v>
      </c>
      <c r="B942" s="2" t="s">
        <v>3839</v>
      </c>
      <c r="C942" t="s">
        <v>2394</v>
      </c>
      <c r="D942" t="s">
        <v>3840</v>
      </c>
    </row>
    <row r="943" spans="1:5" ht="15.5" x14ac:dyDescent="0.35">
      <c r="A943" s="2" t="s">
        <v>943</v>
      </c>
      <c r="B943" s="2" t="s">
        <v>3841</v>
      </c>
      <c r="C943" t="s">
        <v>2394</v>
      </c>
      <c r="D943" t="s">
        <v>3842</v>
      </c>
      <c r="E943" t="s">
        <v>2431</v>
      </c>
    </row>
    <row r="944" spans="1:5" ht="15.5" x14ac:dyDescent="0.35">
      <c r="A944" s="2" t="s">
        <v>944</v>
      </c>
      <c r="B944" s="2" t="s">
        <v>3843</v>
      </c>
      <c r="C944" t="s">
        <v>2394</v>
      </c>
      <c r="D944" t="s">
        <v>3844</v>
      </c>
    </row>
    <row r="945" spans="1:5" ht="15.5" x14ac:dyDescent="0.35">
      <c r="A945" s="2" t="s">
        <v>945</v>
      </c>
      <c r="B945" s="2" t="s">
        <v>3086</v>
      </c>
      <c r="C945" t="s">
        <v>2397</v>
      </c>
      <c r="D945" t="s">
        <v>2596</v>
      </c>
      <c r="E945" t="s">
        <v>2723</v>
      </c>
    </row>
    <row r="946" spans="1:5" ht="15.5" x14ac:dyDescent="0.35">
      <c r="A946" s="2" t="s">
        <v>946</v>
      </c>
      <c r="B946" s="2" t="s">
        <v>3845</v>
      </c>
      <c r="C946" t="s">
        <v>2394</v>
      </c>
      <c r="D946" t="s">
        <v>2585</v>
      </c>
    </row>
    <row r="947" spans="1:5" ht="15.5" x14ac:dyDescent="0.35">
      <c r="A947" s="2" t="s">
        <v>947</v>
      </c>
      <c r="B947" s="2" t="s">
        <v>3846</v>
      </c>
      <c r="C947" t="s">
        <v>2397</v>
      </c>
      <c r="D947" t="s">
        <v>2443</v>
      </c>
    </row>
    <row r="948" spans="1:5" ht="15.5" x14ac:dyDescent="0.35">
      <c r="A948" s="2" t="s">
        <v>948</v>
      </c>
      <c r="B948" s="2" t="s">
        <v>3395</v>
      </c>
      <c r="C948" t="s">
        <v>2397</v>
      </c>
      <c r="D948" t="s">
        <v>3847</v>
      </c>
      <c r="E948" t="s">
        <v>3328</v>
      </c>
    </row>
    <row r="949" spans="1:5" ht="15.5" x14ac:dyDescent="0.35">
      <c r="A949" s="2" t="s">
        <v>949</v>
      </c>
      <c r="B949" s="2" t="s">
        <v>3848</v>
      </c>
      <c r="C949" t="s">
        <v>2397</v>
      </c>
      <c r="D949" t="s">
        <v>2452</v>
      </c>
    </row>
    <row r="950" spans="1:5" ht="15.5" x14ac:dyDescent="0.35">
      <c r="A950" s="2" t="s">
        <v>950</v>
      </c>
      <c r="B950" s="2" t="s">
        <v>3849</v>
      </c>
      <c r="C950" t="s">
        <v>2397</v>
      </c>
      <c r="D950" t="s">
        <v>2830</v>
      </c>
    </row>
    <row r="951" spans="1:5" ht="15.5" x14ac:dyDescent="0.35">
      <c r="A951" s="2" t="s">
        <v>951</v>
      </c>
      <c r="B951" s="2" t="s">
        <v>3850</v>
      </c>
      <c r="C951" t="s">
        <v>2397</v>
      </c>
      <c r="D951" t="s">
        <v>2398</v>
      </c>
      <c r="E951" t="s">
        <v>2723</v>
      </c>
    </row>
    <row r="952" spans="1:5" ht="15.5" x14ac:dyDescent="0.35">
      <c r="A952" s="2" t="s">
        <v>952</v>
      </c>
      <c r="B952" s="2" t="s">
        <v>3851</v>
      </c>
      <c r="C952" t="s">
        <v>2394</v>
      </c>
      <c r="D952" t="s">
        <v>3852</v>
      </c>
    </row>
    <row r="953" spans="1:5" ht="15.5" x14ac:dyDescent="0.35">
      <c r="A953" s="2" t="s">
        <v>953</v>
      </c>
      <c r="B953" s="2" t="s">
        <v>3005</v>
      </c>
      <c r="C953" t="s">
        <v>2394</v>
      </c>
      <c r="D953" t="s">
        <v>3608</v>
      </c>
      <c r="E953" t="s">
        <v>2448</v>
      </c>
    </row>
    <row r="954" spans="1:5" ht="15.5" x14ac:dyDescent="0.35">
      <c r="A954" s="2" t="s">
        <v>954</v>
      </c>
      <c r="B954" s="2" t="s">
        <v>3853</v>
      </c>
      <c r="C954" t="s">
        <v>2394</v>
      </c>
      <c r="D954" t="s">
        <v>2878</v>
      </c>
      <c r="E954" t="s">
        <v>2436</v>
      </c>
    </row>
    <row r="955" spans="1:5" ht="15.5" x14ac:dyDescent="0.35">
      <c r="A955" s="2" t="s">
        <v>955</v>
      </c>
      <c r="B955" s="2" t="s">
        <v>3854</v>
      </c>
      <c r="C955" t="s">
        <v>2397</v>
      </c>
      <c r="D955" t="s">
        <v>3855</v>
      </c>
      <c r="E955" t="s">
        <v>2441</v>
      </c>
    </row>
    <row r="956" spans="1:5" ht="15.5" x14ac:dyDescent="0.35">
      <c r="A956" s="2" t="s">
        <v>956</v>
      </c>
      <c r="B956" s="2" t="s">
        <v>3856</v>
      </c>
      <c r="C956" t="s">
        <v>2397</v>
      </c>
      <c r="D956" t="s">
        <v>2398</v>
      </c>
      <c r="E956" t="s">
        <v>2415</v>
      </c>
    </row>
    <row r="957" spans="1:5" ht="15.5" x14ac:dyDescent="0.35">
      <c r="A957" s="2" t="s">
        <v>957</v>
      </c>
      <c r="B957" s="2" t="s">
        <v>3857</v>
      </c>
      <c r="C957" t="s">
        <v>3231</v>
      </c>
      <c r="D957" t="s">
        <v>3858</v>
      </c>
      <c r="E957" t="s">
        <v>2519</v>
      </c>
    </row>
    <row r="958" spans="1:5" ht="15.5" x14ac:dyDescent="0.35">
      <c r="A958" s="2" t="s">
        <v>958</v>
      </c>
      <c r="B958" s="2" t="s">
        <v>3777</v>
      </c>
      <c r="C958" t="s">
        <v>2397</v>
      </c>
      <c r="D958" t="s">
        <v>2452</v>
      </c>
    </row>
    <row r="959" spans="1:5" ht="15.5" x14ac:dyDescent="0.35">
      <c r="A959" s="2" t="s">
        <v>959</v>
      </c>
      <c r="B959" s="2" t="s">
        <v>3859</v>
      </c>
      <c r="C959" t="s">
        <v>2394</v>
      </c>
      <c r="D959" t="s">
        <v>3240</v>
      </c>
      <c r="E959" t="s">
        <v>2516</v>
      </c>
    </row>
    <row r="960" spans="1:5" ht="15.5" x14ac:dyDescent="0.35">
      <c r="A960" s="2" t="s">
        <v>960</v>
      </c>
      <c r="B960" s="2" t="s">
        <v>3860</v>
      </c>
      <c r="C960" t="s">
        <v>3231</v>
      </c>
      <c r="D960" t="s">
        <v>3861</v>
      </c>
      <c r="E960" t="s">
        <v>2415</v>
      </c>
    </row>
    <row r="961" spans="1:5" ht="15.5" x14ac:dyDescent="0.35">
      <c r="A961" s="2" t="s">
        <v>961</v>
      </c>
      <c r="B961" s="2" t="s">
        <v>3862</v>
      </c>
      <c r="C961" t="s">
        <v>2394</v>
      </c>
      <c r="D961" t="s">
        <v>2840</v>
      </c>
      <c r="E961" t="s">
        <v>2482</v>
      </c>
    </row>
    <row r="962" spans="1:5" ht="15.5" x14ac:dyDescent="0.35">
      <c r="A962" s="2" t="s">
        <v>962</v>
      </c>
      <c r="B962" s="2" t="s">
        <v>3863</v>
      </c>
      <c r="C962" t="s">
        <v>3231</v>
      </c>
      <c r="D962" t="s">
        <v>2774</v>
      </c>
      <c r="E962" t="s">
        <v>2799</v>
      </c>
    </row>
    <row r="963" spans="1:5" ht="15.5" x14ac:dyDescent="0.35">
      <c r="A963" s="2" t="s">
        <v>963</v>
      </c>
      <c r="B963" s="2" t="s">
        <v>2938</v>
      </c>
      <c r="C963" t="s">
        <v>2397</v>
      </c>
      <c r="D963" t="s">
        <v>2581</v>
      </c>
      <c r="E963" t="s">
        <v>2625</v>
      </c>
    </row>
    <row r="964" spans="1:5" ht="15.5" x14ac:dyDescent="0.35">
      <c r="A964" s="2" t="s">
        <v>964</v>
      </c>
      <c r="B964" s="2" t="s">
        <v>3864</v>
      </c>
      <c r="C964" t="s">
        <v>2394</v>
      </c>
      <c r="D964" t="s">
        <v>3865</v>
      </c>
      <c r="E964" t="s">
        <v>2436</v>
      </c>
    </row>
    <row r="965" spans="1:5" ht="15.5" x14ac:dyDescent="0.35">
      <c r="A965" s="2" t="s">
        <v>965</v>
      </c>
      <c r="B965" s="2" t="s">
        <v>3866</v>
      </c>
      <c r="C965" t="s">
        <v>3231</v>
      </c>
      <c r="D965" t="s">
        <v>3287</v>
      </c>
      <c r="E965" t="s">
        <v>2399</v>
      </c>
    </row>
    <row r="966" spans="1:5" ht="15.5" x14ac:dyDescent="0.35">
      <c r="A966" s="2" t="s">
        <v>966</v>
      </c>
      <c r="B966" s="2" t="s">
        <v>3867</v>
      </c>
      <c r="C966" t="s">
        <v>2394</v>
      </c>
      <c r="D966" t="s">
        <v>2542</v>
      </c>
      <c r="E966" t="s">
        <v>2799</v>
      </c>
    </row>
    <row r="967" spans="1:5" ht="15.5" x14ac:dyDescent="0.35">
      <c r="A967" s="2" t="s">
        <v>967</v>
      </c>
      <c r="B967" s="2" t="s">
        <v>3868</v>
      </c>
      <c r="C967" t="s">
        <v>2394</v>
      </c>
      <c r="D967" t="s">
        <v>3550</v>
      </c>
      <c r="E967" t="s">
        <v>2467</v>
      </c>
    </row>
    <row r="968" spans="1:5" ht="15.5" x14ac:dyDescent="0.35">
      <c r="A968" s="2" t="s">
        <v>968</v>
      </c>
      <c r="B968" s="2" t="s">
        <v>3869</v>
      </c>
      <c r="C968" t="s">
        <v>2394</v>
      </c>
      <c r="D968" t="s">
        <v>3870</v>
      </c>
      <c r="E968" t="s">
        <v>2482</v>
      </c>
    </row>
    <row r="969" spans="1:5" ht="15.5" x14ac:dyDescent="0.35">
      <c r="A969" s="2" t="s">
        <v>969</v>
      </c>
      <c r="B969" s="2" t="s">
        <v>3871</v>
      </c>
      <c r="C969" t="s">
        <v>2397</v>
      </c>
      <c r="D969" t="s">
        <v>2536</v>
      </c>
    </row>
    <row r="970" spans="1:5" ht="15.5" x14ac:dyDescent="0.35">
      <c r="A970" s="2" t="s">
        <v>970</v>
      </c>
      <c r="B970" s="2" t="s">
        <v>3872</v>
      </c>
      <c r="C970" t="s">
        <v>2394</v>
      </c>
      <c r="D970" t="s">
        <v>2604</v>
      </c>
      <c r="E970" t="s">
        <v>2501</v>
      </c>
    </row>
    <row r="971" spans="1:5" ht="15.5" x14ac:dyDescent="0.35">
      <c r="A971" s="2" t="s">
        <v>971</v>
      </c>
      <c r="B971" s="2" t="s">
        <v>3873</v>
      </c>
      <c r="C971" t="s">
        <v>2397</v>
      </c>
      <c r="D971" t="s">
        <v>3874</v>
      </c>
      <c r="E971" t="s">
        <v>2766</v>
      </c>
    </row>
    <row r="972" spans="1:5" ht="15.5" x14ac:dyDescent="0.35">
      <c r="A972" s="2" t="s">
        <v>972</v>
      </c>
      <c r="B972" s="2" t="s">
        <v>3875</v>
      </c>
      <c r="C972" t="s">
        <v>2394</v>
      </c>
      <c r="D972" t="s">
        <v>2504</v>
      </c>
    </row>
    <row r="973" spans="1:5" ht="15.5" x14ac:dyDescent="0.35">
      <c r="A973" s="2" t="s">
        <v>973</v>
      </c>
      <c r="B973" s="2" t="s">
        <v>3876</v>
      </c>
      <c r="C973" t="s">
        <v>2394</v>
      </c>
      <c r="D973" t="s">
        <v>2565</v>
      </c>
      <c r="E973" t="s">
        <v>2607</v>
      </c>
    </row>
    <row r="974" spans="1:5" ht="15.5" x14ac:dyDescent="0.35">
      <c r="A974" s="2" t="s">
        <v>974</v>
      </c>
      <c r="B974" s="2" t="s">
        <v>3877</v>
      </c>
      <c r="C974" t="s">
        <v>2397</v>
      </c>
      <c r="D974" t="s">
        <v>2398</v>
      </c>
    </row>
    <row r="975" spans="1:5" ht="15.5" x14ac:dyDescent="0.35">
      <c r="A975" s="2" t="s">
        <v>975</v>
      </c>
      <c r="B975" s="2" t="s">
        <v>3612</v>
      </c>
      <c r="C975" t="s">
        <v>3231</v>
      </c>
      <c r="D975" t="s">
        <v>3878</v>
      </c>
    </row>
    <row r="976" spans="1:5" ht="15.5" x14ac:dyDescent="0.35">
      <c r="A976" s="2" t="s">
        <v>976</v>
      </c>
      <c r="B976" s="2" t="s">
        <v>3879</v>
      </c>
      <c r="C976" t="s">
        <v>2397</v>
      </c>
      <c r="D976" t="s">
        <v>3521</v>
      </c>
    </row>
    <row r="977" spans="1:5" ht="15.5" x14ac:dyDescent="0.35">
      <c r="A977" s="2" t="s">
        <v>977</v>
      </c>
      <c r="B977" s="2" t="s">
        <v>3880</v>
      </c>
      <c r="C977" t="s">
        <v>3231</v>
      </c>
      <c r="D977" t="s">
        <v>3881</v>
      </c>
    </row>
    <row r="978" spans="1:5" ht="15.5" x14ac:dyDescent="0.35">
      <c r="A978" s="2" t="s">
        <v>978</v>
      </c>
      <c r="B978" s="2" t="s">
        <v>3223</v>
      </c>
      <c r="C978" t="s">
        <v>3231</v>
      </c>
      <c r="D978" t="s">
        <v>2782</v>
      </c>
      <c r="E978" t="s">
        <v>2448</v>
      </c>
    </row>
    <row r="979" spans="1:5" ht="15.5" x14ac:dyDescent="0.35">
      <c r="A979" s="2" t="s">
        <v>979</v>
      </c>
      <c r="B979" s="2" t="s">
        <v>3882</v>
      </c>
      <c r="C979" t="s">
        <v>2397</v>
      </c>
      <c r="D979" t="s">
        <v>2950</v>
      </c>
    </row>
    <row r="980" spans="1:5" ht="15.5" x14ac:dyDescent="0.35">
      <c r="A980" s="2" t="s">
        <v>980</v>
      </c>
      <c r="B980" s="2" t="s">
        <v>3883</v>
      </c>
      <c r="C980" t="s">
        <v>2397</v>
      </c>
      <c r="D980" t="s">
        <v>2503</v>
      </c>
      <c r="E980" t="s">
        <v>2625</v>
      </c>
    </row>
    <row r="981" spans="1:5" ht="15.5" x14ac:dyDescent="0.35">
      <c r="A981" s="2" t="s">
        <v>981</v>
      </c>
      <c r="B981" s="2" t="s">
        <v>3884</v>
      </c>
      <c r="C981" t="s">
        <v>2397</v>
      </c>
      <c r="D981" t="s">
        <v>2834</v>
      </c>
    </row>
    <row r="982" spans="1:5" ht="15.5" x14ac:dyDescent="0.35">
      <c r="A982" s="2" t="s">
        <v>982</v>
      </c>
      <c r="B982" s="2" t="s">
        <v>3885</v>
      </c>
      <c r="C982" t="s">
        <v>2397</v>
      </c>
      <c r="D982" t="s">
        <v>3886</v>
      </c>
    </row>
    <row r="983" spans="1:5" ht="15.5" x14ac:dyDescent="0.35">
      <c r="A983" s="2" t="s">
        <v>983</v>
      </c>
      <c r="B983" s="2" t="s">
        <v>3887</v>
      </c>
      <c r="C983" t="s">
        <v>2397</v>
      </c>
      <c r="D983" t="s">
        <v>3888</v>
      </c>
    </row>
    <row r="984" spans="1:5" ht="15.5" x14ac:dyDescent="0.35">
      <c r="A984" s="2" t="s">
        <v>984</v>
      </c>
      <c r="B984" s="2" t="s">
        <v>3889</v>
      </c>
      <c r="C984" t="s">
        <v>2397</v>
      </c>
      <c r="D984" t="s">
        <v>2515</v>
      </c>
    </row>
    <row r="985" spans="1:5" ht="15.5" x14ac:dyDescent="0.35">
      <c r="A985" s="2" t="s">
        <v>985</v>
      </c>
      <c r="B985" s="2" t="s">
        <v>3890</v>
      </c>
      <c r="C985" t="s">
        <v>3231</v>
      </c>
      <c r="D985" t="s">
        <v>3891</v>
      </c>
      <c r="E985" t="s">
        <v>2482</v>
      </c>
    </row>
    <row r="986" spans="1:5" ht="15.5" x14ac:dyDescent="0.35">
      <c r="A986" s="2" t="s">
        <v>986</v>
      </c>
      <c r="B986" s="2" t="s">
        <v>3892</v>
      </c>
      <c r="C986" t="s">
        <v>2397</v>
      </c>
      <c r="D986" t="s">
        <v>2544</v>
      </c>
      <c r="E986" t="s">
        <v>2534</v>
      </c>
    </row>
    <row r="987" spans="1:5" ht="15.5" x14ac:dyDescent="0.35">
      <c r="A987" s="2" t="s">
        <v>987</v>
      </c>
      <c r="B987" s="2" t="s">
        <v>3893</v>
      </c>
      <c r="C987" t="s">
        <v>2394</v>
      </c>
      <c r="D987" t="s">
        <v>3894</v>
      </c>
    </row>
    <row r="988" spans="1:5" ht="15.5" x14ac:dyDescent="0.35">
      <c r="A988" s="2" t="s">
        <v>988</v>
      </c>
      <c r="B988" s="2" t="s">
        <v>2695</v>
      </c>
      <c r="C988" t="s">
        <v>2394</v>
      </c>
      <c r="D988" t="s">
        <v>2878</v>
      </c>
    </row>
    <row r="989" spans="1:5" ht="15.5" x14ac:dyDescent="0.35">
      <c r="A989" s="2" t="s">
        <v>989</v>
      </c>
      <c r="B989" s="2" t="s">
        <v>3895</v>
      </c>
      <c r="C989" t="s">
        <v>3231</v>
      </c>
      <c r="D989" t="s">
        <v>3768</v>
      </c>
    </row>
    <row r="990" spans="1:5" ht="15.5" x14ac:dyDescent="0.35">
      <c r="A990" s="2" t="s">
        <v>990</v>
      </c>
      <c r="B990" s="2" t="s">
        <v>3896</v>
      </c>
      <c r="C990" t="s">
        <v>2394</v>
      </c>
      <c r="D990" t="s">
        <v>3897</v>
      </c>
      <c r="E990" t="s">
        <v>2622</v>
      </c>
    </row>
    <row r="991" spans="1:5" ht="15.5" x14ac:dyDescent="0.35">
      <c r="A991" s="2" t="s">
        <v>991</v>
      </c>
      <c r="B991" s="2" t="s">
        <v>3898</v>
      </c>
      <c r="C991" t="s">
        <v>2394</v>
      </c>
      <c r="D991" t="s">
        <v>2435</v>
      </c>
    </row>
    <row r="992" spans="1:5" ht="15.5" x14ac:dyDescent="0.35">
      <c r="A992" s="2" t="s">
        <v>992</v>
      </c>
      <c r="B992" s="2" t="s">
        <v>3899</v>
      </c>
      <c r="C992" t="s">
        <v>2394</v>
      </c>
      <c r="D992" t="s">
        <v>3900</v>
      </c>
    </row>
    <row r="993" spans="1:5" ht="15.5" x14ac:dyDescent="0.35">
      <c r="A993" s="2" t="s">
        <v>993</v>
      </c>
      <c r="B993" s="2" t="s">
        <v>2588</v>
      </c>
      <c r="C993" t="s">
        <v>2397</v>
      </c>
      <c r="D993" t="s">
        <v>3901</v>
      </c>
      <c r="E993" t="s">
        <v>2472</v>
      </c>
    </row>
    <row r="994" spans="1:5" ht="15.5" x14ac:dyDescent="0.35">
      <c r="A994" s="2" t="s">
        <v>994</v>
      </c>
      <c r="B994" s="2" t="s">
        <v>3902</v>
      </c>
      <c r="C994" t="s">
        <v>2397</v>
      </c>
      <c r="D994" t="s">
        <v>3903</v>
      </c>
    </row>
    <row r="995" spans="1:5" ht="15.5" x14ac:dyDescent="0.35">
      <c r="A995" s="2" t="s">
        <v>995</v>
      </c>
      <c r="B995" s="2" t="s">
        <v>3904</v>
      </c>
      <c r="C995" t="s">
        <v>2394</v>
      </c>
      <c r="D995" t="s">
        <v>3905</v>
      </c>
      <c r="E995" t="s">
        <v>2431</v>
      </c>
    </row>
    <row r="996" spans="1:5" ht="15.5" x14ac:dyDescent="0.35">
      <c r="A996" s="2" t="s">
        <v>996</v>
      </c>
      <c r="B996" s="2" t="s">
        <v>2492</v>
      </c>
      <c r="C996" t="s">
        <v>2397</v>
      </c>
      <c r="D996" t="s">
        <v>2544</v>
      </c>
      <c r="E996" t="s">
        <v>2625</v>
      </c>
    </row>
    <row r="997" spans="1:5" ht="15.5" x14ac:dyDescent="0.35">
      <c r="A997" s="2" t="s">
        <v>997</v>
      </c>
      <c r="B997" s="2" t="s">
        <v>3906</v>
      </c>
      <c r="C997" t="s">
        <v>3231</v>
      </c>
      <c r="D997" t="s">
        <v>2474</v>
      </c>
      <c r="E997" t="s">
        <v>2431</v>
      </c>
    </row>
    <row r="998" spans="1:5" ht="15.5" x14ac:dyDescent="0.35">
      <c r="A998" s="2" t="s">
        <v>998</v>
      </c>
      <c r="B998" s="2" t="s">
        <v>2453</v>
      </c>
      <c r="C998" t="s">
        <v>2397</v>
      </c>
      <c r="D998" t="s">
        <v>3907</v>
      </c>
      <c r="E998" t="s">
        <v>2436</v>
      </c>
    </row>
    <row r="999" spans="1:5" ht="15.5" x14ac:dyDescent="0.35">
      <c r="A999" s="2" t="s">
        <v>999</v>
      </c>
      <c r="B999" s="2" t="s">
        <v>3908</v>
      </c>
      <c r="C999" t="s">
        <v>3231</v>
      </c>
      <c r="D999" t="s">
        <v>3181</v>
      </c>
    </row>
    <row r="1000" spans="1:5" ht="15.5" x14ac:dyDescent="0.35">
      <c r="A1000" s="2" t="s">
        <v>1000</v>
      </c>
      <c r="B1000" s="2" t="s">
        <v>3325</v>
      </c>
      <c r="C1000" t="s">
        <v>2397</v>
      </c>
      <c r="D1000" t="s">
        <v>3161</v>
      </c>
      <c r="E1000" t="s">
        <v>2431</v>
      </c>
    </row>
    <row r="1001" spans="1:5" ht="15.5" x14ac:dyDescent="0.35">
      <c r="A1001" s="2" t="s">
        <v>1001</v>
      </c>
      <c r="B1001" s="2" t="s">
        <v>3909</v>
      </c>
      <c r="C1001" t="s">
        <v>3231</v>
      </c>
      <c r="D1001" t="s">
        <v>2461</v>
      </c>
      <c r="E1001" t="s">
        <v>2561</v>
      </c>
    </row>
    <row r="1002" spans="1:5" ht="15.5" x14ac:dyDescent="0.35">
      <c r="A1002" s="2" t="s">
        <v>1002</v>
      </c>
      <c r="B1002" s="2" t="s">
        <v>3910</v>
      </c>
      <c r="C1002" t="s">
        <v>2397</v>
      </c>
      <c r="D1002" t="s">
        <v>2414</v>
      </c>
    </row>
    <row r="1003" spans="1:5" ht="15.5" x14ac:dyDescent="0.35">
      <c r="A1003" s="2" t="s">
        <v>1003</v>
      </c>
      <c r="B1003" s="2" t="s">
        <v>3911</v>
      </c>
      <c r="C1003" t="s">
        <v>3231</v>
      </c>
      <c r="D1003" t="s">
        <v>3912</v>
      </c>
    </row>
    <row r="1004" spans="1:5" ht="15.5" x14ac:dyDescent="0.35">
      <c r="A1004" s="2" t="s">
        <v>1004</v>
      </c>
      <c r="B1004" s="2" t="s">
        <v>3913</v>
      </c>
      <c r="C1004" t="s">
        <v>2394</v>
      </c>
      <c r="D1004" t="s">
        <v>3914</v>
      </c>
    </row>
    <row r="1005" spans="1:5" ht="15.5" x14ac:dyDescent="0.35">
      <c r="A1005" s="2" t="s">
        <v>1005</v>
      </c>
      <c r="B1005" s="2" t="s">
        <v>3915</v>
      </c>
      <c r="C1005" t="s">
        <v>2397</v>
      </c>
      <c r="D1005" t="s">
        <v>2481</v>
      </c>
      <c r="E1005" t="s">
        <v>2431</v>
      </c>
    </row>
    <row r="1006" spans="1:5" ht="15.5" x14ac:dyDescent="0.35">
      <c r="A1006" s="2" t="s">
        <v>1006</v>
      </c>
      <c r="B1006" s="2" t="s">
        <v>3916</v>
      </c>
      <c r="C1006" t="s">
        <v>2397</v>
      </c>
      <c r="D1006" t="s">
        <v>2503</v>
      </c>
    </row>
    <row r="1007" spans="1:5" ht="15.5" x14ac:dyDescent="0.35">
      <c r="A1007" s="2" t="s">
        <v>1007</v>
      </c>
      <c r="B1007" s="2" t="s">
        <v>3917</v>
      </c>
      <c r="C1007" t="s">
        <v>2394</v>
      </c>
      <c r="D1007" t="s">
        <v>2627</v>
      </c>
      <c r="E1007" t="s">
        <v>2418</v>
      </c>
    </row>
    <row r="1008" spans="1:5" ht="15.5" x14ac:dyDescent="0.35">
      <c r="A1008" s="2" t="s">
        <v>1008</v>
      </c>
      <c r="B1008" s="2" t="s">
        <v>2890</v>
      </c>
      <c r="C1008" t="s">
        <v>2394</v>
      </c>
      <c r="D1008" t="s">
        <v>3918</v>
      </c>
      <c r="E1008" t="s">
        <v>2622</v>
      </c>
    </row>
    <row r="1009" spans="1:5" ht="15.5" x14ac:dyDescent="0.35">
      <c r="A1009" s="2" t="s">
        <v>1009</v>
      </c>
      <c r="B1009" s="2" t="s">
        <v>3919</v>
      </c>
      <c r="C1009" t="s">
        <v>2397</v>
      </c>
      <c r="D1009" t="s">
        <v>3920</v>
      </c>
    </row>
    <row r="1010" spans="1:5" ht="15.5" x14ac:dyDescent="0.35">
      <c r="A1010" s="2" t="s">
        <v>1010</v>
      </c>
      <c r="B1010" s="2" t="s">
        <v>3921</v>
      </c>
      <c r="C1010" t="s">
        <v>2394</v>
      </c>
      <c r="D1010" t="s">
        <v>2769</v>
      </c>
    </row>
    <row r="1011" spans="1:5" ht="15.5" x14ac:dyDescent="0.35">
      <c r="A1011" s="2" t="s">
        <v>1011</v>
      </c>
      <c r="B1011" s="2" t="s">
        <v>3922</v>
      </c>
      <c r="C1011" t="s">
        <v>2394</v>
      </c>
      <c r="D1011" t="s">
        <v>3923</v>
      </c>
    </row>
    <row r="1012" spans="1:5" ht="15.5" x14ac:dyDescent="0.35">
      <c r="A1012" s="2" t="s">
        <v>1012</v>
      </c>
      <c r="B1012" s="2" t="s">
        <v>3924</v>
      </c>
      <c r="C1012" t="s">
        <v>2394</v>
      </c>
      <c r="D1012" t="s">
        <v>2872</v>
      </c>
    </row>
    <row r="1013" spans="1:5" ht="15.5" x14ac:dyDescent="0.35">
      <c r="A1013" s="2" t="s">
        <v>1013</v>
      </c>
      <c r="B1013" s="2" t="s">
        <v>3925</v>
      </c>
      <c r="C1013" t="s">
        <v>2394</v>
      </c>
      <c r="D1013" t="s">
        <v>2484</v>
      </c>
      <c r="E1013" t="s">
        <v>2519</v>
      </c>
    </row>
    <row r="1014" spans="1:5" ht="15.5" x14ac:dyDescent="0.35">
      <c r="A1014" s="2" t="s">
        <v>1014</v>
      </c>
      <c r="B1014" s="2" t="s">
        <v>3926</v>
      </c>
      <c r="C1014" t="s">
        <v>2394</v>
      </c>
      <c r="D1014" t="s">
        <v>3927</v>
      </c>
      <c r="E1014" t="s">
        <v>2680</v>
      </c>
    </row>
    <row r="1015" spans="1:5" ht="15.5" x14ac:dyDescent="0.35">
      <c r="A1015" s="2" t="s">
        <v>1015</v>
      </c>
      <c r="B1015" s="2" t="s">
        <v>3928</v>
      </c>
      <c r="C1015" t="s">
        <v>2394</v>
      </c>
      <c r="D1015" t="s">
        <v>2872</v>
      </c>
      <c r="E1015" t="s">
        <v>2519</v>
      </c>
    </row>
    <row r="1016" spans="1:5" ht="15.5" x14ac:dyDescent="0.35">
      <c r="A1016" s="2" t="s">
        <v>1016</v>
      </c>
      <c r="B1016" s="2" t="s">
        <v>3929</v>
      </c>
      <c r="C1016" t="s">
        <v>2394</v>
      </c>
      <c r="D1016" t="s">
        <v>2720</v>
      </c>
    </row>
    <row r="1017" spans="1:5" ht="15.5" x14ac:dyDescent="0.35">
      <c r="A1017" s="2" t="s">
        <v>1017</v>
      </c>
      <c r="B1017" s="2" t="s">
        <v>3930</v>
      </c>
      <c r="C1017" t="s">
        <v>2394</v>
      </c>
      <c r="D1017" t="s">
        <v>3931</v>
      </c>
      <c r="E1017" t="s">
        <v>2501</v>
      </c>
    </row>
    <row r="1018" spans="1:5" ht="15.5" x14ac:dyDescent="0.35">
      <c r="A1018" s="2" t="s">
        <v>1018</v>
      </c>
      <c r="B1018" s="2" t="s">
        <v>3636</v>
      </c>
      <c r="C1018" t="s">
        <v>3231</v>
      </c>
      <c r="D1018" t="s">
        <v>3932</v>
      </c>
      <c r="E1018" t="s">
        <v>2886</v>
      </c>
    </row>
    <row r="1019" spans="1:5" ht="15.5" x14ac:dyDescent="0.35">
      <c r="A1019" s="2" t="s">
        <v>1019</v>
      </c>
      <c r="B1019" s="2" t="s">
        <v>3933</v>
      </c>
      <c r="C1019" t="s">
        <v>3231</v>
      </c>
      <c r="D1019" t="s">
        <v>3934</v>
      </c>
      <c r="E1019" t="s">
        <v>2986</v>
      </c>
    </row>
    <row r="1020" spans="1:5" ht="15.5" x14ac:dyDescent="0.35">
      <c r="A1020" s="2" t="s">
        <v>1020</v>
      </c>
      <c r="B1020" s="2" t="s">
        <v>3935</v>
      </c>
      <c r="C1020" t="s">
        <v>2397</v>
      </c>
      <c r="D1020" t="s">
        <v>2412</v>
      </c>
    </row>
    <row r="1021" spans="1:5" ht="15.5" x14ac:dyDescent="0.35">
      <c r="A1021" s="2" t="s">
        <v>1021</v>
      </c>
      <c r="B1021" s="2" t="s">
        <v>3936</v>
      </c>
      <c r="C1021" t="s">
        <v>2394</v>
      </c>
      <c r="D1021" t="s">
        <v>3937</v>
      </c>
      <c r="E1021" t="s">
        <v>2467</v>
      </c>
    </row>
    <row r="1022" spans="1:5" ht="15.5" x14ac:dyDescent="0.35">
      <c r="A1022" s="2" t="s">
        <v>1022</v>
      </c>
      <c r="B1022" s="2" t="s">
        <v>3938</v>
      </c>
      <c r="C1022" t="s">
        <v>2397</v>
      </c>
      <c r="D1022" t="s">
        <v>2798</v>
      </c>
      <c r="E1022" t="s">
        <v>2431</v>
      </c>
    </row>
    <row r="1023" spans="1:5" ht="15.5" x14ac:dyDescent="0.35">
      <c r="A1023" s="2" t="s">
        <v>1023</v>
      </c>
      <c r="B1023" s="2" t="s">
        <v>3939</v>
      </c>
      <c r="C1023" t="s">
        <v>2394</v>
      </c>
      <c r="D1023" t="s">
        <v>3940</v>
      </c>
      <c r="E1023" t="s">
        <v>2477</v>
      </c>
    </row>
    <row r="1024" spans="1:5" ht="15.5" x14ac:dyDescent="0.35">
      <c r="A1024" s="2" t="s">
        <v>1024</v>
      </c>
      <c r="B1024" s="2" t="s">
        <v>3941</v>
      </c>
      <c r="C1024" t="s">
        <v>2394</v>
      </c>
      <c r="D1024" t="s">
        <v>2604</v>
      </c>
      <c r="E1024" t="s">
        <v>2482</v>
      </c>
    </row>
    <row r="1025" spans="1:5" ht="15.5" x14ac:dyDescent="0.35">
      <c r="A1025" s="2" t="s">
        <v>1025</v>
      </c>
      <c r="B1025" s="2" t="s">
        <v>3942</v>
      </c>
      <c r="C1025" t="s">
        <v>2397</v>
      </c>
      <c r="D1025" t="s">
        <v>3943</v>
      </c>
      <c r="E1025" t="s">
        <v>3564</v>
      </c>
    </row>
    <row r="1026" spans="1:5" ht="15.5" x14ac:dyDescent="0.35">
      <c r="A1026" s="2" t="s">
        <v>1026</v>
      </c>
      <c r="B1026" s="2" t="s">
        <v>3944</v>
      </c>
      <c r="C1026" t="s">
        <v>2397</v>
      </c>
      <c r="D1026" t="s">
        <v>2424</v>
      </c>
    </row>
    <row r="1027" spans="1:5" ht="15.5" x14ac:dyDescent="0.35">
      <c r="A1027" s="2" t="s">
        <v>1027</v>
      </c>
      <c r="B1027" s="2" t="s">
        <v>3945</v>
      </c>
      <c r="C1027" t="s">
        <v>2397</v>
      </c>
      <c r="D1027" t="s">
        <v>3946</v>
      </c>
    </row>
    <row r="1028" spans="1:5" ht="15.5" x14ac:dyDescent="0.35">
      <c r="A1028" s="2" t="s">
        <v>1028</v>
      </c>
      <c r="B1028" s="2" t="s">
        <v>3947</v>
      </c>
      <c r="C1028" t="s">
        <v>2394</v>
      </c>
      <c r="D1028" t="s">
        <v>3000</v>
      </c>
      <c r="E1028" t="s">
        <v>2482</v>
      </c>
    </row>
    <row r="1029" spans="1:5" ht="15.5" x14ac:dyDescent="0.35">
      <c r="A1029" s="2" t="s">
        <v>1029</v>
      </c>
      <c r="B1029" s="2" t="s">
        <v>3948</v>
      </c>
      <c r="C1029" t="s">
        <v>2397</v>
      </c>
      <c r="D1029" t="s">
        <v>3946</v>
      </c>
    </row>
    <row r="1030" spans="1:5" ht="15.5" x14ac:dyDescent="0.35">
      <c r="A1030" s="2" t="s">
        <v>1030</v>
      </c>
      <c r="B1030" s="2" t="s">
        <v>3949</v>
      </c>
      <c r="C1030" t="s">
        <v>2397</v>
      </c>
      <c r="D1030" t="s">
        <v>2414</v>
      </c>
    </row>
    <row r="1031" spans="1:5" ht="15.5" x14ac:dyDescent="0.35">
      <c r="A1031" s="2" t="s">
        <v>1031</v>
      </c>
      <c r="B1031" s="2" t="s">
        <v>3950</v>
      </c>
      <c r="C1031" t="s">
        <v>2394</v>
      </c>
      <c r="D1031" t="s">
        <v>3951</v>
      </c>
      <c r="E1031" t="s">
        <v>2680</v>
      </c>
    </row>
    <row r="1032" spans="1:5" ht="15.5" x14ac:dyDescent="0.35">
      <c r="A1032" s="2" t="s">
        <v>1032</v>
      </c>
      <c r="B1032" s="2" t="s">
        <v>3952</v>
      </c>
      <c r="C1032" t="s">
        <v>2397</v>
      </c>
      <c r="D1032" t="s">
        <v>3471</v>
      </c>
    </row>
    <row r="1033" spans="1:5" ht="15.5" x14ac:dyDescent="0.35">
      <c r="A1033" s="2" t="s">
        <v>1033</v>
      </c>
      <c r="B1033" s="2" t="s">
        <v>3953</v>
      </c>
      <c r="C1033" t="s">
        <v>2394</v>
      </c>
      <c r="D1033" t="s">
        <v>3954</v>
      </c>
    </row>
    <row r="1034" spans="1:5" ht="15.5" x14ac:dyDescent="0.35">
      <c r="A1034" s="2" t="s">
        <v>1034</v>
      </c>
      <c r="B1034" s="2" t="s">
        <v>3472</v>
      </c>
      <c r="C1034" t="s">
        <v>2394</v>
      </c>
      <c r="D1034" t="s">
        <v>2760</v>
      </c>
      <c r="E1034" t="s">
        <v>2436</v>
      </c>
    </row>
    <row r="1035" spans="1:5" ht="15.5" x14ac:dyDescent="0.35">
      <c r="A1035" s="2" t="s">
        <v>1035</v>
      </c>
      <c r="B1035" s="2" t="s">
        <v>3955</v>
      </c>
      <c r="C1035" t="s">
        <v>2394</v>
      </c>
      <c r="D1035" t="s">
        <v>3085</v>
      </c>
    </row>
    <row r="1036" spans="1:5" ht="15.5" x14ac:dyDescent="0.35">
      <c r="A1036" s="2" t="s">
        <v>1036</v>
      </c>
      <c r="B1036" s="2" t="s">
        <v>3956</v>
      </c>
      <c r="C1036" t="s">
        <v>2394</v>
      </c>
      <c r="D1036" t="s">
        <v>3957</v>
      </c>
    </row>
    <row r="1037" spans="1:5" ht="15.5" x14ac:dyDescent="0.35">
      <c r="A1037" s="2" t="s">
        <v>1037</v>
      </c>
      <c r="B1037" s="2" t="s">
        <v>3958</v>
      </c>
      <c r="C1037" t="s">
        <v>2394</v>
      </c>
      <c r="D1037" t="s">
        <v>3232</v>
      </c>
    </row>
    <row r="1038" spans="1:5" ht="15.5" x14ac:dyDescent="0.35">
      <c r="A1038" s="2" t="s">
        <v>1038</v>
      </c>
      <c r="B1038" s="2" t="s">
        <v>3959</v>
      </c>
      <c r="C1038" t="s">
        <v>2397</v>
      </c>
      <c r="D1038" t="s">
        <v>2544</v>
      </c>
    </row>
    <row r="1039" spans="1:5" ht="15.5" x14ac:dyDescent="0.35">
      <c r="A1039" s="2" t="s">
        <v>1039</v>
      </c>
      <c r="B1039" s="2" t="s">
        <v>3960</v>
      </c>
      <c r="C1039" t="s">
        <v>2397</v>
      </c>
      <c r="D1039" t="s">
        <v>2569</v>
      </c>
      <c r="E1039" t="s">
        <v>2643</v>
      </c>
    </row>
    <row r="1040" spans="1:5" ht="15.5" x14ac:dyDescent="0.35">
      <c r="A1040" s="2" t="s">
        <v>1040</v>
      </c>
      <c r="B1040" s="2" t="s">
        <v>3961</v>
      </c>
      <c r="C1040" t="s">
        <v>2394</v>
      </c>
      <c r="D1040" t="s">
        <v>2902</v>
      </c>
      <c r="E1040" t="s">
        <v>2448</v>
      </c>
    </row>
    <row r="1041" spans="1:5" ht="15.5" x14ac:dyDescent="0.35">
      <c r="A1041" s="2" t="s">
        <v>1041</v>
      </c>
      <c r="B1041" s="2" t="s">
        <v>3962</v>
      </c>
      <c r="C1041" t="s">
        <v>2394</v>
      </c>
      <c r="D1041" t="s">
        <v>3963</v>
      </c>
    </row>
    <row r="1042" spans="1:5" ht="15.5" x14ac:dyDescent="0.35">
      <c r="A1042" s="2" t="s">
        <v>1042</v>
      </c>
      <c r="B1042" s="2" t="s">
        <v>3510</v>
      </c>
      <c r="C1042" t="s">
        <v>2397</v>
      </c>
      <c r="D1042" t="s">
        <v>2725</v>
      </c>
    </row>
    <row r="1043" spans="1:5" ht="15.5" x14ac:dyDescent="0.35">
      <c r="A1043" s="2" t="s">
        <v>1043</v>
      </c>
      <c r="B1043" s="2" t="s">
        <v>3964</v>
      </c>
      <c r="C1043" t="s">
        <v>2394</v>
      </c>
      <c r="D1043" t="s">
        <v>3965</v>
      </c>
    </row>
    <row r="1044" spans="1:5" ht="15.5" x14ac:dyDescent="0.35">
      <c r="A1044" s="2" t="s">
        <v>1044</v>
      </c>
      <c r="B1044" s="2" t="s">
        <v>3966</v>
      </c>
      <c r="C1044" t="s">
        <v>2397</v>
      </c>
      <c r="D1044" t="s">
        <v>3280</v>
      </c>
      <c r="E1044" t="s">
        <v>2482</v>
      </c>
    </row>
    <row r="1045" spans="1:5" ht="15.5" x14ac:dyDescent="0.35">
      <c r="A1045" s="2" t="s">
        <v>1045</v>
      </c>
      <c r="B1045" s="2" t="s">
        <v>3967</v>
      </c>
      <c r="C1045" t="s">
        <v>2397</v>
      </c>
      <c r="D1045" t="s">
        <v>2412</v>
      </c>
      <c r="E1045" t="s">
        <v>2467</v>
      </c>
    </row>
    <row r="1046" spans="1:5" ht="15.5" x14ac:dyDescent="0.35">
      <c r="A1046" s="2" t="s">
        <v>1046</v>
      </c>
      <c r="B1046" s="2" t="s">
        <v>3968</v>
      </c>
      <c r="C1046" t="s">
        <v>3231</v>
      </c>
      <c r="D1046" t="s">
        <v>3969</v>
      </c>
    </row>
    <row r="1047" spans="1:5" ht="15.5" x14ac:dyDescent="0.35">
      <c r="A1047" s="2" t="s">
        <v>1047</v>
      </c>
      <c r="B1047" s="2" t="s">
        <v>3970</v>
      </c>
      <c r="C1047" t="s">
        <v>2397</v>
      </c>
      <c r="D1047" t="s">
        <v>3971</v>
      </c>
    </row>
    <row r="1048" spans="1:5" ht="15.5" x14ac:dyDescent="0.35">
      <c r="A1048" s="2" t="s">
        <v>1048</v>
      </c>
      <c r="B1048" s="2" t="s">
        <v>3972</v>
      </c>
      <c r="C1048" t="s">
        <v>2397</v>
      </c>
      <c r="D1048" t="s">
        <v>3946</v>
      </c>
    </row>
    <row r="1049" spans="1:5" ht="15.5" x14ac:dyDescent="0.35">
      <c r="A1049" s="2" t="s">
        <v>1049</v>
      </c>
      <c r="B1049" s="2" t="s">
        <v>3973</v>
      </c>
      <c r="C1049" t="s">
        <v>2394</v>
      </c>
      <c r="D1049" t="s">
        <v>2642</v>
      </c>
      <c r="E1049" t="s">
        <v>2477</v>
      </c>
    </row>
    <row r="1050" spans="1:5" ht="15.5" x14ac:dyDescent="0.35">
      <c r="A1050" s="2" t="s">
        <v>1050</v>
      </c>
      <c r="B1050" s="2" t="s">
        <v>3974</v>
      </c>
      <c r="C1050" t="s">
        <v>2394</v>
      </c>
      <c r="D1050" t="s">
        <v>3975</v>
      </c>
    </row>
    <row r="1051" spans="1:5" ht="15.5" x14ac:dyDescent="0.35">
      <c r="A1051" s="2" t="s">
        <v>1051</v>
      </c>
      <c r="B1051" s="2" t="s">
        <v>3976</v>
      </c>
      <c r="C1051" t="s">
        <v>2394</v>
      </c>
      <c r="D1051" t="s">
        <v>3519</v>
      </c>
    </row>
    <row r="1052" spans="1:5" ht="15.5" x14ac:dyDescent="0.35">
      <c r="A1052" s="2" t="s">
        <v>1052</v>
      </c>
      <c r="B1052" s="2" t="s">
        <v>3977</v>
      </c>
      <c r="C1052" t="s">
        <v>3231</v>
      </c>
      <c r="D1052" t="s">
        <v>2585</v>
      </c>
      <c r="E1052" t="s">
        <v>2625</v>
      </c>
    </row>
    <row r="1053" spans="1:5" ht="15.5" x14ac:dyDescent="0.35">
      <c r="A1053" s="2" t="s">
        <v>1053</v>
      </c>
      <c r="B1053" s="2" t="s">
        <v>3978</v>
      </c>
      <c r="C1053" t="s">
        <v>2397</v>
      </c>
      <c r="D1053" t="s">
        <v>3054</v>
      </c>
      <c r="E1053" t="s">
        <v>2534</v>
      </c>
    </row>
    <row r="1054" spans="1:5" ht="15.5" x14ac:dyDescent="0.35">
      <c r="A1054" s="2" t="s">
        <v>1054</v>
      </c>
      <c r="B1054" s="2" t="s">
        <v>3979</v>
      </c>
      <c r="C1054" t="s">
        <v>2394</v>
      </c>
      <c r="D1054" t="s">
        <v>2642</v>
      </c>
      <c r="E1054" t="s">
        <v>2723</v>
      </c>
    </row>
    <row r="1055" spans="1:5" ht="15.5" x14ac:dyDescent="0.35">
      <c r="A1055" s="2" t="s">
        <v>1055</v>
      </c>
      <c r="B1055" s="2" t="s">
        <v>3980</v>
      </c>
      <c r="C1055" t="s">
        <v>2397</v>
      </c>
      <c r="D1055" t="s">
        <v>2398</v>
      </c>
      <c r="E1055" t="s">
        <v>2534</v>
      </c>
    </row>
    <row r="1056" spans="1:5" ht="15.5" x14ac:dyDescent="0.35">
      <c r="A1056" s="2" t="s">
        <v>1056</v>
      </c>
      <c r="B1056" s="2" t="s">
        <v>3981</v>
      </c>
      <c r="C1056" t="s">
        <v>3231</v>
      </c>
      <c r="D1056" t="s">
        <v>2624</v>
      </c>
    </row>
    <row r="1057" spans="1:6" ht="15.5" x14ac:dyDescent="0.35">
      <c r="A1057" s="2" t="s">
        <v>1057</v>
      </c>
      <c r="B1057" s="2" t="s">
        <v>3982</v>
      </c>
      <c r="C1057" t="s">
        <v>2394</v>
      </c>
      <c r="D1057" t="s">
        <v>3983</v>
      </c>
    </row>
    <row r="1058" spans="1:6" ht="15.5" x14ac:dyDescent="0.35">
      <c r="A1058" s="2" t="s">
        <v>1058</v>
      </c>
      <c r="B1058" s="2" t="s">
        <v>3898</v>
      </c>
      <c r="C1058" t="s">
        <v>3231</v>
      </c>
      <c r="D1058" t="s">
        <v>3984</v>
      </c>
      <c r="E1058" t="s">
        <v>2799</v>
      </c>
    </row>
    <row r="1059" spans="1:6" ht="15.5" x14ac:dyDescent="0.35">
      <c r="A1059" s="2" t="s">
        <v>1059</v>
      </c>
      <c r="B1059" s="2" t="s">
        <v>3985</v>
      </c>
      <c r="C1059" t="s">
        <v>2394</v>
      </c>
      <c r="D1059" t="s">
        <v>3240</v>
      </c>
      <c r="E1059" t="s">
        <v>2482</v>
      </c>
    </row>
    <row r="1060" spans="1:6" ht="15.5" x14ac:dyDescent="0.35">
      <c r="A1060" s="2" t="s">
        <v>1060</v>
      </c>
      <c r="B1060" s="2" t="s">
        <v>3986</v>
      </c>
      <c r="C1060" t="s">
        <v>2397</v>
      </c>
      <c r="D1060" t="s">
        <v>2804</v>
      </c>
    </row>
    <row r="1061" spans="1:6" ht="15.5" x14ac:dyDescent="0.35">
      <c r="A1061" s="2" t="s">
        <v>1061</v>
      </c>
      <c r="B1061" s="2" t="s">
        <v>3987</v>
      </c>
      <c r="C1061" t="s">
        <v>2397</v>
      </c>
      <c r="D1061" t="s">
        <v>2503</v>
      </c>
      <c r="E1061" t="s">
        <v>2436</v>
      </c>
    </row>
    <row r="1062" spans="1:6" ht="15.5" x14ac:dyDescent="0.35">
      <c r="A1062" s="2" t="s">
        <v>1062</v>
      </c>
      <c r="B1062" s="2" t="s">
        <v>3988</v>
      </c>
      <c r="C1062" t="s">
        <v>2397</v>
      </c>
      <c r="D1062" t="s">
        <v>2577</v>
      </c>
      <c r="E1062" t="s">
        <v>2625</v>
      </c>
    </row>
    <row r="1063" spans="1:6" ht="15.5" x14ac:dyDescent="0.35">
      <c r="A1063" s="2" t="s">
        <v>1063</v>
      </c>
      <c r="B1063" s="2" t="s">
        <v>3615</v>
      </c>
      <c r="C1063" t="s">
        <v>2397</v>
      </c>
      <c r="D1063" t="s">
        <v>2686</v>
      </c>
      <c r="E1063" t="s">
        <v>2485</v>
      </c>
      <c r="F1063" t="s">
        <v>3989</v>
      </c>
    </row>
    <row r="1064" spans="1:6" ht="15.5" x14ac:dyDescent="0.35">
      <c r="A1064" s="2" t="s">
        <v>1064</v>
      </c>
      <c r="B1064" s="2" t="s">
        <v>3990</v>
      </c>
      <c r="C1064" t="s">
        <v>2397</v>
      </c>
      <c r="D1064" t="s">
        <v>3991</v>
      </c>
    </row>
    <row r="1065" spans="1:6" ht="15.5" x14ac:dyDescent="0.35">
      <c r="A1065" s="2" t="s">
        <v>1065</v>
      </c>
      <c r="B1065" s="2" t="s">
        <v>3992</v>
      </c>
      <c r="C1065" t="s">
        <v>2397</v>
      </c>
      <c r="D1065" t="s">
        <v>3993</v>
      </c>
    </row>
    <row r="1066" spans="1:6" ht="15.5" x14ac:dyDescent="0.35">
      <c r="A1066" s="2" t="s">
        <v>1066</v>
      </c>
      <c r="B1066" s="2" t="s">
        <v>3994</v>
      </c>
      <c r="C1066" t="s">
        <v>3995</v>
      </c>
      <c r="D1066" t="s">
        <v>2394</v>
      </c>
      <c r="E1066" t="s">
        <v>3996</v>
      </c>
    </row>
    <row r="1067" spans="1:6" ht="15.5" x14ac:dyDescent="0.35">
      <c r="A1067" s="2" t="s">
        <v>1067</v>
      </c>
      <c r="B1067" s="2" t="s">
        <v>3997</v>
      </c>
      <c r="C1067" t="s">
        <v>2397</v>
      </c>
      <c r="D1067" t="s">
        <v>3998</v>
      </c>
    </row>
    <row r="1068" spans="1:6" ht="15.5" x14ac:dyDescent="0.35">
      <c r="A1068" s="2" t="s">
        <v>1068</v>
      </c>
      <c r="B1068" s="2" t="s">
        <v>3999</v>
      </c>
      <c r="C1068" t="s">
        <v>2394</v>
      </c>
      <c r="D1068" t="s">
        <v>3249</v>
      </c>
      <c r="E1068" t="s">
        <v>2501</v>
      </c>
    </row>
    <row r="1069" spans="1:6" ht="15.5" x14ac:dyDescent="0.35">
      <c r="A1069" s="2" t="s">
        <v>1069</v>
      </c>
      <c r="B1069" s="2" t="s">
        <v>4000</v>
      </c>
      <c r="C1069" t="s">
        <v>2397</v>
      </c>
      <c r="D1069" t="s">
        <v>2410</v>
      </c>
    </row>
    <row r="1070" spans="1:6" ht="15.5" x14ac:dyDescent="0.35">
      <c r="A1070" s="2" t="s">
        <v>1070</v>
      </c>
      <c r="B1070" s="2" t="s">
        <v>3624</v>
      </c>
      <c r="C1070" t="s">
        <v>2394</v>
      </c>
      <c r="D1070" t="s">
        <v>4001</v>
      </c>
    </row>
    <row r="1071" spans="1:6" ht="15.5" x14ac:dyDescent="0.35">
      <c r="A1071" s="2" t="s">
        <v>1071</v>
      </c>
      <c r="B1071" s="2" t="s">
        <v>4002</v>
      </c>
      <c r="C1071" t="s">
        <v>2394</v>
      </c>
      <c r="D1071" t="s">
        <v>4003</v>
      </c>
      <c r="E1071" t="s">
        <v>2431</v>
      </c>
    </row>
    <row r="1072" spans="1:6" ht="15.5" x14ac:dyDescent="0.35">
      <c r="A1072" s="2" t="s">
        <v>1072</v>
      </c>
      <c r="B1072" s="2" t="s">
        <v>4004</v>
      </c>
      <c r="C1072" t="s">
        <v>2394</v>
      </c>
      <c r="D1072" t="s">
        <v>3021</v>
      </c>
    </row>
    <row r="1073" spans="1:5" ht="15.5" x14ac:dyDescent="0.35">
      <c r="A1073" s="2" t="s">
        <v>1073</v>
      </c>
      <c r="B1073" s="2" t="s">
        <v>4005</v>
      </c>
      <c r="C1073" t="s">
        <v>3231</v>
      </c>
      <c r="D1073" t="s">
        <v>4006</v>
      </c>
    </row>
    <row r="1074" spans="1:5" ht="15.5" x14ac:dyDescent="0.35">
      <c r="A1074" s="2" t="s">
        <v>1074</v>
      </c>
      <c r="B1074" s="2" t="s">
        <v>4007</v>
      </c>
      <c r="C1074" t="s">
        <v>2394</v>
      </c>
      <c r="D1074" t="s">
        <v>2435</v>
      </c>
      <c r="E1074" t="s">
        <v>2399</v>
      </c>
    </row>
    <row r="1075" spans="1:5" ht="15.5" x14ac:dyDescent="0.35">
      <c r="A1075" s="2" t="s">
        <v>1075</v>
      </c>
      <c r="B1075" s="2" t="s">
        <v>4008</v>
      </c>
      <c r="C1075" t="s">
        <v>2397</v>
      </c>
      <c r="D1075" t="s">
        <v>2452</v>
      </c>
    </row>
    <row r="1076" spans="1:5" ht="15.5" x14ac:dyDescent="0.35">
      <c r="A1076" s="2" t="s">
        <v>1076</v>
      </c>
      <c r="B1076" s="2" t="s">
        <v>4009</v>
      </c>
      <c r="C1076" t="s">
        <v>2397</v>
      </c>
      <c r="D1076" t="s">
        <v>2965</v>
      </c>
    </row>
    <row r="1077" spans="1:5" ht="15.5" x14ac:dyDescent="0.35">
      <c r="A1077" s="2" t="s">
        <v>1077</v>
      </c>
      <c r="B1077" s="2" t="s">
        <v>3258</v>
      </c>
      <c r="C1077" t="s">
        <v>2397</v>
      </c>
      <c r="D1077" t="s">
        <v>3026</v>
      </c>
      <c r="E1077" t="s">
        <v>2415</v>
      </c>
    </row>
    <row r="1078" spans="1:5" ht="15.5" x14ac:dyDescent="0.35">
      <c r="A1078" s="2" t="s">
        <v>1078</v>
      </c>
      <c r="B1078" s="2" t="s">
        <v>4010</v>
      </c>
      <c r="C1078" t="s">
        <v>2394</v>
      </c>
      <c r="D1078" t="s">
        <v>4011</v>
      </c>
    </row>
    <row r="1079" spans="1:5" ht="15.5" x14ac:dyDescent="0.35">
      <c r="A1079" s="2" t="s">
        <v>1079</v>
      </c>
      <c r="B1079" s="2" t="s">
        <v>4012</v>
      </c>
      <c r="C1079" t="s">
        <v>2397</v>
      </c>
      <c r="D1079" t="s">
        <v>2834</v>
      </c>
    </row>
    <row r="1080" spans="1:5" ht="15.5" x14ac:dyDescent="0.35">
      <c r="A1080" s="2" t="s">
        <v>1080</v>
      </c>
      <c r="B1080" s="2" t="s">
        <v>4013</v>
      </c>
      <c r="C1080" t="s">
        <v>2397</v>
      </c>
      <c r="D1080" t="s">
        <v>4014</v>
      </c>
    </row>
    <row r="1081" spans="1:5" ht="15.5" x14ac:dyDescent="0.35">
      <c r="A1081" s="2" t="s">
        <v>1081</v>
      </c>
      <c r="B1081" s="2" t="s">
        <v>4015</v>
      </c>
      <c r="C1081" t="s">
        <v>2397</v>
      </c>
      <c r="D1081" t="s">
        <v>2443</v>
      </c>
      <c r="E1081" t="s">
        <v>2622</v>
      </c>
    </row>
    <row r="1082" spans="1:5" ht="15.5" x14ac:dyDescent="0.35">
      <c r="A1082" s="2" t="s">
        <v>1082</v>
      </c>
      <c r="B1082" s="2" t="s">
        <v>4016</v>
      </c>
      <c r="C1082" t="s">
        <v>2397</v>
      </c>
      <c r="D1082" t="s">
        <v>2544</v>
      </c>
      <c r="E1082" t="s">
        <v>2643</v>
      </c>
    </row>
    <row r="1083" spans="1:5" ht="15.5" x14ac:dyDescent="0.35">
      <c r="A1083" s="2" t="s">
        <v>1083</v>
      </c>
      <c r="B1083" s="2" t="s">
        <v>4017</v>
      </c>
      <c r="C1083" t="s">
        <v>3231</v>
      </c>
      <c r="D1083" t="s">
        <v>3240</v>
      </c>
      <c r="E1083" t="s">
        <v>2680</v>
      </c>
    </row>
    <row r="1084" spans="1:5" ht="15.5" x14ac:dyDescent="0.35">
      <c r="A1084" s="2" t="s">
        <v>1084</v>
      </c>
      <c r="B1084" s="2" t="s">
        <v>4018</v>
      </c>
      <c r="C1084" t="s">
        <v>3231</v>
      </c>
      <c r="D1084" t="s">
        <v>2682</v>
      </c>
    </row>
    <row r="1085" spans="1:5" ht="15.5" x14ac:dyDescent="0.35">
      <c r="A1085" s="2" t="s">
        <v>1085</v>
      </c>
      <c r="B1085" s="2" t="s">
        <v>4019</v>
      </c>
      <c r="C1085" t="s">
        <v>2397</v>
      </c>
      <c r="D1085" t="s">
        <v>2711</v>
      </c>
      <c r="E1085" t="s">
        <v>2561</v>
      </c>
    </row>
    <row r="1086" spans="1:5" ht="15.5" x14ac:dyDescent="0.35">
      <c r="A1086" s="2" t="s">
        <v>1086</v>
      </c>
      <c r="B1086" s="2" t="s">
        <v>4020</v>
      </c>
      <c r="C1086" t="s">
        <v>2397</v>
      </c>
      <c r="D1086" t="s">
        <v>2965</v>
      </c>
    </row>
    <row r="1087" spans="1:5" ht="15.5" x14ac:dyDescent="0.35">
      <c r="A1087" s="2" t="s">
        <v>1087</v>
      </c>
      <c r="B1087" s="2" t="s">
        <v>4021</v>
      </c>
      <c r="C1087" t="s">
        <v>2397</v>
      </c>
      <c r="D1087" t="s">
        <v>2834</v>
      </c>
    </row>
    <row r="1088" spans="1:5" ht="15.5" x14ac:dyDescent="0.35">
      <c r="A1088" s="2" t="s">
        <v>1088</v>
      </c>
      <c r="B1088" s="2" t="s">
        <v>4022</v>
      </c>
      <c r="C1088" t="s">
        <v>2394</v>
      </c>
      <c r="D1088" t="s">
        <v>4023</v>
      </c>
      <c r="E1088" t="s">
        <v>2516</v>
      </c>
    </row>
    <row r="1089" spans="1:5" ht="15.5" x14ac:dyDescent="0.35">
      <c r="A1089" s="2" t="s">
        <v>1089</v>
      </c>
      <c r="B1089" s="2" t="s">
        <v>4024</v>
      </c>
      <c r="C1089" t="s">
        <v>2394</v>
      </c>
      <c r="D1089" t="s">
        <v>4025</v>
      </c>
      <c r="E1089" t="s">
        <v>2431</v>
      </c>
    </row>
    <row r="1090" spans="1:5" ht="15.5" x14ac:dyDescent="0.35">
      <c r="A1090" s="2" t="s">
        <v>1090</v>
      </c>
      <c r="B1090" s="2" t="s">
        <v>4026</v>
      </c>
      <c r="C1090" t="s">
        <v>3231</v>
      </c>
      <c r="D1090" t="s">
        <v>4027</v>
      </c>
    </row>
    <row r="1091" spans="1:5" ht="15.5" x14ac:dyDescent="0.35">
      <c r="A1091" s="2" t="s">
        <v>1091</v>
      </c>
      <c r="B1091" s="2" t="s">
        <v>4028</v>
      </c>
      <c r="C1091" t="s">
        <v>2394</v>
      </c>
      <c r="D1091" t="s">
        <v>3287</v>
      </c>
    </row>
    <row r="1092" spans="1:5" ht="15.5" x14ac:dyDescent="0.35">
      <c r="A1092" s="2" t="s">
        <v>1092</v>
      </c>
      <c r="B1092" s="2" t="s">
        <v>3960</v>
      </c>
      <c r="C1092" t="s">
        <v>2394</v>
      </c>
      <c r="D1092" t="s">
        <v>4029</v>
      </c>
      <c r="E1092" t="s">
        <v>2436</v>
      </c>
    </row>
    <row r="1093" spans="1:5" ht="15.5" x14ac:dyDescent="0.35">
      <c r="A1093" s="2" t="s">
        <v>1093</v>
      </c>
      <c r="B1093" s="2" t="s">
        <v>4030</v>
      </c>
      <c r="C1093" t="s">
        <v>2397</v>
      </c>
      <c r="D1093" t="s">
        <v>2686</v>
      </c>
      <c r="E1093" t="s">
        <v>2886</v>
      </c>
    </row>
    <row r="1094" spans="1:5" ht="15.5" x14ac:dyDescent="0.35">
      <c r="A1094" s="2" t="s">
        <v>1094</v>
      </c>
      <c r="B1094" s="2" t="s">
        <v>4031</v>
      </c>
      <c r="C1094" t="s">
        <v>2394</v>
      </c>
      <c r="D1094" t="s">
        <v>4032</v>
      </c>
    </row>
    <row r="1095" spans="1:5" ht="15.5" x14ac:dyDescent="0.35">
      <c r="A1095" s="2" t="s">
        <v>1095</v>
      </c>
      <c r="B1095" s="2" t="s">
        <v>2538</v>
      </c>
      <c r="C1095" t="s">
        <v>2397</v>
      </c>
      <c r="D1095" t="s">
        <v>2398</v>
      </c>
      <c r="E1095" t="s">
        <v>2625</v>
      </c>
    </row>
    <row r="1096" spans="1:5" ht="15.5" x14ac:dyDescent="0.35">
      <c r="A1096" s="2" t="s">
        <v>1096</v>
      </c>
      <c r="B1096" s="2" t="s">
        <v>4033</v>
      </c>
      <c r="C1096" t="s">
        <v>2397</v>
      </c>
      <c r="D1096" t="s">
        <v>2398</v>
      </c>
    </row>
    <row r="1097" spans="1:5" ht="15.5" x14ac:dyDescent="0.35">
      <c r="A1097" s="2" t="s">
        <v>1097</v>
      </c>
      <c r="B1097" s="2" t="s">
        <v>4034</v>
      </c>
      <c r="C1097" t="s">
        <v>3231</v>
      </c>
      <c r="D1097" t="s">
        <v>3361</v>
      </c>
    </row>
    <row r="1098" spans="1:5" ht="15.5" x14ac:dyDescent="0.35">
      <c r="A1098" s="2" t="s">
        <v>1098</v>
      </c>
      <c r="B1098" s="2" t="s">
        <v>4035</v>
      </c>
      <c r="C1098" t="s">
        <v>2394</v>
      </c>
      <c r="D1098" t="s">
        <v>2461</v>
      </c>
      <c r="E1098" t="s">
        <v>2399</v>
      </c>
    </row>
    <row r="1099" spans="1:5" ht="15.5" x14ac:dyDescent="0.35">
      <c r="A1099" s="2" t="s">
        <v>1099</v>
      </c>
      <c r="B1099" s="2" t="s">
        <v>4036</v>
      </c>
      <c r="C1099" t="s">
        <v>2394</v>
      </c>
      <c r="D1099" t="s">
        <v>3519</v>
      </c>
    </row>
    <row r="1100" spans="1:5" ht="15.5" x14ac:dyDescent="0.35">
      <c r="A1100" s="2" t="s">
        <v>1100</v>
      </c>
      <c r="B1100" s="2" t="s">
        <v>2881</v>
      </c>
      <c r="C1100" t="s">
        <v>2394</v>
      </c>
      <c r="D1100" t="s">
        <v>2670</v>
      </c>
      <c r="E1100" t="s">
        <v>2431</v>
      </c>
    </row>
    <row r="1101" spans="1:5" ht="15.5" x14ac:dyDescent="0.35">
      <c r="A1101" s="2" t="s">
        <v>1101</v>
      </c>
      <c r="B1101" s="2" t="s">
        <v>4037</v>
      </c>
      <c r="C1101" t="s">
        <v>2397</v>
      </c>
      <c r="D1101" t="s">
        <v>2410</v>
      </c>
      <c r="E1101" t="s">
        <v>2436</v>
      </c>
    </row>
    <row r="1102" spans="1:5" ht="15.5" x14ac:dyDescent="0.35">
      <c r="A1102" s="2" t="s">
        <v>1102</v>
      </c>
      <c r="B1102" s="2" t="s">
        <v>4038</v>
      </c>
      <c r="C1102" t="s">
        <v>3231</v>
      </c>
      <c r="D1102" t="s">
        <v>3181</v>
      </c>
    </row>
    <row r="1103" spans="1:5" ht="15.5" x14ac:dyDescent="0.35">
      <c r="A1103" s="2" t="s">
        <v>1103</v>
      </c>
      <c r="B1103" s="2" t="s">
        <v>3220</v>
      </c>
      <c r="C1103" t="s">
        <v>2397</v>
      </c>
      <c r="D1103" t="s">
        <v>2410</v>
      </c>
    </row>
    <row r="1104" spans="1:5" ht="15.5" x14ac:dyDescent="0.35">
      <c r="A1104" s="2" t="s">
        <v>1104</v>
      </c>
      <c r="B1104" s="2" t="s">
        <v>4039</v>
      </c>
      <c r="C1104" t="s">
        <v>2397</v>
      </c>
      <c r="D1104" t="s">
        <v>2610</v>
      </c>
      <c r="E1104" t="s">
        <v>2436</v>
      </c>
    </row>
    <row r="1105" spans="1:5" ht="15.5" x14ac:dyDescent="0.35">
      <c r="A1105" s="2" t="s">
        <v>1105</v>
      </c>
      <c r="B1105" s="2" t="s">
        <v>4040</v>
      </c>
      <c r="C1105" t="s">
        <v>2394</v>
      </c>
      <c r="D1105" t="s">
        <v>4041</v>
      </c>
      <c r="E1105" t="s">
        <v>2415</v>
      </c>
    </row>
    <row r="1106" spans="1:5" ht="15.5" x14ac:dyDescent="0.35">
      <c r="A1106" s="2" t="s">
        <v>1106</v>
      </c>
      <c r="B1106" s="2" t="s">
        <v>4042</v>
      </c>
      <c r="C1106" t="s">
        <v>2397</v>
      </c>
      <c r="D1106" t="s">
        <v>4043</v>
      </c>
    </row>
    <row r="1107" spans="1:5" ht="15.5" x14ac:dyDescent="0.35">
      <c r="A1107" s="2" t="s">
        <v>1107</v>
      </c>
      <c r="B1107" s="2" t="s">
        <v>4044</v>
      </c>
      <c r="C1107" t="s">
        <v>2397</v>
      </c>
      <c r="D1107" t="s">
        <v>2646</v>
      </c>
    </row>
    <row r="1108" spans="1:5" ht="15.5" x14ac:dyDescent="0.35">
      <c r="A1108" s="2" t="s">
        <v>1108</v>
      </c>
      <c r="B1108" s="2" t="s">
        <v>4045</v>
      </c>
      <c r="C1108" t="s">
        <v>2397</v>
      </c>
      <c r="D1108" t="s">
        <v>3386</v>
      </c>
    </row>
    <row r="1109" spans="1:5" ht="15.5" x14ac:dyDescent="0.35">
      <c r="A1109" s="2" t="s">
        <v>1109</v>
      </c>
      <c r="B1109" s="2" t="s">
        <v>4046</v>
      </c>
      <c r="C1109" t="s">
        <v>2394</v>
      </c>
      <c r="D1109" t="s">
        <v>3693</v>
      </c>
      <c r="E1109" t="s">
        <v>2482</v>
      </c>
    </row>
    <row r="1110" spans="1:5" ht="15.5" x14ac:dyDescent="0.35">
      <c r="A1110" s="2" t="s">
        <v>1110</v>
      </c>
      <c r="B1110" s="2" t="s">
        <v>4047</v>
      </c>
      <c r="C1110" t="s">
        <v>3231</v>
      </c>
      <c r="D1110" t="s">
        <v>4048</v>
      </c>
      <c r="E1110" t="s">
        <v>2806</v>
      </c>
    </row>
    <row r="1111" spans="1:5" ht="15.5" x14ac:dyDescent="0.35">
      <c r="A1111" s="2" t="s">
        <v>1111</v>
      </c>
      <c r="B1111" s="2" t="s">
        <v>4049</v>
      </c>
      <c r="C1111" t="s">
        <v>3231</v>
      </c>
      <c r="D1111" t="s">
        <v>2774</v>
      </c>
      <c r="E1111" t="s">
        <v>2431</v>
      </c>
    </row>
    <row r="1112" spans="1:5" ht="15.5" x14ac:dyDescent="0.35">
      <c r="A1112" s="2" t="s">
        <v>1112</v>
      </c>
      <c r="B1112" s="2" t="s">
        <v>3103</v>
      </c>
      <c r="C1112" t="s">
        <v>2394</v>
      </c>
      <c r="D1112" t="s">
        <v>2435</v>
      </c>
    </row>
    <row r="1113" spans="1:5" ht="15.5" x14ac:dyDescent="0.35">
      <c r="A1113" s="2" t="s">
        <v>1113</v>
      </c>
      <c r="B1113" s="2" t="s">
        <v>4050</v>
      </c>
      <c r="C1113" t="s">
        <v>3231</v>
      </c>
      <c r="D1113" t="s">
        <v>3287</v>
      </c>
      <c r="E1113" t="s">
        <v>2625</v>
      </c>
    </row>
    <row r="1114" spans="1:5" ht="15.5" x14ac:dyDescent="0.35">
      <c r="A1114" s="2" t="s">
        <v>1114</v>
      </c>
      <c r="B1114" s="2" t="s">
        <v>4051</v>
      </c>
      <c r="C1114" t="s">
        <v>2397</v>
      </c>
      <c r="D1114" t="s">
        <v>2503</v>
      </c>
    </row>
    <row r="1115" spans="1:5" ht="15.5" x14ac:dyDescent="0.35">
      <c r="A1115" s="2" t="s">
        <v>1115</v>
      </c>
      <c r="B1115" s="2" t="s">
        <v>4052</v>
      </c>
      <c r="C1115" t="s">
        <v>2394</v>
      </c>
      <c r="D1115" t="s">
        <v>4053</v>
      </c>
    </row>
    <row r="1116" spans="1:5" ht="15.5" x14ac:dyDescent="0.35">
      <c r="A1116" s="2" t="s">
        <v>1116</v>
      </c>
      <c r="B1116" s="2" t="s">
        <v>4054</v>
      </c>
      <c r="C1116" t="s">
        <v>2394</v>
      </c>
      <c r="D1116" t="s">
        <v>4055</v>
      </c>
      <c r="E1116" t="s">
        <v>2501</v>
      </c>
    </row>
    <row r="1117" spans="1:5" ht="15.5" x14ac:dyDescent="0.35">
      <c r="A1117" s="2" t="s">
        <v>1117</v>
      </c>
      <c r="B1117" s="2" t="s">
        <v>4056</v>
      </c>
      <c r="C1117" t="s">
        <v>2394</v>
      </c>
      <c r="D1117" t="s">
        <v>2504</v>
      </c>
      <c r="E1117" t="s">
        <v>2431</v>
      </c>
    </row>
    <row r="1118" spans="1:5" ht="15.5" x14ac:dyDescent="0.35">
      <c r="A1118" s="2" t="s">
        <v>1118</v>
      </c>
      <c r="B1118" s="2" t="s">
        <v>4057</v>
      </c>
      <c r="C1118" t="s">
        <v>2394</v>
      </c>
      <c r="D1118" t="s">
        <v>4058</v>
      </c>
      <c r="E1118" t="s">
        <v>2986</v>
      </c>
    </row>
    <row r="1119" spans="1:5" ht="15.5" x14ac:dyDescent="0.35">
      <c r="A1119" s="2" t="s">
        <v>1119</v>
      </c>
      <c r="B1119" s="2" t="s">
        <v>4059</v>
      </c>
      <c r="C1119" t="s">
        <v>2394</v>
      </c>
      <c r="D1119" t="s">
        <v>2657</v>
      </c>
    </row>
    <row r="1120" spans="1:5" ht="15.5" x14ac:dyDescent="0.35">
      <c r="A1120" s="2" t="s">
        <v>1120</v>
      </c>
      <c r="B1120" s="2" t="s">
        <v>4060</v>
      </c>
      <c r="C1120" t="s">
        <v>2397</v>
      </c>
      <c r="D1120" t="s">
        <v>3058</v>
      </c>
    </row>
    <row r="1121" spans="1:5" ht="15.5" x14ac:dyDescent="0.35">
      <c r="A1121" s="2" t="s">
        <v>1121</v>
      </c>
      <c r="B1121" s="2" t="s">
        <v>4061</v>
      </c>
      <c r="C1121" t="s">
        <v>2397</v>
      </c>
      <c r="D1121" t="s">
        <v>2489</v>
      </c>
      <c r="E1121" t="s">
        <v>2886</v>
      </c>
    </row>
    <row r="1122" spans="1:5" ht="15.5" x14ac:dyDescent="0.35">
      <c r="A1122" s="2" t="s">
        <v>1122</v>
      </c>
      <c r="B1122" s="2" t="s">
        <v>4062</v>
      </c>
      <c r="C1122" t="s">
        <v>2397</v>
      </c>
      <c r="D1122" t="s">
        <v>2503</v>
      </c>
      <c r="E1122" t="s">
        <v>2540</v>
      </c>
    </row>
    <row r="1123" spans="1:5" ht="15.5" x14ac:dyDescent="0.35">
      <c r="A1123" s="2" t="s">
        <v>1123</v>
      </c>
      <c r="B1123" s="2" t="s">
        <v>4063</v>
      </c>
      <c r="C1123" t="s">
        <v>2397</v>
      </c>
      <c r="D1123" t="s">
        <v>2398</v>
      </c>
      <c r="E1123" t="s">
        <v>2467</v>
      </c>
    </row>
    <row r="1124" spans="1:5" ht="15.5" x14ac:dyDescent="0.35">
      <c r="A1124" s="2" t="s">
        <v>1124</v>
      </c>
      <c r="B1124" s="2" t="s">
        <v>4064</v>
      </c>
      <c r="C1124" t="s">
        <v>2394</v>
      </c>
      <c r="D1124" t="s">
        <v>4065</v>
      </c>
      <c r="E1124" t="s">
        <v>2472</v>
      </c>
    </row>
    <row r="1125" spans="1:5" ht="15.5" x14ac:dyDescent="0.35">
      <c r="A1125" s="2" t="s">
        <v>1125</v>
      </c>
      <c r="B1125" s="2" t="s">
        <v>4066</v>
      </c>
      <c r="C1125" t="s">
        <v>2397</v>
      </c>
      <c r="D1125" t="s">
        <v>2790</v>
      </c>
      <c r="E1125" t="s">
        <v>2472</v>
      </c>
    </row>
    <row r="1126" spans="1:5" ht="15.5" x14ac:dyDescent="0.35">
      <c r="A1126" s="2" t="s">
        <v>1126</v>
      </c>
      <c r="B1126" s="2" t="s">
        <v>4067</v>
      </c>
      <c r="C1126" t="s">
        <v>3231</v>
      </c>
      <c r="D1126" t="s">
        <v>2642</v>
      </c>
    </row>
    <row r="1127" spans="1:5" ht="15.5" x14ac:dyDescent="0.35">
      <c r="A1127" s="2" t="s">
        <v>1127</v>
      </c>
      <c r="B1127" s="2" t="s">
        <v>4068</v>
      </c>
      <c r="C1127" t="s">
        <v>2394</v>
      </c>
      <c r="D1127" t="s">
        <v>4069</v>
      </c>
    </row>
    <row r="1128" spans="1:5" ht="15.5" x14ac:dyDescent="0.35">
      <c r="A1128" s="2" t="s">
        <v>1128</v>
      </c>
      <c r="B1128" s="2" t="s">
        <v>4070</v>
      </c>
      <c r="C1128" t="s">
        <v>2397</v>
      </c>
      <c r="D1128" t="s">
        <v>2790</v>
      </c>
    </row>
    <row r="1129" spans="1:5" ht="15.5" x14ac:dyDescent="0.35">
      <c r="A1129" s="2" t="s">
        <v>1129</v>
      </c>
      <c r="B1129" s="2" t="s">
        <v>4071</v>
      </c>
      <c r="C1129" t="s">
        <v>2397</v>
      </c>
      <c r="D1129" t="s">
        <v>2481</v>
      </c>
    </row>
    <row r="1130" spans="1:5" ht="15.5" x14ac:dyDescent="0.35">
      <c r="A1130" s="2" t="s">
        <v>1130</v>
      </c>
      <c r="B1130" s="2" t="s">
        <v>4072</v>
      </c>
      <c r="C1130" t="s">
        <v>2397</v>
      </c>
      <c r="D1130" t="s">
        <v>2503</v>
      </c>
      <c r="E1130" t="s">
        <v>2408</v>
      </c>
    </row>
    <row r="1131" spans="1:5" ht="15.5" x14ac:dyDescent="0.35">
      <c r="A1131" s="2" t="s">
        <v>1131</v>
      </c>
      <c r="B1131" s="2" t="s">
        <v>4073</v>
      </c>
      <c r="C1131" t="s">
        <v>2394</v>
      </c>
      <c r="D1131" t="s">
        <v>2533</v>
      </c>
    </row>
    <row r="1132" spans="1:5" ht="15.5" x14ac:dyDescent="0.35">
      <c r="A1132" s="2" t="s">
        <v>1132</v>
      </c>
      <c r="B1132" s="2" t="s">
        <v>4074</v>
      </c>
      <c r="C1132" t="s">
        <v>3231</v>
      </c>
      <c r="D1132" t="s">
        <v>3870</v>
      </c>
      <c r="E1132" t="s">
        <v>2501</v>
      </c>
    </row>
    <row r="1133" spans="1:5" ht="15.5" x14ac:dyDescent="0.35">
      <c r="A1133" s="2" t="s">
        <v>1133</v>
      </c>
      <c r="B1133" s="2" t="s">
        <v>4075</v>
      </c>
      <c r="C1133" t="s">
        <v>2394</v>
      </c>
      <c r="D1133" t="s">
        <v>3654</v>
      </c>
    </row>
    <row r="1134" spans="1:5" ht="15.5" x14ac:dyDescent="0.35">
      <c r="A1134" s="2" t="s">
        <v>1134</v>
      </c>
      <c r="B1134" s="2" t="s">
        <v>4076</v>
      </c>
      <c r="C1134" t="s">
        <v>2397</v>
      </c>
      <c r="D1134" t="s">
        <v>3105</v>
      </c>
      <c r="E1134" t="s">
        <v>2561</v>
      </c>
    </row>
    <row r="1135" spans="1:5" ht="15.5" x14ac:dyDescent="0.35">
      <c r="A1135" s="2" t="s">
        <v>1135</v>
      </c>
      <c r="B1135" s="2" t="s">
        <v>4077</v>
      </c>
      <c r="C1135" t="s">
        <v>2394</v>
      </c>
      <c r="D1135" t="s">
        <v>2776</v>
      </c>
    </row>
    <row r="1136" spans="1:5" ht="15.5" x14ac:dyDescent="0.35">
      <c r="A1136" s="2" t="s">
        <v>1136</v>
      </c>
      <c r="B1136" s="2" t="s">
        <v>4078</v>
      </c>
      <c r="C1136" t="s">
        <v>2394</v>
      </c>
      <c r="D1136" t="s">
        <v>2542</v>
      </c>
    </row>
    <row r="1137" spans="1:5" ht="15.5" x14ac:dyDescent="0.35">
      <c r="A1137" s="2" t="s">
        <v>1137</v>
      </c>
      <c r="B1137" s="2" t="s">
        <v>4079</v>
      </c>
      <c r="C1137" t="s">
        <v>2394</v>
      </c>
      <c r="D1137" t="s">
        <v>2670</v>
      </c>
    </row>
    <row r="1138" spans="1:5" ht="15.5" x14ac:dyDescent="0.35">
      <c r="A1138" s="2" t="s">
        <v>1138</v>
      </c>
      <c r="B1138" s="2" t="s">
        <v>4080</v>
      </c>
      <c r="C1138" t="s">
        <v>2394</v>
      </c>
      <c r="D1138" t="s">
        <v>4081</v>
      </c>
      <c r="E1138" t="s">
        <v>2467</v>
      </c>
    </row>
    <row r="1139" spans="1:5" ht="15.5" x14ac:dyDescent="0.35">
      <c r="A1139" s="2" t="s">
        <v>1139</v>
      </c>
      <c r="B1139" s="2" t="s">
        <v>4082</v>
      </c>
      <c r="C1139" t="s">
        <v>2394</v>
      </c>
      <c r="D1139" t="s">
        <v>2657</v>
      </c>
      <c r="E1139" t="s">
        <v>2696</v>
      </c>
    </row>
    <row r="1140" spans="1:5" ht="15.5" x14ac:dyDescent="0.35">
      <c r="A1140" s="2" t="s">
        <v>1140</v>
      </c>
      <c r="B1140" s="2" t="s">
        <v>4083</v>
      </c>
      <c r="C1140" t="s">
        <v>2394</v>
      </c>
      <c r="D1140" t="s">
        <v>4084</v>
      </c>
      <c r="E1140" t="s">
        <v>2671</v>
      </c>
    </row>
    <row r="1141" spans="1:5" ht="15.5" x14ac:dyDescent="0.35">
      <c r="A1141" s="2" t="s">
        <v>1141</v>
      </c>
      <c r="B1141" s="2" t="s">
        <v>4085</v>
      </c>
      <c r="C1141" t="s">
        <v>2397</v>
      </c>
      <c r="D1141" t="s">
        <v>2481</v>
      </c>
    </row>
    <row r="1142" spans="1:5" ht="15.5" x14ac:dyDescent="0.35">
      <c r="A1142" s="2" t="s">
        <v>1142</v>
      </c>
      <c r="B1142" s="2" t="s">
        <v>2824</v>
      </c>
      <c r="C1142" t="s">
        <v>2397</v>
      </c>
      <c r="D1142" t="s">
        <v>2544</v>
      </c>
    </row>
    <row r="1143" spans="1:5" ht="15.5" x14ac:dyDescent="0.35">
      <c r="A1143" s="2" t="s">
        <v>1143</v>
      </c>
      <c r="B1143" s="2" t="s">
        <v>4086</v>
      </c>
      <c r="C1143" t="s">
        <v>2394</v>
      </c>
      <c r="D1143" t="s">
        <v>2774</v>
      </c>
    </row>
    <row r="1144" spans="1:5" ht="15.5" x14ac:dyDescent="0.35">
      <c r="A1144" s="2" t="s">
        <v>1144</v>
      </c>
      <c r="B1144" s="2" t="s">
        <v>4087</v>
      </c>
      <c r="C1144" t="s">
        <v>2397</v>
      </c>
      <c r="D1144" t="s">
        <v>2398</v>
      </c>
      <c r="E1144" t="s">
        <v>2625</v>
      </c>
    </row>
    <row r="1145" spans="1:5" ht="15.5" x14ac:dyDescent="0.35">
      <c r="A1145" s="2" t="s">
        <v>1145</v>
      </c>
      <c r="B1145" s="2" t="s">
        <v>4088</v>
      </c>
      <c r="C1145" t="s">
        <v>2394</v>
      </c>
      <c r="D1145" t="s">
        <v>4089</v>
      </c>
    </row>
    <row r="1146" spans="1:5" ht="15.5" x14ac:dyDescent="0.35">
      <c r="A1146" s="2" t="s">
        <v>1146</v>
      </c>
      <c r="B1146" s="2" t="s">
        <v>4090</v>
      </c>
      <c r="C1146" t="s">
        <v>2394</v>
      </c>
      <c r="D1146" t="s">
        <v>2450</v>
      </c>
    </row>
    <row r="1147" spans="1:5" ht="15.5" x14ac:dyDescent="0.35">
      <c r="A1147" s="2" t="s">
        <v>1147</v>
      </c>
      <c r="B1147" s="2" t="s">
        <v>4091</v>
      </c>
      <c r="C1147" t="s">
        <v>2397</v>
      </c>
      <c r="D1147" t="s">
        <v>4092</v>
      </c>
    </row>
    <row r="1148" spans="1:5" ht="15.5" x14ac:dyDescent="0.35">
      <c r="A1148" s="2" t="s">
        <v>1148</v>
      </c>
      <c r="B1148" s="2" t="s">
        <v>4093</v>
      </c>
      <c r="C1148" t="s">
        <v>2397</v>
      </c>
      <c r="D1148" t="s">
        <v>3674</v>
      </c>
      <c r="E1148" t="s">
        <v>2477</v>
      </c>
    </row>
    <row r="1149" spans="1:5" ht="15.5" x14ac:dyDescent="0.35">
      <c r="A1149" s="2" t="s">
        <v>1149</v>
      </c>
      <c r="B1149" s="2" t="s">
        <v>4094</v>
      </c>
      <c r="C1149" t="s">
        <v>2397</v>
      </c>
      <c r="D1149" t="s">
        <v>2610</v>
      </c>
    </row>
    <row r="1150" spans="1:5" ht="15.5" x14ac:dyDescent="0.35">
      <c r="A1150" s="2" t="s">
        <v>1150</v>
      </c>
      <c r="B1150" s="2" t="s">
        <v>4095</v>
      </c>
      <c r="C1150" t="s">
        <v>2397</v>
      </c>
      <c r="D1150" t="s">
        <v>2398</v>
      </c>
    </row>
    <row r="1151" spans="1:5" ht="15.5" x14ac:dyDescent="0.35">
      <c r="A1151" s="2" t="s">
        <v>1151</v>
      </c>
      <c r="B1151" s="2" t="s">
        <v>4096</v>
      </c>
      <c r="C1151" t="s">
        <v>2394</v>
      </c>
      <c r="D1151" t="s">
        <v>4097</v>
      </c>
    </row>
    <row r="1152" spans="1:5" ht="15.5" x14ac:dyDescent="0.35">
      <c r="A1152" s="2" t="s">
        <v>1152</v>
      </c>
      <c r="B1152" s="2" t="s">
        <v>3284</v>
      </c>
      <c r="C1152" t="s">
        <v>2397</v>
      </c>
      <c r="D1152" t="s">
        <v>2790</v>
      </c>
      <c r="E1152" t="s">
        <v>2431</v>
      </c>
    </row>
    <row r="1153" spans="1:6" ht="15.5" x14ac:dyDescent="0.35">
      <c r="A1153" s="2" t="s">
        <v>1153</v>
      </c>
      <c r="B1153" s="2" t="s">
        <v>4098</v>
      </c>
      <c r="C1153" t="s">
        <v>2397</v>
      </c>
      <c r="D1153" t="s">
        <v>4099</v>
      </c>
    </row>
    <row r="1154" spans="1:6" ht="15.5" x14ac:dyDescent="0.35">
      <c r="A1154" s="2" t="s">
        <v>1154</v>
      </c>
      <c r="B1154" s="2" t="s">
        <v>4100</v>
      </c>
      <c r="C1154" t="s">
        <v>2394</v>
      </c>
      <c r="D1154" t="s">
        <v>3260</v>
      </c>
    </row>
    <row r="1155" spans="1:6" ht="15.5" x14ac:dyDescent="0.35">
      <c r="A1155" s="2" t="s">
        <v>1155</v>
      </c>
      <c r="B1155" s="2" t="s">
        <v>4101</v>
      </c>
      <c r="C1155" t="s">
        <v>2394</v>
      </c>
      <c r="D1155" t="s">
        <v>4102</v>
      </c>
    </row>
    <row r="1156" spans="1:6" ht="15.5" x14ac:dyDescent="0.35">
      <c r="A1156" s="2" t="s">
        <v>1156</v>
      </c>
      <c r="B1156" s="2" t="s">
        <v>4103</v>
      </c>
      <c r="C1156" t="s">
        <v>2394</v>
      </c>
      <c r="D1156" t="s">
        <v>2624</v>
      </c>
      <c r="E1156" t="s">
        <v>2519</v>
      </c>
    </row>
    <row r="1157" spans="1:6" ht="15.5" x14ac:dyDescent="0.35">
      <c r="A1157" s="2" t="s">
        <v>1157</v>
      </c>
      <c r="B1157" s="2" t="s">
        <v>4104</v>
      </c>
      <c r="C1157" t="s">
        <v>2397</v>
      </c>
      <c r="D1157" t="s">
        <v>3579</v>
      </c>
    </row>
    <row r="1158" spans="1:6" ht="15.5" x14ac:dyDescent="0.35">
      <c r="A1158" s="2" t="s">
        <v>1158</v>
      </c>
      <c r="B1158" s="2" t="s">
        <v>4105</v>
      </c>
      <c r="C1158" t="s">
        <v>2397</v>
      </c>
      <c r="D1158" t="s">
        <v>2546</v>
      </c>
    </row>
    <row r="1159" spans="1:6" ht="15.5" x14ac:dyDescent="0.35">
      <c r="A1159" s="2" t="s">
        <v>1159</v>
      </c>
      <c r="B1159" s="2" t="s">
        <v>4106</v>
      </c>
      <c r="C1159" t="s">
        <v>2397</v>
      </c>
      <c r="D1159" t="s">
        <v>3907</v>
      </c>
      <c r="E1159" t="s">
        <v>4107</v>
      </c>
      <c r="F1159" t="s">
        <v>2441</v>
      </c>
    </row>
    <row r="1160" spans="1:6" ht="15.5" x14ac:dyDescent="0.35">
      <c r="A1160" s="2" t="s">
        <v>1160</v>
      </c>
      <c r="B1160" s="2" t="s">
        <v>4108</v>
      </c>
      <c r="C1160" t="s">
        <v>2394</v>
      </c>
      <c r="D1160" t="s">
        <v>4109</v>
      </c>
    </row>
    <row r="1161" spans="1:6" ht="15.5" x14ac:dyDescent="0.35">
      <c r="A1161" s="2" t="s">
        <v>1161</v>
      </c>
      <c r="B1161" s="2" t="s">
        <v>4110</v>
      </c>
      <c r="C1161" t="s">
        <v>2397</v>
      </c>
      <c r="D1161" t="s">
        <v>2863</v>
      </c>
      <c r="E1161" t="s">
        <v>2534</v>
      </c>
    </row>
    <row r="1162" spans="1:6" ht="15.5" x14ac:dyDescent="0.35">
      <c r="A1162" s="2" t="s">
        <v>1162</v>
      </c>
      <c r="B1162" s="2" t="s">
        <v>4111</v>
      </c>
      <c r="C1162" t="s">
        <v>2394</v>
      </c>
      <c r="D1162" t="s">
        <v>4112</v>
      </c>
      <c r="E1162" t="s">
        <v>2436</v>
      </c>
    </row>
    <row r="1163" spans="1:6" ht="15.5" x14ac:dyDescent="0.35">
      <c r="A1163" s="2" t="s">
        <v>1163</v>
      </c>
      <c r="B1163" s="2" t="s">
        <v>4113</v>
      </c>
      <c r="C1163" t="s">
        <v>2394</v>
      </c>
      <c r="D1163" t="s">
        <v>3004</v>
      </c>
      <c r="E1163" t="s">
        <v>2799</v>
      </c>
    </row>
    <row r="1164" spans="1:6" ht="15.5" x14ac:dyDescent="0.35">
      <c r="A1164" s="2" t="s">
        <v>1164</v>
      </c>
      <c r="B1164" s="2" t="s">
        <v>4114</v>
      </c>
      <c r="C1164" t="s">
        <v>2397</v>
      </c>
      <c r="D1164" t="s">
        <v>4115</v>
      </c>
    </row>
    <row r="1165" spans="1:6" ht="15.5" x14ac:dyDescent="0.35">
      <c r="A1165" s="2" t="s">
        <v>1165</v>
      </c>
      <c r="B1165" s="2" t="s">
        <v>4116</v>
      </c>
      <c r="C1165" t="s">
        <v>2394</v>
      </c>
      <c r="D1165" t="s">
        <v>4117</v>
      </c>
    </row>
    <row r="1166" spans="1:6" ht="15.5" x14ac:dyDescent="0.35">
      <c r="A1166" s="2" t="s">
        <v>1166</v>
      </c>
      <c r="B1166" s="2" t="s">
        <v>4118</v>
      </c>
      <c r="C1166" t="s">
        <v>2394</v>
      </c>
      <c r="D1166" t="s">
        <v>4119</v>
      </c>
    </row>
    <row r="1167" spans="1:6" ht="15.5" x14ac:dyDescent="0.35">
      <c r="A1167" s="2" t="s">
        <v>1167</v>
      </c>
      <c r="B1167" s="2" t="s">
        <v>4120</v>
      </c>
      <c r="C1167" t="s">
        <v>2394</v>
      </c>
      <c r="D1167" t="s">
        <v>2808</v>
      </c>
    </row>
    <row r="1168" spans="1:6" ht="15.5" x14ac:dyDescent="0.35">
      <c r="A1168" s="2" t="s">
        <v>1168</v>
      </c>
      <c r="B1168" s="2" t="s">
        <v>4121</v>
      </c>
      <c r="C1168" t="s">
        <v>2394</v>
      </c>
      <c r="D1168" t="s">
        <v>2487</v>
      </c>
    </row>
    <row r="1169" spans="1:5" ht="15.5" x14ac:dyDescent="0.35">
      <c r="A1169" s="2" t="s">
        <v>1169</v>
      </c>
      <c r="B1169" s="2" t="s">
        <v>4122</v>
      </c>
      <c r="C1169" t="s">
        <v>3231</v>
      </c>
      <c r="D1169" t="s">
        <v>2450</v>
      </c>
      <c r="E1169" t="s">
        <v>2415</v>
      </c>
    </row>
    <row r="1170" spans="1:5" ht="15.5" x14ac:dyDescent="0.35">
      <c r="A1170" s="2" t="s">
        <v>1170</v>
      </c>
      <c r="B1170" s="2" t="s">
        <v>2492</v>
      </c>
      <c r="C1170" t="s">
        <v>2397</v>
      </c>
      <c r="D1170" t="s">
        <v>2424</v>
      </c>
      <c r="E1170" t="s">
        <v>2498</v>
      </c>
    </row>
    <row r="1171" spans="1:5" ht="15.5" x14ac:dyDescent="0.35">
      <c r="A1171" s="2" t="s">
        <v>1171</v>
      </c>
      <c r="B1171" s="2" t="s">
        <v>4123</v>
      </c>
      <c r="C1171" t="s">
        <v>2397</v>
      </c>
      <c r="D1171" t="s">
        <v>4124</v>
      </c>
    </row>
    <row r="1172" spans="1:5" ht="15.5" x14ac:dyDescent="0.35">
      <c r="A1172" s="2" t="s">
        <v>1172</v>
      </c>
      <c r="B1172" s="2" t="s">
        <v>3902</v>
      </c>
      <c r="C1172" t="s">
        <v>3231</v>
      </c>
      <c r="D1172" t="s">
        <v>4125</v>
      </c>
    </row>
    <row r="1173" spans="1:5" ht="15.5" x14ac:dyDescent="0.35">
      <c r="A1173" s="2" t="s">
        <v>1173</v>
      </c>
      <c r="B1173" s="2" t="s">
        <v>4126</v>
      </c>
      <c r="C1173" t="s">
        <v>2394</v>
      </c>
      <c r="D1173" t="s">
        <v>2438</v>
      </c>
    </row>
    <row r="1174" spans="1:5" ht="15.5" x14ac:dyDescent="0.35">
      <c r="A1174" s="2" t="s">
        <v>1174</v>
      </c>
      <c r="B1174" s="2" t="s">
        <v>4127</v>
      </c>
      <c r="C1174" t="s">
        <v>2397</v>
      </c>
      <c r="D1174" t="s">
        <v>4128</v>
      </c>
      <c r="E1174" t="s">
        <v>2477</v>
      </c>
    </row>
    <row r="1175" spans="1:5" ht="15.5" x14ac:dyDescent="0.35">
      <c r="A1175" s="2" t="s">
        <v>1175</v>
      </c>
      <c r="B1175" s="2" t="s">
        <v>4129</v>
      </c>
      <c r="C1175" t="s">
        <v>3231</v>
      </c>
      <c r="D1175" t="s">
        <v>3343</v>
      </c>
      <c r="E1175" t="s">
        <v>2415</v>
      </c>
    </row>
    <row r="1176" spans="1:5" ht="15.5" x14ac:dyDescent="0.35">
      <c r="A1176" s="2" t="s">
        <v>1176</v>
      </c>
      <c r="B1176" s="2" t="s">
        <v>4130</v>
      </c>
      <c r="C1176" t="s">
        <v>2397</v>
      </c>
      <c r="D1176" t="s">
        <v>4131</v>
      </c>
    </row>
    <row r="1177" spans="1:5" ht="15.5" x14ac:dyDescent="0.35">
      <c r="A1177" s="2" t="s">
        <v>1177</v>
      </c>
      <c r="B1177" s="2" t="s">
        <v>4132</v>
      </c>
      <c r="C1177" t="s">
        <v>2397</v>
      </c>
      <c r="D1177" t="s">
        <v>2515</v>
      </c>
      <c r="E1177" t="s">
        <v>2498</v>
      </c>
    </row>
    <row r="1178" spans="1:5" ht="15.5" x14ac:dyDescent="0.35">
      <c r="A1178" s="2" t="s">
        <v>1178</v>
      </c>
      <c r="B1178" s="2" t="s">
        <v>4133</v>
      </c>
      <c r="C1178" t="s">
        <v>2397</v>
      </c>
      <c r="D1178" t="s">
        <v>2619</v>
      </c>
      <c r="E1178" t="s">
        <v>3328</v>
      </c>
    </row>
    <row r="1179" spans="1:5" ht="15.5" x14ac:dyDescent="0.35">
      <c r="A1179" s="2" t="s">
        <v>1179</v>
      </c>
      <c r="B1179" s="2" t="s">
        <v>4134</v>
      </c>
      <c r="C1179" t="s">
        <v>2394</v>
      </c>
      <c r="D1179" t="s">
        <v>4135</v>
      </c>
      <c r="E1179" t="s">
        <v>2799</v>
      </c>
    </row>
    <row r="1180" spans="1:5" ht="15.5" x14ac:dyDescent="0.35">
      <c r="A1180" s="2" t="s">
        <v>1180</v>
      </c>
      <c r="B1180" s="2" t="s">
        <v>4136</v>
      </c>
      <c r="C1180" t="s">
        <v>2397</v>
      </c>
      <c r="D1180" t="s">
        <v>2552</v>
      </c>
    </row>
    <row r="1181" spans="1:5" ht="15.5" x14ac:dyDescent="0.35">
      <c r="A1181" s="2" t="s">
        <v>1181</v>
      </c>
      <c r="B1181" s="2" t="s">
        <v>4137</v>
      </c>
      <c r="C1181" t="s">
        <v>2394</v>
      </c>
      <c r="D1181" t="s">
        <v>2769</v>
      </c>
    </row>
    <row r="1182" spans="1:5" ht="15.5" x14ac:dyDescent="0.35">
      <c r="A1182" s="2" t="s">
        <v>1182</v>
      </c>
      <c r="B1182" s="2" t="s">
        <v>4138</v>
      </c>
      <c r="C1182" t="s">
        <v>2397</v>
      </c>
      <c r="D1182" t="s">
        <v>2457</v>
      </c>
    </row>
    <row r="1183" spans="1:5" ht="15.5" x14ac:dyDescent="0.35">
      <c r="A1183" s="2" t="s">
        <v>1183</v>
      </c>
      <c r="B1183" s="2" t="s">
        <v>2490</v>
      </c>
      <c r="C1183" t="s">
        <v>2394</v>
      </c>
      <c r="D1183" t="s">
        <v>3234</v>
      </c>
      <c r="E1183" t="s">
        <v>2482</v>
      </c>
    </row>
    <row r="1184" spans="1:5" ht="15.5" x14ac:dyDescent="0.35">
      <c r="A1184" s="2" t="s">
        <v>1184</v>
      </c>
      <c r="B1184" s="2" t="s">
        <v>4139</v>
      </c>
      <c r="C1184" t="s">
        <v>2394</v>
      </c>
      <c r="D1184" t="s">
        <v>4140</v>
      </c>
      <c r="E1184" t="s">
        <v>2408</v>
      </c>
    </row>
    <row r="1185" spans="1:6" ht="15.5" x14ac:dyDescent="0.35">
      <c r="A1185" s="2" t="s">
        <v>1185</v>
      </c>
      <c r="B1185" s="2" t="s">
        <v>4141</v>
      </c>
      <c r="C1185" t="s">
        <v>3231</v>
      </c>
      <c r="D1185" t="s">
        <v>2642</v>
      </c>
      <c r="E1185" t="s">
        <v>2561</v>
      </c>
    </row>
    <row r="1186" spans="1:6" ht="15.5" x14ac:dyDescent="0.35">
      <c r="A1186" s="2" t="s">
        <v>1186</v>
      </c>
      <c r="B1186" s="2" t="s">
        <v>4142</v>
      </c>
      <c r="C1186" t="s">
        <v>2397</v>
      </c>
      <c r="D1186" t="s">
        <v>2764</v>
      </c>
      <c r="E1186" t="s">
        <v>2436</v>
      </c>
    </row>
    <row r="1187" spans="1:6" ht="15.5" x14ac:dyDescent="0.35">
      <c r="A1187" s="2" t="s">
        <v>1187</v>
      </c>
      <c r="B1187" s="2" t="s">
        <v>4143</v>
      </c>
      <c r="C1187" t="s">
        <v>2394</v>
      </c>
      <c r="D1187" t="s">
        <v>2450</v>
      </c>
    </row>
    <row r="1188" spans="1:6" ht="15.5" x14ac:dyDescent="0.35">
      <c r="A1188" s="2" t="s">
        <v>1188</v>
      </c>
      <c r="B1188" s="2" t="s">
        <v>4144</v>
      </c>
      <c r="C1188" t="s">
        <v>2394</v>
      </c>
      <c r="D1188" t="s">
        <v>4145</v>
      </c>
    </row>
    <row r="1189" spans="1:6" ht="15.5" x14ac:dyDescent="0.35">
      <c r="A1189" s="2" t="s">
        <v>1189</v>
      </c>
      <c r="B1189" s="2" t="s">
        <v>2911</v>
      </c>
      <c r="C1189" t="s">
        <v>2397</v>
      </c>
      <c r="D1189" t="s">
        <v>4146</v>
      </c>
    </row>
    <row r="1190" spans="1:6" ht="15.5" x14ac:dyDescent="0.35">
      <c r="A1190" s="2" t="s">
        <v>1190</v>
      </c>
      <c r="B1190" s="2" t="s">
        <v>4147</v>
      </c>
      <c r="C1190" t="s">
        <v>4148</v>
      </c>
      <c r="D1190" t="s">
        <v>2397</v>
      </c>
      <c r="E1190" t="s">
        <v>2544</v>
      </c>
      <c r="F1190" t="s">
        <v>2671</v>
      </c>
    </row>
    <row r="1191" spans="1:6" ht="15.5" x14ac:dyDescent="0.35">
      <c r="A1191" s="2" t="s">
        <v>1191</v>
      </c>
      <c r="B1191" s="2" t="s">
        <v>4149</v>
      </c>
      <c r="C1191" t="s">
        <v>2397</v>
      </c>
      <c r="D1191" t="s">
        <v>3803</v>
      </c>
      <c r="E1191" t="s">
        <v>2540</v>
      </c>
    </row>
    <row r="1192" spans="1:6" ht="15.5" x14ac:dyDescent="0.35">
      <c r="A1192" s="2" t="s">
        <v>1192</v>
      </c>
      <c r="B1192" s="2" t="s">
        <v>4150</v>
      </c>
      <c r="C1192" t="s">
        <v>2397</v>
      </c>
      <c r="D1192" t="s">
        <v>2619</v>
      </c>
      <c r="E1192" t="s">
        <v>2671</v>
      </c>
    </row>
    <row r="1193" spans="1:6" ht="15.5" x14ac:dyDescent="0.35">
      <c r="A1193" s="2" t="s">
        <v>1193</v>
      </c>
      <c r="B1193" s="2" t="s">
        <v>4151</v>
      </c>
      <c r="C1193" t="s">
        <v>2397</v>
      </c>
      <c r="D1193" t="s">
        <v>2863</v>
      </c>
    </row>
    <row r="1194" spans="1:6" ht="15.5" x14ac:dyDescent="0.35">
      <c r="A1194" s="2" t="s">
        <v>1194</v>
      </c>
      <c r="B1194" s="2" t="s">
        <v>4152</v>
      </c>
      <c r="C1194" t="s">
        <v>4153</v>
      </c>
      <c r="D1194" t="s">
        <v>2394</v>
      </c>
      <c r="E1194" t="s">
        <v>3019</v>
      </c>
    </row>
    <row r="1195" spans="1:6" ht="15.5" x14ac:dyDescent="0.35">
      <c r="A1195" s="2" t="s">
        <v>1195</v>
      </c>
      <c r="B1195" s="2" t="s">
        <v>4154</v>
      </c>
      <c r="C1195" t="s">
        <v>2394</v>
      </c>
      <c r="D1195" t="s">
        <v>2627</v>
      </c>
    </row>
    <row r="1196" spans="1:6" ht="15.5" x14ac:dyDescent="0.35">
      <c r="A1196" s="2" t="s">
        <v>1196</v>
      </c>
      <c r="B1196" s="2" t="s">
        <v>4155</v>
      </c>
      <c r="C1196" t="s">
        <v>2394</v>
      </c>
      <c r="D1196" t="s">
        <v>2518</v>
      </c>
    </row>
    <row r="1197" spans="1:6" ht="15.5" x14ac:dyDescent="0.35">
      <c r="A1197" s="2" t="s">
        <v>1197</v>
      </c>
      <c r="B1197" s="2" t="s">
        <v>4156</v>
      </c>
      <c r="C1197" t="s">
        <v>2394</v>
      </c>
      <c r="D1197" t="s">
        <v>3870</v>
      </c>
      <c r="E1197" t="s">
        <v>2700</v>
      </c>
    </row>
    <row r="1198" spans="1:6" ht="15.5" x14ac:dyDescent="0.35">
      <c r="A1198" s="2" t="s">
        <v>1198</v>
      </c>
      <c r="B1198" s="2" t="s">
        <v>4157</v>
      </c>
      <c r="C1198" t="s">
        <v>2394</v>
      </c>
      <c r="D1198" t="s">
        <v>3965</v>
      </c>
      <c r="E1198" t="s">
        <v>2625</v>
      </c>
    </row>
    <row r="1199" spans="1:6" ht="15.5" x14ac:dyDescent="0.35">
      <c r="A1199" s="2" t="s">
        <v>1199</v>
      </c>
      <c r="B1199" s="2" t="s">
        <v>4158</v>
      </c>
      <c r="C1199" t="s">
        <v>2397</v>
      </c>
      <c r="D1199" t="s">
        <v>3946</v>
      </c>
    </row>
    <row r="1200" spans="1:6" ht="15.5" x14ac:dyDescent="0.35">
      <c r="A1200" s="2" t="s">
        <v>1200</v>
      </c>
      <c r="B1200" s="2" t="s">
        <v>4159</v>
      </c>
      <c r="C1200" t="s">
        <v>2397</v>
      </c>
      <c r="D1200" t="s">
        <v>4160</v>
      </c>
    </row>
    <row r="1201" spans="1:5" ht="15.5" x14ac:dyDescent="0.35">
      <c r="A1201" s="2" t="s">
        <v>1201</v>
      </c>
      <c r="B1201" s="2" t="s">
        <v>4161</v>
      </c>
      <c r="C1201" t="s">
        <v>3231</v>
      </c>
      <c r="D1201" t="s">
        <v>3240</v>
      </c>
      <c r="E1201" t="s">
        <v>2482</v>
      </c>
    </row>
    <row r="1202" spans="1:5" ht="15.5" x14ac:dyDescent="0.35">
      <c r="A1202" s="2" t="s">
        <v>1202</v>
      </c>
      <c r="B1202" s="2" t="s">
        <v>3703</v>
      </c>
      <c r="C1202" t="s">
        <v>2397</v>
      </c>
      <c r="D1202" t="s">
        <v>2481</v>
      </c>
    </row>
    <row r="1203" spans="1:5" ht="15.5" x14ac:dyDescent="0.35">
      <c r="A1203" s="2" t="s">
        <v>1203</v>
      </c>
      <c r="B1203" s="2" t="s">
        <v>4162</v>
      </c>
      <c r="C1203" t="s">
        <v>3231</v>
      </c>
      <c r="D1203" t="s">
        <v>4041</v>
      </c>
      <c r="E1203" t="s">
        <v>2482</v>
      </c>
    </row>
    <row r="1204" spans="1:5" ht="15.5" x14ac:dyDescent="0.35">
      <c r="A1204" s="2" t="s">
        <v>1204</v>
      </c>
      <c r="B1204" s="2" t="s">
        <v>4163</v>
      </c>
      <c r="C1204" t="s">
        <v>2397</v>
      </c>
      <c r="D1204" t="s">
        <v>2686</v>
      </c>
      <c r="E1204" t="s">
        <v>2415</v>
      </c>
    </row>
    <row r="1205" spans="1:5" ht="15.5" x14ac:dyDescent="0.35">
      <c r="A1205" s="2" t="s">
        <v>1205</v>
      </c>
      <c r="B1205" s="2" t="s">
        <v>4164</v>
      </c>
      <c r="C1205" t="s">
        <v>2397</v>
      </c>
      <c r="D1205" t="s">
        <v>3015</v>
      </c>
    </row>
    <row r="1206" spans="1:5" ht="15.5" x14ac:dyDescent="0.35">
      <c r="A1206" s="2" t="s">
        <v>1206</v>
      </c>
      <c r="B1206" s="2" t="s">
        <v>4165</v>
      </c>
      <c r="C1206" t="s">
        <v>3231</v>
      </c>
      <c r="D1206" t="s">
        <v>4166</v>
      </c>
    </row>
    <row r="1207" spans="1:5" ht="15.5" x14ac:dyDescent="0.35">
      <c r="A1207" s="2" t="s">
        <v>1207</v>
      </c>
      <c r="B1207" s="2" t="s">
        <v>4167</v>
      </c>
      <c r="C1207" t="s">
        <v>2397</v>
      </c>
      <c r="D1207" t="s">
        <v>4168</v>
      </c>
    </row>
    <row r="1208" spans="1:5" ht="15.5" x14ac:dyDescent="0.35">
      <c r="A1208" s="2" t="s">
        <v>1208</v>
      </c>
      <c r="B1208" s="2" t="s">
        <v>4169</v>
      </c>
      <c r="C1208" t="s">
        <v>3023</v>
      </c>
      <c r="D1208" t="s">
        <v>3231</v>
      </c>
      <c r="E1208" t="s">
        <v>4170</v>
      </c>
    </row>
    <row r="1209" spans="1:5" ht="15.5" x14ac:dyDescent="0.35">
      <c r="A1209" s="2" t="s">
        <v>1209</v>
      </c>
      <c r="B1209" s="2" t="s">
        <v>3340</v>
      </c>
      <c r="C1209" t="s">
        <v>2394</v>
      </c>
      <c r="D1209" t="s">
        <v>4171</v>
      </c>
      <c r="E1209" t="s">
        <v>2561</v>
      </c>
    </row>
    <row r="1210" spans="1:5" ht="15.5" x14ac:dyDescent="0.35">
      <c r="A1210" s="2" t="s">
        <v>1210</v>
      </c>
      <c r="B1210" s="2" t="s">
        <v>4172</v>
      </c>
      <c r="C1210" t="s">
        <v>2397</v>
      </c>
      <c r="D1210" t="s">
        <v>4173</v>
      </c>
    </row>
    <row r="1211" spans="1:5" ht="15.5" x14ac:dyDescent="0.35">
      <c r="A1211" s="2" t="s">
        <v>1211</v>
      </c>
      <c r="B1211" s="2" t="s">
        <v>3428</v>
      </c>
      <c r="C1211" t="s">
        <v>2397</v>
      </c>
      <c r="D1211" t="s">
        <v>2398</v>
      </c>
    </row>
    <row r="1212" spans="1:5" ht="15.5" x14ac:dyDescent="0.35">
      <c r="A1212" s="2" t="s">
        <v>1212</v>
      </c>
      <c r="B1212" s="2" t="s">
        <v>4174</v>
      </c>
      <c r="C1212" t="s">
        <v>2397</v>
      </c>
      <c r="D1212" t="s">
        <v>4175</v>
      </c>
    </row>
    <row r="1213" spans="1:5" ht="15.5" x14ac:dyDescent="0.35">
      <c r="A1213" s="2" t="s">
        <v>1213</v>
      </c>
      <c r="B1213" s="2" t="s">
        <v>4176</v>
      </c>
      <c r="C1213" t="s">
        <v>2397</v>
      </c>
      <c r="D1213" t="s">
        <v>2714</v>
      </c>
    </row>
    <row r="1214" spans="1:5" ht="15.5" x14ac:dyDescent="0.35">
      <c r="A1214" s="2" t="s">
        <v>1214</v>
      </c>
      <c r="B1214" s="2" t="s">
        <v>4177</v>
      </c>
      <c r="C1214" t="s">
        <v>3231</v>
      </c>
      <c r="D1214" t="s">
        <v>2624</v>
      </c>
    </row>
    <row r="1215" spans="1:5" ht="15.5" x14ac:dyDescent="0.35">
      <c r="A1215" s="2" t="s">
        <v>1215</v>
      </c>
      <c r="B1215" s="2" t="s">
        <v>4178</v>
      </c>
      <c r="C1215" t="s">
        <v>2394</v>
      </c>
      <c r="D1215" t="s">
        <v>3519</v>
      </c>
    </row>
    <row r="1216" spans="1:5" ht="15.5" x14ac:dyDescent="0.35">
      <c r="A1216" s="2" t="s">
        <v>1216</v>
      </c>
      <c r="B1216" s="2" t="s">
        <v>4179</v>
      </c>
      <c r="C1216" t="s">
        <v>2397</v>
      </c>
      <c r="D1216" t="s">
        <v>2512</v>
      </c>
      <c r="E1216" t="s">
        <v>2766</v>
      </c>
    </row>
    <row r="1217" spans="1:5" ht="15.5" x14ac:dyDescent="0.35">
      <c r="A1217" s="2" t="s">
        <v>1217</v>
      </c>
      <c r="B1217" s="2" t="s">
        <v>4180</v>
      </c>
      <c r="C1217" t="s">
        <v>2394</v>
      </c>
      <c r="D1217" t="s">
        <v>4181</v>
      </c>
    </row>
    <row r="1218" spans="1:5" ht="15.5" x14ac:dyDescent="0.35">
      <c r="A1218" s="2" t="s">
        <v>1218</v>
      </c>
      <c r="B1218" s="2" t="s">
        <v>3591</v>
      </c>
      <c r="C1218" t="s">
        <v>2394</v>
      </c>
      <c r="D1218" t="s">
        <v>2840</v>
      </c>
      <c r="E1218" t="s">
        <v>2431</v>
      </c>
    </row>
    <row r="1219" spans="1:5" ht="15.5" x14ac:dyDescent="0.35">
      <c r="A1219" s="2" t="s">
        <v>1219</v>
      </c>
      <c r="B1219" s="2" t="s">
        <v>4182</v>
      </c>
      <c r="C1219" t="s">
        <v>2397</v>
      </c>
      <c r="D1219" t="s">
        <v>4183</v>
      </c>
      <c r="E1219" t="s">
        <v>4184</v>
      </c>
    </row>
    <row r="1220" spans="1:5" ht="15.5" x14ac:dyDescent="0.35">
      <c r="A1220" s="2" t="s">
        <v>1220</v>
      </c>
      <c r="B1220" s="2" t="s">
        <v>4185</v>
      </c>
      <c r="C1220" t="s">
        <v>2397</v>
      </c>
      <c r="D1220" t="s">
        <v>2412</v>
      </c>
    </row>
    <row r="1221" spans="1:5" ht="15.5" x14ac:dyDescent="0.35">
      <c r="A1221" s="2" t="s">
        <v>1221</v>
      </c>
      <c r="B1221" s="2" t="s">
        <v>4186</v>
      </c>
      <c r="C1221" t="s">
        <v>2397</v>
      </c>
      <c r="D1221" t="s">
        <v>4187</v>
      </c>
      <c r="E1221" t="s">
        <v>2482</v>
      </c>
    </row>
    <row r="1222" spans="1:5" ht="15.5" x14ac:dyDescent="0.35">
      <c r="A1222" s="2" t="s">
        <v>1222</v>
      </c>
      <c r="B1222" s="2" t="s">
        <v>4188</v>
      </c>
      <c r="C1222" t="s">
        <v>2397</v>
      </c>
      <c r="D1222" t="s">
        <v>4189</v>
      </c>
    </row>
    <row r="1223" spans="1:5" ht="15.5" x14ac:dyDescent="0.35">
      <c r="A1223" s="2" t="s">
        <v>1223</v>
      </c>
      <c r="B1223" s="2" t="s">
        <v>4190</v>
      </c>
      <c r="C1223" t="s">
        <v>2394</v>
      </c>
      <c r="D1223" t="s">
        <v>2542</v>
      </c>
      <c r="E1223" t="s">
        <v>2540</v>
      </c>
    </row>
    <row r="1224" spans="1:5" ht="15.5" x14ac:dyDescent="0.35">
      <c r="A1224" s="2" t="s">
        <v>1224</v>
      </c>
      <c r="B1224" s="2" t="s">
        <v>4191</v>
      </c>
      <c r="C1224" t="s">
        <v>2394</v>
      </c>
      <c r="D1224" t="s">
        <v>3240</v>
      </c>
      <c r="E1224" t="s">
        <v>2467</v>
      </c>
    </row>
    <row r="1225" spans="1:5" ht="15.5" x14ac:dyDescent="0.35">
      <c r="A1225" s="2" t="s">
        <v>1225</v>
      </c>
      <c r="B1225" s="2" t="s">
        <v>2954</v>
      </c>
      <c r="C1225" t="s">
        <v>2397</v>
      </c>
      <c r="D1225" t="s">
        <v>4192</v>
      </c>
      <c r="E1225" t="s">
        <v>2643</v>
      </c>
    </row>
    <row r="1226" spans="1:5" ht="15.5" x14ac:dyDescent="0.35">
      <c r="A1226" s="2" t="s">
        <v>1226</v>
      </c>
      <c r="B1226" s="2" t="s">
        <v>2511</v>
      </c>
      <c r="C1226" t="s">
        <v>2394</v>
      </c>
      <c r="D1226" t="s">
        <v>4193</v>
      </c>
    </row>
    <row r="1227" spans="1:5" ht="15.5" x14ac:dyDescent="0.35">
      <c r="A1227" s="2" t="s">
        <v>1227</v>
      </c>
      <c r="B1227" s="2" t="s">
        <v>4194</v>
      </c>
      <c r="C1227" t="s">
        <v>2397</v>
      </c>
      <c r="D1227" t="s">
        <v>4195</v>
      </c>
    </row>
    <row r="1228" spans="1:5" ht="15.5" x14ac:dyDescent="0.35">
      <c r="A1228" s="2" t="s">
        <v>1228</v>
      </c>
      <c r="B1228" s="2" t="s">
        <v>4196</v>
      </c>
      <c r="C1228" t="s">
        <v>2394</v>
      </c>
      <c r="D1228" t="s">
        <v>2403</v>
      </c>
      <c r="E1228" t="s">
        <v>2467</v>
      </c>
    </row>
    <row r="1229" spans="1:5" ht="15.5" x14ac:dyDescent="0.35">
      <c r="A1229" s="2" t="s">
        <v>1229</v>
      </c>
      <c r="B1229" s="2" t="s">
        <v>4197</v>
      </c>
      <c r="C1229" t="s">
        <v>2397</v>
      </c>
      <c r="D1229" t="s">
        <v>2412</v>
      </c>
      <c r="E1229" t="s">
        <v>2436</v>
      </c>
    </row>
    <row r="1230" spans="1:5" ht="15.5" x14ac:dyDescent="0.35">
      <c r="A1230" s="2" t="s">
        <v>1230</v>
      </c>
      <c r="B1230" s="2" t="s">
        <v>4198</v>
      </c>
      <c r="C1230" t="s">
        <v>2397</v>
      </c>
      <c r="D1230" t="s">
        <v>2863</v>
      </c>
    </row>
    <row r="1231" spans="1:5" ht="15.5" x14ac:dyDescent="0.35">
      <c r="A1231" s="2" t="s">
        <v>1231</v>
      </c>
      <c r="B1231" s="2" t="s">
        <v>4199</v>
      </c>
      <c r="C1231" t="s">
        <v>2394</v>
      </c>
      <c r="D1231" t="s">
        <v>2533</v>
      </c>
      <c r="E1231" t="s">
        <v>2448</v>
      </c>
    </row>
    <row r="1232" spans="1:5" ht="15.5" x14ac:dyDescent="0.35">
      <c r="A1232" s="2" t="s">
        <v>1232</v>
      </c>
      <c r="B1232" s="2" t="s">
        <v>4200</v>
      </c>
      <c r="C1232" t="s">
        <v>2394</v>
      </c>
      <c r="D1232" t="s">
        <v>2504</v>
      </c>
      <c r="E1232" t="s">
        <v>2590</v>
      </c>
    </row>
    <row r="1233" spans="1:5" ht="15.5" x14ac:dyDescent="0.35">
      <c r="A1233" s="2" t="s">
        <v>1233</v>
      </c>
      <c r="B1233" s="2" t="s">
        <v>4201</v>
      </c>
      <c r="C1233" t="s">
        <v>2394</v>
      </c>
      <c r="D1233" t="s">
        <v>3260</v>
      </c>
      <c r="E1233" t="s">
        <v>2806</v>
      </c>
    </row>
    <row r="1234" spans="1:5" ht="15.5" x14ac:dyDescent="0.35">
      <c r="A1234" s="2" t="s">
        <v>1234</v>
      </c>
      <c r="B1234" s="2" t="s">
        <v>4202</v>
      </c>
      <c r="C1234" t="s">
        <v>2397</v>
      </c>
      <c r="D1234" t="s">
        <v>4203</v>
      </c>
      <c r="E1234" t="s">
        <v>4204</v>
      </c>
    </row>
    <row r="1235" spans="1:5" ht="15.5" x14ac:dyDescent="0.35">
      <c r="A1235" s="2" t="s">
        <v>1235</v>
      </c>
      <c r="B1235" s="2" t="s">
        <v>3936</v>
      </c>
      <c r="C1235" t="s">
        <v>2397</v>
      </c>
      <c r="D1235" t="s">
        <v>2443</v>
      </c>
      <c r="E1235" t="s">
        <v>3989</v>
      </c>
    </row>
    <row r="1236" spans="1:5" ht="15.5" x14ac:dyDescent="0.35">
      <c r="A1236" s="2" t="s">
        <v>1236</v>
      </c>
      <c r="B1236" s="2" t="s">
        <v>4205</v>
      </c>
      <c r="C1236" t="s">
        <v>3231</v>
      </c>
      <c r="D1236" t="s">
        <v>2774</v>
      </c>
      <c r="E1236" t="s">
        <v>2482</v>
      </c>
    </row>
    <row r="1237" spans="1:5" ht="15.5" x14ac:dyDescent="0.35">
      <c r="A1237" s="2" t="s">
        <v>1237</v>
      </c>
      <c r="B1237" s="2" t="s">
        <v>4206</v>
      </c>
      <c r="C1237" t="s">
        <v>3231</v>
      </c>
      <c r="D1237" t="s">
        <v>3234</v>
      </c>
      <c r="E1237" t="s">
        <v>2448</v>
      </c>
    </row>
    <row r="1238" spans="1:5" ht="15.5" x14ac:dyDescent="0.35">
      <c r="A1238" s="2" t="s">
        <v>1238</v>
      </c>
      <c r="B1238" s="2" t="s">
        <v>4207</v>
      </c>
      <c r="C1238" t="s">
        <v>2394</v>
      </c>
      <c r="D1238" t="s">
        <v>2536</v>
      </c>
      <c r="E1238" t="s">
        <v>2431</v>
      </c>
    </row>
    <row r="1239" spans="1:5" ht="15.5" x14ac:dyDescent="0.35">
      <c r="A1239" s="2" t="s">
        <v>1239</v>
      </c>
      <c r="B1239" s="2" t="s">
        <v>4208</v>
      </c>
      <c r="C1239" t="s">
        <v>2397</v>
      </c>
      <c r="D1239" t="s">
        <v>2714</v>
      </c>
    </row>
    <row r="1240" spans="1:5" ht="15.5" x14ac:dyDescent="0.35">
      <c r="A1240" s="2" t="s">
        <v>1240</v>
      </c>
      <c r="B1240" s="2" t="s">
        <v>4209</v>
      </c>
      <c r="C1240" t="s">
        <v>2397</v>
      </c>
      <c r="D1240" t="s">
        <v>4210</v>
      </c>
    </row>
    <row r="1241" spans="1:5" ht="15.5" x14ac:dyDescent="0.35">
      <c r="A1241" s="2" t="s">
        <v>1241</v>
      </c>
      <c r="B1241" s="2" t="s">
        <v>4211</v>
      </c>
      <c r="C1241" t="s">
        <v>2394</v>
      </c>
      <c r="D1241" t="s">
        <v>4212</v>
      </c>
    </row>
    <row r="1242" spans="1:5" ht="15.5" x14ac:dyDescent="0.35">
      <c r="A1242" s="2" t="s">
        <v>1242</v>
      </c>
      <c r="B1242" s="2" t="s">
        <v>4213</v>
      </c>
      <c r="C1242" t="s">
        <v>2397</v>
      </c>
      <c r="D1242" t="s">
        <v>2714</v>
      </c>
      <c r="E1242" t="s">
        <v>2680</v>
      </c>
    </row>
    <row r="1243" spans="1:5" ht="15.5" x14ac:dyDescent="0.35">
      <c r="A1243" s="2" t="s">
        <v>1243</v>
      </c>
      <c r="B1243" s="2" t="s">
        <v>3804</v>
      </c>
      <c r="C1243" t="s">
        <v>3231</v>
      </c>
      <c r="D1243" t="s">
        <v>4214</v>
      </c>
    </row>
    <row r="1244" spans="1:5" ht="15.5" x14ac:dyDescent="0.35">
      <c r="A1244" s="2" t="s">
        <v>1244</v>
      </c>
      <c r="B1244" s="2" t="s">
        <v>4215</v>
      </c>
      <c r="C1244" t="s">
        <v>2397</v>
      </c>
      <c r="D1244" t="s">
        <v>4216</v>
      </c>
    </row>
    <row r="1245" spans="1:5" ht="15.5" x14ac:dyDescent="0.35">
      <c r="A1245" s="2" t="s">
        <v>1245</v>
      </c>
      <c r="B1245" s="2" t="s">
        <v>4217</v>
      </c>
      <c r="C1245" t="s">
        <v>2394</v>
      </c>
      <c r="D1245" t="s">
        <v>4001</v>
      </c>
    </row>
    <row r="1246" spans="1:5" ht="15.5" x14ac:dyDescent="0.35">
      <c r="A1246" s="2" t="s">
        <v>1246</v>
      </c>
      <c r="B1246" s="2" t="s">
        <v>4163</v>
      </c>
      <c r="C1246" t="s">
        <v>2394</v>
      </c>
      <c r="D1246" t="s">
        <v>4218</v>
      </c>
      <c r="E1246" t="s">
        <v>2467</v>
      </c>
    </row>
    <row r="1247" spans="1:5" ht="15.5" x14ac:dyDescent="0.35">
      <c r="A1247" s="2" t="s">
        <v>1247</v>
      </c>
      <c r="B1247" s="2" t="s">
        <v>4219</v>
      </c>
      <c r="C1247" t="s">
        <v>2397</v>
      </c>
      <c r="D1247" t="s">
        <v>4220</v>
      </c>
    </row>
    <row r="1248" spans="1:5" ht="15.5" x14ac:dyDescent="0.35">
      <c r="A1248" s="2" t="s">
        <v>1248</v>
      </c>
      <c r="B1248" s="2" t="s">
        <v>4221</v>
      </c>
      <c r="C1248" t="s">
        <v>2397</v>
      </c>
      <c r="D1248" t="s">
        <v>3568</v>
      </c>
    </row>
    <row r="1249" spans="1:6" ht="15.5" x14ac:dyDescent="0.35">
      <c r="A1249" s="2" t="s">
        <v>1249</v>
      </c>
      <c r="B1249" s="2" t="s">
        <v>4222</v>
      </c>
      <c r="C1249" t="s">
        <v>2397</v>
      </c>
      <c r="D1249" t="s">
        <v>3105</v>
      </c>
    </row>
    <row r="1250" spans="1:6" ht="15.5" x14ac:dyDescent="0.35">
      <c r="A1250" s="2" t="s">
        <v>1250</v>
      </c>
      <c r="B1250" s="2" t="s">
        <v>4223</v>
      </c>
      <c r="C1250" t="s">
        <v>2397</v>
      </c>
      <c r="D1250" t="s">
        <v>2452</v>
      </c>
    </row>
    <row r="1251" spans="1:6" ht="15.5" x14ac:dyDescent="0.35">
      <c r="A1251" s="2" t="s">
        <v>1251</v>
      </c>
      <c r="B1251" s="2" t="s">
        <v>4224</v>
      </c>
      <c r="C1251" t="s">
        <v>2394</v>
      </c>
      <c r="D1251" t="s">
        <v>3205</v>
      </c>
      <c r="E1251" t="s">
        <v>2482</v>
      </c>
    </row>
    <row r="1252" spans="1:6" ht="15.5" x14ac:dyDescent="0.35">
      <c r="A1252" s="2" t="s">
        <v>1252</v>
      </c>
      <c r="B1252" s="2" t="s">
        <v>2600</v>
      </c>
      <c r="C1252" t="s">
        <v>2505</v>
      </c>
      <c r="D1252" t="s">
        <v>4225</v>
      </c>
      <c r="E1252" t="s">
        <v>2397</v>
      </c>
      <c r="F1252" t="s">
        <v>4226</v>
      </c>
    </row>
    <row r="1253" spans="1:6" ht="15.5" x14ac:dyDescent="0.35">
      <c r="A1253" s="2" t="s">
        <v>1253</v>
      </c>
      <c r="B1253" s="2" t="s">
        <v>4227</v>
      </c>
      <c r="C1253" t="s">
        <v>2397</v>
      </c>
      <c r="D1253" t="s">
        <v>3419</v>
      </c>
    </row>
    <row r="1254" spans="1:6" ht="15.5" x14ac:dyDescent="0.35">
      <c r="A1254" s="2" t="s">
        <v>1254</v>
      </c>
      <c r="B1254" s="2" t="s">
        <v>4228</v>
      </c>
      <c r="C1254" t="s">
        <v>2394</v>
      </c>
      <c r="D1254" t="s">
        <v>4001</v>
      </c>
      <c r="E1254" t="s">
        <v>2482</v>
      </c>
    </row>
    <row r="1255" spans="1:6" ht="15.5" x14ac:dyDescent="0.35">
      <c r="A1255" s="2" t="s">
        <v>1255</v>
      </c>
      <c r="B1255" s="2" t="s">
        <v>4229</v>
      </c>
      <c r="C1255" t="s">
        <v>3231</v>
      </c>
      <c r="D1255" t="s">
        <v>2435</v>
      </c>
    </row>
    <row r="1256" spans="1:6" ht="15.5" x14ac:dyDescent="0.35">
      <c r="A1256" s="2" t="s">
        <v>1256</v>
      </c>
      <c r="B1256" s="2" t="s">
        <v>4230</v>
      </c>
      <c r="C1256" t="s">
        <v>2394</v>
      </c>
      <c r="D1256" t="s">
        <v>3361</v>
      </c>
      <c r="E1256" t="s">
        <v>2696</v>
      </c>
    </row>
    <row r="1257" spans="1:6" ht="15.5" x14ac:dyDescent="0.35">
      <c r="A1257" s="2" t="s">
        <v>1257</v>
      </c>
      <c r="B1257" s="2" t="s">
        <v>4231</v>
      </c>
      <c r="C1257" t="s">
        <v>2394</v>
      </c>
      <c r="D1257" t="s">
        <v>3171</v>
      </c>
      <c r="E1257" t="s">
        <v>2519</v>
      </c>
    </row>
    <row r="1258" spans="1:6" ht="15.5" x14ac:dyDescent="0.35">
      <c r="A1258" s="2" t="s">
        <v>1258</v>
      </c>
      <c r="B1258" s="2" t="s">
        <v>4232</v>
      </c>
      <c r="C1258" t="s">
        <v>2397</v>
      </c>
      <c r="D1258" t="s">
        <v>2701</v>
      </c>
    </row>
    <row r="1259" spans="1:6" ht="15.5" x14ac:dyDescent="0.35">
      <c r="A1259" s="2" t="s">
        <v>1259</v>
      </c>
      <c r="B1259" s="2" t="s">
        <v>4233</v>
      </c>
      <c r="C1259" t="s">
        <v>2394</v>
      </c>
      <c r="D1259" t="s">
        <v>4234</v>
      </c>
    </row>
    <row r="1260" spans="1:6" ht="15.5" x14ac:dyDescent="0.35">
      <c r="A1260" s="2" t="s">
        <v>1260</v>
      </c>
      <c r="B1260" s="2" t="s">
        <v>4235</v>
      </c>
      <c r="C1260" t="s">
        <v>2397</v>
      </c>
      <c r="D1260" t="s">
        <v>4236</v>
      </c>
    </row>
    <row r="1261" spans="1:6" ht="15.5" x14ac:dyDescent="0.35">
      <c r="A1261" s="2" t="s">
        <v>1261</v>
      </c>
      <c r="B1261" s="2" t="s">
        <v>3909</v>
      </c>
      <c r="C1261" t="s">
        <v>2397</v>
      </c>
      <c r="D1261" t="s">
        <v>4237</v>
      </c>
    </row>
    <row r="1262" spans="1:6" ht="15.5" x14ac:dyDescent="0.35">
      <c r="A1262" s="2" t="s">
        <v>1262</v>
      </c>
      <c r="B1262" s="2" t="s">
        <v>4238</v>
      </c>
      <c r="C1262" t="s">
        <v>2397</v>
      </c>
      <c r="D1262" t="s">
        <v>2859</v>
      </c>
    </row>
    <row r="1263" spans="1:6" ht="15.5" x14ac:dyDescent="0.35">
      <c r="A1263" s="2" t="s">
        <v>1263</v>
      </c>
      <c r="B1263" s="2" t="s">
        <v>4239</v>
      </c>
      <c r="C1263" t="s">
        <v>2394</v>
      </c>
      <c r="D1263" t="s">
        <v>4240</v>
      </c>
    </row>
    <row r="1264" spans="1:6" ht="15.5" x14ac:dyDescent="0.35">
      <c r="A1264" s="2" t="s">
        <v>1264</v>
      </c>
      <c r="B1264" s="2" t="s">
        <v>4241</v>
      </c>
      <c r="C1264" t="s">
        <v>2394</v>
      </c>
      <c r="D1264" t="s">
        <v>2774</v>
      </c>
      <c r="E1264" t="s">
        <v>2680</v>
      </c>
    </row>
    <row r="1265" spans="1:5" ht="15.5" x14ac:dyDescent="0.35">
      <c r="A1265" s="2" t="s">
        <v>1265</v>
      </c>
      <c r="B1265" s="2" t="s">
        <v>4242</v>
      </c>
      <c r="C1265" t="s">
        <v>2397</v>
      </c>
      <c r="D1265" t="s">
        <v>4243</v>
      </c>
    </row>
    <row r="1266" spans="1:5" ht="15.5" x14ac:dyDescent="0.35">
      <c r="A1266" s="2" t="s">
        <v>1266</v>
      </c>
      <c r="B1266" s="2" t="s">
        <v>2505</v>
      </c>
      <c r="C1266" t="s">
        <v>4244</v>
      </c>
      <c r="D1266" t="s">
        <v>2397</v>
      </c>
      <c r="E1266" t="s">
        <v>4245</v>
      </c>
    </row>
    <row r="1267" spans="1:5" ht="15.5" x14ac:dyDescent="0.35">
      <c r="A1267" s="2" t="s">
        <v>1267</v>
      </c>
      <c r="B1267" s="2" t="s">
        <v>4246</v>
      </c>
      <c r="C1267" t="s">
        <v>2397</v>
      </c>
      <c r="D1267" t="s">
        <v>2804</v>
      </c>
    </row>
    <row r="1268" spans="1:5" ht="15.5" x14ac:dyDescent="0.35">
      <c r="A1268" s="2" t="s">
        <v>1268</v>
      </c>
      <c r="B1268" s="2" t="s">
        <v>4247</v>
      </c>
      <c r="C1268" t="s">
        <v>2397</v>
      </c>
      <c r="D1268" t="s">
        <v>2503</v>
      </c>
      <c r="E1268" t="s">
        <v>2671</v>
      </c>
    </row>
    <row r="1269" spans="1:5" ht="15.5" x14ac:dyDescent="0.35">
      <c r="A1269" s="2" t="s">
        <v>1269</v>
      </c>
      <c r="B1269" s="2" t="s">
        <v>4248</v>
      </c>
      <c r="C1269" t="s">
        <v>2394</v>
      </c>
      <c r="D1269" t="s">
        <v>4249</v>
      </c>
      <c r="E1269" t="s">
        <v>4250</v>
      </c>
    </row>
    <row r="1270" spans="1:5" ht="15.5" x14ac:dyDescent="0.35">
      <c r="A1270" s="2" t="s">
        <v>1270</v>
      </c>
      <c r="B1270" s="2" t="s">
        <v>4251</v>
      </c>
      <c r="C1270" t="s">
        <v>2394</v>
      </c>
      <c r="D1270" t="s">
        <v>4240</v>
      </c>
    </row>
    <row r="1271" spans="1:5" ht="15.5" x14ac:dyDescent="0.35">
      <c r="A1271" s="2" t="s">
        <v>1271</v>
      </c>
      <c r="B1271" s="2" t="s">
        <v>2773</v>
      </c>
      <c r="C1271" t="s">
        <v>2394</v>
      </c>
      <c r="D1271" t="s">
        <v>2435</v>
      </c>
      <c r="E1271" t="s">
        <v>2555</v>
      </c>
    </row>
    <row r="1272" spans="1:5" ht="15.5" x14ac:dyDescent="0.35">
      <c r="A1272" s="2" t="s">
        <v>1272</v>
      </c>
      <c r="B1272" s="2" t="s">
        <v>2695</v>
      </c>
      <c r="C1272" t="s">
        <v>2397</v>
      </c>
      <c r="D1272" t="s">
        <v>2701</v>
      </c>
      <c r="E1272" t="s">
        <v>2462</v>
      </c>
    </row>
    <row r="1273" spans="1:5" ht="15.5" x14ac:dyDescent="0.35">
      <c r="A1273" s="2" t="s">
        <v>1273</v>
      </c>
      <c r="B1273" s="2" t="s">
        <v>4252</v>
      </c>
      <c r="C1273" t="s">
        <v>2397</v>
      </c>
      <c r="D1273" t="s">
        <v>4253</v>
      </c>
      <c r="E1273" t="s">
        <v>2448</v>
      </c>
    </row>
    <row r="1274" spans="1:5" ht="15.5" x14ac:dyDescent="0.35">
      <c r="A1274" s="2" t="s">
        <v>1274</v>
      </c>
      <c r="B1274" s="2" t="s">
        <v>4254</v>
      </c>
      <c r="C1274" t="s">
        <v>2397</v>
      </c>
      <c r="D1274" t="s">
        <v>3558</v>
      </c>
      <c r="E1274" t="s">
        <v>2482</v>
      </c>
    </row>
    <row r="1275" spans="1:5" ht="15.5" x14ac:dyDescent="0.35">
      <c r="A1275" s="2" t="s">
        <v>1275</v>
      </c>
      <c r="B1275" s="2" t="s">
        <v>4255</v>
      </c>
      <c r="C1275" t="s">
        <v>2397</v>
      </c>
      <c r="D1275" t="s">
        <v>2619</v>
      </c>
      <c r="E1275" t="s">
        <v>2399</v>
      </c>
    </row>
    <row r="1276" spans="1:5" ht="15.5" x14ac:dyDescent="0.35">
      <c r="A1276" s="2" t="s">
        <v>1276</v>
      </c>
      <c r="B1276" s="2" t="s">
        <v>4256</v>
      </c>
      <c r="C1276" t="s">
        <v>2397</v>
      </c>
      <c r="D1276" t="s">
        <v>2457</v>
      </c>
    </row>
    <row r="1277" spans="1:5" ht="15.5" x14ac:dyDescent="0.35">
      <c r="A1277" s="2" t="s">
        <v>1277</v>
      </c>
      <c r="B1277" s="2" t="s">
        <v>3883</v>
      </c>
      <c r="C1277" t="s">
        <v>2397</v>
      </c>
      <c r="D1277" t="s">
        <v>3406</v>
      </c>
      <c r="E1277" t="s">
        <v>2482</v>
      </c>
    </row>
    <row r="1278" spans="1:5" ht="15.5" x14ac:dyDescent="0.35">
      <c r="A1278" s="2" t="s">
        <v>1278</v>
      </c>
      <c r="B1278" s="2" t="s">
        <v>4257</v>
      </c>
      <c r="C1278" t="s">
        <v>2394</v>
      </c>
      <c r="D1278" t="s">
        <v>4258</v>
      </c>
      <c r="E1278" t="s">
        <v>2555</v>
      </c>
    </row>
    <row r="1279" spans="1:5" ht="15.5" x14ac:dyDescent="0.35">
      <c r="A1279" s="2" t="s">
        <v>1279</v>
      </c>
      <c r="B1279" s="2" t="s">
        <v>4259</v>
      </c>
      <c r="C1279" t="s">
        <v>2394</v>
      </c>
      <c r="D1279" t="s">
        <v>2733</v>
      </c>
      <c r="E1279" t="s">
        <v>2501</v>
      </c>
    </row>
    <row r="1280" spans="1:5" ht="15.5" x14ac:dyDescent="0.35">
      <c r="A1280" s="2" t="s">
        <v>1280</v>
      </c>
      <c r="B1280" s="2" t="s">
        <v>4260</v>
      </c>
      <c r="C1280" t="s">
        <v>2394</v>
      </c>
      <c r="D1280" t="s">
        <v>3287</v>
      </c>
    </row>
    <row r="1281" spans="1:6" ht="15.5" x14ac:dyDescent="0.35">
      <c r="A1281" s="2" t="s">
        <v>1281</v>
      </c>
      <c r="B1281" s="2" t="s">
        <v>4261</v>
      </c>
      <c r="C1281" t="s">
        <v>2397</v>
      </c>
      <c r="D1281" t="s">
        <v>4262</v>
      </c>
      <c r="E1281" t="s">
        <v>2448</v>
      </c>
      <c r="F1281" t="s">
        <v>3989</v>
      </c>
    </row>
    <row r="1282" spans="1:6" ht="15.5" x14ac:dyDescent="0.35">
      <c r="A1282" s="2" t="s">
        <v>1282</v>
      </c>
      <c r="B1282" s="2" t="s">
        <v>4263</v>
      </c>
      <c r="C1282" t="s">
        <v>2397</v>
      </c>
      <c r="D1282" t="s">
        <v>2711</v>
      </c>
    </row>
    <row r="1283" spans="1:6" ht="15.5" x14ac:dyDescent="0.35">
      <c r="A1283" s="2" t="s">
        <v>1283</v>
      </c>
      <c r="B1283" s="2" t="s">
        <v>4264</v>
      </c>
      <c r="C1283" t="s">
        <v>2394</v>
      </c>
      <c r="D1283" t="s">
        <v>2435</v>
      </c>
      <c r="E1283" t="s">
        <v>2472</v>
      </c>
    </row>
    <row r="1284" spans="1:6" ht="15.5" x14ac:dyDescent="0.35">
      <c r="A1284" s="2" t="s">
        <v>1284</v>
      </c>
      <c r="B1284" s="2" t="s">
        <v>2864</v>
      </c>
      <c r="C1284" t="s">
        <v>2397</v>
      </c>
      <c r="D1284" t="s">
        <v>2830</v>
      </c>
    </row>
    <row r="1285" spans="1:6" ht="15.5" x14ac:dyDescent="0.35">
      <c r="A1285" s="2" t="s">
        <v>1285</v>
      </c>
      <c r="B1285" s="2" t="s">
        <v>4265</v>
      </c>
      <c r="C1285" t="s">
        <v>2394</v>
      </c>
      <c r="D1285" t="s">
        <v>4266</v>
      </c>
      <c r="E1285" t="s">
        <v>2625</v>
      </c>
    </row>
    <row r="1286" spans="1:6" ht="15.5" x14ac:dyDescent="0.35">
      <c r="A1286" s="2" t="s">
        <v>1286</v>
      </c>
      <c r="B1286" s="2" t="s">
        <v>4267</v>
      </c>
      <c r="C1286" t="s">
        <v>2394</v>
      </c>
      <c r="D1286" t="s">
        <v>2585</v>
      </c>
      <c r="E1286" t="s">
        <v>2519</v>
      </c>
    </row>
    <row r="1287" spans="1:6" ht="15.5" x14ac:dyDescent="0.35">
      <c r="A1287" s="2" t="s">
        <v>1287</v>
      </c>
      <c r="B1287" s="2" t="s">
        <v>4268</v>
      </c>
      <c r="C1287" t="s">
        <v>2394</v>
      </c>
      <c r="D1287" t="s">
        <v>2533</v>
      </c>
      <c r="E1287" t="s">
        <v>2431</v>
      </c>
    </row>
    <row r="1288" spans="1:6" ht="15.5" x14ac:dyDescent="0.35">
      <c r="A1288" s="2" t="s">
        <v>1288</v>
      </c>
      <c r="B1288" s="2" t="s">
        <v>2425</v>
      </c>
      <c r="C1288" t="s">
        <v>2394</v>
      </c>
      <c r="D1288" t="s">
        <v>2657</v>
      </c>
      <c r="E1288" t="s">
        <v>2436</v>
      </c>
    </row>
    <row r="1289" spans="1:6" ht="15.5" x14ac:dyDescent="0.35">
      <c r="A1289" s="2" t="s">
        <v>1289</v>
      </c>
      <c r="B1289" s="2" t="s">
        <v>4269</v>
      </c>
      <c r="C1289" t="s">
        <v>2394</v>
      </c>
      <c r="D1289" t="s">
        <v>2774</v>
      </c>
    </row>
    <row r="1290" spans="1:6" ht="15.5" x14ac:dyDescent="0.35">
      <c r="A1290" s="2" t="s">
        <v>1290</v>
      </c>
      <c r="B1290" s="2" t="s">
        <v>4270</v>
      </c>
      <c r="C1290" t="s">
        <v>2394</v>
      </c>
      <c r="D1290" t="s">
        <v>4271</v>
      </c>
      <c r="E1290" t="s">
        <v>2467</v>
      </c>
    </row>
    <row r="1291" spans="1:6" ht="15.5" x14ac:dyDescent="0.35">
      <c r="A1291" s="2" t="s">
        <v>1291</v>
      </c>
      <c r="B1291" s="2" t="s">
        <v>4272</v>
      </c>
      <c r="C1291" t="s">
        <v>2394</v>
      </c>
      <c r="D1291" t="s">
        <v>4271</v>
      </c>
    </row>
    <row r="1292" spans="1:6" ht="15.5" x14ac:dyDescent="0.35">
      <c r="A1292" s="2" t="s">
        <v>1292</v>
      </c>
      <c r="B1292" s="2" t="s">
        <v>4273</v>
      </c>
      <c r="C1292" t="s">
        <v>2394</v>
      </c>
      <c r="D1292" t="s">
        <v>2525</v>
      </c>
    </row>
    <row r="1293" spans="1:6" ht="15.5" x14ac:dyDescent="0.35">
      <c r="A1293" s="2" t="s">
        <v>1293</v>
      </c>
      <c r="B1293" s="2" t="s">
        <v>4274</v>
      </c>
      <c r="C1293" t="s">
        <v>2394</v>
      </c>
      <c r="D1293" t="s">
        <v>3287</v>
      </c>
    </row>
    <row r="1294" spans="1:6" ht="15.5" x14ac:dyDescent="0.35">
      <c r="A1294" s="2" t="s">
        <v>1294</v>
      </c>
      <c r="B1294" s="2" t="s">
        <v>4275</v>
      </c>
      <c r="C1294" t="s">
        <v>2394</v>
      </c>
      <c r="D1294" t="s">
        <v>2769</v>
      </c>
      <c r="E1294" t="s">
        <v>2723</v>
      </c>
    </row>
    <row r="1295" spans="1:6" ht="15.5" x14ac:dyDescent="0.35">
      <c r="A1295" s="2" t="s">
        <v>1295</v>
      </c>
      <c r="B1295" s="2" t="s">
        <v>4276</v>
      </c>
      <c r="C1295" t="s">
        <v>2394</v>
      </c>
      <c r="D1295" t="s">
        <v>4277</v>
      </c>
      <c r="E1295" t="s">
        <v>2399</v>
      </c>
    </row>
    <row r="1296" spans="1:6" ht="15.5" x14ac:dyDescent="0.35">
      <c r="A1296" s="2" t="s">
        <v>1296</v>
      </c>
      <c r="B1296" s="2" t="s">
        <v>4278</v>
      </c>
      <c r="C1296" t="s">
        <v>2397</v>
      </c>
      <c r="D1296" t="s">
        <v>4279</v>
      </c>
    </row>
    <row r="1297" spans="1:5" ht="15.5" x14ac:dyDescent="0.35">
      <c r="A1297" s="2" t="s">
        <v>1297</v>
      </c>
      <c r="B1297" s="2" t="s">
        <v>4280</v>
      </c>
      <c r="C1297" t="s">
        <v>2394</v>
      </c>
      <c r="D1297" t="s">
        <v>3369</v>
      </c>
    </row>
    <row r="1298" spans="1:5" ht="15.5" x14ac:dyDescent="0.35">
      <c r="A1298" s="2" t="s">
        <v>1298</v>
      </c>
      <c r="B1298" s="2" t="s">
        <v>4281</v>
      </c>
      <c r="C1298" t="s">
        <v>2397</v>
      </c>
      <c r="D1298" t="s">
        <v>3474</v>
      </c>
      <c r="E1298" t="s">
        <v>2680</v>
      </c>
    </row>
    <row r="1299" spans="1:5" ht="15.5" x14ac:dyDescent="0.35">
      <c r="A1299" s="2" t="s">
        <v>1299</v>
      </c>
      <c r="B1299" s="2" t="s">
        <v>3444</v>
      </c>
      <c r="C1299" t="s">
        <v>3231</v>
      </c>
      <c r="D1299" t="s">
        <v>3108</v>
      </c>
      <c r="E1299" t="s">
        <v>4282</v>
      </c>
    </row>
    <row r="1300" spans="1:5" ht="15.5" x14ac:dyDescent="0.35">
      <c r="A1300" s="2" t="s">
        <v>1300</v>
      </c>
      <c r="B1300" s="2" t="s">
        <v>4028</v>
      </c>
      <c r="C1300" t="s">
        <v>2394</v>
      </c>
      <c r="D1300" t="s">
        <v>3441</v>
      </c>
    </row>
    <row r="1301" spans="1:5" ht="15.5" x14ac:dyDescent="0.35">
      <c r="A1301" s="2" t="s">
        <v>1301</v>
      </c>
      <c r="B1301" s="2" t="s">
        <v>4283</v>
      </c>
      <c r="C1301" t="s">
        <v>2397</v>
      </c>
      <c r="D1301" t="s">
        <v>2489</v>
      </c>
    </row>
    <row r="1302" spans="1:5" ht="15.5" x14ac:dyDescent="0.35">
      <c r="A1302" s="2" t="s">
        <v>1302</v>
      </c>
      <c r="B1302" s="2" t="s">
        <v>4284</v>
      </c>
      <c r="C1302" t="s">
        <v>2397</v>
      </c>
      <c r="D1302" t="s">
        <v>4285</v>
      </c>
    </row>
    <row r="1303" spans="1:5" ht="15.5" x14ac:dyDescent="0.35">
      <c r="A1303" s="2" t="s">
        <v>1303</v>
      </c>
      <c r="B1303" s="2" t="s">
        <v>4286</v>
      </c>
      <c r="C1303" t="s">
        <v>2397</v>
      </c>
      <c r="D1303" t="s">
        <v>4195</v>
      </c>
      <c r="E1303" t="s">
        <v>2700</v>
      </c>
    </row>
    <row r="1304" spans="1:5" ht="15.5" x14ac:dyDescent="0.35">
      <c r="A1304" s="2" t="s">
        <v>1304</v>
      </c>
      <c r="B1304" s="2" t="s">
        <v>4287</v>
      </c>
      <c r="C1304" t="s">
        <v>2397</v>
      </c>
      <c r="D1304" t="s">
        <v>4288</v>
      </c>
    </row>
    <row r="1305" spans="1:5" ht="15.5" x14ac:dyDescent="0.35">
      <c r="A1305" s="2" t="s">
        <v>1305</v>
      </c>
      <c r="B1305" s="2" t="s">
        <v>4289</v>
      </c>
      <c r="C1305" t="s">
        <v>2397</v>
      </c>
      <c r="D1305" t="s">
        <v>2830</v>
      </c>
    </row>
    <row r="1306" spans="1:5" ht="15.5" x14ac:dyDescent="0.35">
      <c r="A1306" s="2" t="s">
        <v>1306</v>
      </c>
      <c r="B1306" s="2" t="s">
        <v>4290</v>
      </c>
      <c r="C1306" t="s">
        <v>2397</v>
      </c>
      <c r="D1306" t="s">
        <v>2790</v>
      </c>
    </row>
    <row r="1307" spans="1:5" ht="15.5" x14ac:dyDescent="0.35">
      <c r="A1307" s="2" t="s">
        <v>1307</v>
      </c>
      <c r="B1307" s="2" t="s">
        <v>4291</v>
      </c>
      <c r="C1307" t="s">
        <v>2397</v>
      </c>
      <c r="D1307" t="s">
        <v>4292</v>
      </c>
    </row>
    <row r="1308" spans="1:5" ht="15.5" x14ac:dyDescent="0.35">
      <c r="A1308" s="2" t="s">
        <v>1308</v>
      </c>
      <c r="B1308" s="2" t="s">
        <v>4293</v>
      </c>
      <c r="C1308" t="s">
        <v>2397</v>
      </c>
      <c r="D1308" t="s">
        <v>4294</v>
      </c>
    </row>
    <row r="1309" spans="1:5" ht="15.5" x14ac:dyDescent="0.35">
      <c r="A1309" s="2" t="s">
        <v>1309</v>
      </c>
      <c r="B1309" s="2" t="s">
        <v>4295</v>
      </c>
      <c r="C1309" t="s">
        <v>2397</v>
      </c>
      <c r="D1309" t="s">
        <v>2398</v>
      </c>
      <c r="E1309" t="s">
        <v>2700</v>
      </c>
    </row>
    <row r="1310" spans="1:5" ht="15.5" x14ac:dyDescent="0.35">
      <c r="A1310" s="2" t="s">
        <v>1310</v>
      </c>
      <c r="B1310" s="2" t="s">
        <v>2983</v>
      </c>
      <c r="C1310" t="s">
        <v>2397</v>
      </c>
      <c r="D1310" t="s">
        <v>2544</v>
      </c>
      <c r="E1310" t="s">
        <v>3328</v>
      </c>
    </row>
    <row r="1311" spans="1:5" ht="15.5" x14ac:dyDescent="0.35">
      <c r="A1311" s="2" t="s">
        <v>1311</v>
      </c>
      <c r="B1311" s="2" t="s">
        <v>4296</v>
      </c>
      <c r="C1311" t="s">
        <v>2397</v>
      </c>
      <c r="D1311" t="s">
        <v>4297</v>
      </c>
    </row>
    <row r="1312" spans="1:5" ht="15.5" x14ac:dyDescent="0.35">
      <c r="A1312" s="2" t="s">
        <v>1312</v>
      </c>
      <c r="B1312" s="2" t="s">
        <v>4298</v>
      </c>
      <c r="C1312" t="s">
        <v>2397</v>
      </c>
      <c r="D1312" t="s">
        <v>2846</v>
      </c>
      <c r="E1312" t="s">
        <v>2700</v>
      </c>
    </row>
    <row r="1313" spans="1:5" ht="15.5" x14ac:dyDescent="0.35">
      <c r="A1313" s="2" t="s">
        <v>1313</v>
      </c>
      <c r="B1313" s="2" t="s">
        <v>4299</v>
      </c>
      <c r="C1313" t="s">
        <v>2397</v>
      </c>
      <c r="D1313" t="s">
        <v>2859</v>
      </c>
    </row>
    <row r="1314" spans="1:5" ht="15.5" x14ac:dyDescent="0.35">
      <c r="A1314" s="2" t="s">
        <v>1314</v>
      </c>
      <c r="B1314" s="2" t="s">
        <v>4300</v>
      </c>
      <c r="C1314" t="s">
        <v>2394</v>
      </c>
      <c r="D1314" t="s">
        <v>2670</v>
      </c>
      <c r="E1314" t="s">
        <v>2436</v>
      </c>
    </row>
    <row r="1315" spans="1:5" ht="15.5" x14ac:dyDescent="0.35">
      <c r="A1315" s="2" t="s">
        <v>1315</v>
      </c>
      <c r="B1315" s="2" t="s">
        <v>4301</v>
      </c>
      <c r="C1315" t="s">
        <v>2394</v>
      </c>
      <c r="D1315" t="s">
        <v>2902</v>
      </c>
      <c r="E1315" t="s">
        <v>2540</v>
      </c>
    </row>
    <row r="1316" spans="1:5" ht="15.5" x14ac:dyDescent="0.35">
      <c r="A1316" s="2" t="s">
        <v>1316</v>
      </c>
      <c r="B1316" s="2" t="s">
        <v>4302</v>
      </c>
      <c r="C1316" t="s">
        <v>2397</v>
      </c>
      <c r="D1316" t="s">
        <v>4303</v>
      </c>
    </row>
    <row r="1317" spans="1:5" ht="15.5" x14ac:dyDescent="0.35">
      <c r="A1317" s="2" t="s">
        <v>1317</v>
      </c>
      <c r="B1317" s="2" t="s">
        <v>4304</v>
      </c>
      <c r="C1317" t="s">
        <v>2394</v>
      </c>
      <c r="D1317" t="s">
        <v>3240</v>
      </c>
    </row>
    <row r="1318" spans="1:5" ht="15.5" x14ac:dyDescent="0.35">
      <c r="A1318" s="2" t="s">
        <v>1318</v>
      </c>
      <c r="B1318" s="2" t="s">
        <v>4305</v>
      </c>
      <c r="C1318" t="s">
        <v>2394</v>
      </c>
      <c r="D1318" t="s">
        <v>4306</v>
      </c>
      <c r="E1318" t="s">
        <v>2680</v>
      </c>
    </row>
    <row r="1319" spans="1:5" ht="15.5" x14ac:dyDescent="0.35">
      <c r="A1319" s="2" t="s">
        <v>1319</v>
      </c>
      <c r="B1319" s="2" t="s">
        <v>4307</v>
      </c>
      <c r="C1319" t="s">
        <v>2394</v>
      </c>
      <c r="D1319" t="s">
        <v>4308</v>
      </c>
    </row>
    <row r="1320" spans="1:5" ht="15.5" x14ac:dyDescent="0.35">
      <c r="A1320" s="2" t="s">
        <v>1320</v>
      </c>
      <c r="B1320" s="2" t="s">
        <v>4309</v>
      </c>
      <c r="C1320" t="s">
        <v>2397</v>
      </c>
      <c r="D1320" t="s">
        <v>3137</v>
      </c>
      <c r="E1320" t="s">
        <v>2625</v>
      </c>
    </row>
    <row r="1321" spans="1:5" ht="15.5" x14ac:dyDescent="0.35">
      <c r="A1321" s="2" t="s">
        <v>1321</v>
      </c>
      <c r="B1321" s="2" t="s">
        <v>4310</v>
      </c>
      <c r="C1321" t="s">
        <v>2394</v>
      </c>
      <c r="D1321" t="s">
        <v>2403</v>
      </c>
    </row>
    <row r="1322" spans="1:5" ht="15.5" x14ac:dyDescent="0.35">
      <c r="A1322" s="2" t="s">
        <v>1322</v>
      </c>
      <c r="B1322" s="2" t="s">
        <v>4311</v>
      </c>
      <c r="C1322" t="s">
        <v>2397</v>
      </c>
      <c r="D1322" t="s">
        <v>2544</v>
      </c>
      <c r="E1322" t="s">
        <v>2555</v>
      </c>
    </row>
    <row r="1323" spans="1:5" ht="15.5" x14ac:dyDescent="0.35">
      <c r="A1323" s="2" t="s">
        <v>1323</v>
      </c>
      <c r="B1323" s="2" t="s">
        <v>4312</v>
      </c>
      <c r="C1323" t="s">
        <v>2394</v>
      </c>
      <c r="D1323" t="s">
        <v>4313</v>
      </c>
    </row>
    <row r="1324" spans="1:5" ht="15.5" x14ac:dyDescent="0.35">
      <c r="A1324" s="2" t="s">
        <v>1324</v>
      </c>
      <c r="B1324" s="2" t="s">
        <v>4314</v>
      </c>
      <c r="C1324" t="s">
        <v>2394</v>
      </c>
      <c r="D1324" t="s">
        <v>4315</v>
      </c>
    </row>
    <row r="1325" spans="1:5" ht="15.5" x14ac:dyDescent="0.35">
      <c r="A1325" s="2" t="s">
        <v>1325</v>
      </c>
      <c r="B1325" s="2" t="s">
        <v>4316</v>
      </c>
      <c r="C1325" t="s">
        <v>2394</v>
      </c>
      <c r="D1325" t="s">
        <v>4317</v>
      </c>
    </row>
    <row r="1326" spans="1:5" ht="15.5" x14ac:dyDescent="0.35">
      <c r="A1326" s="2" t="s">
        <v>1326</v>
      </c>
      <c r="B1326" s="2" t="s">
        <v>4318</v>
      </c>
      <c r="C1326" t="s">
        <v>2394</v>
      </c>
      <c r="D1326" t="s">
        <v>2542</v>
      </c>
    </row>
    <row r="1327" spans="1:5" ht="15.5" x14ac:dyDescent="0.35">
      <c r="A1327" s="2" t="s">
        <v>1327</v>
      </c>
      <c r="B1327" s="2" t="s">
        <v>4319</v>
      </c>
      <c r="C1327" t="s">
        <v>2394</v>
      </c>
      <c r="D1327" t="s">
        <v>4320</v>
      </c>
      <c r="E1327" t="s">
        <v>2436</v>
      </c>
    </row>
    <row r="1328" spans="1:5" ht="15.5" x14ac:dyDescent="0.35">
      <c r="A1328" s="2" t="s">
        <v>1328</v>
      </c>
      <c r="B1328" s="2" t="s">
        <v>4321</v>
      </c>
      <c r="C1328" t="s">
        <v>2394</v>
      </c>
      <c r="D1328" t="s">
        <v>3234</v>
      </c>
    </row>
    <row r="1329" spans="1:5" ht="15.5" x14ac:dyDescent="0.35">
      <c r="A1329" s="2" t="s">
        <v>1329</v>
      </c>
      <c r="B1329" s="2" t="s">
        <v>4322</v>
      </c>
      <c r="C1329" t="s">
        <v>2397</v>
      </c>
      <c r="D1329" t="s">
        <v>2790</v>
      </c>
      <c r="E1329" t="s">
        <v>2415</v>
      </c>
    </row>
    <row r="1330" spans="1:5" ht="15.5" x14ac:dyDescent="0.35">
      <c r="A1330" s="2" t="s">
        <v>1330</v>
      </c>
      <c r="B1330" s="2" t="s">
        <v>4323</v>
      </c>
      <c r="C1330" t="s">
        <v>3231</v>
      </c>
      <c r="D1330" t="s">
        <v>2657</v>
      </c>
      <c r="E1330" t="s">
        <v>2561</v>
      </c>
    </row>
    <row r="1331" spans="1:5" ht="15.5" x14ac:dyDescent="0.35">
      <c r="A1331" s="2" t="s">
        <v>1331</v>
      </c>
      <c r="B1331" s="2" t="s">
        <v>4324</v>
      </c>
      <c r="C1331" t="s">
        <v>2397</v>
      </c>
      <c r="D1331" t="s">
        <v>2515</v>
      </c>
    </row>
    <row r="1332" spans="1:5" ht="15.5" x14ac:dyDescent="0.35">
      <c r="A1332" s="2" t="s">
        <v>1332</v>
      </c>
      <c r="B1332" s="2" t="s">
        <v>4325</v>
      </c>
      <c r="C1332" t="s">
        <v>2394</v>
      </c>
      <c r="D1332" t="s">
        <v>3246</v>
      </c>
      <c r="E1332" t="s">
        <v>2431</v>
      </c>
    </row>
    <row r="1333" spans="1:5" ht="15.5" x14ac:dyDescent="0.35">
      <c r="A1333" s="2" t="s">
        <v>1333</v>
      </c>
      <c r="B1333" s="2" t="s">
        <v>4326</v>
      </c>
      <c r="C1333" t="s">
        <v>2397</v>
      </c>
      <c r="D1333" t="s">
        <v>3363</v>
      </c>
      <c r="E1333" t="s">
        <v>2643</v>
      </c>
    </row>
    <row r="1334" spans="1:5" ht="15.5" x14ac:dyDescent="0.35">
      <c r="A1334" s="2" t="s">
        <v>1334</v>
      </c>
      <c r="B1334" s="2" t="s">
        <v>4327</v>
      </c>
      <c r="C1334" t="s">
        <v>3231</v>
      </c>
      <c r="D1334" t="s">
        <v>4328</v>
      </c>
    </row>
    <row r="1335" spans="1:5" ht="15.5" x14ac:dyDescent="0.35">
      <c r="A1335" s="2" t="s">
        <v>1335</v>
      </c>
      <c r="B1335" s="2" t="s">
        <v>4329</v>
      </c>
      <c r="C1335" t="s">
        <v>2397</v>
      </c>
      <c r="D1335" t="s">
        <v>4330</v>
      </c>
    </row>
    <row r="1336" spans="1:5" ht="15.5" x14ac:dyDescent="0.35">
      <c r="A1336" s="2" t="s">
        <v>1336</v>
      </c>
      <c r="B1336" s="2" t="s">
        <v>4331</v>
      </c>
      <c r="C1336" t="s">
        <v>2397</v>
      </c>
      <c r="D1336" t="s">
        <v>4332</v>
      </c>
    </row>
    <row r="1337" spans="1:5" ht="15.5" x14ac:dyDescent="0.35">
      <c r="A1337" s="2" t="s">
        <v>1337</v>
      </c>
      <c r="B1337" s="2" t="s">
        <v>2406</v>
      </c>
      <c r="C1337" t="s">
        <v>2397</v>
      </c>
      <c r="D1337" t="s">
        <v>3363</v>
      </c>
      <c r="E1337" t="s">
        <v>2799</v>
      </c>
    </row>
    <row r="1338" spans="1:5" ht="15.5" x14ac:dyDescent="0.35">
      <c r="A1338" s="2" t="s">
        <v>1338</v>
      </c>
      <c r="B1338" s="2" t="s">
        <v>4333</v>
      </c>
      <c r="C1338" t="s">
        <v>2397</v>
      </c>
      <c r="D1338" t="s">
        <v>2619</v>
      </c>
      <c r="E1338" t="s">
        <v>2561</v>
      </c>
    </row>
    <row r="1339" spans="1:5" ht="15.5" x14ac:dyDescent="0.35">
      <c r="A1339" s="2" t="s">
        <v>1339</v>
      </c>
      <c r="B1339" s="2" t="s">
        <v>2545</v>
      </c>
      <c r="C1339" t="s">
        <v>3231</v>
      </c>
      <c r="D1339" t="s">
        <v>3379</v>
      </c>
    </row>
    <row r="1340" spans="1:5" ht="15.5" x14ac:dyDescent="0.35">
      <c r="A1340" s="2" t="s">
        <v>1340</v>
      </c>
      <c r="B1340" s="2" t="s">
        <v>4334</v>
      </c>
      <c r="C1340" t="s">
        <v>2397</v>
      </c>
      <c r="D1340" t="s">
        <v>2714</v>
      </c>
    </row>
    <row r="1341" spans="1:5" ht="15.5" x14ac:dyDescent="0.35">
      <c r="A1341" s="2" t="s">
        <v>1341</v>
      </c>
      <c r="B1341" s="2" t="s">
        <v>4335</v>
      </c>
      <c r="C1341" t="s">
        <v>2397</v>
      </c>
      <c r="D1341" t="s">
        <v>4336</v>
      </c>
      <c r="E1341" t="s">
        <v>2625</v>
      </c>
    </row>
    <row r="1342" spans="1:5" ht="15.5" x14ac:dyDescent="0.35">
      <c r="A1342" s="2" t="s">
        <v>1342</v>
      </c>
      <c r="B1342" s="2" t="s">
        <v>4337</v>
      </c>
      <c r="C1342" t="s">
        <v>3231</v>
      </c>
      <c r="D1342" t="s">
        <v>2604</v>
      </c>
      <c r="E1342" t="s">
        <v>2477</v>
      </c>
    </row>
    <row r="1343" spans="1:5" ht="15.5" x14ac:dyDescent="0.35">
      <c r="A1343" s="2" t="s">
        <v>1343</v>
      </c>
      <c r="B1343" s="2" t="s">
        <v>4338</v>
      </c>
      <c r="C1343" t="s">
        <v>2394</v>
      </c>
      <c r="D1343" t="s">
        <v>4339</v>
      </c>
    </row>
    <row r="1344" spans="1:5" ht="15.5" x14ac:dyDescent="0.35">
      <c r="A1344" s="2" t="s">
        <v>1344</v>
      </c>
      <c r="B1344" s="2" t="s">
        <v>4340</v>
      </c>
      <c r="C1344" t="s">
        <v>3231</v>
      </c>
      <c r="D1344" t="s">
        <v>4341</v>
      </c>
    </row>
    <row r="1345" spans="1:5" ht="15.5" x14ac:dyDescent="0.35">
      <c r="A1345" s="2" t="s">
        <v>1345</v>
      </c>
      <c r="B1345" s="2" t="s">
        <v>4342</v>
      </c>
      <c r="C1345" t="s">
        <v>2394</v>
      </c>
      <c r="D1345" t="s">
        <v>3138</v>
      </c>
    </row>
    <row r="1346" spans="1:5" ht="15.5" x14ac:dyDescent="0.35">
      <c r="A1346" s="2" t="s">
        <v>1346</v>
      </c>
      <c r="B1346" s="2" t="s">
        <v>4343</v>
      </c>
      <c r="C1346" t="s">
        <v>2397</v>
      </c>
      <c r="D1346" t="s">
        <v>2610</v>
      </c>
    </row>
    <row r="1347" spans="1:5" ht="15.5" x14ac:dyDescent="0.35">
      <c r="A1347" s="2" t="s">
        <v>1347</v>
      </c>
      <c r="B1347" s="2" t="s">
        <v>4344</v>
      </c>
      <c r="C1347" t="s">
        <v>2394</v>
      </c>
      <c r="D1347" t="s">
        <v>3450</v>
      </c>
    </row>
    <row r="1348" spans="1:5" ht="15.5" x14ac:dyDescent="0.35">
      <c r="A1348" s="2" t="s">
        <v>1348</v>
      </c>
      <c r="B1348" s="2" t="s">
        <v>4345</v>
      </c>
      <c r="C1348" t="s">
        <v>2397</v>
      </c>
      <c r="D1348" t="s">
        <v>2762</v>
      </c>
    </row>
    <row r="1349" spans="1:5" ht="15.5" x14ac:dyDescent="0.35">
      <c r="A1349" s="2" t="s">
        <v>1349</v>
      </c>
      <c r="B1349" s="2" t="s">
        <v>4346</v>
      </c>
      <c r="C1349" t="s">
        <v>2394</v>
      </c>
      <c r="D1349" t="s">
        <v>2395</v>
      </c>
      <c r="E1349" t="s">
        <v>2448</v>
      </c>
    </row>
    <row r="1350" spans="1:5" ht="15.5" x14ac:dyDescent="0.35">
      <c r="A1350" s="2" t="s">
        <v>1350</v>
      </c>
      <c r="B1350" s="2" t="s">
        <v>4347</v>
      </c>
      <c r="C1350" t="s">
        <v>3231</v>
      </c>
      <c r="D1350" t="s">
        <v>2624</v>
      </c>
    </row>
    <row r="1351" spans="1:5" ht="15.5" x14ac:dyDescent="0.35">
      <c r="A1351" s="2" t="s">
        <v>1351</v>
      </c>
      <c r="B1351" s="2" t="s">
        <v>4348</v>
      </c>
      <c r="C1351" t="s">
        <v>2397</v>
      </c>
      <c r="D1351" t="s">
        <v>2491</v>
      </c>
      <c r="E1351" t="s">
        <v>2772</v>
      </c>
    </row>
    <row r="1352" spans="1:5" ht="15.5" x14ac:dyDescent="0.35">
      <c r="A1352" s="2" t="s">
        <v>1352</v>
      </c>
      <c r="B1352" s="2" t="s">
        <v>2954</v>
      </c>
      <c r="C1352" t="s">
        <v>2394</v>
      </c>
      <c r="D1352" t="s">
        <v>4349</v>
      </c>
    </row>
    <row r="1353" spans="1:5" ht="15.5" x14ac:dyDescent="0.35">
      <c r="A1353" s="2" t="s">
        <v>1353</v>
      </c>
      <c r="B1353" s="2" t="s">
        <v>4350</v>
      </c>
      <c r="C1353" t="s">
        <v>2397</v>
      </c>
      <c r="D1353" t="s">
        <v>2701</v>
      </c>
      <c r="E1353" t="s">
        <v>2467</v>
      </c>
    </row>
    <row r="1354" spans="1:5" ht="15.5" x14ac:dyDescent="0.35">
      <c r="A1354" s="2" t="s">
        <v>1354</v>
      </c>
      <c r="B1354" s="2" t="s">
        <v>4351</v>
      </c>
      <c r="C1354" t="s">
        <v>2394</v>
      </c>
      <c r="D1354" t="s">
        <v>4352</v>
      </c>
    </row>
    <row r="1355" spans="1:5" ht="15.5" x14ac:dyDescent="0.35">
      <c r="A1355" s="2" t="s">
        <v>1355</v>
      </c>
      <c r="B1355" s="2" t="s">
        <v>3025</v>
      </c>
      <c r="C1355" t="s">
        <v>2394</v>
      </c>
      <c r="D1355" t="s">
        <v>2769</v>
      </c>
      <c r="E1355" t="s">
        <v>2448</v>
      </c>
    </row>
    <row r="1356" spans="1:5" ht="15.5" x14ac:dyDescent="0.35">
      <c r="A1356" s="2" t="s">
        <v>1356</v>
      </c>
      <c r="B1356" s="2" t="s">
        <v>4133</v>
      </c>
      <c r="C1356" t="s">
        <v>2394</v>
      </c>
      <c r="D1356" t="s">
        <v>3152</v>
      </c>
      <c r="E1356" t="s">
        <v>4353</v>
      </c>
    </row>
    <row r="1357" spans="1:5" ht="15.5" x14ac:dyDescent="0.35">
      <c r="A1357" s="2" t="s">
        <v>1357</v>
      </c>
      <c r="B1357" s="2" t="s">
        <v>4354</v>
      </c>
      <c r="C1357" t="s">
        <v>2394</v>
      </c>
      <c r="D1357" t="s">
        <v>3708</v>
      </c>
      <c r="E1357" t="s">
        <v>2516</v>
      </c>
    </row>
    <row r="1358" spans="1:5" ht="15.5" x14ac:dyDescent="0.35">
      <c r="A1358" s="2" t="s">
        <v>1358</v>
      </c>
      <c r="B1358" s="2" t="s">
        <v>4355</v>
      </c>
      <c r="C1358" t="s">
        <v>2394</v>
      </c>
      <c r="D1358" t="s">
        <v>4356</v>
      </c>
      <c r="E1358" t="s">
        <v>2625</v>
      </c>
    </row>
    <row r="1359" spans="1:5" ht="15.5" x14ac:dyDescent="0.35">
      <c r="A1359" s="2" t="s">
        <v>1359</v>
      </c>
      <c r="B1359" s="2" t="s">
        <v>4357</v>
      </c>
      <c r="C1359" t="s">
        <v>2397</v>
      </c>
      <c r="D1359" t="s">
        <v>3406</v>
      </c>
    </row>
    <row r="1360" spans="1:5" ht="15.5" x14ac:dyDescent="0.35">
      <c r="A1360" s="2" t="s">
        <v>1360</v>
      </c>
      <c r="B1360" s="2" t="s">
        <v>4358</v>
      </c>
      <c r="C1360" t="s">
        <v>2394</v>
      </c>
      <c r="D1360" t="s">
        <v>4320</v>
      </c>
    </row>
    <row r="1361" spans="1:5" ht="15.5" x14ac:dyDescent="0.35">
      <c r="A1361" s="2" t="s">
        <v>1361</v>
      </c>
      <c r="B1361" s="2" t="s">
        <v>2674</v>
      </c>
      <c r="C1361" t="s">
        <v>2394</v>
      </c>
      <c r="D1361" t="s">
        <v>4359</v>
      </c>
      <c r="E1361" t="s">
        <v>2886</v>
      </c>
    </row>
    <row r="1362" spans="1:5" ht="15.5" x14ac:dyDescent="0.35">
      <c r="A1362" s="2" t="s">
        <v>1362</v>
      </c>
      <c r="B1362" s="2" t="s">
        <v>4360</v>
      </c>
      <c r="C1362" t="s">
        <v>2397</v>
      </c>
      <c r="D1362" t="s">
        <v>4361</v>
      </c>
    </row>
    <row r="1363" spans="1:5" ht="15.5" x14ac:dyDescent="0.35">
      <c r="A1363" s="2" t="s">
        <v>1363</v>
      </c>
      <c r="B1363" s="2" t="s">
        <v>4362</v>
      </c>
      <c r="C1363" t="s">
        <v>2397</v>
      </c>
      <c r="D1363" t="s">
        <v>4363</v>
      </c>
    </row>
    <row r="1364" spans="1:5" ht="15.5" x14ac:dyDescent="0.35">
      <c r="A1364" s="2" t="s">
        <v>1364</v>
      </c>
      <c r="B1364" s="2" t="s">
        <v>3679</v>
      </c>
      <c r="C1364" t="s">
        <v>2397</v>
      </c>
      <c r="D1364" t="s">
        <v>2414</v>
      </c>
      <c r="E1364" t="s">
        <v>2625</v>
      </c>
    </row>
    <row r="1365" spans="1:5" ht="15.5" x14ac:dyDescent="0.35">
      <c r="A1365" s="2" t="s">
        <v>1365</v>
      </c>
      <c r="B1365" s="2" t="s">
        <v>4364</v>
      </c>
      <c r="C1365" t="s">
        <v>2394</v>
      </c>
      <c r="D1365" t="s">
        <v>4365</v>
      </c>
    </row>
    <row r="1366" spans="1:5" ht="15.5" x14ac:dyDescent="0.35">
      <c r="A1366" s="2" t="s">
        <v>1366</v>
      </c>
      <c r="B1366" s="2" t="s">
        <v>4366</v>
      </c>
      <c r="C1366" t="s">
        <v>2394</v>
      </c>
      <c r="D1366" t="s">
        <v>2450</v>
      </c>
    </row>
    <row r="1367" spans="1:5" ht="15.5" x14ac:dyDescent="0.35">
      <c r="A1367" s="2" t="s">
        <v>1367</v>
      </c>
      <c r="B1367" s="2" t="s">
        <v>4367</v>
      </c>
      <c r="C1367" t="s">
        <v>3231</v>
      </c>
      <c r="D1367" t="s">
        <v>4368</v>
      </c>
    </row>
    <row r="1368" spans="1:5" ht="15.5" x14ac:dyDescent="0.35">
      <c r="A1368" s="2" t="s">
        <v>1368</v>
      </c>
      <c r="B1368" s="2" t="s">
        <v>4369</v>
      </c>
      <c r="C1368" t="s">
        <v>2394</v>
      </c>
      <c r="D1368" t="s">
        <v>4370</v>
      </c>
      <c r="E1368" t="s">
        <v>2680</v>
      </c>
    </row>
    <row r="1369" spans="1:5" ht="15.5" x14ac:dyDescent="0.35">
      <c r="A1369" s="2" t="s">
        <v>1369</v>
      </c>
      <c r="B1369" s="2" t="s">
        <v>4371</v>
      </c>
      <c r="C1369" t="s">
        <v>2397</v>
      </c>
      <c r="D1369" t="s">
        <v>2610</v>
      </c>
    </row>
    <row r="1370" spans="1:5" ht="15.5" x14ac:dyDescent="0.35">
      <c r="A1370" s="2" t="s">
        <v>1370</v>
      </c>
      <c r="B1370" s="2" t="s">
        <v>4372</v>
      </c>
      <c r="C1370" t="s">
        <v>2397</v>
      </c>
      <c r="D1370" t="s">
        <v>4373</v>
      </c>
    </row>
    <row r="1371" spans="1:5" ht="15.5" x14ac:dyDescent="0.35">
      <c r="A1371" s="2" t="s">
        <v>1371</v>
      </c>
      <c r="B1371" s="2" t="s">
        <v>4374</v>
      </c>
      <c r="C1371" t="s">
        <v>2397</v>
      </c>
      <c r="D1371" t="s">
        <v>2692</v>
      </c>
      <c r="E1371" t="s">
        <v>2625</v>
      </c>
    </row>
    <row r="1372" spans="1:5" ht="15.5" x14ac:dyDescent="0.35">
      <c r="A1372" s="2" t="s">
        <v>1372</v>
      </c>
      <c r="B1372" s="2" t="s">
        <v>4375</v>
      </c>
      <c r="C1372" t="s">
        <v>2394</v>
      </c>
      <c r="D1372" t="s">
        <v>2525</v>
      </c>
      <c r="E1372" t="s">
        <v>2482</v>
      </c>
    </row>
    <row r="1373" spans="1:5" ht="15.5" x14ac:dyDescent="0.35">
      <c r="A1373" s="2" t="s">
        <v>1373</v>
      </c>
      <c r="B1373" s="2" t="s">
        <v>4376</v>
      </c>
      <c r="C1373" t="s">
        <v>2394</v>
      </c>
      <c r="D1373" t="s">
        <v>4377</v>
      </c>
      <c r="E1373" t="s">
        <v>2680</v>
      </c>
    </row>
    <row r="1374" spans="1:5" ht="15.5" x14ac:dyDescent="0.35">
      <c r="A1374" s="2" t="s">
        <v>1374</v>
      </c>
      <c r="B1374" s="2" t="s">
        <v>2758</v>
      </c>
      <c r="C1374" t="s">
        <v>2397</v>
      </c>
      <c r="D1374" t="s">
        <v>4378</v>
      </c>
    </row>
    <row r="1375" spans="1:5" ht="15.5" x14ac:dyDescent="0.35">
      <c r="A1375" s="2" t="s">
        <v>1375</v>
      </c>
      <c r="B1375" s="2" t="s">
        <v>4379</v>
      </c>
      <c r="C1375" t="s">
        <v>2397</v>
      </c>
      <c r="D1375" t="s">
        <v>4380</v>
      </c>
    </row>
    <row r="1376" spans="1:5" ht="15.5" x14ac:dyDescent="0.35">
      <c r="A1376" s="2" t="s">
        <v>1376</v>
      </c>
      <c r="B1376" s="2" t="s">
        <v>3325</v>
      </c>
      <c r="C1376" t="s">
        <v>3231</v>
      </c>
      <c r="D1376" t="s">
        <v>3654</v>
      </c>
      <c r="E1376" t="s">
        <v>2477</v>
      </c>
    </row>
    <row r="1377" spans="1:5" ht="15.5" x14ac:dyDescent="0.35">
      <c r="A1377" s="2" t="s">
        <v>1377</v>
      </c>
      <c r="B1377" s="2" t="s">
        <v>4381</v>
      </c>
      <c r="C1377" t="s">
        <v>2397</v>
      </c>
      <c r="D1377" t="s">
        <v>2646</v>
      </c>
      <c r="E1377" t="s">
        <v>2561</v>
      </c>
    </row>
    <row r="1378" spans="1:5" ht="15.5" x14ac:dyDescent="0.35">
      <c r="A1378" s="2" t="s">
        <v>1378</v>
      </c>
      <c r="B1378" s="2" t="s">
        <v>4382</v>
      </c>
      <c r="C1378" t="s">
        <v>2397</v>
      </c>
      <c r="D1378" t="s">
        <v>2826</v>
      </c>
    </row>
    <row r="1379" spans="1:5" ht="15.5" x14ac:dyDescent="0.35">
      <c r="A1379" s="2" t="s">
        <v>1379</v>
      </c>
      <c r="B1379" s="2" t="s">
        <v>4383</v>
      </c>
      <c r="C1379" t="s">
        <v>2394</v>
      </c>
      <c r="D1379" t="s">
        <v>3181</v>
      </c>
      <c r="E1379" t="s">
        <v>2448</v>
      </c>
    </row>
    <row r="1380" spans="1:5" ht="15.5" x14ac:dyDescent="0.35">
      <c r="A1380" s="2" t="s">
        <v>1380</v>
      </c>
      <c r="B1380" s="2" t="s">
        <v>4384</v>
      </c>
      <c r="C1380" t="s">
        <v>2397</v>
      </c>
      <c r="D1380" t="s">
        <v>2544</v>
      </c>
    </row>
    <row r="1381" spans="1:5" ht="15.5" x14ac:dyDescent="0.35">
      <c r="A1381" s="2" t="s">
        <v>1381</v>
      </c>
      <c r="B1381" s="2" t="s">
        <v>4385</v>
      </c>
      <c r="C1381" t="s">
        <v>2397</v>
      </c>
      <c r="D1381" t="s">
        <v>2810</v>
      </c>
    </row>
    <row r="1382" spans="1:5" ht="15.5" x14ac:dyDescent="0.35">
      <c r="A1382" s="2" t="s">
        <v>1382</v>
      </c>
      <c r="B1382" s="2" t="s">
        <v>4386</v>
      </c>
      <c r="C1382" t="s">
        <v>2397</v>
      </c>
      <c r="D1382" t="s">
        <v>2830</v>
      </c>
      <c r="E1382" t="s">
        <v>2700</v>
      </c>
    </row>
    <row r="1383" spans="1:5" ht="15.5" x14ac:dyDescent="0.35">
      <c r="A1383" s="2" t="s">
        <v>1383</v>
      </c>
      <c r="B1383" s="2" t="s">
        <v>4387</v>
      </c>
      <c r="C1383" t="s">
        <v>2394</v>
      </c>
      <c r="D1383" t="s">
        <v>2533</v>
      </c>
    </row>
    <row r="1384" spans="1:5" ht="15.5" x14ac:dyDescent="0.35">
      <c r="A1384" s="2" t="s">
        <v>1384</v>
      </c>
      <c r="B1384" s="2" t="s">
        <v>3448</v>
      </c>
      <c r="C1384" t="s">
        <v>2397</v>
      </c>
      <c r="D1384" t="s">
        <v>2503</v>
      </c>
      <c r="E1384" t="s">
        <v>2561</v>
      </c>
    </row>
    <row r="1385" spans="1:5" ht="15.5" x14ac:dyDescent="0.35">
      <c r="A1385" s="2" t="s">
        <v>1385</v>
      </c>
      <c r="B1385" s="2" t="s">
        <v>4388</v>
      </c>
      <c r="C1385" t="s">
        <v>2397</v>
      </c>
      <c r="D1385" t="s">
        <v>4389</v>
      </c>
    </row>
    <row r="1386" spans="1:5" ht="15.5" x14ac:dyDescent="0.35">
      <c r="A1386" s="2" t="s">
        <v>1386</v>
      </c>
      <c r="B1386" s="2" t="s">
        <v>2921</v>
      </c>
      <c r="C1386" t="s">
        <v>2394</v>
      </c>
      <c r="D1386" t="s">
        <v>4320</v>
      </c>
      <c r="E1386" t="s">
        <v>2501</v>
      </c>
    </row>
    <row r="1387" spans="1:5" ht="15.5" x14ac:dyDescent="0.35">
      <c r="A1387" s="2" t="s">
        <v>1387</v>
      </c>
      <c r="B1387" s="2" t="s">
        <v>4390</v>
      </c>
      <c r="C1387" t="s">
        <v>2397</v>
      </c>
      <c r="D1387" t="s">
        <v>4391</v>
      </c>
    </row>
    <row r="1388" spans="1:5" ht="15.5" x14ac:dyDescent="0.35">
      <c r="A1388" s="2" t="s">
        <v>1388</v>
      </c>
      <c r="B1388" s="2" t="s">
        <v>3913</v>
      </c>
      <c r="C1388" t="s">
        <v>2397</v>
      </c>
      <c r="D1388" t="s">
        <v>3406</v>
      </c>
      <c r="E1388" t="s">
        <v>2643</v>
      </c>
    </row>
    <row r="1389" spans="1:5" ht="15.5" x14ac:dyDescent="0.35">
      <c r="A1389" s="2" t="s">
        <v>1389</v>
      </c>
      <c r="B1389" s="2" t="s">
        <v>4392</v>
      </c>
      <c r="C1389" t="s">
        <v>2394</v>
      </c>
      <c r="D1389" t="s">
        <v>4393</v>
      </c>
      <c r="E1389" t="s">
        <v>2799</v>
      </c>
    </row>
    <row r="1390" spans="1:5" ht="15.5" x14ac:dyDescent="0.35">
      <c r="A1390" s="2" t="s">
        <v>1390</v>
      </c>
      <c r="B1390" s="2" t="s">
        <v>4394</v>
      </c>
      <c r="C1390" t="s">
        <v>2397</v>
      </c>
      <c r="D1390" t="s">
        <v>2424</v>
      </c>
    </row>
    <row r="1391" spans="1:5" ht="15.5" x14ac:dyDescent="0.35">
      <c r="A1391" s="2" t="s">
        <v>1391</v>
      </c>
      <c r="B1391" s="2" t="s">
        <v>4395</v>
      </c>
      <c r="C1391" t="s">
        <v>2397</v>
      </c>
      <c r="D1391" t="s">
        <v>3203</v>
      </c>
    </row>
    <row r="1392" spans="1:5" ht="15.5" x14ac:dyDescent="0.35">
      <c r="A1392" s="2" t="s">
        <v>1392</v>
      </c>
      <c r="B1392" s="2" t="s">
        <v>3179</v>
      </c>
      <c r="C1392" t="s">
        <v>2397</v>
      </c>
      <c r="D1392" t="s">
        <v>3280</v>
      </c>
      <c r="E1392" t="s">
        <v>2643</v>
      </c>
    </row>
    <row r="1393" spans="1:5" ht="15.5" x14ac:dyDescent="0.35">
      <c r="A1393" s="2" t="s">
        <v>1393</v>
      </c>
      <c r="B1393" s="2" t="s">
        <v>4396</v>
      </c>
      <c r="C1393" t="s">
        <v>2397</v>
      </c>
      <c r="D1393" t="s">
        <v>2701</v>
      </c>
    </row>
    <row r="1394" spans="1:5" ht="15.5" x14ac:dyDescent="0.35">
      <c r="A1394" s="2" t="s">
        <v>1394</v>
      </c>
      <c r="B1394" s="2" t="s">
        <v>4397</v>
      </c>
      <c r="C1394" t="s">
        <v>2394</v>
      </c>
      <c r="D1394" t="s">
        <v>4328</v>
      </c>
      <c r="E1394" t="s">
        <v>2482</v>
      </c>
    </row>
    <row r="1395" spans="1:5" ht="15.5" x14ac:dyDescent="0.35">
      <c r="A1395" s="2" t="s">
        <v>1395</v>
      </c>
      <c r="B1395" s="2" t="s">
        <v>4398</v>
      </c>
      <c r="C1395" t="s">
        <v>2394</v>
      </c>
      <c r="D1395" t="s">
        <v>4399</v>
      </c>
      <c r="E1395" t="s">
        <v>2540</v>
      </c>
    </row>
    <row r="1396" spans="1:5" ht="15.5" x14ac:dyDescent="0.35">
      <c r="A1396" s="2" t="s">
        <v>1396</v>
      </c>
      <c r="B1396" s="2" t="s">
        <v>4400</v>
      </c>
      <c r="C1396" t="s">
        <v>2397</v>
      </c>
      <c r="D1396" t="s">
        <v>2610</v>
      </c>
    </row>
    <row r="1397" spans="1:5" ht="15.5" x14ac:dyDescent="0.35">
      <c r="A1397" s="2" t="s">
        <v>1397</v>
      </c>
      <c r="B1397" s="2" t="s">
        <v>4401</v>
      </c>
      <c r="C1397" t="s">
        <v>2397</v>
      </c>
      <c r="D1397" t="s">
        <v>2610</v>
      </c>
    </row>
    <row r="1398" spans="1:5" ht="15.5" x14ac:dyDescent="0.35">
      <c r="A1398" s="2" t="s">
        <v>1398</v>
      </c>
      <c r="B1398" s="2" t="s">
        <v>4402</v>
      </c>
      <c r="C1398" t="s">
        <v>2394</v>
      </c>
      <c r="D1398" t="s">
        <v>2604</v>
      </c>
      <c r="E1398" t="s">
        <v>2700</v>
      </c>
    </row>
    <row r="1399" spans="1:5" ht="15.5" x14ac:dyDescent="0.35">
      <c r="A1399" s="2" t="s">
        <v>1399</v>
      </c>
      <c r="B1399" s="2" t="s">
        <v>4403</v>
      </c>
      <c r="C1399" t="s">
        <v>3231</v>
      </c>
      <c r="D1399" t="s">
        <v>4404</v>
      </c>
    </row>
    <row r="1400" spans="1:5" ht="15.5" x14ac:dyDescent="0.35">
      <c r="A1400" s="2" t="s">
        <v>1400</v>
      </c>
      <c r="B1400" s="2" t="s">
        <v>4405</v>
      </c>
      <c r="C1400" t="s">
        <v>2394</v>
      </c>
      <c r="D1400" t="s">
        <v>2872</v>
      </c>
    </row>
    <row r="1401" spans="1:5" ht="15.5" x14ac:dyDescent="0.35">
      <c r="A1401" s="2" t="s">
        <v>1401</v>
      </c>
      <c r="B1401" s="2" t="s">
        <v>4406</v>
      </c>
      <c r="C1401" t="s">
        <v>2394</v>
      </c>
      <c r="D1401" t="s">
        <v>3569</v>
      </c>
    </row>
    <row r="1402" spans="1:5" ht="15.5" x14ac:dyDescent="0.35">
      <c r="A1402" s="2" t="s">
        <v>1402</v>
      </c>
      <c r="B1402" s="2" t="s">
        <v>4157</v>
      </c>
      <c r="C1402" t="s">
        <v>2394</v>
      </c>
      <c r="D1402" t="s">
        <v>2604</v>
      </c>
      <c r="E1402" t="s">
        <v>2986</v>
      </c>
    </row>
    <row r="1403" spans="1:5" ht="15.5" x14ac:dyDescent="0.35">
      <c r="A1403" s="2" t="s">
        <v>1403</v>
      </c>
      <c r="B1403" s="2" t="s">
        <v>4407</v>
      </c>
      <c r="C1403" t="s">
        <v>2394</v>
      </c>
      <c r="D1403" t="s">
        <v>2525</v>
      </c>
    </row>
    <row r="1404" spans="1:5" ht="15.5" x14ac:dyDescent="0.35">
      <c r="A1404" s="2" t="s">
        <v>1404</v>
      </c>
      <c r="B1404" s="2" t="s">
        <v>4408</v>
      </c>
      <c r="C1404" t="s">
        <v>2394</v>
      </c>
      <c r="D1404" t="s">
        <v>2395</v>
      </c>
      <c r="E1404" t="s">
        <v>2561</v>
      </c>
    </row>
    <row r="1405" spans="1:5" ht="15.5" x14ac:dyDescent="0.35">
      <c r="A1405" s="2" t="s">
        <v>1405</v>
      </c>
      <c r="B1405" s="2" t="s">
        <v>4409</v>
      </c>
      <c r="C1405" t="s">
        <v>2394</v>
      </c>
      <c r="D1405" t="s">
        <v>2417</v>
      </c>
      <c r="E1405" t="s">
        <v>2519</v>
      </c>
    </row>
    <row r="1406" spans="1:5" ht="15.5" x14ac:dyDescent="0.35">
      <c r="A1406" s="2" t="s">
        <v>1406</v>
      </c>
      <c r="B1406" s="2" t="s">
        <v>4410</v>
      </c>
      <c r="C1406" t="s">
        <v>2394</v>
      </c>
      <c r="D1406" t="s">
        <v>4411</v>
      </c>
      <c r="E1406" t="s">
        <v>2799</v>
      </c>
    </row>
    <row r="1407" spans="1:5" ht="15.5" x14ac:dyDescent="0.35">
      <c r="A1407" s="2" t="s">
        <v>1407</v>
      </c>
      <c r="B1407" s="2" t="s">
        <v>4412</v>
      </c>
      <c r="C1407" t="s">
        <v>2397</v>
      </c>
      <c r="D1407" t="s">
        <v>2457</v>
      </c>
    </row>
    <row r="1408" spans="1:5" ht="15.5" x14ac:dyDescent="0.35">
      <c r="A1408" s="2" t="s">
        <v>1408</v>
      </c>
      <c r="B1408" s="2" t="s">
        <v>4413</v>
      </c>
      <c r="C1408" t="s">
        <v>2394</v>
      </c>
      <c r="D1408" t="s">
        <v>3569</v>
      </c>
    </row>
    <row r="1409" spans="1:6" ht="15.5" x14ac:dyDescent="0.35">
      <c r="A1409" s="2" t="s">
        <v>1409</v>
      </c>
      <c r="B1409" s="2" t="s">
        <v>4414</v>
      </c>
      <c r="C1409" t="s">
        <v>2397</v>
      </c>
      <c r="D1409" t="s">
        <v>2452</v>
      </c>
      <c r="E1409" t="s">
        <v>2498</v>
      </c>
    </row>
    <row r="1410" spans="1:6" ht="15.5" x14ac:dyDescent="0.35">
      <c r="A1410" s="2" t="s">
        <v>1410</v>
      </c>
      <c r="B1410" s="2" t="s">
        <v>4415</v>
      </c>
      <c r="C1410" t="s">
        <v>2397</v>
      </c>
      <c r="D1410" t="s">
        <v>2398</v>
      </c>
      <c r="E1410" t="s">
        <v>2399</v>
      </c>
    </row>
    <row r="1411" spans="1:6" ht="15.5" x14ac:dyDescent="0.35">
      <c r="A1411" s="2" t="s">
        <v>1411</v>
      </c>
      <c r="B1411" s="2" t="s">
        <v>4416</v>
      </c>
      <c r="C1411" t="s">
        <v>2397</v>
      </c>
      <c r="D1411" t="s">
        <v>4417</v>
      </c>
    </row>
    <row r="1412" spans="1:6" ht="15.5" x14ac:dyDescent="0.35">
      <c r="A1412" s="2" t="s">
        <v>1412</v>
      </c>
      <c r="B1412" s="2" t="s">
        <v>4050</v>
      </c>
      <c r="C1412" t="s">
        <v>2394</v>
      </c>
      <c r="D1412" t="s">
        <v>2602</v>
      </c>
      <c r="E1412" t="s">
        <v>2498</v>
      </c>
    </row>
    <row r="1413" spans="1:6" ht="15.5" x14ac:dyDescent="0.35">
      <c r="A1413" s="2" t="s">
        <v>1413</v>
      </c>
      <c r="B1413" s="2" t="s">
        <v>4418</v>
      </c>
      <c r="C1413" t="s">
        <v>2394</v>
      </c>
      <c r="D1413" t="s">
        <v>2525</v>
      </c>
      <c r="E1413" t="s">
        <v>2431</v>
      </c>
    </row>
    <row r="1414" spans="1:6" ht="15.5" x14ac:dyDescent="0.35">
      <c r="A1414" s="2" t="s">
        <v>1414</v>
      </c>
      <c r="B1414" s="2" t="s">
        <v>4197</v>
      </c>
      <c r="C1414" t="s">
        <v>2394</v>
      </c>
      <c r="D1414" t="s">
        <v>4419</v>
      </c>
    </row>
    <row r="1415" spans="1:6" ht="15.5" x14ac:dyDescent="0.35">
      <c r="A1415" s="2" t="s">
        <v>1415</v>
      </c>
      <c r="B1415" s="2" t="s">
        <v>4420</v>
      </c>
      <c r="C1415" t="s">
        <v>2397</v>
      </c>
      <c r="D1415" t="s">
        <v>2398</v>
      </c>
    </row>
    <row r="1416" spans="1:6" ht="15.5" x14ac:dyDescent="0.35">
      <c r="A1416" s="2" t="s">
        <v>1416</v>
      </c>
      <c r="B1416" s="2" t="s">
        <v>4421</v>
      </c>
      <c r="C1416" t="s">
        <v>4422</v>
      </c>
      <c r="D1416" t="s">
        <v>2397</v>
      </c>
      <c r="E1416" t="s">
        <v>4423</v>
      </c>
      <c r="F1416" t="s">
        <v>4424</v>
      </c>
    </row>
    <row r="1417" spans="1:6" ht="15.5" x14ac:dyDescent="0.35">
      <c r="A1417" s="2" t="s">
        <v>1417</v>
      </c>
      <c r="B1417" s="2" t="s">
        <v>4425</v>
      </c>
      <c r="C1417" t="s">
        <v>2397</v>
      </c>
      <c r="D1417" t="s">
        <v>2577</v>
      </c>
    </row>
    <row r="1418" spans="1:6" ht="15.5" x14ac:dyDescent="0.35">
      <c r="A1418" s="2" t="s">
        <v>1418</v>
      </c>
      <c r="B1418" s="2" t="s">
        <v>4426</v>
      </c>
      <c r="C1418" t="s">
        <v>2394</v>
      </c>
      <c r="D1418" t="s">
        <v>3304</v>
      </c>
      <c r="E1418" t="s">
        <v>2482</v>
      </c>
    </row>
    <row r="1419" spans="1:6" ht="15.5" x14ac:dyDescent="0.35">
      <c r="A1419" s="2" t="s">
        <v>1419</v>
      </c>
      <c r="B1419" s="2" t="s">
        <v>4427</v>
      </c>
      <c r="C1419" t="s">
        <v>3231</v>
      </c>
      <c r="D1419" t="s">
        <v>2627</v>
      </c>
    </row>
    <row r="1420" spans="1:6" ht="15.5" x14ac:dyDescent="0.35">
      <c r="A1420" s="2" t="s">
        <v>1420</v>
      </c>
      <c r="B1420" s="2" t="s">
        <v>4428</v>
      </c>
      <c r="C1420" t="s">
        <v>2397</v>
      </c>
      <c r="D1420" t="s">
        <v>2491</v>
      </c>
    </row>
    <row r="1421" spans="1:6" ht="15.5" x14ac:dyDescent="0.35">
      <c r="A1421" s="2" t="s">
        <v>1421</v>
      </c>
      <c r="B1421" s="2" t="s">
        <v>4429</v>
      </c>
      <c r="C1421" t="s">
        <v>2397</v>
      </c>
      <c r="D1421" t="s">
        <v>2714</v>
      </c>
      <c r="E1421" t="s">
        <v>2485</v>
      </c>
    </row>
    <row r="1422" spans="1:6" ht="15.5" x14ac:dyDescent="0.35">
      <c r="A1422" s="2" t="s">
        <v>1422</v>
      </c>
      <c r="B1422" s="2" t="s">
        <v>4430</v>
      </c>
      <c r="C1422" t="s">
        <v>2394</v>
      </c>
      <c r="D1422" t="s">
        <v>4431</v>
      </c>
    </row>
    <row r="1423" spans="1:6" ht="15.5" x14ac:dyDescent="0.35">
      <c r="A1423" s="2" t="s">
        <v>1423</v>
      </c>
      <c r="B1423" s="2" t="s">
        <v>4432</v>
      </c>
      <c r="C1423" t="s">
        <v>2397</v>
      </c>
      <c r="D1423" t="s">
        <v>4433</v>
      </c>
      <c r="E1423" t="s">
        <v>2766</v>
      </c>
    </row>
    <row r="1424" spans="1:6" ht="15.5" x14ac:dyDescent="0.35">
      <c r="A1424" s="2" t="s">
        <v>1424</v>
      </c>
      <c r="B1424" s="2" t="s">
        <v>4434</v>
      </c>
      <c r="C1424" t="s">
        <v>2397</v>
      </c>
      <c r="D1424" t="s">
        <v>2583</v>
      </c>
    </row>
    <row r="1425" spans="1:5" ht="15.5" x14ac:dyDescent="0.35">
      <c r="A1425" s="2" t="s">
        <v>1425</v>
      </c>
      <c r="B1425" s="2" t="s">
        <v>4435</v>
      </c>
      <c r="C1425" t="s">
        <v>2394</v>
      </c>
      <c r="D1425" t="s">
        <v>3021</v>
      </c>
      <c r="E1425" t="s">
        <v>2799</v>
      </c>
    </row>
    <row r="1426" spans="1:5" ht="15.5" x14ac:dyDescent="0.35">
      <c r="A1426" s="2" t="s">
        <v>1426</v>
      </c>
      <c r="B1426" s="2" t="s">
        <v>4436</v>
      </c>
      <c r="C1426" t="s">
        <v>2397</v>
      </c>
      <c r="D1426" t="s">
        <v>4146</v>
      </c>
      <c r="E1426" t="s">
        <v>4437</v>
      </c>
    </row>
    <row r="1427" spans="1:5" ht="15.5" x14ac:dyDescent="0.35">
      <c r="A1427" s="2" t="s">
        <v>1427</v>
      </c>
      <c r="B1427" s="2" t="s">
        <v>4438</v>
      </c>
      <c r="C1427" t="s">
        <v>2397</v>
      </c>
      <c r="D1427" t="s">
        <v>2410</v>
      </c>
    </row>
    <row r="1428" spans="1:5" ht="15.5" x14ac:dyDescent="0.35">
      <c r="A1428" s="2" t="s">
        <v>1428</v>
      </c>
      <c r="B1428" s="2" t="s">
        <v>2940</v>
      </c>
      <c r="C1428" t="s">
        <v>2394</v>
      </c>
      <c r="D1428" t="s">
        <v>2417</v>
      </c>
      <c r="E1428" t="s">
        <v>2696</v>
      </c>
    </row>
    <row r="1429" spans="1:5" ht="15.5" x14ac:dyDescent="0.35">
      <c r="A1429" s="2" t="s">
        <v>1429</v>
      </c>
      <c r="B1429" s="2" t="s">
        <v>4439</v>
      </c>
      <c r="C1429" t="s">
        <v>2394</v>
      </c>
      <c r="D1429" t="s">
        <v>4440</v>
      </c>
      <c r="E1429" t="s">
        <v>2436</v>
      </c>
    </row>
    <row r="1430" spans="1:5" ht="15.5" x14ac:dyDescent="0.35">
      <c r="A1430" s="2" t="s">
        <v>1430</v>
      </c>
      <c r="B1430" s="2" t="s">
        <v>2538</v>
      </c>
      <c r="C1430" t="s">
        <v>2394</v>
      </c>
      <c r="D1430" t="s">
        <v>3195</v>
      </c>
    </row>
    <row r="1431" spans="1:5" ht="15.5" x14ac:dyDescent="0.35">
      <c r="A1431" s="2" t="s">
        <v>1431</v>
      </c>
      <c r="B1431" s="2" t="s">
        <v>4441</v>
      </c>
      <c r="C1431" t="s">
        <v>2397</v>
      </c>
      <c r="D1431" t="s">
        <v>2544</v>
      </c>
      <c r="E1431" t="s">
        <v>2540</v>
      </c>
    </row>
    <row r="1432" spans="1:5" ht="15.5" x14ac:dyDescent="0.35">
      <c r="A1432" s="2" t="s">
        <v>1432</v>
      </c>
      <c r="B1432" s="2" t="s">
        <v>4442</v>
      </c>
      <c r="C1432" t="s">
        <v>3231</v>
      </c>
      <c r="D1432" t="s">
        <v>4443</v>
      </c>
      <c r="E1432" t="s">
        <v>2561</v>
      </c>
    </row>
    <row r="1433" spans="1:5" ht="15.5" x14ac:dyDescent="0.35">
      <c r="A1433" s="2" t="s">
        <v>1433</v>
      </c>
      <c r="B1433" s="2" t="s">
        <v>4444</v>
      </c>
      <c r="C1433" t="s">
        <v>2394</v>
      </c>
      <c r="D1433" t="s">
        <v>2450</v>
      </c>
    </row>
    <row r="1434" spans="1:5" ht="15.5" x14ac:dyDescent="0.35">
      <c r="A1434" s="2" t="s">
        <v>1434</v>
      </c>
      <c r="B1434" s="2" t="s">
        <v>4445</v>
      </c>
      <c r="C1434" t="s">
        <v>2394</v>
      </c>
      <c r="D1434" t="s">
        <v>4446</v>
      </c>
    </row>
    <row r="1435" spans="1:5" ht="15.5" x14ac:dyDescent="0.35">
      <c r="A1435" s="2" t="s">
        <v>1435</v>
      </c>
      <c r="B1435" s="2" t="s">
        <v>4447</v>
      </c>
      <c r="C1435" t="s">
        <v>2394</v>
      </c>
      <c r="D1435" t="s">
        <v>2840</v>
      </c>
    </row>
    <row r="1436" spans="1:5" ht="15.5" x14ac:dyDescent="0.35">
      <c r="A1436" s="2" t="s">
        <v>1436</v>
      </c>
      <c r="B1436" s="2" t="s">
        <v>2960</v>
      </c>
      <c r="C1436" t="s">
        <v>2394</v>
      </c>
      <c r="D1436" t="s">
        <v>4448</v>
      </c>
    </row>
    <row r="1437" spans="1:5" ht="15.5" x14ac:dyDescent="0.35">
      <c r="A1437" s="2" t="s">
        <v>1437</v>
      </c>
      <c r="B1437" s="2" t="s">
        <v>4449</v>
      </c>
      <c r="C1437" t="s">
        <v>2397</v>
      </c>
      <c r="D1437" t="s">
        <v>2443</v>
      </c>
      <c r="E1437" t="s">
        <v>2696</v>
      </c>
    </row>
    <row r="1438" spans="1:5" ht="15.5" x14ac:dyDescent="0.35">
      <c r="A1438" s="2" t="s">
        <v>1438</v>
      </c>
      <c r="B1438" s="2" t="s">
        <v>4450</v>
      </c>
      <c r="C1438" t="s">
        <v>2394</v>
      </c>
      <c r="D1438" t="s">
        <v>3788</v>
      </c>
    </row>
    <row r="1439" spans="1:5" ht="15.5" x14ac:dyDescent="0.35">
      <c r="A1439" s="2" t="s">
        <v>1439</v>
      </c>
      <c r="B1439" s="2" t="s">
        <v>4451</v>
      </c>
      <c r="C1439" t="s">
        <v>2394</v>
      </c>
      <c r="D1439" t="s">
        <v>2872</v>
      </c>
      <c r="E1439" t="s">
        <v>2418</v>
      </c>
    </row>
    <row r="1440" spans="1:5" ht="15.5" x14ac:dyDescent="0.35">
      <c r="A1440" s="2" t="s">
        <v>1440</v>
      </c>
      <c r="B1440" s="2" t="s">
        <v>4452</v>
      </c>
      <c r="C1440" t="s">
        <v>2394</v>
      </c>
      <c r="D1440" t="s">
        <v>3617</v>
      </c>
    </row>
    <row r="1441" spans="1:5" ht="15.5" x14ac:dyDescent="0.35">
      <c r="A1441" s="2" t="s">
        <v>1441</v>
      </c>
      <c r="B1441" s="2" t="s">
        <v>4453</v>
      </c>
      <c r="C1441" t="s">
        <v>2394</v>
      </c>
      <c r="D1441" t="s">
        <v>4454</v>
      </c>
      <c r="E1441" t="s">
        <v>2671</v>
      </c>
    </row>
    <row r="1442" spans="1:5" ht="15.5" x14ac:dyDescent="0.35">
      <c r="A1442" s="2" t="s">
        <v>1442</v>
      </c>
      <c r="B1442" s="2" t="s">
        <v>2695</v>
      </c>
      <c r="C1442" t="s">
        <v>2394</v>
      </c>
      <c r="D1442" t="s">
        <v>2653</v>
      </c>
      <c r="E1442" t="s">
        <v>2671</v>
      </c>
    </row>
    <row r="1443" spans="1:5" ht="15.5" x14ac:dyDescent="0.35">
      <c r="A1443" s="2" t="s">
        <v>1443</v>
      </c>
      <c r="B1443" s="2" t="s">
        <v>4455</v>
      </c>
      <c r="C1443" t="s">
        <v>2397</v>
      </c>
      <c r="D1443" t="s">
        <v>2577</v>
      </c>
    </row>
    <row r="1444" spans="1:5" ht="15.5" x14ac:dyDescent="0.35">
      <c r="A1444" s="2" t="s">
        <v>1444</v>
      </c>
      <c r="B1444" s="2" t="s">
        <v>4456</v>
      </c>
      <c r="C1444" t="s">
        <v>2394</v>
      </c>
      <c r="D1444" t="s">
        <v>3240</v>
      </c>
    </row>
    <row r="1445" spans="1:5" ht="15.5" x14ac:dyDescent="0.35">
      <c r="A1445" s="2" t="s">
        <v>1445</v>
      </c>
      <c r="B1445" s="2" t="s">
        <v>2406</v>
      </c>
      <c r="C1445" t="s">
        <v>2394</v>
      </c>
      <c r="D1445" t="s">
        <v>3171</v>
      </c>
      <c r="E1445" t="s">
        <v>2561</v>
      </c>
    </row>
    <row r="1446" spans="1:5" ht="15.5" x14ac:dyDescent="0.35">
      <c r="A1446" s="2" t="s">
        <v>1446</v>
      </c>
      <c r="B1446" s="2" t="s">
        <v>4457</v>
      </c>
      <c r="C1446" t="s">
        <v>2397</v>
      </c>
      <c r="D1446" t="s">
        <v>3827</v>
      </c>
    </row>
    <row r="1447" spans="1:5" ht="15.5" x14ac:dyDescent="0.35">
      <c r="A1447" s="2" t="s">
        <v>1447</v>
      </c>
      <c r="B1447" s="2" t="s">
        <v>2545</v>
      </c>
      <c r="C1447" t="s">
        <v>2394</v>
      </c>
      <c r="D1447" t="s">
        <v>2575</v>
      </c>
      <c r="E1447" t="s">
        <v>2477</v>
      </c>
    </row>
    <row r="1448" spans="1:5" ht="15.5" x14ac:dyDescent="0.35">
      <c r="A1448" s="2" t="s">
        <v>1448</v>
      </c>
      <c r="B1448" s="2" t="s">
        <v>4458</v>
      </c>
      <c r="C1448" t="s">
        <v>2394</v>
      </c>
      <c r="D1448" t="s">
        <v>3350</v>
      </c>
    </row>
    <row r="1449" spans="1:5" ht="15.5" x14ac:dyDescent="0.35">
      <c r="A1449" s="2" t="s">
        <v>1449</v>
      </c>
      <c r="B1449" s="2" t="s">
        <v>4459</v>
      </c>
      <c r="C1449" t="s">
        <v>2394</v>
      </c>
      <c r="D1449" t="s">
        <v>4460</v>
      </c>
    </row>
    <row r="1450" spans="1:5" ht="15.5" x14ac:dyDescent="0.35">
      <c r="A1450" s="2" t="s">
        <v>1450</v>
      </c>
      <c r="B1450" s="2" t="s">
        <v>4461</v>
      </c>
      <c r="C1450" t="s">
        <v>2394</v>
      </c>
      <c r="D1450" t="s">
        <v>2782</v>
      </c>
      <c r="E1450" t="s">
        <v>2501</v>
      </c>
    </row>
    <row r="1451" spans="1:5" ht="15.5" x14ac:dyDescent="0.35">
      <c r="A1451" s="2" t="s">
        <v>1451</v>
      </c>
      <c r="B1451" s="2" t="s">
        <v>4462</v>
      </c>
      <c r="C1451" t="s">
        <v>2394</v>
      </c>
      <c r="D1451" t="s">
        <v>4463</v>
      </c>
    </row>
    <row r="1452" spans="1:5" ht="15.5" x14ac:dyDescent="0.35">
      <c r="A1452" s="2" t="s">
        <v>1452</v>
      </c>
      <c r="B1452" s="2" t="s">
        <v>4464</v>
      </c>
      <c r="C1452" t="s">
        <v>2397</v>
      </c>
      <c r="D1452" t="s">
        <v>2859</v>
      </c>
      <c r="E1452" t="s">
        <v>2408</v>
      </c>
    </row>
    <row r="1453" spans="1:5" ht="15.5" x14ac:dyDescent="0.35">
      <c r="A1453" s="2" t="s">
        <v>1453</v>
      </c>
      <c r="B1453" s="2" t="s">
        <v>4465</v>
      </c>
      <c r="C1453" t="s">
        <v>2397</v>
      </c>
      <c r="D1453" t="s">
        <v>2457</v>
      </c>
    </row>
    <row r="1454" spans="1:5" ht="15.5" x14ac:dyDescent="0.35">
      <c r="A1454" s="2" t="s">
        <v>1454</v>
      </c>
      <c r="B1454" s="2" t="s">
        <v>4466</v>
      </c>
      <c r="C1454" t="s">
        <v>2397</v>
      </c>
      <c r="D1454" t="s">
        <v>2838</v>
      </c>
      <c r="E1454" t="s">
        <v>2625</v>
      </c>
    </row>
    <row r="1455" spans="1:5" ht="15.5" x14ac:dyDescent="0.35">
      <c r="A1455" s="2" t="s">
        <v>1455</v>
      </c>
      <c r="B1455" s="2" t="s">
        <v>4467</v>
      </c>
      <c r="C1455" t="s">
        <v>2397</v>
      </c>
      <c r="D1455" t="s">
        <v>2457</v>
      </c>
      <c r="E1455" t="s">
        <v>2448</v>
      </c>
    </row>
    <row r="1456" spans="1:5" ht="15.5" x14ac:dyDescent="0.35">
      <c r="A1456" s="2" t="s">
        <v>1456</v>
      </c>
      <c r="B1456" s="2" t="s">
        <v>4468</v>
      </c>
      <c r="C1456" t="s">
        <v>2397</v>
      </c>
      <c r="D1456" t="s">
        <v>4187</v>
      </c>
    </row>
    <row r="1457" spans="1:7" ht="15.5" x14ac:dyDescent="0.35">
      <c r="A1457" s="2" t="s">
        <v>1457</v>
      </c>
      <c r="B1457" s="2" t="s">
        <v>3035</v>
      </c>
      <c r="C1457" t="s">
        <v>2397</v>
      </c>
      <c r="D1457" t="s">
        <v>2546</v>
      </c>
      <c r="E1457" t="s">
        <v>2625</v>
      </c>
    </row>
    <row r="1458" spans="1:7" ht="15.5" x14ac:dyDescent="0.35">
      <c r="A1458" s="2" t="s">
        <v>1458</v>
      </c>
      <c r="B1458" s="2" t="s">
        <v>4469</v>
      </c>
      <c r="C1458" t="s">
        <v>2394</v>
      </c>
      <c r="D1458" t="s">
        <v>2604</v>
      </c>
      <c r="E1458" t="s">
        <v>2622</v>
      </c>
    </row>
    <row r="1459" spans="1:7" ht="15.5" x14ac:dyDescent="0.35">
      <c r="A1459" s="2" t="s">
        <v>1459</v>
      </c>
      <c r="B1459" s="2" t="s">
        <v>4470</v>
      </c>
      <c r="C1459" t="s">
        <v>2394</v>
      </c>
      <c r="D1459" t="s">
        <v>2872</v>
      </c>
    </row>
    <row r="1460" spans="1:7" ht="15.5" x14ac:dyDescent="0.35">
      <c r="A1460" s="2" t="s">
        <v>1460</v>
      </c>
      <c r="B1460" s="2" t="s">
        <v>4471</v>
      </c>
      <c r="C1460" t="s">
        <v>2397</v>
      </c>
      <c r="D1460" t="s">
        <v>4472</v>
      </c>
      <c r="E1460" t="s">
        <v>2485</v>
      </c>
    </row>
    <row r="1461" spans="1:7" ht="15.5" x14ac:dyDescent="0.35">
      <c r="A1461" s="2" t="s">
        <v>1461</v>
      </c>
      <c r="B1461" s="2" t="s">
        <v>3659</v>
      </c>
      <c r="C1461" t="s">
        <v>2397</v>
      </c>
      <c r="D1461" t="s">
        <v>4473</v>
      </c>
    </row>
    <row r="1462" spans="1:7" ht="15.5" x14ac:dyDescent="0.35">
      <c r="A1462" s="2" t="s">
        <v>1462</v>
      </c>
      <c r="B1462" s="2" t="s">
        <v>2934</v>
      </c>
      <c r="C1462" t="s">
        <v>2394</v>
      </c>
      <c r="D1462" t="s">
        <v>2533</v>
      </c>
    </row>
    <row r="1463" spans="1:7" ht="15.5" x14ac:dyDescent="0.35">
      <c r="A1463" s="2" t="s">
        <v>1463</v>
      </c>
      <c r="B1463" s="2" t="s">
        <v>2835</v>
      </c>
      <c r="C1463" t="s">
        <v>2394</v>
      </c>
      <c r="D1463" t="s">
        <v>4474</v>
      </c>
    </row>
    <row r="1464" spans="1:7" ht="15.5" x14ac:dyDescent="0.35">
      <c r="A1464" s="2" t="s">
        <v>1464</v>
      </c>
      <c r="B1464" s="2" t="s">
        <v>4475</v>
      </c>
      <c r="C1464" t="s">
        <v>2397</v>
      </c>
      <c r="D1464" t="s">
        <v>2882</v>
      </c>
    </row>
    <row r="1465" spans="1:7" ht="15.5" x14ac:dyDescent="0.35">
      <c r="A1465" s="2" t="s">
        <v>1465</v>
      </c>
      <c r="B1465" s="2" t="s">
        <v>4476</v>
      </c>
      <c r="C1465" t="s">
        <v>4477</v>
      </c>
      <c r="D1465" t="s">
        <v>2397</v>
      </c>
      <c r="E1465" t="s">
        <v>4478</v>
      </c>
      <c r="F1465" t="s">
        <v>2408</v>
      </c>
      <c r="G1465" t="s">
        <v>2441</v>
      </c>
    </row>
    <row r="1466" spans="1:7" ht="15.5" x14ac:dyDescent="0.35">
      <c r="A1466" s="2" t="s">
        <v>1466</v>
      </c>
      <c r="B1466" s="2" t="s">
        <v>2907</v>
      </c>
      <c r="C1466" t="s">
        <v>2394</v>
      </c>
      <c r="D1466" t="s">
        <v>4479</v>
      </c>
    </row>
    <row r="1467" spans="1:7" ht="15.5" x14ac:dyDescent="0.35">
      <c r="A1467" s="2" t="s">
        <v>1467</v>
      </c>
      <c r="B1467" s="2" t="s">
        <v>3179</v>
      </c>
      <c r="C1467" t="s">
        <v>2397</v>
      </c>
      <c r="D1467" t="s">
        <v>3412</v>
      </c>
    </row>
    <row r="1468" spans="1:7" ht="15.5" x14ac:dyDescent="0.35">
      <c r="A1468" s="2" t="s">
        <v>1468</v>
      </c>
      <c r="B1468" s="2" t="s">
        <v>4480</v>
      </c>
      <c r="C1468" t="s">
        <v>2397</v>
      </c>
      <c r="D1468" t="s">
        <v>4481</v>
      </c>
      <c r="E1468" t="s">
        <v>2700</v>
      </c>
    </row>
    <row r="1469" spans="1:7" ht="15.5" x14ac:dyDescent="0.35">
      <c r="A1469" s="2" t="s">
        <v>1469</v>
      </c>
      <c r="B1469" s="2" t="s">
        <v>4482</v>
      </c>
      <c r="C1469" t="s">
        <v>2397</v>
      </c>
      <c r="D1469" t="s">
        <v>4483</v>
      </c>
    </row>
    <row r="1470" spans="1:7" ht="15.5" x14ac:dyDescent="0.35">
      <c r="A1470" s="2" t="s">
        <v>1470</v>
      </c>
      <c r="B1470" s="2" t="s">
        <v>4484</v>
      </c>
      <c r="C1470" t="s">
        <v>2397</v>
      </c>
      <c r="D1470" t="s">
        <v>2515</v>
      </c>
    </row>
    <row r="1471" spans="1:7" ht="15.5" x14ac:dyDescent="0.35">
      <c r="A1471" s="2" t="s">
        <v>1471</v>
      </c>
      <c r="B1471" s="2" t="s">
        <v>4485</v>
      </c>
      <c r="C1471" t="s">
        <v>2394</v>
      </c>
      <c r="D1471" t="s">
        <v>4065</v>
      </c>
    </row>
    <row r="1472" spans="1:7" ht="15.5" x14ac:dyDescent="0.35">
      <c r="A1472" s="2" t="s">
        <v>1472</v>
      </c>
      <c r="B1472" s="2" t="s">
        <v>4486</v>
      </c>
      <c r="C1472" t="s">
        <v>2397</v>
      </c>
      <c r="D1472" t="s">
        <v>2912</v>
      </c>
      <c r="E1472" t="s">
        <v>2519</v>
      </c>
    </row>
    <row r="1473" spans="1:5" ht="15.5" x14ac:dyDescent="0.35">
      <c r="A1473" s="2" t="s">
        <v>1473</v>
      </c>
      <c r="B1473" s="2" t="s">
        <v>4487</v>
      </c>
      <c r="C1473" t="s">
        <v>2394</v>
      </c>
      <c r="D1473" t="s">
        <v>2774</v>
      </c>
      <c r="E1473" t="s">
        <v>2519</v>
      </c>
    </row>
    <row r="1474" spans="1:5" ht="15.5" x14ac:dyDescent="0.35">
      <c r="A1474" s="2" t="s">
        <v>1474</v>
      </c>
      <c r="B1474" s="2" t="s">
        <v>4488</v>
      </c>
      <c r="C1474" t="s">
        <v>2397</v>
      </c>
      <c r="D1474" t="s">
        <v>3556</v>
      </c>
    </row>
    <row r="1475" spans="1:5" ht="15.5" x14ac:dyDescent="0.35">
      <c r="A1475" s="2" t="s">
        <v>1475</v>
      </c>
      <c r="B1475" s="2" t="s">
        <v>4489</v>
      </c>
      <c r="C1475" t="s">
        <v>2397</v>
      </c>
      <c r="D1475" t="s">
        <v>4490</v>
      </c>
      <c r="E1475" t="s">
        <v>2561</v>
      </c>
    </row>
    <row r="1476" spans="1:5" ht="15.5" x14ac:dyDescent="0.35">
      <c r="A1476" s="2" t="s">
        <v>1476</v>
      </c>
      <c r="B1476" s="2" t="s">
        <v>4491</v>
      </c>
      <c r="C1476" t="s">
        <v>2394</v>
      </c>
      <c r="D1476" t="s">
        <v>4492</v>
      </c>
      <c r="E1476" t="s">
        <v>2431</v>
      </c>
    </row>
    <row r="1477" spans="1:5" ht="15.5" x14ac:dyDescent="0.35">
      <c r="A1477" s="2" t="s">
        <v>1477</v>
      </c>
      <c r="B1477" s="2" t="s">
        <v>4493</v>
      </c>
      <c r="C1477" t="s">
        <v>2397</v>
      </c>
      <c r="D1477" t="s">
        <v>2950</v>
      </c>
      <c r="E1477" t="s">
        <v>2590</v>
      </c>
    </row>
    <row r="1478" spans="1:5" ht="15.5" x14ac:dyDescent="0.35">
      <c r="A1478" s="2" t="s">
        <v>1478</v>
      </c>
      <c r="B1478" s="2" t="s">
        <v>4494</v>
      </c>
      <c r="C1478" t="s">
        <v>2394</v>
      </c>
      <c r="D1478" t="s">
        <v>3369</v>
      </c>
    </row>
    <row r="1479" spans="1:5" ht="15.5" x14ac:dyDescent="0.35">
      <c r="A1479" s="2" t="s">
        <v>1479</v>
      </c>
      <c r="B1479" s="2" t="s">
        <v>4495</v>
      </c>
      <c r="C1479" t="s">
        <v>2397</v>
      </c>
      <c r="D1479" t="s">
        <v>2701</v>
      </c>
      <c r="E1479" t="s">
        <v>2436</v>
      </c>
    </row>
    <row r="1480" spans="1:5" ht="15.5" x14ac:dyDescent="0.35">
      <c r="A1480" s="2" t="s">
        <v>1480</v>
      </c>
      <c r="B1480" s="2" t="s">
        <v>4496</v>
      </c>
      <c r="C1480" t="s">
        <v>2397</v>
      </c>
      <c r="D1480" t="s">
        <v>4497</v>
      </c>
      <c r="E1480" t="s">
        <v>2561</v>
      </c>
    </row>
    <row r="1481" spans="1:5" ht="15.5" x14ac:dyDescent="0.35">
      <c r="A1481" s="2" t="s">
        <v>1481</v>
      </c>
      <c r="B1481" s="2" t="s">
        <v>4498</v>
      </c>
      <c r="C1481" t="s">
        <v>2394</v>
      </c>
      <c r="D1481" t="s">
        <v>4499</v>
      </c>
      <c r="E1481" t="s">
        <v>2561</v>
      </c>
    </row>
    <row r="1482" spans="1:5" ht="15.5" x14ac:dyDescent="0.35">
      <c r="A1482" s="2" t="s">
        <v>1482</v>
      </c>
      <c r="B1482" s="2" t="s">
        <v>4500</v>
      </c>
      <c r="C1482" t="s">
        <v>2397</v>
      </c>
      <c r="D1482" t="s">
        <v>2915</v>
      </c>
    </row>
    <row r="1483" spans="1:5" ht="15.5" x14ac:dyDescent="0.35">
      <c r="A1483" s="2" t="s">
        <v>1483</v>
      </c>
      <c r="B1483" s="2" t="s">
        <v>4346</v>
      </c>
      <c r="C1483" t="s">
        <v>2394</v>
      </c>
      <c r="D1483" t="s">
        <v>3304</v>
      </c>
      <c r="E1483" t="s">
        <v>2436</v>
      </c>
    </row>
    <row r="1484" spans="1:5" ht="15.5" x14ac:dyDescent="0.35">
      <c r="A1484" s="2" t="s">
        <v>1484</v>
      </c>
      <c r="B1484" s="2" t="s">
        <v>4501</v>
      </c>
      <c r="C1484" t="s">
        <v>2397</v>
      </c>
      <c r="D1484" t="s">
        <v>3406</v>
      </c>
      <c r="E1484" t="s">
        <v>2700</v>
      </c>
    </row>
    <row r="1485" spans="1:5" ht="15.5" x14ac:dyDescent="0.35">
      <c r="A1485" s="2" t="s">
        <v>1485</v>
      </c>
      <c r="B1485" s="2" t="s">
        <v>4502</v>
      </c>
      <c r="C1485" t="s">
        <v>2394</v>
      </c>
      <c r="D1485" t="s">
        <v>2536</v>
      </c>
    </row>
    <row r="1486" spans="1:5" ht="15.5" x14ac:dyDescent="0.35">
      <c r="A1486" s="2" t="s">
        <v>1486</v>
      </c>
      <c r="B1486" s="2" t="s">
        <v>4503</v>
      </c>
      <c r="C1486" t="s">
        <v>2394</v>
      </c>
      <c r="D1486" t="s">
        <v>2627</v>
      </c>
      <c r="E1486" t="s">
        <v>2501</v>
      </c>
    </row>
    <row r="1487" spans="1:5" ht="15.5" x14ac:dyDescent="0.35">
      <c r="A1487" s="2" t="s">
        <v>1487</v>
      </c>
      <c r="B1487" s="2" t="s">
        <v>4504</v>
      </c>
      <c r="C1487" t="s">
        <v>2394</v>
      </c>
      <c r="D1487" t="s">
        <v>4505</v>
      </c>
      <c r="E1487" t="s">
        <v>2418</v>
      </c>
    </row>
    <row r="1488" spans="1:5" ht="15.5" x14ac:dyDescent="0.35">
      <c r="A1488" s="2" t="s">
        <v>1488</v>
      </c>
      <c r="B1488" s="2" t="s">
        <v>4506</v>
      </c>
      <c r="C1488" t="s">
        <v>2394</v>
      </c>
      <c r="D1488" t="s">
        <v>4507</v>
      </c>
    </row>
    <row r="1489" spans="1:7" ht="15.5" x14ac:dyDescent="0.35">
      <c r="A1489" s="2" t="s">
        <v>1489</v>
      </c>
      <c r="B1489" s="2" t="s">
        <v>3885</v>
      </c>
      <c r="C1489" t="s">
        <v>2397</v>
      </c>
      <c r="D1489" t="s">
        <v>2412</v>
      </c>
      <c r="E1489" t="s">
        <v>2482</v>
      </c>
    </row>
    <row r="1490" spans="1:7" ht="15.5" x14ac:dyDescent="0.35">
      <c r="A1490" s="2" t="s">
        <v>1490</v>
      </c>
      <c r="B1490" s="2" t="s">
        <v>4508</v>
      </c>
      <c r="C1490" t="s">
        <v>2394</v>
      </c>
      <c r="D1490" t="s">
        <v>4509</v>
      </c>
      <c r="E1490" t="s">
        <v>2561</v>
      </c>
    </row>
    <row r="1491" spans="1:7" ht="15.5" x14ac:dyDescent="0.35">
      <c r="A1491" s="2" t="s">
        <v>1491</v>
      </c>
      <c r="B1491" s="2" t="s">
        <v>4510</v>
      </c>
      <c r="C1491" t="s">
        <v>2394</v>
      </c>
      <c r="D1491" t="s">
        <v>2872</v>
      </c>
      <c r="E1491" t="s">
        <v>2700</v>
      </c>
    </row>
    <row r="1492" spans="1:7" ht="15.5" x14ac:dyDescent="0.35">
      <c r="A1492" s="2" t="s">
        <v>1492</v>
      </c>
      <c r="B1492" s="2" t="s">
        <v>4511</v>
      </c>
      <c r="C1492" t="s">
        <v>2394</v>
      </c>
      <c r="D1492" t="s">
        <v>2853</v>
      </c>
      <c r="E1492" t="s">
        <v>2561</v>
      </c>
    </row>
    <row r="1493" spans="1:7" ht="15.5" x14ac:dyDescent="0.35">
      <c r="A1493" s="2" t="s">
        <v>1493</v>
      </c>
      <c r="B1493" s="2" t="s">
        <v>3032</v>
      </c>
      <c r="C1493" t="s">
        <v>4512</v>
      </c>
      <c r="D1493" t="s">
        <v>2397</v>
      </c>
      <c r="E1493" t="s">
        <v>4513</v>
      </c>
      <c r="F1493" t="s">
        <v>2467</v>
      </c>
      <c r="G1493" t="s">
        <v>2441</v>
      </c>
    </row>
    <row r="1494" spans="1:7" ht="15.5" x14ac:dyDescent="0.35">
      <c r="A1494" s="2" t="s">
        <v>1494</v>
      </c>
      <c r="B1494" s="2" t="s">
        <v>4514</v>
      </c>
      <c r="C1494" t="s">
        <v>2397</v>
      </c>
      <c r="D1494" t="s">
        <v>4515</v>
      </c>
    </row>
    <row r="1495" spans="1:7" ht="15.5" x14ac:dyDescent="0.35">
      <c r="A1495" s="2" t="s">
        <v>1495</v>
      </c>
      <c r="B1495" s="2" t="s">
        <v>4516</v>
      </c>
      <c r="C1495" t="s">
        <v>2394</v>
      </c>
      <c r="D1495" t="s">
        <v>2657</v>
      </c>
      <c r="E1495" t="s">
        <v>2561</v>
      </c>
    </row>
    <row r="1496" spans="1:7" ht="15.5" x14ac:dyDescent="0.35">
      <c r="A1496" s="2" t="s">
        <v>1496</v>
      </c>
      <c r="B1496" s="2" t="s">
        <v>4517</v>
      </c>
      <c r="C1496" t="s">
        <v>2397</v>
      </c>
      <c r="D1496" t="s">
        <v>4518</v>
      </c>
      <c r="E1496" t="s">
        <v>2431</v>
      </c>
    </row>
    <row r="1497" spans="1:7" ht="15.5" x14ac:dyDescent="0.35">
      <c r="A1497" s="2" t="s">
        <v>1497</v>
      </c>
      <c r="B1497" s="2" t="s">
        <v>4519</v>
      </c>
      <c r="C1497" t="s">
        <v>2397</v>
      </c>
      <c r="D1497" t="s">
        <v>4520</v>
      </c>
    </row>
    <row r="1498" spans="1:7" ht="15.5" x14ac:dyDescent="0.35">
      <c r="A1498" s="2" t="s">
        <v>1498</v>
      </c>
      <c r="B1498" s="2" t="s">
        <v>4521</v>
      </c>
      <c r="C1498" t="s">
        <v>4522</v>
      </c>
      <c r="D1498" t="s">
        <v>2397</v>
      </c>
      <c r="E1498" t="s">
        <v>3060</v>
      </c>
      <c r="F1498" t="s">
        <v>4523</v>
      </c>
      <c r="G1498" t="s">
        <v>2441</v>
      </c>
    </row>
    <row r="1499" spans="1:7" ht="15.5" x14ac:dyDescent="0.35">
      <c r="A1499" s="2" t="s">
        <v>1499</v>
      </c>
      <c r="B1499" s="2" t="s">
        <v>4524</v>
      </c>
      <c r="C1499" t="s">
        <v>2397</v>
      </c>
      <c r="D1499" t="s">
        <v>2610</v>
      </c>
    </row>
    <row r="1500" spans="1:7" ht="15.5" x14ac:dyDescent="0.35">
      <c r="A1500" s="2" t="s">
        <v>1500</v>
      </c>
      <c r="B1500" s="2" t="s">
        <v>4525</v>
      </c>
      <c r="C1500" t="s">
        <v>2394</v>
      </c>
      <c r="D1500" t="s">
        <v>3858</v>
      </c>
    </row>
    <row r="1501" spans="1:7" ht="15.5" x14ac:dyDescent="0.35">
      <c r="A1501" s="2" t="s">
        <v>1501</v>
      </c>
      <c r="B1501" s="2" t="s">
        <v>4526</v>
      </c>
      <c r="C1501" t="s">
        <v>2394</v>
      </c>
      <c r="D1501" t="s">
        <v>2653</v>
      </c>
      <c r="E1501" t="s">
        <v>2477</v>
      </c>
    </row>
    <row r="1502" spans="1:7" ht="15.5" x14ac:dyDescent="0.35">
      <c r="A1502" s="2" t="s">
        <v>1502</v>
      </c>
      <c r="B1502" s="2" t="s">
        <v>4527</v>
      </c>
      <c r="C1502" t="s">
        <v>3231</v>
      </c>
      <c r="D1502" t="s">
        <v>4528</v>
      </c>
      <c r="E1502" t="s">
        <v>2482</v>
      </c>
    </row>
    <row r="1503" spans="1:7" ht="15.5" x14ac:dyDescent="0.35">
      <c r="A1503" s="2" t="s">
        <v>1503</v>
      </c>
      <c r="B1503" s="2" t="s">
        <v>4529</v>
      </c>
      <c r="C1503" t="s">
        <v>2394</v>
      </c>
      <c r="D1503" t="s">
        <v>3469</v>
      </c>
    </row>
    <row r="1504" spans="1:7" ht="15.5" x14ac:dyDescent="0.35">
      <c r="A1504" s="2" t="s">
        <v>1504</v>
      </c>
      <c r="B1504" s="2" t="s">
        <v>4530</v>
      </c>
      <c r="C1504" t="s">
        <v>2394</v>
      </c>
      <c r="D1504" t="s">
        <v>3010</v>
      </c>
      <c r="E1504" t="s">
        <v>2590</v>
      </c>
    </row>
    <row r="1505" spans="1:5" ht="15.5" x14ac:dyDescent="0.35">
      <c r="A1505" s="2" t="s">
        <v>1505</v>
      </c>
      <c r="B1505" s="2" t="s">
        <v>3793</v>
      </c>
      <c r="C1505" t="s">
        <v>2397</v>
      </c>
      <c r="D1505" t="s">
        <v>3406</v>
      </c>
      <c r="E1505" t="s">
        <v>2448</v>
      </c>
    </row>
    <row r="1506" spans="1:5" ht="15.5" x14ac:dyDescent="0.35">
      <c r="A1506" s="2" t="s">
        <v>1506</v>
      </c>
      <c r="B1506" s="2" t="s">
        <v>4531</v>
      </c>
      <c r="C1506" t="s">
        <v>2397</v>
      </c>
      <c r="D1506" t="s">
        <v>3901</v>
      </c>
      <c r="E1506" t="s">
        <v>2622</v>
      </c>
    </row>
    <row r="1507" spans="1:5" ht="15.5" x14ac:dyDescent="0.35">
      <c r="A1507" s="2" t="s">
        <v>1507</v>
      </c>
      <c r="B1507" s="2" t="s">
        <v>4532</v>
      </c>
      <c r="C1507" t="s">
        <v>2394</v>
      </c>
      <c r="D1507" t="s">
        <v>4533</v>
      </c>
      <c r="E1507" t="s">
        <v>2561</v>
      </c>
    </row>
    <row r="1508" spans="1:5" ht="15.5" x14ac:dyDescent="0.35">
      <c r="A1508" s="2" t="s">
        <v>1508</v>
      </c>
      <c r="B1508" s="2" t="s">
        <v>4534</v>
      </c>
      <c r="C1508" t="s">
        <v>2397</v>
      </c>
      <c r="D1508" t="s">
        <v>3406</v>
      </c>
      <c r="E1508" t="s">
        <v>2643</v>
      </c>
    </row>
    <row r="1509" spans="1:5" ht="15.5" x14ac:dyDescent="0.35">
      <c r="A1509" s="2" t="s">
        <v>1509</v>
      </c>
      <c r="B1509" s="2" t="s">
        <v>3685</v>
      </c>
      <c r="C1509" t="s">
        <v>2397</v>
      </c>
      <c r="D1509" t="s">
        <v>4535</v>
      </c>
      <c r="E1509" t="s">
        <v>2482</v>
      </c>
    </row>
    <row r="1510" spans="1:5" ht="15.5" x14ac:dyDescent="0.35">
      <c r="A1510" s="2" t="s">
        <v>1510</v>
      </c>
      <c r="B1510" s="2" t="s">
        <v>2736</v>
      </c>
      <c r="C1510" t="s">
        <v>2397</v>
      </c>
      <c r="D1510" t="s">
        <v>2778</v>
      </c>
    </row>
    <row r="1511" spans="1:5" ht="15.5" x14ac:dyDescent="0.35">
      <c r="A1511" s="2" t="s">
        <v>1511</v>
      </c>
      <c r="B1511" s="2" t="s">
        <v>4536</v>
      </c>
      <c r="C1511" t="s">
        <v>2394</v>
      </c>
      <c r="D1511" t="s">
        <v>3519</v>
      </c>
      <c r="E1511" t="s">
        <v>2561</v>
      </c>
    </row>
    <row r="1512" spans="1:5" ht="15.5" x14ac:dyDescent="0.35">
      <c r="A1512" s="2" t="s">
        <v>1512</v>
      </c>
      <c r="B1512" s="2" t="s">
        <v>4537</v>
      </c>
      <c r="C1512" t="s">
        <v>2397</v>
      </c>
      <c r="D1512" t="s">
        <v>2398</v>
      </c>
    </row>
    <row r="1513" spans="1:5" ht="15.5" x14ac:dyDescent="0.35">
      <c r="A1513" s="2" t="s">
        <v>1513</v>
      </c>
      <c r="B1513" s="2" t="s">
        <v>4538</v>
      </c>
      <c r="C1513" t="s">
        <v>2397</v>
      </c>
      <c r="D1513" t="s">
        <v>2891</v>
      </c>
    </row>
    <row r="1514" spans="1:5" ht="15.5" x14ac:dyDescent="0.35">
      <c r="A1514" s="2" t="s">
        <v>1514</v>
      </c>
      <c r="B1514" s="2" t="s">
        <v>4539</v>
      </c>
      <c r="C1514" t="s">
        <v>2394</v>
      </c>
      <c r="D1514" t="s">
        <v>4540</v>
      </c>
    </row>
    <row r="1515" spans="1:5" ht="15.5" x14ac:dyDescent="0.35">
      <c r="A1515" s="2" t="s">
        <v>1515</v>
      </c>
      <c r="B1515" s="2" t="s">
        <v>4541</v>
      </c>
      <c r="C1515" t="s">
        <v>2397</v>
      </c>
      <c r="D1515" t="s">
        <v>4542</v>
      </c>
    </row>
    <row r="1516" spans="1:5" ht="15.5" x14ac:dyDescent="0.35">
      <c r="A1516" s="2" t="s">
        <v>1516</v>
      </c>
      <c r="B1516" s="2" t="s">
        <v>4543</v>
      </c>
      <c r="C1516" t="s">
        <v>2397</v>
      </c>
      <c r="D1516" t="s">
        <v>2398</v>
      </c>
    </row>
    <row r="1517" spans="1:5" ht="15.5" x14ac:dyDescent="0.35">
      <c r="A1517" s="2" t="s">
        <v>1517</v>
      </c>
      <c r="B1517" s="2" t="s">
        <v>4544</v>
      </c>
      <c r="C1517" t="s">
        <v>2397</v>
      </c>
      <c r="D1517" t="s">
        <v>4146</v>
      </c>
    </row>
    <row r="1518" spans="1:5" ht="15.5" x14ac:dyDescent="0.35">
      <c r="A1518" s="2" t="s">
        <v>1518</v>
      </c>
      <c r="B1518" s="2" t="s">
        <v>4545</v>
      </c>
      <c r="C1518" t="s">
        <v>2394</v>
      </c>
      <c r="D1518" t="s">
        <v>4546</v>
      </c>
    </row>
    <row r="1519" spans="1:5" ht="15.5" x14ac:dyDescent="0.35">
      <c r="A1519" s="2" t="s">
        <v>1519</v>
      </c>
      <c r="B1519" s="2" t="s">
        <v>4547</v>
      </c>
      <c r="C1519" t="s">
        <v>2394</v>
      </c>
      <c r="D1519" t="s">
        <v>3181</v>
      </c>
    </row>
    <row r="1520" spans="1:5" ht="15.5" x14ac:dyDescent="0.35">
      <c r="A1520" s="2" t="s">
        <v>1520</v>
      </c>
      <c r="B1520" s="2" t="s">
        <v>4548</v>
      </c>
      <c r="C1520" t="s">
        <v>2394</v>
      </c>
      <c r="D1520" t="s">
        <v>4549</v>
      </c>
      <c r="E1520" t="s">
        <v>2448</v>
      </c>
    </row>
    <row r="1521" spans="1:5" ht="15.5" x14ac:dyDescent="0.35">
      <c r="A1521" s="2" t="s">
        <v>1521</v>
      </c>
      <c r="B1521" s="2" t="s">
        <v>4550</v>
      </c>
      <c r="C1521" t="s">
        <v>2394</v>
      </c>
      <c r="D1521" t="s">
        <v>2996</v>
      </c>
      <c r="E1521" t="s">
        <v>2625</v>
      </c>
    </row>
    <row r="1522" spans="1:5" ht="15.5" x14ac:dyDescent="0.35">
      <c r="A1522" s="2" t="s">
        <v>1522</v>
      </c>
      <c r="B1522" s="2" t="s">
        <v>4551</v>
      </c>
      <c r="C1522" t="s">
        <v>2397</v>
      </c>
      <c r="D1522" t="s">
        <v>3363</v>
      </c>
      <c r="E1522" t="s">
        <v>2472</v>
      </c>
    </row>
    <row r="1523" spans="1:5" ht="15.5" x14ac:dyDescent="0.35">
      <c r="A1523" s="2" t="s">
        <v>1523</v>
      </c>
      <c r="B1523" s="2" t="s">
        <v>4552</v>
      </c>
      <c r="C1523" t="s">
        <v>2394</v>
      </c>
      <c r="D1523" t="s">
        <v>3152</v>
      </c>
    </row>
    <row r="1524" spans="1:5" ht="15.5" x14ac:dyDescent="0.35">
      <c r="A1524" s="2" t="s">
        <v>1524</v>
      </c>
      <c r="B1524" s="2" t="s">
        <v>4553</v>
      </c>
      <c r="C1524" t="s">
        <v>2397</v>
      </c>
      <c r="D1524" t="s">
        <v>4483</v>
      </c>
      <c r="E1524" t="s">
        <v>2415</v>
      </c>
    </row>
    <row r="1525" spans="1:5" ht="15.5" x14ac:dyDescent="0.35">
      <c r="A1525" s="2" t="s">
        <v>1525</v>
      </c>
      <c r="B1525" s="2" t="s">
        <v>4554</v>
      </c>
      <c r="C1525" t="s">
        <v>2397</v>
      </c>
      <c r="D1525" t="s">
        <v>2515</v>
      </c>
    </row>
    <row r="1526" spans="1:5" ht="15.5" x14ac:dyDescent="0.35">
      <c r="A1526" s="2" t="s">
        <v>1526</v>
      </c>
      <c r="B1526" s="2" t="s">
        <v>3755</v>
      </c>
      <c r="C1526" t="s">
        <v>2397</v>
      </c>
      <c r="D1526" t="s">
        <v>2888</v>
      </c>
      <c r="E1526" t="s">
        <v>2436</v>
      </c>
    </row>
    <row r="1527" spans="1:5" ht="15.5" x14ac:dyDescent="0.35">
      <c r="A1527" s="2" t="s">
        <v>1527</v>
      </c>
      <c r="B1527" s="2" t="s">
        <v>4555</v>
      </c>
      <c r="C1527" t="s">
        <v>2394</v>
      </c>
      <c r="D1527" t="s">
        <v>3205</v>
      </c>
    </row>
    <row r="1528" spans="1:5" ht="15.5" x14ac:dyDescent="0.35">
      <c r="A1528" s="2" t="s">
        <v>1528</v>
      </c>
      <c r="B1528" s="2" t="s">
        <v>4556</v>
      </c>
      <c r="C1528" t="s">
        <v>2394</v>
      </c>
      <c r="D1528" t="s">
        <v>4557</v>
      </c>
    </row>
    <row r="1529" spans="1:5" ht="15.5" x14ac:dyDescent="0.35">
      <c r="A1529" s="2" t="s">
        <v>1529</v>
      </c>
      <c r="B1529" s="2" t="s">
        <v>4558</v>
      </c>
      <c r="C1529" t="s">
        <v>2397</v>
      </c>
      <c r="D1529" t="s">
        <v>2531</v>
      </c>
      <c r="E1529" t="s">
        <v>2431</v>
      </c>
    </row>
    <row r="1530" spans="1:5" ht="15.5" x14ac:dyDescent="0.35">
      <c r="A1530" s="2" t="s">
        <v>1530</v>
      </c>
      <c r="B1530" s="2" t="s">
        <v>4559</v>
      </c>
      <c r="C1530" t="s">
        <v>2394</v>
      </c>
      <c r="D1530" t="s">
        <v>3940</v>
      </c>
      <c r="E1530" t="s">
        <v>2436</v>
      </c>
    </row>
    <row r="1531" spans="1:5" ht="15.5" x14ac:dyDescent="0.35">
      <c r="A1531" s="2" t="s">
        <v>1531</v>
      </c>
      <c r="B1531" s="2" t="s">
        <v>2940</v>
      </c>
      <c r="C1531" t="s">
        <v>2394</v>
      </c>
      <c r="D1531" t="s">
        <v>2575</v>
      </c>
    </row>
    <row r="1532" spans="1:5" ht="15.5" x14ac:dyDescent="0.35">
      <c r="A1532" s="2" t="s">
        <v>1532</v>
      </c>
      <c r="B1532" s="2" t="s">
        <v>4560</v>
      </c>
      <c r="C1532" t="s">
        <v>2394</v>
      </c>
      <c r="D1532" t="s">
        <v>2450</v>
      </c>
      <c r="E1532" t="s">
        <v>2431</v>
      </c>
    </row>
    <row r="1533" spans="1:5" ht="15.5" x14ac:dyDescent="0.35">
      <c r="A1533" s="2" t="s">
        <v>1533</v>
      </c>
      <c r="B1533" s="2" t="s">
        <v>4561</v>
      </c>
      <c r="C1533" t="s">
        <v>2397</v>
      </c>
      <c r="D1533" t="s">
        <v>2786</v>
      </c>
    </row>
    <row r="1534" spans="1:5" ht="15.5" x14ac:dyDescent="0.35">
      <c r="A1534" s="2" t="s">
        <v>1534</v>
      </c>
      <c r="B1534" s="2" t="s">
        <v>4562</v>
      </c>
      <c r="C1534" t="s">
        <v>2397</v>
      </c>
      <c r="D1534" t="s">
        <v>3105</v>
      </c>
    </row>
    <row r="1535" spans="1:5" ht="15.5" x14ac:dyDescent="0.35">
      <c r="A1535" s="2" t="s">
        <v>1535</v>
      </c>
      <c r="B1535" s="2" t="s">
        <v>4563</v>
      </c>
      <c r="C1535" t="s">
        <v>2394</v>
      </c>
      <c r="D1535" t="s">
        <v>2585</v>
      </c>
    </row>
    <row r="1536" spans="1:5" ht="15.5" x14ac:dyDescent="0.35">
      <c r="A1536" s="2" t="s">
        <v>1536</v>
      </c>
      <c r="B1536" s="2" t="s">
        <v>4564</v>
      </c>
      <c r="C1536" t="s">
        <v>2397</v>
      </c>
      <c r="D1536" t="s">
        <v>2457</v>
      </c>
    </row>
    <row r="1537" spans="1:6" ht="15.5" x14ac:dyDescent="0.35">
      <c r="A1537" s="2" t="s">
        <v>1537</v>
      </c>
      <c r="B1537" s="2" t="s">
        <v>4565</v>
      </c>
      <c r="C1537" t="s">
        <v>2397</v>
      </c>
      <c r="D1537" t="s">
        <v>2481</v>
      </c>
    </row>
    <row r="1538" spans="1:6" ht="15.5" x14ac:dyDescent="0.35">
      <c r="A1538" s="2" t="s">
        <v>1538</v>
      </c>
      <c r="B1538" s="2" t="s">
        <v>4566</v>
      </c>
      <c r="C1538" t="s">
        <v>2394</v>
      </c>
      <c r="D1538" t="s">
        <v>4356</v>
      </c>
      <c r="E1538" t="s">
        <v>2680</v>
      </c>
    </row>
    <row r="1539" spans="1:6" ht="15.5" x14ac:dyDescent="0.35">
      <c r="A1539" s="2" t="s">
        <v>1539</v>
      </c>
      <c r="B1539" s="2" t="s">
        <v>4567</v>
      </c>
      <c r="C1539" t="s">
        <v>2397</v>
      </c>
      <c r="D1539" t="s">
        <v>2834</v>
      </c>
    </row>
    <row r="1540" spans="1:6" ht="15.5" x14ac:dyDescent="0.35">
      <c r="A1540" s="2" t="s">
        <v>1540</v>
      </c>
      <c r="B1540" s="2" t="s">
        <v>4568</v>
      </c>
      <c r="C1540" t="s">
        <v>2397</v>
      </c>
      <c r="D1540" t="s">
        <v>2762</v>
      </c>
      <c r="E1540" t="s">
        <v>2448</v>
      </c>
    </row>
    <row r="1541" spans="1:6" ht="15.5" x14ac:dyDescent="0.35">
      <c r="A1541" s="2" t="s">
        <v>1541</v>
      </c>
      <c r="B1541" s="2" t="s">
        <v>4569</v>
      </c>
      <c r="C1541" t="s">
        <v>2394</v>
      </c>
      <c r="D1541" t="s">
        <v>4570</v>
      </c>
    </row>
    <row r="1542" spans="1:6" ht="15.5" x14ac:dyDescent="0.35">
      <c r="A1542" s="2" t="s">
        <v>1542</v>
      </c>
      <c r="B1542" s="2" t="s">
        <v>4571</v>
      </c>
      <c r="C1542" t="s">
        <v>2394</v>
      </c>
      <c r="D1542" t="s">
        <v>3181</v>
      </c>
      <c r="E1542" t="s">
        <v>2561</v>
      </c>
    </row>
    <row r="1543" spans="1:6" ht="15.5" x14ac:dyDescent="0.35">
      <c r="A1543" s="2" t="s">
        <v>1543</v>
      </c>
      <c r="B1543" s="2" t="s">
        <v>4572</v>
      </c>
      <c r="C1543" t="s">
        <v>2397</v>
      </c>
      <c r="D1543" t="s">
        <v>3508</v>
      </c>
      <c r="E1543" t="s">
        <v>2472</v>
      </c>
    </row>
    <row r="1544" spans="1:6" ht="15.5" x14ac:dyDescent="0.35">
      <c r="A1544" s="2" t="s">
        <v>1544</v>
      </c>
      <c r="B1544" s="2" t="s">
        <v>4573</v>
      </c>
      <c r="C1544" t="s">
        <v>2397</v>
      </c>
      <c r="D1544" t="s">
        <v>2481</v>
      </c>
    </row>
    <row r="1545" spans="1:6" ht="15.5" x14ac:dyDescent="0.35">
      <c r="A1545" s="2" t="s">
        <v>1545</v>
      </c>
      <c r="B1545" s="2" t="s">
        <v>4574</v>
      </c>
      <c r="C1545" t="s">
        <v>2453</v>
      </c>
      <c r="D1545" t="s">
        <v>2397</v>
      </c>
      <c r="E1545" t="s">
        <v>4472</v>
      </c>
    </row>
    <row r="1546" spans="1:6" ht="15.5" x14ac:dyDescent="0.35">
      <c r="A1546" s="2" t="s">
        <v>1546</v>
      </c>
      <c r="B1546" s="2" t="s">
        <v>4575</v>
      </c>
      <c r="C1546" t="s">
        <v>2397</v>
      </c>
      <c r="D1546" t="s">
        <v>4576</v>
      </c>
    </row>
    <row r="1547" spans="1:6" ht="15.5" x14ac:dyDescent="0.35">
      <c r="A1547" s="2" t="s">
        <v>1547</v>
      </c>
      <c r="B1547" s="2" t="s">
        <v>4577</v>
      </c>
      <c r="C1547" t="s">
        <v>2394</v>
      </c>
      <c r="D1547" t="s">
        <v>2774</v>
      </c>
      <c r="E1547" t="s">
        <v>2519</v>
      </c>
    </row>
    <row r="1548" spans="1:6" ht="15.5" x14ac:dyDescent="0.35">
      <c r="A1548" s="2" t="s">
        <v>1548</v>
      </c>
      <c r="B1548" s="2" t="s">
        <v>4578</v>
      </c>
      <c r="C1548" t="s">
        <v>2394</v>
      </c>
      <c r="D1548" t="s">
        <v>3369</v>
      </c>
      <c r="E1548" t="s">
        <v>2477</v>
      </c>
    </row>
    <row r="1549" spans="1:6" ht="15.5" x14ac:dyDescent="0.35">
      <c r="A1549" s="2" t="s">
        <v>1549</v>
      </c>
      <c r="B1549" s="2" t="s">
        <v>4579</v>
      </c>
      <c r="C1549" t="s">
        <v>2394</v>
      </c>
      <c r="D1549" t="s">
        <v>3249</v>
      </c>
      <c r="E1549" t="s">
        <v>2436</v>
      </c>
    </row>
    <row r="1550" spans="1:6" ht="15.5" x14ac:dyDescent="0.35">
      <c r="A1550" s="2" t="s">
        <v>1550</v>
      </c>
      <c r="B1550" s="2" t="s">
        <v>4580</v>
      </c>
      <c r="C1550" t="s">
        <v>2397</v>
      </c>
      <c r="D1550" t="s">
        <v>2503</v>
      </c>
      <c r="E1550" t="s">
        <v>2415</v>
      </c>
      <c r="F1550" t="s">
        <v>3564</v>
      </c>
    </row>
    <row r="1551" spans="1:6" ht="15.5" x14ac:dyDescent="0.35">
      <c r="A1551" s="2" t="s">
        <v>1551</v>
      </c>
      <c r="B1551" s="2" t="s">
        <v>4581</v>
      </c>
      <c r="C1551" t="s">
        <v>2394</v>
      </c>
      <c r="D1551" t="s">
        <v>2461</v>
      </c>
      <c r="E1551" t="s">
        <v>2462</v>
      </c>
    </row>
    <row r="1552" spans="1:6" ht="15.5" x14ac:dyDescent="0.35">
      <c r="A1552" s="2" t="s">
        <v>1552</v>
      </c>
      <c r="B1552" s="2" t="s">
        <v>4582</v>
      </c>
      <c r="C1552" t="s">
        <v>2397</v>
      </c>
      <c r="D1552" t="s">
        <v>4583</v>
      </c>
    </row>
    <row r="1553" spans="1:6" ht="15.5" x14ac:dyDescent="0.35">
      <c r="A1553" s="2" t="s">
        <v>1553</v>
      </c>
      <c r="B1553" s="2" t="s">
        <v>4231</v>
      </c>
      <c r="C1553" t="s">
        <v>2397</v>
      </c>
      <c r="D1553" t="s">
        <v>3203</v>
      </c>
    </row>
    <row r="1554" spans="1:6" ht="15.5" x14ac:dyDescent="0.35">
      <c r="A1554" s="2" t="s">
        <v>1554</v>
      </c>
      <c r="B1554" s="2" t="s">
        <v>4584</v>
      </c>
      <c r="C1554" t="s">
        <v>2397</v>
      </c>
      <c r="D1554" t="s">
        <v>2523</v>
      </c>
      <c r="E1554" t="s">
        <v>2477</v>
      </c>
    </row>
    <row r="1555" spans="1:6" ht="15.5" x14ac:dyDescent="0.35">
      <c r="A1555" s="2" t="s">
        <v>1555</v>
      </c>
      <c r="B1555" s="2" t="s">
        <v>4585</v>
      </c>
      <c r="C1555" t="s">
        <v>2394</v>
      </c>
      <c r="D1555" t="s">
        <v>4586</v>
      </c>
    </row>
    <row r="1556" spans="1:6" ht="15.5" x14ac:dyDescent="0.35">
      <c r="A1556" s="2" t="s">
        <v>1556</v>
      </c>
      <c r="B1556" s="2" t="s">
        <v>4587</v>
      </c>
      <c r="C1556" t="s">
        <v>4588</v>
      </c>
      <c r="D1556" t="s">
        <v>2394</v>
      </c>
      <c r="E1556" t="s">
        <v>2782</v>
      </c>
    </row>
    <row r="1557" spans="1:6" ht="15.5" x14ac:dyDescent="0.35">
      <c r="A1557" s="2" t="s">
        <v>1557</v>
      </c>
      <c r="B1557" s="2" t="s">
        <v>4024</v>
      </c>
      <c r="C1557" t="s">
        <v>2397</v>
      </c>
      <c r="D1557" t="s">
        <v>2859</v>
      </c>
      <c r="E1557" t="s">
        <v>2462</v>
      </c>
      <c r="F1557" t="s">
        <v>2441</v>
      </c>
    </row>
    <row r="1558" spans="1:6" ht="15.5" x14ac:dyDescent="0.35">
      <c r="A1558" s="2" t="s">
        <v>1558</v>
      </c>
      <c r="B1558" s="2" t="s">
        <v>4589</v>
      </c>
      <c r="C1558" t="s">
        <v>2394</v>
      </c>
      <c r="D1558" t="s">
        <v>4590</v>
      </c>
      <c r="E1558" t="s">
        <v>2561</v>
      </c>
    </row>
    <row r="1559" spans="1:6" ht="15.5" x14ac:dyDescent="0.35">
      <c r="A1559" s="2" t="s">
        <v>1559</v>
      </c>
      <c r="B1559" s="2" t="s">
        <v>4591</v>
      </c>
      <c r="C1559" t="s">
        <v>2394</v>
      </c>
      <c r="D1559" t="s">
        <v>2395</v>
      </c>
      <c r="E1559" t="s">
        <v>2561</v>
      </c>
    </row>
    <row r="1560" spans="1:6" ht="15.5" x14ac:dyDescent="0.35">
      <c r="A1560" s="2" t="s">
        <v>1560</v>
      </c>
      <c r="B1560" s="2" t="s">
        <v>4592</v>
      </c>
      <c r="C1560" t="s">
        <v>2394</v>
      </c>
      <c r="D1560" t="s">
        <v>4593</v>
      </c>
      <c r="E1560" t="s">
        <v>2418</v>
      </c>
    </row>
    <row r="1561" spans="1:6" ht="15.5" x14ac:dyDescent="0.35">
      <c r="A1561" s="2" t="s">
        <v>1561</v>
      </c>
      <c r="B1561" s="2" t="s">
        <v>4594</v>
      </c>
      <c r="C1561" t="s">
        <v>2394</v>
      </c>
      <c r="D1561" t="s">
        <v>4595</v>
      </c>
      <c r="E1561" t="s">
        <v>4596</v>
      </c>
    </row>
    <row r="1562" spans="1:6" ht="15.5" x14ac:dyDescent="0.35">
      <c r="A1562" s="2" t="s">
        <v>1562</v>
      </c>
      <c r="B1562" s="2" t="s">
        <v>4597</v>
      </c>
      <c r="C1562" t="s">
        <v>2397</v>
      </c>
      <c r="D1562" t="s">
        <v>3070</v>
      </c>
      <c r="E1562" t="s">
        <v>2415</v>
      </c>
    </row>
    <row r="1563" spans="1:6" ht="15.5" x14ac:dyDescent="0.35">
      <c r="A1563" s="2" t="s">
        <v>1563</v>
      </c>
      <c r="B1563" s="2" t="s">
        <v>4598</v>
      </c>
      <c r="C1563" t="s">
        <v>4599</v>
      </c>
      <c r="D1563" t="s">
        <v>2397</v>
      </c>
      <c r="E1563" t="s">
        <v>2796</v>
      </c>
      <c r="F1563" t="s">
        <v>2441</v>
      </c>
    </row>
    <row r="1564" spans="1:6" ht="15.5" x14ac:dyDescent="0.35">
      <c r="A1564" s="2" t="s">
        <v>1564</v>
      </c>
      <c r="B1564" s="2" t="s">
        <v>4600</v>
      </c>
      <c r="C1564" t="s">
        <v>2397</v>
      </c>
      <c r="D1564" t="s">
        <v>2596</v>
      </c>
      <c r="E1564" t="s">
        <v>2415</v>
      </c>
    </row>
    <row r="1565" spans="1:6" ht="15.5" x14ac:dyDescent="0.35">
      <c r="A1565" s="2" t="s">
        <v>1565</v>
      </c>
      <c r="B1565" s="2" t="s">
        <v>3239</v>
      </c>
      <c r="C1565" t="s">
        <v>2397</v>
      </c>
      <c r="D1565" t="s">
        <v>2711</v>
      </c>
    </row>
    <row r="1566" spans="1:6" ht="15.5" x14ac:dyDescent="0.35">
      <c r="A1566" s="2" t="s">
        <v>1566</v>
      </c>
      <c r="B1566" s="2" t="s">
        <v>3769</v>
      </c>
      <c r="C1566" t="s">
        <v>2397</v>
      </c>
      <c r="D1566" t="s">
        <v>2701</v>
      </c>
      <c r="E1566" t="s">
        <v>2399</v>
      </c>
    </row>
    <row r="1567" spans="1:6" ht="15.5" x14ac:dyDescent="0.35">
      <c r="A1567" s="2" t="s">
        <v>1567</v>
      </c>
      <c r="B1567" s="2" t="s">
        <v>4601</v>
      </c>
      <c r="C1567" t="s">
        <v>2394</v>
      </c>
      <c r="D1567" t="s">
        <v>4602</v>
      </c>
    </row>
    <row r="1568" spans="1:6" ht="15.5" x14ac:dyDescent="0.35">
      <c r="A1568" s="2" t="s">
        <v>1568</v>
      </c>
      <c r="B1568" s="2" t="s">
        <v>4603</v>
      </c>
      <c r="C1568" t="s">
        <v>2394</v>
      </c>
      <c r="D1568" t="s">
        <v>3050</v>
      </c>
    </row>
    <row r="1569" spans="1:5" ht="15.5" x14ac:dyDescent="0.35">
      <c r="A1569" s="2" t="s">
        <v>1569</v>
      </c>
      <c r="B1569" s="2" t="s">
        <v>3303</v>
      </c>
      <c r="C1569" t="s">
        <v>2397</v>
      </c>
      <c r="D1569" t="s">
        <v>4604</v>
      </c>
      <c r="E1569" t="s">
        <v>2643</v>
      </c>
    </row>
    <row r="1570" spans="1:5" ht="15.5" x14ac:dyDescent="0.35">
      <c r="A1570" s="2" t="s">
        <v>1570</v>
      </c>
      <c r="B1570" s="2" t="s">
        <v>4605</v>
      </c>
      <c r="C1570" t="s">
        <v>2394</v>
      </c>
      <c r="D1570" t="s">
        <v>4606</v>
      </c>
    </row>
    <row r="1571" spans="1:5" ht="15.5" x14ac:dyDescent="0.35">
      <c r="A1571" s="2" t="s">
        <v>1571</v>
      </c>
      <c r="B1571" s="2" t="s">
        <v>4607</v>
      </c>
      <c r="C1571" t="s">
        <v>2397</v>
      </c>
      <c r="D1571" t="s">
        <v>3971</v>
      </c>
    </row>
    <row r="1572" spans="1:5" ht="15.5" x14ac:dyDescent="0.35">
      <c r="A1572" s="2" t="s">
        <v>1572</v>
      </c>
      <c r="B1572" s="2" t="s">
        <v>4608</v>
      </c>
      <c r="C1572" t="s">
        <v>2394</v>
      </c>
      <c r="D1572" t="s">
        <v>2585</v>
      </c>
      <c r="E1572" t="s">
        <v>2625</v>
      </c>
    </row>
    <row r="1573" spans="1:5" ht="15.5" x14ac:dyDescent="0.35">
      <c r="A1573" s="2" t="s">
        <v>1573</v>
      </c>
      <c r="B1573" s="2" t="s">
        <v>3223</v>
      </c>
      <c r="C1573" t="s">
        <v>2397</v>
      </c>
      <c r="D1573" t="s">
        <v>4609</v>
      </c>
      <c r="E1573" t="s">
        <v>2622</v>
      </c>
    </row>
    <row r="1574" spans="1:5" ht="15.5" x14ac:dyDescent="0.35">
      <c r="A1574" s="2" t="s">
        <v>1574</v>
      </c>
      <c r="B1574" s="2" t="s">
        <v>4610</v>
      </c>
      <c r="C1574" t="s">
        <v>2397</v>
      </c>
      <c r="D1574" t="s">
        <v>4611</v>
      </c>
    </row>
    <row r="1575" spans="1:5" ht="15.5" x14ac:dyDescent="0.35">
      <c r="A1575" s="2" t="s">
        <v>1575</v>
      </c>
      <c r="B1575" s="2" t="s">
        <v>4612</v>
      </c>
      <c r="C1575" t="s">
        <v>2397</v>
      </c>
      <c r="D1575" t="s">
        <v>4613</v>
      </c>
      <c r="E1575" t="s">
        <v>2472</v>
      </c>
    </row>
    <row r="1576" spans="1:5" ht="15.5" x14ac:dyDescent="0.35">
      <c r="A1576" s="2" t="s">
        <v>1576</v>
      </c>
      <c r="B1576" s="2" t="s">
        <v>4614</v>
      </c>
      <c r="C1576" t="s">
        <v>2397</v>
      </c>
      <c r="D1576" t="s">
        <v>2452</v>
      </c>
      <c r="E1576" t="s">
        <v>2436</v>
      </c>
    </row>
    <row r="1577" spans="1:5" ht="15.5" x14ac:dyDescent="0.35">
      <c r="A1577" s="2" t="s">
        <v>1577</v>
      </c>
      <c r="B1577" s="2" t="s">
        <v>3325</v>
      </c>
      <c r="C1577" t="s">
        <v>2394</v>
      </c>
      <c r="D1577" t="s">
        <v>4615</v>
      </c>
    </row>
    <row r="1578" spans="1:5" ht="15.5" x14ac:dyDescent="0.35">
      <c r="A1578" s="2" t="s">
        <v>1578</v>
      </c>
      <c r="B1578" s="2" t="s">
        <v>4616</v>
      </c>
      <c r="C1578" t="s">
        <v>2397</v>
      </c>
      <c r="D1578" t="s">
        <v>2512</v>
      </c>
      <c r="E1578" t="s">
        <v>2482</v>
      </c>
    </row>
    <row r="1579" spans="1:5" ht="15.5" x14ac:dyDescent="0.35">
      <c r="A1579" s="2" t="s">
        <v>1579</v>
      </c>
      <c r="B1579" s="2" t="s">
        <v>4617</v>
      </c>
      <c r="C1579" t="s">
        <v>2397</v>
      </c>
      <c r="D1579" t="s">
        <v>4618</v>
      </c>
    </row>
    <row r="1580" spans="1:5" ht="15.5" x14ac:dyDescent="0.35">
      <c r="A1580" s="2" t="s">
        <v>1580</v>
      </c>
      <c r="B1580" s="2" t="s">
        <v>3462</v>
      </c>
      <c r="C1580" t="s">
        <v>2394</v>
      </c>
      <c r="D1580" t="s">
        <v>4619</v>
      </c>
    </row>
    <row r="1581" spans="1:5" ht="15.5" x14ac:dyDescent="0.35">
      <c r="A1581" s="2" t="s">
        <v>1581</v>
      </c>
      <c r="B1581" s="2" t="s">
        <v>4620</v>
      </c>
      <c r="C1581" t="s">
        <v>2397</v>
      </c>
      <c r="D1581" t="s">
        <v>2701</v>
      </c>
    </row>
    <row r="1582" spans="1:5" ht="15.5" x14ac:dyDescent="0.35">
      <c r="A1582" s="2" t="s">
        <v>1582</v>
      </c>
      <c r="B1582" s="2" t="s">
        <v>4621</v>
      </c>
      <c r="C1582" t="s">
        <v>2397</v>
      </c>
      <c r="D1582" t="s">
        <v>2714</v>
      </c>
      <c r="E1582" t="s">
        <v>2501</v>
      </c>
    </row>
    <row r="1583" spans="1:5" ht="15.5" x14ac:dyDescent="0.35">
      <c r="A1583" s="2" t="s">
        <v>1583</v>
      </c>
      <c r="B1583" s="2" t="s">
        <v>3005</v>
      </c>
      <c r="C1583" t="s">
        <v>2397</v>
      </c>
      <c r="D1583" t="s">
        <v>2496</v>
      </c>
      <c r="E1583" t="s">
        <v>2436</v>
      </c>
    </row>
    <row r="1584" spans="1:5" ht="15.5" x14ac:dyDescent="0.35">
      <c r="A1584" s="2" t="s">
        <v>1584</v>
      </c>
      <c r="B1584" s="2" t="s">
        <v>4622</v>
      </c>
      <c r="C1584" t="s">
        <v>3231</v>
      </c>
      <c r="D1584" t="s">
        <v>4623</v>
      </c>
    </row>
    <row r="1585" spans="1:5" ht="15.5" x14ac:dyDescent="0.35">
      <c r="A1585" s="2" t="s">
        <v>1585</v>
      </c>
      <c r="B1585" s="2" t="s">
        <v>4624</v>
      </c>
      <c r="C1585" t="s">
        <v>2394</v>
      </c>
      <c r="D1585" t="s">
        <v>4625</v>
      </c>
    </row>
    <row r="1586" spans="1:5" ht="15.5" x14ac:dyDescent="0.35">
      <c r="A1586" s="2" t="s">
        <v>1586</v>
      </c>
      <c r="B1586" s="2" t="s">
        <v>4626</v>
      </c>
      <c r="C1586" t="s">
        <v>3231</v>
      </c>
      <c r="D1586" t="s">
        <v>4627</v>
      </c>
      <c r="E1586" t="s">
        <v>2799</v>
      </c>
    </row>
    <row r="1587" spans="1:5" ht="15.5" x14ac:dyDescent="0.35">
      <c r="A1587" s="2" t="s">
        <v>1587</v>
      </c>
      <c r="B1587" s="2" t="s">
        <v>4628</v>
      </c>
      <c r="C1587" t="s">
        <v>2394</v>
      </c>
      <c r="D1587" t="s">
        <v>3361</v>
      </c>
      <c r="E1587" t="s">
        <v>4629</v>
      </c>
    </row>
    <row r="1588" spans="1:5" ht="15.5" x14ac:dyDescent="0.35">
      <c r="A1588" s="2" t="s">
        <v>1588</v>
      </c>
      <c r="B1588" s="2" t="s">
        <v>4630</v>
      </c>
      <c r="C1588" t="s">
        <v>2397</v>
      </c>
      <c r="D1588" t="s">
        <v>4631</v>
      </c>
      <c r="E1588" t="s">
        <v>2431</v>
      </c>
    </row>
    <row r="1589" spans="1:5" ht="15.5" x14ac:dyDescent="0.35">
      <c r="A1589" s="2" t="s">
        <v>1589</v>
      </c>
      <c r="B1589" s="2" t="s">
        <v>4632</v>
      </c>
      <c r="C1589" t="s">
        <v>2397</v>
      </c>
      <c r="D1589" t="s">
        <v>3280</v>
      </c>
      <c r="E1589" t="s">
        <v>2415</v>
      </c>
    </row>
    <row r="1590" spans="1:5" ht="15.5" x14ac:dyDescent="0.35">
      <c r="A1590" s="2" t="s">
        <v>1590</v>
      </c>
      <c r="B1590" s="2" t="s">
        <v>4633</v>
      </c>
      <c r="C1590" t="s">
        <v>2394</v>
      </c>
      <c r="D1590" t="s">
        <v>4634</v>
      </c>
    </row>
    <row r="1591" spans="1:5" ht="15.5" x14ac:dyDescent="0.35">
      <c r="A1591" s="2" t="s">
        <v>1591</v>
      </c>
      <c r="B1591" s="2" t="s">
        <v>2946</v>
      </c>
      <c r="C1591" t="s">
        <v>2397</v>
      </c>
      <c r="D1591" t="s">
        <v>2790</v>
      </c>
    </row>
    <row r="1592" spans="1:5" ht="15.5" x14ac:dyDescent="0.35">
      <c r="A1592" s="2" t="s">
        <v>1592</v>
      </c>
      <c r="B1592" s="2" t="s">
        <v>4635</v>
      </c>
      <c r="C1592" t="s">
        <v>2397</v>
      </c>
      <c r="D1592" t="s">
        <v>3280</v>
      </c>
    </row>
    <row r="1593" spans="1:5" ht="15.5" x14ac:dyDescent="0.35">
      <c r="A1593" s="2" t="s">
        <v>1593</v>
      </c>
      <c r="B1593" s="2" t="s">
        <v>4636</v>
      </c>
      <c r="C1593" t="s">
        <v>2397</v>
      </c>
      <c r="D1593" t="s">
        <v>2821</v>
      </c>
    </row>
    <row r="1594" spans="1:5" ht="15.5" x14ac:dyDescent="0.35">
      <c r="A1594" s="2" t="s">
        <v>1594</v>
      </c>
      <c r="B1594" s="2" t="s">
        <v>4637</v>
      </c>
      <c r="C1594" t="s">
        <v>3231</v>
      </c>
      <c r="D1594" t="s">
        <v>2533</v>
      </c>
    </row>
    <row r="1595" spans="1:5" ht="15.5" x14ac:dyDescent="0.35">
      <c r="A1595" s="2" t="s">
        <v>1595</v>
      </c>
      <c r="B1595" s="2" t="s">
        <v>4638</v>
      </c>
      <c r="C1595" t="s">
        <v>2397</v>
      </c>
      <c r="D1595" t="s">
        <v>4423</v>
      </c>
    </row>
    <row r="1596" spans="1:5" ht="15.5" x14ac:dyDescent="0.35">
      <c r="A1596" s="2" t="s">
        <v>1596</v>
      </c>
      <c r="B1596" s="2" t="s">
        <v>4639</v>
      </c>
      <c r="C1596" t="s">
        <v>2394</v>
      </c>
      <c r="D1596" t="s">
        <v>2774</v>
      </c>
    </row>
    <row r="1597" spans="1:5" ht="15.5" x14ac:dyDescent="0.35">
      <c r="A1597" s="2" t="s">
        <v>1597</v>
      </c>
      <c r="B1597" s="2" t="s">
        <v>4640</v>
      </c>
      <c r="C1597" t="s">
        <v>3231</v>
      </c>
      <c r="D1597" t="s">
        <v>2996</v>
      </c>
      <c r="E1597" t="s">
        <v>2415</v>
      </c>
    </row>
    <row r="1598" spans="1:5" ht="15.5" x14ac:dyDescent="0.35">
      <c r="A1598" s="2" t="s">
        <v>1598</v>
      </c>
      <c r="B1598" s="2" t="s">
        <v>4641</v>
      </c>
      <c r="C1598" t="s">
        <v>2397</v>
      </c>
      <c r="D1598" t="s">
        <v>4642</v>
      </c>
    </row>
    <row r="1599" spans="1:5" ht="15.5" x14ac:dyDescent="0.35">
      <c r="A1599" s="2" t="s">
        <v>1599</v>
      </c>
      <c r="B1599" s="2" t="s">
        <v>4643</v>
      </c>
      <c r="C1599" t="s">
        <v>2397</v>
      </c>
      <c r="D1599" t="s">
        <v>4644</v>
      </c>
    </row>
    <row r="1600" spans="1:5" ht="15.5" x14ac:dyDescent="0.35">
      <c r="A1600" s="2" t="s">
        <v>1600</v>
      </c>
      <c r="B1600" s="2" t="s">
        <v>3823</v>
      </c>
      <c r="C1600" t="s">
        <v>2397</v>
      </c>
      <c r="D1600" t="s">
        <v>4645</v>
      </c>
      <c r="E1600" t="s">
        <v>2467</v>
      </c>
    </row>
    <row r="1601" spans="1:5" ht="15.5" x14ac:dyDescent="0.35">
      <c r="A1601" s="2" t="s">
        <v>1601</v>
      </c>
      <c r="B1601" s="2" t="s">
        <v>4646</v>
      </c>
      <c r="C1601" t="s">
        <v>2397</v>
      </c>
      <c r="D1601" t="s">
        <v>3095</v>
      </c>
    </row>
    <row r="1602" spans="1:5" ht="15.5" x14ac:dyDescent="0.35">
      <c r="A1602" s="2" t="s">
        <v>1602</v>
      </c>
      <c r="B1602" s="2" t="s">
        <v>4647</v>
      </c>
      <c r="C1602" t="s">
        <v>2394</v>
      </c>
      <c r="D1602" t="s">
        <v>4648</v>
      </c>
      <c r="E1602" t="s">
        <v>2886</v>
      </c>
    </row>
    <row r="1603" spans="1:5" ht="15.5" x14ac:dyDescent="0.35">
      <c r="A1603" s="2" t="s">
        <v>1603</v>
      </c>
      <c r="B1603" s="2" t="s">
        <v>4649</v>
      </c>
      <c r="C1603" t="s">
        <v>2397</v>
      </c>
      <c r="D1603" t="s">
        <v>3754</v>
      </c>
    </row>
    <row r="1604" spans="1:5" ht="15.5" x14ac:dyDescent="0.35">
      <c r="A1604" s="2" t="s">
        <v>1604</v>
      </c>
      <c r="B1604" s="2" t="s">
        <v>4650</v>
      </c>
      <c r="C1604" t="s">
        <v>2397</v>
      </c>
      <c r="D1604" t="s">
        <v>2673</v>
      </c>
    </row>
    <row r="1605" spans="1:5" ht="15.5" x14ac:dyDescent="0.35">
      <c r="A1605" s="2" t="s">
        <v>1605</v>
      </c>
      <c r="B1605" s="2" t="s">
        <v>3657</v>
      </c>
      <c r="C1605" t="s">
        <v>2397</v>
      </c>
      <c r="D1605" t="s">
        <v>4651</v>
      </c>
      <c r="E1605" t="s">
        <v>2671</v>
      </c>
    </row>
    <row r="1606" spans="1:5" ht="15.5" x14ac:dyDescent="0.35">
      <c r="A1606" s="2" t="s">
        <v>1606</v>
      </c>
      <c r="B1606" s="2" t="s">
        <v>4652</v>
      </c>
      <c r="C1606" t="s">
        <v>3231</v>
      </c>
      <c r="D1606" t="s">
        <v>4212</v>
      </c>
    </row>
    <row r="1607" spans="1:5" ht="15.5" x14ac:dyDescent="0.35">
      <c r="A1607" s="2" t="s">
        <v>1607</v>
      </c>
      <c r="B1607" s="2" t="s">
        <v>4653</v>
      </c>
      <c r="C1607" t="s">
        <v>2397</v>
      </c>
      <c r="D1607" t="s">
        <v>2596</v>
      </c>
    </row>
    <row r="1608" spans="1:5" ht="15.5" x14ac:dyDescent="0.35">
      <c r="A1608" s="2" t="s">
        <v>1608</v>
      </c>
      <c r="B1608" s="2" t="s">
        <v>3239</v>
      </c>
      <c r="C1608" t="s">
        <v>2397</v>
      </c>
      <c r="D1608" t="s">
        <v>2410</v>
      </c>
      <c r="E1608" t="s">
        <v>2431</v>
      </c>
    </row>
    <row r="1609" spans="1:5" ht="15.5" x14ac:dyDescent="0.35">
      <c r="A1609" s="2" t="s">
        <v>1609</v>
      </c>
      <c r="B1609" s="2" t="s">
        <v>4654</v>
      </c>
      <c r="C1609" t="s">
        <v>2394</v>
      </c>
      <c r="D1609" t="s">
        <v>4655</v>
      </c>
      <c r="E1609" t="s">
        <v>2561</v>
      </c>
    </row>
    <row r="1610" spans="1:5" ht="15.5" x14ac:dyDescent="0.35">
      <c r="A1610" s="2" t="s">
        <v>1610</v>
      </c>
      <c r="B1610" s="2" t="s">
        <v>4656</v>
      </c>
      <c r="C1610" t="s">
        <v>2394</v>
      </c>
      <c r="D1610" t="s">
        <v>2533</v>
      </c>
    </row>
    <row r="1611" spans="1:5" ht="15.5" x14ac:dyDescent="0.35">
      <c r="A1611" s="2" t="s">
        <v>1611</v>
      </c>
      <c r="B1611" s="2" t="s">
        <v>4657</v>
      </c>
      <c r="C1611" t="s">
        <v>2394</v>
      </c>
      <c r="D1611" t="s">
        <v>2769</v>
      </c>
      <c r="E1611" t="s">
        <v>2501</v>
      </c>
    </row>
    <row r="1612" spans="1:5" ht="15.5" x14ac:dyDescent="0.35">
      <c r="A1612" s="2" t="s">
        <v>1612</v>
      </c>
      <c r="B1612" s="2" t="s">
        <v>4658</v>
      </c>
      <c r="C1612" t="s">
        <v>2394</v>
      </c>
      <c r="D1612" t="s">
        <v>2548</v>
      </c>
      <c r="E1612" t="s">
        <v>2482</v>
      </c>
    </row>
    <row r="1613" spans="1:5" ht="15.5" x14ac:dyDescent="0.35">
      <c r="A1613" s="2" t="s">
        <v>1613</v>
      </c>
      <c r="B1613" s="2" t="s">
        <v>4659</v>
      </c>
      <c r="C1613" t="s">
        <v>2394</v>
      </c>
      <c r="D1613" t="s">
        <v>2657</v>
      </c>
      <c r="E1613" t="s">
        <v>2431</v>
      </c>
    </row>
    <row r="1614" spans="1:5" ht="15.5" x14ac:dyDescent="0.35">
      <c r="A1614" s="2" t="s">
        <v>1614</v>
      </c>
      <c r="B1614" s="2" t="s">
        <v>4660</v>
      </c>
      <c r="C1614" t="s">
        <v>2397</v>
      </c>
      <c r="D1614" t="s">
        <v>4661</v>
      </c>
    </row>
    <row r="1615" spans="1:5" ht="15.5" x14ac:dyDescent="0.35">
      <c r="A1615" s="2" t="s">
        <v>1615</v>
      </c>
      <c r="B1615" s="2" t="s">
        <v>4662</v>
      </c>
      <c r="C1615" t="s">
        <v>2394</v>
      </c>
      <c r="D1615" t="s">
        <v>2525</v>
      </c>
      <c r="E1615" t="s">
        <v>2436</v>
      </c>
    </row>
    <row r="1616" spans="1:5" ht="15.5" x14ac:dyDescent="0.35">
      <c r="A1616" s="2" t="s">
        <v>1616</v>
      </c>
      <c r="B1616" s="2" t="s">
        <v>4663</v>
      </c>
      <c r="C1616" t="s">
        <v>2397</v>
      </c>
      <c r="D1616" t="s">
        <v>2834</v>
      </c>
    </row>
    <row r="1617" spans="1:5" ht="15.5" x14ac:dyDescent="0.35">
      <c r="A1617" s="2" t="s">
        <v>1617</v>
      </c>
      <c r="B1617" s="2" t="s">
        <v>4664</v>
      </c>
      <c r="C1617" t="s">
        <v>2394</v>
      </c>
      <c r="D1617" t="s">
        <v>2435</v>
      </c>
      <c r="E1617" t="s">
        <v>2561</v>
      </c>
    </row>
    <row r="1618" spans="1:5" ht="15.5" x14ac:dyDescent="0.35">
      <c r="A1618" s="2" t="s">
        <v>1618</v>
      </c>
      <c r="B1618" s="2" t="s">
        <v>4665</v>
      </c>
      <c r="C1618" t="s">
        <v>2397</v>
      </c>
      <c r="D1618" t="s">
        <v>4666</v>
      </c>
      <c r="E1618" t="s">
        <v>2696</v>
      </c>
    </row>
    <row r="1619" spans="1:5" ht="15.5" x14ac:dyDescent="0.35">
      <c r="A1619" s="2" t="s">
        <v>1619</v>
      </c>
      <c r="B1619" s="2" t="s">
        <v>4667</v>
      </c>
      <c r="C1619" t="s">
        <v>2394</v>
      </c>
      <c r="D1619" t="s">
        <v>2461</v>
      </c>
      <c r="E1619" t="s">
        <v>2561</v>
      </c>
    </row>
    <row r="1620" spans="1:5" ht="15.5" x14ac:dyDescent="0.35">
      <c r="A1620" s="2" t="s">
        <v>1620</v>
      </c>
      <c r="B1620" s="2" t="s">
        <v>2511</v>
      </c>
      <c r="C1620" t="s">
        <v>2397</v>
      </c>
      <c r="D1620" t="s">
        <v>4668</v>
      </c>
    </row>
    <row r="1621" spans="1:5" ht="15.5" x14ac:dyDescent="0.35">
      <c r="A1621" s="2" t="s">
        <v>1621</v>
      </c>
      <c r="B1621" s="2" t="s">
        <v>4669</v>
      </c>
      <c r="C1621" t="s">
        <v>2394</v>
      </c>
      <c r="D1621" t="s">
        <v>3797</v>
      </c>
    </row>
    <row r="1622" spans="1:5" ht="15.5" x14ac:dyDescent="0.35">
      <c r="A1622" s="2" t="s">
        <v>1622</v>
      </c>
      <c r="B1622" s="2" t="s">
        <v>4670</v>
      </c>
      <c r="C1622" t="s">
        <v>2394</v>
      </c>
      <c r="D1622" t="s">
        <v>3260</v>
      </c>
      <c r="E1622" t="s">
        <v>4671</v>
      </c>
    </row>
    <row r="1623" spans="1:5" ht="15.5" x14ac:dyDescent="0.35">
      <c r="A1623" s="2" t="s">
        <v>1623</v>
      </c>
      <c r="B1623" s="2" t="s">
        <v>4672</v>
      </c>
      <c r="C1623" t="s">
        <v>2397</v>
      </c>
      <c r="D1623" t="s">
        <v>2764</v>
      </c>
    </row>
    <row r="1624" spans="1:5" ht="15.5" x14ac:dyDescent="0.35">
      <c r="A1624" s="2" t="s">
        <v>1624</v>
      </c>
      <c r="B1624" s="2" t="s">
        <v>4673</v>
      </c>
      <c r="C1624" t="s">
        <v>2397</v>
      </c>
      <c r="D1624" t="s">
        <v>3406</v>
      </c>
    </row>
    <row r="1625" spans="1:5" ht="15.5" x14ac:dyDescent="0.35">
      <c r="A1625" s="2" t="s">
        <v>1625</v>
      </c>
      <c r="B1625" s="2" t="s">
        <v>4674</v>
      </c>
      <c r="C1625" t="s">
        <v>2394</v>
      </c>
      <c r="D1625" t="s">
        <v>2624</v>
      </c>
    </row>
    <row r="1626" spans="1:5" ht="15.5" x14ac:dyDescent="0.35">
      <c r="A1626" s="2" t="s">
        <v>1626</v>
      </c>
      <c r="B1626" s="2" t="s">
        <v>4675</v>
      </c>
      <c r="C1626" t="s">
        <v>2394</v>
      </c>
      <c r="D1626" t="s">
        <v>2585</v>
      </c>
    </row>
    <row r="1627" spans="1:5" ht="15.5" x14ac:dyDescent="0.35">
      <c r="A1627" s="2" t="s">
        <v>1627</v>
      </c>
      <c r="B1627" s="2" t="s">
        <v>3958</v>
      </c>
      <c r="C1627" t="s">
        <v>3231</v>
      </c>
      <c r="D1627" t="s">
        <v>4676</v>
      </c>
    </row>
    <row r="1628" spans="1:5" ht="15.5" x14ac:dyDescent="0.35">
      <c r="A1628" s="2" t="s">
        <v>1628</v>
      </c>
      <c r="B1628" s="2" t="s">
        <v>4677</v>
      </c>
      <c r="C1628" t="s">
        <v>2394</v>
      </c>
      <c r="D1628" t="s">
        <v>4678</v>
      </c>
    </row>
    <row r="1629" spans="1:5" ht="15.5" x14ac:dyDescent="0.35">
      <c r="A1629" s="2" t="s">
        <v>1629</v>
      </c>
      <c r="B1629" s="2" t="s">
        <v>4679</v>
      </c>
      <c r="C1629" t="s">
        <v>2397</v>
      </c>
      <c r="D1629" t="s">
        <v>2577</v>
      </c>
    </row>
    <row r="1630" spans="1:5" ht="15.5" x14ac:dyDescent="0.35">
      <c r="A1630" s="2" t="s">
        <v>1630</v>
      </c>
      <c r="B1630" s="2" t="s">
        <v>4680</v>
      </c>
      <c r="C1630" t="s">
        <v>2397</v>
      </c>
      <c r="D1630" t="s">
        <v>4681</v>
      </c>
    </row>
    <row r="1631" spans="1:5" ht="15.5" x14ac:dyDescent="0.35">
      <c r="A1631" s="2" t="s">
        <v>1631</v>
      </c>
      <c r="B1631" s="2" t="s">
        <v>4682</v>
      </c>
      <c r="C1631" t="s">
        <v>2394</v>
      </c>
      <c r="D1631" t="s">
        <v>4683</v>
      </c>
    </row>
    <row r="1632" spans="1:5" ht="15.5" x14ac:dyDescent="0.35">
      <c r="A1632" s="2" t="s">
        <v>1632</v>
      </c>
      <c r="B1632" s="2" t="s">
        <v>3950</v>
      </c>
      <c r="C1632" t="s">
        <v>2397</v>
      </c>
      <c r="D1632" t="s">
        <v>2834</v>
      </c>
    </row>
    <row r="1633" spans="1:5" ht="15.5" x14ac:dyDescent="0.35">
      <c r="A1633" s="2" t="s">
        <v>1633</v>
      </c>
      <c r="B1633" s="2" t="s">
        <v>4566</v>
      </c>
      <c r="C1633" t="s">
        <v>2397</v>
      </c>
      <c r="D1633" t="s">
        <v>3052</v>
      </c>
      <c r="E1633" t="s">
        <v>2477</v>
      </c>
    </row>
    <row r="1634" spans="1:5" ht="15.5" x14ac:dyDescent="0.35">
      <c r="A1634" s="2" t="s">
        <v>1634</v>
      </c>
      <c r="B1634" s="2" t="s">
        <v>4684</v>
      </c>
      <c r="C1634" t="s">
        <v>2394</v>
      </c>
      <c r="D1634" t="s">
        <v>2438</v>
      </c>
    </row>
    <row r="1635" spans="1:5" ht="15.5" x14ac:dyDescent="0.35">
      <c r="A1635" s="2" t="s">
        <v>1635</v>
      </c>
      <c r="B1635" s="2" t="s">
        <v>4685</v>
      </c>
      <c r="C1635" t="s">
        <v>2397</v>
      </c>
      <c r="D1635" t="s">
        <v>3521</v>
      </c>
      <c r="E1635" t="s">
        <v>3328</v>
      </c>
    </row>
    <row r="1636" spans="1:5" ht="15.5" x14ac:dyDescent="0.35">
      <c r="A1636" s="2" t="s">
        <v>1636</v>
      </c>
      <c r="B1636" s="2" t="s">
        <v>4686</v>
      </c>
      <c r="C1636" t="s">
        <v>2394</v>
      </c>
      <c r="D1636" t="s">
        <v>3543</v>
      </c>
    </row>
    <row r="1637" spans="1:5" ht="15.5" x14ac:dyDescent="0.35">
      <c r="A1637" s="2" t="s">
        <v>1637</v>
      </c>
      <c r="B1637" s="2" t="s">
        <v>4687</v>
      </c>
      <c r="C1637" t="s">
        <v>2394</v>
      </c>
      <c r="D1637" t="s">
        <v>3234</v>
      </c>
    </row>
    <row r="1638" spans="1:5" ht="15.5" x14ac:dyDescent="0.35">
      <c r="A1638" s="2" t="s">
        <v>1638</v>
      </c>
      <c r="B1638" s="2" t="s">
        <v>4688</v>
      </c>
      <c r="C1638" t="s">
        <v>2394</v>
      </c>
      <c r="D1638" t="s">
        <v>2422</v>
      </c>
      <c r="E1638" t="s">
        <v>2680</v>
      </c>
    </row>
    <row r="1639" spans="1:5" ht="15.5" x14ac:dyDescent="0.35">
      <c r="A1639" s="2" t="s">
        <v>1639</v>
      </c>
      <c r="B1639" s="2" t="s">
        <v>4344</v>
      </c>
      <c r="C1639" t="s">
        <v>2394</v>
      </c>
      <c r="D1639" t="s">
        <v>4689</v>
      </c>
    </row>
    <row r="1640" spans="1:5" ht="15.5" x14ac:dyDescent="0.35">
      <c r="A1640" s="2" t="s">
        <v>1640</v>
      </c>
      <c r="B1640" s="2" t="s">
        <v>2862</v>
      </c>
      <c r="C1640" t="s">
        <v>2397</v>
      </c>
      <c r="D1640" t="s">
        <v>4690</v>
      </c>
      <c r="E1640" t="s">
        <v>2498</v>
      </c>
    </row>
    <row r="1641" spans="1:5" ht="15.5" x14ac:dyDescent="0.35">
      <c r="A1641" s="2" t="s">
        <v>1641</v>
      </c>
      <c r="B1641" s="2" t="s">
        <v>4691</v>
      </c>
      <c r="C1641" t="s">
        <v>2394</v>
      </c>
      <c r="D1641" t="s">
        <v>3768</v>
      </c>
      <c r="E1641" t="s">
        <v>2482</v>
      </c>
    </row>
    <row r="1642" spans="1:5" ht="15.5" x14ac:dyDescent="0.35">
      <c r="A1642" s="2" t="s">
        <v>1642</v>
      </c>
      <c r="B1642" s="2" t="s">
        <v>4692</v>
      </c>
      <c r="C1642" t="s">
        <v>2394</v>
      </c>
      <c r="D1642" t="s">
        <v>3599</v>
      </c>
      <c r="E1642" t="s">
        <v>4693</v>
      </c>
    </row>
    <row r="1643" spans="1:5" ht="15.5" x14ac:dyDescent="0.35">
      <c r="A1643" s="2" t="s">
        <v>1643</v>
      </c>
      <c r="B1643" s="2" t="s">
        <v>3190</v>
      </c>
      <c r="C1643" t="s">
        <v>2394</v>
      </c>
      <c r="D1643" t="s">
        <v>3195</v>
      </c>
    </row>
    <row r="1644" spans="1:5" ht="15.5" x14ac:dyDescent="0.35">
      <c r="A1644" s="2" t="s">
        <v>1644</v>
      </c>
      <c r="B1644" s="2" t="s">
        <v>4694</v>
      </c>
      <c r="C1644" t="s">
        <v>2394</v>
      </c>
      <c r="D1644" t="s">
        <v>3278</v>
      </c>
    </row>
    <row r="1645" spans="1:5" ht="15.5" x14ac:dyDescent="0.35">
      <c r="A1645" s="2" t="s">
        <v>1645</v>
      </c>
      <c r="B1645" s="2" t="s">
        <v>3326</v>
      </c>
      <c r="C1645" t="s">
        <v>2397</v>
      </c>
      <c r="D1645" t="s">
        <v>2743</v>
      </c>
    </row>
    <row r="1646" spans="1:5" ht="15.5" x14ac:dyDescent="0.35">
      <c r="A1646" s="2" t="s">
        <v>1646</v>
      </c>
      <c r="B1646" s="2" t="s">
        <v>3642</v>
      </c>
      <c r="C1646" t="s">
        <v>2397</v>
      </c>
      <c r="D1646" t="s">
        <v>4695</v>
      </c>
    </row>
    <row r="1647" spans="1:5" ht="15.5" x14ac:dyDescent="0.35">
      <c r="A1647" s="2" t="s">
        <v>1647</v>
      </c>
      <c r="B1647" s="2" t="s">
        <v>4696</v>
      </c>
      <c r="C1647" t="s">
        <v>3231</v>
      </c>
      <c r="D1647" t="s">
        <v>3205</v>
      </c>
      <c r="E1647" t="s">
        <v>2482</v>
      </c>
    </row>
    <row r="1648" spans="1:5" ht="15.5" x14ac:dyDescent="0.35">
      <c r="A1648" s="2" t="s">
        <v>1648</v>
      </c>
      <c r="B1648" s="2" t="s">
        <v>4697</v>
      </c>
      <c r="C1648" t="s">
        <v>2397</v>
      </c>
      <c r="D1648" t="s">
        <v>2751</v>
      </c>
    </row>
    <row r="1649" spans="1:5" ht="15.5" x14ac:dyDescent="0.35">
      <c r="A1649" s="2" t="s">
        <v>1649</v>
      </c>
      <c r="B1649" s="2" t="s">
        <v>4698</v>
      </c>
      <c r="C1649" t="s">
        <v>2397</v>
      </c>
      <c r="D1649" t="s">
        <v>2863</v>
      </c>
    </row>
    <row r="1650" spans="1:5" ht="15.5" x14ac:dyDescent="0.35">
      <c r="A1650" s="2" t="s">
        <v>1650</v>
      </c>
      <c r="B1650" s="2" t="s">
        <v>2862</v>
      </c>
      <c r="C1650" t="s">
        <v>2394</v>
      </c>
      <c r="D1650" t="s">
        <v>2435</v>
      </c>
      <c r="E1650" t="s">
        <v>2561</v>
      </c>
    </row>
    <row r="1651" spans="1:5" ht="15.5" x14ac:dyDescent="0.35">
      <c r="A1651" s="2" t="s">
        <v>1651</v>
      </c>
      <c r="B1651" s="2" t="s">
        <v>4699</v>
      </c>
      <c r="C1651" t="s">
        <v>3231</v>
      </c>
      <c r="D1651" t="s">
        <v>2604</v>
      </c>
    </row>
    <row r="1652" spans="1:5" ht="15.5" x14ac:dyDescent="0.35">
      <c r="A1652" s="2" t="s">
        <v>1652</v>
      </c>
      <c r="B1652" s="2" t="s">
        <v>4700</v>
      </c>
      <c r="C1652" t="s">
        <v>2397</v>
      </c>
      <c r="D1652" t="s">
        <v>4701</v>
      </c>
    </row>
    <row r="1653" spans="1:5" ht="15.5" x14ac:dyDescent="0.35">
      <c r="A1653" s="2" t="s">
        <v>1653</v>
      </c>
      <c r="B1653" s="2" t="s">
        <v>4702</v>
      </c>
      <c r="C1653" t="s">
        <v>2394</v>
      </c>
      <c r="D1653" t="s">
        <v>4703</v>
      </c>
    </row>
    <row r="1654" spans="1:5" ht="15.5" x14ac:dyDescent="0.35">
      <c r="A1654" s="2" t="s">
        <v>1654</v>
      </c>
      <c r="B1654" s="2" t="s">
        <v>4704</v>
      </c>
      <c r="C1654" t="s">
        <v>2394</v>
      </c>
      <c r="D1654" t="s">
        <v>3240</v>
      </c>
    </row>
    <row r="1655" spans="1:5" ht="15.5" x14ac:dyDescent="0.35">
      <c r="A1655" s="2" t="s">
        <v>1655</v>
      </c>
      <c r="B1655" s="2" t="s">
        <v>4705</v>
      </c>
      <c r="C1655" t="s">
        <v>2397</v>
      </c>
      <c r="D1655" t="s">
        <v>2596</v>
      </c>
      <c r="E1655" t="s">
        <v>3328</v>
      </c>
    </row>
    <row r="1656" spans="1:5" ht="15.5" x14ac:dyDescent="0.35">
      <c r="A1656" s="2" t="s">
        <v>1656</v>
      </c>
      <c r="B1656" s="2" t="s">
        <v>4706</v>
      </c>
      <c r="C1656" t="s">
        <v>2397</v>
      </c>
      <c r="D1656" t="s">
        <v>4707</v>
      </c>
      <c r="E1656" t="s">
        <v>2671</v>
      </c>
    </row>
    <row r="1657" spans="1:5" ht="15.5" x14ac:dyDescent="0.35">
      <c r="A1657" s="2" t="s">
        <v>1657</v>
      </c>
      <c r="B1657" s="2" t="s">
        <v>4708</v>
      </c>
      <c r="C1657" t="s">
        <v>2397</v>
      </c>
      <c r="D1657" t="s">
        <v>2701</v>
      </c>
      <c r="E1657" t="s">
        <v>2643</v>
      </c>
    </row>
    <row r="1658" spans="1:5" ht="15.5" x14ac:dyDescent="0.35">
      <c r="A1658" s="2" t="s">
        <v>1658</v>
      </c>
      <c r="B1658" s="2" t="s">
        <v>3546</v>
      </c>
      <c r="C1658" t="s">
        <v>2394</v>
      </c>
      <c r="D1658" t="s">
        <v>3654</v>
      </c>
      <c r="E1658" t="s">
        <v>2540</v>
      </c>
    </row>
    <row r="1659" spans="1:5" ht="15.5" x14ac:dyDescent="0.35">
      <c r="A1659" s="2" t="s">
        <v>1659</v>
      </c>
      <c r="B1659" s="2" t="s">
        <v>4709</v>
      </c>
      <c r="C1659" t="s">
        <v>3231</v>
      </c>
      <c r="D1659" t="s">
        <v>4710</v>
      </c>
    </row>
    <row r="1660" spans="1:5" ht="15.5" x14ac:dyDescent="0.35">
      <c r="A1660" s="2" t="s">
        <v>1660</v>
      </c>
      <c r="B1660" s="2" t="s">
        <v>3811</v>
      </c>
      <c r="C1660" t="s">
        <v>2394</v>
      </c>
      <c r="D1660" t="s">
        <v>2395</v>
      </c>
    </row>
    <row r="1661" spans="1:5" ht="15.5" x14ac:dyDescent="0.35">
      <c r="A1661" s="2" t="s">
        <v>1661</v>
      </c>
      <c r="B1661" s="2" t="s">
        <v>4711</v>
      </c>
      <c r="C1661" t="s">
        <v>2397</v>
      </c>
      <c r="D1661" t="s">
        <v>2596</v>
      </c>
      <c r="E1661" t="s">
        <v>2540</v>
      </c>
    </row>
    <row r="1662" spans="1:5" ht="15.5" x14ac:dyDescent="0.35">
      <c r="A1662" s="2" t="s">
        <v>1662</v>
      </c>
      <c r="B1662" s="2" t="s">
        <v>4712</v>
      </c>
      <c r="C1662" t="s">
        <v>3231</v>
      </c>
      <c r="D1662" t="s">
        <v>2395</v>
      </c>
      <c r="E1662" t="s">
        <v>2590</v>
      </c>
    </row>
    <row r="1663" spans="1:5" ht="15.5" x14ac:dyDescent="0.35">
      <c r="A1663" s="2" t="s">
        <v>1663</v>
      </c>
      <c r="B1663" s="2" t="s">
        <v>4713</v>
      </c>
      <c r="C1663" t="s">
        <v>2397</v>
      </c>
      <c r="D1663" t="s">
        <v>2515</v>
      </c>
    </row>
    <row r="1664" spans="1:5" ht="15.5" x14ac:dyDescent="0.35">
      <c r="A1664" s="2" t="s">
        <v>1664</v>
      </c>
      <c r="B1664" s="2" t="s">
        <v>4714</v>
      </c>
      <c r="C1664" t="s">
        <v>2394</v>
      </c>
      <c r="D1664" t="s">
        <v>4393</v>
      </c>
    </row>
    <row r="1665" spans="1:5" ht="15.5" x14ac:dyDescent="0.35">
      <c r="A1665" s="2" t="s">
        <v>1665</v>
      </c>
      <c r="B1665" s="2" t="s">
        <v>4715</v>
      </c>
      <c r="C1665" t="s">
        <v>2397</v>
      </c>
      <c r="D1665" t="s">
        <v>4716</v>
      </c>
      <c r="E1665" t="s">
        <v>2441</v>
      </c>
    </row>
    <row r="1666" spans="1:5" ht="15.5" x14ac:dyDescent="0.35">
      <c r="A1666" s="2" t="s">
        <v>1666</v>
      </c>
      <c r="B1666" s="2" t="s">
        <v>4717</v>
      </c>
      <c r="C1666" t="s">
        <v>2397</v>
      </c>
      <c r="D1666" t="s">
        <v>2489</v>
      </c>
      <c r="E1666" t="s">
        <v>2516</v>
      </c>
    </row>
    <row r="1667" spans="1:5" ht="15.5" x14ac:dyDescent="0.35">
      <c r="A1667" s="2" t="s">
        <v>1667</v>
      </c>
      <c r="B1667" s="2" t="s">
        <v>2545</v>
      </c>
      <c r="C1667" t="s">
        <v>2397</v>
      </c>
      <c r="D1667" t="s">
        <v>2636</v>
      </c>
      <c r="E1667" t="s">
        <v>2482</v>
      </c>
    </row>
    <row r="1668" spans="1:5" ht="15.5" x14ac:dyDescent="0.35">
      <c r="A1668" s="2" t="s">
        <v>1668</v>
      </c>
      <c r="B1668" s="2" t="s">
        <v>4718</v>
      </c>
      <c r="C1668" t="s">
        <v>2397</v>
      </c>
      <c r="D1668" t="s">
        <v>2489</v>
      </c>
    </row>
    <row r="1669" spans="1:5" ht="15.5" x14ac:dyDescent="0.35">
      <c r="A1669" s="2" t="s">
        <v>1669</v>
      </c>
      <c r="B1669" s="2" t="s">
        <v>4719</v>
      </c>
      <c r="C1669" t="s">
        <v>2397</v>
      </c>
      <c r="D1669" t="s">
        <v>2452</v>
      </c>
      <c r="E1669" t="s">
        <v>2415</v>
      </c>
    </row>
    <row r="1670" spans="1:5" ht="15.5" x14ac:dyDescent="0.35">
      <c r="A1670" s="2" t="s">
        <v>1670</v>
      </c>
      <c r="B1670" s="2" t="s">
        <v>3128</v>
      </c>
      <c r="C1670" t="s">
        <v>2397</v>
      </c>
      <c r="D1670" t="s">
        <v>2398</v>
      </c>
    </row>
    <row r="1671" spans="1:5" ht="15.5" x14ac:dyDescent="0.35">
      <c r="A1671" s="2" t="s">
        <v>1671</v>
      </c>
      <c r="B1671" s="2" t="s">
        <v>4720</v>
      </c>
      <c r="C1671" t="s">
        <v>2397</v>
      </c>
      <c r="D1671" t="s">
        <v>4721</v>
      </c>
      <c r="E1671" t="s">
        <v>2700</v>
      </c>
    </row>
    <row r="1672" spans="1:5" ht="15.5" x14ac:dyDescent="0.35">
      <c r="A1672" s="2" t="s">
        <v>1672</v>
      </c>
      <c r="B1672" s="2" t="s">
        <v>4157</v>
      </c>
      <c r="C1672" t="s">
        <v>2394</v>
      </c>
      <c r="D1672" t="s">
        <v>2461</v>
      </c>
      <c r="E1672" t="s">
        <v>2467</v>
      </c>
    </row>
    <row r="1673" spans="1:5" ht="15.5" x14ac:dyDescent="0.35">
      <c r="A1673" s="2" t="s">
        <v>1673</v>
      </c>
      <c r="B1673" s="2" t="s">
        <v>4722</v>
      </c>
      <c r="C1673" t="s">
        <v>2397</v>
      </c>
      <c r="D1673" t="s">
        <v>4576</v>
      </c>
    </row>
    <row r="1674" spans="1:5" ht="15.5" x14ac:dyDescent="0.35">
      <c r="A1674" s="2" t="s">
        <v>1674</v>
      </c>
      <c r="B1674" s="2" t="s">
        <v>4723</v>
      </c>
      <c r="C1674" t="s">
        <v>2394</v>
      </c>
      <c r="D1674" t="s">
        <v>3369</v>
      </c>
      <c r="E1674" t="s">
        <v>2477</v>
      </c>
    </row>
    <row r="1675" spans="1:5" ht="15.5" x14ac:dyDescent="0.35">
      <c r="A1675" s="2" t="s">
        <v>1675</v>
      </c>
      <c r="B1675" s="2" t="s">
        <v>4724</v>
      </c>
      <c r="C1675" t="s">
        <v>2394</v>
      </c>
      <c r="D1675" t="s">
        <v>3304</v>
      </c>
      <c r="E1675" t="s">
        <v>2482</v>
      </c>
    </row>
    <row r="1676" spans="1:5" ht="15.5" x14ac:dyDescent="0.35">
      <c r="A1676" s="2" t="s">
        <v>1676</v>
      </c>
      <c r="B1676" s="2" t="s">
        <v>4725</v>
      </c>
      <c r="C1676" t="s">
        <v>2397</v>
      </c>
      <c r="D1676" t="s">
        <v>4726</v>
      </c>
    </row>
    <row r="1677" spans="1:5" ht="15.5" x14ac:dyDescent="0.35">
      <c r="A1677" s="2" t="s">
        <v>1677</v>
      </c>
      <c r="B1677" s="2" t="s">
        <v>4727</v>
      </c>
      <c r="C1677" t="s">
        <v>2394</v>
      </c>
      <c r="D1677" t="s">
        <v>4728</v>
      </c>
    </row>
    <row r="1678" spans="1:5" ht="15.5" x14ac:dyDescent="0.35">
      <c r="A1678" s="2" t="s">
        <v>1678</v>
      </c>
      <c r="B1678" s="2" t="s">
        <v>4729</v>
      </c>
      <c r="C1678" t="s">
        <v>2394</v>
      </c>
      <c r="D1678" t="s">
        <v>3905</v>
      </c>
    </row>
    <row r="1679" spans="1:5" ht="15.5" x14ac:dyDescent="0.35">
      <c r="A1679" s="2" t="s">
        <v>1679</v>
      </c>
      <c r="B1679" s="2" t="s">
        <v>4730</v>
      </c>
      <c r="C1679" t="s">
        <v>2397</v>
      </c>
      <c r="D1679" t="s">
        <v>4378</v>
      </c>
      <c r="E1679" t="s">
        <v>2886</v>
      </c>
    </row>
    <row r="1680" spans="1:5" ht="15.5" x14ac:dyDescent="0.35">
      <c r="A1680" s="2" t="s">
        <v>1680</v>
      </c>
      <c r="B1680" s="2" t="s">
        <v>4120</v>
      </c>
      <c r="C1680" t="s">
        <v>2394</v>
      </c>
      <c r="D1680" t="s">
        <v>3000</v>
      </c>
      <c r="E1680" t="s">
        <v>2477</v>
      </c>
    </row>
    <row r="1681" spans="1:5" ht="15.5" x14ac:dyDescent="0.35">
      <c r="A1681" s="2" t="s">
        <v>1681</v>
      </c>
      <c r="B1681" s="2" t="s">
        <v>4731</v>
      </c>
      <c r="C1681" t="s">
        <v>2394</v>
      </c>
      <c r="D1681" t="s">
        <v>4732</v>
      </c>
    </row>
    <row r="1682" spans="1:5" ht="15.5" x14ac:dyDescent="0.35">
      <c r="A1682" s="2" t="s">
        <v>1682</v>
      </c>
      <c r="B1682" s="2" t="s">
        <v>3344</v>
      </c>
      <c r="C1682" t="s">
        <v>2397</v>
      </c>
      <c r="D1682" t="s">
        <v>4733</v>
      </c>
      <c r="E1682" t="s">
        <v>2700</v>
      </c>
    </row>
    <row r="1683" spans="1:5" ht="15.5" x14ac:dyDescent="0.35">
      <c r="A1683" s="2" t="s">
        <v>1683</v>
      </c>
      <c r="B1683" s="2" t="s">
        <v>4734</v>
      </c>
      <c r="C1683" t="s">
        <v>2397</v>
      </c>
      <c r="D1683" t="s">
        <v>4146</v>
      </c>
    </row>
    <row r="1684" spans="1:5" ht="15.5" x14ac:dyDescent="0.35">
      <c r="A1684" s="2" t="s">
        <v>1684</v>
      </c>
      <c r="B1684" s="2" t="s">
        <v>3023</v>
      </c>
      <c r="C1684" t="s">
        <v>2394</v>
      </c>
      <c r="D1684" t="s">
        <v>4735</v>
      </c>
    </row>
    <row r="1685" spans="1:5" ht="15.5" x14ac:dyDescent="0.35">
      <c r="A1685" s="2" t="s">
        <v>1685</v>
      </c>
      <c r="B1685" s="2" t="s">
        <v>4342</v>
      </c>
      <c r="C1685" t="s">
        <v>2397</v>
      </c>
      <c r="D1685" t="s">
        <v>4736</v>
      </c>
    </row>
    <row r="1686" spans="1:5" ht="15.5" x14ac:dyDescent="0.35">
      <c r="A1686" s="2" t="s">
        <v>1686</v>
      </c>
      <c r="B1686" s="2" t="s">
        <v>4737</v>
      </c>
      <c r="C1686" t="s">
        <v>2397</v>
      </c>
      <c r="D1686" t="s">
        <v>2503</v>
      </c>
      <c r="E1686" t="s">
        <v>2625</v>
      </c>
    </row>
    <row r="1687" spans="1:5" ht="15.5" x14ac:dyDescent="0.35">
      <c r="A1687" s="2" t="s">
        <v>1687</v>
      </c>
      <c r="B1687" s="2" t="s">
        <v>3218</v>
      </c>
      <c r="C1687" t="s">
        <v>2397</v>
      </c>
      <c r="D1687" t="s">
        <v>4738</v>
      </c>
    </row>
    <row r="1688" spans="1:5" ht="15.5" x14ac:dyDescent="0.35">
      <c r="A1688" s="2" t="s">
        <v>1688</v>
      </c>
      <c r="B1688" s="2" t="s">
        <v>4739</v>
      </c>
      <c r="C1688" t="s">
        <v>2394</v>
      </c>
      <c r="D1688" t="s">
        <v>4271</v>
      </c>
      <c r="E1688" t="s">
        <v>2519</v>
      </c>
    </row>
    <row r="1689" spans="1:5" ht="15.5" x14ac:dyDescent="0.35">
      <c r="A1689" s="2" t="s">
        <v>1689</v>
      </c>
      <c r="B1689" s="2" t="s">
        <v>4740</v>
      </c>
      <c r="C1689" t="s">
        <v>3231</v>
      </c>
      <c r="D1689" t="s">
        <v>4741</v>
      </c>
      <c r="E1689" t="s">
        <v>2680</v>
      </c>
    </row>
    <row r="1690" spans="1:5" ht="15.5" x14ac:dyDescent="0.35">
      <c r="A1690" s="2" t="s">
        <v>1690</v>
      </c>
      <c r="B1690" s="2" t="s">
        <v>4742</v>
      </c>
      <c r="C1690" t="s">
        <v>2397</v>
      </c>
      <c r="D1690" t="s">
        <v>2619</v>
      </c>
      <c r="E1690" t="s">
        <v>2671</v>
      </c>
    </row>
    <row r="1691" spans="1:5" ht="15.5" x14ac:dyDescent="0.35">
      <c r="A1691" s="2" t="s">
        <v>1691</v>
      </c>
      <c r="B1691" s="2" t="s">
        <v>4743</v>
      </c>
      <c r="C1691" t="s">
        <v>2394</v>
      </c>
      <c r="D1691" t="s">
        <v>4744</v>
      </c>
    </row>
    <row r="1692" spans="1:5" ht="15.5" x14ac:dyDescent="0.35">
      <c r="A1692" s="2" t="s">
        <v>1692</v>
      </c>
      <c r="B1692" s="2" t="s">
        <v>4745</v>
      </c>
      <c r="C1692" t="s">
        <v>2394</v>
      </c>
      <c r="D1692" t="s">
        <v>2602</v>
      </c>
      <c r="E1692" t="s">
        <v>2501</v>
      </c>
    </row>
    <row r="1693" spans="1:5" ht="15.5" x14ac:dyDescent="0.35">
      <c r="A1693" s="2" t="s">
        <v>1693</v>
      </c>
      <c r="B1693" s="2" t="s">
        <v>4746</v>
      </c>
      <c r="C1693" t="s">
        <v>2397</v>
      </c>
      <c r="D1693" t="s">
        <v>2515</v>
      </c>
      <c r="E1693" t="s">
        <v>2462</v>
      </c>
    </row>
    <row r="1694" spans="1:5" ht="15.5" x14ac:dyDescent="0.35">
      <c r="A1694" s="2" t="s">
        <v>1694</v>
      </c>
      <c r="B1694" s="2" t="s">
        <v>3236</v>
      </c>
      <c r="C1694" t="s">
        <v>2397</v>
      </c>
      <c r="D1694" t="s">
        <v>4747</v>
      </c>
    </row>
    <row r="1695" spans="1:5" ht="15.5" x14ac:dyDescent="0.35">
      <c r="A1695" s="2" t="s">
        <v>1695</v>
      </c>
      <c r="B1695" s="2" t="s">
        <v>4748</v>
      </c>
      <c r="C1695" t="s">
        <v>2394</v>
      </c>
      <c r="D1695" t="s">
        <v>3135</v>
      </c>
      <c r="E1695" t="s">
        <v>2501</v>
      </c>
    </row>
    <row r="1696" spans="1:5" ht="15.5" x14ac:dyDescent="0.35">
      <c r="A1696" s="2" t="s">
        <v>1696</v>
      </c>
      <c r="B1696" s="2" t="s">
        <v>4749</v>
      </c>
      <c r="C1696" t="s">
        <v>2394</v>
      </c>
      <c r="D1696" t="s">
        <v>4750</v>
      </c>
    </row>
    <row r="1697" spans="1:8" ht="15.5" x14ac:dyDescent="0.35">
      <c r="A1697" s="2" t="s">
        <v>1697</v>
      </c>
      <c r="B1697" s="2" t="s">
        <v>4751</v>
      </c>
      <c r="C1697" t="s">
        <v>2394</v>
      </c>
      <c r="D1697" t="s">
        <v>3450</v>
      </c>
      <c r="E1697" t="s">
        <v>2431</v>
      </c>
    </row>
    <row r="1698" spans="1:8" ht="15.5" x14ac:dyDescent="0.35">
      <c r="A1698" s="2" t="s">
        <v>1698</v>
      </c>
      <c r="B1698" s="2" t="s">
        <v>4384</v>
      </c>
      <c r="C1698" t="s">
        <v>2394</v>
      </c>
      <c r="D1698" t="s">
        <v>4277</v>
      </c>
      <c r="E1698" t="s">
        <v>2680</v>
      </c>
    </row>
    <row r="1699" spans="1:8" ht="15.5" x14ac:dyDescent="0.35">
      <c r="A1699" s="2" t="s">
        <v>1699</v>
      </c>
      <c r="B1699" s="2" t="s">
        <v>4752</v>
      </c>
      <c r="C1699" t="s">
        <v>2394</v>
      </c>
      <c r="D1699" t="s">
        <v>2642</v>
      </c>
      <c r="E1699" t="s">
        <v>2477</v>
      </c>
    </row>
    <row r="1700" spans="1:8" ht="15.5" x14ac:dyDescent="0.35">
      <c r="A1700" s="2" t="s">
        <v>1700</v>
      </c>
      <c r="B1700" s="2" t="s">
        <v>4753</v>
      </c>
      <c r="C1700" t="s">
        <v>2397</v>
      </c>
      <c r="D1700" t="s">
        <v>2610</v>
      </c>
    </row>
    <row r="1701" spans="1:8" ht="15.5" x14ac:dyDescent="0.35">
      <c r="A1701" s="2" t="s">
        <v>1701</v>
      </c>
      <c r="B1701" s="2" t="s">
        <v>4754</v>
      </c>
      <c r="C1701" t="s">
        <v>2394</v>
      </c>
      <c r="D1701" t="s">
        <v>2955</v>
      </c>
      <c r="E1701" t="s">
        <v>2477</v>
      </c>
    </row>
    <row r="1702" spans="1:8" ht="15.5" x14ac:dyDescent="0.35">
      <c r="A1702" s="2" t="s">
        <v>1702</v>
      </c>
      <c r="B1702" s="2" t="s">
        <v>4755</v>
      </c>
      <c r="C1702" t="s">
        <v>2397</v>
      </c>
      <c r="D1702" t="s">
        <v>2412</v>
      </c>
    </row>
    <row r="1703" spans="1:8" ht="15.5" x14ac:dyDescent="0.35">
      <c r="A1703" s="2" t="s">
        <v>1703</v>
      </c>
      <c r="B1703" s="2" t="s">
        <v>4756</v>
      </c>
      <c r="C1703" t="s">
        <v>2397</v>
      </c>
      <c r="D1703" t="s">
        <v>2569</v>
      </c>
    </row>
    <row r="1704" spans="1:8" ht="15.5" x14ac:dyDescent="0.35">
      <c r="A1704" s="2" t="s">
        <v>1704</v>
      </c>
      <c r="B1704" s="2" t="s">
        <v>4757</v>
      </c>
      <c r="C1704" t="s">
        <v>2397</v>
      </c>
      <c r="D1704" t="s">
        <v>3556</v>
      </c>
    </row>
    <row r="1705" spans="1:8" ht="15.5" x14ac:dyDescent="0.35">
      <c r="A1705" s="2" t="s">
        <v>1705</v>
      </c>
      <c r="B1705" s="2" t="s">
        <v>4758</v>
      </c>
      <c r="C1705" t="s">
        <v>2394</v>
      </c>
      <c r="D1705" t="s">
        <v>2782</v>
      </c>
    </row>
    <row r="1706" spans="1:8" ht="15.5" x14ac:dyDescent="0.35">
      <c r="A1706" s="2" t="s">
        <v>1706</v>
      </c>
      <c r="B1706" s="2" t="s">
        <v>3618</v>
      </c>
      <c r="C1706" t="s">
        <v>2397</v>
      </c>
      <c r="D1706" t="s">
        <v>2491</v>
      </c>
      <c r="E1706" t="s">
        <v>2540</v>
      </c>
    </row>
    <row r="1707" spans="1:8" ht="15.5" x14ac:dyDescent="0.35">
      <c r="A1707" s="2" t="s">
        <v>1707</v>
      </c>
      <c r="B1707" s="2" t="s">
        <v>4759</v>
      </c>
      <c r="C1707" t="s">
        <v>2394</v>
      </c>
      <c r="D1707" t="s">
        <v>4760</v>
      </c>
    </row>
    <row r="1708" spans="1:8" ht="15.5" x14ac:dyDescent="0.35">
      <c r="A1708" s="2" t="s">
        <v>1708</v>
      </c>
      <c r="B1708" s="2" t="s">
        <v>4083</v>
      </c>
      <c r="C1708" t="s">
        <v>2394</v>
      </c>
      <c r="D1708" t="s">
        <v>3036</v>
      </c>
      <c r="E1708" t="s">
        <v>2799</v>
      </c>
    </row>
    <row r="1709" spans="1:8" ht="15.5" x14ac:dyDescent="0.35">
      <c r="A1709" s="2" t="s">
        <v>1709</v>
      </c>
      <c r="B1709" s="2" t="s">
        <v>4761</v>
      </c>
      <c r="C1709" t="s">
        <v>2397</v>
      </c>
      <c r="D1709" t="s">
        <v>4762</v>
      </c>
    </row>
    <row r="1710" spans="1:8" ht="15.5" x14ac:dyDescent="0.35">
      <c r="A1710" s="2" t="s">
        <v>1710</v>
      </c>
      <c r="B1710" s="2" t="s">
        <v>4384</v>
      </c>
      <c r="C1710" t="s">
        <v>2394</v>
      </c>
      <c r="D1710" t="s">
        <v>2604</v>
      </c>
      <c r="E1710" t="s">
        <v>2799</v>
      </c>
    </row>
    <row r="1711" spans="1:8" ht="15.5" x14ac:dyDescent="0.35">
      <c r="A1711" s="2" t="s">
        <v>1711</v>
      </c>
      <c r="B1711" s="2" t="s">
        <v>4763</v>
      </c>
      <c r="C1711" t="s">
        <v>2394</v>
      </c>
      <c r="D1711" t="s">
        <v>3359</v>
      </c>
    </row>
    <row r="1712" spans="1:8" ht="15.5" x14ac:dyDescent="0.35">
      <c r="A1712" s="2" t="s">
        <v>1712</v>
      </c>
      <c r="B1712" s="2" t="s">
        <v>2505</v>
      </c>
      <c r="C1712" t="s">
        <v>4764</v>
      </c>
      <c r="D1712" t="s">
        <v>2397</v>
      </c>
      <c r="E1712" t="s">
        <v>3907</v>
      </c>
      <c r="F1712" t="s">
        <v>4765</v>
      </c>
      <c r="G1712" t="s">
        <v>2622</v>
      </c>
      <c r="H1712" t="s">
        <v>2441</v>
      </c>
    </row>
    <row r="1713" spans="1:5" ht="15.5" x14ac:dyDescent="0.35">
      <c r="A1713" s="2" t="s">
        <v>1713</v>
      </c>
      <c r="B1713" s="2" t="s">
        <v>4766</v>
      </c>
      <c r="C1713" t="s">
        <v>2394</v>
      </c>
      <c r="D1713" t="s">
        <v>3012</v>
      </c>
    </row>
    <row r="1714" spans="1:5" ht="15.5" x14ac:dyDescent="0.35">
      <c r="A1714" s="2" t="s">
        <v>1714</v>
      </c>
      <c r="B1714" s="2" t="s">
        <v>4767</v>
      </c>
      <c r="C1714" t="s">
        <v>2397</v>
      </c>
      <c r="D1714" t="s">
        <v>2762</v>
      </c>
    </row>
    <row r="1715" spans="1:5" ht="15.5" x14ac:dyDescent="0.35">
      <c r="A1715" s="2" t="s">
        <v>1715</v>
      </c>
      <c r="B1715" s="2" t="s">
        <v>4768</v>
      </c>
      <c r="C1715" t="s">
        <v>2394</v>
      </c>
      <c r="D1715" t="s">
        <v>4769</v>
      </c>
      <c r="E1715" t="s">
        <v>2625</v>
      </c>
    </row>
    <row r="1716" spans="1:5" ht="15.5" x14ac:dyDescent="0.35">
      <c r="A1716" s="2" t="s">
        <v>1716</v>
      </c>
      <c r="B1716" s="2" t="s">
        <v>4770</v>
      </c>
      <c r="C1716" t="s">
        <v>2394</v>
      </c>
      <c r="D1716" t="s">
        <v>3359</v>
      </c>
    </row>
    <row r="1717" spans="1:5" ht="15.5" x14ac:dyDescent="0.35">
      <c r="A1717" s="2" t="s">
        <v>1717</v>
      </c>
      <c r="B1717" s="2" t="s">
        <v>4771</v>
      </c>
      <c r="C1717" t="s">
        <v>2397</v>
      </c>
      <c r="D1717" t="s">
        <v>2503</v>
      </c>
    </row>
    <row r="1718" spans="1:5" ht="15.5" x14ac:dyDescent="0.35">
      <c r="A1718" s="2" t="s">
        <v>1718</v>
      </c>
      <c r="B1718" s="2" t="s">
        <v>4772</v>
      </c>
      <c r="C1718" t="s">
        <v>2394</v>
      </c>
      <c r="D1718" t="s">
        <v>4773</v>
      </c>
      <c r="E1718" t="s">
        <v>2482</v>
      </c>
    </row>
    <row r="1719" spans="1:5" ht="15.5" x14ac:dyDescent="0.35">
      <c r="A1719" s="2" t="s">
        <v>1719</v>
      </c>
      <c r="B1719" s="2" t="s">
        <v>4774</v>
      </c>
      <c r="C1719" t="s">
        <v>2394</v>
      </c>
      <c r="D1719" t="s">
        <v>2774</v>
      </c>
      <c r="E1719" t="s">
        <v>2561</v>
      </c>
    </row>
    <row r="1720" spans="1:5" ht="15.5" x14ac:dyDescent="0.35">
      <c r="A1720" s="2" t="s">
        <v>1720</v>
      </c>
      <c r="B1720" s="2" t="s">
        <v>4775</v>
      </c>
      <c r="C1720" t="s">
        <v>2394</v>
      </c>
      <c r="D1720" t="s">
        <v>3240</v>
      </c>
      <c r="E1720" t="s">
        <v>2431</v>
      </c>
    </row>
    <row r="1721" spans="1:5" ht="15.5" x14ac:dyDescent="0.35">
      <c r="A1721" s="2" t="s">
        <v>1721</v>
      </c>
      <c r="B1721" s="2" t="s">
        <v>2805</v>
      </c>
      <c r="C1721" t="s">
        <v>2394</v>
      </c>
      <c r="D1721" t="s">
        <v>3135</v>
      </c>
      <c r="E1721" t="s">
        <v>2436</v>
      </c>
    </row>
    <row r="1722" spans="1:5" ht="15.5" x14ac:dyDescent="0.35">
      <c r="A1722" s="2" t="s">
        <v>1722</v>
      </c>
      <c r="B1722" s="2" t="s">
        <v>4776</v>
      </c>
      <c r="C1722" t="s">
        <v>2397</v>
      </c>
      <c r="D1722" t="s">
        <v>2414</v>
      </c>
    </row>
    <row r="1723" spans="1:5" ht="15.5" x14ac:dyDescent="0.35">
      <c r="A1723" s="2" t="s">
        <v>1723</v>
      </c>
      <c r="B1723" s="2" t="s">
        <v>4777</v>
      </c>
      <c r="C1723" t="s">
        <v>2397</v>
      </c>
      <c r="D1723" t="s">
        <v>4778</v>
      </c>
    </row>
    <row r="1724" spans="1:5" ht="15.5" x14ac:dyDescent="0.35">
      <c r="A1724" s="2" t="s">
        <v>1724</v>
      </c>
      <c r="B1724" s="2" t="s">
        <v>4779</v>
      </c>
      <c r="C1724" t="s">
        <v>2394</v>
      </c>
      <c r="D1724" t="s">
        <v>3750</v>
      </c>
    </row>
    <row r="1725" spans="1:5" ht="15.5" x14ac:dyDescent="0.35">
      <c r="A1725" s="2" t="s">
        <v>1725</v>
      </c>
      <c r="B1725" s="2" t="s">
        <v>4780</v>
      </c>
      <c r="C1725" t="s">
        <v>2397</v>
      </c>
      <c r="D1725" t="s">
        <v>4781</v>
      </c>
    </row>
    <row r="1726" spans="1:5" ht="15.5" x14ac:dyDescent="0.35">
      <c r="A1726" s="2" t="s">
        <v>1726</v>
      </c>
      <c r="B1726" s="2" t="s">
        <v>4461</v>
      </c>
      <c r="C1726" t="s">
        <v>2394</v>
      </c>
      <c r="D1726" t="s">
        <v>4782</v>
      </c>
    </row>
    <row r="1727" spans="1:5" ht="15.5" x14ac:dyDescent="0.35">
      <c r="A1727" s="2" t="s">
        <v>1727</v>
      </c>
      <c r="B1727" s="2" t="s">
        <v>4783</v>
      </c>
      <c r="C1727" t="s">
        <v>2394</v>
      </c>
      <c r="D1727" t="s">
        <v>2395</v>
      </c>
      <c r="E1727" t="s">
        <v>2485</v>
      </c>
    </row>
    <row r="1728" spans="1:5" ht="15.5" x14ac:dyDescent="0.35">
      <c r="A1728" s="2" t="s">
        <v>1728</v>
      </c>
      <c r="B1728" s="2" t="s">
        <v>4784</v>
      </c>
      <c r="C1728" t="s">
        <v>2394</v>
      </c>
      <c r="D1728" t="s">
        <v>3304</v>
      </c>
      <c r="E1728" t="s">
        <v>2431</v>
      </c>
    </row>
    <row r="1729" spans="1:5" ht="15.5" x14ac:dyDescent="0.35">
      <c r="A1729" s="2" t="s">
        <v>1729</v>
      </c>
      <c r="B1729" s="2" t="s">
        <v>3482</v>
      </c>
      <c r="C1729" t="s">
        <v>2397</v>
      </c>
      <c r="D1729" t="s">
        <v>4785</v>
      </c>
      <c r="E1729" t="s">
        <v>3328</v>
      </c>
    </row>
    <row r="1730" spans="1:5" ht="15.5" x14ac:dyDescent="0.35">
      <c r="A1730" s="2" t="s">
        <v>1730</v>
      </c>
      <c r="B1730" s="2" t="s">
        <v>4786</v>
      </c>
      <c r="C1730" t="s">
        <v>2397</v>
      </c>
      <c r="D1730" t="s">
        <v>4787</v>
      </c>
      <c r="E1730" t="s">
        <v>2467</v>
      </c>
    </row>
    <row r="1731" spans="1:5" ht="15.5" x14ac:dyDescent="0.35">
      <c r="A1731" s="2" t="s">
        <v>1731</v>
      </c>
      <c r="B1731" s="2" t="s">
        <v>4639</v>
      </c>
      <c r="C1731" t="s">
        <v>2397</v>
      </c>
      <c r="D1731" t="s">
        <v>2489</v>
      </c>
      <c r="E1731" t="s">
        <v>2467</v>
      </c>
    </row>
    <row r="1732" spans="1:5" ht="15.5" x14ac:dyDescent="0.35">
      <c r="A1732" s="2" t="s">
        <v>1732</v>
      </c>
      <c r="B1732" s="2" t="s">
        <v>3378</v>
      </c>
      <c r="C1732" t="s">
        <v>2394</v>
      </c>
      <c r="D1732" t="s">
        <v>2679</v>
      </c>
    </row>
    <row r="1733" spans="1:5" ht="15.5" x14ac:dyDescent="0.35">
      <c r="A1733" s="2" t="s">
        <v>1733</v>
      </c>
      <c r="B1733" s="2" t="s">
        <v>4788</v>
      </c>
      <c r="C1733" t="s">
        <v>2394</v>
      </c>
      <c r="D1733" t="s">
        <v>2575</v>
      </c>
    </row>
    <row r="1734" spans="1:5" ht="15.5" x14ac:dyDescent="0.35">
      <c r="A1734" s="2" t="s">
        <v>1734</v>
      </c>
      <c r="B1734" s="2" t="s">
        <v>4789</v>
      </c>
      <c r="C1734" t="s">
        <v>2394</v>
      </c>
      <c r="D1734" t="s">
        <v>3417</v>
      </c>
    </row>
    <row r="1735" spans="1:5" ht="15.5" x14ac:dyDescent="0.35">
      <c r="A1735" s="2" t="s">
        <v>1735</v>
      </c>
      <c r="B1735" s="2" t="s">
        <v>4790</v>
      </c>
      <c r="C1735" t="s">
        <v>2394</v>
      </c>
      <c r="D1735" t="s">
        <v>4791</v>
      </c>
    </row>
    <row r="1736" spans="1:5" ht="15.5" x14ac:dyDescent="0.35">
      <c r="A1736" s="2" t="s">
        <v>1736</v>
      </c>
      <c r="B1736" s="2" t="s">
        <v>4792</v>
      </c>
      <c r="C1736" t="s">
        <v>3231</v>
      </c>
      <c r="D1736" t="s">
        <v>2774</v>
      </c>
      <c r="E1736" t="s">
        <v>2622</v>
      </c>
    </row>
    <row r="1737" spans="1:5" ht="15.5" x14ac:dyDescent="0.35">
      <c r="A1737" s="2" t="s">
        <v>1737</v>
      </c>
      <c r="B1737" s="2" t="s">
        <v>4793</v>
      </c>
      <c r="C1737" t="s">
        <v>2394</v>
      </c>
      <c r="D1737" t="s">
        <v>4794</v>
      </c>
    </row>
    <row r="1738" spans="1:5" ht="15.5" x14ac:dyDescent="0.35">
      <c r="A1738" s="2" t="s">
        <v>1738</v>
      </c>
      <c r="B1738" s="2" t="s">
        <v>3793</v>
      </c>
      <c r="C1738" t="s">
        <v>2397</v>
      </c>
      <c r="D1738" t="s">
        <v>2798</v>
      </c>
    </row>
    <row r="1739" spans="1:5" ht="15.5" x14ac:dyDescent="0.35">
      <c r="A1739" s="2" t="s">
        <v>1739</v>
      </c>
      <c r="B1739" s="2" t="s">
        <v>4795</v>
      </c>
      <c r="C1739" t="s">
        <v>2397</v>
      </c>
      <c r="D1739" t="s">
        <v>2512</v>
      </c>
    </row>
    <row r="1740" spans="1:5" ht="15.5" x14ac:dyDescent="0.35">
      <c r="A1740" s="2" t="s">
        <v>1740</v>
      </c>
      <c r="B1740" s="2" t="s">
        <v>4796</v>
      </c>
      <c r="C1740" t="s">
        <v>2397</v>
      </c>
      <c r="D1740" t="s">
        <v>2725</v>
      </c>
      <c r="E1740" t="s">
        <v>2625</v>
      </c>
    </row>
    <row r="1741" spans="1:5" ht="15.5" x14ac:dyDescent="0.35">
      <c r="A1741" s="2" t="s">
        <v>1741</v>
      </c>
      <c r="B1741" s="2" t="s">
        <v>4797</v>
      </c>
      <c r="C1741" t="s">
        <v>2394</v>
      </c>
      <c r="D1741" t="s">
        <v>4735</v>
      </c>
      <c r="E1741" t="s">
        <v>2418</v>
      </c>
    </row>
    <row r="1742" spans="1:5" ht="15.5" x14ac:dyDescent="0.35">
      <c r="A1742" s="2" t="s">
        <v>1742</v>
      </c>
      <c r="B1742" s="2" t="s">
        <v>4798</v>
      </c>
      <c r="C1742" t="s">
        <v>2394</v>
      </c>
      <c r="D1742" t="s">
        <v>4359</v>
      </c>
    </row>
    <row r="1743" spans="1:5" ht="15.5" x14ac:dyDescent="0.35">
      <c r="A1743" s="2" t="s">
        <v>1743</v>
      </c>
      <c r="B1743" s="2" t="s">
        <v>4799</v>
      </c>
      <c r="C1743" t="s">
        <v>2394</v>
      </c>
      <c r="D1743" t="s">
        <v>4800</v>
      </c>
    </row>
    <row r="1744" spans="1:5" ht="15.5" x14ac:dyDescent="0.35">
      <c r="A1744" s="2" t="s">
        <v>1744</v>
      </c>
      <c r="B1744" s="2" t="s">
        <v>4801</v>
      </c>
      <c r="C1744" t="s">
        <v>2394</v>
      </c>
      <c r="D1744" t="s">
        <v>2487</v>
      </c>
      <c r="E1744" t="s">
        <v>2415</v>
      </c>
    </row>
    <row r="1745" spans="1:5" ht="15.5" x14ac:dyDescent="0.35">
      <c r="A1745" s="2" t="s">
        <v>1745</v>
      </c>
      <c r="B1745" s="2" t="s">
        <v>4802</v>
      </c>
      <c r="C1745" t="s">
        <v>2394</v>
      </c>
      <c r="D1745" t="s">
        <v>2533</v>
      </c>
    </row>
    <row r="1746" spans="1:5" ht="15.5" x14ac:dyDescent="0.35">
      <c r="A1746" s="2" t="s">
        <v>1746</v>
      </c>
      <c r="B1746" s="2" t="s">
        <v>3577</v>
      </c>
      <c r="C1746" t="s">
        <v>2397</v>
      </c>
      <c r="D1746" t="s">
        <v>2443</v>
      </c>
      <c r="E1746" t="s">
        <v>2643</v>
      </c>
    </row>
    <row r="1747" spans="1:5" ht="15.5" x14ac:dyDescent="0.35">
      <c r="A1747" s="2" t="s">
        <v>1747</v>
      </c>
      <c r="B1747" s="2" t="s">
        <v>4803</v>
      </c>
      <c r="C1747" t="s">
        <v>2394</v>
      </c>
      <c r="D1747" t="s">
        <v>3205</v>
      </c>
    </row>
    <row r="1748" spans="1:5" ht="15.5" x14ac:dyDescent="0.35">
      <c r="A1748" s="2" t="s">
        <v>1748</v>
      </c>
      <c r="B1748" s="2" t="s">
        <v>4804</v>
      </c>
      <c r="C1748" t="s">
        <v>2394</v>
      </c>
      <c r="D1748" t="s">
        <v>4805</v>
      </c>
    </row>
    <row r="1749" spans="1:5" ht="15.5" x14ac:dyDescent="0.35">
      <c r="A1749" s="2" t="s">
        <v>1749</v>
      </c>
      <c r="B1749" s="2" t="s">
        <v>4793</v>
      </c>
      <c r="C1749" t="s">
        <v>2397</v>
      </c>
      <c r="D1749" t="s">
        <v>3474</v>
      </c>
    </row>
    <row r="1750" spans="1:5" ht="15.5" x14ac:dyDescent="0.35">
      <c r="A1750" s="2" t="s">
        <v>1750</v>
      </c>
      <c r="B1750" s="2" t="s">
        <v>4806</v>
      </c>
      <c r="C1750" t="s">
        <v>2397</v>
      </c>
      <c r="D1750" t="s">
        <v>3674</v>
      </c>
    </row>
    <row r="1751" spans="1:5" ht="15.5" x14ac:dyDescent="0.35">
      <c r="A1751" s="2" t="s">
        <v>1751</v>
      </c>
      <c r="B1751" s="2" t="s">
        <v>4037</v>
      </c>
      <c r="C1751" t="s">
        <v>2397</v>
      </c>
      <c r="D1751" t="s">
        <v>3002</v>
      </c>
    </row>
    <row r="1752" spans="1:5" ht="15.5" x14ac:dyDescent="0.35">
      <c r="A1752" s="2" t="s">
        <v>1752</v>
      </c>
      <c r="B1752" s="2" t="s">
        <v>4807</v>
      </c>
      <c r="C1752" t="s">
        <v>3231</v>
      </c>
      <c r="D1752" t="s">
        <v>3693</v>
      </c>
      <c r="E1752" t="s">
        <v>2607</v>
      </c>
    </row>
    <row r="1753" spans="1:5" ht="15.5" x14ac:dyDescent="0.35">
      <c r="A1753" s="2" t="s">
        <v>1753</v>
      </c>
      <c r="B1753" s="2" t="s">
        <v>4808</v>
      </c>
      <c r="C1753" t="s">
        <v>2397</v>
      </c>
      <c r="D1753" t="s">
        <v>2410</v>
      </c>
      <c r="E1753" t="s">
        <v>2431</v>
      </c>
    </row>
    <row r="1754" spans="1:5" ht="15.5" x14ac:dyDescent="0.35">
      <c r="A1754" s="2" t="s">
        <v>1754</v>
      </c>
      <c r="B1754" s="2" t="s">
        <v>4809</v>
      </c>
      <c r="C1754" t="s">
        <v>2397</v>
      </c>
      <c r="D1754" t="s">
        <v>4124</v>
      </c>
      <c r="E1754" t="s">
        <v>2561</v>
      </c>
    </row>
    <row r="1755" spans="1:5" ht="15.5" x14ac:dyDescent="0.35">
      <c r="A1755" s="2" t="s">
        <v>1755</v>
      </c>
      <c r="B1755" s="2" t="s">
        <v>3395</v>
      </c>
      <c r="C1755" t="s">
        <v>2397</v>
      </c>
      <c r="D1755" t="s">
        <v>3363</v>
      </c>
      <c r="E1755" t="s">
        <v>2448</v>
      </c>
    </row>
    <row r="1756" spans="1:5" ht="15.5" x14ac:dyDescent="0.35">
      <c r="A1756" s="2" t="s">
        <v>1756</v>
      </c>
      <c r="B1756" s="2" t="s">
        <v>4810</v>
      </c>
      <c r="C1756" t="s">
        <v>2394</v>
      </c>
      <c r="D1756" t="s">
        <v>3031</v>
      </c>
      <c r="E1756" t="s">
        <v>2431</v>
      </c>
    </row>
    <row r="1757" spans="1:5" ht="15.5" x14ac:dyDescent="0.35">
      <c r="A1757" s="2" t="s">
        <v>1757</v>
      </c>
      <c r="B1757" s="2" t="s">
        <v>4811</v>
      </c>
      <c r="C1757" t="s">
        <v>2394</v>
      </c>
      <c r="D1757" t="s">
        <v>4812</v>
      </c>
    </row>
    <row r="1758" spans="1:5" ht="15.5" x14ac:dyDescent="0.35">
      <c r="A1758" s="2" t="s">
        <v>1758</v>
      </c>
      <c r="B1758" s="2" t="s">
        <v>2862</v>
      </c>
      <c r="C1758" t="s">
        <v>2397</v>
      </c>
      <c r="D1758" t="s">
        <v>2950</v>
      </c>
      <c r="E1758" t="s">
        <v>2482</v>
      </c>
    </row>
    <row r="1759" spans="1:5" ht="15.5" x14ac:dyDescent="0.35">
      <c r="A1759" s="2" t="s">
        <v>1759</v>
      </c>
      <c r="B1759" s="2" t="s">
        <v>4813</v>
      </c>
      <c r="C1759" t="s">
        <v>4814</v>
      </c>
      <c r="D1759" t="s">
        <v>3231</v>
      </c>
      <c r="E1759" t="s">
        <v>4815</v>
      </c>
    </row>
    <row r="1760" spans="1:5" ht="15.5" x14ac:dyDescent="0.35">
      <c r="A1760" s="2" t="s">
        <v>1760</v>
      </c>
      <c r="B1760" s="2" t="s">
        <v>4816</v>
      </c>
      <c r="C1760" t="s">
        <v>2397</v>
      </c>
      <c r="D1760" t="s">
        <v>2424</v>
      </c>
      <c r="E1760" t="s">
        <v>2436</v>
      </c>
    </row>
    <row r="1761" spans="1:5" ht="15.5" x14ac:dyDescent="0.35">
      <c r="A1761" s="2" t="s">
        <v>1761</v>
      </c>
      <c r="B1761" s="2" t="s">
        <v>4817</v>
      </c>
      <c r="C1761" t="s">
        <v>2397</v>
      </c>
      <c r="D1761" t="s">
        <v>4818</v>
      </c>
    </row>
    <row r="1762" spans="1:5" ht="15.5" x14ac:dyDescent="0.35">
      <c r="A1762" s="2" t="s">
        <v>1762</v>
      </c>
      <c r="B1762" s="2" t="s">
        <v>4819</v>
      </c>
      <c r="C1762" t="s">
        <v>2397</v>
      </c>
      <c r="D1762" t="s">
        <v>4535</v>
      </c>
      <c r="E1762" t="s">
        <v>2408</v>
      </c>
    </row>
    <row r="1763" spans="1:5" ht="15.5" x14ac:dyDescent="0.35">
      <c r="A1763" s="2" t="s">
        <v>1763</v>
      </c>
      <c r="B1763" s="2" t="s">
        <v>4820</v>
      </c>
      <c r="C1763" t="s">
        <v>2394</v>
      </c>
      <c r="D1763" t="s">
        <v>2461</v>
      </c>
      <c r="E1763" t="s">
        <v>2477</v>
      </c>
    </row>
    <row r="1764" spans="1:5" ht="15.5" x14ac:dyDescent="0.35">
      <c r="A1764" s="2" t="s">
        <v>1764</v>
      </c>
      <c r="B1764" s="2" t="s">
        <v>4821</v>
      </c>
      <c r="C1764" t="s">
        <v>2394</v>
      </c>
      <c r="D1764" t="s">
        <v>2996</v>
      </c>
      <c r="E1764" t="s">
        <v>2806</v>
      </c>
    </row>
    <row r="1765" spans="1:5" ht="15.5" x14ac:dyDescent="0.35">
      <c r="A1765" s="2" t="s">
        <v>1765</v>
      </c>
      <c r="B1765" s="2" t="s">
        <v>2843</v>
      </c>
      <c r="C1765" t="s">
        <v>2394</v>
      </c>
      <c r="D1765" t="s">
        <v>4822</v>
      </c>
      <c r="E1765" t="s">
        <v>2590</v>
      </c>
    </row>
    <row r="1766" spans="1:5" ht="15.5" x14ac:dyDescent="0.35">
      <c r="A1766" s="2" t="s">
        <v>1766</v>
      </c>
      <c r="B1766" s="2" t="s">
        <v>4111</v>
      </c>
      <c r="C1766" t="s">
        <v>2394</v>
      </c>
      <c r="D1766" t="s">
        <v>4823</v>
      </c>
      <c r="E1766" t="s">
        <v>2415</v>
      </c>
    </row>
    <row r="1767" spans="1:5" ht="15.5" x14ac:dyDescent="0.35">
      <c r="A1767" s="2" t="s">
        <v>1767</v>
      </c>
      <c r="B1767" s="2" t="s">
        <v>4824</v>
      </c>
      <c r="C1767" t="s">
        <v>2397</v>
      </c>
      <c r="D1767" t="s">
        <v>2731</v>
      </c>
    </row>
    <row r="1768" spans="1:5" ht="15.5" x14ac:dyDescent="0.35">
      <c r="A1768" s="2" t="s">
        <v>1768</v>
      </c>
      <c r="B1768" s="2" t="s">
        <v>4825</v>
      </c>
      <c r="C1768" t="s">
        <v>2394</v>
      </c>
      <c r="D1768" t="s">
        <v>2774</v>
      </c>
      <c r="E1768" t="s">
        <v>2431</v>
      </c>
    </row>
    <row r="1769" spans="1:5" ht="15.5" x14ac:dyDescent="0.35">
      <c r="A1769" s="2" t="s">
        <v>1769</v>
      </c>
      <c r="B1769" s="2" t="s">
        <v>4826</v>
      </c>
      <c r="C1769" t="s">
        <v>2394</v>
      </c>
      <c r="D1769" t="s">
        <v>2774</v>
      </c>
    </row>
    <row r="1770" spans="1:5" ht="15.5" x14ac:dyDescent="0.35">
      <c r="A1770" s="2" t="s">
        <v>1770</v>
      </c>
      <c r="B1770" s="2" t="s">
        <v>4827</v>
      </c>
      <c r="C1770" t="s">
        <v>2394</v>
      </c>
      <c r="D1770" t="s">
        <v>2533</v>
      </c>
    </row>
    <row r="1771" spans="1:5" ht="15.5" x14ac:dyDescent="0.35">
      <c r="A1771" s="2" t="s">
        <v>1771</v>
      </c>
      <c r="B1771" s="2" t="s">
        <v>4828</v>
      </c>
      <c r="C1771" t="s">
        <v>2394</v>
      </c>
      <c r="D1771" t="s">
        <v>4829</v>
      </c>
      <c r="E1771" t="s">
        <v>2501</v>
      </c>
    </row>
    <row r="1772" spans="1:5" ht="15.5" x14ac:dyDescent="0.35">
      <c r="A1772" s="2" t="s">
        <v>1772</v>
      </c>
      <c r="B1772" s="2" t="s">
        <v>4830</v>
      </c>
      <c r="C1772" t="s">
        <v>2394</v>
      </c>
      <c r="D1772" t="s">
        <v>4831</v>
      </c>
    </row>
    <row r="1773" spans="1:5" ht="15.5" x14ac:dyDescent="0.35">
      <c r="A1773" s="2" t="s">
        <v>1773</v>
      </c>
      <c r="B1773" s="2" t="s">
        <v>4832</v>
      </c>
      <c r="C1773" t="s">
        <v>2394</v>
      </c>
      <c r="D1773" t="s">
        <v>3249</v>
      </c>
    </row>
    <row r="1774" spans="1:5" ht="15.5" x14ac:dyDescent="0.35">
      <c r="A1774" s="2" t="s">
        <v>1774</v>
      </c>
      <c r="B1774" s="2" t="s">
        <v>4833</v>
      </c>
      <c r="C1774" t="s">
        <v>2394</v>
      </c>
      <c r="D1774" t="s">
        <v>4834</v>
      </c>
    </row>
    <row r="1775" spans="1:5" ht="15.5" x14ac:dyDescent="0.35">
      <c r="A1775" s="2" t="s">
        <v>1775</v>
      </c>
      <c r="B1775" s="2" t="s">
        <v>4835</v>
      </c>
      <c r="C1775" t="s">
        <v>2397</v>
      </c>
      <c r="D1775" t="s">
        <v>2544</v>
      </c>
      <c r="E1775" t="s">
        <v>2467</v>
      </c>
    </row>
    <row r="1776" spans="1:5" ht="15.5" x14ac:dyDescent="0.35">
      <c r="A1776" s="2" t="s">
        <v>1776</v>
      </c>
      <c r="B1776" s="2" t="s">
        <v>4836</v>
      </c>
      <c r="C1776" t="s">
        <v>2394</v>
      </c>
      <c r="D1776" t="s">
        <v>3975</v>
      </c>
    </row>
    <row r="1777" spans="1:6" ht="15.5" x14ac:dyDescent="0.35">
      <c r="A1777" s="2" t="s">
        <v>1777</v>
      </c>
      <c r="B1777" s="2" t="s">
        <v>4837</v>
      </c>
      <c r="C1777" t="s">
        <v>2394</v>
      </c>
      <c r="D1777" t="s">
        <v>2604</v>
      </c>
    </row>
    <row r="1778" spans="1:6" ht="15.5" x14ac:dyDescent="0.35">
      <c r="A1778" s="2" t="s">
        <v>1778</v>
      </c>
      <c r="B1778" s="2" t="s">
        <v>4838</v>
      </c>
      <c r="C1778" t="s">
        <v>2397</v>
      </c>
      <c r="D1778" t="s">
        <v>2398</v>
      </c>
      <c r="E1778" t="s">
        <v>2482</v>
      </c>
    </row>
    <row r="1779" spans="1:6" ht="15.5" x14ac:dyDescent="0.35">
      <c r="A1779" s="2" t="s">
        <v>1779</v>
      </c>
      <c r="B1779" s="2" t="s">
        <v>4038</v>
      </c>
      <c r="C1779" t="s">
        <v>2394</v>
      </c>
      <c r="D1779" t="s">
        <v>4839</v>
      </c>
      <c r="E1779" t="s">
        <v>2436</v>
      </c>
    </row>
    <row r="1780" spans="1:6" ht="15.5" x14ac:dyDescent="0.35">
      <c r="A1780" s="2" t="s">
        <v>1780</v>
      </c>
      <c r="B1780" s="2" t="s">
        <v>4840</v>
      </c>
      <c r="C1780" t="s">
        <v>2397</v>
      </c>
      <c r="D1780" t="s">
        <v>2859</v>
      </c>
      <c r="E1780" t="s">
        <v>2467</v>
      </c>
      <c r="F1780" t="s">
        <v>3564</v>
      </c>
    </row>
    <row r="1781" spans="1:6" ht="15.5" x14ac:dyDescent="0.35">
      <c r="A1781" s="2" t="s">
        <v>1781</v>
      </c>
      <c r="B1781" s="2" t="s">
        <v>4841</v>
      </c>
      <c r="C1781" t="s">
        <v>2394</v>
      </c>
      <c r="D1781" t="s">
        <v>3654</v>
      </c>
      <c r="E1781" t="s">
        <v>2482</v>
      </c>
    </row>
    <row r="1782" spans="1:6" ht="15.5" x14ac:dyDescent="0.35">
      <c r="A1782" s="2" t="s">
        <v>1782</v>
      </c>
      <c r="B1782" s="2" t="s">
        <v>4842</v>
      </c>
      <c r="C1782" t="s">
        <v>2394</v>
      </c>
      <c r="D1782" t="s">
        <v>3750</v>
      </c>
      <c r="E1782" t="s">
        <v>2436</v>
      </c>
    </row>
    <row r="1783" spans="1:6" ht="15.5" x14ac:dyDescent="0.35">
      <c r="A1783" s="2" t="s">
        <v>1783</v>
      </c>
      <c r="B1783" s="2" t="s">
        <v>4649</v>
      </c>
      <c r="C1783" t="s">
        <v>2397</v>
      </c>
      <c r="D1783" t="s">
        <v>2861</v>
      </c>
      <c r="E1783" t="s">
        <v>2498</v>
      </c>
    </row>
    <row r="1784" spans="1:6" ht="15.5" x14ac:dyDescent="0.35">
      <c r="A1784" s="2" t="s">
        <v>1784</v>
      </c>
      <c r="B1784" s="2" t="s">
        <v>2456</v>
      </c>
      <c r="C1784" t="s">
        <v>2394</v>
      </c>
      <c r="D1784" t="s">
        <v>4590</v>
      </c>
    </row>
    <row r="1785" spans="1:6" ht="15.5" x14ac:dyDescent="0.35">
      <c r="A1785" s="2" t="s">
        <v>1785</v>
      </c>
      <c r="B1785" s="2" t="s">
        <v>3373</v>
      </c>
      <c r="C1785" t="s">
        <v>2397</v>
      </c>
      <c r="D1785" t="s">
        <v>2491</v>
      </c>
      <c r="E1785" t="s">
        <v>2561</v>
      </c>
    </row>
    <row r="1786" spans="1:6" ht="15.5" x14ac:dyDescent="0.35">
      <c r="A1786" s="2" t="s">
        <v>1786</v>
      </c>
      <c r="B1786" s="2" t="s">
        <v>4843</v>
      </c>
      <c r="C1786" t="s">
        <v>2397</v>
      </c>
      <c r="D1786" t="s">
        <v>4844</v>
      </c>
    </row>
    <row r="1787" spans="1:6" ht="15.5" x14ac:dyDescent="0.35">
      <c r="A1787" s="2" t="s">
        <v>1787</v>
      </c>
      <c r="B1787" s="2" t="s">
        <v>4845</v>
      </c>
      <c r="C1787" t="s">
        <v>2397</v>
      </c>
      <c r="D1787" t="s">
        <v>2443</v>
      </c>
    </row>
    <row r="1788" spans="1:6" ht="15.5" x14ac:dyDescent="0.35">
      <c r="A1788" s="2" t="s">
        <v>1788</v>
      </c>
      <c r="B1788" s="2" t="s">
        <v>4846</v>
      </c>
      <c r="C1788" t="s">
        <v>2397</v>
      </c>
      <c r="D1788" t="s">
        <v>3874</v>
      </c>
      <c r="E1788" t="s">
        <v>2696</v>
      </c>
    </row>
    <row r="1789" spans="1:6" ht="15.5" x14ac:dyDescent="0.35">
      <c r="A1789" s="2" t="s">
        <v>1789</v>
      </c>
      <c r="B1789" s="2" t="s">
        <v>4064</v>
      </c>
      <c r="C1789" t="s">
        <v>2397</v>
      </c>
      <c r="D1789" t="s">
        <v>2846</v>
      </c>
      <c r="E1789" t="s">
        <v>2643</v>
      </c>
    </row>
    <row r="1790" spans="1:6" ht="15.5" x14ac:dyDescent="0.35">
      <c r="A1790" s="2" t="s">
        <v>1790</v>
      </c>
      <c r="B1790" s="2" t="s">
        <v>4847</v>
      </c>
      <c r="C1790" t="s">
        <v>2397</v>
      </c>
      <c r="D1790" t="s">
        <v>2410</v>
      </c>
    </row>
    <row r="1791" spans="1:6" ht="15.5" x14ac:dyDescent="0.35">
      <c r="A1791" s="2" t="s">
        <v>1791</v>
      </c>
      <c r="B1791" s="2" t="s">
        <v>4848</v>
      </c>
      <c r="C1791" t="s">
        <v>2397</v>
      </c>
      <c r="D1791" t="s">
        <v>4849</v>
      </c>
    </row>
    <row r="1792" spans="1:6" ht="15.5" x14ac:dyDescent="0.35">
      <c r="A1792" s="2" t="s">
        <v>1792</v>
      </c>
      <c r="B1792" s="2" t="s">
        <v>3117</v>
      </c>
      <c r="C1792" t="s">
        <v>2397</v>
      </c>
      <c r="D1792" t="s">
        <v>2443</v>
      </c>
      <c r="E1792" t="s">
        <v>2455</v>
      </c>
      <c r="F1792" t="s">
        <v>3564</v>
      </c>
    </row>
    <row r="1793" spans="1:5" ht="15.5" x14ac:dyDescent="0.35">
      <c r="A1793" s="2" t="s">
        <v>1793</v>
      </c>
      <c r="B1793" s="2" t="s">
        <v>4850</v>
      </c>
      <c r="C1793" t="s">
        <v>2394</v>
      </c>
      <c r="D1793" t="s">
        <v>2782</v>
      </c>
    </row>
    <row r="1794" spans="1:5" ht="15.5" x14ac:dyDescent="0.35">
      <c r="A1794" s="2" t="s">
        <v>1794</v>
      </c>
      <c r="B1794" s="2" t="s">
        <v>4851</v>
      </c>
      <c r="C1794" t="s">
        <v>2397</v>
      </c>
      <c r="D1794" t="s">
        <v>2701</v>
      </c>
    </row>
    <row r="1795" spans="1:5" ht="15.5" x14ac:dyDescent="0.35">
      <c r="A1795" s="2" t="s">
        <v>1795</v>
      </c>
      <c r="B1795" s="2" t="s">
        <v>4852</v>
      </c>
      <c r="C1795" t="s">
        <v>2394</v>
      </c>
      <c r="D1795" t="s">
        <v>3469</v>
      </c>
    </row>
    <row r="1796" spans="1:5" ht="15.5" x14ac:dyDescent="0.35">
      <c r="A1796" s="2" t="s">
        <v>1796</v>
      </c>
      <c r="B1796" s="2" t="s">
        <v>4445</v>
      </c>
      <c r="C1796" t="s">
        <v>2397</v>
      </c>
      <c r="D1796" t="s">
        <v>2481</v>
      </c>
      <c r="E1796" t="s">
        <v>2482</v>
      </c>
    </row>
    <row r="1797" spans="1:5" ht="15.5" x14ac:dyDescent="0.35">
      <c r="A1797" s="2" t="s">
        <v>1797</v>
      </c>
      <c r="B1797" s="2" t="s">
        <v>4853</v>
      </c>
      <c r="C1797" t="s">
        <v>2394</v>
      </c>
      <c r="D1797" t="s">
        <v>2670</v>
      </c>
    </row>
    <row r="1798" spans="1:5" ht="15.5" x14ac:dyDescent="0.35">
      <c r="A1798" s="2" t="s">
        <v>1798</v>
      </c>
      <c r="B1798" s="2" t="s">
        <v>4854</v>
      </c>
      <c r="C1798" t="s">
        <v>2397</v>
      </c>
      <c r="D1798" t="s">
        <v>4855</v>
      </c>
    </row>
    <row r="1799" spans="1:5" ht="15.5" x14ac:dyDescent="0.35">
      <c r="A1799" s="2" t="s">
        <v>1799</v>
      </c>
      <c r="B1799" s="2" t="s">
        <v>4856</v>
      </c>
      <c r="C1799" t="s">
        <v>2394</v>
      </c>
      <c r="D1799" t="s">
        <v>3550</v>
      </c>
      <c r="E1799" t="s">
        <v>2477</v>
      </c>
    </row>
    <row r="1800" spans="1:5" ht="15.5" x14ac:dyDescent="0.35">
      <c r="A1800" s="2" t="s">
        <v>1800</v>
      </c>
      <c r="B1800" s="2" t="s">
        <v>3335</v>
      </c>
      <c r="C1800" t="s">
        <v>2394</v>
      </c>
      <c r="D1800" t="s">
        <v>4041</v>
      </c>
      <c r="E1800" t="s">
        <v>2431</v>
      </c>
    </row>
    <row r="1801" spans="1:5" ht="15.5" x14ac:dyDescent="0.35">
      <c r="A1801" s="2" t="s">
        <v>1801</v>
      </c>
      <c r="B1801" s="2" t="s">
        <v>4857</v>
      </c>
      <c r="C1801" t="s">
        <v>4858</v>
      </c>
      <c r="D1801" t="s">
        <v>2397</v>
      </c>
      <c r="E1801" t="s">
        <v>4859</v>
      </c>
    </row>
    <row r="1802" spans="1:5" ht="15.5" x14ac:dyDescent="0.35">
      <c r="A1802" s="2" t="s">
        <v>1802</v>
      </c>
      <c r="B1802" s="2" t="s">
        <v>4860</v>
      </c>
      <c r="C1802" t="s">
        <v>2394</v>
      </c>
      <c r="D1802" t="s">
        <v>3359</v>
      </c>
    </row>
    <row r="1803" spans="1:5" ht="15.5" x14ac:dyDescent="0.35">
      <c r="A1803" s="2" t="s">
        <v>1803</v>
      </c>
      <c r="B1803" s="2" t="s">
        <v>4861</v>
      </c>
      <c r="C1803" t="s">
        <v>2397</v>
      </c>
      <c r="D1803" t="s">
        <v>2544</v>
      </c>
    </row>
    <row r="1804" spans="1:5" ht="15.5" x14ac:dyDescent="0.35">
      <c r="A1804" s="2" t="s">
        <v>1804</v>
      </c>
      <c r="B1804" s="2" t="s">
        <v>2800</v>
      </c>
      <c r="C1804" t="s">
        <v>2397</v>
      </c>
      <c r="D1804" t="s">
        <v>3363</v>
      </c>
    </row>
    <row r="1805" spans="1:5" ht="15.5" x14ac:dyDescent="0.35">
      <c r="A1805" s="2" t="s">
        <v>1805</v>
      </c>
      <c r="B1805" s="2" t="s">
        <v>2463</v>
      </c>
      <c r="C1805" t="s">
        <v>2397</v>
      </c>
      <c r="D1805" t="s">
        <v>4862</v>
      </c>
    </row>
    <row r="1806" spans="1:5" ht="15.5" x14ac:dyDescent="0.35">
      <c r="A1806" s="2" t="s">
        <v>1806</v>
      </c>
      <c r="B1806" s="2" t="s">
        <v>4863</v>
      </c>
      <c r="C1806" t="s">
        <v>2397</v>
      </c>
      <c r="D1806" t="s">
        <v>2544</v>
      </c>
      <c r="E1806" t="s">
        <v>2448</v>
      </c>
    </row>
    <row r="1807" spans="1:5" ht="15.5" x14ac:dyDescent="0.35">
      <c r="A1807" s="2" t="s">
        <v>1807</v>
      </c>
      <c r="B1807" s="2" t="s">
        <v>4864</v>
      </c>
      <c r="C1807" t="s">
        <v>2394</v>
      </c>
      <c r="D1807" t="s">
        <v>3181</v>
      </c>
    </row>
    <row r="1808" spans="1:5" ht="15.5" x14ac:dyDescent="0.35">
      <c r="A1808" s="2" t="s">
        <v>1808</v>
      </c>
      <c r="B1808" s="2" t="s">
        <v>4865</v>
      </c>
      <c r="C1808" t="s">
        <v>2394</v>
      </c>
      <c r="D1808" t="s">
        <v>4866</v>
      </c>
    </row>
    <row r="1809" spans="1:6" ht="15.5" x14ac:dyDescent="0.35">
      <c r="A1809" s="2" t="s">
        <v>1809</v>
      </c>
      <c r="B1809" s="2" t="s">
        <v>4867</v>
      </c>
      <c r="C1809" t="s">
        <v>2394</v>
      </c>
      <c r="D1809" t="s">
        <v>4868</v>
      </c>
      <c r="E1809" t="s">
        <v>2477</v>
      </c>
    </row>
    <row r="1810" spans="1:6" ht="15.5" x14ac:dyDescent="0.35">
      <c r="A1810" s="2" t="s">
        <v>1810</v>
      </c>
      <c r="B1810" s="2" t="s">
        <v>4869</v>
      </c>
      <c r="C1810" t="s">
        <v>2394</v>
      </c>
      <c r="D1810" t="s">
        <v>2872</v>
      </c>
    </row>
    <row r="1811" spans="1:6" ht="15.5" x14ac:dyDescent="0.35">
      <c r="A1811" s="2" t="s">
        <v>1811</v>
      </c>
      <c r="B1811" s="2" t="s">
        <v>4870</v>
      </c>
      <c r="C1811" t="s">
        <v>2394</v>
      </c>
      <c r="D1811" t="s">
        <v>4359</v>
      </c>
    </row>
    <row r="1812" spans="1:6" ht="15.5" x14ac:dyDescent="0.35">
      <c r="A1812" s="2" t="s">
        <v>1812</v>
      </c>
      <c r="B1812" s="2" t="s">
        <v>4871</v>
      </c>
      <c r="C1812" t="s">
        <v>2394</v>
      </c>
      <c r="D1812" t="s">
        <v>4872</v>
      </c>
    </row>
    <row r="1813" spans="1:6" ht="15.5" x14ac:dyDescent="0.35">
      <c r="A1813" s="2" t="s">
        <v>1813</v>
      </c>
      <c r="B1813" s="2" t="s">
        <v>4873</v>
      </c>
      <c r="C1813" t="s">
        <v>2394</v>
      </c>
      <c r="D1813" t="s">
        <v>4356</v>
      </c>
    </row>
    <row r="1814" spans="1:6" ht="15.5" x14ac:dyDescent="0.35">
      <c r="A1814" s="2" t="s">
        <v>1814</v>
      </c>
      <c r="B1814" s="2" t="s">
        <v>4874</v>
      </c>
      <c r="C1814" t="s">
        <v>2397</v>
      </c>
      <c r="D1814" t="s">
        <v>2675</v>
      </c>
      <c r="E1814" t="s">
        <v>2622</v>
      </c>
    </row>
    <row r="1815" spans="1:6" ht="15.5" x14ac:dyDescent="0.35">
      <c r="A1815" s="2" t="s">
        <v>1815</v>
      </c>
      <c r="B1815" s="2" t="s">
        <v>4875</v>
      </c>
      <c r="C1815" t="s">
        <v>2394</v>
      </c>
      <c r="D1815" t="s">
        <v>3181</v>
      </c>
    </row>
    <row r="1816" spans="1:6" ht="15.5" x14ac:dyDescent="0.35">
      <c r="A1816" s="2" t="s">
        <v>1816</v>
      </c>
      <c r="B1816" s="2" t="s">
        <v>4876</v>
      </c>
      <c r="C1816" t="s">
        <v>2397</v>
      </c>
      <c r="D1816" t="s">
        <v>2636</v>
      </c>
    </row>
    <row r="1817" spans="1:6" ht="15.5" x14ac:dyDescent="0.35">
      <c r="A1817" s="2" t="s">
        <v>1817</v>
      </c>
      <c r="B1817" s="2" t="s">
        <v>4877</v>
      </c>
      <c r="C1817" t="s">
        <v>2397</v>
      </c>
      <c r="D1817" t="s">
        <v>4878</v>
      </c>
      <c r="E1817" t="s">
        <v>2482</v>
      </c>
    </row>
    <row r="1818" spans="1:6" ht="15.5" x14ac:dyDescent="0.35">
      <c r="A1818" s="2" t="s">
        <v>1818</v>
      </c>
      <c r="B1818" s="2" t="s">
        <v>4879</v>
      </c>
      <c r="C1818" t="s">
        <v>2397</v>
      </c>
      <c r="D1818" t="s">
        <v>2544</v>
      </c>
      <c r="E1818" t="s">
        <v>2467</v>
      </c>
      <c r="F1818" t="s">
        <v>3564</v>
      </c>
    </row>
    <row r="1819" spans="1:6" ht="15.5" x14ac:dyDescent="0.35">
      <c r="A1819" s="2" t="s">
        <v>1819</v>
      </c>
      <c r="B1819" s="2" t="s">
        <v>4880</v>
      </c>
      <c r="C1819" t="s">
        <v>2397</v>
      </c>
      <c r="D1819" t="s">
        <v>3406</v>
      </c>
      <c r="E1819" t="s">
        <v>2700</v>
      </c>
    </row>
    <row r="1820" spans="1:6" ht="15.5" x14ac:dyDescent="0.35">
      <c r="A1820" s="2" t="s">
        <v>1820</v>
      </c>
      <c r="B1820" s="2" t="s">
        <v>3949</v>
      </c>
      <c r="C1820" t="s">
        <v>2397</v>
      </c>
      <c r="D1820" t="s">
        <v>3029</v>
      </c>
    </row>
    <row r="1821" spans="1:6" ht="15.5" x14ac:dyDescent="0.35">
      <c r="A1821" s="2" t="s">
        <v>1821</v>
      </c>
      <c r="B1821" s="2" t="s">
        <v>4881</v>
      </c>
      <c r="C1821" t="s">
        <v>2397</v>
      </c>
      <c r="D1821" t="s">
        <v>4882</v>
      </c>
    </row>
    <row r="1822" spans="1:6" ht="15.5" x14ac:dyDescent="0.35">
      <c r="A1822" s="2" t="s">
        <v>1822</v>
      </c>
      <c r="B1822" s="2" t="s">
        <v>4883</v>
      </c>
      <c r="C1822" t="s">
        <v>2397</v>
      </c>
      <c r="D1822" t="s">
        <v>2414</v>
      </c>
    </row>
    <row r="1823" spans="1:6" ht="15.5" x14ac:dyDescent="0.35">
      <c r="A1823" s="2" t="s">
        <v>1823</v>
      </c>
      <c r="B1823" s="2" t="s">
        <v>4884</v>
      </c>
      <c r="C1823" t="s">
        <v>2397</v>
      </c>
      <c r="D1823" t="s">
        <v>3054</v>
      </c>
      <c r="E1823" t="s">
        <v>2399</v>
      </c>
    </row>
    <row r="1824" spans="1:6" ht="15.5" x14ac:dyDescent="0.35">
      <c r="A1824" s="2" t="s">
        <v>1824</v>
      </c>
      <c r="B1824" s="2" t="s">
        <v>2600</v>
      </c>
      <c r="C1824" t="s">
        <v>4885</v>
      </c>
      <c r="D1824" t="s">
        <v>2394</v>
      </c>
      <c r="E1824" t="s">
        <v>2855</v>
      </c>
    </row>
    <row r="1825" spans="1:5" ht="15.5" x14ac:dyDescent="0.35">
      <c r="A1825" s="2" t="s">
        <v>1825</v>
      </c>
      <c r="B1825" s="2" t="s">
        <v>3600</v>
      </c>
      <c r="C1825" t="s">
        <v>2397</v>
      </c>
      <c r="D1825" t="s">
        <v>2398</v>
      </c>
      <c r="E1825" t="s">
        <v>2723</v>
      </c>
    </row>
    <row r="1826" spans="1:5" ht="15.5" x14ac:dyDescent="0.35">
      <c r="A1826" s="2" t="s">
        <v>1826</v>
      </c>
      <c r="B1826" s="2" t="s">
        <v>4886</v>
      </c>
      <c r="C1826" t="s">
        <v>2394</v>
      </c>
      <c r="D1826" t="s">
        <v>2677</v>
      </c>
      <c r="E1826" t="s">
        <v>2886</v>
      </c>
    </row>
    <row r="1827" spans="1:5" ht="15.5" x14ac:dyDescent="0.35">
      <c r="A1827" s="2" t="s">
        <v>1827</v>
      </c>
      <c r="B1827" s="2" t="s">
        <v>4887</v>
      </c>
      <c r="C1827" t="s">
        <v>2394</v>
      </c>
      <c r="D1827" t="s">
        <v>4888</v>
      </c>
    </row>
    <row r="1828" spans="1:5" ht="15.5" x14ac:dyDescent="0.35">
      <c r="A1828" s="2" t="s">
        <v>1828</v>
      </c>
      <c r="B1828" s="2" t="s">
        <v>4889</v>
      </c>
      <c r="C1828" t="s">
        <v>2394</v>
      </c>
      <c r="D1828" t="s">
        <v>2840</v>
      </c>
      <c r="E1828" t="s">
        <v>2561</v>
      </c>
    </row>
    <row r="1829" spans="1:5" ht="15.5" x14ac:dyDescent="0.35">
      <c r="A1829" s="2" t="s">
        <v>1829</v>
      </c>
      <c r="B1829" s="2" t="s">
        <v>4890</v>
      </c>
      <c r="C1829" t="s">
        <v>2394</v>
      </c>
      <c r="D1829" t="s">
        <v>3750</v>
      </c>
    </row>
    <row r="1830" spans="1:5" ht="15.5" x14ac:dyDescent="0.35">
      <c r="A1830" s="2" t="s">
        <v>1830</v>
      </c>
      <c r="B1830" s="2" t="s">
        <v>4891</v>
      </c>
      <c r="C1830" t="s">
        <v>2394</v>
      </c>
      <c r="D1830" t="s">
        <v>3171</v>
      </c>
    </row>
    <row r="1831" spans="1:5" ht="15.5" x14ac:dyDescent="0.35">
      <c r="A1831" s="2" t="s">
        <v>1831</v>
      </c>
      <c r="B1831" s="2" t="s">
        <v>2775</v>
      </c>
      <c r="C1831" t="s">
        <v>2397</v>
      </c>
      <c r="D1831" t="s">
        <v>2993</v>
      </c>
    </row>
    <row r="1832" spans="1:5" ht="15.5" x14ac:dyDescent="0.35">
      <c r="A1832" s="2" t="s">
        <v>1832</v>
      </c>
      <c r="B1832" s="2" t="s">
        <v>3950</v>
      </c>
      <c r="C1832" t="s">
        <v>2394</v>
      </c>
      <c r="D1832" t="s">
        <v>2810</v>
      </c>
    </row>
    <row r="1833" spans="1:5" ht="15.5" x14ac:dyDescent="0.35">
      <c r="A1833" s="2" t="s">
        <v>1833</v>
      </c>
      <c r="B1833" s="2" t="s">
        <v>3098</v>
      </c>
      <c r="C1833" t="s">
        <v>2394</v>
      </c>
      <c r="D1833" t="s">
        <v>4393</v>
      </c>
    </row>
    <row r="1834" spans="1:5" ht="15.5" x14ac:dyDescent="0.35">
      <c r="A1834" s="2" t="s">
        <v>1834</v>
      </c>
      <c r="B1834" s="2" t="s">
        <v>4892</v>
      </c>
      <c r="C1834" t="s">
        <v>2397</v>
      </c>
      <c r="D1834" t="s">
        <v>4893</v>
      </c>
    </row>
    <row r="1835" spans="1:5" ht="15.5" x14ac:dyDescent="0.35">
      <c r="A1835" s="2" t="s">
        <v>1835</v>
      </c>
      <c r="B1835" s="2" t="s">
        <v>4894</v>
      </c>
      <c r="C1835" t="s">
        <v>2394</v>
      </c>
      <c r="D1835" t="s">
        <v>4250</v>
      </c>
      <c r="E1835" t="s">
        <v>2561</v>
      </c>
    </row>
    <row r="1836" spans="1:5" ht="15.5" x14ac:dyDescent="0.35">
      <c r="A1836" s="2" t="s">
        <v>1836</v>
      </c>
      <c r="B1836" s="2" t="s">
        <v>4895</v>
      </c>
      <c r="C1836" t="s">
        <v>3231</v>
      </c>
      <c r="D1836" t="s">
        <v>2657</v>
      </c>
      <c r="E1836" t="s">
        <v>2436</v>
      </c>
    </row>
    <row r="1837" spans="1:5" ht="15.5" x14ac:dyDescent="0.35">
      <c r="A1837" s="2" t="s">
        <v>1837</v>
      </c>
      <c r="B1837" s="2" t="s">
        <v>4896</v>
      </c>
      <c r="C1837" t="s">
        <v>2397</v>
      </c>
      <c r="D1837" t="s">
        <v>2636</v>
      </c>
    </row>
    <row r="1838" spans="1:5" ht="15.5" x14ac:dyDescent="0.35">
      <c r="A1838" s="2" t="s">
        <v>1838</v>
      </c>
      <c r="B1838" s="2" t="s">
        <v>4897</v>
      </c>
      <c r="C1838" t="s">
        <v>2397</v>
      </c>
      <c r="D1838" t="s">
        <v>4898</v>
      </c>
    </row>
    <row r="1839" spans="1:5" ht="15.5" x14ac:dyDescent="0.35">
      <c r="A1839" s="2" t="s">
        <v>1839</v>
      </c>
      <c r="B1839" s="2" t="s">
        <v>4899</v>
      </c>
      <c r="C1839" t="s">
        <v>2397</v>
      </c>
      <c r="D1839" t="s">
        <v>4900</v>
      </c>
    </row>
    <row r="1840" spans="1:5" ht="15.5" x14ac:dyDescent="0.35">
      <c r="A1840" s="2" t="s">
        <v>1840</v>
      </c>
      <c r="B1840" s="2" t="s">
        <v>4129</v>
      </c>
      <c r="C1840" t="s">
        <v>2397</v>
      </c>
      <c r="D1840" t="s">
        <v>2503</v>
      </c>
      <c r="E1840" t="s">
        <v>4901</v>
      </c>
    </row>
    <row r="1841" spans="1:5" ht="15.5" x14ac:dyDescent="0.35">
      <c r="A1841" s="2" t="s">
        <v>1841</v>
      </c>
      <c r="B1841" s="2" t="s">
        <v>4197</v>
      </c>
      <c r="C1841" t="s">
        <v>2397</v>
      </c>
      <c r="D1841" t="s">
        <v>2925</v>
      </c>
      <c r="E1841" t="s">
        <v>2519</v>
      </c>
    </row>
    <row r="1842" spans="1:5" ht="15.5" x14ac:dyDescent="0.35">
      <c r="A1842" s="2" t="s">
        <v>1842</v>
      </c>
      <c r="B1842" s="2" t="s">
        <v>4902</v>
      </c>
      <c r="C1842" t="s">
        <v>2394</v>
      </c>
      <c r="D1842" t="s">
        <v>2542</v>
      </c>
    </row>
    <row r="1843" spans="1:5" ht="15.5" x14ac:dyDescent="0.35">
      <c r="A1843" s="2" t="s">
        <v>1843</v>
      </c>
      <c r="B1843" s="2" t="s">
        <v>4903</v>
      </c>
      <c r="C1843" t="s">
        <v>2394</v>
      </c>
      <c r="D1843" t="s">
        <v>4904</v>
      </c>
      <c r="E1843" t="s">
        <v>2625</v>
      </c>
    </row>
    <row r="1844" spans="1:5" ht="15.5" x14ac:dyDescent="0.35">
      <c r="A1844" s="2" t="s">
        <v>1844</v>
      </c>
      <c r="B1844" s="2" t="s">
        <v>2545</v>
      </c>
      <c r="C1844" t="s">
        <v>2397</v>
      </c>
      <c r="D1844" t="s">
        <v>4905</v>
      </c>
    </row>
    <row r="1845" spans="1:5" ht="15.5" x14ac:dyDescent="0.35">
      <c r="A1845" s="2" t="s">
        <v>1845</v>
      </c>
      <c r="B1845" s="2" t="s">
        <v>4906</v>
      </c>
      <c r="C1845" t="s">
        <v>2397</v>
      </c>
      <c r="D1845" t="s">
        <v>2489</v>
      </c>
      <c r="E1845" t="s">
        <v>2436</v>
      </c>
    </row>
    <row r="1846" spans="1:5" ht="15.5" x14ac:dyDescent="0.35">
      <c r="A1846" s="2" t="s">
        <v>1846</v>
      </c>
      <c r="B1846" s="2" t="s">
        <v>4907</v>
      </c>
      <c r="C1846" t="s">
        <v>2397</v>
      </c>
      <c r="D1846" t="s">
        <v>2457</v>
      </c>
    </row>
    <row r="1847" spans="1:5" ht="15.5" x14ac:dyDescent="0.35">
      <c r="A1847" s="2" t="s">
        <v>1847</v>
      </c>
      <c r="B1847" s="2" t="s">
        <v>4908</v>
      </c>
      <c r="C1847" t="s">
        <v>2397</v>
      </c>
      <c r="D1847" t="s">
        <v>4909</v>
      </c>
      <c r="E1847" t="s">
        <v>4910</v>
      </c>
    </row>
    <row r="1848" spans="1:5" ht="15.5" x14ac:dyDescent="0.35">
      <c r="A1848" s="2" t="s">
        <v>1848</v>
      </c>
      <c r="B1848" s="2" t="s">
        <v>4911</v>
      </c>
      <c r="C1848" t="s">
        <v>2397</v>
      </c>
      <c r="D1848" t="s">
        <v>2692</v>
      </c>
      <c r="E1848" t="s">
        <v>2436</v>
      </c>
    </row>
    <row r="1849" spans="1:5" ht="15.5" x14ac:dyDescent="0.35">
      <c r="A1849" s="2" t="s">
        <v>1849</v>
      </c>
      <c r="B1849" s="2" t="s">
        <v>4912</v>
      </c>
      <c r="C1849" t="s">
        <v>2397</v>
      </c>
      <c r="D1849" t="s">
        <v>4913</v>
      </c>
    </row>
    <row r="1850" spans="1:5" ht="15.5" x14ac:dyDescent="0.35">
      <c r="A1850" s="2" t="s">
        <v>1850</v>
      </c>
      <c r="B1850" s="2" t="s">
        <v>4914</v>
      </c>
      <c r="C1850" t="s">
        <v>2397</v>
      </c>
      <c r="D1850" t="s">
        <v>2414</v>
      </c>
      <c r="E1850" t="s">
        <v>2431</v>
      </c>
    </row>
    <row r="1851" spans="1:5" ht="15.5" x14ac:dyDescent="0.35">
      <c r="A1851" s="2" t="s">
        <v>1851</v>
      </c>
      <c r="B1851" s="2" t="s">
        <v>4915</v>
      </c>
      <c r="C1851" t="s">
        <v>2397</v>
      </c>
      <c r="D1851" t="s">
        <v>2950</v>
      </c>
    </row>
    <row r="1852" spans="1:5" ht="15.5" x14ac:dyDescent="0.35">
      <c r="A1852" s="2" t="s">
        <v>1852</v>
      </c>
      <c r="B1852" s="2" t="s">
        <v>4916</v>
      </c>
      <c r="C1852" t="s">
        <v>2397</v>
      </c>
      <c r="D1852" t="s">
        <v>2481</v>
      </c>
    </row>
    <row r="1853" spans="1:5" ht="15.5" x14ac:dyDescent="0.35">
      <c r="A1853" s="2" t="s">
        <v>1853</v>
      </c>
      <c r="B1853" s="2" t="s">
        <v>4917</v>
      </c>
      <c r="C1853" t="s">
        <v>2397</v>
      </c>
      <c r="D1853" t="s">
        <v>4918</v>
      </c>
    </row>
    <row r="1854" spans="1:5" ht="15.5" x14ac:dyDescent="0.35">
      <c r="A1854" s="2" t="s">
        <v>1854</v>
      </c>
      <c r="B1854" s="2" t="s">
        <v>4919</v>
      </c>
      <c r="C1854" t="s">
        <v>2397</v>
      </c>
      <c r="D1854" t="s">
        <v>2481</v>
      </c>
    </row>
    <row r="1855" spans="1:5" ht="15.5" x14ac:dyDescent="0.35">
      <c r="A1855" s="2" t="s">
        <v>1855</v>
      </c>
      <c r="B1855" s="2" t="s">
        <v>4685</v>
      </c>
      <c r="C1855" t="s">
        <v>2394</v>
      </c>
      <c r="D1855" t="s">
        <v>4920</v>
      </c>
    </row>
    <row r="1856" spans="1:5" ht="15.5" x14ac:dyDescent="0.35">
      <c r="A1856" s="2" t="s">
        <v>1856</v>
      </c>
      <c r="B1856" s="2" t="s">
        <v>3509</v>
      </c>
      <c r="C1856" t="s">
        <v>2397</v>
      </c>
      <c r="D1856" t="s">
        <v>2619</v>
      </c>
      <c r="E1856" t="s">
        <v>2399</v>
      </c>
    </row>
    <row r="1857" spans="1:5" ht="15.5" x14ac:dyDescent="0.35">
      <c r="A1857" s="2" t="s">
        <v>1857</v>
      </c>
      <c r="B1857" s="2" t="s">
        <v>4921</v>
      </c>
      <c r="C1857" t="s">
        <v>2397</v>
      </c>
      <c r="D1857" t="s">
        <v>2790</v>
      </c>
    </row>
    <row r="1858" spans="1:5" ht="15.5" x14ac:dyDescent="0.35">
      <c r="A1858" s="2" t="s">
        <v>1858</v>
      </c>
      <c r="B1858" s="2" t="s">
        <v>4922</v>
      </c>
      <c r="C1858" t="s">
        <v>2394</v>
      </c>
      <c r="D1858" t="s">
        <v>4923</v>
      </c>
      <c r="E1858" t="s">
        <v>2501</v>
      </c>
    </row>
    <row r="1859" spans="1:5" ht="15.5" x14ac:dyDescent="0.35">
      <c r="A1859" s="2" t="s">
        <v>1859</v>
      </c>
      <c r="B1859" s="2" t="s">
        <v>4924</v>
      </c>
      <c r="C1859" t="s">
        <v>2397</v>
      </c>
      <c r="D1859" t="s">
        <v>4925</v>
      </c>
    </row>
    <row r="1860" spans="1:5" ht="15.5" x14ac:dyDescent="0.35">
      <c r="A1860" s="2" t="s">
        <v>1860</v>
      </c>
      <c r="B1860" s="2" t="s">
        <v>4020</v>
      </c>
      <c r="C1860" t="s">
        <v>2394</v>
      </c>
      <c r="D1860" t="s">
        <v>4308</v>
      </c>
    </row>
    <row r="1861" spans="1:5" ht="15.5" x14ac:dyDescent="0.35">
      <c r="A1861" s="2" t="s">
        <v>1861</v>
      </c>
      <c r="B1861" s="2" t="s">
        <v>3793</v>
      </c>
      <c r="C1861" t="s">
        <v>2394</v>
      </c>
      <c r="D1861" t="s">
        <v>2657</v>
      </c>
      <c r="E1861" t="s">
        <v>2501</v>
      </c>
    </row>
    <row r="1862" spans="1:5" ht="15.5" x14ac:dyDescent="0.35">
      <c r="A1862" s="2" t="s">
        <v>1862</v>
      </c>
      <c r="B1862" s="2" t="s">
        <v>4926</v>
      </c>
      <c r="C1862" t="s">
        <v>2394</v>
      </c>
      <c r="D1862" t="s">
        <v>2461</v>
      </c>
      <c r="E1862" t="s">
        <v>2540</v>
      </c>
    </row>
    <row r="1863" spans="1:5" ht="15.5" x14ac:dyDescent="0.35">
      <c r="A1863" s="2" t="s">
        <v>1863</v>
      </c>
      <c r="B1863" s="2" t="s">
        <v>3103</v>
      </c>
      <c r="C1863" t="s">
        <v>2394</v>
      </c>
      <c r="D1863" t="s">
        <v>2533</v>
      </c>
    </row>
    <row r="1864" spans="1:5" ht="15.5" x14ac:dyDescent="0.35">
      <c r="A1864" s="2" t="s">
        <v>1864</v>
      </c>
      <c r="B1864" s="2" t="s">
        <v>4927</v>
      </c>
      <c r="C1864" t="s">
        <v>2394</v>
      </c>
      <c r="D1864" t="s">
        <v>4928</v>
      </c>
    </row>
    <row r="1865" spans="1:5" ht="15.5" x14ac:dyDescent="0.35">
      <c r="A1865" s="2" t="s">
        <v>1865</v>
      </c>
      <c r="B1865" s="2" t="s">
        <v>4929</v>
      </c>
      <c r="C1865" t="s">
        <v>2394</v>
      </c>
      <c r="D1865" t="s">
        <v>2521</v>
      </c>
    </row>
    <row r="1866" spans="1:5" ht="15.5" x14ac:dyDescent="0.35">
      <c r="A1866" s="2" t="s">
        <v>1866</v>
      </c>
      <c r="B1866" s="2" t="s">
        <v>3179</v>
      </c>
      <c r="C1866" t="s">
        <v>2394</v>
      </c>
      <c r="D1866" t="s">
        <v>3379</v>
      </c>
      <c r="E1866" t="s">
        <v>2680</v>
      </c>
    </row>
    <row r="1867" spans="1:5" ht="15.5" x14ac:dyDescent="0.35">
      <c r="A1867" s="2" t="s">
        <v>1867</v>
      </c>
      <c r="B1867" s="2" t="s">
        <v>4930</v>
      </c>
      <c r="C1867" t="s">
        <v>2397</v>
      </c>
      <c r="D1867" t="s">
        <v>2714</v>
      </c>
      <c r="E1867" t="s">
        <v>2431</v>
      </c>
    </row>
    <row r="1868" spans="1:5" ht="15.5" x14ac:dyDescent="0.35">
      <c r="A1868" s="2" t="s">
        <v>1868</v>
      </c>
      <c r="B1868" s="2" t="s">
        <v>3679</v>
      </c>
      <c r="C1868" t="s">
        <v>2394</v>
      </c>
      <c r="D1868" t="s">
        <v>3010</v>
      </c>
    </row>
    <row r="1869" spans="1:5" ht="15.5" x14ac:dyDescent="0.35">
      <c r="A1869" s="2" t="s">
        <v>1869</v>
      </c>
      <c r="B1869" s="2" t="s">
        <v>3546</v>
      </c>
      <c r="C1869" t="s">
        <v>2397</v>
      </c>
      <c r="D1869" t="s">
        <v>3674</v>
      </c>
      <c r="E1869" t="s">
        <v>2467</v>
      </c>
    </row>
    <row r="1870" spans="1:5" ht="15.5" x14ac:dyDescent="0.35">
      <c r="A1870" s="2" t="s">
        <v>1870</v>
      </c>
      <c r="B1870" s="2" t="s">
        <v>4931</v>
      </c>
      <c r="C1870" t="s">
        <v>2397</v>
      </c>
      <c r="D1870" t="s">
        <v>3070</v>
      </c>
    </row>
    <row r="1871" spans="1:5" ht="15.5" x14ac:dyDescent="0.35">
      <c r="A1871" s="2" t="s">
        <v>1871</v>
      </c>
      <c r="B1871" s="2" t="s">
        <v>2807</v>
      </c>
      <c r="C1871" t="s">
        <v>2397</v>
      </c>
      <c r="D1871" t="s">
        <v>2664</v>
      </c>
    </row>
    <row r="1872" spans="1:5" ht="15.5" x14ac:dyDescent="0.35">
      <c r="A1872" s="2" t="s">
        <v>1872</v>
      </c>
      <c r="B1872" s="2" t="s">
        <v>4932</v>
      </c>
      <c r="C1872" t="s">
        <v>2397</v>
      </c>
      <c r="D1872" t="s">
        <v>4933</v>
      </c>
      <c r="E1872" t="s">
        <v>2625</v>
      </c>
    </row>
    <row r="1873" spans="1:7" ht="15.5" x14ac:dyDescent="0.35">
      <c r="A1873" s="2" t="s">
        <v>1873</v>
      </c>
      <c r="B1873" s="2" t="s">
        <v>4934</v>
      </c>
      <c r="C1873" t="s">
        <v>2397</v>
      </c>
      <c r="D1873" t="s">
        <v>4935</v>
      </c>
      <c r="E1873" t="s">
        <v>2806</v>
      </c>
    </row>
    <row r="1874" spans="1:7" ht="15.5" x14ac:dyDescent="0.35">
      <c r="A1874" s="2" t="s">
        <v>1874</v>
      </c>
      <c r="B1874" s="2" t="s">
        <v>4936</v>
      </c>
      <c r="C1874" t="s">
        <v>2397</v>
      </c>
      <c r="D1874" t="s">
        <v>2872</v>
      </c>
      <c r="E1874" t="s">
        <v>2467</v>
      </c>
    </row>
    <row r="1875" spans="1:7" ht="15.5" x14ac:dyDescent="0.35">
      <c r="A1875" s="2" t="s">
        <v>1875</v>
      </c>
      <c r="B1875" s="2" t="s">
        <v>4937</v>
      </c>
      <c r="C1875" t="s">
        <v>2397</v>
      </c>
      <c r="D1875" t="s">
        <v>4938</v>
      </c>
      <c r="E1875" t="s">
        <v>2467</v>
      </c>
    </row>
    <row r="1876" spans="1:7" ht="15.5" x14ac:dyDescent="0.35">
      <c r="A1876" s="2" t="s">
        <v>1876</v>
      </c>
      <c r="B1876" s="2" t="s">
        <v>4939</v>
      </c>
      <c r="C1876" t="s">
        <v>2397</v>
      </c>
      <c r="D1876" t="s">
        <v>4940</v>
      </c>
    </row>
    <row r="1877" spans="1:7" ht="15.5" x14ac:dyDescent="0.35">
      <c r="A1877" s="2" t="s">
        <v>1877</v>
      </c>
      <c r="B1877" s="2" t="s">
        <v>4064</v>
      </c>
      <c r="C1877" t="s">
        <v>2394</v>
      </c>
      <c r="D1877" t="s">
        <v>2602</v>
      </c>
    </row>
    <row r="1878" spans="1:7" ht="15.5" x14ac:dyDescent="0.35">
      <c r="A1878" s="2" t="s">
        <v>1878</v>
      </c>
      <c r="B1878" s="2" t="s">
        <v>4941</v>
      </c>
      <c r="C1878" t="s">
        <v>2394</v>
      </c>
      <c r="D1878" t="s">
        <v>2840</v>
      </c>
      <c r="E1878" t="s">
        <v>2431</v>
      </c>
    </row>
    <row r="1879" spans="1:7" ht="15.5" x14ac:dyDescent="0.35">
      <c r="A1879" s="2" t="s">
        <v>1879</v>
      </c>
      <c r="B1879" s="2" t="s">
        <v>4942</v>
      </c>
      <c r="C1879" t="s">
        <v>3231</v>
      </c>
      <c r="D1879" t="s">
        <v>3171</v>
      </c>
      <c r="E1879" t="s">
        <v>2485</v>
      </c>
    </row>
    <row r="1880" spans="1:7" ht="15.5" x14ac:dyDescent="0.35">
      <c r="A1880" s="2" t="s">
        <v>1880</v>
      </c>
      <c r="B1880" s="2" t="s">
        <v>4943</v>
      </c>
      <c r="C1880" t="s">
        <v>2394</v>
      </c>
      <c r="D1880" t="s">
        <v>4492</v>
      </c>
    </row>
    <row r="1881" spans="1:7" ht="15.5" x14ac:dyDescent="0.35">
      <c r="A1881" s="2" t="s">
        <v>1881</v>
      </c>
      <c r="B1881" s="2" t="s">
        <v>4944</v>
      </c>
      <c r="C1881" t="s">
        <v>2394</v>
      </c>
      <c r="D1881" t="s">
        <v>4945</v>
      </c>
    </row>
    <row r="1882" spans="1:7" ht="15.5" x14ac:dyDescent="0.35">
      <c r="A1882" s="2" t="s">
        <v>1882</v>
      </c>
      <c r="B1882" s="2" t="s">
        <v>3346</v>
      </c>
      <c r="C1882" t="s">
        <v>2397</v>
      </c>
      <c r="D1882" t="s">
        <v>4253</v>
      </c>
    </row>
    <row r="1883" spans="1:7" ht="15.5" x14ac:dyDescent="0.35">
      <c r="A1883" s="2" t="s">
        <v>1883</v>
      </c>
      <c r="B1883" s="2" t="s">
        <v>4946</v>
      </c>
      <c r="C1883" t="s">
        <v>2394</v>
      </c>
      <c r="D1883" t="s">
        <v>2602</v>
      </c>
    </row>
    <row r="1884" spans="1:7" ht="15.5" x14ac:dyDescent="0.35">
      <c r="A1884" s="2" t="s">
        <v>1884</v>
      </c>
      <c r="B1884" s="2" t="s">
        <v>4947</v>
      </c>
      <c r="C1884" t="s">
        <v>2394</v>
      </c>
      <c r="D1884" t="s">
        <v>4823</v>
      </c>
    </row>
    <row r="1885" spans="1:7" ht="15.5" x14ac:dyDescent="0.35">
      <c r="A1885" s="2" t="s">
        <v>1885</v>
      </c>
      <c r="B1885" s="2" t="s">
        <v>4948</v>
      </c>
      <c r="C1885" t="s">
        <v>2394</v>
      </c>
      <c r="D1885" t="s">
        <v>3369</v>
      </c>
      <c r="E1885" t="s">
        <v>2462</v>
      </c>
    </row>
    <row r="1886" spans="1:7" ht="15.5" x14ac:dyDescent="0.35">
      <c r="A1886" s="2" t="s">
        <v>1886</v>
      </c>
      <c r="B1886" s="2" t="s">
        <v>4949</v>
      </c>
      <c r="C1886" t="s">
        <v>2394</v>
      </c>
      <c r="D1886" t="s">
        <v>4950</v>
      </c>
      <c r="E1886" t="s">
        <v>2448</v>
      </c>
    </row>
    <row r="1887" spans="1:7" ht="15.5" x14ac:dyDescent="0.35">
      <c r="A1887" s="2" t="s">
        <v>1887</v>
      </c>
      <c r="B1887" s="2" t="s">
        <v>4951</v>
      </c>
      <c r="C1887" t="s">
        <v>2394</v>
      </c>
      <c r="D1887" t="s">
        <v>4952</v>
      </c>
    </row>
    <row r="1888" spans="1:7" ht="15.5" x14ac:dyDescent="0.35">
      <c r="A1888" s="2" t="s">
        <v>1888</v>
      </c>
      <c r="B1888" s="2" t="s">
        <v>4953</v>
      </c>
      <c r="C1888" t="s">
        <v>3848</v>
      </c>
      <c r="D1888" t="s">
        <v>2397</v>
      </c>
      <c r="E1888" t="s">
        <v>3907</v>
      </c>
      <c r="F1888" t="s">
        <v>4954</v>
      </c>
      <c r="G1888" t="s">
        <v>2441</v>
      </c>
    </row>
    <row r="1889" spans="1:6" ht="15.5" x14ac:dyDescent="0.35">
      <c r="A1889" s="2" t="s">
        <v>1889</v>
      </c>
      <c r="B1889" s="2" t="s">
        <v>4955</v>
      </c>
      <c r="C1889" t="s">
        <v>2397</v>
      </c>
      <c r="D1889" t="s">
        <v>2859</v>
      </c>
    </row>
    <row r="1890" spans="1:6" ht="15.5" x14ac:dyDescent="0.35">
      <c r="A1890" s="2" t="s">
        <v>1890</v>
      </c>
      <c r="B1890" s="2" t="s">
        <v>3368</v>
      </c>
      <c r="C1890" t="s">
        <v>2397</v>
      </c>
      <c r="D1890" t="s">
        <v>4956</v>
      </c>
    </row>
    <row r="1891" spans="1:6" ht="15.5" x14ac:dyDescent="0.35">
      <c r="A1891" s="2" t="s">
        <v>1891</v>
      </c>
      <c r="B1891" s="2" t="s">
        <v>4957</v>
      </c>
      <c r="C1891" t="s">
        <v>2394</v>
      </c>
      <c r="D1891" t="s">
        <v>2438</v>
      </c>
    </row>
    <row r="1892" spans="1:6" ht="15.5" x14ac:dyDescent="0.35">
      <c r="A1892" s="2" t="s">
        <v>1892</v>
      </c>
      <c r="B1892" s="2" t="s">
        <v>4958</v>
      </c>
      <c r="C1892" t="s">
        <v>2397</v>
      </c>
      <c r="D1892" t="s">
        <v>2443</v>
      </c>
    </row>
    <row r="1893" spans="1:6" ht="15.5" x14ac:dyDescent="0.35">
      <c r="A1893" s="2" t="s">
        <v>1893</v>
      </c>
      <c r="B1893" s="2" t="s">
        <v>4959</v>
      </c>
      <c r="C1893" t="s">
        <v>2397</v>
      </c>
      <c r="D1893" t="s">
        <v>4960</v>
      </c>
    </row>
    <row r="1894" spans="1:6" ht="15.5" x14ac:dyDescent="0.35">
      <c r="A1894" s="2" t="s">
        <v>1894</v>
      </c>
      <c r="B1894" s="2" t="s">
        <v>4961</v>
      </c>
      <c r="C1894" t="s">
        <v>2394</v>
      </c>
      <c r="D1894" t="s">
        <v>3287</v>
      </c>
      <c r="E1894" t="s">
        <v>2431</v>
      </c>
    </row>
    <row r="1895" spans="1:6" ht="15.5" x14ac:dyDescent="0.35">
      <c r="A1895" s="2" t="s">
        <v>1895</v>
      </c>
      <c r="B1895" s="2" t="s">
        <v>4962</v>
      </c>
      <c r="C1895" t="s">
        <v>2397</v>
      </c>
      <c r="D1895" t="s">
        <v>2646</v>
      </c>
    </row>
    <row r="1896" spans="1:6" ht="15.5" x14ac:dyDescent="0.35">
      <c r="A1896" s="2" t="s">
        <v>1896</v>
      </c>
      <c r="B1896" s="2" t="s">
        <v>4963</v>
      </c>
      <c r="C1896" t="s">
        <v>2394</v>
      </c>
      <c r="D1896" t="s">
        <v>2504</v>
      </c>
      <c r="E1896" t="s">
        <v>2472</v>
      </c>
    </row>
    <row r="1897" spans="1:6" ht="15.5" x14ac:dyDescent="0.35">
      <c r="A1897" s="2" t="s">
        <v>1897</v>
      </c>
      <c r="B1897" s="2" t="s">
        <v>2860</v>
      </c>
      <c r="C1897" t="s">
        <v>2397</v>
      </c>
      <c r="D1897" t="s">
        <v>2863</v>
      </c>
      <c r="E1897" t="s">
        <v>2540</v>
      </c>
      <c r="F1897" t="s">
        <v>3564</v>
      </c>
    </row>
    <row r="1898" spans="1:6" ht="15.5" x14ac:dyDescent="0.35">
      <c r="A1898" s="2" t="s">
        <v>1898</v>
      </c>
      <c r="B1898" s="2" t="s">
        <v>4964</v>
      </c>
      <c r="C1898" t="s">
        <v>2397</v>
      </c>
      <c r="D1898" t="s">
        <v>2398</v>
      </c>
    </row>
    <row r="1899" spans="1:6" ht="15.5" x14ac:dyDescent="0.35">
      <c r="A1899" s="2" t="s">
        <v>1899</v>
      </c>
      <c r="B1899" s="2" t="s">
        <v>2551</v>
      </c>
      <c r="C1899" t="s">
        <v>2397</v>
      </c>
      <c r="D1899" t="s">
        <v>3971</v>
      </c>
      <c r="E1899" t="s">
        <v>2540</v>
      </c>
    </row>
    <row r="1900" spans="1:6" ht="15.5" x14ac:dyDescent="0.35">
      <c r="A1900" s="2" t="s">
        <v>1900</v>
      </c>
      <c r="B1900" s="2" t="s">
        <v>2609</v>
      </c>
      <c r="C1900" t="s">
        <v>2397</v>
      </c>
      <c r="D1900" t="s">
        <v>2790</v>
      </c>
    </row>
    <row r="1901" spans="1:6" ht="15.5" x14ac:dyDescent="0.35">
      <c r="A1901" s="2" t="s">
        <v>1901</v>
      </c>
      <c r="B1901" s="2" t="s">
        <v>4965</v>
      </c>
      <c r="C1901" t="s">
        <v>2394</v>
      </c>
      <c r="D1901" t="s">
        <v>2604</v>
      </c>
    </row>
    <row r="1902" spans="1:6" ht="15.5" x14ac:dyDescent="0.35">
      <c r="A1902" s="2" t="s">
        <v>1902</v>
      </c>
      <c r="B1902" s="2" t="s">
        <v>4838</v>
      </c>
      <c r="C1902" t="s">
        <v>2394</v>
      </c>
      <c r="D1902" t="s">
        <v>4966</v>
      </c>
    </row>
    <row r="1903" spans="1:6" ht="15.5" x14ac:dyDescent="0.35">
      <c r="A1903" s="2" t="s">
        <v>1903</v>
      </c>
      <c r="B1903" s="2" t="s">
        <v>4967</v>
      </c>
      <c r="C1903" t="s">
        <v>2394</v>
      </c>
      <c r="D1903" t="s">
        <v>2670</v>
      </c>
    </row>
    <row r="1904" spans="1:6" ht="15.5" x14ac:dyDescent="0.35">
      <c r="A1904" s="2" t="s">
        <v>1904</v>
      </c>
      <c r="B1904" s="2" t="s">
        <v>4968</v>
      </c>
      <c r="C1904" t="s">
        <v>2394</v>
      </c>
      <c r="D1904" t="s">
        <v>2657</v>
      </c>
    </row>
    <row r="1905" spans="1:5" ht="15.5" x14ac:dyDescent="0.35">
      <c r="A1905" s="2" t="s">
        <v>1905</v>
      </c>
      <c r="B1905" s="2" t="s">
        <v>4969</v>
      </c>
      <c r="C1905" t="s">
        <v>2394</v>
      </c>
      <c r="D1905" t="s">
        <v>3227</v>
      </c>
      <c r="E1905" t="s">
        <v>2622</v>
      </c>
    </row>
    <row r="1906" spans="1:5" ht="15.5" x14ac:dyDescent="0.35">
      <c r="A1906" s="2" t="s">
        <v>1906</v>
      </c>
      <c r="B1906" s="2" t="s">
        <v>4970</v>
      </c>
      <c r="C1906" t="s">
        <v>2394</v>
      </c>
      <c r="D1906" t="s">
        <v>3519</v>
      </c>
      <c r="E1906" t="s">
        <v>2590</v>
      </c>
    </row>
    <row r="1907" spans="1:5" ht="15.5" x14ac:dyDescent="0.35">
      <c r="A1907" s="2" t="s">
        <v>1907</v>
      </c>
      <c r="B1907" s="2" t="s">
        <v>4971</v>
      </c>
      <c r="C1907" t="s">
        <v>2397</v>
      </c>
      <c r="D1907" t="s">
        <v>2424</v>
      </c>
      <c r="E1907" t="s">
        <v>2431</v>
      </c>
    </row>
    <row r="1908" spans="1:5" ht="15.5" x14ac:dyDescent="0.35">
      <c r="A1908" s="2" t="s">
        <v>1908</v>
      </c>
      <c r="B1908" s="2" t="s">
        <v>2938</v>
      </c>
      <c r="C1908" t="s">
        <v>2394</v>
      </c>
      <c r="D1908" t="s">
        <v>2957</v>
      </c>
      <c r="E1908" t="s">
        <v>2519</v>
      </c>
    </row>
    <row r="1909" spans="1:5" ht="15.5" x14ac:dyDescent="0.35">
      <c r="A1909" s="2" t="s">
        <v>1909</v>
      </c>
      <c r="B1909" s="2" t="s">
        <v>4972</v>
      </c>
      <c r="C1909" t="s">
        <v>2394</v>
      </c>
      <c r="D1909" t="s">
        <v>4973</v>
      </c>
    </row>
    <row r="1910" spans="1:5" ht="15.5" x14ac:dyDescent="0.35">
      <c r="A1910" s="2" t="s">
        <v>1910</v>
      </c>
      <c r="B1910" s="2" t="s">
        <v>4974</v>
      </c>
      <c r="C1910" t="s">
        <v>2397</v>
      </c>
      <c r="D1910" t="s">
        <v>2935</v>
      </c>
    </row>
    <row r="1911" spans="1:5" ht="15.5" x14ac:dyDescent="0.35">
      <c r="A1911" s="2" t="s">
        <v>1911</v>
      </c>
      <c r="B1911" s="2" t="s">
        <v>3179</v>
      </c>
      <c r="C1911" t="s">
        <v>2397</v>
      </c>
      <c r="D1911" t="s">
        <v>4975</v>
      </c>
    </row>
    <row r="1912" spans="1:5" ht="15.5" x14ac:dyDescent="0.35">
      <c r="A1912" s="2" t="s">
        <v>1912</v>
      </c>
      <c r="B1912" s="2" t="s">
        <v>4976</v>
      </c>
      <c r="C1912" t="s">
        <v>2394</v>
      </c>
      <c r="D1912" t="s">
        <v>4977</v>
      </c>
    </row>
    <row r="1913" spans="1:5" ht="15.5" x14ac:dyDescent="0.35">
      <c r="A1913" s="2" t="s">
        <v>1913</v>
      </c>
      <c r="B1913" s="2" t="s">
        <v>3086</v>
      </c>
      <c r="C1913" t="s">
        <v>2397</v>
      </c>
      <c r="D1913" t="s">
        <v>4978</v>
      </c>
      <c r="E1913" t="s">
        <v>2436</v>
      </c>
    </row>
    <row r="1914" spans="1:5" ht="15.5" x14ac:dyDescent="0.35">
      <c r="A1914" s="2" t="s">
        <v>1914</v>
      </c>
      <c r="B1914" s="2" t="s">
        <v>4979</v>
      </c>
      <c r="C1914" t="s">
        <v>2397</v>
      </c>
      <c r="D1914" t="s">
        <v>3943</v>
      </c>
    </row>
    <row r="1915" spans="1:5" ht="15.5" x14ac:dyDescent="0.35">
      <c r="A1915" s="2" t="s">
        <v>1915</v>
      </c>
      <c r="B1915" s="2" t="s">
        <v>3378</v>
      </c>
      <c r="C1915" t="s">
        <v>2397</v>
      </c>
      <c r="D1915" t="s">
        <v>2711</v>
      </c>
      <c r="E1915" t="s">
        <v>2431</v>
      </c>
    </row>
    <row r="1916" spans="1:5" ht="15.5" x14ac:dyDescent="0.35">
      <c r="A1916" s="2" t="s">
        <v>1916</v>
      </c>
      <c r="B1916" s="2" t="s">
        <v>4980</v>
      </c>
      <c r="C1916" t="s">
        <v>2394</v>
      </c>
      <c r="D1916" t="s">
        <v>3965</v>
      </c>
      <c r="E1916" t="s">
        <v>2431</v>
      </c>
    </row>
    <row r="1917" spans="1:5" ht="15.5" x14ac:dyDescent="0.35">
      <c r="A1917" s="2" t="s">
        <v>1917</v>
      </c>
      <c r="B1917" s="2" t="s">
        <v>4981</v>
      </c>
      <c r="C1917" t="s">
        <v>2397</v>
      </c>
      <c r="D1917" t="s">
        <v>2552</v>
      </c>
      <c r="E1917" t="s">
        <v>2806</v>
      </c>
    </row>
    <row r="1918" spans="1:5" ht="15.5" x14ac:dyDescent="0.35">
      <c r="A1918" s="2" t="s">
        <v>1918</v>
      </c>
      <c r="B1918" s="2" t="s">
        <v>4982</v>
      </c>
      <c r="C1918" t="s">
        <v>2397</v>
      </c>
      <c r="D1918" t="s">
        <v>2701</v>
      </c>
    </row>
    <row r="1919" spans="1:5" ht="15.5" x14ac:dyDescent="0.35">
      <c r="A1919" s="2" t="s">
        <v>1919</v>
      </c>
      <c r="B1919" s="2" t="s">
        <v>4983</v>
      </c>
      <c r="C1919" t="s">
        <v>2397</v>
      </c>
      <c r="D1919" t="s">
        <v>4332</v>
      </c>
    </row>
    <row r="1920" spans="1:5" ht="15.5" x14ac:dyDescent="0.35">
      <c r="A1920" s="2" t="s">
        <v>1920</v>
      </c>
      <c r="B1920" s="2" t="s">
        <v>4984</v>
      </c>
      <c r="C1920" t="s">
        <v>2397</v>
      </c>
      <c r="D1920" t="s">
        <v>4985</v>
      </c>
    </row>
    <row r="1921" spans="1:5" ht="15.5" x14ac:dyDescent="0.35">
      <c r="A1921" s="2" t="s">
        <v>1921</v>
      </c>
      <c r="B1921" s="2" t="s">
        <v>4986</v>
      </c>
      <c r="C1921" t="s">
        <v>2397</v>
      </c>
      <c r="D1921" t="s">
        <v>2638</v>
      </c>
    </row>
    <row r="1922" spans="1:5" ht="15.5" x14ac:dyDescent="0.35">
      <c r="A1922" s="2" t="s">
        <v>1922</v>
      </c>
      <c r="B1922" s="2" t="s">
        <v>4987</v>
      </c>
      <c r="C1922" t="s">
        <v>3231</v>
      </c>
      <c r="D1922" t="s">
        <v>4988</v>
      </c>
    </row>
    <row r="1923" spans="1:5" ht="15.5" x14ac:dyDescent="0.35">
      <c r="A1923" s="2" t="s">
        <v>1923</v>
      </c>
      <c r="B1923" s="2" t="s">
        <v>4989</v>
      </c>
      <c r="C1923" t="s">
        <v>2397</v>
      </c>
      <c r="D1923" t="s">
        <v>2701</v>
      </c>
    </row>
    <row r="1924" spans="1:5" ht="15.5" x14ac:dyDescent="0.35">
      <c r="A1924" s="2" t="s">
        <v>1924</v>
      </c>
      <c r="B1924" s="2" t="s">
        <v>4990</v>
      </c>
      <c r="C1924" t="s">
        <v>2397</v>
      </c>
      <c r="D1924" t="s">
        <v>2636</v>
      </c>
    </row>
    <row r="1925" spans="1:5" ht="15.5" x14ac:dyDescent="0.35">
      <c r="A1925" s="2" t="s">
        <v>1925</v>
      </c>
      <c r="B1925" s="2" t="s">
        <v>4991</v>
      </c>
      <c r="C1925" t="s">
        <v>2397</v>
      </c>
      <c r="D1925" t="s">
        <v>2735</v>
      </c>
    </row>
    <row r="1926" spans="1:5" ht="15.5" x14ac:dyDescent="0.35">
      <c r="A1926" s="2" t="s">
        <v>1926</v>
      </c>
      <c r="B1926" s="2" t="s">
        <v>4992</v>
      </c>
      <c r="C1926" t="s">
        <v>2397</v>
      </c>
      <c r="D1926" t="s">
        <v>2686</v>
      </c>
    </row>
    <row r="1927" spans="1:5" ht="15.5" x14ac:dyDescent="0.35">
      <c r="A1927" s="2" t="s">
        <v>1927</v>
      </c>
      <c r="B1927" s="2" t="s">
        <v>3734</v>
      </c>
      <c r="C1927" t="s">
        <v>2394</v>
      </c>
      <c r="D1927" t="s">
        <v>4993</v>
      </c>
    </row>
    <row r="1928" spans="1:5" ht="15.5" x14ac:dyDescent="0.35">
      <c r="A1928" s="2" t="s">
        <v>1928</v>
      </c>
      <c r="B1928" s="2" t="s">
        <v>4994</v>
      </c>
      <c r="C1928" t="s">
        <v>2394</v>
      </c>
      <c r="D1928" t="s">
        <v>4995</v>
      </c>
    </row>
    <row r="1929" spans="1:5" ht="15.5" x14ac:dyDescent="0.35">
      <c r="A1929" s="2" t="s">
        <v>1929</v>
      </c>
      <c r="B1929" s="2" t="s">
        <v>4996</v>
      </c>
      <c r="C1929" t="s">
        <v>2397</v>
      </c>
      <c r="D1929" t="s">
        <v>2544</v>
      </c>
    </row>
    <row r="1930" spans="1:5" ht="15.5" x14ac:dyDescent="0.35">
      <c r="A1930" s="2" t="s">
        <v>1930</v>
      </c>
      <c r="B1930" s="2" t="s">
        <v>4028</v>
      </c>
      <c r="C1930" t="s">
        <v>2394</v>
      </c>
      <c r="D1930" t="s">
        <v>4997</v>
      </c>
    </row>
    <row r="1931" spans="1:5" ht="15.5" x14ac:dyDescent="0.35">
      <c r="A1931" s="2" t="s">
        <v>1931</v>
      </c>
      <c r="B1931" s="2" t="s">
        <v>3239</v>
      </c>
      <c r="C1931" t="s">
        <v>2394</v>
      </c>
      <c r="D1931" t="s">
        <v>3654</v>
      </c>
    </row>
    <row r="1932" spans="1:5" ht="15.5" x14ac:dyDescent="0.35">
      <c r="A1932" s="2" t="s">
        <v>1932</v>
      </c>
      <c r="B1932" s="2" t="s">
        <v>4998</v>
      </c>
      <c r="C1932" t="s">
        <v>2394</v>
      </c>
      <c r="D1932" t="s">
        <v>4999</v>
      </c>
      <c r="E1932" t="s">
        <v>2590</v>
      </c>
    </row>
    <row r="1933" spans="1:5" ht="15.5" x14ac:dyDescent="0.35">
      <c r="A1933" s="2" t="s">
        <v>1933</v>
      </c>
      <c r="B1933" s="2" t="s">
        <v>5000</v>
      </c>
      <c r="C1933" t="s">
        <v>2394</v>
      </c>
      <c r="D1933" t="s">
        <v>5001</v>
      </c>
    </row>
    <row r="1934" spans="1:5" ht="15.5" x14ac:dyDescent="0.35">
      <c r="A1934" s="2" t="s">
        <v>1934</v>
      </c>
      <c r="B1934" s="2" t="s">
        <v>5002</v>
      </c>
      <c r="C1934" t="s">
        <v>2397</v>
      </c>
      <c r="D1934" t="s">
        <v>2577</v>
      </c>
    </row>
    <row r="1935" spans="1:5" ht="15.5" x14ac:dyDescent="0.35">
      <c r="A1935" s="2" t="s">
        <v>1935</v>
      </c>
      <c r="B1935" s="2" t="s">
        <v>5003</v>
      </c>
      <c r="C1935" t="s">
        <v>2394</v>
      </c>
      <c r="D1935" t="s">
        <v>2604</v>
      </c>
    </row>
    <row r="1936" spans="1:5" ht="15.5" x14ac:dyDescent="0.35">
      <c r="A1936" s="2" t="s">
        <v>1936</v>
      </c>
      <c r="B1936" s="2" t="s">
        <v>5004</v>
      </c>
      <c r="C1936" t="s">
        <v>2394</v>
      </c>
      <c r="D1936" t="s">
        <v>2627</v>
      </c>
      <c r="E1936" t="s">
        <v>2700</v>
      </c>
    </row>
    <row r="1937" spans="1:5" ht="15.5" x14ac:dyDescent="0.35">
      <c r="A1937" s="2" t="s">
        <v>1937</v>
      </c>
      <c r="B1937" s="2" t="s">
        <v>5005</v>
      </c>
      <c r="C1937" t="s">
        <v>2397</v>
      </c>
      <c r="D1937" t="s">
        <v>5006</v>
      </c>
      <c r="E1937" t="s">
        <v>2462</v>
      </c>
    </row>
    <row r="1938" spans="1:5" ht="15.5" x14ac:dyDescent="0.35">
      <c r="A1938" s="2" t="s">
        <v>1938</v>
      </c>
      <c r="B1938" s="2" t="s">
        <v>5007</v>
      </c>
      <c r="C1938" t="s">
        <v>3231</v>
      </c>
      <c r="D1938" t="s">
        <v>3858</v>
      </c>
      <c r="E1938" t="s">
        <v>2622</v>
      </c>
    </row>
    <row r="1939" spans="1:5" ht="15.5" x14ac:dyDescent="0.35">
      <c r="A1939" s="2" t="s">
        <v>1939</v>
      </c>
      <c r="B1939" s="2" t="s">
        <v>4756</v>
      </c>
      <c r="C1939" t="s">
        <v>2397</v>
      </c>
      <c r="D1939" t="s">
        <v>2424</v>
      </c>
    </row>
    <row r="1940" spans="1:5" ht="15.5" x14ac:dyDescent="0.35">
      <c r="A1940" s="2" t="s">
        <v>1940</v>
      </c>
      <c r="B1940" s="2" t="s">
        <v>5008</v>
      </c>
      <c r="C1940" t="s">
        <v>2397</v>
      </c>
      <c r="D1940" t="s">
        <v>5009</v>
      </c>
    </row>
    <row r="1941" spans="1:5" ht="15.5" x14ac:dyDescent="0.35">
      <c r="A1941" s="2" t="s">
        <v>1941</v>
      </c>
      <c r="B1941" s="2" t="s">
        <v>5010</v>
      </c>
      <c r="C1941" t="s">
        <v>2397</v>
      </c>
      <c r="D1941" t="s">
        <v>2701</v>
      </c>
      <c r="E1941" t="s">
        <v>2622</v>
      </c>
    </row>
    <row r="1942" spans="1:5" ht="15.5" x14ac:dyDescent="0.35">
      <c r="A1942" s="2" t="s">
        <v>1942</v>
      </c>
      <c r="B1942" s="2" t="s">
        <v>3685</v>
      </c>
      <c r="C1942" t="s">
        <v>2397</v>
      </c>
      <c r="D1942" t="s">
        <v>2407</v>
      </c>
      <c r="E1942" t="s">
        <v>2482</v>
      </c>
    </row>
    <row r="1943" spans="1:5" ht="15.5" x14ac:dyDescent="0.35">
      <c r="A1943" s="2" t="s">
        <v>1943</v>
      </c>
      <c r="B1943" s="2" t="s">
        <v>5011</v>
      </c>
      <c r="C1943" t="s">
        <v>2397</v>
      </c>
      <c r="D1943" t="s">
        <v>2953</v>
      </c>
    </row>
    <row r="1944" spans="1:5" ht="15.5" x14ac:dyDescent="0.35">
      <c r="A1944" s="2" t="s">
        <v>1944</v>
      </c>
      <c r="B1944" s="2" t="s">
        <v>5012</v>
      </c>
      <c r="C1944" t="s">
        <v>2397</v>
      </c>
      <c r="D1944" t="s">
        <v>2701</v>
      </c>
    </row>
    <row r="1945" spans="1:5" ht="15.5" x14ac:dyDescent="0.35">
      <c r="A1945" s="2" t="s">
        <v>1945</v>
      </c>
      <c r="B1945" s="2" t="s">
        <v>3576</v>
      </c>
      <c r="C1945" t="s">
        <v>2397</v>
      </c>
      <c r="D1945" t="s">
        <v>3783</v>
      </c>
    </row>
    <row r="1946" spans="1:5" ht="15.5" x14ac:dyDescent="0.35">
      <c r="A1946" s="2" t="s">
        <v>1946</v>
      </c>
      <c r="B1946" s="2" t="s">
        <v>5013</v>
      </c>
      <c r="C1946" t="s">
        <v>2394</v>
      </c>
      <c r="D1946" t="s">
        <v>2627</v>
      </c>
    </row>
    <row r="1947" spans="1:5" ht="15.5" x14ac:dyDescent="0.35">
      <c r="A1947" s="2" t="s">
        <v>1947</v>
      </c>
      <c r="B1947" s="2" t="s">
        <v>5014</v>
      </c>
      <c r="C1947" t="s">
        <v>2397</v>
      </c>
      <c r="D1947" t="s">
        <v>4940</v>
      </c>
    </row>
    <row r="1948" spans="1:5" ht="15.5" x14ac:dyDescent="0.35">
      <c r="A1948" s="2" t="s">
        <v>1948</v>
      </c>
      <c r="B1948" s="2" t="s">
        <v>5015</v>
      </c>
      <c r="C1948" t="s">
        <v>2397</v>
      </c>
      <c r="D1948" t="s">
        <v>5016</v>
      </c>
      <c r="E1948" t="s">
        <v>2625</v>
      </c>
    </row>
    <row r="1949" spans="1:5" ht="15.5" x14ac:dyDescent="0.35">
      <c r="A1949" s="2" t="s">
        <v>1949</v>
      </c>
      <c r="B1949" s="2" t="s">
        <v>5017</v>
      </c>
      <c r="C1949" t="s">
        <v>2397</v>
      </c>
      <c r="D1949" t="s">
        <v>2412</v>
      </c>
      <c r="E1949" t="s">
        <v>2986</v>
      </c>
    </row>
    <row r="1950" spans="1:5" ht="15.5" x14ac:dyDescent="0.35">
      <c r="A1950" s="2" t="s">
        <v>1950</v>
      </c>
      <c r="B1950" s="2" t="s">
        <v>5018</v>
      </c>
      <c r="C1950" t="s">
        <v>2394</v>
      </c>
      <c r="D1950" t="s">
        <v>5019</v>
      </c>
    </row>
    <row r="1951" spans="1:5" ht="15.5" x14ac:dyDescent="0.35">
      <c r="A1951" s="2" t="s">
        <v>1951</v>
      </c>
      <c r="B1951" s="2" t="s">
        <v>3389</v>
      </c>
      <c r="C1951" t="s">
        <v>2397</v>
      </c>
      <c r="D1951" t="s">
        <v>2686</v>
      </c>
    </row>
    <row r="1952" spans="1:5" ht="15.5" x14ac:dyDescent="0.35">
      <c r="A1952" s="2" t="s">
        <v>1952</v>
      </c>
      <c r="B1952" s="2" t="s">
        <v>5020</v>
      </c>
      <c r="C1952" t="s">
        <v>2394</v>
      </c>
      <c r="D1952" t="s">
        <v>3181</v>
      </c>
      <c r="E1952" t="s">
        <v>2482</v>
      </c>
    </row>
    <row r="1953" spans="1:6" ht="15.5" x14ac:dyDescent="0.35">
      <c r="A1953" s="2" t="s">
        <v>1953</v>
      </c>
      <c r="B1953" s="2" t="s">
        <v>5021</v>
      </c>
      <c r="C1953" t="s">
        <v>3555</v>
      </c>
      <c r="D1953" t="s">
        <v>2397</v>
      </c>
      <c r="E1953" t="s">
        <v>5022</v>
      </c>
      <c r="F1953" t="s">
        <v>5023</v>
      </c>
    </row>
    <row r="1954" spans="1:6" ht="15.5" x14ac:dyDescent="0.35">
      <c r="A1954" s="2" t="s">
        <v>1954</v>
      </c>
      <c r="B1954" s="2" t="s">
        <v>5024</v>
      </c>
      <c r="C1954" t="s">
        <v>2397</v>
      </c>
      <c r="D1954" t="s">
        <v>5025</v>
      </c>
    </row>
    <row r="1955" spans="1:6" ht="15.5" x14ac:dyDescent="0.35">
      <c r="A1955" s="2" t="s">
        <v>1955</v>
      </c>
      <c r="B1955" s="2" t="s">
        <v>5026</v>
      </c>
      <c r="C1955" t="s">
        <v>2394</v>
      </c>
      <c r="D1955" t="s">
        <v>3264</v>
      </c>
    </row>
    <row r="1956" spans="1:6" ht="15.5" x14ac:dyDescent="0.35">
      <c r="A1956" s="2" t="s">
        <v>1956</v>
      </c>
      <c r="B1956" s="2" t="s">
        <v>5027</v>
      </c>
      <c r="C1956" t="s">
        <v>2394</v>
      </c>
      <c r="D1956" t="s">
        <v>3797</v>
      </c>
      <c r="E1956" t="s">
        <v>2540</v>
      </c>
    </row>
    <row r="1957" spans="1:6" ht="15.5" x14ac:dyDescent="0.35">
      <c r="A1957" s="2" t="s">
        <v>1957</v>
      </c>
      <c r="B1957" s="2" t="s">
        <v>5028</v>
      </c>
      <c r="C1957" t="s">
        <v>2394</v>
      </c>
      <c r="D1957" t="s">
        <v>5029</v>
      </c>
    </row>
    <row r="1958" spans="1:6" ht="15.5" x14ac:dyDescent="0.35">
      <c r="A1958" s="2" t="s">
        <v>1958</v>
      </c>
      <c r="B1958" s="2" t="s">
        <v>5030</v>
      </c>
      <c r="C1958" t="s">
        <v>2397</v>
      </c>
      <c r="D1958" t="s">
        <v>5031</v>
      </c>
    </row>
    <row r="1959" spans="1:6" ht="15.5" x14ac:dyDescent="0.35">
      <c r="A1959" s="2" t="s">
        <v>1959</v>
      </c>
      <c r="B1959" s="2" t="s">
        <v>3011</v>
      </c>
      <c r="C1959" t="s">
        <v>2394</v>
      </c>
      <c r="D1959" t="s">
        <v>3181</v>
      </c>
    </row>
    <row r="1960" spans="1:6" ht="15.5" x14ac:dyDescent="0.35">
      <c r="A1960" s="2" t="s">
        <v>1960</v>
      </c>
      <c r="B1960" s="2" t="s">
        <v>5032</v>
      </c>
      <c r="C1960" t="s">
        <v>2394</v>
      </c>
      <c r="D1960" t="s">
        <v>2474</v>
      </c>
    </row>
    <row r="1961" spans="1:6" ht="15.5" x14ac:dyDescent="0.35">
      <c r="A1961" s="2" t="s">
        <v>1961</v>
      </c>
      <c r="B1961" s="2" t="s">
        <v>3239</v>
      </c>
      <c r="C1961" t="s">
        <v>2394</v>
      </c>
      <c r="D1961" t="s">
        <v>2657</v>
      </c>
    </row>
    <row r="1962" spans="1:6" ht="15.5" x14ac:dyDescent="0.35">
      <c r="A1962" s="2" t="s">
        <v>1962</v>
      </c>
      <c r="B1962" s="2" t="s">
        <v>5033</v>
      </c>
      <c r="C1962" t="s">
        <v>2394</v>
      </c>
      <c r="D1962" t="s">
        <v>5034</v>
      </c>
    </row>
    <row r="1963" spans="1:6" ht="15.5" x14ac:dyDescent="0.35">
      <c r="A1963" s="2" t="s">
        <v>1963</v>
      </c>
      <c r="B1963" s="2" t="s">
        <v>4838</v>
      </c>
      <c r="C1963" t="s">
        <v>2397</v>
      </c>
      <c r="D1963" t="s">
        <v>2398</v>
      </c>
      <c r="E1963" t="s">
        <v>2399</v>
      </c>
    </row>
    <row r="1964" spans="1:6" ht="15.5" x14ac:dyDescent="0.35">
      <c r="A1964" s="2" t="s">
        <v>1964</v>
      </c>
      <c r="B1964" s="2" t="s">
        <v>5035</v>
      </c>
      <c r="C1964" t="s">
        <v>2397</v>
      </c>
      <c r="D1964" t="s">
        <v>2859</v>
      </c>
      <c r="E1964" t="s">
        <v>2723</v>
      </c>
      <c r="F1964" t="s">
        <v>2579</v>
      </c>
    </row>
    <row r="1965" spans="1:6" ht="15.5" x14ac:dyDescent="0.35">
      <c r="A1965" s="2" t="s">
        <v>1965</v>
      </c>
      <c r="B1965" s="2" t="s">
        <v>2960</v>
      </c>
      <c r="C1965" t="s">
        <v>2397</v>
      </c>
      <c r="D1965" t="s">
        <v>5036</v>
      </c>
    </row>
    <row r="1966" spans="1:6" ht="15.5" x14ac:dyDescent="0.35">
      <c r="A1966" s="2" t="s">
        <v>1966</v>
      </c>
      <c r="B1966" s="2" t="s">
        <v>5037</v>
      </c>
      <c r="C1966" t="s">
        <v>2394</v>
      </c>
      <c r="D1966" t="s">
        <v>5038</v>
      </c>
      <c r="E1966" t="s">
        <v>2622</v>
      </c>
    </row>
    <row r="1967" spans="1:6" ht="15.5" x14ac:dyDescent="0.35">
      <c r="A1967" s="2" t="s">
        <v>1967</v>
      </c>
      <c r="B1967" s="2" t="s">
        <v>2514</v>
      </c>
      <c r="C1967" t="s">
        <v>2397</v>
      </c>
      <c r="D1967" t="s">
        <v>2503</v>
      </c>
      <c r="E1967" t="s">
        <v>2886</v>
      </c>
    </row>
    <row r="1968" spans="1:6" ht="15.5" x14ac:dyDescent="0.35">
      <c r="A1968" s="2" t="s">
        <v>1968</v>
      </c>
      <c r="B1968" s="2" t="s">
        <v>5039</v>
      </c>
      <c r="C1968" t="s">
        <v>2397</v>
      </c>
      <c r="D1968" t="s">
        <v>2950</v>
      </c>
      <c r="E1968" t="s">
        <v>2671</v>
      </c>
    </row>
    <row r="1969" spans="1:5" ht="15.5" x14ac:dyDescent="0.35">
      <c r="A1969" s="2" t="s">
        <v>1969</v>
      </c>
      <c r="B1969" s="2" t="s">
        <v>4367</v>
      </c>
      <c r="C1969" t="s">
        <v>2397</v>
      </c>
      <c r="D1969" t="s">
        <v>3521</v>
      </c>
      <c r="E1969" t="s">
        <v>2467</v>
      </c>
    </row>
    <row r="1970" spans="1:5" ht="15.5" x14ac:dyDescent="0.35">
      <c r="A1970" s="2" t="s">
        <v>1970</v>
      </c>
      <c r="B1970" s="2" t="s">
        <v>4060</v>
      </c>
      <c r="C1970" t="s">
        <v>2397</v>
      </c>
      <c r="D1970" t="s">
        <v>3137</v>
      </c>
      <c r="E1970" t="s">
        <v>2501</v>
      </c>
    </row>
    <row r="1971" spans="1:5" ht="15.5" x14ac:dyDescent="0.35">
      <c r="A1971" s="2" t="s">
        <v>1971</v>
      </c>
      <c r="B1971" s="2" t="s">
        <v>5040</v>
      </c>
      <c r="C1971" t="s">
        <v>3231</v>
      </c>
      <c r="D1971" t="s">
        <v>5041</v>
      </c>
    </row>
    <row r="1972" spans="1:5" ht="15.5" x14ac:dyDescent="0.35">
      <c r="A1972" s="2" t="s">
        <v>1972</v>
      </c>
      <c r="B1972" s="2" t="s">
        <v>5042</v>
      </c>
      <c r="C1972" t="s">
        <v>2394</v>
      </c>
      <c r="D1972" t="s">
        <v>5043</v>
      </c>
    </row>
    <row r="1973" spans="1:5" ht="15.5" x14ac:dyDescent="0.35">
      <c r="A1973" s="2" t="s">
        <v>1973</v>
      </c>
      <c r="B1973" s="2" t="s">
        <v>5044</v>
      </c>
      <c r="C1973" t="s">
        <v>2397</v>
      </c>
      <c r="D1973" t="s">
        <v>2569</v>
      </c>
    </row>
    <row r="1974" spans="1:5" ht="15.5" x14ac:dyDescent="0.35">
      <c r="A1974" s="2" t="s">
        <v>1974</v>
      </c>
      <c r="B1974" s="2" t="s">
        <v>5045</v>
      </c>
      <c r="C1974" t="s">
        <v>2397</v>
      </c>
      <c r="D1974" t="s">
        <v>5046</v>
      </c>
    </row>
    <row r="1975" spans="1:5" ht="15.5" x14ac:dyDescent="0.35">
      <c r="A1975" s="2" t="s">
        <v>1975</v>
      </c>
      <c r="B1975" s="2" t="s">
        <v>5047</v>
      </c>
      <c r="C1975" t="s">
        <v>2394</v>
      </c>
      <c r="D1975" t="s">
        <v>4443</v>
      </c>
      <c r="E1975" t="s">
        <v>2516</v>
      </c>
    </row>
    <row r="1976" spans="1:5" ht="15.5" x14ac:dyDescent="0.35">
      <c r="A1976" s="2" t="s">
        <v>1976</v>
      </c>
      <c r="B1976" s="2" t="s">
        <v>5048</v>
      </c>
      <c r="C1976" t="s">
        <v>2394</v>
      </c>
      <c r="D1976" t="s">
        <v>3205</v>
      </c>
      <c r="E1976" t="s">
        <v>2408</v>
      </c>
    </row>
    <row r="1977" spans="1:5" ht="15.5" x14ac:dyDescent="0.35">
      <c r="A1977" s="2" t="s">
        <v>1977</v>
      </c>
      <c r="B1977" s="2" t="s">
        <v>5049</v>
      </c>
      <c r="C1977" t="s">
        <v>2394</v>
      </c>
      <c r="D1977" t="s">
        <v>3937</v>
      </c>
    </row>
    <row r="1978" spans="1:5" ht="15.5" x14ac:dyDescent="0.35">
      <c r="A1978" s="2" t="s">
        <v>1978</v>
      </c>
      <c r="B1978" s="2" t="s">
        <v>5050</v>
      </c>
      <c r="C1978" t="s">
        <v>2394</v>
      </c>
      <c r="D1978" t="s">
        <v>2525</v>
      </c>
    </row>
    <row r="1979" spans="1:5" ht="15.5" x14ac:dyDescent="0.35">
      <c r="A1979" s="2" t="s">
        <v>1979</v>
      </c>
      <c r="B1979" s="2" t="s">
        <v>2822</v>
      </c>
      <c r="C1979" t="s">
        <v>2394</v>
      </c>
      <c r="D1979" t="s">
        <v>3304</v>
      </c>
      <c r="E1979" t="s">
        <v>2799</v>
      </c>
    </row>
    <row r="1980" spans="1:5" ht="15.5" x14ac:dyDescent="0.35">
      <c r="A1980" s="2" t="s">
        <v>1980</v>
      </c>
      <c r="B1980" s="2" t="s">
        <v>5051</v>
      </c>
      <c r="C1980" t="s">
        <v>2394</v>
      </c>
      <c r="D1980" t="s">
        <v>3469</v>
      </c>
      <c r="E1980" t="s">
        <v>2431</v>
      </c>
    </row>
    <row r="1981" spans="1:5" ht="15.5" x14ac:dyDescent="0.35">
      <c r="A1981" s="2" t="s">
        <v>1981</v>
      </c>
      <c r="B1981" s="2" t="s">
        <v>5052</v>
      </c>
      <c r="C1981" t="s">
        <v>2394</v>
      </c>
      <c r="D1981" t="s">
        <v>5053</v>
      </c>
    </row>
    <row r="1982" spans="1:5" ht="15.5" x14ac:dyDescent="0.35">
      <c r="A1982" s="2" t="s">
        <v>1982</v>
      </c>
      <c r="B1982" s="2" t="s">
        <v>5054</v>
      </c>
      <c r="C1982" t="s">
        <v>2394</v>
      </c>
      <c r="D1982" t="s">
        <v>3195</v>
      </c>
      <c r="E1982" t="s">
        <v>2700</v>
      </c>
    </row>
    <row r="1983" spans="1:5" ht="15.5" x14ac:dyDescent="0.35">
      <c r="A1983" s="2" t="s">
        <v>1983</v>
      </c>
      <c r="B1983" s="2" t="s">
        <v>5055</v>
      </c>
      <c r="C1983" t="s">
        <v>2394</v>
      </c>
      <c r="D1983" t="s">
        <v>2560</v>
      </c>
    </row>
    <row r="1984" spans="1:5" ht="15.5" x14ac:dyDescent="0.35">
      <c r="A1984" s="2" t="s">
        <v>1984</v>
      </c>
      <c r="B1984" s="2" t="s">
        <v>5056</v>
      </c>
      <c r="C1984" t="s">
        <v>2394</v>
      </c>
      <c r="D1984" t="s">
        <v>4769</v>
      </c>
      <c r="E1984" t="s">
        <v>2561</v>
      </c>
    </row>
    <row r="1985" spans="1:5" ht="15.5" x14ac:dyDescent="0.35">
      <c r="A1985" s="2" t="s">
        <v>1985</v>
      </c>
      <c r="B1985" s="2" t="s">
        <v>5057</v>
      </c>
      <c r="C1985" t="s">
        <v>2397</v>
      </c>
      <c r="D1985" t="s">
        <v>5058</v>
      </c>
    </row>
    <row r="1986" spans="1:5" ht="15.5" x14ac:dyDescent="0.35">
      <c r="A1986" s="2" t="s">
        <v>1986</v>
      </c>
      <c r="B1986" s="2" t="s">
        <v>5059</v>
      </c>
      <c r="C1986" t="s">
        <v>2397</v>
      </c>
      <c r="D1986" t="s">
        <v>3946</v>
      </c>
    </row>
    <row r="1987" spans="1:5" ht="15.5" x14ac:dyDescent="0.35">
      <c r="A1987" s="2" t="s">
        <v>1987</v>
      </c>
      <c r="B1987" s="2" t="s">
        <v>5060</v>
      </c>
      <c r="C1987" t="s">
        <v>2397</v>
      </c>
      <c r="D1987" t="s">
        <v>2443</v>
      </c>
    </row>
    <row r="1988" spans="1:5" ht="15.5" x14ac:dyDescent="0.35">
      <c r="A1988" s="2" t="s">
        <v>1988</v>
      </c>
      <c r="B1988" s="2" t="s">
        <v>5061</v>
      </c>
      <c r="C1988" t="s">
        <v>3231</v>
      </c>
      <c r="D1988" t="s">
        <v>3012</v>
      </c>
    </row>
    <row r="1989" spans="1:5" ht="15.5" x14ac:dyDescent="0.35">
      <c r="A1989" s="2" t="s">
        <v>1989</v>
      </c>
      <c r="B1989" s="2" t="s">
        <v>5062</v>
      </c>
      <c r="C1989" t="s">
        <v>2397</v>
      </c>
      <c r="D1989" t="s">
        <v>5063</v>
      </c>
    </row>
    <row r="1990" spans="1:5" ht="15.5" x14ac:dyDescent="0.35">
      <c r="A1990" s="2" t="s">
        <v>1990</v>
      </c>
      <c r="B1990" s="2" t="s">
        <v>5064</v>
      </c>
      <c r="C1990" t="s">
        <v>2394</v>
      </c>
      <c r="D1990" t="s">
        <v>2575</v>
      </c>
    </row>
    <row r="1991" spans="1:5" ht="15.5" x14ac:dyDescent="0.35">
      <c r="A1991" s="2" t="s">
        <v>1991</v>
      </c>
      <c r="B1991" s="2" t="s">
        <v>5065</v>
      </c>
      <c r="C1991" t="s">
        <v>2397</v>
      </c>
      <c r="D1991" t="s">
        <v>2790</v>
      </c>
      <c r="E1991" t="s">
        <v>2477</v>
      </c>
    </row>
    <row r="1992" spans="1:5" ht="15.5" x14ac:dyDescent="0.35">
      <c r="A1992" s="2" t="s">
        <v>1992</v>
      </c>
      <c r="B1992" s="2" t="s">
        <v>5066</v>
      </c>
      <c r="C1992" t="s">
        <v>2397</v>
      </c>
      <c r="D1992" t="s">
        <v>2790</v>
      </c>
      <c r="E1992" t="s">
        <v>2622</v>
      </c>
    </row>
    <row r="1993" spans="1:5" ht="15.5" x14ac:dyDescent="0.35">
      <c r="A1993" s="2" t="s">
        <v>1993</v>
      </c>
      <c r="B1993" s="2" t="s">
        <v>5067</v>
      </c>
      <c r="C1993" t="s">
        <v>2397</v>
      </c>
      <c r="D1993" t="s">
        <v>2790</v>
      </c>
      <c r="E1993" t="s">
        <v>2498</v>
      </c>
    </row>
    <row r="1994" spans="1:5" ht="15.5" x14ac:dyDescent="0.35">
      <c r="A1994" s="2" t="s">
        <v>1994</v>
      </c>
      <c r="B1994" s="2" t="s">
        <v>5068</v>
      </c>
      <c r="C1994" t="s">
        <v>2397</v>
      </c>
      <c r="D1994" t="s">
        <v>5069</v>
      </c>
      <c r="E1994" t="s">
        <v>2485</v>
      </c>
    </row>
    <row r="1995" spans="1:5" ht="15.5" x14ac:dyDescent="0.35">
      <c r="A1995" s="2" t="s">
        <v>1995</v>
      </c>
      <c r="B1995" s="2" t="s">
        <v>5070</v>
      </c>
      <c r="C1995" t="s">
        <v>2394</v>
      </c>
      <c r="D1995" t="s">
        <v>4557</v>
      </c>
    </row>
    <row r="1996" spans="1:5" ht="15.5" x14ac:dyDescent="0.35">
      <c r="A1996" s="2" t="s">
        <v>1996</v>
      </c>
      <c r="B1996" s="2" t="s">
        <v>5071</v>
      </c>
      <c r="C1996" t="s">
        <v>2394</v>
      </c>
      <c r="D1996" t="s">
        <v>5072</v>
      </c>
      <c r="E1996" t="s">
        <v>2590</v>
      </c>
    </row>
    <row r="1997" spans="1:5" ht="15.5" x14ac:dyDescent="0.35">
      <c r="A1997" s="2" t="s">
        <v>1997</v>
      </c>
      <c r="B1997" s="2" t="s">
        <v>3080</v>
      </c>
      <c r="C1997" t="s">
        <v>2394</v>
      </c>
      <c r="D1997" t="s">
        <v>5073</v>
      </c>
    </row>
    <row r="1998" spans="1:5" ht="15.5" x14ac:dyDescent="0.35">
      <c r="A1998" s="2" t="s">
        <v>1998</v>
      </c>
      <c r="B1998" s="2" t="s">
        <v>2599</v>
      </c>
      <c r="C1998" t="s">
        <v>2394</v>
      </c>
      <c r="D1998" t="s">
        <v>2878</v>
      </c>
    </row>
    <row r="1999" spans="1:5" ht="15.5" x14ac:dyDescent="0.35">
      <c r="A1999" s="2" t="s">
        <v>1999</v>
      </c>
      <c r="B1999" s="2" t="s">
        <v>5074</v>
      </c>
      <c r="C1999" t="s">
        <v>2394</v>
      </c>
      <c r="D1999" t="s">
        <v>5075</v>
      </c>
    </row>
    <row r="2000" spans="1:5" ht="15.5" x14ac:dyDescent="0.35">
      <c r="A2000" s="2" t="s">
        <v>2000</v>
      </c>
      <c r="B2000" s="2" t="s">
        <v>2938</v>
      </c>
      <c r="C2000" t="s">
        <v>2394</v>
      </c>
      <c r="D2000" t="s">
        <v>3195</v>
      </c>
    </row>
    <row r="2001" spans="1:5" ht="15.5" x14ac:dyDescent="0.35">
      <c r="A2001" s="2" t="s">
        <v>2001</v>
      </c>
      <c r="B2001" s="2" t="s">
        <v>5076</v>
      </c>
      <c r="C2001" t="s">
        <v>2394</v>
      </c>
      <c r="D2001" t="s">
        <v>3232</v>
      </c>
      <c r="E2001" t="s">
        <v>2472</v>
      </c>
    </row>
    <row r="2002" spans="1:5" ht="15.5" x14ac:dyDescent="0.35">
      <c r="A2002" s="2" t="s">
        <v>2002</v>
      </c>
      <c r="B2002" s="2" t="s">
        <v>5077</v>
      </c>
      <c r="C2002" t="s">
        <v>2397</v>
      </c>
      <c r="D2002" t="s">
        <v>5078</v>
      </c>
      <c r="E2002" t="s">
        <v>2482</v>
      </c>
    </row>
    <row r="2003" spans="1:5" ht="15.5" x14ac:dyDescent="0.35">
      <c r="A2003" s="2" t="s">
        <v>2003</v>
      </c>
      <c r="B2003" s="2" t="s">
        <v>5079</v>
      </c>
      <c r="C2003" t="s">
        <v>2394</v>
      </c>
      <c r="D2003" t="s">
        <v>5080</v>
      </c>
    </row>
    <row r="2004" spans="1:5" ht="15.5" x14ac:dyDescent="0.35">
      <c r="A2004" s="2" t="s">
        <v>2004</v>
      </c>
      <c r="B2004" s="2" t="s">
        <v>5081</v>
      </c>
      <c r="C2004" t="s">
        <v>2394</v>
      </c>
      <c r="D2004" t="s">
        <v>3240</v>
      </c>
    </row>
    <row r="2005" spans="1:5" ht="15.5" x14ac:dyDescent="0.35">
      <c r="A2005" s="2" t="s">
        <v>2005</v>
      </c>
      <c r="B2005" s="2" t="s">
        <v>5082</v>
      </c>
      <c r="C2005" t="s">
        <v>2394</v>
      </c>
      <c r="D2005" t="s">
        <v>5083</v>
      </c>
    </row>
    <row r="2006" spans="1:5" ht="15.5" x14ac:dyDescent="0.35">
      <c r="A2006" s="2" t="s">
        <v>2006</v>
      </c>
      <c r="B2006" s="2" t="s">
        <v>4273</v>
      </c>
      <c r="C2006" t="s">
        <v>2394</v>
      </c>
      <c r="D2006" t="s">
        <v>3511</v>
      </c>
      <c r="E2006" t="s">
        <v>2671</v>
      </c>
    </row>
    <row r="2007" spans="1:5" ht="15.5" x14ac:dyDescent="0.35">
      <c r="A2007" s="2" t="s">
        <v>2007</v>
      </c>
      <c r="B2007" s="2" t="s">
        <v>5084</v>
      </c>
      <c r="C2007" t="s">
        <v>2394</v>
      </c>
      <c r="D2007" t="s">
        <v>2542</v>
      </c>
    </row>
    <row r="2008" spans="1:5" ht="15.5" x14ac:dyDescent="0.35">
      <c r="A2008" s="2" t="s">
        <v>2008</v>
      </c>
      <c r="B2008" s="2" t="s">
        <v>3117</v>
      </c>
      <c r="C2008" t="s">
        <v>3231</v>
      </c>
      <c r="D2008" t="s">
        <v>3359</v>
      </c>
      <c r="E2008" t="s">
        <v>2482</v>
      </c>
    </row>
    <row r="2009" spans="1:5" ht="15.5" x14ac:dyDescent="0.35">
      <c r="A2009" s="2" t="s">
        <v>2009</v>
      </c>
      <c r="B2009" s="2" t="s">
        <v>5085</v>
      </c>
      <c r="C2009" t="s">
        <v>2394</v>
      </c>
      <c r="D2009" t="s">
        <v>5086</v>
      </c>
    </row>
    <row r="2010" spans="1:5" ht="15.5" x14ac:dyDescent="0.35">
      <c r="A2010" s="2" t="s">
        <v>2010</v>
      </c>
      <c r="B2010" s="2" t="s">
        <v>5087</v>
      </c>
      <c r="C2010" t="s">
        <v>2397</v>
      </c>
      <c r="D2010" t="s">
        <v>5088</v>
      </c>
    </row>
    <row r="2011" spans="1:5" ht="15.5" x14ac:dyDescent="0.35">
      <c r="A2011" s="2" t="s">
        <v>2011</v>
      </c>
      <c r="B2011" s="2" t="s">
        <v>5089</v>
      </c>
      <c r="C2011" t="s">
        <v>2397</v>
      </c>
      <c r="D2011" t="s">
        <v>2701</v>
      </c>
      <c r="E2011" t="s">
        <v>2625</v>
      </c>
    </row>
    <row r="2012" spans="1:5" ht="15.5" x14ac:dyDescent="0.35">
      <c r="A2012" s="2" t="s">
        <v>2012</v>
      </c>
      <c r="B2012" s="2" t="s">
        <v>5090</v>
      </c>
      <c r="C2012" t="s">
        <v>2397</v>
      </c>
      <c r="D2012" t="s">
        <v>2925</v>
      </c>
    </row>
    <row r="2013" spans="1:5" ht="15.5" x14ac:dyDescent="0.35">
      <c r="A2013" s="2" t="s">
        <v>2013</v>
      </c>
      <c r="B2013" s="2" t="s">
        <v>5091</v>
      </c>
      <c r="C2013" t="s">
        <v>2397</v>
      </c>
      <c r="D2013" t="s">
        <v>2804</v>
      </c>
    </row>
    <row r="2014" spans="1:5" ht="15.5" x14ac:dyDescent="0.35">
      <c r="A2014" s="2" t="s">
        <v>2014</v>
      </c>
      <c r="B2014" s="2" t="s">
        <v>3949</v>
      </c>
      <c r="C2014" t="s">
        <v>2394</v>
      </c>
      <c r="D2014" t="s">
        <v>2627</v>
      </c>
      <c r="E2014" t="s">
        <v>2540</v>
      </c>
    </row>
    <row r="2015" spans="1:5" ht="15.5" x14ac:dyDescent="0.35">
      <c r="A2015" s="2" t="s">
        <v>2015</v>
      </c>
      <c r="B2015" s="2" t="s">
        <v>5092</v>
      </c>
      <c r="C2015" t="s">
        <v>2397</v>
      </c>
      <c r="D2015" t="s">
        <v>5093</v>
      </c>
    </row>
    <row r="2016" spans="1:5" ht="15.5" x14ac:dyDescent="0.35">
      <c r="A2016" s="2" t="s">
        <v>2016</v>
      </c>
      <c r="B2016" s="2" t="s">
        <v>5094</v>
      </c>
      <c r="C2016" t="s">
        <v>2394</v>
      </c>
      <c r="D2016" t="s">
        <v>2899</v>
      </c>
      <c r="E2016" t="s">
        <v>2625</v>
      </c>
    </row>
    <row r="2017" spans="1:6" ht="15.5" x14ac:dyDescent="0.35">
      <c r="A2017" s="2" t="s">
        <v>2017</v>
      </c>
      <c r="B2017" s="2" t="s">
        <v>5095</v>
      </c>
      <c r="C2017" t="s">
        <v>2397</v>
      </c>
      <c r="D2017" t="s">
        <v>2412</v>
      </c>
      <c r="E2017" t="s">
        <v>2986</v>
      </c>
    </row>
    <row r="2018" spans="1:6" ht="15.5" x14ac:dyDescent="0.35">
      <c r="A2018" s="2" t="s">
        <v>2018</v>
      </c>
      <c r="B2018" s="2" t="s">
        <v>5096</v>
      </c>
      <c r="C2018" t="s">
        <v>2394</v>
      </c>
      <c r="D2018" t="s">
        <v>5097</v>
      </c>
    </row>
    <row r="2019" spans="1:6" ht="15.5" x14ac:dyDescent="0.35">
      <c r="A2019" s="2" t="s">
        <v>2019</v>
      </c>
      <c r="B2019" s="2" t="s">
        <v>5098</v>
      </c>
      <c r="C2019" t="s">
        <v>2394</v>
      </c>
      <c r="D2019" t="s">
        <v>2542</v>
      </c>
    </row>
    <row r="2020" spans="1:6" ht="15.5" x14ac:dyDescent="0.35">
      <c r="A2020" s="2" t="s">
        <v>2020</v>
      </c>
      <c r="B2020" s="2" t="s">
        <v>2535</v>
      </c>
      <c r="C2020" t="s">
        <v>2394</v>
      </c>
      <c r="D2020" t="s">
        <v>5099</v>
      </c>
    </row>
    <row r="2021" spans="1:6" ht="15.5" x14ac:dyDescent="0.35">
      <c r="A2021" s="2" t="s">
        <v>2021</v>
      </c>
      <c r="B2021" s="2" t="s">
        <v>5100</v>
      </c>
      <c r="C2021" t="s">
        <v>2397</v>
      </c>
      <c r="D2021" t="s">
        <v>5101</v>
      </c>
      <c r="E2021" t="s">
        <v>2516</v>
      </c>
    </row>
    <row r="2022" spans="1:6" ht="15.5" x14ac:dyDescent="0.35">
      <c r="A2022" s="2" t="s">
        <v>2022</v>
      </c>
      <c r="B2022" s="2" t="s">
        <v>2835</v>
      </c>
      <c r="C2022" t="s">
        <v>2397</v>
      </c>
      <c r="D2022" t="s">
        <v>2846</v>
      </c>
      <c r="E2022" t="s">
        <v>2643</v>
      </c>
    </row>
    <row r="2023" spans="1:6" ht="15.5" x14ac:dyDescent="0.35">
      <c r="A2023" s="2" t="s">
        <v>2023</v>
      </c>
      <c r="B2023" s="2" t="s">
        <v>5102</v>
      </c>
      <c r="C2023" t="s">
        <v>2394</v>
      </c>
      <c r="D2023" t="s">
        <v>5103</v>
      </c>
    </row>
    <row r="2024" spans="1:6" ht="15.5" x14ac:dyDescent="0.35">
      <c r="A2024" s="2" t="s">
        <v>2024</v>
      </c>
      <c r="B2024" s="2" t="s">
        <v>5104</v>
      </c>
      <c r="C2024" t="s">
        <v>2397</v>
      </c>
      <c r="D2024" t="s">
        <v>5105</v>
      </c>
    </row>
    <row r="2025" spans="1:6" ht="15.5" x14ac:dyDescent="0.35">
      <c r="A2025" s="2" t="s">
        <v>2025</v>
      </c>
      <c r="B2025" s="2" t="s">
        <v>5106</v>
      </c>
      <c r="C2025" t="s">
        <v>2394</v>
      </c>
      <c r="D2025" t="s">
        <v>2403</v>
      </c>
      <c r="E2025" t="s">
        <v>2482</v>
      </c>
    </row>
    <row r="2026" spans="1:6" ht="15.5" x14ac:dyDescent="0.35">
      <c r="A2026" s="2" t="s">
        <v>2026</v>
      </c>
      <c r="B2026" s="2" t="s">
        <v>5107</v>
      </c>
      <c r="C2026" t="s">
        <v>2394</v>
      </c>
      <c r="D2026" t="s">
        <v>4306</v>
      </c>
    </row>
    <row r="2027" spans="1:6" ht="15.5" x14ac:dyDescent="0.35">
      <c r="A2027" s="2" t="s">
        <v>2027</v>
      </c>
      <c r="B2027" s="2" t="s">
        <v>5108</v>
      </c>
      <c r="C2027" t="s">
        <v>2397</v>
      </c>
      <c r="D2027" t="s">
        <v>2596</v>
      </c>
      <c r="E2027" t="s">
        <v>2799</v>
      </c>
    </row>
    <row r="2028" spans="1:6" ht="15.5" x14ac:dyDescent="0.35">
      <c r="A2028" s="2" t="s">
        <v>2028</v>
      </c>
      <c r="B2028" s="2" t="s">
        <v>4608</v>
      </c>
      <c r="C2028" t="s">
        <v>2394</v>
      </c>
      <c r="D2028" t="s">
        <v>5109</v>
      </c>
    </row>
    <row r="2029" spans="1:6" ht="15.5" x14ac:dyDescent="0.35">
      <c r="A2029" s="2" t="s">
        <v>2029</v>
      </c>
      <c r="B2029" s="2" t="s">
        <v>5110</v>
      </c>
      <c r="C2029" t="s">
        <v>2397</v>
      </c>
      <c r="D2029" t="s">
        <v>5111</v>
      </c>
      <c r="E2029" t="s">
        <v>2462</v>
      </c>
      <c r="F2029" t="s">
        <v>3564</v>
      </c>
    </row>
    <row r="2030" spans="1:6" ht="15.5" x14ac:dyDescent="0.35">
      <c r="A2030" s="2" t="s">
        <v>2030</v>
      </c>
      <c r="B2030" s="2" t="s">
        <v>5112</v>
      </c>
      <c r="C2030" t="s">
        <v>2397</v>
      </c>
      <c r="D2030" t="s">
        <v>2544</v>
      </c>
    </row>
    <row r="2031" spans="1:6" ht="15.5" x14ac:dyDescent="0.35">
      <c r="A2031" s="2" t="s">
        <v>2031</v>
      </c>
      <c r="B2031" s="2" t="s">
        <v>5113</v>
      </c>
      <c r="C2031" t="s">
        <v>2394</v>
      </c>
      <c r="D2031" t="s">
        <v>5114</v>
      </c>
    </row>
    <row r="2032" spans="1:6" ht="15.5" x14ac:dyDescent="0.35">
      <c r="A2032" s="2" t="s">
        <v>2032</v>
      </c>
      <c r="B2032" s="2" t="s">
        <v>5115</v>
      </c>
      <c r="C2032" t="s">
        <v>2394</v>
      </c>
      <c r="D2032" t="s">
        <v>5116</v>
      </c>
    </row>
    <row r="2033" spans="1:5" ht="15.5" x14ac:dyDescent="0.35">
      <c r="A2033" s="2" t="s">
        <v>2033</v>
      </c>
      <c r="B2033" s="2" t="s">
        <v>3561</v>
      </c>
      <c r="C2033" t="s">
        <v>2397</v>
      </c>
      <c r="D2033" t="s">
        <v>5117</v>
      </c>
    </row>
    <row r="2034" spans="1:5" ht="15.5" x14ac:dyDescent="0.35">
      <c r="A2034" s="2" t="s">
        <v>2034</v>
      </c>
      <c r="B2034" s="2" t="s">
        <v>5118</v>
      </c>
      <c r="C2034" t="s">
        <v>2397</v>
      </c>
      <c r="D2034" t="s">
        <v>3243</v>
      </c>
      <c r="E2034" t="s">
        <v>2540</v>
      </c>
    </row>
    <row r="2035" spans="1:5" ht="15.5" x14ac:dyDescent="0.35">
      <c r="A2035" s="2" t="s">
        <v>2035</v>
      </c>
      <c r="B2035" s="2" t="s">
        <v>5119</v>
      </c>
      <c r="C2035" t="s">
        <v>2397</v>
      </c>
      <c r="D2035" t="s">
        <v>2544</v>
      </c>
      <c r="E2035" t="s">
        <v>2625</v>
      </c>
    </row>
    <row r="2036" spans="1:5" ht="15.5" x14ac:dyDescent="0.35">
      <c r="A2036" s="2" t="s">
        <v>2036</v>
      </c>
      <c r="B2036" s="2" t="s">
        <v>5120</v>
      </c>
      <c r="C2036" t="s">
        <v>2394</v>
      </c>
      <c r="D2036" t="s">
        <v>5121</v>
      </c>
      <c r="E2036" t="s">
        <v>2431</v>
      </c>
    </row>
    <row r="2037" spans="1:5" ht="15.5" x14ac:dyDescent="0.35">
      <c r="A2037" s="2" t="s">
        <v>2037</v>
      </c>
      <c r="B2037" s="2" t="s">
        <v>5122</v>
      </c>
      <c r="C2037" t="s">
        <v>2394</v>
      </c>
      <c r="D2037" t="s">
        <v>5123</v>
      </c>
      <c r="E2037" t="s">
        <v>2799</v>
      </c>
    </row>
    <row r="2038" spans="1:5" ht="15.5" x14ac:dyDescent="0.35">
      <c r="A2038" s="2" t="s">
        <v>2038</v>
      </c>
      <c r="B2038" s="2" t="s">
        <v>5124</v>
      </c>
      <c r="C2038" t="s">
        <v>2394</v>
      </c>
      <c r="D2038" t="s">
        <v>2872</v>
      </c>
      <c r="E2038" t="s">
        <v>2482</v>
      </c>
    </row>
    <row r="2039" spans="1:5" ht="15.5" x14ac:dyDescent="0.35">
      <c r="A2039" s="2" t="s">
        <v>2039</v>
      </c>
      <c r="B2039" s="2" t="s">
        <v>5125</v>
      </c>
      <c r="C2039" t="s">
        <v>2394</v>
      </c>
      <c r="D2039" t="s">
        <v>2461</v>
      </c>
    </row>
    <row r="2040" spans="1:5" ht="15.5" x14ac:dyDescent="0.35">
      <c r="A2040" s="2" t="s">
        <v>2040</v>
      </c>
      <c r="B2040" s="2" t="s">
        <v>2541</v>
      </c>
      <c r="C2040" t="s">
        <v>2397</v>
      </c>
      <c r="D2040" t="s">
        <v>2846</v>
      </c>
      <c r="E2040" t="s">
        <v>2622</v>
      </c>
    </row>
    <row r="2041" spans="1:5" ht="15.5" x14ac:dyDescent="0.35">
      <c r="A2041" s="2" t="s">
        <v>2041</v>
      </c>
      <c r="B2041" s="2" t="s">
        <v>5126</v>
      </c>
      <c r="C2041" t="s">
        <v>2394</v>
      </c>
      <c r="D2041" t="s">
        <v>2624</v>
      </c>
      <c r="E2041" t="s">
        <v>3328</v>
      </c>
    </row>
    <row r="2042" spans="1:5" ht="15.5" x14ac:dyDescent="0.35">
      <c r="A2042" s="2" t="s">
        <v>2042</v>
      </c>
      <c r="B2042" s="2" t="s">
        <v>3793</v>
      </c>
      <c r="C2042" t="s">
        <v>2397</v>
      </c>
      <c r="D2042" t="s">
        <v>3225</v>
      </c>
    </row>
    <row r="2043" spans="1:5" ht="15.5" x14ac:dyDescent="0.35">
      <c r="A2043" s="2" t="s">
        <v>2043</v>
      </c>
      <c r="B2043" s="2" t="s">
        <v>5127</v>
      </c>
      <c r="C2043" t="s">
        <v>2397</v>
      </c>
      <c r="D2043" t="s">
        <v>5128</v>
      </c>
    </row>
    <row r="2044" spans="1:5" ht="15.5" x14ac:dyDescent="0.35">
      <c r="A2044" s="2" t="s">
        <v>2044</v>
      </c>
      <c r="B2044" s="2" t="s">
        <v>5129</v>
      </c>
      <c r="C2044" t="s">
        <v>2397</v>
      </c>
      <c r="D2044" t="s">
        <v>5130</v>
      </c>
    </row>
    <row r="2045" spans="1:5" ht="15.5" x14ac:dyDescent="0.35">
      <c r="A2045" s="2" t="s">
        <v>2045</v>
      </c>
      <c r="B2045" s="2" t="s">
        <v>5131</v>
      </c>
      <c r="C2045" t="s">
        <v>2394</v>
      </c>
      <c r="D2045" t="s">
        <v>4625</v>
      </c>
      <c r="E2045" t="s">
        <v>2540</v>
      </c>
    </row>
    <row r="2046" spans="1:5" ht="15.5" x14ac:dyDescent="0.35">
      <c r="A2046" s="2" t="s">
        <v>2046</v>
      </c>
      <c r="B2046" s="2" t="s">
        <v>5132</v>
      </c>
      <c r="C2046" t="s">
        <v>2394</v>
      </c>
      <c r="D2046" t="s">
        <v>5133</v>
      </c>
      <c r="E2046" t="s">
        <v>2418</v>
      </c>
    </row>
    <row r="2047" spans="1:5" ht="15.5" x14ac:dyDescent="0.35">
      <c r="A2047" s="2" t="s">
        <v>2047</v>
      </c>
      <c r="B2047" s="2" t="s">
        <v>5134</v>
      </c>
      <c r="C2047" t="s">
        <v>2394</v>
      </c>
      <c r="D2047" t="s">
        <v>5135</v>
      </c>
    </row>
    <row r="2048" spans="1:5" ht="15.5" x14ac:dyDescent="0.35">
      <c r="A2048" s="2" t="s">
        <v>2048</v>
      </c>
      <c r="B2048" s="2" t="s">
        <v>2549</v>
      </c>
      <c r="C2048" t="s">
        <v>2394</v>
      </c>
      <c r="D2048" t="s">
        <v>2435</v>
      </c>
    </row>
    <row r="2049" spans="1:5" ht="15.5" x14ac:dyDescent="0.35">
      <c r="A2049" s="2" t="s">
        <v>2049</v>
      </c>
      <c r="B2049" s="2" t="s">
        <v>5136</v>
      </c>
      <c r="C2049" t="s">
        <v>2394</v>
      </c>
      <c r="D2049" t="s">
        <v>5137</v>
      </c>
    </row>
    <row r="2050" spans="1:5" ht="15.5" x14ac:dyDescent="0.35">
      <c r="A2050" s="2" t="s">
        <v>2050</v>
      </c>
      <c r="B2050" s="2" t="s">
        <v>4064</v>
      </c>
      <c r="C2050" t="s">
        <v>2397</v>
      </c>
      <c r="D2050" t="s">
        <v>3048</v>
      </c>
    </row>
    <row r="2051" spans="1:5" ht="15.5" x14ac:dyDescent="0.35">
      <c r="A2051" s="2" t="s">
        <v>2051</v>
      </c>
      <c r="B2051" s="2" t="s">
        <v>4514</v>
      </c>
      <c r="C2051" t="s">
        <v>2397</v>
      </c>
      <c r="D2051" t="s">
        <v>2414</v>
      </c>
      <c r="E2051" t="s">
        <v>2467</v>
      </c>
    </row>
    <row r="2052" spans="1:5" ht="15.5" x14ac:dyDescent="0.35">
      <c r="A2052" s="2" t="s">
        <v>2052</v>
      </c>
      <c r="B2052" s="2" t="s">
        <v>5138</v>
      </c>
      <c r="C2052" t="s">
        <v>2397</v>
      </c>
      <c r="D2052" t="s">
        <v>5139</v>
      </c>
    </row>
    <row r="2053" spans="1:5" ht="15.5" x14ac:dyDescent="0.35">
      <c r="A2053" s="2" t="s">
        <v>2053</v>
      </c>
      <c r="B2053" s="2" t="s">
        <v>3491</v>
      </c>
      <c r="C2053" t="s">
        <v>2394</v>
      </c>
      <c r="D2053" t="s">
        <v>3287</v>
      </c>
      <c r="E2053" t="s">
        <v>2534</v>
      </c>
    </row>
    <row r="2054" spans="1:5" ht="15.5" x14ac:dyDescent="0.35">
      <c r="A2054" s="2" t="s">
        <v>2054</v>
      </c>
      <c r="B2054" s="2" t="s">
        <v>5140</v>
      </c>
      <c r="C2054" t="s">
        <v>2394</v>
      </c>
      <c r="D2054" t="s">
        <v>5141</v>
      </c>
    </row>
    <row r="2055" spans="1:5" ht="15.5" x14ac:dyDescent="0.35">
      <c r="A2055" s="2" t="s">
        <v>2055</v>
      </c>
      <c r="B2055" s="2" t="s">
        <v>5142</v>
      </c>
      <c r="C2055" t="s">
        <v>2394</v>
      </c>
      <c r="D2055" t="s">
        <v>2435</v>
      </c>
      <c r="E2055" t="s">
        <v>2477</v>
      </c>
    </row>
    <row r="2056" spans="1:5" ht="15.5" x14ac:dyDescent="0.35">
      <c r="A2056" s="2" t="s">
        <v>2056</v>
      </c>
      <c r="B2056" s="2" t="s">
        <v>3236</v>
      </c>
      <c r="C2056" t="s">
        <v>2394</v>
      </c>
      <c r="D2056" t="s">
        <v>2417</v>
      </c>
    </row>
    <row r="2057" spans="1:5" ht="15.5" x14ac:dyDescent="0.35">
      <c r="A2057" s="2" t="s">
        <v>2057</v>
      </c>
      <c r="B2057" s="2" t="s">
        <v>5143</v>
      </c>
      <c r="C2057" t="s">
        <v>2397</v>
      </c>
      <c r="D2057" t="s">
        <v>2838</v>
      </c>
      <c r="E2057" t="s">
        <v>2482</v>
      </c>
    </row>
    <row r="2058" spans="1:5" ht="15.5" x14ac:dyDescent="0.35">
      <c r="A2058" s="2" t="s">
        <v>2058</v>
      </c>
      <c r="B2058" s="2" t="s">
        <v>5144</v>
      </c>
      <c r="C2058" t="s">
        <v>2394</v>
      </c>
      <c r="D2058" t="s">
        <v>2542</v>
      </c>
      <c r="E2058" t="s">
        <v>2477</v>
      </c>
    </row>
    <row r="2059" spans="1:5" ht="15.5" x14ac:dyDescent="0.35">
      <c r="A2059" s="2" t="s">
        <v>2059</v>
      </c>
      <c r="B2059" s="2" t="s">
        <v>5145</v>
      </c>
      <c r="C2059" t="s">
        <v>2397</v>
      </c>
      <c r="D2059" t="s">
        <v>2965</v>
      </c>
    </row>
    <row r="2060" spans="1:5" ht="15.5" x14ac:dyDescent="0.35">
      <c r="A2060" s="2" t="s">
        <v>2060</v>
      </c>
      <c r="B2060" s="2" t="s">
        <v>5146</v>
      </c>
      <c r="C2060" t="s">
        <v>2394</v>
      </c>
      <c r="D2060" t="s">
        <v>5147</v>
      </c>
    </row>
    <row r="2061" spans="1:5" ht="15.5" x14ac:dyDescent="0.35">
      <c r="A2061" s="2" t="s">
        <v>2061</v>
      </c>
      <c r="B2061" s="2" t="s">
        <v>5148</v>
      </c>
      <c r="C2061" t="s">
        <v>2397</v>
      </c>
      <c r="D2061" t="s">
        <v>3803</v>
      </c>
    </row>
    <row r="2062" spans="1:5" ht="15.5" x14ac:dyDescent="0.35">
      <c r="A2062" s="2" t="s">
        <v>2062</v>
      </c>
      <c r="B2062" s="2" t="s">
        <v>5149</v>
      </c>
      <c r="C2062" t="s">
        <v>2397</v>
      </c>
      <c r="D2062" t="s">
        <v>2636</v>
      </c>
      <c r="E2062" t="s">
        <v>2501</v>
      </c>
    </row>
    <row r="2063" spans="1:5" ht="15.5" x14ac:dyDescent="0.35">
      <c r="A2063" s="2" t="s">
        <v>2063</v>
      </c>
      <c r="B2063" s="2" t="s">
        <v>5150</v>
      </c>
      <c r="C2063" t="s">
        <v>2397</v>
      </c>
      <c r="D2063" t="s">
        <v>4882</v>
      </c>
      <c r="E2063" t="s">
        <v>3328</v>
      </c>
    </row>
    <row r="2064" spans="1:5" ht="15.5" x14ac:dyDescent="0.35">
      <c r="A2064" s="2" t="s">
        <v>2064</v>
      </c>
      <c r="B2064" s="2" t="s">
        <v>4355</v>
      </c>
      <c r="C2064" t="s">
        <v>2394</v>
      </c>
      <c r="D2064" t="s">
        <v>3934</v>
      </c>
      <c r="E2064" t="s">
        <v>2561</v>
      </c>
    </row>
    <row r="2065" spans="1:5" ht="15.5" x14ac:dyDescent="0.35">
      <c r="A2065" s="2" t="s">
        <v>2065</v>
      </c>
      <c r="B2065" s="2" t="s">
        <v>3290</v>
      </c>
      <c r="C2065" t="s">
        <v>2394</v>
      </c>
      <c r="D2065" t="s">
        <v>2461</v>
      </c>
    </row>
    <row r="2066" spans="1:5" ht="15.5" x14ac:dyDescent="0.35">
      <c r="A2066" s="2" t="s">
        <v>2066</v>
      </c>
      <c r="B2066" s="2" t="s">
        <v>5151</v>
      </c>
      <c r="C2066" t="s">
        <v>2394</v>
      </c>
      <c r="D2066" t="s">
        <v>3050</v>
      </c>
      <c r="E2066" t="s">
        <v>2986</v>
      </c>
    </row>
    <row r="2067" spans="1:5" ht="15.5" x14ac:dyDescent="0.35">
      <c r="A2067" s="2" t="s">
        <v>2067</v>
      </c>
      <c r="B2067" s="2" t="s">
        <v>3793</v>
      </c>
      <c r="C2067" t="s">
        <v>2394</v>
      </c>
      <c r="D2067" t="s">
        <v>2567</v>
      </c>
      <c r="E2067" t="s">
        <v>2467</v>
      </c>
    </row>
    <row r="2068" spans="1:5" ht="15.5" x14ac:dyDescent="0.35">
      <c r="A2068" s="2" t="s">
        <v>2068</v>
      </c>
      <c r="B2068" s="2" t="s">
        <v>5152</v>
      </c>
      <c r="C2068" t="s">
        <v>2397</v>
      </c>
      <c r="D2068" t="s">
        <v>2786</v>
      </c>
    </row>
    <row r="2069" spans="1:5" ht="15.5" x14ac:dyDescent="0.35">
      <c r="A2069" s="2" t="s">
        <v>2069</v>
      </c>
      <c r="B2069" s="2" t="s">
        <v>5153</v>
      </c>
      <c r="C2069" t="s">
        <v>2397</v>
      </c>
      <c r="D2069" t="s">
        <v>5154</v>
      </c>
    </row>
    <row r="2070" spans="1:5" ht="15.5" x14ac:dyDescent="0.35">
      <c r="A2070" s="2" t="s">
        <v>2070</v>
      </c>
      <c r="B2070" s="2" t="s">
        <v>5155</v>
      </c>
      <c r="C2070" t="s">
        <v>2397</v>
      </c>
      <c r="D2070" t="s">
        <v>5156</v>
      </c>
    </row>
    <row r="2071" spans="1:5" ht="15.5" x14ac:dyDescent="0.35">
      <c r="A2071" s="2" t="s">
        <v>2071</v>
      </c>
      <c r="B2071" s="2" t="s">
        <v>5157</v>
      </c>
      <c r="C2071" t="s">
        <v>2394</v>
      </c>
      <c r="D2071" t="s">
        <v>2774</v>
      </c>
    </row>
    <row r="2072" spans="1:5" ht="15.5" x14ac:dyDescent="0.35">
      <c r="A2072" s="2" t="s">
        <v>2072</v>
      </c>
      <c r="B2072" s="2" t="s">
        <v>2794</v>
      </c>
      <c r="C2072" t="s">
        <v>2397</v>
      </c>
      <c r="D2072" t="s">
        <v>2510</v>
      </c>
      <c r="E2072" t="s">
        <v>2671</v>
      </c>
    </row>
    <row r="2073" spans="1:5" ht="15.5" x14ac:dyDescent="0.35">
      <c r="A2073" s="2" t="s">
        <v>2073</v>
      </c>
      <c r="B2073" s="2" t="s">
        <v>5158</v>
      </c>
      <c r="C2073" t="s">
        <v>2394</v>
      </c>
      <c r="D2073" t="s">
        <v>5159</v>
      </c>
    </row>
    <row r="2074" spans="1:5" ht="15.5" x14ac:dyDescent="0.35">
      <c r="A2074" s="2" t="s">
        <v>2074</v>
      </c>
      <c r="B2074" s="2" t="s">
        <v>5160</v>
      </c>
      <c r="C2074" t="s">
        <v>2397</v>
      </c>
      <c r="D2074" t="s">
        <v>5161</v>
      </c>
      <c r="E2074" t="s">
        <v>2418</v>
      </c>
    </row>
    <row r="2075" spans="1:5" ht="15.5" x14ac:dyDescent="0.35">
      <c r="A2075" s="2" t="s">
        <v>2075</v>
      </c>
      <c r="B2075" s="2" t="s">
        <v>5162</v>
      </c>
      <c r="C2075" t="s">
        <v>2394</v>
      </c>
      <c r="D2075" t="s">
        <v>2928</v>
      </c>
    </row>
    <row r="2076" spans="1:5" ht="15.5" x14ac:dyDescent="0.35">
      <c r="A2076" s="2" t="s">
        <v>2076</v>
      </c>
      <c r="B2076" s="2" t="s">
        <v>5007</v>
      </c>
      <c r="C2076" t="s">
        <v>2394</v>
      </c>
      <c r="D2076" t="s">
        <v>2840</v>
      </c>
      <c r="E2076" t="s">
        <v>2415</v>
      </c>
    </row>
    <row r="2077" spans="1:5" ht="15.5" x14ac:dyDescent="0.35">
      <c r="A2077" s="2" t="s">
        <v>2077</v>
      </c>
      <c r="B2077" s="2" t="s">
        <v>5163</v>
      </c>
      <c r="C2077" t="s">
        <v>2397</v>
      </c>
      <c r="D2077" t="s">
        <v>2489</v>
      </c>
      <c r="E2077" t="s">
        <v>2467</v>
      </c>
    </row>
    <row r="2078" spans="1:5" ht="15.5" x14ac:dyDescent="0.35">
      <c r="A2078" s="2" t="s">
        <v>2078</v>
      </c>
      <c r="B2078" s="2" t="s">
        <v>5164</v>
      </c>
      <c r="C2078" t="s">
        <v>2397</v>
      </c>
      <c r="D2078" t="s">
        <v>2596</v>
      </c>
    </row>
    <row r="2079" spans="1:5" ht="15.5" x14ac:dyDescent="0.35">
      <c r="A2079" s="2" t="s">
        <v>2079</v>
      </c>
      <c r="B2079" s="2" t="s">
        <v>5165</v>
      </c>
      <c r="C2079" t="s">
        <v>2397</v>
      </c>
      <c r="D2079" t="s">
        <v>2577</v>
      </c>
      <c r="E2079" t="s">
        <v>2501</v>
      </c>
    </row>
    <row r="2080" spans="1:5" ht="15.5" x14ac:dyDescent="0.35">
      <c r="A2080" s="2" t="s">
        <v>2080</v>
      </c>
      <c r="B2080" s="2" t="s">
        <v>5166</v>
      </c>
      <c r="C2080" t="s">
        <v>2397</v>
      </c>
      <c r="D2080" t="s">
        <v>2965</v>
      </c>
    </row>
    <row r="2081" spans="1:5" ht="15.5" x14ac:dyDescent="0.35">
      <c r="A2081" s="2" t="s">
        <v>2081</v>
      </c>
      <c r="B2081" s="2" t="s">
        <v>3735</v>
      </c>
      <c r="C2081" t="s">
        <v>2394</v>
      </c>
      <c r="D2081" t="s">
        <v>5167</v>
      </c>
      <c r="E2081" t="s">
        <v>2418</v>
      </c>
    </row>
    <row r="2082" spans="1:5" ht="15.5" x14ac:dyDescent="0.35">
      <c r="A2082" s="2" t="s">
        <v>2082</v>
      </c>
      <c r="B2082" s="2" t="s">
        <v>5168</v>
      </c>
      <c r="C2082" t="s">
        <v>2394</v>
      </c>
      <c r="D2082" t="s">
        <v>4145</v>
      </c>
    </row>
    <row r="2083" spans="1:5" ht="15.5" x14ac:dyDescent="0.35">
      <c r="A2083" s="2" t="s">
        <v>2083</v>
      </c>
      <c r="B2083" s="2" t="s">
        <v>5169</v>
      </c>
      <c r="C2083" t="s">
        <v>2394</v>
      </c>
      <c r="D2083" t="s">
        <v>3287</v>
      </c>
    </row>
    <row r="2084" spans="1:5" ht="15.5" x14ac:dyDescent="0.35">
      <c r="A2084" s="2" t="s">
        <v>2084</v>
      </c>
      <c r="B2084" s="2" t="s">
        <v>5170</v>
      </c>
      <c r="C2084" t="s">
        <v>2394</v>
      </c>
      <c r="D2084" t="s">
        <v>2450</v>
      </c>
      <c r="E2084" t="s">
        <v>2766</v>
      </c>
    </row>
    <row r="2085" spans="1:5" ht="15.5" x14ac:dyDescent="0.35">
      <c r="A2085" s="2" t="s">
        <v>2085</v>
      </c>
      <c r="B2085" s="2" t="s">
        <v>5171</v>
      </c>
      <c r="C2085" t="s">
        <v>2394</v>
      </c>
      <c r="D2085" t="s">
        <v>3912</v>
      </c>
      <c r="E2085" t="s">
        <v>2501</v>
      </c>
    </row>
    <row r="2086" spans="1:5" ht="15.5" x14ac:dyDescent="0.35">
      <c r="A2086" s="2" t="s">
        <v>2086</v>
      </c>
      <c r="B2086" s="2" t="s">
        <v>5172</v>
      </c>
      <c r="C2086" t="s">
        <v>2394</v>
      </c>
      <c r="D2086" t="s">
        <v>3167</v>
      </c>
    </row>
    <row r="2087" spans="1:5" ht="15.5" x14ac:dyDescent="0.35">
      <c r="A2087" s="2" t="s">
        <v>2087</v>
      </c>
      <c r="B2087" s="2" t="s">
        <v>5173</v>
      </c>
      <c r="C2087" t="s">
        <v>2397</v>
      </c>
      <c r="D2087" t="s">
        <v>3477</v>
      </c>
    </row>
    <row r="2088" spans="1:5" ht="15.5" x14ac:dyDescent="0.35">
      <c r="A2088" s="2" t="s">
        <v>2088</v>
      </c>
      <c r="B2088" s="2" t="s">
        <v>2794</v>
      </c>
      <c r="C2088" t="s">
        <v>2397</v>
      </c>
      <c r="D2088" t="s">
        <v>2838</v>
      </c>
    </row>
    <row r="2089" spans="1:5" ht="15.5" x14ac:dyDescent="0.35">
      <c r="A2089" s="2" t="s">
        <v>2089</v>
      </c>
      <c r="B2089" s="2" t="s">
        <v>5174</v>
      </c>
      <c r="C2089" t="s">
        <v>2394</v>
      </c>
      <c r="D2089" t="s">
        <v>5175</v>
      </c>
    </row>
    <row r="2090" spans="1:5" ht="15.5" x14ac:dyDescent="0.35">
      <c r="A2090" s="2" t="s">
        <v>2090</v>
      </c>
      <c r="B2090" s="2" t="s">
        <v>5176</v>
      </c>
      <c r="C2090" t="s">
        <v>2397</v>
      </c>
      <c r="D2090" t="s">
        <v>2735</v>
      </c>
    </row>
    <row r="2091" spans="1:5" ht="15.5" x14ac:dyDescent="0.35">
      <c r="A2091" s="2" t="s">
        <v>2091</v>
      </c>
      <c r="B2091" s="2" t="s">
        <v>5177</v>
      </c>
      <c r="C2091" t="s">
        <v>2397</v>
      </c>
      <c r="D2091" t="s">
        <v>5178</v>
      </c>
    </row>
    <row r="2092" spans="1:5" ht="15.5" x14ac:dyDescent="0.35">
      <c r="A2092" s="2" t="s">
        <v>2092</v>
      </c>
      <c r="B2092" s="2" t="s">
        <v>5179</v>
      </c>
      <c r="C2092" t="s">
        <v>2397</v>
      </c>
      <c r="D2092" t="s">
        <v>2636</v>
      </c>
      <c r="E2092" t="s">
        <v>2462</v>
      </c>
    </row>
    <row r="2093" spans="1:5" ht="15.5" x14ac:dyDescent="0.35">
      <c r="A2093" s="2" t="s">
        <v>2093</v>
      </c>
      <c r="B2093" s="2" t="s">
        <v>5180</v>
      </c>
      <c r="C2093" t="s">
        <v>2397</v>
      </c>
      <c r="D2093" t="s">
        <v>2692</v>
      </c>
    </row>
    <row r="2094" spans="1:5" ht="15.5" x14ac:dyDescent="0.35">
      <c r="A2094" s="2" t="s">
        <v>2094</v>
      </c>
      <c r="B2094" s="2" t="s">
        <v>5181</v>
      </c>
      <c r="C2094" t="s">
        <v>2397</v>
      </c>
      <c r="D2094" t="s">
        <v>2619</v>
      </c>
    </row>
    <row r="2095" spans="1:5" ht="15.5" x14ac:dyDescent="0.35">
      <c r="A2095" s="2" t="s">
        <v>2095</v>
      </c>
      <c r="B2095" s="2" t="s">
        <v>5182</v>
      </c>
      <c r="C2095" t="s">
        <v>2394</v>
      </c>
      <c r="D2095" t="s">
        <v>3181</v>
      </c>
    </row>
    <row r="2096" spans="1:5" ht="15.5" x14ac:dyDescent="0.35">
      <c r="A2096" s="2" t="s">
        <v>2096</v>
      </c>
      <c r="B2096" s="2" t="s">
        <v>5183</v>
      </c>
      <c r="C2096" t="s">
        <v>2397</v>
      </c>
      <c r="D2096" t="s">
        <v>3178</v>
      </c>
    </row>
    <row r="2097" spans="1:5" ht="15.5" x14ac:dyDescent="0.35">
      <c r="A2097" s="2" t="s">
        <v>2097</v>
      </c>
      <c r="B2097" s="2" t="s">
        <v>5184</v>
      </c>
      <c r="C2097" t="s">
        <v>2397</v>
      </c>
      <c r="D2097" t="s">
        <v>3556</v>
      </c>
    </row>
    <row r="2098" spans="1:5" ht="15.5" x14ac:dyDescent="0.35">
      <c r="A2098" s="2" t="s">
        <v>2098</v>
      </c>
      <c r="B2098" s="2" t="s">
        <v>5185</v>
      </c>
      <c r="C2098" t="s">
        <v>2397</v>
      </c>
      <c r="D2098" t="s">
        <v>5186</v>
      </c>
    </row>
    <row r="2099" spans="1:5" ht="15.5" x14ac:dyDescent="0.35">
      <c r="A2099" s="2" t="s">
        <v>2099</v>
      </c>
      <c r="B2099" s="2" t="s">
        <v>5187</v>
      </c>
      <c r="C2099" t="s">
        <v>2394</v>
      </c>
      <c r="D2099" t="s">
        <v>2627</v>
      </c>
      <c r="E2099" t="s">
        <v>2501</v>
      </c>
    </row>
    <row r="2100" spans="1:5" ht="15.5" x14ac:dyDescent="0.35">
      <c r="A2100" s="2" t="s">
        <v>2100</v>
      </c>
      <c r="B2100" s="2" t="s">
        <v>5188</v>
      </c>
      <c r="C2100" t="s">
        <v>2397</v>
      </c>
      <c r="D2100" t="s">
        <v>2398</v>
      </c>
    </row>
    <row r="2101" spans="1:5" ht="15.5" x14ac:dyDescent="0.35">
      <c r="A2101" s="2" t="s">
        <v>2101</v>
      </c>
      <c r="B2101" s="2" t="s">
        <v>5189</v>
      </c>
      <c r="C2101" t="s">
        <v>2394</v>
      </c>
      <c r="D2101" t="s">
        <v>2567</v>
      </c>
      <c r="E2101" t="s">
        <v>2482</v>
      </c>
    </row>
    <row r="2102" spans="1:5" ht="15.5" x14ac:dyDescent="0.35">
      <c r="A2102" s="2" t="s">
        <v>2102</v>
      </c>
      <c r="B2102" s="2" t="s">
        <v>5190</v>
      </c>
      <c r="C2102" t="s">
        <v>2394</v>
      </c>
      <c r="D2102" t="s">
        <v>5191</v>
      </c>
    </row>
    <row r="2103" spans="1:5" ht="15.5" x14ac:dyDescent="0.35">
      <c r="A2103" s="2" t="s">
        <v>2103</v>
      </c>
      <c r="B2103" s="2" t="s">
        <v>4704</v>
      </c>
      <c r="C2103" t="s">
        <v>2397</v>
      </c>
      <c r="D2103" t="s">
        <v>3406</v>
      </c>
    </row>
    <row r="2104" spans="1:5" ht="15.5" x14ac:dyDescent="0.35">
      <c r="A2104" s="2" t="s">
        <v>2104</v>
      </c>
      <c r="B2104" s="2" t="s">
        <v>5192</v>
      </c>
      <c r="C2104" t="s">
        <v>2397</v>
      </c>
      <c r="D2104" t="s">
        <v>5193</v>
      </c>
      <c r="E2104" t="s">
        <v>2431</v>
      </c>
    </row>
    <row r="2105" spans="1:5" ht="15.5" x14ac:dyDescent="0.35">
      <c r="A2105" s="2" t="s">
        <v>2105</v>
      </c>
      <c r="B2105" s="2" t="s">
        <v>2413</v>
      </c>
      <c r="C2105" t="s">
        <v>2397</v>
      </c>
      <c r="D2105" t="s">
        <v>3042</v>
      </c>
    </row>
    <row r="2106" spans="1:5" ht="15.5" x14ac:dyDescent="0.35">
      <c r="A2106" s="2" t="s">
        <v>2106</v>
      </c>
      <c r="B2106" s="2" t="s">
        <v>5194</v>
      </c>
      <c r="C2106" t="s">
        <v>2394</v>
      </c>
      <c r="D2106" t="s">
        <v>3379</v>
      </c>
      <c r="E2106" t="s">
        <v>3350</v>
      </c>
    </row>
    <row r="2107" spans="1:5" ht="15.5" x14ac:dyDescent="0.35">
      <c r="A2107" s="2" t="s">
        <v>2107</v>
      </c>
      <c r="B2107" s="2" t="s">
        <v>2506</v>
      </c>
      <c r="C2107" t="s">
        <v>2394</v>
      </c>
      <c r="D2107" t="s">
        <v>2902</v>
      </c>
    </row>
    <row r="2108" spans="1:5" ht="15.5" x14ac:dyDescent="0.35">
      <c r="A2108" s="2" t="s">
        <v>2108</v>
      </c>
      <c r="B2108" s="2" t="s">
        <v>5195</v>
      </c>
      <c r="C2108" t="s">
        <v>5196</v>
      </c>
      <c r="D2108" t="s">
        <v>2394</v>
      </c>
      <c r="E2108" t="s">
        <v>5197</v>
      </c>
    </row>
    <row r="2109" spans="1:5" ht="15.5" x14ac:dyDescent="0.35">
      <c r="A2109" s="2" t="s">
        <v>2109</v>
      </c>
      <c r="B2109" s="2" t="s">
        <v>5198</v>
      </c>
      <c r="C2109" t="s">
        <v>2394</v>
      </c>
      <c r="D2109" t="s">
        <v>4032</v>
      </c>
      <c r="E2109" t="s">
        <v>2643</v>
      </c>
    </row>
    <row r="2110" spans="1:5" ht="15.5" x14ac:dyDescent="0.35">
      <c r="A2110" s="2" t="s">
        <v>2110</v>
      </c>
      <c r="B2110" s="2" t="s">
        <v>3208</v>
      </c>
      <c r="C2110" t="s">
        <v>2394</v>
      </c>
      <c r="D2110" t="s">
        <v>5199</v>
      </c>
    </row>
    <row r="2111" spans="1:5" ht="15.5" x14ac:dyDescent="0.35">
      <c r="A2111" s="2" t="s">
        <v>2111</v>
      </c>
      <c r="B2111" s="2" t="s">
        <v>5200</v>
      </c>
      <c r="C2111" t="s">
        <v>2394</v>
      </c>
      <c r="D2111" t="s">
        <v>5201</v>
      </c>
      <c r="E2111" t="s">
        <v>2561</v>
      </c>
    </row>
    <row r="2112" spans="1:5" ht="15.5" x14ac:dyDescent="0.35">
      <c r="A2112" s="2" t="s">
        <v>2112</v>
      </c>
      <c r="B2112" s="2" t="s">
        <v>5202</v>
      </c>
      <c r="C2112" t="s">
        <v>2394</v>
      </c>
      <c r="D2112" t="s">
        <v>5203</v>
      </c>
    </row>
    <row r="2113" spans="1:5" ht="15.5" x14ac:dyDescent="0.35">
      <c r="A2113" s="2" t="s">
        <v>2113</v>
      </c>
      <c r="B2113" s="2" t="s">
        <v>5204</v>
      </c>
      <c r="C2113" t="s">
        <v>2394</v>
      </c>
      <c r="D2113" t="s">
        <v>3234</v>
      </c>
      <c r="E2113" t="s">
        <v>2415</v>
      </c>
    </row>
    <row r="2114" spans="1:5" ht="15.5" x14ac:dyDescent="0.35">
      <c r="A2114" s="2" t="s">
        <v>2114</v>
      </c>
      <c r="B2114" s="2" t="s">
        <v>5205</v>
      </c>
      <c r="C2114" t="s">
        <v>2394</v>
      </c>
      <c r="D2114" t="s">
        <v>3350</v>
      </c>
    </row>
    <row r="2115" spans="1:5" ht="15.5" x14ac:dyDescent="0.35">
      <c r="A2115" s="2" t="s">
        <v>2115</v>
      </c>
      <c r="B2115" s="2" t="s">
        <v>5206</v>
      </c>
      <c r="C2115" t="s">
        <v>2394</v>
      </c>
      <c r="D2115" t="s">
        <v>2840</v>
      </c>
    </row>
    <row r="2116" spans="1:5" ht="15.5" x14ac:dyDescent="0.35">
      <c r="A2116" s="2" t="s">
        <v>2116</v>
      </c>
      <c r="B2116" s="2" t="s">
        <v>5207</v>
      </c>
      <c r="C2116" t="s">
        <v>2394</v>
      </c>
      <c r="D2116" t="s">
        <v>2872</v>
      </c>
      <c r="E2116" t="s">
        <v>2519</v>
      </c>
    </row>
    <row r="2117" spans="1:5" ht="15.5" x14ac:dyDescent="0.35">
      <c r="A2117" s="2" t="s">
        <v>2117</v>
      </c>
      <c r="B2117" s="2" t="s">
        <v>5208</v>
      </c>
      <c r="C2117" t="s">
        <v>2394</v>
      </c>
      <c r="D2117" t="s">
        <v>5209</v>
      </c>
      <c r="E2117" t="s">
        <v>2680</v>
      </c>
    </row>
    <row r="2118" spans="1:5" ht="15.5" x14ac:dyDescent="0.35">
      <c r="A2118" s="2" t="s">
        <v>2118</v>
      </c>
      <c r="B2118" s="2" t="s">
        <v>5210</v>
      </c>
      <c r="C2118" t="s">
        <v>2394</v>
      </c>
      <c r="D2118" t="s">
        <v>5211</v>
      </c>
    </row>
    <row r="2119" spans="1:5" ht="15.5" x14ac:dyDescent="0.35">
      <c r="A2119" s="2" t="s">
        <v>2119</v>
      </c>
      <c r="B2119" s="2" t="s">
        <v>5212</v>
      </c>
      <c r="C2119" t="s">
        <v>2397</v>
      </c>
      <c r="D2119" t="s">
        <v>4204</v>
      </c>
      <c r="E2119" t="s">
        <v>5213</v>
      </c>
    </row>
    <row r="2120" spans="1:5" ht="15.5" x14ac:dyDescent="0.35">
      <c r="A2120" s="2" t="s">
        <v>2120</v>
      </c>
      <c r="B2120" s="2" t="s">
        <v>5214</v>
      </c>
      <c r="C2120" t="s">
        <v>2397</v>
      </c>
      <c r="D2120" t="s">
        <v>2398</v>
      </c>
    </row>
    <row r="2121" spans="1:5" ht="15.5" x14ac:dyDescent="0.35">
      <c r="A2121" s="2" t="s">
        <v>2121</v>
      </c>
      <c r="B2121" s="2" t="s">
        <v>5215</v>
      </c>
      <c r="C2121" t="s">
        <v>2394</v>
      </c>
      <c r="D2121" t="s">
        <v>3260</v>
      </c>
    </row>
    <row r="2122" spans="1:5" ht="15.5" x14ac:dyDescent="0.35">
      <c r="A2122" s="2" t="s">
        <v>2122</v>
      </c>
      <c r="B2122" s="2" t="s">
        <v>5216</v>
      </c>
      <c r="C2122" t="s">
        <v>2394</v>
      </c>
      <c r="D2122" t="s">
        <v>2774</v>
      </c>
      <c r="E2122" t="s">
        <v>2671</v>
      </c>
    </row>
    <row r="2123" spans="1:5" ht="15.5" x14ac:dyDescent="0.35">
      <c r="A2123" s="2" t="s">
        <v>2123</v>
      </c>
      <c r="B2123" s="2" t="s">
        <v>5217</v>
      </c>
      <c r="C2123" t="s">
        <v>2394</v>
      </c>
      <c r="D2123" t="s">
        <v>3299</v>
      </c>
      <c r="E2123" t="s">
        <v>2415</v>
      </c>
    </row>
    <row r="2124" spans="1:5" ht="15.5" x14ac:dyDescent="0.35">
      <c r="A2124" s="2" t="s">
        <v>2124</v>
      </c>
      <c r="B2124" s="2" t="s">
        <v>5218</v>
      </c>
      <c r="C2124" t="s">
        <v>2394</v>
      </c>
      <c r="D2124" t="s">
        <v>3304</v>
      </c>
      <c r="E2124" t="s">
        <v>2467</v>
      </c>
    </row>
    <row r="2125" spans="1:5" ht="15.5" x14ac:dyDescent="0.35">
      <c r="A2125" s="2" t="s">
        <v>2125</v>
      </c>
      <c r="B2125" s="2" t="s">
        <v>3584</v>
      </c>
      <c r="C2125" t="s">
        <v>2394</v>
      </c>
      <c r="D2125" t="s">
        <v>5219</v>
      </c>
      <c r="E2125" t="s">
        <v>2436</v>
      </c>
    </row>
    <row r="2126" spans="1:5" ht="15.5" x14ac:dyDescent="0.35">
      <c r="A2126" s="2" t="s">
        <v>2126</v>
      </c>
      <c r="B2126" s="2" t="s">
        <v>5220</v>
      </c>
      <c r="C2126" t="s">
        <v>2394</v>
      </c>
      <c r="D2126" t="s">
        <v>5221</v>
      </c>
    </row>
    <row r="2127" spans="1:5" ht="15.5" x14ac:dyDescent="0.35">
      <c r="A2127" s="2" t="s">
        <v>2127</v>
      </c>
      <c r="B2127" s="2" t="s">
        <v>5222</v>
      </c>
      <c r="C2127" t="s">
        <v>2394</v>
      </c>
      <c r="D2127" t="s">
        <v>2435</v>
      </c>
      <c r="E2127" t="s">
        <v>2477</v>
      </c>
    </row>
    <row r="2128" spans="1:5" ht="15.5" x14ac:dyDescent="0.35">
      <c r="A2128" s="2" t="s">
        <v>2128</v>
      </c>
      <c r="B2128" s="2" t="s">
        <v>5223</v>
      </c>
      <c r="C2128" t="s">
        <v>2397</v>
      </c>
      <c r="D2128" t="s">
        <v>5224</v>
      </c>
      <c r="E2128" t="s">
        <v>2441</v>
      </c>
    </row>
    <row r="2129" spans="1:5" ht="15.5" x14ac:dyDescent="0.35">
      <c r="A2129" s="2" t="s">
        <v>2129</v>
      </c>
      <c r="B2129" s="2" t="s">
        <v>5225</v>
      </c>
      <c r="C2129" t="s">
        <v>2394</v>
      </c>
      <c r="D2129" t="s">
        <v>3359</v>
      </c>
    </row>
    <row r="2130" spans="1:5" ht="15.5" x14ac:dyDescent="0.35">
      <c r="A2130" s="2" t="s">
        <v>2130</v>
      </c>
      <c r="B2130" s="2" t="s">
        <v>5226</v>
      </c>
      <c r="C2130" t="s">
        <v>2394</v>
      </c>
      <c r="D2130" t="s">
        <v>4590</v>
      </c>
      <c r="E2130" t="s">
        <v>2540</v>
      </c>
    </row>
    <row r="2131" spans="1:5" ht="15.5" x14ac:dyDescent="0.35">
      <c r="A2131" s="2" t="s">
        <v>2131</v>
      </c>
      <c r="B2131" s="2" t="s">
        <v>3672</v>
      </c>
      <c r="C2131" t="s">
        <v>2394</v>
      </c>
      <c r="D2131" t="s">
        <v>4625</v>
      </c>
    </row>
    <row r="2132" spans="1:5" ht="15.5" x14ac:dyDescent="0.35">
      <c r="A2132" s="2" t="s">
        <v>2132</v>
      </c>
      <c r="B2132" s="2" t="s">
        <v>2488</v>
      </c>
      <c r="C2132" t="s">
        <v>2394</v>
      </c>
      <c r="D2132" t="s">
        <v>2947</v>
      </c>
    </row>
    <row r="2133" spans="1:5" ht="15.5" x14ac:dyDescent="0.35">
      <c r="A2133" s="2" t="s">
        <v>2133</v>
      </c>
      <c r="B2133" s="2" t="s">
        <v>5227</v>
      </c>
      <c r="C2133" t="s">
        <v>2397</v>
      </c>
      <c r="D2133" t="s">
        <v>3002</v>
      </c>
      <c r="E2133" t="s">
        <v>2625</v>
      </c>
    </row>
    <row r="2134" spans="1:5" ht="15.5" x14ac:dyDescent="0.35">
      <c r="A2134" s="2" t="s">
        <v>2134</v>
      </c>
      <c r="B2134" s="2" t="s">
        <v>5228</v>
      </c>
      <c r="C2134" t="s">
        <v>2394</v>
      </c>
      <c r="D2134" t="s">
        <v>2872</v>
      </c>
      <c r="E2134" t="s">
        <v>2482</v>
      </c>
    </row>
    <row r="2135" spans="1:5" ht="15.5" x14ac:dyDescent="0.35">
      <c r="A2135" s="2" t="s">
        <v>2135</v>
      </c>
      <c r="B2135" s="2" t="s">
        <v>5229</v>
      </c>
      <c r="C2135" t="s">
        <v>2397</v>
      </c>
      <c r="D2135" t="s">
        <v>2888</v>
      </c>
    </row>
    <row r="2136" spans="1:5" ht="15.5" x14ac:dyDescent="0.35">
      <c r="A2136" s="2" t="s">
        <v>2136</v>
      </c>
      <c r="B2136" s="2" t="s">
        <v>5230</v>
      </c>
      <c r="C2136" t="s">
        <v>2397</v>
      </c>
      <c r="D2136" t="s">
        <v>5231</v>
      </c>
    </row>
    <row r="2137" spans="1:5" ht="15.5" x14ac:dyDescent="0.35">
      <c r="A2137" s="2" t="s">
        <v>2137</v>
      </c>
      <c r="B2137" s="2" t="s">
        <v>5095</v>
      </c>
      <c r="C2137" t="s">
        <v>2397</v>
      </c>
      <c r="D2137" t="s">
        <v>5232</v>
      </c>
    </row>
    <row r="2138" spans="1:5" ht="15.5" x14ac:dyDescent="0.35">
      <c r="A2138" s="2" t="s">
        <v>2138</v>
      </c>
      <c r="B2138" s="2" t="s">
        <v>4622</v>
      </c>
      <c r="C2138" t="s">
        <v>2397</v>
      </c>
      <c r="D2138" t="s">
        <v>2646</v>
      </c>
      <c r="E2138" t="s">
        <v>2534</v>
      </c>
    </row>
    <row r="2139" spans="1:5" ht="15.5" x14ac:dyDescent="0.35">
      <c r="A2139" s="2" t="s">
        <v>2139</v>
      </c>
      <c r="B2139" s="2" t="s">
        <v>5233</v>
      </c>
      <c r="C2139" t="s">
        <v>3231</v>
      </c>
      <c r="D2139" t="s">
        <v>3181</v>
      </c>
    </row>
    <row r="2140" spans="1:5" ht="15.5" x14ac:dyDescent="0.35">
      <c r="A2140" s="2" t="s">
        <v>2140</v>
      </c>
      <c r="B2140" s="2" t="s">
        <v>5234</v>
      </c>
      <c r="C2140" t="s">
        <v>2397</v>
      </c>
      <c r="D2140" t="s">
        <v>4631</v>
      </c>
    </row>
    <row r="2141" spans="1:5" ht="15.5" x14ac:dyDescent="0.35">
      <c r="A2141" s="2" t="s">
        <v>2141</v>
      </c>
      <c r="B2141" s="2" t="s">
        <v>5235</v>
      </c>
      <c r="C2141" t="s">
        <v>2397</v>
      </c>
      <c r="D2141" t="s">
        <v>2503</v>
      </c>
    </row>
    <row r="2142" spans="1:5" ht="15.5" x14ac:dyDescent="0.35">
      <c r="A2142" s="2" t="s">
        <v>2142</v>
      </c>
      <c r="B2142" s="2" t="s">
        <v>2505</v>
      </c>
      <c r="C2142" t="s">
        <v>5236</v>
      </c>
      <c r="D2142" t="s">
        <v>2394</v>
      </c>
      <c r="E2142" t="s">
        <v>2435</v>
      </c>
    </row>
    <row r="2143" spans="1:5" ht="15.5" x14ac:dyDescent="0.35">
      <c r="A2143" s="2" t="s">
        <v>2143</v>
      </c>
      <c r="B2143" s="2" t="s">
        <v>5237</v>
      </c>
      <c r="C2143" t="s">
        <v>2394</v>
      </c>
      <c r="D2143" t="s">
        <v>5238</v>
      </c>
    </row>
    <row r="2144" spans="1:5" ht="15.5" x14ac:dyDescent="0.35">
      <c r="A2144" s="2" t="s">
        <v>2144</v>
      </c>
      <c r="B2144" s="2" t="s">
        <v>5239</v>
      </c>
      <c r="C2144" t="s">
        <v>2394</v>
      </c>
      <c r="D2144" t="s">
        <v>5240</v>
      </c>
    </row>
    <row r="2145" spans="1:6" ht="15.5" x14ac:dyDescent="0.35">
      <c r="A2145" s="2" t="s">
        <v>2145</v>
      </c>
      <c r="B2145" s="2" t="s">
        <v>5241</v>
      </c>
      <c r="C2145" t="s">
        <v>2394</v>
      </c>
      <c r="D2145" t="s">
        <v>5242</v>
      </c>
    </row>
    <row r="2146" spans="1:6" ht="15.5" x14ac:dyDescent="0.35">
      <c r="A2146" s="2" t="s">
        <v>2146</v>
      </c>
      <c r="B2146" s="2" t="s">
        <v>5243</v>
      </c>
      <c r="C2146" t="s">
        <v>2397</v>
      </c>
      <c r="D2146" t="s">
        <v>2407</v>
      </c>
      <c r="E2146" t="s">
        <v>2418</v>
      </c>
    </row>
    <row r="2147" spans="1:6" ht="15.5" x14ac:dyDescent="0.35">
      <c r="A2147" s="2" t="s">
        <v>2147</v>
      </c>
      <c r="B2147" s="2" t="s">
        <v>5244</v>
      </c>
      <c r="C2147" t="s">
        <v>2397</v>
      </c>
      <c r="D2147" t="s">
        <v>2410</v>
      </c>
      <c r="E2147" t="s">
        <v>2415</v>
      </c>
    </row>
    <row r="2148" spans="1:6" ht="15.5" x14ac:dyDescent="0.35">
      <c r="A2148" s="2" t="s">
        <v>2148</v>
      </c>
      <c r="B2148" s="2" t="s">
        <v>5245</v>
      </c>
      <c r="C2148" t="s">
        <v>2397</v>
      </c>
      <c r="D2148" t="s">
        <v>3907</v>
      </c>
      <c r="E2148" t="s">
        <v>3778</v>
      </c>
      <c r="F2148" t="s">
        <v>2441</v>
      </c>
    </row>
    <row r="2149" spans="1:6" ht="15.5" x14ac:dyDescent="0.35">
      <c r="A2149" s="2" t="s">
        <v>2149</v>
      </c>
      <c r="B2149" s="2" t="s">
        <v>5246</v>
      </c>
      <c r="C2149" t="s">
        <v>2397</v>
      </c>
      <c r="D2149" t="s">
        <v>2711</v>
      </c>
      <c r="E2149" t="s">
        <v>2625</v>
      </c>
    </row>
    <row r="2150" spans="1:6" ht="15.5" x14ac:dyDescent="0.35">
      <c r="A2150" s="2" t="s">
        <v>2150</v>
      </c>
      <c r="B2150" s="2" t="s">
        <v>5247</v>
      </c>
      <c r="C2150" t="s">
        <v>2397</v>
      </c>
      <c r="D2150" t="s">
        <v>2457</v>
      </c>
    </row>
    <row r="2151" spans="1:6" ht="15.5" x14ac:dyDescent="0.35">
      <c r="A2151" s="2" t="s">
        <v>2151</v>
      </c>
      <c r="B2151" s="2" t="s">
        <v>4426</v>
      </c>
      <c r="C2151" t="s">
        <v>2397</v>
      </c>
      <c r="D2151" t="s">
        <v>3091</v>
      </c>
      <c r="E2151" t="s">
        <v>2467</v>
      </c>
    </row>
    <row r="2152" spans="1:6" ht="15.5" x14ac:dyDescent="0.35">
      <c r="A2152" s="2" t="s">
        <v>2152</v>
      </c>
      <c r="B2152" s="2" t="s">
        <v>5248</v>
      </c>
      <c r="C2152" t="s">
        <v>2397</v>
      </c>
      <c r="D2152" t="s">
        <v>2414</v>
      </c>
      <c r="E2152" t="s">
        <v>2436</v>
      </c>
    </row>
    <row r="2153" spans="1:6" ht="15.5" x14ac:dyDescent="0.35">
      <c r="A2153" s="2" t="s">
        <v>2153</v>
      </c>
      <c r="B2153" s="2" t="s">
        <v>5249</v>
      </c>
      <c r="C2153" t="s">
        <v>2397</v>
      </c>
      <c r="D2153" t="s">
        <v>5250</v>
      </c>
      <c r="E2153" t="s">
        <v>2806</v>
      </c>
    </row>
    <row r="2154" spans="1:6" ht="15.5" x14ac:dyDescent="0.35">
      <c r="A2154" s="2" t="s">
        <v>2154</v>
      </c>
      <c r="B2154" s="2" t="s">
        <v>5251</v>
      </c>
      <c r="C2154" t="s">
        <v>2397</v>
      </c>
      <c r="D2154" t="s">
        <v>5252</v>
      </c>
    </row>
    <row r="2155" spans="1:6" ht="15.5" x14ac:dyDescent="0.35">
      <c r="A2155" s="2" t="s">
        <v>2155</v>
      </c>
      <c r="B2155" s="2" t="s">
        <v>5253</v>
      </c>
      <c r="C2155" t="s">
        <v>2397</v>
      </c>
      <c r="D2155" t="s">
        <v>3070</v>
      </c>
      <c r="E2155" t="s">
        <v>2561</v>
      </c>
    </row>
    <row r="2156" spans="1:6" ht="15.5" x14ac:dyDescent="0.35">
      <c r="A2156" s="2" t="s">
        <v>2156</v>
      </c>
      <c r="B2156" s="2" t="s">
        <v>5215</v>
      </c>
      <c r="C2156" t="s">
        <v>2397</v>
      </c>
      <c r="D2156" t="s">
        <v>2610</v>
      </c>
      <c r="E2156" t="s">
        <v>2462</v>
      </c>
    </row>
    <row r="2157" spans="1:6" ht="15.5" x14ac:dyDescent="0.35">
      <c r="A2157" s="2" t="s">
        <v>2157</v>
      </c>
      <c r="B2157" s="2" t="s">
        <v>5254</v>
      </c>
      <c r="C2157" t="s">
        <v>2397</v>
      </c>
      <c r="D2157" t="s">
        <v>4975</v>
      </c>
    </row>
    <row r="2158" spans="1:6" ht="15.5" x14ac:dyDescent="0.35">
      <c r="A2158" s="2" t="s">
        <v>2158</v>
      </c>
      <c r="B2158" s="2" t="s">
        <v>5255</v>
      </c>
      <c r="C2158" t="s">
        <v>2397</v>
      </c>
      <c r="D2158" t="s">
        <v>2412</v>
      </c>
    </row>
    <row r="2159" spans="1:6" ht="15.5" x14ac:dyDescent="0.35">
      <c r="A2159" s="2" t="s">
        <v>2159</v>
      </c>
      <c r="B2159" s="2" t="s">
        <v>5256</v>
      </c>
      <c r="C2159" t="s">
        <v>2394</v>
      </c>
      <c r="D2159" t="s">
        <v>5257</v>
      </c>
      <c r="E2159" t="s">
        <v>2477</v>
      </c>
    </row>
    <row r="2160" spans="1:6" ht="15.5" x14ac:dyDescent="0.35">
      <c r="A2160" s="2" t="s">
        <v>2160</v>
      </c>
      <c r="B2160" s="2" t="s">
        <v>5258</v>
      </c>
      <c r="C2160" t="s">
        <v>2394</v>
      </c>
      <c r="D2160" t="s">
        <v>4359</v>
      </c>
    </row>
    <row r="2161" spans="1:5" ht="15.5" x14ac:dyDescent="0.35">
      <c r="A2161" s="2" t="s">
        <v>2161</v>
      </c>
      <c r="B2161" s="2" t="s">
        <v>5259</v>
      </c>
      <c r="C2161" t="s">
        <v>2394</v>
      </c>
      <c r="D2161" t="s">
        <v>2589</v>
      </c>
      <c r="E2161" t="s">
        <v>2415</v>
      </c>
    </row>
    <row r="2162" spans="1:5" ht="15.5" x14ac:dyDescent="0.35">
      <c r="A2162" s="2" t="s">
        <v>2162</v>
      </c>
      <c r="B2162" s="2" t="s">
        <v>5260</v>
      </c>
      <c r="C2162" t="s">
        <v>2394</v>
      </c>
      <c r="D2162" t="s">
        <v>2769</v>
      </c>
      <c r="E2162" t="s">
        <v>2477</v>
      </c>
    </row>
    <row r="2163" spans="1:5" ht="15.5" x14ac:dyDescent="0.35">
      <c r="A2163" s="2" t="s">
        <v>2163</v>
      </c>
      <c r="B2163" s="2" t="s">
        <v>5261</v>
      </c>
      <c r="C2163" t="s">
        <v>2394</v>
      </c>
      <c r="D2163" t="s">
        <v>2769</v>
      </c>
    </row>
    <row r="2164" spans="1:5" ht="15.5" x14ac:dyDescent="0.35">
      <c r="A2164" s="2" t="s">
        <v>2164</v>
      </c>
      <c r="B2164" s="2" t="s">
        <v>5262</v>
      </c>
      <c r="C2164" t="s">
        <v>3231</v>
      </c>
      <c r="D2164" t="s">
        <v>2808</v>
      </c>
      <c r="E2164" t="s">
        <v>2806</v>
      </c>
    </row>
    <row r="2165" spans="1:5" ht="15.5" x14ac:dyDescent="0.35">
      <c r="A2165" s="2" t="s">
        <v>2165</v>
      </c>
      <c r="B2165" s="2" t="s">
        <v>2571</v>
      </c>
      <c r="C2165" t="s">
        <v>2394</v>
      </c>
      <c r="D2165" t="s">
        <v>5263</v>
      </c>
      <c r="E2165" t="s">
        <v>2467</v>
      </c>
    </row>
    <row r="2166" spans="1:5" ht="15.5" x14ac:dyDescent="0.35">
      <c r="A2166" s="2" t="s">
        <v>2166</v>
      </c>
      <c r="B2166" s="2" t="s">
        <v>5264</v>
      </c>
      <c r="C2166" t="s">
        <v>2397</v>
      </c>
      <c r="D2166" t="s">
        <v>2636</v>
      </c>
    </row>
    <row r="2167" spans="1:5" ht="15.5" x14ac:dyDescent="0.35">
      <c r="A2167" s="2" t="s">
        <v>2167</v>
      </c>
      <c r="B2167" s="2" t="s">
        <v>5265</v>
      </c>
      <c r="C2167" t="s">
        <v>2397</v>
      </c>
      <c r="D2167" t="s">
        <v>2798</v>
      </c>
      <c r="E2167" t="s">
        <v>2723</v>
      </c>
    </row>
    <row r="2168" spans="1:5" ht="15.5" x14ac:dyDescent="0.35">
      <c r="A2168" s="2" t="s">
        <v>2168</v>
      </c>
      <c r="B2168" s="2" t="s">
        <v>5266</v>
      </c>
      <c r="C2168" t="s">
        <v>2397</v>
      </c>
      <c r="D2168" t="s">
        <v>5267</v>
      </c>
    </row>
    <row r="2169" spans="1:5" ht="15.5" x14ac:dyDescent="0.35">
      <c r="A2169" s="2" t="s">
        <v>2169</v>
      </c>
      <c r="B2169" s="2" t="s">
        <v>5268</v>
      </c>
      <c r="C2169" t="s">
        <v>2397</v>
      </c>
      <c r="D2169" t="s">
        <v>3363</v>
      </c>
    </row>
    <row r="2170" spans="1:5" ht="15.5" x14ac:dyDescent="0.35">
      <c r="A2170" s="2" t="s">
        <v>2170</v>
      </c>
      <c r="B2170" s="2" t="s">
        <v>5269</v>
      </c>
      <c r="C2170" t="s">
        <v>2397</v>
      </c>
      <c r="D2170" t="s">
        <v>5270</v>
      </c>
    </row>
    <row r="2171" spans="1:5" ht="15.5" x14ac:dyDescent="0.35">
      <c r="A2171" s="2" t="s">
        <v>2171</v>
      </c>
      <c r="B2171" s="2" t="s">
        <v>5271</v>
      </c>
      <c r="C2171" t="s">
        <v>2397</v>
      </c>
      <c r="D2171" t="s">
        <v>2452</v>
      </c>
    </row>
    <row r="2172" spans="1:5" ht="15.5" x14ac:dyDescent="0.35">
      <c r="A2172" s="2" t="s">
        <v>2172</v>
      </c>
      <c r="B2172" s="2" t="s">
        <v>5272</v>
      </c>
      <c r="C2172" t="s">
        <v>2394</v>
      </c>
      <c r="D2172" t="s">
        <v>2840</v>
      </c>
      <c r="E2172" t="s">
        <v>2482</v>
      </c>
    </row>
    <row r="2173" spans="1:5" ht="15.5" x14ac:dyDescent="0.35">
      <c r="A2173" s="2" t="s">
        <v>2173</v>
      </c>
      <c r="B2173" s="2" t="s">
        <v>4718</v>
      </c>
      <c r="C2173" t="s">
        <v>2397</v>
      </c>
      <c r="D2173" t="s">
        <v>2711</v>
      </c>
    </row>
    <row r="2174" spans="1:5" ht="15.5" x14ac:dyDescent="0.35">
      <c r="A2174" s="2" t="s">
        <v>2174</v>
      </c>
      <c r="B2174" s="2" t="s">
        <v>5273</v>
      </c>
      <c r="C2174" t="s">
        <v>2397</v>
      </c>
      <c r="D2174" t="s">
        <v>2727</v>
      </c>
      <c r="E2174" t="s">
        <v>2700</v>
      </c>
    </row>
    <row r="2175" spans="1:5" ht="15.5" x14ac:dyDescent="0.35">
      <c r="A2175" s="2" t="s">
        <v>2175</v>
      </c>
      <c r="B2175" s="2" t="s">
        <v>4067</v>
      </c>
      <c r="C2175" t="s">
        <v>2394</v>
      </c>
      <c r="D2175" t="s">
        <v>3132</v>
      </c>
      <c r="E2175" t="s">
        <v>2485</v>
      </c>
    </row>
    <row r="2176" spans="1:5" ht="15.5" x14ac:dyDescent="0.35">
      <c r="A2176" s="2" t="s">
        <v>2176</v>
      </c>
      <c r="B2176" s="2" t="s">
        <v>5274</v>
      </c>
      <c r="C2176" t="s">
        <v>2397</v>
      </c>
      <c r="D2176" t="s">
        <v>5275</v>
      </c>
      <c r="E2176" t="s">
        <v>2799</v>
      </c>
    </row>
    <row r="2177" spans="1:5" ht="15.5" x14ac:dyDescent="0.35">
      <c r="A2177" s="2" t="s">
        <v>2177</v>
      </c>
      <c r="B2177" s="2" t="s">
        <v>2835</v>
      </c>
      <c r="C2177" t="s">
        <v>2394</v>
      </c>
      <c r="D2177" t="s">
        <v>5276</v>
      </c>
      <c r="E2177" t="s">
        <v>2436</v>
      </c>
    </row>
    <row r="2178" spans="1:5" ht="15.5" x14ac:dyDescent="0.35">
      <c r="A2178" s="2" t="s">
        <v>2178</v>
      </c>
      <c r="B2178" s="2" t="s">
        <v>2822</v>
      </c>
      <c r="C2178" t="s">
        <v>2394</v>
      </c>
      <c r="D2178" t="s">
        <v>2422</v>
      </c>
      <c r="E2178" t="s">
        <v>2467</v>
      </c>
    </row>
    <row r="2179" spans="1:5" ht="15.5" x14ac:dyDescent="0.35">
      <c r="A2179" s="2" t="s">
        <v>2179</v>
      </c>
      <c r="B2179" s="2" t="s">
        <v>3482</v>
      </c>
      <c r="C2179" t="s">
        <v>2394</v>
      </c>
      <c r="D2179" t="s">
        <v>3036</v>
      </c>
    </row>
    <row r="2180" spans="1:5" ht="15.5" x14ac:dyDescent="0.35">
      <c r="A2180" s="2" t="s">
        <v>2180</v>
      </c>
      <c r="B2180" s="2" t="s">
        <v>5277</v>
      </c>
      <c r="C2180" t="s">
        <v>2394</v>
      </c>
      <c r="D2180" t="s">
        <v>3205</v>
      </c>
      <c r="E2180" t="s">
        <v>2436</v>
      </c>
    </row>
    <row r="2181" spans="1:5" ht="15.5" x14ac:dyDescent="0.35">
      <c r="A2181" s="2" t="s">
        <v>2181</v>
      </c>
      <c r="B2181" s="2" t="s">
        <v>4111</v>
      </c>
      <c r="C2181" t="s">
        <v>2394</v>
      </c>
      <c r="D2181" t="s">
        <v>3000</v>
      </c>
    </row>
    <row r="2182" spans="1:5" ht="15.5" x14ac:dyDescent="0.35">
      <c r="A2182" s="2" t="s">
        <v>2182</v>
      </c>
      <c r="B2182" s="2" t="s">
        <v>5278</v>
      </c>
      <c r="C2182" t="s">
        <v>2394</v>
      </c>
      <c r="D2182" t="s">
        <v>5279</v>
      </c>
    </row>
    <row r="2183" spans="1:5" ht="15.5" x14ac:dyDescent="0.35">
      <c r="A2183" s="2" t="s">
        <v>2183</v>
      </c>
      <c r="B2183" s="2" t="s">
        <v>5280</v>
      </c>
      <c r="C2183" t="s">
        <v>2394</v>
      </c>
      <c r="D2183" t="s">
        <v>3031</v>
      </c>
    </row>
    <row r="2184" spans="1:5" ht="15.5" x14ac:dyDescent="0.35">
      <c r="A2184" s="2" t="s">
        <v>2184</v>
      </c>
      <c r="B2184" s="2" t="s">
        <v>3086</v>
      </c>
      <c r="C2184" t="s">
        <v>2397</v>
      </c>
      <c r="D2184" t="s">
        <v>2675</v>
      </c>
      <c r="E2184" t="s">
        <v>2622</v>
      </c>
    </row>
    <row r="2185" spans="1:5" ht="15.5" x14ac:dyDescent="0.35">
      <c r="A2185" s="2" t="s">
        <v>2185</v>
      </c>
      <c r="B2185" s="2" t="s">
        <v>5281</v>
      </c>
      <c r="C2185" t="s">
        <v>2397</v>
      </c>
      <c r="D2185" t="s">
        <v>5282</v>
      </c>
    </row>
    <row r="2186" spans="1:5" ht="15.5" x14ac:dyDescent="0.35">
      <c r="A2186" s="2" t="s">
        <v>2186</v>
      </c>
      <c r="B2186" s="2" t="s">
        <v>5283</v>
      </c>
      <c r="C2186" t="s">
        <v>2397</v>
      </c>
      <c r="D2186" t="s">
        <v>2884</v>
      </c>
    </row>
    <row r="2187" spans="1:5" ht="15.5" x14ac:dyDescent="0.35">
      <c r="A2187" s="2" t="s">
        <v>2187</v>
      </c>
      <c r="B2187" s="2" t="s">
        <v>3323</v>
      </c>
      <c r="C2187" t="s">
        <v>2397</v>
      </c>
      <c r="D2187" t="s">
        <v>2834</v>
      </c>
      <c r="E2187" t="s">
        <v>2540</v>
      </c>
    </row>
    <row r="2188" spans="1:5" ht="15.5" x14ac:dyDescent="0.35">
      <c r="A2188" s="2" t="s">
        <v>2188</v>
      </c>
      <c r="B2188" s="2" t="s">
        <v>5284</v>
      </c>
      <c r="C2188" t="s">
        <v>2397</v>
      </c>
      <c r="D2188" t="s">
        <v>2410</v>
      </c>
    </row>
    <row r="2189" spans="1:5" ht="15.5" x14ac:dyDescent="0.35">
      <c r="A2189" s="2" t="s">
        <v>2189</v>
      </c>
      <c r="B2189" s="2" t="s">
        <v>5285</v>
      </c>
      <c r="C2189" t="s">
        <v>2397</v>
      </c>
      <c r="D2189" t="s">
        <v>2577</v>
      </c>
    </row>
    <row r="2190" spans="1:5" ht="15.5" x14ac:dyDescent="0.35">
      <c r="A2190" s="2" t="s">
        <v>2190</v>
      </c>
      <c r="B2190" s="2" t="s">
        <v>4334</v>
      </c>
      <c r="C2190" t="s">
        <v>2397</v>
      </c>
      <c r="D2190" t="s">
        <v>2830</v>
      </c>
      <c r="E2190" t="s">
        <v>2540</v>
      </c>
    </row>
    <row r="2191" spans="1:5" ht="15.5" x14ac:dyDescent="0.35">
      <c r="A2191" s="2" t="s">
        <v>2191</v>
      </c>
      <c r="B2191" s="2" t="s">
        <v>5286</v>
      </c>
      <c r="C2191" t="s">
        <v>2397</v>
      </c>
      <c r="D2191" t="s">
        <v>2912</v>
      </c>
      <c r="E2191" t="s">
        <v>2448</v>
      </c>
    </row>
    <row r="2192" spans="1:5" ht="15.5" x14ac:dyDescent="0.35">
      <c r="A2192" s="2" t="s">
        <v>2192</v>
      </c>
      <c r="B2192" s="2" t="s">
        <v>2819</v>
      </c>
      <c r="C2192" t="s">
        <v>2397</v>
      </c>
      <c r="D2192" t="s">
        <v>5287</v>
      </c>
      <c r="E2192" t="s">
        <v>2477</v>
      </c>
    </row>
    <row r="2193" spans="1:6" ht="15.5" x14ac:dyDescent="0.35">
      <c r="A2193" s="2" t="s">
        <v>2193</v>
      </c>
      <c r="B2193" s="2" t="s">
        <v>5288</v>
      </c>
      <c r="C2193" t="s">
        <v>2397</v>
      </c>
      <c r="D2193" t="s">
        <v>2443</v>
      </c>
      <c r="E2193" t="s">
        <v>2680</v>
      </c>
      <c r="F2193" t="s">
        <v>3564</v>
      </c>
    </row>
    <row r="2194" spans="1:6" ht="15.5" x14ac:dyDescent="0.35">
      <c r="A2194" s="2" t="s">
        <v>2194</v>
      </c>
      <c r="B2194" s="2" t="s">
        <v>4801</v>
      </c>
      <c r="C2194" t="s">
        <v>2397</v>
      </c>
      <c r="D2194" t="s">
        <v>2577</v>
      </c>
      <c r="E2194" t="s">
        <v>2467</v>
      </c>
    </row>
    <row r="2195" spans="1:6" ht="15.5" x14ac:dyDescent="0.35">
      <c r="A2195" s="2" t="s">
        <v>2195</v>
      </c>
      <c r="B2195" s="2" t="s">
        <v>3415</v>
      </c>
      <c r="C2195" t="s">
        <v>2397</v>
      </c>
      <c r="D2195" t="s">
        <v>5289</v>
      </c>
      <c r="E2195" t="s">
        <v>2462</v>
      </c>
    </row>
    <row r="2196" spans="1:6" ht="15.5" x14ac:dyDescent="0.35">
      <c r="A2196" s="2" t="s">
        <v>2196</v>
      </c>
      <c r="B2196" s="2" t="s">
        <v>5290</v>
      </c>
      <c r="C2196" t="s">
        <v>2397</v>
      </c>
      <c r="D2196" t="s">
        <v>2625</v>
      </c>
      <c r="E2196" t="s">
        <v>2561</v>
      </c>
    </row>
    <row r="2197" spans="1:6" ht="15.5" x14ac:dyDescent="0.35">
      <c r="A2197" s="2" t="s">
        <v>2197</v>
      </c>
      <c r="B2197" s="2" t="s">
        <v>3274</v>
      </c>
      <c r="C2197" t="s">
        <v>2397</v>
      </c>
      <c r="D2197" t="s">
        <v>3137</v>
      </c>
      <c r="E2197" t="s">
        <v>2886</v>
      </c>
    </row>
    <row r="2198" spans="1:6" ht="15.5" x14ac:dyDescent="0.35">
      <c r="A2198" s="2" t="s">
        <v>2198</v>
      </c>
      <c r="B2198" s="2" t="s">
        <v>5291</v>
      </c>
      <c r="C2198" t="s">
        <v>2397</v>
      </c>
      <c r="D2198" t="s">
        <v>2510</v>
      </c>
      <c r="E2198" t="s">
        <v>3328</v>
      </c>
    </row>
    <row r="2199" spans="1:6" ht="15.5" x14ac:dyDescent="0.35">
      <c r="A2199" s="2" t="s">
        <v>2199</v>
      </c>
      <c r="B2199" s="2" t="s">
        <v>5292</v>
      </c>
      <c r="C2199" t="s">
        <v>2397</v>
      </c>
      <c r="D2199" t="s">
        <v>2481</v>
      </c>
    </row>
    <row r="2200" spans="1:6" ht="15.5" x14ac:dyDescent="0.35">
      <c r="A2200" s="2" t="s">
        <v>2200</v>
      </c>
      <c r="B2200" s="2" t="s">
        <v>5293</v>
      </c>
      <c r="C2200" t="s">
        <v>2397</v>
      </c>
      <c r="D2200" t="s">
        <v>2452</v>
      </c>
      <c r="E2200" t="s">
        <v>2607</v>
      </c>
    </row>
    <row r="2201" spans="1:6" ht="15.5" x14ac:dyDescent="0.35">
      <c r="A2201" s="2" t="s">
        <v>2201</v>
      </c>
      <c r="B2201" s="2" t="s">
        <v>5294</v>
      </c>
      <c r="C2201" t="s">
        <v>2397</v>
      </c>
      <c r="D2201" t="s">
        <v>5295</v>
      </c>
    </row>
    <row r="2202" spans="1:6" ht="15.5" x14ac:dyDescent="0.35">
      <c r="A2202" s="2" t="s">
        <v>2202</v>
      </c>
      <c r="B2202" s="2" t="s">
        <v>5296</v>
      </c>
      <c r="C2202" t="s">
        <v>2397</v>
      </c>
      <c r="D2202" t="s">
        <v>2414</v>
      </c>
      <c r="E2202" t="s">
        <v>2485</v>
      </c>
    </row>
    <row r="2203" spans="1:6" ht="15.5" x14ac:dyDescent="0.35">
      <c r="A2203" s="2" t="s">
        <v>2203</v>
      </c>
      <c r="B2203" s="2" t="s">
        <v>5297</v>
      </c>
      <c r="C2203" t="s">
        <v>2397</v>
      </c>
      <c r="D2203" t="s">
        <v>2762</v>
      </c>
    </row>
    <row r="2204" spans="1:6" ht="15.5" x14ac:dyDescent="0.35">
      <c r="A2204" s="2" t="s">
        <v>2204</v>
      </c>
      <c r="B2204" s="2" t="s">
        <v>5298</v>
      </c>
      <c r="C2204" t="s">
        <v>2394</v>
      </c>
      <c r="D2204" t="s">
        <v>5109</v>
      </c>
      <c r="E2204" t="s">
        <v>2477</v>
      </c>
    </row>
    <row r="2205" spans="1:6" ht="15.5" x14ac:dyDescent="0.35">
      <c r="A2205" s="2" t="s">
        <v>2205</v>
      </c>
      <c r="B2205" s="2" t="s">
        <v>5299</v>
      </c>
      <c r="C2205" t="s">
        <v>2394</v>
      </c>
      <c r="D2205" t="s">
        <v>2422</v>
      </c>
      <c r="E2205" t="s">
        <v>2590</v>
      </c>
    </row>
    <row r="2206" spans="1:6" ht="15.5" x14ac:dyDescent="0.35">
      <c r="A2206" s="2" t="s">
        <v>2206</v>
      </c>
      <c r="B2206" s="2" t="s">
        <v>5300</v>
      </c>
      <c r="C2206" t="s">
        <v>2394</v>
      </c>
      <c r="D2206" t="s">
        <v>5301</v>
      </c>
    </row>
    <row r="2207" spans="1:6" ht="15.5" x14ac:dyDescent="0.35">
      <c r="A2207" s="2" t="s">
        <v>2207</v>
      </c>
      <c r="B2207" s="2" t="s">
        <v>5302</v>
      </c>
      <c r="C2207" t="s">
        <v>2397</v>
      </c>
      <c r="D2207" t="s">
        <v>3874</v>
      </c>
      <c r="E2207" t="s">
        <v>2625</v>
      </c>
    </row>
    <row r="2208" spans="1:6" ht="15.5" x14ac:dyDescent="0.35">
      <c r="A2208" s="2" t="s">
        <v>2208</v>
      </c>
      <c r="B2208" s="2" t="s">
        <v>5303</v>
      </c>
      <c r="C2208" t="s">
        <v>2397</v>
      </c>
      <c r="D2208" t="s">
        <v>3827</v>
      </c>
    </row>
    <row r="2209" spans="1:6" ht="15.5" x14ac:dyDescent="0.35">
      <c r="A2209" s="2" t="s">
        <v>2209</v>
      </c>
      <c r="B2209" s="2" t="s">
        <v>5304</v>
      </c>
      <c r="C2209" t="s">
        <v>2394</v>
      </c>
      <c r="D2209" t="s">
        <v>5305</v>
      </c>
      <c r="E2209" t="s">
        <v>5306</v>
      </c>
      <c r="F2209" t="s">
        <v>2441</v>
      </c>
    </row>
    <row r="2210" spans="1:6" ht="15.5" x14ac:dyDescent="0.35">
      <c r="A2210" s="2" t="s">
        <v>2210</v>
      </c>
      <c r="B2210" s="2" t="s">
        <v>5307</v>
      </c>
      <c r="C2210" t="s">
        <v>2394</v>
      </c>
      <c r="D2210" t="s">
        <v>5308</v>
      </c>
    </row>
    <row r="2211" spans="1:6" ht="15.5" x14ac:dyDescent="0.35">
      <c r="A2211" s="2" t="s">
        <v>2211</v>
      </c>
      <c r="B2211" s="2" t="s">
        <v>5309</v>
      </c>
      <c r="C2211" t="s">
        <v>2394</v>
      </c>
      <c r="D2211" t="s">
        <v>2435</v>
      </c>
      <c r="E2211" t="s">
        <v>2436</v>
      </c>
    </row>
    <row r="2212" spans="1:6" ht="15.5" x14ac:dyDescent="0.35">
      <c r="A2212" s="2" t="s">
        <v>2212</v>
      </c>
      <c r="B2212" s="2" t="s">
        <v>5310</v>
      </c>
      <c r="C2212" t="s">
        <v>2397</v>
      </c>
      <c r="D2212" t="s">
        <v>2953</v>
      </c>
    </row>
    <row r="2213" spans="1:6" ht="15.5" x14ac:dyDescent="0.35">
      <c r="A2213" s="2" t="s">
        <v>2213</v>
      </c>
      <c r="B2213" s="2" t="s">
        <v>4865</v>
      </c>
      <c r="C2213" t="s">
        <v>2397</v>
      </c>
      <c r="D2213" t="s">
        <v>3827</v>
      </c>
    </row>
    <row r="2214" spans="1:6" ht="15.5" x14ac:dyDescent="0.35">
      <c r="A2214" s="2" t="s">
        <v>2214</v>
      </c>
      <c r="B2214" s="2" t="s">
        <v>5311</v>
      </c>
      <c r="C2214" t="s">
        <v>2397</v>
      </c>
      <c r="D2214" t="s">
        <v>2790</v>
      </c>
    </row>
    <row r="2215" spans="1:6" ht="15.5" x14ac:dyDescent="0.35">
      <c r="A2215" s="2" t="s">
        <v>2215</v>
      </c>
      <c r="B2215" s="2" t="s">
        <v>2600</v>
      </c>
      <c r="C2215" t="s">
        <v>5312</v>
      </c>
      <c r="D2215" t="s">
        <v>2394</v>
      </c>
      <c r="E2215" t="s">
        <v>3004</v>
      </c>
      <c r="F2215" t="s">
        <v>2431</v>
      </c>
    </row>
    <row r="2216" spans="1:6" ht="15.5" x14ac:dyDescent="0.35">
      <c r="A2216" s="2" t="s">
        <v>2216</v>
      </c>
      <c r="B2216" s="2" t="s">
        <v>5313</v>
      </c>
      <c r="C2216" t="s">
        <v>2394</v>
      </c>
      <c r="D2216" t="s">
        <v>2624</v>
      </c>
    </row>
    <row r="2217" spans="1:6" ht="15.5" x14ac:dyDescent="0.35">
      <c r="A2217" s="2" t="s">
        <v>2217</v>
      </c>
      <c r="B2217" s="2" t="s">
        <v>3626</v>
      </c>
      <c r="C2217" t="s">
        <v>2397</v>
      </c>
      <c r="D2217" t="s">
        <v>4778</v>
      </c>
      <c r="E2217" t="s">
        <v>2561</v>
      </c>
    </row>
    <row r="2218" spans="1:6" ht="15.5" x14ac:dyDescent="0.35">
      <c r="A2218" s="2" t="s">
        <v>2218</v>
      </c>
      <c r="B2218" s="2" t="s">
        <v>2538</v>
      </c>
      <c r="C2218" t="s">
        <v>2394</v>
      </c>
      <c r="D2218" t="s">
        <v>2435</v>
      </c>
      <c r="E2218" t="s">
        <v>2519</v>
      </c>
    </row>
    <row r="2219" spans="1:6" ht="15.5" x14ac:dyDescent="0.35">
      <c r="A2219" s="2" t="s">
        <v>2219</v>
      </c>
      <c r="B2219" s="2" t="s">
        <v>5314</v>
      </c>
      <c r="C2219" t="s">
        <v>2394</v>
      </c>
      <c r="D2219" t="s">
        <v>3585</v>
      </c>
    </row>
    <row r="2220" spans="1:6" ht="15.5" x14ac:dyDescent="0.35">
      <c r="A2220" s="2" t="s">
        <v>2220</v>
      </c>
      <c r="B2220" s="2" t="s">
        <v>5315</v>
      </c>
      <c r="C2220" t="s">
        <v>2394</v>
      </c>
      <c r="D2220" t="s">
        <v>2657</v>
      </c>
    </row>
    <row r="2221" spans="1:6" ht="15.5" x14ac:dyDescent="0.35">
      <c r="A2221" s="2" t="s">
        <v>2221</v>
      </c>
      <c r="B2221" s="2" t="s">
        <v>5316</v>
      </c>
      <c r="C2221" t="s">
        <v>2394</v>
      </c>
      <c r="D2221" t="s">
        <v>3519</v>
      </c>
      <c r="E2221" t="s">
        <v>2436</v>
      </c>
    </row>
    <row r="2222" spans="1:6" ht="15.5" x14ac:dyDescent="0.35">
      <c r="A2222" s="2" t="s">
        <v>2222</v>
      </c>
      <c r="B2222" s="2" t="s">
        <v>5317</v>
      </c>
      <c r="C2222" t="s">
        <v>2397</v>
      </c>
      <c r="D2222" t="s">
        <v>2690</v>
      </c>
    </row>
    <row r="2223" spans="1:6" ht="15.5" x14ac:dyDescent="0.35">
      <c r="A2223" s="2" t="s">
        <v>2223</v>
      </c>
      <c r="B2223" s="2" t="s">
        <v>5318</v>
      </c>
      <c r="C2223" t="s">
        <v>2397</v>
      </c>
      <c r="D2223" t="s">
        <v>2398</v>
      </c>
      <c r="E2223" t="s">
        <v>2534</v>
      </c>
    </row>
    <row r="2224" spans="1:6" ht="15.5" x14ac:dyDescent="0.35">
      <c r="A2224" s="2" t="s">
        <v>2224</v>
      </c>
      <c r="B2224" s="2" t="s">
        <v>3223</v>
      </c>
      <c r="C2224" t="s">
        <v>2397</v>
      </c>
      <c r="D2224" t="s">
        <v>3070</v>
      </c>
    </row>
    <row r="2225" spans="1:5" ht="15.5" x14ac:dyDescent="0.35">
      <c r="A2225" s="2" t="s">
        <v>2225</v>
      </c>
      <c r="B2225" s="2" t="s">
        <v>5319</v>
      </c>
      <c r="C2225" t="s">
        <v>2397</v>
      </c>
      <c r="D2225" t="s">
        <v>2398</v>
      </c>
      <c r="E2225" t="s">
        <v>2534</v>
      </c>
    </row>
    <row r="2226" spans="1:5" ht="15.5" x14ac:dyDescent="0.35">
      <c r="A2226" s="2" t="s">
        <v>2226</v>
      </c>
      <c r="B2226" s="2" t="s">
        <v>4869</v>
      </c>
      <c r="C2226" t="s">
        <v>2397</v>
      </c>
      <c r="D2226" t="s">
        <v>5320</v>
      </c>
    </row>
    <row r="2227" spans="1:5" ht="15.5" x14ac:dyDescent="0.35">
      <c r="A2227" s="2" t="s">
        <v>2227</v>
      </c>
      <c r="B2227" s="2" t="s">
        <v>3592</v>
      </c>
      <c r="C2227" t="s">
        <v>2394</v>
      </c>
      <c r="D2227" t="s">
        <v>2872</v>
      </c>
    </row>
    <row r="2228" spans="1:5" ht="15.5" x14ac:dyDescent="0.35">
      <c r="A2228" s="2" t="s">
        <v>2228</v>
      </c>
      <c r="B2228" s="2" t="s">
        <v>4364</v>
      </c>
      <c r="C2228" t="s">
        <v>2394</v>
      </c>
      <c r="D2228" t="s">
        <v>2657</v>
      </c>
      <c r="E2228" t="s">
        <v>2436</v>
      </c>
    </row>
    <row r="2229" spans="1:5" ht="15.5" x14ac:dyDescent="0.35">
      <c r="A2229" s="2" t="s">
        <v>2229</v>
      </c>
      <c r="B2229" s="2" t="s">
        <v>5321</v>
      </c>
      <c r="C2229" t="s">
        <v>2394</v>
      </c>
      <c r="D2229" t="s">
        <v>2585</v>
      </c>
      <c r="E2229" t="s">
        <v>2431</v>
      </c>
    </row>
    <row r="2230" spans="1:5" ht="15.5" x14ac:dyDescent="0.35">
      <c r="A2230" s="2" t="s">
        <v>2230</v>
      </c>
      <c r="B2230" s="2" t="s">
        <v>5322</v>
      </c>
      <c r="C2230" t="s">
        <v>2394</v>
      </c>
      <c r="D2230" t="s">
        <v>3637</v>
      </c>
    </row>
    <row r="2231" spans="1:5" ht="15.5" x14ac:dyDescent="0.35">
      <c r="A2231" s="2" t="s">
        <v>2231</v>
      </c>
      <c r="B2231" s="2" t="s">
        <v>5323</v>
      </c>
      <c r="C2231" t="s">
        <v>2397</v>
      </c>
      <c r="D2231" t="s">
        <v>3105</v>
      </c>
      <c r="E2231" t="s">
        <v>2671</v>
      </c>
    </row>
    <row r="2232" spans="1:5" ht="15.5" x14ac:dyDescent="0.35">
      <c r="A2232" s="2" t="s">
        <v>2232</v>
      </c>
      <c r="B2232" s="2" t="s">
        <v>5324</v>
      </c>
      <c r="C2232" t="s">
        <v>2394</v>
      </c>
      <c r="D2232" t="s">
        <v>3975</v>
      </c>
      <c r="E2232" t="s">
        <v>2671</v>
      </c>
    </row>
    <row r="2233" spans="1:5" ht="15.5" x14ac:dyDescent="0.35">
      <c r="A2233" s="2" t="s">
        <v>2233</v>
      </c>
      <c r="B2233" s="2" t="s">
        <v>5325</v>
      </c>
      <c r="C2233" t="s">
        <v>2394</v>
      </c>
      <c r="D2233" t="s">
        <v>2939</v>
      </c>
    </row>
    <row r="2234" spans="1:5" ht="15.5" x14ac:dyDescent="0.35">
      <c r="A2234" s="2" t="s">
        <v>2234</v>
      </c>
      <c r="B2234" s="2" t="s">
        <v>5326</v>
      </c>
      <c r="C2234" t="s">
        <v>2394</v>
      </c>
      <c r="D2234" t="s">
        <v>2769</v>
      </c>
      <c r="E2234" t="s">
        <v>2680</v>
      </c>
    </row>
    <row r="2235" spans="1:5" ht="15.5" x14ac:dyDescent="0.35">
      <c r="A2235" s="2" t="s">
        <v>2235</v>
      </c>
      <c r="B2235" s="2" t="s">
        <v>4028</v>
      </c>
      <c r="C2235" t="s">
        <v>2397</v>
      </c>
      <c r="D2235" t="s">
        <v>2410</v>
      </c>
    </row>
    <row r="2236" spans="1:5" ht="15.5" x14ac:dyDescent="0.35">
      <c r="A2236" s="2" t="s">
        <v>2236</v>
      </c>
      <c r="B2236" s="2" t="s">
        <v>5327</v>
      </c>
      <c r="C2236" t="s">
        <v>2397</v>
      </c>
      <c r="D2236" t="s">
        <v>2443</v>
      </c>
    </row>
    <row r="2237" spans="1:5" ht="15.5" x14ac:dyDescent="0.35">
      <c r="A2237" s="2" t="s">
        <v>2237</v>
      </c>
      <c r="B2237" s="2" t="s">
        <v>5328</v>
      </c>
      <c r="C2237" t="s">
        <v>2397</v>
      </c>
      <c r="D2237" t="s">
        <v>5329</v>
      </c>
    </row>
    <row r="2238" spans="1:5" ht="15.5" x14ac:dyDescent="0.35">
      <c r="A2238" s="2" t="s">
        <v>2238</v>
      </c>
      <c r="B2238" s="2" t="s">
        <v>5330</v>
      </c>
      <c r="C2238" t="s">
        <v>2397</v>
      </c>
      <c r="D2238" t="s">
        <v>2544</v>
      </c>
      <c r="E2238" t="s">
        <v>2448</v>
      </c>
    </row>
    <row r="2239" spans="1:5" ht="15.5" x14ac:dyDescent="0.35">
      <c r="A2239" s="2" t="s">
        <v>2239</v>
      </c>
      <c r="B2239" s="2" t="s">
        <v>5331</v>
      </c>
      <c r="C2239" t="s">
        <v>2397</v>
      </c>
      <c r="D2239" t="s">
        <v>2790</v>
      </c>
      <c r="E2239" t="s">
        <v>2696</v>
      </c>
    </row>
    <row r="2240" spans="1:5" ht="15.5" x14ac:dyDescent="0.35">
      <c r="A2240" s="2" t="s">
        <v>2240</v>
      </c>
      <c r="B2240" s="2" t="s">
        <v>2545</v>
      </c>
      <c r="C2240" t="s">
        <v>2397</v>
      </c>
      <c r="D2240" t="s">
        <v>2686</v>
      </c>
      <c r="E2240" t="s">
        <v>2700</v>
      </c>
    </row>
    <row r="2241" spans="1:5" ht="15.5" x14ac:dyDescent="0.35">
      <c r="A2241" s="2" t="s">
        <v>2241</v>
      </c>
      <c r="B2241" s="2" t="s">
        <v>5332</v>
      </c>
      <c r="C2241" t="s">
        <v>2394</v>
      </c>
      <c r="D2241" t="s">
        <v>5333</v>
      </c>
    </row>
    <row r="2242" spans="1:5" ht="15.5" x14ac:dyDescent="0.35">
      <c r="A2242" s="2" t="s">
        <v>2242</v>
      </c>
      <c r="B2242" s="2" t="s">
        <v>5334</v>
      </c>
      <c r="C2242" t="s">
        <v>2394</v>
      </c>
      <c r="D2242" t="s">
        <v>2604</v>
      </c>
    </row>
    <row r="2243" spans="1:5" ht="15.5" x14ac:dyDescent="0.35">
      <c r="A2243" s="2" t="s">
        <v>2243</v>
      </c>
      <c r="B2243" s="2" t="s">
        <v>5335</v>
      </c>
      <c r="C2243" t="s">
        <v>2394</v>
      </c>
      <c r="D2243" t="s">
        <v>2484</v>
      </c>
    </row>
    <row r="2244" spans="1:5" ht="15.5" x14ac:dyDescent="0.35">
      <c r="A2244" s="2" t="s">
        <v>2244</v>
      </c>
      <c r="B2244" s="2" t="s">
        <v>3811</v>
      </c>
      <c r="C2244" t="s">
        <v>2397</v>
      </c>
      <c r="D2244" t="s">
        <v>3125</v>
      </c>
    </row>
    <row r="2245" spans="1:5" ht="15.5" x14ac:dyDescent="0.35">
      <c r="A2245" s="2" t="s">
        <v>2245</v>
      </c>
      <c r="B2245" s="2" t="s">
        <v>5336</v>
      </c>
      <c r="C2245" t="s">
        <v>2397</v>
      </c>
      <c r="D2245" t="s">
        <v>2610</v>
      </c>
    </row>
    <row r="2246" spans="1:5" ht="15.5" x14ac:dyDescent="0.35">
      <c r="A2246" s="2" t="s">
        <v>2246</v>
      </c>
      <c r="B2246" s="2" t="s">
        <v>3482</v>
      </c>
      <c r="C2246" t="s">
        <v>2394</v>
      </c>
      <c r="D2246" t="s">
        <v>3171</v>
      </c>
      <c r="E2246" t="s">
        <v>2561</v>
      </c>
    </row>
    <row r="2247" spans="1:5" ht="15.5" x14ac:dyDescent="0.35">
      <c r="A2247" s="2" t="s">
        <v>2247</v>
      </c>
      <c r="B2247" s="2" t="s">
        <v>5337</v>
      </c>
      <c r="C2247" t="s">
        <v>2394</v>
      </c>
      <c r="D2247" t="s">
        <v>3634</v>
      </c>
    </row>
    <row r="2248" spans="1:5" ht="15.5" x14ac:dyDescent="0.35">
      <c r="A2248" s="2" t="s">
        <v>2248</v>
      </c>
      <c r="B2248" s="2" t="s">
        <v>5338</v>
      </c>
      <c r="C2248" t="s">
        <v>2394</v>
      </c>
      <c r="D2248" t="s">
        <v>2604</v>
      </c>
    </row>
    <row r="2249" spans="1:5" ht="15.5" x14ac:dyDescent="0.35">
      <c r="A2249" s="2" t="s">
        <v>2249</v>
      </c>
      <c r="B2249" s="2" t="s">
        <v>5339</v>
      </c>
      <c r="C2249" t="s">
        <v>2397</v>
      </c>
      <c r="D2249" t="s">
        <v>2452</v>
      </c>
      <c r="E2249" t="s">
        <v>2671</v>
      </c>
    </row>
    <row r="2250" spans="1:5" ht="15.5" x14ac:dyDescent="0.35">
      <c r="A2250" s="2" t="s">
        <v>2250</v>
      </c>
      <c r="B2250" s="2" t="s">
        <v>5340</v>
      </c>
      <c r="C2250" t="s">
        <v>2397</v>
      </c>
      <c r="D2250" t="s">
        <v>3280</v>
      </c>
    </row>
    <row r="2251" spans="1:5" ht="15.5" x14ac:dyDescent="0.35">
      <c r="A2251" s="2" t="s">
        <v>2251</v>
      </c>
      <c r="B2251" s="2" t="s">
        <v>5341</v>
      </c>
      <c r="C2251" t="s">
        <v>2394</v>
      </c>
      <c r="D2251" t="s">
        <v>3379</v>
      </c>
    </row>
    <row r="2252" spans="1:5" ht="15.5" x14ac:dyDescent="0.35">
      <c r="A2252" s="2" t="s">
        <v>2252</v>
      </c>
      <c r="B2252" s="2" t="s">
        <v>5342</v>
      </c>
      <c r="C2252" t="s">
        <v>2394</v>
      </c>
      <c r="D2252" t="s">
        <v>2465</v>
      </c>
    </row>
    <row r="2253" spans="1:5" ht="15.5" x14ac:dyDescent="0.35">
      <c r="A2253" s="2" t="s">
        <v>2253</v>
      </c>
      <c r="B2253" s="2" t="s">
        <v>5343</v>
      </c>
      <c r="C2253" t="s">
        <v>2397</v>
      </c>
      <c r="D2253" t="s">
        <v>2790</v>
      </c>
    </row>
    <row r="2254" spans="1:5" ht="15.5" x14ac:dyDescent="0.35">
      <c r="A2254" s="2" t="s">
        <v>2254</v>
      </c>
      <c r="B2254" s="2" t="s">
        <v>5344</v>
      </c>
      <c r="C2254" t="s">
        <v>2394</v>
      </c>
      <c r="D2254" t="s">
        <v>5345</v>
      </c>
    </row>
    <row r="2255" spans="1:5" ht="15.5" x14ac:dyDescent="0.35">
      <c r="A2255" s="2" t="s">
        <v>2255</v>
      </c>
      <c r="B2255" s="2" t="s">
        <v>5346</v>
      </c>
      <c r="C2255" t="s">
        <v>2394</v>
      </c>
      <c r="D2255" t="s">
        <v>3975</v>
      </c>
    </row>
    <row r="2256" spans="1:5" ht="15.5" x14ac:dyDescent="0.35">
      <c r="A2256" s="2" t="s">
        <v>2256</v>
      </c>
      <c r="B2256" s="2" t="s">
        <v>5347</v>
      </c>
      <c r="C2256" t="s">
        <v>2394</v>
      </c>
      <c r="D2256" t="s">
        <v>4249</v>
      </c>
      <c r="E2256" t="s">
        <v>2477</v>
      </c>
    </row>
    <row r="2257" spans="1:6" ht="15.5" x14ac:dyDescent="0.35">
      <c r="A2257" s="2" t="s">
        <v>2257</v>
      </c>
      <c r="B2257" s="2" t="s">
        <v>2545</v>
      </c>
      <c r="C2257" t="s">
        <v>2397</v>
      </c>
      <c r="D2257" t="s">
        <v>2481</v>
      </c>
      <c r="E2257" t="s">
        <v>2540</v>
      </c>
    </row>
    <row r="2258" spans="1:6" ht="15.5" x14ac:dyDescent="0.35">
      <c r="A2258" s="2" t="s">
        <v>2258</v>
      </c>
      <c r="B2258" s="2" t="s">
        <v>5348</v>
      </c>
      <c r="C2258" t="s">
        <v>2397</v>
      </c>
      <c r="D2258" t="s">
        <v>5349</v>
      </c>
    </row>
    <row r="2259" spans="1:6" ht="15.5" x14ac:dyDescent="0.35">
      <c r="A2259" s="2" t="s">
        <v>2259</v>
      </c>
      <c r="B2259" s="2" t="s">
        <v>5350</v>
      </c>
      <c r="C2259" t="s">
        <v>2397</v>
      </c>
      <c r="D2259" t="s">
        <v>5351</v>
      </c>
    </row>
    <row r="2260" spans="1:6" ht="15.5" x14ac:dyDescent="0.35">
      <c r="A2260" s="2" t="s">
        <v>2260</v>
      </c>
      <c r="B2260" s="2" t="s">
        <v>5352</v>
      </c>
      <c r="C2260" t="s">
        <v>2397</v>
      </c>
      <c r="D2260" t="s">
        <v>2764</v>
      </c>
      <c r="E2260" t="s">
        <v>2482</v>
      </c>
    </row>
    <row r="2261" spans="1:6" ht="15.5" x14ac:dyDescent="0.35">
      <c r="A2261" s="2" t="s">
        <v>2261</v>
      </c>
      <c r="B2261" s="2" t="s">
        <v>5353</v>
      </c>
      <c r="C2261" t="s">
        <v>2397</v>
      </c>
      <c r="D2261" t="s">
        <v>2515</v>
      </c>
    </row>
    <row r="2262" spans="1:6" ht="15.5" x14ac:dyDescent="0.35">
      <c r="A2262" s="2" t="s">
        <v>2262</v>
      </c>
      <c r="B2262" s="2" t="s">
        <v>5354</v>
      </c>
      <c r="C2262" t="s">
        <v>2394</v>
      </c>
      <c r="D2262" t="s">
        <v>2567</v>
      </c>
    </row>
    <row r="2263" spans="1:6" ht="15.5" x14ac:dyDescent="0.35">
      <c r="A2263" s="2" t="s">
        <v>2263</v>
      </c>
      <c r="B2263" s="2" t="s">
        <v>5355</v>
      </c>
      <c r="C2263" t="s">
        <v>2397</v>
      </c>
      <c r="D2263" t="s">
        <v>2544</v>
      </c>
    </row>
    <row r="2264" spans="1:6" ht="15.5" x14ac:dyDescent="0.35">
      <c r="A2264" s="2" t="s">
        <v>2264</v>
      </c>
      <c r="B2264" s="2" t="s">
        <v>5356</v>
      </c>
      <c r="C2264" t="s">
        <v>5357</v>
      </c>
      <c r="D2264" t="s">
        <v>2397</v>
      </c>
      <c r="E2264" t="s">
        <v>2810</v>
      </c>
    </row>
    <row r="2265" spans="1:6" ht="15.5" x14ac:dyDescent="0.35">
      <c r="A2265" s="2" t="s">
        <v>2265</v>
      </c>
      <c r="B2265" s="2" t="s">
        <v>5358</v>
      </c>
      <c r="C2265" t="s">
        <v>5359</v>
      </c>
      <c r="D2265" t="s">
        <v>2397</v>
      </c>
      <c r="E2265" t="s">
        <v>5360</v>
      </c>
      <c r="F2265" t="s">
        <v>5361</v>
      </c>
    </row>
    <row r="2266" spans="1:6" ht="15.5" x14ac:dyDescent="0.35">
      <c r="A2266" s="2" t="s">
        <v>2266</v>
      </c>
      <c r="B2266" s="2" t="s">
        <v>4694</v>
      </c>
      <c r="C2266" t="s">
        <v>2397</v>
      </c>
      <c r="D2266" t="s">
        <v>2398</v>
      </c>
    </row>
    <row r="2267" spans="1:6" ht="15.5" x14ac:dyDescent="0.35">
      <c r="A2267" s="2" t="s">
        <v>2267</v>
      </c>
      <c r="B2267" s="2" t="s">
        <v>5362</v>
      </c>
      <c r="C2267" t="s">
        <v>2394</v>
      </c>
      <c r="D2267" t="s">
        <v>2657</v>
      </c>
      <c r="E2267" t="s">
        <v>2696</v>
      </c>
    </row>
    <row r="2268" spans="1:6" ht="15.5" x14ac:dyDescent="0.35">
      <c r="A2268" s="2" t="s">
        <v>2268</v>
      </c>
      <c r="B2268" s="2" t="s">
        <v>5363</v>
      </c>
      <c r="C2268" t="s">
        <v>2394</v>
      </c>
      <c r="D2268" t="s">
        <v>2533</v>
      </c>
    </row>
    <row r="2269" spans="1:6" ht="15.5" x14ac:dyDescent="0.35">
      <c r="A2269" s="2" t="s">
        <v>2269</v>
      </c>
      <c r="B2269" s="2" t="s">
        <v>5364</v>
      </c>
      <c r="C2269" t="s">
        <v>2394</v>
      </c>
      <c r="D2269" t="s">
        <v>4474</v>
      </c>
      <c r="E2269" t="s">
        <v>2436</v>
      </c>
    </row>
    <row r="2270" spans="1:6" ht="15.5" x14ac:dyDescent="0.35">
      <c r="A2270" s="2" t="s">
        <v>2270</v>
      </c>
      <c r="B2270" s="2" t="s">
        <v>2674</v>
      </c>
      <c r="C2270" t="s">
        <v>2394</v>
      </c>
      <c r="D2270" t="s">
        <v>3441</v>
      </c>
      <c r="E2270" t="s">
        <v>2680</v>
      </c>
    </row>
    <row r="2271" spans="1:6" ht="15.5" x14ac:dyDescent="0.35">
      <c r="A2271" s="2" t="s">
        <v>2271</v>
      </c>
      <c r="B2271" s="2" t="s">
        <v>3378</v>
      </c>
      <c r="C2271" t="s">
        <v>2394</v>
      </c>
      <c r="D2271" t="s">
        <v>4460</v>
      </c>
    </row>
    <row r="2272" spans="1:6" ht="15.5" x14ac:dyDescent="0.35">
      <c r="A2272" s="2" t="s">
        <v>2272</v>
      </c>
      <c r="B2272" s="2" t="s">
        <v>5365</v>
      </c>
      <c r="C2272" t="s">
        <v>2397</v>
      </c>
      <c r="D2272" t="s">
        <v>5366</v>
      </c>
    </row>
    <row r="2273" spans="1:5" ht="15.5" x14ac:dyDescent="0.35">
      <c r="A2273" s="2" t="s">
        <v>2273</v>
      </c>
      <c r="B2273" s="2" t="s">
        <v>5367</v>
      </c>
      <c r="C2273" t="s">
        <v>2394</v>
      </c>
      <c r="D2273" t="s">
        <v>2567</v>
      </c>
      <c r="E2273" t="s">
        <v>2700</v>
      </c>
    </row>
    <row r="2274" spans="1:5" ht="15.5" x14ac:dyDescent="0.35">
      <c r="A2274" s="2" t="s">
        <v>2274</v>
      </c>
      <c r="B2274" s="2" t="s">
        <v>2549</v>
      </c>
      <c r="C2274" t="s">
        <v>2397</v>
      </c>
      <c r="D2274" t="s">
        <v>2846</v>
      </c>
      <c r="E2274" t="s">
        <v>5368</v>
      </c>
    </row>
    <row r="2275" spans="1:5" ht="15.5" x14ac:dyDescent="0.35">
      <c r="A2275" s="2" t="s">
        <v>2275</v>
      </c>
      <c r="B2275" s="2" t="s">
        <v>5369</v>
      </c>
      <c r="C2275" t="s">
        <v>2394</v>
      </c>
      <c r="D2275" t="s">
        <v>3205</v>
      </c>
      <c r="E2275" t="s">
        <v>2436</v>
      </c>
    </row>
    <row r="2276" spans="1:5" ht="15.5" x14ac:dyDescent="0.35">
      <c r="A2276" s="2" t="s">
        <v>2276</v>
      </c>
      <c r="B2276" s="2" t="s">
        <v>5370</v>
      </c>
      <c r="C2276" t="s">
        <v>2397</v>
      </c>
      <c r="D2276" t="s">
        <v>3203</v>
      </c>
    </row>
    <row r="2277" spans="1:5" ht="15.5" x14ac:dyDescent="0.35">
      <c r="A2277" s="2" t="s">
        <v>2277</v>
      </c>
      <c r="B2277" s="2" t="s">
        <v>5371</v>
      </c>
      <c r="C2277" t="s">
        <v>2397</v>
      </c>
      <c r="D2277" t="s">
        <v>3946</v>
      </c>
    </row>
    <row r="2278" spans="1:5" ht="15.5" x14ac:dyDescent="0.35">
      <c r="A2278" s="2" t="s">
        <v>2278</v>
      </c>
      <c r="B2278" s="2" t="s">
        <v>5372</v>
      </c>
      <c r="C2278" t="s">
        <v>2394</v>
      </c>
      <c r="D2278" t="s">
        <v>2760</v>
      </c>
      <c r="E2278" t="s">
        <v>2477</v>
      </c>
    </row>
    <row r="2279" spans="1:5" ht="15.5" x14ac:dyDescent="0.35">
      <c r="A2279" s="2" t="s">
        <v>2279</v>
      </c>
      <c r="B2279" s="2" t="s">
        <v>5373</v>
      </c>
      <c r="C2279" t="s">
        <v>2397</v>
      </c>
      <c r="D2279" t="s">
        <v>2619</v>
      </c>
    </row>
    <row r="2280" spans="1:5" ht="15.5" x14ac:dyDescent="0.35">
      <c r="A2280" s="2" t="s">
        <v>2280</v>
      </c>
      <c r="B2280" s="2" t="s">
        <v>2758</v>
      </c>
      <c r="C2280" t="s">
        <v>2397</v>
      </c>
      <c r="D2280" t="s">
        <v>5374</v>
      </c>
    </row>
    <row r="2281" spans="1:5" ht="15.5" x14ac:dyDescent="0.35">
      <c r="A2281" s="2" t="s">
        <v>2281</v>
      </c>
      <c r="B2281" s="2" t="s">
        <v>5375</v>
      </c>
      <c r="C2281" t="s">
        <v>2397</v>
      </c>
      <c r="D2281" t="s">
        <v>2569</v>
      </c>
    </row>
    <row r="2282" spans="1:5" ht="15.5" x14ac:dyDescent="0.35">
      <c r="A2282" s="2" t="s">
        <v>2282</v>
      </c>
      <c r="B2282" s="2" t="s">
        <v>5376</v>
      </c>
      <c r="C2282" t="s">
        <v>2397</v>
      </c>
      <c r="D2282" t="s">
        <v>5377</v>
      </c>
    </row>
    <row r="2283" spans="1:5" ht="15.5" x14ac:dyDescent="0.35">
      <c r="A2283" s="2" t="s">
        <v>2283</v>
      </c>
      <c r="B2283" s="2" t="s">
        <v>2492</v>
      </c>
      <c r="C2283" t="s">
        <v>2394</v>
      </c>
      <c r="D2283" t="s">
        <v>2575</v>
      </c>
    </row>
    <row r="2284" spans="1:5" ht="15.5" x14ac:dyDescent="0.35">
      <c r="A2284" s="2" t="s">
        <v>2284</v>
      </c>
      <c r="B2284" s="2" t="s">
        <v>5378</v>
      </c>
      <c r="C2284" t="s">
        <v>2397</v>
      </c>
      <c r="D2284" t="s">
        <v>2424</v>
      </c>
    </row>
    <row r="2285" spans="1:5" ht="15.5" x14ac:dyDescent="0.35">
      <c r="A2285" s="2" t="s">
        <v>2285</v>
      </c>
      <c r="B2285" s="2" t="s">
        <v>5379</v>
      </c>
      <c r="C2285" t="s">
        <v>2394</v>
      </c>
      <c r="D2285" t="s">
        <v>3820</v>
      </c>
    </row>
    <row r="2286" spans="1:5" ht="15.5" x14ac:dyDescent="0.35">
      <c r="A2286" s="2" t="s">
        <v>2286</v>
      </c>
      <c r="B2286" s="2" t="s">
        <v>5380</v>
      </c>
      <c r="C2286" t="s">
        <v>2397</v>
      </c>
      <c r="D2286" t="s">
        <v>5381</v>
      </c>
      <c r="E2286" t="s">
        <v>2441</v>
      </c>
    </row>
    <row r="2287" spans="1:5" ht="15.5" x14ac:dyDescent="0.35">
      <c r="A2287" s="2" t="s">
        <v>2287</v>
      </c>
      <c r="B2287" s="2" t="s">
        <v>5343</v>
      </c>
      <c r="C2287" t="s">
        <v>2394</v>
      </c>
      <c r="D2287" t="s">
        <v>2592</v>
      </c>
    </row>
    <row r="2288" spans="1:5" ht="15.5" x14ac:dyDescent="0.35">
      <c r="A2288" s="2" t="s">
        <v>2288</v>
      </c>
      <c r="B2288" s="2" t="s">
        <v>5382</v>
      </c>
      <c r="C2288" t="s">
        <v>2397</v>
      </c>
      <c r="D2288" t="s">
        <v>2619</v>
      </c>
      <c r="E2288" t="s">
        <v>2622</v>
      </c>
    </row>
    <row r="2289" spans="1:6" ht="15.5" x14ac:dyDescent="0.35">
      <c r="A2289" s="2" t="s">
        <v>2289</v>
      </c>
      <c r="B2289" s="2" t="s">
        <v>5383</v>
      </c>
      <c r="C2289" t="s">
        <v>2394</v>
      </c>
      <c r="D2289" t="s">
        <v>4463</v>
      </c>
    </row>
    <row r="2290" spans="1:6" ht="15.5" x14ac:dyDescent="0.35">
      <c r="A2290" s="2" t="s">
        <v>2290</v>
      </c>
      <c r="B2290" s="2" t="s">
        <v>5384</v>
      </c>
      <c r="C2290" t="s">
        <v>2397</v>
      </c>
      <c r="D2290" t="s">
        <v>3427</v>
      </c>
      <c r="E2290" t="s">
        <v>3564</v>
      </c>
    </row>
    <row r="2291" spans="1:6" ht="15.5" x14ac:dyDescent="0.35">
      <c r="A2291" s="2" t="s">
        <v>2291</v>
      </c>
      <c r="B2291" s="2" t="s">
        <v>5385</v>
      </c>
      <c r="C2291" t="s">
        <v>2397</v>
      </c>
      <c r="D2291" t="s">
        <v>5386</v>
      </c>
    </row>
    <row r="2292" spans="1:6" ht="15.5" x14ac:dyDescent="0.35">
      <c r="A2292" s="2" t="s">
        <v>2292</v>
      </c>
      <c r="B2292" s="2" t="s">
        <v>2758</v>
      </c>
      <c r="C2292" t="s">
        <v>2394</v>
      </c>
      <c r="D2292" t="s">
        <v>2902</v>
      </c>
      <c r="E2292" t="s">
        <v>2540</v>
      </c>
    </row>
    <row r="2293" spans="1:6" ht="15.5" x14ac:dyDescent="0.35">
      <c r="A2293" s="2" t="s">
        <v>2293</v>
      </c>
      <c r="B2293" s="2" t="s">
        <v>5387</v>
      </c>
      <c r="C2293" t="s">
        <v>2397</v>
      </c>
      <c r="D2293" t="s">
        <v>2882</v>
      </c>
      <c r="E2293" t="s">
        <v>2766</v>
      </c>
    </row>
    <row r="2294" spans="1:6" ht="15.5" x14ac:dyDescent="0.35">
      <c r="A2294" s="2" t="s">
        <v>2294</v>
      </c>
      <c r="B2294" s="2" t="s">
        <v>2580</v>
      </c>
      <c r="C2294" t="s">
        <v>2397</v>
      </c>
      <c r="D2294" t="s">
        <v>2481</v>
      </c>
    </row>
    <row r="2295" spans="1:6" ht="15.5" x14ac:dyDescent="0.35">
      <c r="A2295" s="2" t="s">
        <v>2295</v>
      </c>
      <c r="B2295" s="2" t="s">
        <v>5388</v>
      </c>
      <c r="C2295" t="s">
        <v>2394</v>
      </c>
      <c r="D2295" t="s">
        <v>2592</v>
      </c>
    </row>
    <row r="2296" spans="1:6" ht="15.5" x14ac:dyDescent="0.35">
      <c r="A2296" s="2" t="s">
        <v>2296</v>
      </c>
      <c r="B2296" s="2" t="s">
        <v>5389</v>
      </c>
      <c r="C2296" t="s">
        <v>2397</v>
      </c>
      <c r="D2296" t="s">
        <v>3556</v>
      </c>
    </row>
    <row r="2297" spans="1:6" ht="15.5" x14ac:dyDescent="0.35">
      <c r="A2297" s="2" t="s">
        <v>2297</v>
      </c>
      <c r="B2297" s="2" t="s">
        <v>5390</v>
      </c>
      <c r="C2297" t="s">
        <v>2397</v>
      </c>
      <c r="D2297" t="s">
        <v>4146</v>
      </c>
      <c r="E2297" t="s">
        <v>2625</v>
      </c>
    </row>
    <row r="2298" spans="1:6" ht="15.5" x14ac:dyDescent="0.35">
      <c r="A2298" s="2" t="s">
        <v>2298</v>
      </c>
      <c r="B2298" s="2" t="s">
        <v>5391</v>
      </c>
      <c r="C2298" t="s">
        <v>5392</v>
      </c>
      <c r="D2298" t="s">
        <v>2397</v>
      </c>
      <c r="E2298" t="s">
        <v>3907</v>
      </c>
      <c r="F2298" t="s">
        <v>5393</v>
      </c>
    </row>
    <row r="2299" spans="1:6" ht="15.5" x14ac:dyDescent="0.35">
      <c r="A2299" s="2" t="s">
        <v>2299</v>
      </c>
      <c r="B2299" s="2" t="s">
        <v>5394</v>
      </c>
      <c r="C2299" t="s">
        <v>2394</v>
      </c>
      <c r="D2299" t="s">
        <v>3379</v>
      </c>
      <c r="E2299" t="s">
        <v>2947</v>
      </c>
    </row>
    <row r="2300" spans="1:6" ht="15.5" x14ac:dyDescent="0.35">
      <c r="A2300" s="2" t="s">
        <v>2300</v>
      </c>
      <c r="B2300" s="2" t="s">
        <v>5395</v>
      </c>
      <c r="C2300" t="s">
        <v>2397</v>
      </c>
      <c r="D2300" t="s">
        <v>3406</v>
      </c>
      <c r="E2300" t="s">
        <v>2680</v>
      </c>
    </row>
    <row r="2301" spans="1:6" ht="15.5" x14ac:dyDescent="0.35">
      <c r="A2301" s="2" t="s">
        <v>2301</v>
      </c>
      <c r="B2301" s="2" t="s">
        <v>5396</v>
      </c>
      <c r="C2301" t="s">
        <v>2397</v>
      </c>
      <c r="D2301" t="s">
        <v>2414</v>
      </c>
    </row>
    <row r="2302" spans="1:6" ht="15.5" x14ac:dyDescent="0.35">
      <c r="A2302" s="2" t="s">
        <v>2302</v>
      </c>
      <c r="B2302" s="2" t="s">
        <v>5397</v>
      </c>
      <c r="C2302" t="s">
        <v>2397</v>
      </c>
      <c r="D2302" t="s">
        <v>5398</v>
      </c>
    </row>
    <row r="2303" spans="1:6" ht="15.5" x14ac:dyDescent="0.35">
      <c r="A2303" s="2" t="s">
        <v>2303</v>
      </c>
      <c r="B2303" s="2" t="s">
        <v>2913</v>
      </c>
      <c r="C2303" t="s">
        <v>2397</v>
      </c>
      <c r="D2303" t="s">
        <v>2424</v>
      </c>
    </row>
    <row r="2304" spans="1:6" ht="15.5" x14ac:dyDescent="0.35">
      <c r="A2304" s="2" t="s">
        <v>2304</v>
      </c>
      <c r="B2304" s="2" t="s">
        <v>5399</v>
      </c>
      <c r="C2304" t="s">
        <v>2394</v>
      </c>
      <c r="D2304" t="s">
        <v>5400</v>
      </c>
      <c r="E2304" t="s">
        <v>2501</v>
      </c>
    </row>
    <row r="2305" spans="1:5" ht="15.5" x14ac:dyDescent="0.35">
      <c r="A2305" s="2" t="s">
        <v>2305</v>
      </c>
      <c r="B2305" s="2" t="s">
        <v>5401</v>
      </c>
      <c r="C2305" t="s">
        <v>2397</v>
      </c>
      <c r="D2305" t="s">
        <v>3203</v>
      </c>
    </row>
    <row r="2306" spans="1:5" ht="15.5" x14ac:dyDescent="0.35">
      <c r="A2306" s="2" t="s">
        <v>2306</v>
      </c>
      <c r="B2306" s="2" t="s">
        <v>5402</v>
      </c>
      <c r="C2306" t="s">
        <v>2397</v>
      </c>
      <c r="D2306" t="s">
        <v>2398</v>
      </c>
      <c r="E2306" t="s">
        <v>2671</v>
      </c>
    </row>
    <row r="2307" spans="1:5" ht="15.5" x14ac:dyDescent="0.35">
      <c r="A2307" s="2" t="s">
        <v>2307</v>
      </c>
      <c r="B2307" s="2" t="s">
        <v>5403</v>
      </c>
      <c r="C2307" t="s">
        <v>2397</v>
      </c>
      <c r="D2307" t="s">
        <v>3058</v>
      </c>
    </row>
    <row r="2308" spans="1:5" ht="15.5" x14ac:dyDescent="0.35">
      <c r="A2308" s="2" t="s">
        <v>2308</v>
      </c>
      <c r="B2308" s="2" t="s">
        <v>5404</v>
      </c>
      <c r="C2308" t="s">
        <v>2394</v>
      </c>
      <c r="D2308" t="s">
        <v>2422</v>
      </c>
    </row>
    <row r="2309" spans="1:5" ht="15.5" x14ac:dyDescent="0.35">
      <c r="A2309" s="2" t="s">
        <v>2309</v>
      </c>
      <c r="B2309" s="2" t="s">
        <v>5405</v>
      </c>
      <c r="C2309" t="s">
        <v>2394</v>
      </c>
      <c r="D2309" t="s">
        <v>3417</v>
      </c>
    </row>
    <row r="2310" spans="1:5" ht="15.5" x14ac:dyDescent="0.35">
      <c r="A2310" s="2" t="s">
        <v>2310</v>
      </c>
      <c r="B2310" s="2" t="s">
        <v>4896</v>
      </c>
      <c r="C2310" t="s">
        <v>2394</v>
      </c>
      <c r="D2310" t="s">
        <v>3359</v>
      </c>
    </row>
    <row r="2311" spans="1:5" ht="15.5" x14ac:dyDescent="0.35">
      <c r="A2311" s="2" t="s">
        <v>2311</v>
      </c>
      <c r="B2311" s="2" t="s">
        <v>2674</v>
      </c>
      <c r="C2311" t="s">
        <v>2397</v>
      </c>
      <c r="D2311" t="s">
        <v>2398</v>
      </c>
    </row>
    <row r="2312" spans="1:5" ht="15.5" x14ac:dyDescent="0.35">
      <c r="A2312" s="2" t="s">
        <v>2312</v>
      </c>
      <c r="B2312" s="2" t="s">
        <v>5406</v>
      </c>
      <c r="C2312" t="s">
        <v>3231</v>
      </c>
      <c r="D2312" t="s">
        <v>3469</v>
      </c>
    </row>
    <row r="2313" spans="1:5" ht="15.5" x14ac:dyDescent="0.35">
      <c r="A2313" s="2" t="s">
        <v>2313</v>
      </c>
      <c r="B2313" s="2" t="s">
        <v>5407</v>
      </c>
      <c r="C2313" t="s">
        <v>2394</v>
      </c>
      <c r="D2313" t="s">
        <v>2525</v>
      </c>
    </row>
    <row r="2314" spans="1:5" ht="15.5" x14ac:dyDescent="0.35">
      <c r="A2314" s="2" t="s">
        <v>2314</v>
      </c>
      <c r="B2314" s="2" t="s">
        <v>5408</v>
      </c>
      <c r="C2314" t="s">
        <v>2397</v>
      </c>
      <c r="D2314" t="s">
        <v>2489</v>
      </c>
    </row>
    <row r="2315" spans="1:5" ht="15.5" x14ac:dyDescent="0.35">
      <c r="A2315" s="2" t="s">
        <v>2315</v>
      </c>
      <c r="B2315" s="2" t="s">
        <v>5409</v>
      </c>
      <c r="C2315" t="s">
        <v>2394</v>
      </c>
      <c r="D2315" t="s">
        <v>2774</v>
      </c>
      <c r="E2315" t="s">
        <v>2799</v>
      </c>
    </row>
    <row r="2316" spans="1:5" ht="15.5" x14ac:dyDescent="0.35">
      <c r="A2316" s="2" t="s">
        <v>2316</v>
      </c>
      <c r="B2316" s="2" t="s">
        <v>3744</v>
      </c>
      <c r="C2316" t="s">
        <v>2394</v>
      </c>
      <c r="D2316" t="s">
        <v>5410</v>
      </c>
    </row>
    <row r="2317" spans="1:5" ht="15.5" x14ac:dyDescent="0.35">
      <c r="A2317" s="2" t="s">
        <v>2317</v>
      </c>
      <c r="B2317" s="2" t="s">
        <v>2940</v>
      </c>
      <c r="C2317" t="s">
        <v>2397</v>
      </c>
      <c r="D2317" t="s">
        <v>2443</v>
      </c>
      <c r="E2317" t="s">
        <v>2723</v>
      </c>
    </row>
    <row r="2318" spans="1:5" ht="15.5" x14ac:dyDescent="0.35">
      <c r="A2318" s="2" t="s">
        <v>2318</v>
      </c>
      <c r="B2318" s="2" t="s">
        <v>5411</v>
      </c>
      <c r="C2318" t="s">
        <v>2397</v>
      </c>
      <c r="D2318" t="s">
        <v>3651</v>
      </c>
    </row>
    <row r="2319" spans="1:5" ht="15.5" x14ac:dyDescent="0.35">
      <c r="A2319" s="2" t="s">
        <v>2319</v>
      </c>
      <c r="B2319" s="2" t="s">
        <v>4804</v>
      </c>
      <c r="C2319" t="s">
        <v>2394</v>
      </c>
      <c r="D2319" t="s">
        <v>4006</v>
      </c>
      <c r="E2319" t="s">
        <v>2482</v>
      </c>
    </row>
    <row r="2320" spans="1:5" ht="15.5" x14ac:dyDescent="0.35">
      <c r="A2320" s="2" t="s">
        <v>2320</v>
      </c>
      <c r="B2320" s="2" t="s">
        <v>5412</v>
      </c>
      <c r="C2320" t="s">
        <v>2397</v>
      </c>
      <c r="D2320" t="s">
        <v>5413</v>
      </c>
      <c r="E2320" t="s">
        <v>2436</v>
      </c>
    </row>
    <row r="2321" spans="1:7" ht="15.5" x14ac:dyDescent="0.35">
      <c r="A2321" s="2" t="s">
        <v>2321</v>
      </c>
      <c r="B2321" s="2" t="s">
        <v>5414</v>
      </c>
      <c r="C2321" t="s">
        <v>5415</v>
      </c>
      <c r="D2321" t="s">
        <v>5416</v>
      </c>
      <c r="E2321" t="s">
        <v>2394</v>
      </c>
      <c r="F2321" t="s">
        <v>5417</v>
      </c>
    </row>
    <row r="2322" spans="1:7" ht="15.5" x14ac:dyDescent="0.35">
      <c r="A2322" s="2" t="s">
        <v>2322</v>
      </c>
      <c r="B2322" s="2" t="s">
        <v>5418</v>
      </c>
      <c r="C2322" t="s">
        <v>2397</v>
      </c>
      <c r="D2322" t="s">
        <v>2503</v>
      </c>
    </row>
    <row r="2323" spans="1:7" ht="15.5" x14ac:dyDescent="0.35">
      <c r="A2323" s="2" t="s">
        <v>2323</v>
      </c>
      <c r="B2323" s="2" t="s">
        <v>5419</v>
      </c>
      <c r="C2323" t="s">
        <v>2394</v>
      </c>
      <c r="D2323" t="s">
        <v>4769</v>
      </c>
    </row>
    <row r="2324" spans="1:7" ht="15.5" x14ac:dyDescent="0.35">
      <c r="A2324" s="2" t="s">
        <v>2324</v>
      </c>
      <c r="B2324" s="2" t="s">
        <v>5420</v>
      </c>
      <c r="C2324" t="s">
        <v>2397</v>
      </c>
      <c r="D2324" t="s">
        <v>2398</v>
      </c>
    </row>
    <row r="2325" spans="1:7" ht="15.5" x14ac:dyDescent="0.35">
      <c r="A2325" s="2" t="s">
        <v>2325</v>
      </c>
      <c r="B2325" s="2" t="s">
        <v>5421</v>
      </c>
      <c r="C2325" t="s">
        <v>2394</v>
      </c>
      <c r="D2325" t="s">
        <v>3858</v>
      </c>
      <c r="E2325" t="s">
        <v>2590</v>
      </c>
    </row>
    <row r="2326" spans="1:7" ht="15.5" x14ac:dyDescent="0.35">
      <c r="A2326" s="2" t="s">
        <v>2326</v>
      </c>
      <c r="B2326" s="2" t="s">
        <v>3598</v>
      </c>
      <c r="C2326" t="s">
        <v>2397</v>
      </c>
      <c r="D2326" t="s">
        <v>3724</v>
      </c>
    </row>
    <row r="2327" spans="1:7" ht="15.5" x14ac:dyDescent="0.35">
      <c r="A2327" s="2" t="s">
        <v>2327</v>
      </c>
      <c r="B2327" s="2" t="s">
        <v>2660</v>
      </c>
      <c r="C2327" t="s">
        <v>2397</v>
      </c>
      <c r="D2327" t="s">
        <v>5422</v>
      </c>
    </row>
    <row r="2328" spans="1:7" ht="15.5" x14ac:dyDescent="0.35">
      <c r="A2328" s="2" t="s">
        <v>2328</v>
      </c>
      <c r="B2328" s="2" t="s">
        <v>3022</v>
      </c>
      <c r="C2328" t="s">
        <v>2394</v>
      </c>
      <c r="D2328" t="s">
        <v>3287</v>
      </c>
    </row>
    <row r="2329" spans="1:7" ht="15.5" x14ac:dyDescent="0.35">
      <c r="A2329" s="2" t="s">
        <v>2329</v>
      </c>
      <c r="B2329" s="2" t="s">
        <v>5423</v>
      </c>
      <c r="C2329" t="s">
        <v>2394</v>
      </c>
      <c r="D2329" t="s">
        <v>2450</v>
      </c>
    </row>
    <row r="2330" spans="1:7" ht="15.5" x14ac:dyDescent="0.35">
      <c r="A2330" s="2" t="s">
        <v>2330</v>
      </c>
      <c r="B2330" s="2" t="s">
        <v>5424</v>
      </c>
      <c r="C2330" t="s">
        <v>2394</v>
      </c>
      <c r="D2330" t="s">
        <v>4557</v>
      </c>
      <c r="E2330" t="s">
        <v>2519</v>
      </c>
    </row>
    <row r="2331" spans="1:7" ht="15.5" x14ac:dyDescent="0.35">
      <c r="A2331" s="2" t="s">
        <v>2331</v>
      </c>
      <c r="B2331" s="2" t="s">
        <v>5425</v>
      </c>
      <c r="C2331" t="s">
        <v>2394</v>
      </c>
      <c r="D2331" t="s">
        <v>5426</v>
      </c>
    </row>
    <row r="2332" spans="1:7" ht="15.5" x14ac:dyDescent="0.35">
      <c r="A2332" s="2" t="s">
        <v>2332</v>
      </c>
      <c r="B2332" s="2" t="s">
        <v>5427</v>
      </c>
      <c r="C2332" t="s">
        <v>2397</v>
      </c>
      <c r="D2332" t="s">
        <v>3125</v>
      </c>
    </row>
    <row r="2333" spans="1:7" ht="15.5" x14ac:dyDescent="0.35">
      <c r="A2333" s="2" t="s">
        <v>2333</v>
      </c>
      <c r="B2333" s="2" t="s">
        <v>5428</v>
      </c>
      <c r="C2333" t="s">
        <v>2960</v>
      </c>
      <c r="D2333" t="s">
        <v>2397</v>
      </c>
      <c r="E2333" t="s">
        <v>4203</v>
      </c>
      <c r="F2333" t="s">
        <v>2472</v>
      </c>
      <c r="G2333" t="s">
        <v>2441</v>
      </c>
    </row>
    <row r="2334" spans="1:7" ht="15.5" x14ac:dyDescent="0.35">
      <c r="A2334" s="2" t="s">
        <v>2334</v>
      </c>
      <c r="B2334" s="2" t="s">
        <v>5429</v>
      </c>
      <c r="C2334" t="s">
        <v>2394</v>
      </c>
      <c r="D2334" t="s">
        <v>3750</v>
      </c>
    </row>
    <row r="2335" spans="1:7" ht="15.5" x14ac:dyDescent="0.35">
      <c r="A2335" s="2" t="s">
        <v>2335</v>
      </c>
      <c r="B2335" s="2" t="s">
        <v>5430</v>
      </c>
      <c r="C2335" t="s">
        <v>2397</v>
      </c>
      <c r="D2335" t="s">
        <v>2947</v>
      </c>
      <c r="E2335" t="s">
        <v>2643</v>
      </c>
    </row>
    <row r="2336" spans="1:7" ht="15.5" x14ac:dyDescent="0.35">
      <c r="A2336" s="2" t="s">
        <v>2336</v>
      </c>
      <c r="B2336" s="2" t="s">
        <v>5431</v>
      </c>
      <c r="C2336" t="s">
        <v>2397</v>
      </c>
      <c r="D2336" t="s">
        <v>2727</v>
      </c>
      <c r="E2336" t="s">
        <v>2590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2B96-772E-434D-B080-29C74FA3DCE0}">
  <dimension ref="A1:J2349"/>
  <sheetViews>
    <sheetView workbookViewId="0">
      <selection activeCell="J1" sqref="J1:J1048576"/>
    </sheetView>
  </sheetViews>
  <sheetFormatPr defaultRowHeight="14.5" x14ac:dyDescent="0.35"/>
  <cols>
    <col min="1" max="1" width="15.26953125" customWidth="1"/>
    <col min="2" max="2" width="14.08984375" customWidth="1"/>
    <col min="3" max="3" width="15.54296875" customWidth="1"/>
    <col min="4" max="4" width="14.90625" customWidth="1"/>
    <col min="5" max="5" width="19" customWidth="1"/>
    <col min="6" max="6" width="14.6328125" customWidth="1"/>
    <col min="7" max="7" width="24.7265625" customWidth="1"/>
    <col min="8" max="8" width="10.36328125" customWidth="1"/>
    <col min="9" max="9" width="17.54296875" customWidth="1"/>
    <col min="10" max="10" width="13" customWidth="1"/>
  </cols>
  <sheetData>
    <row r="1" spans="1:10" x14ac:dyDescent="0.35">
      <c r="A1" s="6" t="s">
        <v>0</v>
      </c>
      <c r="B1" s="6" t="s">
        <v>2337</v>
      </c>
      <c r="C1" s="6" t="s">
        <v>2338</v>
      </c>
      <c r="D1" s="6" t="s">
        <v>2339</v>
      </c>
      <c r="E1" s="6" t="s">
        <v>2340</v>
      </c>
      <c r="F1" s="6" t="s">
        <v>2341</v>
      </c>
      <c r="G1" s="6" t="s">
        <v>2342</v>
      </c>
      <c r="H1" s="6" t="s">
        <v>2343</v>
      </c>
      <c r="I1" s="1" t="s">
        <v>2337</v>
      </c>
      <c r="J1" s="1" t="s">
        <v>2338</v>
      </c>
    </row>
    <row r="2" spans="1:10" x14ac:dyDescent="0.35">
      <c r="A2" t="s">
        <v>2</v>
      </c>
      <c r="B2">
        <v>47.41</v>
      </c>
      <c r="C2">
        <v>7.47</v>
      </c>
      <c r="D2" t="s">
        <v>2344</v>
      </c>
      <c r="E2" t="s">
        <v>2344</v>
      </c>
      <c r="F2" t="s">
        <v>2344</v>
      </c>
      <c r="G2">
        <v>0</v>
      </c>
      <c r="H2" t="s">
        <v>2346</v>
      </c>
      <c r="I2" t="str">
        <f>IF(B2&lt;18.5,"Under Weight",IF(B2&lt;25,"Normal Weight",IF(B2&lt;30,"Over weight","Obesity")))</f>
        <v>Obesity</v>
      </c>
      <c r="J2" t="str">
        <f>IF(C2&lt;5.7,"Normal",IF(C2&lt;6.5,"Prediabetes","Diabetes"))</f>
        <v>Diabetes</v>
      </c>
    </row>
    <row r="3" spans="1:10" x14ac:dyDescent="0.35">
      <c r="A3" t="s">
        <v>3</v>
      </c>
      <c r="B3">
        <v>30.36</v>
      </c>
      <c r="C3">
        <v>5.77</v>
      </c>
      <c r="D3" t="s">
        <v>2344</v>
      </c>
      <c r="E3" t="s">
        <v>2344</v>
      </c>
      <c r="F3" t="s">
        <v>2344</v>
      </c>
      <c r="G3">
        <v>0</v>
      </c>
      <c r="H3" t="s">
        <v>2346</v>
      </c>
      <c r="I3" t="str">
        <f t="shared" ref="I3:I66" si="0">IF(B3&lt;18.5,"Under Weight",IF(B3&lt;25,"Normal Weight",IF(B3&lt;30,"Over weight","Obesity")))</f>
        <v>Obesity</v>
      </c>
      <c r="J3" t="str">
        <f t="shared" ref="J3:J66" si="1">IF(C3&lt;5.7,"Normal",IF(C3&lt;6.5,"Prediabetes","Diabetes"))</f>
        <v>Prediabetes</v>
      </c>
    </row>
    <row r="4" spans="1:10" x14ac:dyDescent="0.35">
      <c r="A4" t="s">
        <v>4</v>
      </c>
      <c r="B4">
        <v>34.484999999999999</v>
      </c>
      <c r="C4">
        <v>11.87</v>
      </c>
      <c r="D4" t="s">
        <v>2346</v>
      </c>
      <c r="E4" t="s">
        <v>2344</v>
      </c>
      <c r="F4" t="s">
        <v>2344</v>
      </c>
      <c r="G4">
        <v>1</v>
      </c>
      <c r="H4" t="s">
        <v>2346</v>
      </c>
      <c r="I4" t="str">
        <f t="shared" si="0"/>
        <v>Obesity</v>
      </c>
      <c r="J4" t="str">
        <f t="shared" si="1"/>
        <v>Diabetes</v>
      </c>
    </row>
    <row r="5" spans="1:10" x14ac:dyDescent="0.35">
      <c r="A5" t="s">
        <v>5</v>
      </c>
      <c r="B5">
        <v>38.094999999999999</v>
      </c>
      <c r="C5">
        <v>6.05</v>
      </c>
      <c r="D5" t="s">
        <v>2344</v>
      </c>
      <c r="E5" t="s">
        <v>2344</v>
      </c>
      <c r="F5" t="s">
        <v>2344</v>
      </c>
      <c r="G5">
        <v>0</v>
      </c>
      <c r="H5" t="s">
        <v>2346</v>
      </c>
      <c r="I5" t="str">
        <f t="shared" si="0"/>
        <v>Obesity</v>
      </c>
      <c r="J5" t="str">
        <f t="shared" si="1"/>
        <v>Prediabetes</v>
      </c>
    </row>
    <row r="6" spans="1:10" x14ac:dyDescent="0.35">
      <c r="A6" t="s">
        <v>6</v>
      </c>
      <c r="B6">
        <v>35.53</v>
      </c>
      <c r="C6">
        <v>5.45</v>
      </c>
      <c r="D6" t="s">
        <v>2344</v>
      </c>
      <c r="E6" t="s">
        <v>2344</v>
      </c>
      <c r="F6" t="s">
        <v>2344</v>
      </c>
      <c r="G6">
        <v>0</v>
      </c>
      <c r="H6" t="s">
        <v>2346</v>
      </c>
      <c r="I6" t="str">
        <f t="shared" si="0"/>
        <v>Obesity</v>
      </c>
      <c r="J6" t="str">
        <f t="shared" si="1"/>
        <v>Normal</v>
      </c>
    </row>
    <row r="7" spans="1:10" x14ac:dyDescent="0.35">
      <c r="A7" t="s">
        <v>7</v>
      </c>
      <c r="B7">
        <v>32.799999999999997</v>
      </c>
      <c r="C7">
        <v>6.59</v>
      </c>
      <c r="D7" t="s">
        <v>2344</v>
      </c>
      <c r="E7" t="s">
        <v>2344</v>
      </c>
      <c r="F7" t="s">
        <v>2344</v>
      </c>
      <c r="G7">
        <v>0</v>
      </c>
      <c r="H7" t="s">
        <v>2346</v>
      </c>
      <c r="I7" t="str">
        <f t="shared" si="0"/>
        <v>Obesity</v>
      </c>
      <c r="J7" t="str">
        <f t="shared" si="1"/>
        <v>Diabetes</v>
      </c>
    </row>
    <row r="8" spans="1:10" x14ac:dyDescent="0.35">
      <c r="A8" t="s">
        <v>8</v>
      </c>
      <c r="B8">
        <v>36.4</v>
      </c>
      <c r="C8">
        <v>6.07</v>
      </c>
      <c r="D8" t="s">
        <v>2344</v>
      </c>
      <c r="E8" t="s">
        <v>2344</v>
      </c>
      <c r="F8" t="s">
        <v>2344</v>
      </c>
      <c r="G8">
        <v>0</v>
      </c>
      <c r="H8" t="s">
        <v>2346</v>
      </c>
      <c r="I8" t="str">
        <f t="shared" si="0"/>
        <v>Obesity</v>
      </c>
      <c r="J8" t="str">
        <f t="shared" si="1"/>
        <v>Prediabetes</v>
      </c>
    </row>
    <row r="9" spans="1:10" x14ac:dyDescent="0.35">
      <c r="A9" t="s">
        <v>9</v>
      </c>
      <c r="B9">
        <v>36.96</v>
      </c>
      <c r="C9">
        <v>7.93</v>
      </c>
      <c r="D9" t="s">
        <v>2344</v>
      </c>
      <c r="E9" t="s">
        <v>2344</v>
      </c>
      <c r="F9" t="s">
        <v>2344</v>
      </c>
      <c r="G9">
        <v>1</v>
      </c>
      <c r="H9" t="s">
        <v>2346</v>
      </c>
      <c r="I9" t="str">
        <f t="shared" si="0"/>
        <v>Obesity</v>
      </c>
      <c r="J9" t="str">
        <f t="shared" si="1"/>
        <v>Diabetes</v>
      </c>
    </row>
    <row r="10" spans="1:10" x14ac:dyDescent="0.35">
      <c r="A10" t="s">
        <v>10</v>
      </c>
      <c r="B10">
        <v>41.14</v>
      </c>
      <c r="C10">
        <v>9.58</v>
      </c>
      <c r="D10" t="s">
        <v>2346</v>
      </c>
      <c r="E10" t="s">
        <v>2344</v>
      </c>
      <c r="F10" t="s">
        <v>2346</v>
      </c>
      <c r="G10">
        <v>1</v>
      </c>
      <c r="H10" t="s">
        <v>2346</v>
      </c>
      <c r="I10" t="str">
        <f t="shared" si="0"/>
        <v>Obesity</v>
      </c>
      <c r="J10" t="str">
        <f t="shared" si="1"/>
        <v>Diabetes</v>
      </c>
    </row>
    <row r="11" spans="1:10" x14ac:dyDescent="0.35">
      <c r="A11" t="s">
        <v>11</v>
      </c>
      <c r="B11">
        <v>38.06</v>
      </c>
      <c r="C11">
        <v>10.79</v>
      </c>
      <c r="D11" t="s">
        <v>2344</v>
      </c>
      <c r="E11" t="s">
        <v>2344</v>
      </c>
      <c r="F11" t="s">
        <v>2344</v>
      </c>
      <c r="G11">
        <v>0</v>
      </c>
      <c r="H11" t="s">
        <v>2346</v>
      </c>
      <c r="I11" t="str">
        <f t="shared" si="0"/>
        <v>Obesity</v>
      </c>
      <c r="J11" t="str">
        <f t="shared" si="1"/>
        <v>Diabetes</v>
      </c>
    </row>
    <row r="12" spans="1:10" x14ac:dyDescent="0.35">
      <c r="A12" t="s">
        <v>12</v>
      </c>
      <c r="B12">
        <v>37.700000000000003</v>
      </c>
      <c r="C12">
        <v>5.96</v>
      </c>
      <c r="D12" t="s">
        <v>2346</v>
      </c>
      <c r="E12" t="s">
        <v>2344</v>
      </c>
      <c r="F12" t="s">
        <v>2344</v>
      </c>
      <c r="G12">
        <v>1</v>
      </c>
      <c r="H12" t="s">
        <v>2346</v>
      </c>
      <c r="I12" t="str">
        <f t="shared" si="0"/>
        <v>Obesity</v>
      </c>
      <c r="J12" t="str">
        <f t="shared" si="1"/>
        <v>Prediabetes</v>
      </c>
    </row>
    <row r="13" spans="1:10" x14ac:dyDescent="0.35">
      <c r="A13" t="s">
        <v>13</v>
      </c>
      <c r="B13">
        <v>42.13</v>
      </c>
      <c r="C13">
        <v>11.9</v>
      </c>
      <c r="D13" t="s">
        <v>2344</v>
      </c>
      <c r="E13" t="s">
        <v>2344</v>
      </c>
      <c r="F13" t="s">
        <v>2344</v>
      </c>
      <c r="G13">
        <v>0</v>
      </c>
      <c r="H13" t="s">
        <v>2346</v>
      </c>
      <c r="I13" t="str">
        <f t="shared" si="0"/>
        <v>Obesity</v>
      </c>
      <c r="J13" t="str">
        <f t="shared" si="1"/>
        <v>Diabetes</v>
      </c>
    </row>
    <row r="14" spans="1:10" x14ac:dyDescent="0.35">
      <c r="A14" t="s">
        <v>14</v>
      </c>
      <c r="B14">
        <v>40.92</v>
      </c>
      <c r="C14">
        <v>8.41</v>
      </c>
      <c r="D14" t="s">
        <v>2344</v>
      </c>
      <c r="E14" t="s">
        <v>2344</v>
      </c>
      <c r="F14" t="s">
        <v>2344</v>
      </c>
      <c r="G14">
        <v>0</v>
      </c>
      <c r="H14" t="s">
        <v>2346</v>
      </c>
      <c r="I14" t="str">
        <f t="shared" si="0"/>
        <v>Obesity</v>
      </c>
      <c r="J14" t="str">
        <f t="shared" si="1"/>
        <v>Diabetes</v>
      </c>
    </row>
    <row r="15" spans="1:10" x14ac:dyDescent="0.35">
      <c r="A15" t="s">
        <v>15</v>
      </c>
      <c r="B15">
        <v>40.564999999999998</v>
      </c>
      <c r="C15">
        <v>7.02</v>
      </c>
      <c r="D15" t="s">
        <v>2344</v>
      </c>
      <c r="E15" t="s">
        <v>2344</v>
      </c>
      <c r="F15" t="s">
        <v>2344</v>
      </c>
      <c r="G15">
        <v>0</v>
      </c>
      <c r="H15" t="s">
        <v>2346</v>
      </c>
      <c r="I15" t="str">
        <f t="shared" si="0"/>
        <v>Obesity</v>
      </c>
      <c r="J15" t="str">
        <f t="shared" si="1"/>
        <v>Diabetes</v>
      </c>
    </row>
    <row r="16" spans="1:10" x14ac:dyDescent="0.35">
      <c r="A16" t="s">
        <v>16</v>
      </c>
      <c r="B16">
        <v>36.384999999999998</v>
      </c>
      <c r="C16">
        <v>7.59</v>
      </c>
      <c r="D16" t="s">
        <v>2346</v>
      </c>
      <c r="E16" t="s">
        <v>2344</v>
      </c>
      <c r="F16" t="s">
        <v>2344</v>
      </c>
      <c r="G16">
        <v>1</v>
      </c>
      <c r="H16" t="s">
        <v>2346</v>
      </c>
      <c r="I16" t="str">
        <f t="shared" si="0"/>
        <v>Obesity</v>
      </c>
      <c r="J16" t="str">
        <f t="shared" si="1"/>
        <v>Diabetes</v>
      </c>
    </row>
    <row r="17" spans="1:10" x14ac:dyDescent="0.35">
      <c r="A17" t="s">
        <v>17</v>
      </c>
      <c r="B17">
        <v>39.9</v>
      </c>
      <c r="C17">
        <v>11.32</v>
      </c>
      <c r="D17" t="s">
        <v>2344</v>
      </c>
      <c r="E17" t="s">
        <v>2344</v>
      </c>
      <c r="F17" t="s">
        <v>2344</v>
      </c>
      <c r="G17">
        <v>0</v>
      </c>
      <c r="H17" t="s">
        <v>2346</v>
      </c>
      <c r="I17" t="str">
        <f t="shared" si="0"/>
        <v>Obesity</v>
      </c>
      <c r="J17" t="str">
        <f t="shared" si="1"/>
        <v>Diabetes</v>
      </c>
    </row>
    <row r="18" spans="1:10" x14ac:dyDescent="0.35">
      <c r="A18" t="s">
        <v>18</v>
      </c>
      <c r="B18">
        <v>33.799999999999997</v>
      </c>
      <c r="C18">
        <v>7.67</v>
      </c>
      <c r="D18" t="s">
        <v>2344</v>
      </c>
      <c r="E18" t="s">
        <v>2344</v>
      </c>
      <c r="F18" t="s">
        <v>2344</v>
      </c>
      <c r="G18">
        <v>1</v>
      </c>
      <c r="H18" t="s">
        <v>2346</v>
      </c>
      <c r="I18" t="str">
        <f t="shared" si="0"/>
        <v>Obesity</v>
      </c>
      <c r="J18" t="str">
        <f t="shared" si="1"/>
        <v>Diabetes</v>
      </c>
    </row>
    <row r="19" spans="1:10" x14ac:dyDescent="0.35">
      <c r="A19" t="s">
        <v>19</v>
      </c>
      <c r="B19">
        <v>36.765000000000001</v>
      </c>
      <c r="C19">
        <v>7.29</v>
      </c>
      <c r="D19" t="s">
        <v>2346</v>
      </c>
      <c r="E19" t="s">
        <v>2344</v>
      </c>
      <c r="F19" t="s">
        <v>2346</v>
      </c>
      <c r="G19">
        <v>1</v>
      </c>
      <c r="H19" t="s">
        <v>2346</v>
      </c>
      <c r="I19" t="str">
        <f t="shared" si="0"/>
        <v>Obesity</v>
      </c>
      <c r="J19" t="str">
        <f t="shared" si="1"/>
        <v>Diabetes</v>
      </c>
    </row>
    <row r="20" spans="1:10" x14ac:dyDescent="0.35">
      <c r="A20" t="s">
        <v>20</v>
      </c>
      <c r="B20">
        <v>36.954999999999998</v>
      </c>
      <c r="C20">
        <v>4.72</v>
      </c>
      <c r="D20" t="s">
        <v>2346</v>
      </c>
      <c r="E20" t="s">
        <v>2344</v>
      </c>
      <c r="F20" t="s">
        <v>2344</v>
      </c>
      <c r="G20">
        <v>1</v>
      </c>
      <c r="H20" t="s">
        <v>2346</v>
      </c>
      <c r="I20" t="str">
        <f t="shared" si="0"/>
        <v>Obesity</v>
      </c>
      <c r="J20" t="str">
        <f t="shared" si="1"/>
        <v>Normal</v>
      </c>
    </row>
    <row r="21" spans="1:10" x14ac:dyDescent="0.35">
      <c r="A21" t="s">
        <v>21</v>
      </c>
      <c r="B21">
        <v>42.9</v>
      </c>
      <c r="C21">
        <v>11.41</v>
      </c>
      <c r="D21" t="s">
        <v>2344</v>
      </c>
      <c r="E21" t="s">
        <v>2344</v>
      </c>
      <c r="F21" t="s">
        <v>2344</v>
      </c>
      <c r="G21">
        <v>0</v>
      </c>
      <c r="H21" t="s">
        <v>2346</v>
      </c>
      <c r="I21" t="str">
        <f t="shared" si="0"/>
        <v>Obesity</v>
      </c>
      <c r="J21" t="str">
        <f t="shared" si="1"/>
        <v>Diabetes</v>
      </c>
    </row>
    <row r="22" spans="1:10" x14ac:dyDescent="0.35">
      <c r="A22" t="s">
        <v>22</v>
      </c>
      <c r="B22">
        <v>36.299999999999997</v>
      </c>
      <c r="C22">
        <v>11.5</v>
      </c>
      <c r="D22" t="s">
        <v>2346</v>
      </c>
      <c r="E22" t="s">
        <v>2344</v>
      </c>
      <c r="F22" t="s">
        <v>2344</v>
      </c>
      <c r="G22">
        <v>1</v>
      </c>
      <c r="H22" t="s">
        <v>2346</v>
      </c>
      <c r="I22" t="str">
        <f t="shared" si="0"/>
        <v>Obesity</v>
      </c>
      <c r="J22" t="str">
        <f t="shared" si="1"/>
        <v>Diabetes</v>
      </c>
    </row>
    <row r="23" spans="1:10" x14ac:dyDescent="0.35">
      <c r="A23" t="s">
        <v>23</v>
      </c>
      <c r="B23">
        <v>32.200000000000003</v>
      </c>
      <c r="C23">
        <v>6.22</v>
      </c>
      <c r="D23" t="s">
        <v>2346</v>
      </c>
      <c r="E23" t="s">
        <v>2344</v>
      </c>
      <c r="F23" t="s">
        <v>2344</v>
      </c>
      <c r="G23">
        <v>1</v>
      </c>
      <c r="H23" t="s">
        <v>2346</v>
      </c>
      <c r="I23" t="str">
        <f t="shared" si="0"/>
        <v>Obesity</v>
      </c>
      <c r="J23" t="str">
        <f t="shared" si="1"/>
        <v>Prediabetes</v>
      </c>
    </row>
    <row r="24" spans="1:10" x14ac:dyDescent="0.35">
      <c r="A24" t="s">
        <v>24</v>
      </c>
      <c r="B24">
        <v>31.3</v>
      </c>
      <c r="C24">
        <v>11.38</v>
      </c>
      <c r="D24" t="s">
        <v>2344</v>
      </c>
      <c r="E24" t="s">
        <v>2344</v>
      </c>
      <c r="F24" t="s">
        <v>2344</v>
      </c>
      <c r="G24">
        <v>1</v>
      </c>
      <c r="H24" t="s">
        <v>2346</v>
      </c>
      <c r="I24" t="str">
        <f t="shared" si="0"/>
        <v>Obesity</v>
      </c>
      <c r="J24" t="str">
        <f t="shared" si="1"/>
        <v>Diabetes</v>
      </c>
    </row>
    <row r="25" spans="1:10" x14ac:dyDescent="0.35">
      <c r="A25" t="s">
        <v>25</v>
      </c>
      <c r="B25">
        <v>41.8</v>
      </c>
      <c r="C25">
        <v>7.89</v>
      </c>
      <c r="D25" t="s">
        <v>2346</v>
      </c>
      <c r="E25" t="s">
        <v>2344</v>
      </c>
      <c r="F25" t="s">
        <v>2344</v>
      </c>
      <c r="G25">
        <v>1</v>
      </c>
      <c r="H25" t="s">
        <v>2346</v>
      </c>
      <c r="I25" t="str">
        <f t="shared" si="0"/>
        <v>Obesity</v>
      </c>
      <c r="J25" t="str">
        <f t="shared" si="1"/>
        <v>Diabetes</v>
      </c>
    </row>
    <row r="26" spans="1:10" x14ac:dyDescent="0.35">
      <c r="A26" t="s">
        <v>26</v>
      </c>
      <c r="B26">
        <v>35.090000000000003</v>
      </c>
      <c r="C26">
        <v>4.38</v>
      </c>
      <c r="D26" t="s">
        <v>2346</v>
      </c>
      <c r="E26" t="s">
        <v>2344</v>
      </c>
      <c r="F26" t="s">
        <v>2344</v>
      </c>
      <c r="G26">
        <v>1</v>
      </c>
      <c r="H26" t="s">
        <v>2346</v>
      </c>
      <c r="I26" t="str">
        <f t="shared" si="0"/>
        <v>Obesity</v>
      </c>
      <c r="J26" t="str">
        <f t="shared" si="1"/>
        <v>Normal</v>
      </c>
    </row>
    <row r="27" spans="1:10" x14ac:dyDescent="0.35">
      <c r="A27" t="s">
        <v>27</v>
      </c>
      <c r="B27">
        <v>33.880000000000003</v>
      </c>
      <c r="C27">
        <v>7.01</v>
      </c>
      <c r="D27" t="s">
        <v>2344</v>
      </c>
      <c r="E27" t="s">
        <v>2344</v>
      </c>
      <c r="F27" t="s">
        <v>2344</v>
      </c>
      <c r="G27">
        <v>1</v>
      </c>
      <c r="H27" t="s">
        <v>2346</v>
      </c>
      <c r="I27" t="str">
        <f t="shared" si="0"/>
        <v>Obesity</v>
      </c>
      <c r="J27" t="str">
        <f t="shared" si="1"/>
        <v>Diabetes</v>
      </c>
    </row>
    <row r="28" spans="1:10" x14ac:dyDescent="0.35">
      <c r="A28" t="s">
        <v>28</v>
      </c>
      <c r="B28">
        <v>30.875</v>
      </c>
      <c r="C28">
        <v>11.88</v>
      </c>
      <c r="D28" t="s">
        <v>2344</v>
      </c>
      <c r="E28" t="s">
        <v>2344</v>
      </c>
      <c r="F28" t="s">
        <v>2344</v>
      </c>
      <c r="G28">
        <v>0</v>
      </c>
      <c r="H28" t="s">
        <v>2346</v>
      </c>
      <c r="I28" t="str">
        <f t="shared" si="0"/>
        <v>Obesity</v>
      </c>
      <c r="J28" t="str">
        <f t="shared" si="1"/>
        <v>Diabetes</v>
      </c>
    </row>
    <row r="29" spans="1:10" x14ac:dyDescent="0.35">
      <c r="A29" t="s">
        <v>29</v>
      </c>
      <c r="B29">
        <v>36.86</v>
      </c>
      <c r="C29">
        <v>5.19</v>
      </c>
      <c r="D29" t="s">
        <v>2346</v>
      </c>
      <c r="E29" t="s">
        <v>2344</v>
      </c>
      <c r="F29" t="s">
        <v>2346</v>
      </c>
      <c r="G29">
        <v>1</v>
      </c>
      <c r="H29" t="s">
        <v>2346</v>
      </c>
      <c r="I29" t="str">
        <f t="shared" si="0"/>
        <v>Obesity</v>
      </c>
      <c r="J29" t="str">
        <f t="shared" si="1"/>
        <v>Normal</v>
      </c>
    </row>
    <row r="30" spans="1:10" x14ac:dyDescent="0.35">
      <c r="A30" t="s">
        <v>30</v>
      </c>
      <c r="B30">
        <v>35.86</v>
      </c>
      <c r="C30">
        <v>6.74</v>
      </c>
      <c r="D30" t="s">
        <v>2346</v>
      </c>
      <c r="E30" t="s">
        <v>2344</v>
      </c>
      <c r="F30" t="s">
        <v>2344</v>
      </c>
      <c r="G30">
        <v>1</v>
      </c>
      <c r="H30" t="s">
        <v>2346</v>
      </c>
      <c r="I30" t="str">
        <f t="shared" si="0"/>
        <v>Obesity</v>
      </c>
      <c r="J30" t="str">
        <f t="shared" si="1"/>
        <v>Diabetes</v>
      </c>
    </row>
    <row r="31" spans="1:10" x14ac:dyDescent="0.35">
      <c r="A31" t="s">
        <v>31</v>
      </c>
      <c r="B31">
        <v>37.049999999999997</v>
      </c>
      <c r="C31">
        <v>8.44</v>
      </c>
      <c r="D31" t="s">
        <v>2344</v>
      </c>
      <c r="E31" t="s">
        <v>2344</v>
      </c>
      <c r="F31" t="s">
        <v>2344</v>
      </c>
      <c r="G31">
        <v>0</v>
      </c>
      <c r="H31" t="s">
        <v>2346</v>
      </c>
      <c r="I31" t="str">
        <f t="shared" si="0"/>
        <v>Obesity</v>
      </c>
      <c r="J31" t="str">
        <f t="shared" si="1"/>
        <v>Diabetes</v>
      </c>
    </row>
    <row r="32" spans="1:10" x14ac:dyDescent="0.35">
      <c r="A32" t="s">
        <v>32</v>
      </c>
      <c r="B32">
        <v>43.89</v>
      </c>
      <c r="C32">
        <v>8.7100000000000009</v>
      </c>
      <c r="D32" t="s">
        <v>2344</v>
      </c>
      <c r="E32" t="s">
        <v>2344</v>
      </c>
      <c r="F32" t="s">
        <v>2344</v>
      </c>
      <c r="G32">
        <v>0</v>
      </c>
      <c r="H32" t="s">
        <v>2346</v>
      </c>
      <c r="I32" t="str">
        <f t="shared" si="0"/>
        <v>Obesity</v>
      </c>
      <c r="J32" t="str">
        <f t="shared" si="1"/>
        <v>Diabetes</v>
      </c>
    </row>
    <row r="33" spans="1:10" x14ac:dyDescent="0.35">
      <c r="A33" t="s">
        <v>33</v>
      </c>
      <c r="B33">
        <v>42.35</v>
      </c>
      <c r="C33">
        <v>5.08</v>
      </c>
      <c r="D33" t="s">
        <v>2346</v>
      </c>
      <c r="E33" t="s">
        <v>2344</v>
      </c>
      <c r="F33" t="s">
        <v>2344</v>
      </c>
      <c r="G33">
        <v>0</v>
      </c>
      <c r="H33" t="s">
        <v>2346</v>
      </c>
      <c r="I33" t="str">
        <f t="shared" si="0"/>
        <v>Obesity</v>
      </c>
      <c r="J33" t="str">
        <f t="shared" si="1"/>
        <v>Normal</v>
      </c>
    </row>
    <row r="34" spans="1:10" x14ac:dyDescent="0.35">
      <c r="A34" t="s">
        <v>34</v>
      </c>
      <c r="B34">
        <v>31.35</v>
      </c>
      <c r="C34">
        <v>6.86</v>
      </c>
      <c r="D34" t="s">
        <v>2344</v>
      </c>
      <c r="E34" t="s">
        <v>2344</v>
      </c>
      <c r="F34" t="s">
        <v>2344</v>
      </c>
      <c r="G34">
        <v>0</v>
      </c>
      <c r="H34" t="s">
        <v>2346</v>
      </c>
      <c r="I34" t="str">
        <f t="shared" si="0"/>
        <v>Obesity</v>
      </c>
      <c r="J34" t="str">
        <f t="shared" si="1"/>
        <v>Diabetes</v>
      </c>
    </row>
    <row r="35" spans="1:10" x14ac:dyDescent="0.35">
      <c r="A35" t="s">
        <v>35</v>
      </c>
      <c r="B35">
        <v>47.6</v>
      </c>
      <c r="C35">
        <v>5.95</v>
      </c>
      <c r="D35" t="s">
        <v>2346</v>
      </c>
      <c r="E35" t="s">
        <v>2344</v>
      </c>
      <c r="F35" t="s">
        <v>2344</v>
      </c>
      <c r="G35">
        <v>0</v>
      </c>
      <c r="H35" t="s">
        <v>2346</v>
      </c>
      <c r="I35" t="str">
        <f t="shared" si="0"/>
        <v>Obesity</v>
      </c>
      <c r="J35" t="str">
        <f t="shared" si="1"/>
        <v>Prediabetes</v>
      </c>
    </row>
    <row r="36" spans="1:10" x14ac:dyDescent="0.35">
      <c r="A36" t="s">
        <v>36</v>
      </c>
      <c r="B36">
        <v>46.2</v>
      </c>
      <c r="C36">
        <v>6.09</v>
      </c>
      <c r="D36" t="s">
        <v>2344</v>
      </c>
      <c r="E36" t="s">
        <v>2344</v>
      </c>
      <c r="F36" t="s">
        <v>2346</v>
      </c>
      <c r="G36">
        <v>1</v>
      </c>
      <c r="H36" t="s">
        <v>2346</v>
      </c>
      <c r="I36" t="str">
        <f t="shared" si="0"/>
        <v>Obesity</v>
      </c>
      <c r="J36" t="str">
        <f t="shared" si="1"/>
        <v>Prediabetes</v>
      </c>
    </row>
    <row r="37" spans="1:10" x14ac:dyDescent="0.35">
      <c r="A37" t="s">
        <v>37</v>
      </c>
      <c r="B37">
        <v>32.015000000000001</v>
      </c>
      <c r="C37">
        <v>11.75</v>
      </c>
      <c r="D37" t="s">
        <v>2344</v>
      </c>
      <c r="E37" t="s">
        <v>2344</v>
      </c>
      <c r="F37" t="s">
        <v>2344</v>
      </c>
      <c r="G37">
        <v>0</v>
      </c>
      <c r="H37" t="s">
        <v>2346</v>
      </c>
      <c r="I37" t="str">
        <f t="shared" si="0"/>
        <v>Obesity</v>
      </c>
      <c r="J37" t="str">
        <f t="shared" si="1"/>
        <v>Diabetes</v>
      </c>
    </row>
    <row r="38" spans="1:10" x14ac:dyDescent="0.35">
      <c r="A38" t="s">
        <v>38</v>
      </c>
      <c r="B38">
        <v>40.564999999999998</v>
      </c>
      <c r="C38">
        <v>7.37</v>
      </c>
      <c r="D38" t="s">
        <v>2344</v>
      </c>
      <c r="E38" t="s">
        <v>2344</v>
      </c>
      <c r="F38" t="s">
        <v>2344</v>
      </c>
      <c r="G38">
        <v>0</v>
      </c>
      <c r="H38" t="s">
        <v>2346</v>
      </c>
      <c r="I38" t="str">
        <f t="shared" si="0"/>
        <v>Obesity</v>
      </c>
      <c r="J38" t="str">
        <f t="shared" si="1"/>
        <v>Diabetes</v>
      </c>
    </row>
    <row r="39" spans="1:10" x14ac:dyDescent="0.35">
      <c r="A39" t="s">
        <v>39</v>
      </c>
      <c r="B39">
        <v>32.450000000000003</v>
      </c>
      <c r="C39">
        <v>11.91</v>
      </c>
      <c r="D39" t="s">
        <v>2344</v>
      </c>
      <c r="E39" t="s">
        <v>2344</v>
      </c>
      <c r="F39" t="s">
        <v>2344</v>
      </c>
      <c r="G39">
        <v>0</v>
      </c>
      <c r="H39" t="s">
        <v>2346</v>
      </c>
      <c r="I39" t="str">
        <f t="shared" si="0"/>
        <v>Obesity</v>
      </c>
      <c r="J39" t="str">
        <f t="shared" si="1"/>
        <v>Diabetes</v>
      </c>
    </row>
    <row r="40" spans="1:10" x14ac:dyDescent="0.35">
      <c r="A40" t="s">
        <v>40</v>
      </c>
      <c r="B40">
        <v>34.96</v>
      </c>
      <c r="C40">
        <v>6.52</v>
      </c>
      <c r="D40" t="s">
        <v>2344</v>
      </c>
      <c r="E40" t="s">
        <v>2344</v>
      </c>
      <c r="F40" t="s">
        <v>2344</v>
      </c>
      <c r="G40">
        <v>0</v>
      </c>
      <c r="H40" t="s">
        <v>2346</v>
      </c>
      <c r="I40" t="str">
        <f t="shared" si="0"/>
        <v>Obesity</v>
      </c>
      <c r="J40" t="str">
        <f t="shared" si="1"/>
        <v>Diabetes</v>
      </c>
    </row>
    <row r="41" spans="1:10" x14ac:dyDescent="0.35">
      <c r="A41" t="s">
        <v>41</v>
      </c>
      <c r="B41">
        <v>35.5</v>
      </c>
      <c r="C41">
        <v>5.14</v>
      </c>
      <c r="D41" t="s">
        <v>2344</v>
      </c>
      <c r="E41" t="s">
        <v>2344</v>
      </c>
      <c r="F41" t="s">
        <v>2346</v>
      </c>
      <c r="G41">
        <v>1</v>
      </c>
      <c r="H41" t="s">
        <v>2346</v>
      </c>
      <c r="I41" t="str">
        <f t="shared" si="0"/>
        <v>Obesity</v>
      </c>
      <c r="J41" t="str">
        <f t="shared" si="1"/>
        <v>Normal</v>
      </c>
    </row>
    <row r="42" spans="1:10" x14ac:dyDescent="0.35">
      <c r="A42" t="s">
        <v>42</v>
      </c>
      <c r="B42">
        <v>52.58</v>
      </c>
      <c r="C42">
        <v>4.1900000000000004</v>
      </c>
      <c r="D42" t="s">
        <v>2344</v>
      </c>
      <c r="E42" t="s">
        <v>2345</v>
      </c>
      <c r="F42" t="s">
        <v>2344</v>
      </c>
      <c r="G42">
        <v>1</v>
      </c>
      <c r="H42" t="s">
        <v>2346</v>
      </c>
      <c r="I42" t="str">
        <f t="shared" si="0"/>
        <v>Obesity</v>
      </c>
      <c r="J42" t="str">
        <f t="shared" si="1"/>
        <v>Normal</v>
      </c>
    </row>
    <row r="43" spans="1:10" x14ac:dyDescent="0.35">
      <c r="A43" t="s">
        <v>43</v>
      </c>
      <c r="B43">
        <v>35.200000000000003</v>
      </c>
      <c r="C43">
        <v>11.68</v>
      </c>
      <c r="D43" t="s">
        <v>2346</v>
      </c>
      <c r="E43" t="s">
        <v>2344</v>
      </c>
      <c r="F43" t="s">
        <v>2344</v>
      </c>
      <c r="G43">
        <v>0</v>
      </c>
      <c r="H43" t="s">
        <v>2346</v>
      </c>
      <c r="I43" t="str">
        <f t="shared" si="0"/>
        <v>Obesity</v>
      </c>
      <c r="J43" t="str">
        <f t="shared" si="1"/>
        <v>Diabetes</v>
      </c>
    </row>
    <row r="44" spans="1:10" x14ac:dyDescent="0.35">
      <c r="A44" t="s">
        <v>44</v>
      </c>
      <c r="B44">
        <v>38.06</v>
      </c>
      <c r="C44">
        <v>6.98</v>
      </c>
      <c r="D44" t="s">
        <v>2344</v>
      </c>
      <c r="E44" t="s">
        <v>2344</v>
      </c>
      <c r="F44" t="s">
        <v>2344</v>
      </c>
      <c r="G44">
        <v>0</v>
      </c>
      <c r="H44" t="s">
        <v>2346</v>
      </c>
      <c r="I44" t="str">
        <f t="shared" si="0"/>
        <v>Obesity</v>
      </c>
      <c r="J44" t="str">
        <f t="shared" si="1"/>
        <v>Diabetes</v>
      </c>
    </row>
    <row r="45" spans="1:10" x14ac:dyDescent="0.35">
      <c r="A45" t="s">
        <v>45</v>
      </c>
      <c r="B45">
        <v>34.21</v>
      </c>
      <c r="C45">
        <v>8.34</v>
      </c>
      <c r="D45" t="s">
        <v>2344</v>
      </c>
      <c r="E45" t="s">
        <v>2344</v>
      </c>
      <c r="F45" t="s">
        <v>2344</v>
      </c>
      <c r="G45">
        <v>0</v>
      </c>
      <c r="H45" t="s">
        <v>2346</v>
      </c>
      <c r="I45" t="str">
        <f t="shared" si="0"/>
        <v>Obesity</v>
      </c>
      <c r="J45" t="str">
        <f t="shared" si="1"/>
        <v>Diabetes</v>
      </c>
    </row>
    <row r="46" spans="1:10" x14ac:dyDescent="0.35">
      <c r="A46" t="s">
        <v>46</v>
      </c>
      <c r="B46">
        <v>38.94</v>
      </c>
      <c r="C46">
        <v>8.49</v>
      </c>
      <c r="D46" t="s">
        <v>2346</v>
      </c>
      <c r="E46" t="s">
        <v>2344</v>
      </c>
      <c r="F46" t="s">
        <v>2344</v>
      </c>
      <c r="G46">
        <v>1</v>
      </c>
      <c r="H46" t="s">
        <v>2346</v>
      </c>
      <c r="I46" t="str">
        <f t="shared" si="0"/>
        <v>Obesity</v>
      </c>
      <c r="J46" t="str">
        <f t="shared" si="1"/>
        <v>Diabetes</v>
      </c>
    </row>
    <row r="47" spans="1:10" x14ac:dyDescent="0.35">
      <c r="A47" t="s">
        <v>47</v>
      </c>
      <c r="B47">
        <v>30.21</v>
      </c>
      <c r="C47">
        <v>5.34</v>
      </c>
      <c r="D47" t="s">
        <v>2346</v>
      </c>
      <c r="E47" t="s">
        <v>2344</v>
      </c>
      <c r="F47" t="s">
        <v>2344</v>
      </c>
      <c r="G47">
        <v>1</v>
      </c>
      <c r="H47" t="s">
        <v>2346</v>
      </c>
      <c r="I47" t="str">
        <f t="shared" si="0"/>
        <v>Obesity</v>
      </c>
      <c r="J47" t="str">
        <f t="shared" si="1"/>
        <v>Normal</v>
      </c>
    </row>
    <row r="48" spans="1:10" x14ac:dyDescent="0.35">
      <c r="A48" t="s">
        <v>48</v>
      </c>
      <c r="B48">
        <v>33.630000000000003</v>
      </c>
      <c r="C48">
        <v>4.43</v>
      </c>
      <c r="D48" t="s">
        <v>2346</v>
      </c>
      <c r="E48" t="s">
        <v>2344</v>
      </c>
      <c r="F48" t="s">
        <v>2344</v>
      </c>
      <c r="G48">
        <v>1</v>
      </c>
      <c r="H48" t="s">
        <v>2346</v>
      </c>
      <c r="I48" t="str">
        <f t="shared" si="0"/>
        <v>Obesity</v>
      </c>
      <c r="J48" t="str">
        <f t="shared" si="1"/>
        <v>Normal</v>
      </c>
    </row>
    <row r="49" spans="1:10" x14ac:dyDescent="0.35">
      <c r="A49" t="s">
        <v>49</v>
      </c>
      <c r="B49">
        <v>40.369999999999997</v>
      </c>
      <c r="C49">
        <v>4.47</v>
      </c>
      <c r="D49" t="s">
        <v>2344</v>
      </c>
      <c r="E49" t="s">
        <v>2344</v>
      </c>
      <c r="F49" t="s">
        <v>2344</v>
      </c>
      <c r="G49">
        <v>0</v>
      </c>
      <c r="H49" t="s">
        <v>2346</v>
      </c>
      <c r="I49" t="str">
        <f t="shared" si="0"/>
        <v>Obesity</v>
      </c>
      <c r="J49" t="str">
        <f t="shared" si="1"/>
        <v>Normal</v>
      </c>
    </row>
    <row r="50" spans="1:10" x14ac:dyDescent="0.35">
      <c r="A50" t="s">
        <v>50</v>
      </c>
      <c r="B50">
        <v>53.09</v>
      </c>
      <c r="C50">
        <v>4.82</v>
      </c>
      <c r="D50" t="s">
        <v>2346</v>
      </c>
      <c r="E50" t="s">
        <v>2344</v>
      </c>
      <c r="F50" t="s">
        <v>2344</v>
      </c>
      <c r="G50">
        <v>1</v>
      </c>
      <c r="H50" t="s">
        <v>2346</v>
      </c>
      <c r="I50" t="str">
        <f t="shared" si="0"/>
        <v>Obesity</v>
      </c>
      <c r="J50" t="str">
        <f t="shared" si="1"/>
        <v>Normal</v>
      </c>
    </row>
    <row r="51" spans="1:10" x14ac:dyDescent="0.35">
      <c r="A51" t="s">
        <v>51</v>
      </c>
      <c r="B51">
        <v>31.79</v>
      </c>
      <c r="C51">
        <v>5.51</v>
      </c>
      <c r="D51" t="s">
        <v>2346</v>
      </c>
      <c r="E51" t="s">
        <v>2344</v>
      </c>
      <c r="F51" t="s">
        <v>2344</v>
      </c>
      <c r="G51">
        <v>1</v>
      </c>
      <c r="H51" t="s">
        <v>2346</v>
      </c>
      <c r="I51" t="str">
        <f t="shared" si="0"/>
        <v>Obesity</v>
      </c>
      <c r="J51" t="str">
        <f t="shared" si="1"/>
        <v>Normal</v>
      </c>
    </row>
    <row r="52" spans="1:10" x14ac:dyDescent="0.35">
      <c r="A52" t="s">
        <v>52</v>
      </c>
      <c r="B52">
        <v>41.895000000000003</v>
      </c>
      <c r="C52">
        <v>10.87</v>
      </c>
      <c r="D52" t="s">
        <v>2346</v>
      </c>
      <c r="E52" t="s">
        <v>2344</v>
      </c>
      <c r="F52" t="s">
        <v>2344</v>
      </c>
      <c r="G52">
        <v>1</v>
      </c>
      <c r="H52" t="s">
        <v>2346</v>
      </c>
      <c r="I52" t="str">
        <f t="shared" si="0"/>
        <v>Obesity</v>
      </c>
      <c r="J52" t="str">
        <f t="shared" si="1"/>
        <v>Diabetes</v>
      </c>
    </row>
    <row r="53" spans="1:10" x14ac:dyDescent="0.35">
      <c r="A53" t="s">
        <v>53</v>
      </c>
      <c r="B53">
        <v>31.16</v>
      </c>
      <c r="C53">
        <v>9.34</v>
      </c>
      <c r="D53" t="s">
        <v>2344</v>
      </c>
      <c r="E53" t="s">
        <v>2344</v>
      </c>
      <c r="F53" t="s">
        <v>2344</v>
      </c>
      <c r="G53">
        <v>0</v>
      </c>
      <c r="H53" t="s">
        <v>2346</v>
      </c>
      <c r="I53" t="str">
        <f t="shared" si="0"/>
        <v>Obesity</v>
      </c>
      <c r="J53" t="str">
        <f t="shared" si="1"/>
        <v>Diabetes</v>
      </c>
    </row>
    <row r="54" spans="1:10" x14ac:dyDescent="0.35">
      <c r="A54" t="s">
        <v>54</v>
      </c>
      <c r="B54">
        <v>34.104999999999997</v>
      </c>
      <c r="C54">
        <v>5.03</v>
      </c>
      <c r="D54" t="s">
        <v>2346</v>
      </c>
      <c r="E54" t="s">
        <v>2344</v>
      </c>
      <c r="F54" t="s">
        <v>2346</v>
      </c>
      <c r="G54">
        <v>1</v>
      </c>
      <c r="H54" t="s">
        <v>2346</v>
      </c>
      <c r="I54" t="str">
        <f t="shared" si="0"/>
        <v>Obesity</v>
      </c>
      <c r="J54" t="str">
        <f t="shared" si="1"/>
        <v>Normal</v>
      </c>
    </row>
    <row r="55" spans="1:10" x14ac:dyDescent="0.35">
      <c r="A55" t="s">
        <v>55</v>
      </c>
      <c r="B55">
        <v>51.93</v>
      </c>
      <c r="C55">
        <v>11.05</v>
      </c>
      <c r="D55" t="s">
        <v>2344</v>
      </c>
      <c r="E55" t="s">
        <v>2344</v>
      </c>
      <c r="F55" t="s">
        <v>2344</v>
      </c>
      <c r="G55">
        <v>0</v>
      </c>
      <c r="H55" t="s">
        <v>2346</v>
      </c>
      <c r="I55" t="str">
        <f t="shared" si="0"/>
        <v>Obesity</v>
      </c>
      <c r="J55" t="str">
        <f t="shared" si="1"/>
        <v>Diabetes</v>
      </c>
    </row>
    <row r="56" spans="1:10" x14ac:dyDescent="0.35">
      <c r="A56" t="s">
        <v>56</v>
      </c>
      <c r="B56">
        <v>38.950000000000003</v>
      </c>
      <c r="C56">
        <v>11.95</v>
      </c>
      <c r="D56" t="s">
        <v>2344</v>
      </c>
      <c r="E56" t="s">
        <v>2344</v>
      </c>
      <c r="F56" t="s">
        <v>2344</v>
      </c>
      <c r="G56">
        <v>0</v>
      </c>
      <c r="H56" t="s">
        <v>2346</v>
      </c>
      <c r="I56" t="str">
        <f t="shared" si="0"/>
        <v>Obesity</v>
      </c>
      <c r="J56" t="str">
        <f t="shared" si="1"/>
        <v>Diabetes</v>
      </c>
    </row>
    <row r="57" spans="1:10" x14ac:dyDescent="0.35">
      <c r="A57" t="s">
        <v>57</v>
      </c>
      <c r="B57">
        <v>36.630000000000003</v>
      </c>
      <c r="C57">
        <v>7.72</v>
      </c>
      <c r="D57" t="s">
        <v>2346</v>
      </c>
      <c r="E57" t="s">
        <v>2344</v>
      </c>
      <c r="F57" t="s">
        <v>2344</v>
      </c>
      <c r="G57">
        <v>1</v>
      </c>
      <c r="H57" t="s">
        <v>2346</v>
      </c>
      <c r="I57" t="str">
        <f t="shared" si="0"/>
        <v>Obesity</v>
      </c>
      <c r="J57" t="str">
        <f t="shared" si="1"/>
        <v>Diabetes</v>
      </c>
    </row>
    <row r="58" spans="1:10" x14ac:dyDescent="0.35">
      <c r="A58" t="s">
        <v>58</v>
      </c>
      <c r="B58">
        <v>34.200000000000003</v>
      </c>
      <c r="C58">
        <v>5.75</v>
      </c>
      <c r="D58" t="s">
        <v>2344</v>
      </c>
      <c r="E58" t="s">
        <v>2344</v>
      </c>
      <c r="F58" t="s">
        <v>2344</v>
      </c>
      <c r="G58">
        <v>1</v>
      </c>
      <c r="H58" t="s">
        <v>2346</v>
      </c>
      <c r="I58" t="str">
        <f t="shared" si="0"/>
        <v>Obesity</v>
      </c>
      <c r="J58" t="str">
        <f t="shared" si="1"/>
        <v>Prediabetes</v>
      </c>
    </row>
    <row r="59" spans="1:10" x14ac:dyDescent="0.35">
      <c r="A59" t="s">
        <v>59</v>
      </c>
      <c r="B59">
        <v>50.63</v>
      </c>
      <c r="C59">
        <v>11.89</v>
      </c>
      <c r="D59" t="s">
        <v>2344</v>
      </c>
      <c r="E59" t="s">
        <v>2344</v>
      </c>
      <c r="F59" t="s">
        <v>2344</v>
      </c>
      <c r="G59">
        <v>0</v>
      </c>
      <c r="H59" t="s">
        <v>2346</v>
      </c>
      <c r="I59" t="str">
        <f t="shared" si="0"/>
        <v>Obesity</v>
      </c>
      <c r="J59" t="str">
        <f t="shared" si="1"/>
        <v>Diabetes</v>
      </c>
    </row>
    <row r="60" spans="1:10" x14ac:dyDescent="0.35">
      <c r="A60" t="s">
        <v>60</v>
      </c>
      <c r="B60">
        <v>36.479999999999997</v>
      </c>
      <c r="C60">
        <v>6.2</v>
      </c>
      <c r="D60" t="s">
        <v>2344</v>
      </c>
      <c r="E60" t="s">
        <v>2344</v>
      </c>
      <c r="F60" t="s">
        <v>2344</v>
      </c>
      <c r="G60">
        <v>0</v>
      </c>
      <c r="H60" t="s">
        <v>2346</v>
      </c>
      <c r="I60" t="str">
        <f t="shared" si="0"/>
        <v>Obesity</v>
      </c>
      <c r="J60" t="str">
        <f t="shared" si="1"/>
        <v>Prediabetes</v>
      </c>
    </row>
    <row r="61" spans="1:10" x14ac:dyDescent="0.35">
      <c r="A61" t="s">
        <v>61</v>
      </c>
      <c r="B61">
        <v>54.82</v>
      </c>
      <c r="C61">
        <v>10.61</v>
      </c>
      <c r="D61" t="s">
        <v>2344</v>
      </c>
      <c r="E61" t="s">
        <v>2344</v>
      </c>
      <c r="F61" t="s">
        <v>2344</v>
      </c>
      <c r="G61">
        <v>0</v>
      </c>
      <c r="H61" t="s">
        <v>2346</v>
      </c>
      <c r="I61" t="str">
        <f t="shared" si="0"/>
        <v>Obesity</v>
      </c>
      <c r="J61" t="str">
        <f t="shared" si="1"/>
        <v>Diabetes</v>
      </c>
    </row>
    <row r="62" spans="1:10" x14ac:dyDescent="0.35">
      <c r="A62" t="s">
        <v>62</v>
      </c>
      <c r="B62">
        <v>38.06</v>
      </c>
      <c r="C62">
        <v>6.04</v>
      </c>
      <c r="D62" t="s">
        <v>2344</v>
      </c>
      <c r="E62" t="s">
        <v>2344</v>
      </c>
      <c r="F62" t="s">
        <v>2346</v>
      </c>
      <c r="G62">
        <v>1</v>
      </c>
      <c r="H62" t="s">
        <v>2346</v>
      </c>
      <c r="I62" t="str">
        <f t="shared" si="0"/>
        <v>Obesity</v>
      </c>
      <c r="J62" t="str">
        <f t="shared" si="1"/>
        <v>Prediabetes</v>
      </c>
    </row>
    <row r="63" spans="1:10" x14ac:dyDescent="0.35">
      <c r="A63" t="s">
        <v>63</v>
      </c>
      <c r="B63">
        <v>51.48</v>
      </c>
      <c r="C63">
        <v>9.33</v>
      </c>
      <c r="D63" t="s">
        <v>2346</v>
      </c>
      <c r="E63" t="s">
        <v>2344</v>
      </c>
      <c r="F63" t="s">
        <v>2344</v>
      </c>
      <c r="G63">
        <v>0</v>
      </c>
      <c r="H63" t="s">
        <v>2346</v>
      </c>
      <c r="I63" t="str">
        <f t="shared" si="0"/>
        <v>Obesity</v>
      </c>
      <c r="J63" t="str">
        <f t="shared" si="1"/>
        <v>Diabetes</v>
      </c>
    </row>
    <row r="64" spans="1:10" x14ac:dyDescent="0.35">
      <c r="A64" t="s">
        <v>64</v>
      </c>
      <c r="B64">
        <v>52.06</v>
      </c>
      <c r="C64">
        <v>11.47</v>
      </c>
      <c r="D64" t="s">
        <v>2344</v>
      </c>
      <c r="E64" t="s">
        <v>2344</v>
      </c>
      <c r="F64" t="s">
        <v>2344</v>
      </c>
      <c r="G64">
        <v>0</v>
      </c>
      <c r="H64" t="s">
        <v>2346</v>
      </c>
      <c r="I64" t="str">
        <f t="shared" si="0"/>
        <v>Obesity</v>
      </c>
      <c r="J64" t="str">
        <f t="shared" si="1"/>
        <v>Diabetes</v>
      </c>
    </row>
    <row r="65" spans="1:10" x14ac:dyDescent="0.35">
      <c r="A65" t="s">
        <v>65</v>
      </c>
      <c r="B65">
        <v>30.684999999999999</v>
      </c>
      <c r="C65">
        <v>7.02</v>
      </c>
      <c r="D65" t="s">
        <v>2346</v>
      </c>
      <c r="E65" t="s">
        <v>2344</v>
      </c>
      <c r="F65" t="s">
        <v>2344</v>
      </c>
      <c r="G65">
        <v>0</v>
      </c>
      <c r="H65" t="s">
        <v>2346</v>
      </c>
      <c r="I65" t="str">
        <f t="shared" si="0"/>
        <v>Obesity</v>
      </c>
      <c r="J65" t="str">
        <f t="shared" si="1"/>
        <v>Diabetes</v>
      </c>
    </row>
    <row r="66" spans="1:10" x14ac:dyDescent="0.35">
      <c r="A66" t="s">
        <v>66</v>
      </c>
      <c r="B66">
        <v>36.08</v>
      </c>
      <c r="C66">
        <v>8.8000000000000007</v>
      </c>
      <c r="D66" t="s">
        <v>2346</v>
      </c>
      <c r="E66" t="s">
        <v>2344</v>
      </c>
      <c r="F66" t="s">
        <v>2344</v>
      </c>
      <c r="G66">
        <v>1</v>
      </c>
      <c r="H66" t="s">
        <v>2346</v>
      </c>
      <c r="I66" t="str">
        <f t="shared" si="0"/>
        <v>Obesity</v>
      </c>
      <c r="J66" t="str">
        <f t="shared" si="1"/>
        <v>Diabetes</v>
      </c>
    </row>
    <row r="67" spans="1:10" x14ac:dyDescent="0.35">
      <c r="A67" t="s">
        <v>67</v>
      </c>
      <c r="B67">
        <v>54.99</v>
      </c>
      <c r="C67">
        <v>8.68</v>
      </c>
      <c r="D67" t="s">
        <v>2344</v>
      </c>
      <c r="E67" t="s">
        <v>2344</v>
      </c>
      <c r="F67" t="s">
        <v>2344</v>
      </c>
      <c r="G67">
        <v>1</v>
      </c>
      <c r="H67" t="s">
        <v>2346</v>
      </c>
      <c r="I67" t="str">
        <f t="shared" ref="I67:I130" si="2">IF(B67&lt;18.5,"Under Weight",IF(B67&lt;25,"Normal Weight",IF(B67&lt;30,"Over weight","Obesity")))</f>
        <v>Obesity</v>
      </c>
      <c r="J67" t="str">
        <f t="shared" ref="J67:J130" si="3">IF(C67&lt;5.7,"Normal",IF(C67&lt;6.5,"Prediabetes","Diabetes"))</f>
        <v>Diabetes</v>
      </c>
    </row>
    <row r="68" spans="1:10" x14ac:dyDescent="0.35">
      <c r="A68" t="s">
        <v>68</v>
      </c>
      <c r="B68">
        <v>35.97</v>
      </c>
      <c r="C68">
        <v>6.12</v>
      </c>
      <c r="D68" t="s">
        <v>2344</v>
      </c>
      <c r="E68" t="s">
        <v>2344</v>
      </c>
      <c r="F68" t="s">
        <v>2346</v>
      </c>
      <c r="G68">
        <v>1</v>
      </c>
      <c r="H68" t="s">
        <v>2346</v>
      </c>
      <c r="I68" t="str">
        <f t="shared" si="2"/>
        <v>Obesity</v>
      </c>
      <c r="J68" t="str">
        <f t="shared" si="3"/>
        <v>Prediabetes</v>
      </c>
    </row>
    <row r="69" spans="1:10" x14ac:dyDescent="0.35">
      <c r="A69" t="s">
        <v>69</v>
      </c>
      <c r="B69">
        <v>45.54</v>
      </c>
      <c r="C69">
        <v>5.4</v>
      </c>
      <c r="D69" t="s">
        <v>2346</v>
      </c>
      <c r="E69" t="s">
        <v>2344</v>
      </c>
      <c r="F69" t="s">
        <v>2346</v>
      </c>
      <c r="G69">
        <v>1</v>
      </c>
      <c r="H69" t="s">
        <v>2346</v>
      </c>
      <c r="I69" t="str">
        <f t="shared" si="2"/>
        <v>Obesity</v>
      </c>
      <c r="J69" t="str">
        <f t="shared" si="3"/>
        <v>Normal</v>
      </c>
    </row>
    <row r="70" spans="1:10" x14ac:dyDescent="0.35">
      <c r="A70" t="s">
        <v>70</v>
      </c>
      <c r="B70">
        <v>35.53</v>
      </c>
      <c r="C70">
        <v>4.3600000000000003</v>
      </c>
      <c r="D70" t="s">
        <v>2346</v>
      </c>
      <c r="E70" t="s">
        <v>2344</v>
      </c>
      <c r="F70" t="s">
        <v>2344</v>
      </c>
      <c r="G70">
        <v>0</v>
      </c>
      <c r="H70" t="s">
        <v>2346</v>
      </c>
      <c r="I70" t="str">
        <f t="shared" si="2"/>
        <v>Obesity</v>
      </c>
      <c r="J70" t="str">
        <f t="shared" si="3"/>
        <v>Normal</v>
      </c>
    </row>
    <row r="71" spans="1:10" x14ac:dyDescent="0.35">
      <c r="A71" t="s">
        <v>71</v>
      </c>
      <c r="B71">
        <v>30.8</v>
      </c>
      <c r="C71">
        <v>9.77</v>
      </c>
      <c r="D71" t="s">
        <v>2344</v>
      </c>
      <c r="E71" t="s">
        <v>2344</v>
      </c>
      <c r="F71" t="s">
        <v>2344</v>
      </c>
      <c r="G71">
        <v>0</v>
      </c>
      <c r="H71" t="s">
        <v>2346</v>
      </c>
      <c r="I71" t="str">
        <f t="shared" si="2"/>
        <v>Obesity</v>
      </c>
      <c r="J71" t="str">
        <f t="shared" si="3"/>
        <v>Diabetes</v>
      </c>
    </row>
    <row r="72" spans="1:10" x14ac:dyDescent="0.35">
      <c r="A72" t="s">
        <v>72</v>
      </c>
      <c r="B72">
        <v>38.39</v>
      </c>
      <c r="C72">
        <v>4.25</v>
      </c>
      <c r="D72" t="s">
        <v>2344</v>
      </c>
      <c r="E72" t="s">
        <v>2344</v>
      </c>
      <c r="F72" t="s">
        <v>2344</v>
      </c>
      <c r="G72">
        <v>1</v>
      </c>
      <c r="H72" t="s">
        <v>2346</v>
      </c>
      <c r="I72" t="str">
        <f t="shared" si="2"/>
        <v>Obesity</v>
      </c>
      <c r="J72" t="str">
        <f t="shared" si="3"/>
        <v>Normal</v>
      </c>
    </row>
    <row r="73" spans="1:10" x14ac:dyDescent="0.35">
      <c r="A73" t="s">
        <v>73</v>
      </c>
      <c r="B73">
        <v>32.299999999999997</v>
      </c>
      <c r="C73">
        <v>4.76</v>
      </c>
      <c r="D73" t="s">
        <v>2344</v>
      </c>
      <c r="E73" t="s">
        <v>2344</v>
      </c>
      <c r="F73" t="s">
        <v>2344</v>
      </c>
      <c r="G73">
        <v>1</v>
      </c>
      <c r="H73" t="s">
        <v>2346</v>
      </c>
      <c r="I73" t="str">
        <f t="shared" si="2"/>
        <v>Obesity</v>
      </c>
      <c r="J73" t="str">
        <f t="shared" si="3"/>
        <v>Normal</v>
      </c>
    </row>
    <row r="74" spans="1:10" x14ac:dyDescent="0.35">
      <c r="A74" t="s">
        <v>74</v>
      </c>
      <c r="B74">
        <v>48.8</v>
      </c>
      <c r="C74">
        <v>6.22</v>
      </c>
      <c r="D74" t="s">
        <v>2346</v>
      </c>
      <c r="E74" t="s">
        <v>2344</v>
      </c>
      <c r="F74" t="s">
        <v>2344</v>
      </c>
      <c r="G74">
        <v>1</v>
      </c>
      <c r="H74" t="s">
        <v>2346</v>
      </c>
      <c r="I74" t="str">
        <f t="shared" si="2"/>
        <v>Obesity</v>
      </c>
      <c r="J74" t="str">
        <f t="shared" si="3"/>
        <v>Prediabetes</v>
      </c>
    </row>
    <row r="75" spans="1:10" x14ac:dyDescent="0.35">
      <c r="A75" t="s">
        <v>75</v>
      </c>
      <c r="B75">
        <v>45.5</v>
      </c>
      <c r="C75">
        <v>7.96</v>
      </c>
      <c r="D75" t="s">
        <v>2344</v>
      </c>
      <c r="E75" t="s">
        <v>2344</v>
      </c>
      <c r="F75" t="s">
        <v>2344</v>
      </c>
      <c r="G75">
        <v>0</v>
      </c>
      <c r="H75" t="s">
        <v>2346</v>
      </c>
      <c r="I75" t="str">
        <f t="shared" si="2"/>
        <v>Obesity</v>
      </c>
      <c r="J75" t="str">
        <f t="shared" si="3"/>
        <v>Diabetes</v>
      </c>
    </row>
    <row r="76" spans="1:10" x14ac:dyDescent="0.35">
      <c r="A76" t="s">
        <v>76</v>
      </c>
      <c r="B76">
        <v>53.61</v>
      </c>
      <c r="C76">
        <v>10.92</v>
      </c>
      <c r="D76" t="s">
        <v>2346</v>
      </c>
      <c r="E76" t="s">
        <v>2344</v>
      </c>
      <c r="F76" t="s">
        <v>2344</v>
      </c>
      <c r="G76">
        <v>1</v>
      </c>
      <c r="H76" t="s">
        <v>2346</v>
      </c>
      <c r="I76" t="str">
        <f t="shared" si="2"/>
        <v>Obesity</v>
      </c>
      <c r="J76" t="str">
        <f t="shared" si="3"/>
        <v>Diabetes</v>
      </c>
    </row>
    <row r="77" spans="1:10" x14ac:dyDescent="0.35">
      <c r="A77" t="s">
        <v>77</v>
      </c>
      <c r="B77">
        <v>36.19</v>
      </c>
      <c r="C77">
        <v>11.51</v>
      </c>
      <c r="D77" t="s">
        <v>2346</v>
      </c>
      <c r="E77" t="s">
        <v>2344</v>
      </c>
      <c r="F77" t="s">
        <v>2344</v>
      </c>
      <c r="G77">
        <v>1</v>
      </c>
      <c r="H77" t="s">
        <v>2346</v>
      </c>
      <c r="I77" t="str">
        <f t="shared" si="2"/>
        <v>Obesity</v>
      </c>
      <c r="J77" t="str">
        <f t="shared" si="3"/>
        <v>Diabetes</v>
      </c>
    </row>
    <row r="78" spans="1:10" x14ac:dyDescent="0.35">
      <c r="A78" t="s">
        <v>78</v>
      </c>
      <c r="B78">
        <v>34.6</v>
      </c>
      <c r="C78">
        <v>5.99</v>
      </c>
      <c r="D78" t="s">
        <v>2346</v>
      </c>
      <c r="E78" t="s">
        <v>2344</v>
      </c>
      <c r="F78" t="s">
        <v>2344</v>
      </c>
      <c r="G78">
        <v>0</v>
      </c>
      <c r="H78" t="s">
        <v>2346</v>
      </c>
      <c r="I78" t="str">
        <f t="shared" si="2"/>
        <v>Obesity</v>
      </c>
      <c r="J78" t="str">
        <f t="shared" si="3"/>
        <v>Prediabetes</v>
      </c>
    </row>
    <row r="79" spans="1:10" x14ac:dyDescent="0.35">
      <c r="A79" t="s">
        <v>79</v>
      </c>
      <c r="B79">
        <v>54.12</v>
      </c>
      <c r="C79">
        <v>11.57</v>
      </c>
      <c r="D79" t="s">
        <v>2344</v>
      </c>
      <c r="E79" t="s">
        <v>2344</v>
      </c>
      <c r="F79" t="s">
        <v>2344</v>
      </c>
      <c r="G79">
        <v>0</v>
      </c>
      <c r="H79" t="s">
        <v>2346</v>
      </c>
      <c r="I79" t="str">
        <f t="shared" si="2"/>
        <v>Obesity</v>
      </c>
      <c r="J79" t="str">
        <f t="shared" si="3"/>
        <v>Diabetes</v>
      </c>
    </row>
    <row r="80" spans="1:10" x14ac:dyDescent="0.35">
      <c r="A80" t="s">
        <v>80</v>
      </c>
      <c r="B80">
        <v>48.82</v>
      </c>
      <c r="C80">
        <v>6.67</v>
      </c>
      <c r="D80" t="s">
        <v>2346</v>
      </c>
      <c r="E80" t="s">
        <v>2344</v>
      </c>
      <c r="F80" t="s">
        <v>2344</v>
      </c>
      <c r="G80">
        <v>0</v>
      </c>
      <c r="H80" t="s">
        <v>2346</v>
      </c>
      <c r="I80" t="str">
        <f t="shared" si="2"/>
        <v>Obesity</v>
      </c>
      <c r="J80" t="str">
        <f t="shared" si="3"/>
        <v>Diabetes</v>
      </c>
    </row>
    <row r="81" spans="1:10" x14ac:dyDescent="0.35">
      <c r="A81" t="s">
        <v>81</v>
      </c>
      <c r="B81">
        <v>51.01</v>
      </c>
      <c r="C81">
        <v>9.1999999999999993</v>
      </c>
      <c r="D81" t="s">
        <v>2344</v>
      </c>
      <c r="E81" t="s">
        <v>2344</v>
      </c>
      <c r="F81" t="s">
        <v>2344</v>
      </c>
      <c r="G81">
        <v>0</v>
      </c>
      <c r="H81" t="s">
        <v>2346</v>
      </c>
      <c r="I81" t="str">
        <f t="shared" si="2"/>
        <v>Obesity</v>
      </c>
      <c r="J81" t="str">
        <f t="shared" si="3"/>
        <v>Diabetes</v>
      </c>
    </row>
    <row r="82" spans="1:10" x14ac:dyDescent="0.35">
      <c r="A82" t="s">
        <v>82</v>
      </c>
      <c r="B82">
        <v>45.65</v>
      </c>
      <c r="C82">
        <v>5.1100000000000003</v>
      </c>
      <c r="D82" t="s">
        <v>2346</v>
      </c>
      <c r="E82" t="s">
        <v>2344</v>
      </c>
      <c r="F82" t="s">
        <v>2344</v>
      </c>
      <c r="G82">
        <v>1</v>
      </c>
      <c r="H82" t="s">
        <v>2346</v>
      </c>
      <c r="I82" t="str">
        <f t="shared" si="2"/>
        <v>Obesity</v>
      </c>
      <c r="J82" t="str">
        <f t="shared" si="3"/>
        <v>Normal</v>
      </c>
    </row>
    <row r="83" spans="1:10" x14ac:dyDescent="0.35">
      <c r="A83" t="s">
        <v>83</v>
      </c>
      <c r="B83">
        <v>52.9</v>
      </c>
      <c r="C83">
        <v>5.34</v>
      </c>
      <c r="D83" t="s">
        <v>2344</v>
      </c>
      <c r="E83" t="s">
        <v>2344</v>
      </c>
      <c r="F83" t="s">
        <v>2344</v>
      </c>
      <c r="G83">
        <v>0</v>
      </c>
      <c r="H83" t="s">
        <v>2346</v>
      </c>
      <c r="I83" t="str">
        <f t="shared" si="2"/>
        <v>Obesity</v>
      </c>
      <c r="J83" t="str">
        <f t="shared" si="3"/>
        <v>Normal</v>
      </c>
    </row>
    <row r="84" spans="1:10" x14ac:dyDescent="0.35">
      <c r="A84" t="s">
        <v>84</v>
      </c>
      <c r="B84">
        <v>45.41</v>
      </c>
      <c r="C84">
        <v>4.03</v>
      </c>
      <c r="D84" t="s">
        <v>2346</v>
      </c>
      <c r="E84" t="s">
        <v>2344</v>
      </c>
      <c r="F84" t="s">
        <v>2344</v>
      </c>
      <c r="G84">
        <v>1</v>
      </c>
      <c r="H84" t="s">
        <v>2346</v>
      </c>
      <c r="I84" t="str">
        <f t="shared" si="2"/>
        <v>Obesity</v>
      </c>
      <c r="J84" t="str">
        <f t="shared" si="3"/>
        <v>Normal</v>
      </c>
    </row>
    <row r="85" spans="1:10" x14ac:dyDescent="0.35">
      <c r="A85" t="s">
        <v>85</v>
      </c>
      <c r="B85">
        <v>49.41</v>
      </c>
      <c r="C85">
        <v>4.2300000000000004</v>
      </c>
      <c r="D85" t="s">
        <v>2346</v>
      </c>
      <c r="E85" t="s">
        <v>2344</v>
      </c>
      <c r="F85" t="s">
        <v>2346</v>
      </c>
      <c r="G85">
        <v>1</v>
      </c>
      <c r="H85" t="s">
        <v>2346</v>
      </c>
      <c r="I85" t="str">
        <f t="shared" si="2"/>
        <v>Obesity</v>
      </c>
      <c r="J85" t="str">
        <f t="shared" si="3"/>
        <v>Normal</v>
      </c>
    </row>
    <row r="86" spans="1:10" x14ac:dyDescent="0.35">
      <c r="A86" t="s">
        <v>86</v>
      </c>
      <c r="B86">
        <v>31.824999999999999</v>
      </c>
      <c r="C86">
        <v>4.0599999999999996</v>
      </c>
      <c r="D86" t="s">
        <v>2344</v>
      </c>
      <c r="E86" t="s">
        <v>2344</v>
      </c>
      <c r="F86" t="s">
        <v>2344</v>
      </c>
      <c r="G86">
        <v>1</v>
      </c>
      <c r="H86" t="s">
        <v>2346</v>
      </c>
      <c r="I86" t="str">
        <f t="shared" si="2"/>
        <v>Obesity</v>
      </c>
      <c r="J86" t="str">
        <f t="shared" si="3"/>
        <v>Normal</v>
      </c>
    </row>
    <row r="87" spans="1:10" x14ac:dyDescent="0.35">
      <c r="A87" t="s">
        <v>87</v>
      </c>
      <c r="B87">
        <v>51.28</v>
      </c>
      <c r="C87">
        <v>4.68</v>
      </c>
      <c r="D87" t="s">
        <v>2344</v>
      </c>
      <c r="E87" t="s">
        <v>2344</v>
      </c>
      <c r="F87" t="s">
        <v>2344</v>
      </c>
      <c r="G87">
        <v>1</v>
      </c>
      <c r="H87" t="s">
        <v>2346</v>
      </c>
      <c r="I87" t="str">
        <f t="shared" si="2"/>
        <v>Obesity</v>
      </c>
      <c r="J87" t="str">
        <f t="shared" si="3"/>
        <v>Normal</v>
      </c>
    </row>
    <row r="88" spans="1:10" x14ac:dyDescent="0.35">
      <c r="A88" t="s">
        <v>88</v>
      </c>
      <c r="B88">
        <v>34.96</v>
      </c>
      <c r="C88">
        <v>4.34</v>
      </c>
      <c r="D88" t="s">
        <v>2344</v>
      </c>
      <c r="E88" t="s">
        <v>2344</v>
      </c>
      <c r="F88" t="s">
        <v>2346</v>
      </c>
      <c r="G88">
        <v>1</v>
      </c>
      <c r="H88" t="s">
        <v>2346</v>
      </c>
      <c r="I88" t="str">
        <f t="shared" si="2"/>
        <v>Obesity</v>
      </c>
      <c r="J88" t="str">
        <f t="shared" si="3"/>
        <v>Normal</v>
      </c>
    </row>
    <row r="89" spans="1:10" x14ac:dyDescent="0.35">
      <c r="A89" t="s">
        <v>89</v>
      </c>
      <c r="B89">
        <v>33.11</v>
      </c>
      <c r="C89">
        <v>10.51</v>
      </c>
      <c r="D89" t="s">
        <v>2344</v>
      </c>
      <c r="E89" t="s">
        <v>2344</v>
      </c>
      <c r="F89" t="s">
        <v>2344</v>
      </c>
      <c r="G89">
        <v>0</v>
      </c>
      <c r="H89" t="s">
        <v>2346</v>
      </c>
      <c r="I89" t="str">
        <f t="shared" si="2"/>
        <v>Obesity</v>
      </c>
      <c r="J89" t="str">
        <f t="shared" si="3"/>
        <v>Diabetes</v>
      </c>
    </row>
    <row r="90" spans="1:10" x14ac:dyDescent="0.35">
      <c r="A90" t="s">
        <v>90</v>
      </c>
      <c r="B90">
        <v>54.74</v>
      </c>
      <c r="C90">
        <v>5.84</v>
      </c>
      <c r="D90" t="s">
        <v>2346</v>
      </c>
      <c r="E90" t="s">
        <v>2344</v>
      </c>
      <c r="F90" t="s">
        <v>2346</v>
      </c>
      <c r="G90">
        <v>1</v>
      </c>
      <c r="H90" t="s">
        <v>2346</v>
      </c>
      <c r="I90" t="str">
        <f t="shared" si="2"/>
        <v>Obesity</v>
      </c>
      <c r="J90" t="str">
        <f t="shared" si="3"/>
        <v>Prediabetes</v>
      </c>
    </row>
    <row r="91" spans="1:10" x14ac:dyDescent="0.35">
      <c r="A91" t="s">
        <v>91</v>
      </c>
      <c r="B91">
        <v>32.56</v>
      </c>
      <c r="C91">
        <v>5.41</v>
      </c>
      <c r="D91" t="s">
        <v>2344</v>
      </c>
      <c r="E91" t="s">
        <v>2344</v>
      </c>
      <c r="F91" t="s">
        <v>2346</v>
      </c>
      <c r="G91">
        <v>1</v>
      </c>
      <c r="H91" t="s">
        <v>2346</v>
      </c>
      <c r="I91" t="str">
        <f t="shared" si="2"/>
        <v>Obesity</v>
      </c>
      <c r="J91" t="str">
        <f t="shared" si="3"/>
        <v>Normal</v>
      </c>
    </row>
    <row r="92" spans="1:10" x14ac:dyDescent="0.35">
      <c r="A92" t="s">
        <v>92</v>
      </c>
      <c r="B92">
        <v>39.049999999999997</v>
      </c>
      <c r="C92">
        <v>6.06</v>
      </c>
      <c r="D92" t="s">
        <v>2344</v>
      </c>
      <c r="E92" t="s">
        <v>2344</v>
      </c>
      <c r="F92" t="s">
        <v>2344</v>
      </c>
      <c r="G92">
        <v>1</v>
      </c>
      <c r="H92" t="s">
        <v>2346</v>
      </c>
      <c r="I92" t="str">
        <f t="shared" si="2"/>
        <v>Obesity</v>
      </c>
      <c r="J92" t="str">
        <f t="shared" si="3"/>
        <v>Prediabetes</v>
      </c>
    </row>
    <row r="93" spans="1:10" x14ac:dyDescent="0.35">
      <c r="A93" t="s">
        <v>93</v>
      </c>
      <c r="B93">
        <v>42.75</v>
      </c>
      <c r="C93">
        <v>4.22</v>
      </c>
      <c r="D93" t="s">
        <v>2344</v>
      </c>
      <c r="E93" t="s">
        <v>2344</v>
      </c>
      <c r="F93" t="s">
        <v>2344</v>
      </c>
      <c r="G93">
        <v>0</v>
      </c>
      <c r="H93" t="s">
        <v>2346</v>
      </c>
      <c r="I93" t="str">
        <f t="shared" si="2"/>
        <v>Obesity</v>
      </c>
      <c r="J93" t="str">
        <f t="shared" si="3"/>
        <v>Normal</v>
      </c>
    </row>
    <row r="94" spans="1:10" x14ac:dyDescent="0.35">
      <c r="A94" t="s">
        <v>94</v>
      </c>
      <c r="B94">
        <v>50.58</v>
      </c>
      <c r="C94">
        <v>5.12</v>
      </c>
      <c r="D94" t="s">
        <v>2344</v>
      </c>
      <c r="E94" t="s">
        <v>2344</v>
      </c>
      <c r="F94" t="s">
        <v>2344</v>
      </c>
      <c r="G94">
        <v>1</v>
      </c>
      <c r="H94" t="s">
        <v>2346</v>
      </c>
      <c r="I94" t="str">
        <f t="shared" si="2"/>
        <v>Obesity</v>
      </c>
      <c r="J94" t="str">
        <f t="shared" si="3"/>
        <v>Normal</v>
      </c>
    </row>
    <row r="95" spans="1:10" x14ac:dyDescent="0.35">
      <c r="A95" t="s">
        <v>95</v>
      </c>
      <c r="B95">
        <v>30.495000000000001</v>
      </c>
      <c r="C95">
        <v>4.57</v>
      </c>
      <c r="D95" t="s">
        <v>2346</v>
      </c>
      <c r="E95" t="s">
        <v>2344</v>
      </c>
      <c r="F95" t="s">
        <v>2344</v>
      </c>
      <c r="G95">
        <v>0</v>
      </c>
      <c r="H95" t="s">
        <v>2346</v>
      </c>
      <c r="I95" t="str">
        <f t="shared" si="2"/>
        <v>Obesity</v>
      </c>
      <c r="J95" t="str">
        <f t="shared" si="3"/>
        <v>Normal</v>
      </c>
    </row>
    <row r="96" spans="1:10" x14ac:dyDescent="0.35">
      <c r="A96" t="s">
        <v>96</v>
      </c>
      <c r="B96">
        <v>48.31</v>
      </c>
      <c r="C96">
        <v>9.58</v>
      </c>
      <c r="D96" t="s">
        <v>2346</v>
      </c>
      <c r="E96" t="s">
        <v>2344</v>
      </c>
      <c r="F96" t="s">
        <v>2344</v>
      </c>
      <c r="G96">
        <v>1</v>
      </c>
      <c r="H96" t="s">
        <v>2346</v>
      </c>
      <c r="I96" t="str">
        <f t="shared" si="2"/>
        <v>Obesity</v>
      </c>
      <c r="J96" t="str">
        <f t="shared" si="3"/>
        <v>Diabetes</v>
      </c>
    </row>
    <row r="97" spans="1:10" x14ac:dyDescent="0.35">
      <c r="A97" t="s">
        <v>97</v>
      </c>
      <c r="B97">
        <v>48.99</v>
      </c>
      <c r="C97">
        <v>9.7799999999999994</v>
      </c>
      <c r="D97" t="s">
        <v>2346</v>
      </c>
      <c r="E97" t="s">
        <v>2344</v>
      </c>
      <c r="F97" t="s">
        <v>2344</v>
      </c>
      <c r="G97">
        <v>1</v>
      </c>
      <c r="H97" t="s">
        <v>2346</v>
      </c>
      <c r="I97" t="str">
        <f t="shared" si="2"/>
        <v>Obesity</v>
      </c>
      <c r="J97" t="str">
        <f t="shared" si="3"/>
        <v>Diabetes</v>
      </c>
    </row>
    <row r="98" spans="1:10" x14ac:dyDescent="0.35">
      <c r="A98" t="s">
        <v>98</v>
      </c>
      <c r="B98">
        <v>38.39</v>
      </c>
      <c r="C98">
        <v>4.1100000000000003</v>
      </c>
      <c r="D98" t="s">
        <v>2346</v>
      </c>
      <c r="E98" t="s">
        <v>2344</v>
      </c>
      <c r="F98" t="s">
        <v>2344</v>
      </c>
      <c r="G98">
        <v>0</v>
      </c>
      <c r="H98" t="s">
        <v>2346</v>
      </c>
      <c r="I98" t="str">
        <f t="shared" si="2"/>
        <v>Obesity</v>
      </c>
      <c r="J98" t="str">
        <f t="shared" si="3"/>
        <v>Normal</v>
      </c>
    </row>
    <row r="99" spans="1:10" x14ac:dyDescent="0.35">
      <c r="A99" t="s">
        <v>99</v>
      </c>
      <c r="B99">
        <v>44.34</v>
      </c>
      <c r="C99">
        <v>4.0199999999999996</v>
      </c>
      <c r="D99" t="s">
        <v>2346</v>
      </c>
      <c r="E99" t="s">
        <v>2344</v>
      </c>
      <c r="F99" t="s">
        <v>2344</v>
      </c>
      <c r="G99">
        <v>1</v>
      </c>
      <c r="H99" t="s">
        <v>2346</v>
      </c>
      <c r="I99" t="str">
        <f t="shared" si="2"/>
        <v>Obesity</v>
      </c>
      <c r="J99" t="str">
        <f t="shared" si="3"/>
        <v>Normal</v>
      </c>
    </row>
    <row r="100" spans="1:10" x14ac:dyDescent="0.35">
      <c r="A100" t="s">
        <v>100</v>
      </c>
      <c r="B100">
        <v>41.51</v>
      </c>
      <c r="C100">
        <v>6.92</v>
      </c>
      <c r="D100" t="s">
        <v>2344</v>
      </c>
      <c r="E100" t="s">
        <v>2344</v>
      </c>
      <c r="F100" t="s">
        <v>2344</v>
      </c>
      <c r="G100">
        <v>0</v>
      </c>
      <c r="H100" t="s">
        <v>2346</v>
      </c>
      <c r="I100" t="str">
        <f t="shared" si="2"/>
        <v>Obesity</v>
      </c>
      <c r="J100" t="str">
        <f t="shared" si="3"/>
        <v>Diabetes</v>
      </c>
    </row>
    <row r="101" spans="1:10" x14ac:dyDescent="0.35">
      <c r="A101" t="s">
        <v>101</v>
      </c>
      <c r="B101">
        <v>48.2</v>
      </c>
      <c r="C101">
        <v>4.84</v>
      </c>
      <c r="D101" t="s">
        <v>2344</v>
      </c>
      <c r="E101" t="s">
        <v>2344</v>
      </c>
      <c r="F101" t="s">
        <v>2344</v>
      </c>
      <c r="G101">
        <v>0</v>
      </c>
      <c r="H101" t="s">
        <v>2346</v>
      </c>
      <c r="I101" t="str">
        <f t="shared" si="2"/>
        <v>Obesity</v>
      </c>
      <c r="J101" t="str">
        <f t="shared" si="3"/>
        <v>Normal</v>
      </c>
    </row>
    <row r="102" spans="1:10" x14ac:dyDescent="0.35">
      <c r="A102" t="s">
        <v>102</v>
      </c>
      <c r="B102">
        <v>35.75</v>
      </c>
      <c r="C102" t="s">
        <v>2346</v>
      </c>
      <c r="D102" t="s">
        <v>2346</v>
      </c>
      <c r="E102" t="s">
        <v>2344</v>
      </c>
      <c r="F102" t="s">
        <v>2344</v>
      </c>
      <c r="G102">
        <v>0</v>
      </c>
      <c r="H102" t="s">
        <v>2346</v>
      </c>
      <c r="I102" t="str">
        <f t="shared" si="2"/>
        <v>Obesity</v>
      </c>
      <c r="J102" t="str">
        <f t="shared" si="3"/>
        <v>Diabetes</v>
      </c>
    </row>
    <row r="103" spans="1:10" x14ac:dyDescent="0.35">
      <c r="A103" t="s">
        <v>103</v>
      </c>
      <c r="B103">
        <v>53.81</v>
      </c>
      <c r="C103">
        <v>8.77</v>
      </c>
      <c r="D103" t="s">
        <v>2346</v>
      </c>
      <c r="E103" t="s">
        <v>2344</v>
      </c>
      <c r="F103" t="s">
        <v>2344</v>
      </c>
      <c r="G103">
        <v>0</v>
      </c>
      <c r="H103" t="s">
        <v>2346</v>
      </c>
      <c r="I103" t="str">
        <f t="shared" si="2"/>
        <v>Obesity</v>
      </c>
      <c r="J103" t="str">
        <f t="shared" si="3"/>
        <v>Diabetes</v>
      </c>
    </row>
    <row r="104" spans="1:10" x14ac:dyDescent="0.35">
      <c r="A104" t="s">
        <v>104</v>
      </c>
      <c r="B104">
        <v>49.48</v>
      </c>
      <c r="C104">
        <v>4.96</v>
      </c>
      <c r="D104" t="s">
        <v>2344</v>
      </c>
      <c r="E104" t="s">
        <v>2344</v>
      </c>
      <c r="F104" t="s">
        <v>2346</v>
      </c>
      <c r="G104">
        <v>1</v>
      </c>
      <c r="H104" t="s">
        <v>2346</v>
      </c>
      <c r="I104" t="str">
        <f t="shared" si="2"/>
        <v>Obesity</v>
      </c>
      <c r="J104" t="str">
        <f t="shared" si="3"/>
        <v>Normal</v>
      </c>
    </row>
    <row r="105" spans="1:10" x14ac:dyDescent="0.35">
      <c r="A105" t="s">
        <v>105</v>
      </c>
      <c r="B105">
        <v>34.1</v>
      </c>
      <c r="C105">
        <v>4.43</v>
      </c>
      <c r="D105" t="s">
        <v>2346</v>
      </c>
      <c r="E105" t="s">
        <v>2344</v>
      </c>
      <c r="F105" t="s">
        <v>2344</v>
      </c>
      <c r="G105">
        <v>0</v>
      </c>
      <c r="H105" t="s">
        <v>2346</v>
      </c>
      <c r="I105" t="str">
        <f t="shared" si="2"/>
        <v>Obesity</v>
      </c>
      <c r="J105" t="str">
        <f t="shared" si="3"/>
        <v>Normal</v>
      </c>
    </row>
    <row r="106" spans="1:10" x14ac:dyDescent="0.35">
      <c r="A106" t="s">
        <v>106</v>
      </c>
      <c r="B106">
        <v>35.299999999999997</v>
      </c>
      <c r="C106">
        <v>5.82</v>
      </c>
      <c r="D106" t="s">
        <v>2346</v>
      </c>
      <c r="E106" t="s">
        <v>2344</v>
      </c>
      <c r="F106" t="s">
        <v>2346</v>
      </c>
      <c r="G106">
        <v>1</v>
      </c>
      <c r="H106" t="s">
        <v>2346</v>
      </c>
      <c r="I106" t="str">
        <f t="shared" si="2"/>
        <v>Obesity</v>
      </c>
      <c r="J106" t="str">
        <f t="shared" si="3"/>
        <v>Prediabetes</v>
      </c>
    </row>
    <row r="107" spans="1:10" x14ac:dyDescent="0.35">
      <c r="A107" t="s">
        <v>107</v>
      </c>
      <c r="B107">
        <v>43.83</v>
      </c>
      <c r="C107">
        <v>6.03</v>
      </c>
      <c r="D107" t="s">
        <v>2346</v>
      </c>
      <c r="E107" t="s">
        <v>2344</v>
      </c>
      <c r="F107" t="s">
        <v>2344</v>
      </c>
      <c r="G107">
        <v>1</v>
      </c>
      <c r="H107" t="s">
        <v>2346</v>
      </c>
      <c r="I107" t="str">
        <f t="shared" si="2"/>
        <v>Obesity</v>
      </c>
      <c r="J107" t="str">
        <f t="shared" si="3"/>
        <v>Prediabetes</v>
      </c>
    </row>
    <row r="108" spans="1:10" x14ac:dyDescent="0.35">
      <c r="A108" t="s">
        <v>108</v>
      </c>
      <c r="B108">
        <v>50.07</v>
      </c>
      <c r="C108">
        <v>9.27</v>
      </c>
      <c r="D108" t="s">
        <v>2344</v>
      </c>
      <c r="E108" t="s">
        <v>2344</v>
      </c>
      <c r="F108" t="s">
        <v>2344</v>
      </c>
      <c r="G108">
        <v>0</v>
      </c>
      <c r="H108" t="s">
        <v>2346</v>
      </c>
      <c r="I108" t="str">
        <f t="shared" si="2"/>
        <v>Obesity</v>
      </c>
      <c r="J108" t="str">
        <f t="shared" si="3"/>
        <v>Diabetes</v>
      </c>
    </row>
    <row r="109" spans="1:10" x14ac:dyDescent="0.35">
      <c r="A109" t="s">
        <v>109</v>
      </c>
      <c r="B109">
        <v>32.774999999999999</v>
      </c>
      <c r="C109">
        <v>5.53</v>
      </c>
      <c r="D109" t="s">
        <v>2344</v>
      </c>
      <c r="E109" t="s">
        <v>2344</v>
      </c>
      <c r="F109" t="s">
        <v>2344</v>
      </c>
      <c r="G109">
        <v>0</v>
      </c>
      <c r="H109" t="s">
        <v>2346</v>
      </c>
      <c r="I109" t="str">
        <f t="shared" si="2"/>
        <v>Obesity</v>
      </c>
      <c r="J109" t="str">
        <f t="shared" si="3"/>
        <v>Normal</v>
      </c>
    </row>
    <row r="110" spans="1:10" x14ac:dyDescent="0.35">
      <c r="A110" t="s">
        <v>110</v>
      </c>
      <c r="B110">
        <v>34.104999999999997</v>
      </c>
      <c r="C110">
        <v>5.07</v>
      </c>
      <c r="D110" t="s">
        <v>2344</v>
      </c>
      <c r="E110" t="s">
        <v>2344</v>
      </c>
      <c r="F110" t="s">
        <v>2344</v>
      </c>
      <c r="G110">
        <v>1</v>
      </c>
      <c r="H110" t="s">
        <v>2346</v>
      </c>
      <c r="I110" t="str">
        <f t="shared" si="2"/>
        <v>Obesity</v>
      </c>
      <c r="J110" t="str">
        <f t="shared" si="3"/>
        <v>Normal</v>
      </c>
    </row>
    <row r="111" spans="1:10" x14ac:dyDescent="0.35">
      <c r="A111" t="s">
        <v>111</v>
      </c>
      <c r="B111">
        <v>48.93</v>
      </c>
      <c r="C111">
        <v>11.17</v>
      </c>
      <c r="D111" t="s">
        <v>2346</v>
      </c>
      <c r="E111" t="s">
        <v>2344</v>
      </c>
      <c r="F111" t="s">
        <v>2344</v>
      </c>
      <c r="G111">
        <v>1</v>
      </c>
      <c r="H111" t="s">
        <v>2346</v>
      </c>
      <c r="I111" t="str">
        <f t="shared" si="2"/>
        <v>Obesity</v>
      </c>
      <c r="J111" t="str">
        <f t="shared" si="3"/>
        <v>Diabetes</v>
      </c>
    </row>
    <row r="112" spans="1:10" x14ac:dyDescent="0.35">
      <c r="A112" t="s">
        <v>112</v>
      </c>
      <c r="B112">
        <v>37.07</v>
      </c>
      <c r="C112">
        <v>6.14</v>
      </c>
      <c r="D112" t="s">
        <v>2346</v>
      </c>
      <c r="E112" t="s">
        <v>2344</v>
      </c>
      <c r="F112" t="s">
        <v>2344</v>
      </c>
      <c r="G112">
        <v>0</v>
      </c>
      <c r="H112" t="s">
        <v>2346</v>
      </c>
      <c r="I112" t="str">
        <f t="shared" si="2"/>
        <v>Obesity</v>
      </c>
      <c r="J112" t="str">
        <f t="shared" si="3"/>
        <v>Prediabetes</v>
      </c>
    </row>
    <row r="113" spans="1:10" x14ac:dyDescent="0.35">
      <c r="A113" t="s">
        <v>113</v>
      </c>
      <c r="B113">
        <v>51.51</v>
      </c>
      <c r="C113">
        <v>6.26</v>
      </c>
      <c r="D113" t="s">
        <v>2346</v>
      </c>
      <c r="E113" t="s">
        <v>2344</v>
      </c>
      <c r="F113" t="s">
        <v>2346</v>
      </c>
      <c r="G113">
        <v>1</v>
      </c>
      <c r="H113" t="s">
        <v>2346</v>
      </c>
      <c r="I113" t="str">
        <f t="shared" si="2"/>
        <v>Obesity</v>
      </c>
      <c r="J113" t="str">
        <f t="shared" si="3"/>
        <v>Prediabetes</v>
      </c>
    </row>
    <row r="114" spans="1:10" x14ac:dyDescent="0.35">
      <c r="A114" t="s">
        <v>114</v>
      </c>
      <c r="B114">
        <v>34.799999999999997</v>
      </c>
      <c r="C114">
        <v>4.72</v>
      </c>
      <c r="D114" t="s">
        <v>2346</v>
      </c>
      <c r="E114" t="s">
        <v>2344</v>
      </c>
      <c r="F114" t="s">
        <v>2344</v>
      </c>
      <c r="G114">
        <v>0</v>
      </c>
      <c r="H114" t="s">
        <v>2346</v>
      </c>
      <c r="I114" t="str">
        <f t="shared" si="2"/>
        <v>Obesity</v>
      </c>
      <c r="J114" t="str">
        <f t="shared" si="3"/>
        <v>Normal</v>
      </c>
    </row>
    <row r="115" spans="1:10" x14ac:dyDescent="0.35">
      <c r="A115" t="s">
        <v>115</v>
      </c>
      <c r="B115">
        <v>36.67</v>
      </c>
      <c r="C115">
        <v>5.18</v>
      </c>
      <c r="D115" t="s">
        <v>2344</v>
      </c>
      <c r="E115" t="s">
        <v>2344</v>
      </c>
      <c r="F115" t="s">
        <v>2344</v>
      </c>
      <c r="G115">
        <v>1</v>
      </c>
      <c r="H115" t="s">
        <v>2346</v>
      </c>
      <c r="I115" t="str">
        <f t="shared" si="2"/>
        <v>Obesity</v>
      </c>
      <c r="J115" t="str">
        <f t="shared" si="3"/>
        <v>Normal</v>
      </c>
    </row>
    <row r="116" spans="1:10" x14ac:dyDescent="0.35">
      <c r="A116" t="s">
        <v>116</v>
      </c>
      <c r="B116">
        <v>30.9</v>
      </c>
      <c r="C116">
        <v>9.4</v>
      </c>
      <c r="D116" t="s">
        <v>2344</v>
      </c>
      <c r="E116" t="s">
        <v>2344</v>
      </c>
      <c r="F116" t="s">
        <v>2344</v>
      </c>
      <c r="G116">
        <v>1</v>
      </c>
      <c r="H116" t="s">
        <v>2346</v>
      </c>
      <c r="I116" t="str">
        <f t="shared" si="2"/>
        <v>Obesity</v>
      </c>
      <c r="J116" t="str">
        <f t="shared" si="3"/>
        <v>Diabetes</v>
      </c>
    </row>
    <row r="117" spans="1:10" x14ac:dyDescent="0.35">
      <c r="A117" t="s">
        <v>117</v>
      </c>
      <c r="B117">
        <v>30.495000000000001</v>
      </c>
      <c r="C117">
        <v>6.29</v>
      </c>
      <c r="D117" t="s">
        <v>2344</v>
      </c>
      <c r="E117" t="s">
        <v>2344</v>
      </c>
      <c r="F117" t="s">
        <v>2344</v>
      </c>
      <c r="G117">
        <v>0</v>
      </c>
      <c r="H117" t="s">
        <v>2346</v>
      </c>
      <c r="I117" t="str">
        <f t="shared" si="2"/>
        <v>Obesity</v>
      </c>
      <c r="J117" t="str">
        <f t="shared" si="3"/>
        <v>Prediabetes</v>
      </c>
    </row>
    <row r="118" spans="1:10" x14ac:dyDescent="0.35">
      <c r="A118" t="s">
        <v>118</v>
      </c>
      <c r="B118">
        <v>44.88</v>
      </c>
      <c r="C118">
        <v>6.04</v>
      </c>
      <c r="D118" t="s">
        <v>2344</v>
      </c>
      <c r="E118" t="s">
        <v>2344</v>
      </c>
      <c r="F118" t="s">
        <v>2346</v>
      </c>
      <c r="G118">
        <v>1</v>
      </c>
      <c r="H118" t="s">
        <v>2346</v>
      </c>
      <c r="I118" t="str">
        <f t="shared" si="2"/>
        <v>Obesity</v>
      </c>
      <c r="J118" t="str">
        <f t="shared" si="3"/>
        <v>Prediabetes</v>
      </c>
    </row>
    <row r="119" spans="1:10" x14ac:dyDescent="0.35">
      <c r="A119" t="s">
        <v>119</v>
      </c>
      <c r="B119">
        <v>44.32</v>
      </c>
      <c r="C119">
        <v>10.55</v>
      </c>
      <c r="D119" t="s">
        <v>2344</v>
      </c>
      <c r="E119" t="s">
        <v>2344</v>
      </c>
      <c r="F119" t="s">
        <v>2344</v>
      </c>
      <c r="G119">
        <v>0</v>
      </c>
      <c r="H119" t="s">
        <v>2346</v>
      </c>
      <c r="I119" t="str">
        <f t="shared" si="2"/>
        <v>Obesity</v>
      </c>
      <c r="J119" t="str">
        <f t="shared" si="3"/>
        <v>Diabetes</v>
      </c>
    </row>
    <row r="120" spans="1:10" x14ac:dyDescent="0.35">
      <c r="A120" t="s">
        <v>120</v>
      </c>
      <c r="B120">
        <v>46.39</v>
      </c>
      <c r="C120">
        <v>5.09</v>
      </c>
      <c r="D120" t="s">
        <v>2344</v>
      </c>
      <c r="E120" t="s">
        <v>2344</v>
      </c>
      <c r="F120" t="s">
        <v>2344</v>
      </c>
      <c r="G120">
        <v>0</v>
      </c>
      <c r="H120" t="s">
        <v>2346</v>
      </c>
      <c r="I120" t="str">
        <f t="shared" si="2"/>
        <v>Obesity</v>
      </c>
      <c r="J120" t="str">
        <f t="shared" si="3"/>
        <v>Normal</v>
      </c>
    </row>
    <row r="121" spans="1:10" x14ac:dyDescent="0.35">
      <c r="A121" t="s">
        <v>121</v>
      </c>
      <c r="B121">
        <v>42.13</v>
      </c>
      <c r="C121">
        <v>5.2</v>
      </c>
      <c r="D121" t="s">
        <v>2346</v>
      </c>
      <c r="E121" t="s">
        <v>2344</v>
      </c>
      <c r="F121" t="s">
        <v>2344</v>
      </c>
      <c r="G121">
        <v>1</v>
      </c>
      <c r="H121" t="s">
        <v>2346</v>
      </c>
      <c r="I121" t="str">
        <f t="shared" si="2"/>
        <v>Obesity</v>
      </c>
      <c r="J121" t="str">
        <f t="shared" si="3"/>
        <v>Normal</v>
      </c>
    </row>
    <row r="122" spans="1:10" x14ac:dyDescent="0.35">
      <c r="A122" t="s">
        <v>122</v>
      </c>
      <c r="B122">
        <v>30.78</v>
      </c>
      <c r="C122">
        <v>8.4499999999999993</v>
      </c>
      <c r="D122" t="s">
        <v>2346</v>
      </c>
      <c r="E122" t="s">
        <v>2344</v>
      </c>
      <c r="F122" t="s">
        <v>2344</v>
      </c>
      <c r="G122">
        <v>0</v>
      </c>
      <c r="H122" t="s">
        <v>2346</v>
      </c>
      <c r="I122" t="str">
        <f t="shared" si="2"/>
        <v>Obesity</v>
      </c>
      <c r="J122" t="str">
        <f t="shared" si="3"/>
        <v>Diabetes</v>
      </c>
    </row>
    <row r="123" spans="1:10" x14ac:dyDescent="0.35">
      <c r="A123" t="s">
        <v>123</v>
      </c>
      <c r="B123">
        <v>31.35</v>
      </c>
      <c r="C123">
        <v>9.5399999999999991</v>
      </c>
      <c r="D123" t="s">
        <v>2344</v>
      </c>
      <c r="E123" t="s">
        <v>2344</v>
      </c>
      <c r="F123" t="s">
        <v>2344</v>
      </c>
      <c r="G123">
        <v>0</v>
      </c>
      <c r="H123" t="s">
        <v>2346</v>
      </c>
      <c r="I123" t="str">
        <f t="shared" si="2"/>
        <v>Obesity</v>
      </c>
      <c r="J123" t="str">
        <f t="shared" si="3"/>
        <v>Diabetes</v>
      </c>
    </row>
    <row r="124" spans="1:10" x14ac:dyDescent="0.35">
      <c r="A124" t="s">
        <v>124</v>
      </c>
      <c r="B124">
        <v>41.46</v>
      </c>
      <c r="C124">
        <v>4.99</v>
      </c>
      <c r="D124" t="s">
        <v>2346</v>
      </c>
      <c r="E124" t="s">
        <v>2344</v>
      </c>
      <c r="F124" t="s">
        <v>2344</v>
      </c>
      <c r="G124">
        <v>1</v>
      </c>
      <c r="H124" t="s">
        <v>2346</v>
      </c>
      <c r="I124" t="str">
        <f t="shared" si="2"/>
        <v>Obesity</v>
      </c>
      <c r="J124" t="str">
        <f t="shared" si="3"/>
        <v>Normal</v>
      </c>
    </row>
    <row r="125" spans="1:10" x14ac:dyDescent="0.35">
      <c r="A125" t="s">
        <v>125</v>
      </c>
      <c r="B125">
        <v>48</v>
      </c>
      <c r="C125">
        <v>10.54</v>
      </c>
      <c r="D125" t="s">
        <v>2344</v>
      </c>
      <c r="E125" t="s">
        <v>2344</v>
      </c>
      <c r="F125" t="s">
        <v>2344</v>
      </c>
      <c r="G125">
        <v>0</v>
      </c>
      <c r="H125" t="s">
        <v>2346</v>
      </c>
      <c r="I125" t="str">
        <f t="shared" si="2"/>
        <v>Obesity</v>
      </c>
      <c r="J125" t="str">
        <f t="shared" si="3"/>
        <v>Diabetes</v>
      </c>
    </row>
    <row r="126" spans="1:10" x14ac:dyDescent="0.35">
      <c r="A126" t="s">
        <v>126</v>
      </c>
      <c r="B126">
        <v>49.13</v>
      </c>
      <c r="C126">
        <v>4.54</v>
      </c>
      <c r="D126" t="s">
        <v>2344</v>
      </c>
      <c r="E126" t="s">
        <v>2344</v>
      </c>
      <c r="F126" t="s">
        <v>2344</v>
      </c>
      <c r="G126">
        <v>0</v>
      </c>
      <c r="H126" t="s">
        <v>2346</v>
      </c>
      <c r="I126" t="str">
        <f t="shared" si="2"/>
        <v>Obesity</v>
      </c>
      <c r="J126" t="str">
        <f t="shared" si="3"/>
        <v>Normal</v>
      </c>
    </row>
    <row r="127" spans="1:10" x14ac:dyDescent="0.35">
      <c r="A127" t="s">
        <v>127</v>
      </c>
      <c r="B127">
        <v>37.799999999999997</v>
      </c>
      <c r="C127">
        <v>6.29</v>
      </c>
      <c r="D127" t="s">
        <v>2344</v>
      </c>
      <c r="E127" t="s">
        <v>2344</v>
      </c>
      <c r="F127" t="s">
        <v>2344</v>
      </c>
      <c r="G127">
        <v>1</v>
      </c>
      <c r="H127" t="s">
        <v>2346</v>
      </c>
      <c r="I127" t="str">
        <f t="shared" si="2"/>
        <v>Obesity</v>
      </c>
      <c r="J127" t="str">
        <f t="shared" si="3"/>
        <v>Prediabetes</v>
      </c>
    </row>
    <row r="128" spans="1:10" x14ac:dyDescent="0.35">
      <c r="A128" t="s">
        <v>128</v>
      </c>
      <c r="B128">
        <v>38.299999999999997</v>
      </c>
      <c r="C128">
        <v>9.51</v>
      </c>
      <c r="D128" t="s">
        <v>2344</v>
      </c>
      <c r="E128" t="s">
        <v>2344</v>
      </c>
      <c r="F128" t="s">
        <v>2344</v>
      </c>
      <c r="G128">
        <v>0</v>
      </c>
      <c r="H128" t="s">
        <v>2346</v>
      </c>
      <c r="I128" t="str">
        <f t="shared" si="2"/>
        <v>Obesity</v>
      </c>
      <c r="J128" t="str">
        <f t="shared" si="3"/>
        <v>Diabetes</v>
      </c>
    </row>
    <row r="129" spans="1:10" x14ac:dyDescent="0.35">
      <c r="A129" t="s">
        <v>129</v>
      </c>
      <c r="B129">
        <v>32.774999999999999</v>
      </c>
      <c r="C129">
        <v>4.72</v>
      </c>
      <c r="D129" t="s">
        <v>2344</v>
      </c>
      <c r="E129" t="s">
        <v>2344</v>
      </c>
      <c r="F129" t="s">
        <v>2344</v>
      </c>
      <c r="G129">
        <v>0</v>
      </c>
      <c r="H129" t="s">
        <v>2346</v>
      </c>
      <c r="I129" t="str">
        <f t="shared" si="2"/>
        <v>Obesity</v>
      </c>
      <c r="J129" t="str">
        <f t="shared" si="3"/>
        <v>Normal</v>
      </c>
    </row>
    <row r="130" spans="1:10" x14ac:dyDescent="0.35">
      <c r="A130" t="s">
        <v>130</v>
      </c>
      <c r="B130">
        <v>34.200000000000003</v>
      </c>
      <c r="C130">
        <v>5.91</v>
      </c>
      <c r="D130" t="s">
        <v>2346</v>
      </c>
      <c r="E130" t="s">
        <v>2344</v>
      </c>
      <c r="F130" t="s">
        <v>2344</v>
      </c>
      <c r="G130">
        <v>0</v>
      </c>
      <c r="H130" t="s">
        <v>2346</v>
      </c>
      <c r="I130" t="str">
        <f t="shared" si="2"/>
        <v>Obesity</v>
      </c>
      <c r="J130" t="str">
        <f t="shared" si="3"/>
        <v>Prediabetes</v>
      </c>
    </row>
    <row r="131" spans="1:10" x14ac:dyDescent="0.35">
      <c r="A131" t="s">
        <v>131</v>
      </c>
      <c r="B131">
        <v>30.2</v>
      </c>
      <c r="C131">
        <v>9.58</v>
      </c>
      <c r="D131" t="s">
        <v>2344</v>
      </c>
      <c r="E131" t="s">
        <v>2344</v>
      </c>
      <c r="F131" t="s">
        <v>2344</v>
      </c>
      <c r="G131">
        <v>0</v>
      </c>
      <c r="H131" t="s">
        <v>2346</v>
      </c>
      <c r="I131" t="str">
        <f t="shared" ref="I131:I194" si="4">IF(B131&lt;18.5,"Under Weight",IF(B131&lt;25,"Normal Weight",IF(B131&lt;30,"Over weight","Obesity")))</f>
        <v>Obesity</v>
      </c>
      <c r="J131" t="str">
        <f t="shared" ref="J131:J194" si="5">IF(C131&lt;5.7,"Normal",IF(C131&lt;6.5,"Prediabetes","Diabetes"))</f>
        <v>Diabetes</v>
      </c>
    </row>
    <row r="132" spans="1:10" x14ac:dyDescent="0.35">
      <c r="A132" t="s">
        <v>132</v>
      </c>
      <c r="B132">
        <v>48.32</v>
      </c>
      <c r="C132">
        <v>5.77</v>
      </c>
      <c r="D132" t="s">
        <v>2344</v>
      </c>
      <c r="E132" t="s">
        <v>2344</v>
      </c>
      <c r="F132" t="s">
        <v>2344</v>
      </c>
      <c r="G132">
        <v>0</v>
      </c>
      <c r="H132" t="s">
        <v>2346</v>
      </c>
      <c r="I132" t="str">
        <f t="shared" si="4"/>
        <v>Obesity</v>
      </c>
      <c r="J132" t="str">
        <f t="shared" si="5"/>
        <v>Prediabetes</v>
      </c>
    </row>
    <row r="133" spans="1:10" x14ac:dyDescent="0.35">
      <c r="A133" t="s">
        <v>133</v>
      </c>
      <c r="B133">
        <v>44.86</v>
      </c>
      <c r="C133">
        <v>4.38</v>
      </c>
      <c r="D133" t="s">
        <v>2346</v>
      </c>
      <c r="E133" t="s">
        <v>2344</v>
      </c>
      <c r="F133" t="s">
        <v>2344</v>
      </c>
      <c r="G133">
        <v>0</v>
      </c>
      <c r="H133" t="s">
        <v>2346</v>
      </c>
      <c r="I133" t="str">
        <f t="shared" si="4"/>
        <v>Obesity</v>
      </c>
      <c r="J133" t="str">
        <f t="shared" si="5"/>
        <v>Normal</v>
      </c>
    </row>
    <row r="134" spans="1:10" x14ac:dyDescent="0.35">
      <c r="A134" t="s">
        <v>134</v>
      </c>
      <c r="B134">
        <v>52.15</v>
      </c>
      <c r="C134">
        <v>5.65</v>
      </c>
      <c r="D134" t="s">
        <v>2344</v>
      </c>
      <c r="E134" t="s">
        <v>2344</v>
      </c>
      <c r="F134" t="s">
        <v>2344</v>
      </c>
      <c r="G134">
        <v>1</v>
      </c>
      <c r="H134" t="s">
        <v>2346</v>
      </c>
      <c r="I134" t="str">
        <f t="shared" si="4"/>
        <v>Obesity</v>
      </c>
      <c r="J134" t="str">
        <f t="shared" si="5"/>
        <v>Normal</v>
      </c>
    </row>
    <row r="135" spans="1:10" x14ac:dyDescent="0.35">
      <c r="A135" t="s">
        <v>135</v>
      </c>
      <c r="B135">
        <v>41.12</v>
      </c>
      <c r="C135">
        <v>7.54</v>
      </c>
      <c r="D135" t="s">
        <v>2346</v>
      </c>
      <c r="E135" t="s">
        <v>2344</v>
      </c>
      <c r="F135" t="s">
        <v>2344</v>
      </c>
      <c r="G135">
        <v>0</v>
      </c>
      <c r="H135" t="s">
        <v>2346</v>
      </c>
      <c r="I135" t="str">
        <f t="shared" si="4"/>
        <v>Obesity</v>
      </c>
      <c r="J135" t="str">
        <f t="shared" si="5"/>
        <v>Diabetes</v>
      </c>
    </row>
    <row r="136" spans="1:10" x14ac:dyDescent="0.35">
      <c r="A136" t="s">
        <v>136</v>
      </c>
      <c r="B136">
        <v>38.39</v>
      </c>
      <c r="C136">
        <v>5.1100000000000003</v>
      </c>
      <c r="D136" t="s">
        <v>2346</v>
      </c>
      <c r="E136" t="s">
        <v>2344</v>
      </c>
      <c r="F136" t="s">
        <v>2344</v>
      </c>
      <c r="G136">
        <v>1</v>
      </c>
      <c r="H136" t="s">
        <v>2346</v>
      </c>
      <c r="I136" t="str">
        <f t="shared" si="4"/>
        <v>Obesity</v>
      </c>
      <c r="J136" t="str">
        <f t="shared" si="5"/>
        <v>Normal</v>
      </c>
    </row>
    <row r="137" spans="1:10" x14ac:dyDescent="0.35">
      <c r="A137" t="s">
        <v>137</v>
      </c>
      <c r="B137">
        <v>46.85</v>
      </c>
      <c r="C137">
        <v>4.25</v>
      </c>
      <c r="D137" t="s">
        <v>2344</v>
      </c>
      <c r="E137" t="s">
        <v>2344</v>
      </c>
      <c r="F137" t="s">
        <v>2346</v>
      </c>
      <c r="G137">
        <v>1</v>
      </c>
      <c r="H137" t="s">
        <v>2346</v>
      </c>
      <c r="I137" t="str">
        <f t="shared" si="4"/>
        <v>Obesity</v>
      </c>
      <c r="J137" t="str">
        <f t="shared" si="5"/>
        <v>Normal</v>
      </c>
    </row>
    <row r="138" spans="1:10" x14ac:dyDescent="0.35">
      <c r="A138" t="s">
        <v>138</v>
      </c>
      <c r="B138">
        <v>42.24</v>
      </c>
      <c r="C138">
        <v>5.55</v>
      </c>
      <c r="D138" t="s">
        <v>2344</v>
      </c>
      <c r="E138" t="s">
        <v>2345</v>
      </c>
      <c r="F138" t="s">
        <v>2344</v>
      </c>
      <c r="G138">
        <v>1</v>
      </c>
      <c r="H138" t="s">
        <v>2346</v>
      </c>
      <c r="I138" t="str">
        <f t="shared" si="4"/>
        <v>Obesity</v>
      </c>
      <c r="J138" t="str">
        <f t="shared" si="5"/>
        <v>Normal</v>
      </c>
    </row>
    <row r="139" spans="1:10" x14ac:dyDescent="0.35">
      <c r="A139" t="s">
        <v>139</v>
      </c>
      <c r="B139">
        <v>34.39</v>
      </c>
      <c r="C139">
        <v>5.78</v>
      </c>
      <c r="D139" t="s">
        <v>2344</v>
      </c>
      <c r="E139" t="s">
        <v>2344</v>
      </c>
      <c r="F139" t="s">
        <v>2344</v>
      </c>
      <c r="G139">
        <v>0</v>
      </c>
      <c r="H139" t="s">
        <v>2346</v>
      </c>
      <c r="I139" t="str">
        <f t="shared" si="4"/>
        <v>Obesity</v>
      </c>
      <c r="J139" t="str">
        <f t="shared" si="5"/>
        <v>Prediabetes</v>
      </c>
    </row>
    <row r="140" spans="1:10" x14ac:dyDescent="0.35">
      <c r="A140" t="s">
        <v>140</v>
      </c>
      <c r="B140">
        <v>42.89</v>
      </c>
      <c r="C140">
        <v>5.28</v>
      </c>
      <c r="D140" t="s">
        <v>2346</v>
      </c>
      <c r="E140" t="s">
        <v>2344</v>
      </c>
      <c r="F140" t="s">
        <v>2344</v>
      </c>
      <c r="G140">
        <v>0</v>
      </c>
      <c r="H140" t="s">
        <v>2346</v>
      </c>
      <c r="I140" t="str">
        <f t="shared" si="4"/>
        <v>Obesity</v>
      </c>
      <c r="J140" t="str">
        <f t="shared" si="5"/>
        <v>Normal</v>
      </c>
    </row>
    <row r="141" spans="1:10" x14ac:dyDescent="0.35">
      <c r="A141" t="s">
        <v>141</v>
      </c>
      <c r="B141">
        <v>36.299999999999997</v>
      </c>
      <c r="C141">
        <v>5.39</v>
      </c>
      <c r="D141" t="s">
        <v>2344</v>
      </c>
      <c r="E141" t="s">
        <v>2344</v>
      </c>
      <c r="F141" t="s">
        <v>2344</v>
      </c>
      <c r="G141">
        <v>0</v>
      </c>
      <c r="H141" t="s">
        <v>2346</v>
      </c>
      <c r="I141" t="str">
        <f t="shared" si="4"/>
        <v>Obesity</v>
      </c>
      <c r="J141" t="str">
        <f t="shared" si="5"/>
        <v>Normal</v>
      </c>
    </row>
    <row r="142" spans="1:10" x14ac:dyDescent="0.35">
      <c r="A142" t="s">
        <v>142</v>
      </c>
      <c r="B142">
        <v>35.200000000000003</v>
      </c>
      <c r="C142">
        <v>8.01</v>
      </c>
      <c r="D142" t="s">
        <v>2346</v>
      </c>
      <c r="E142" t="s">
        <v>2344</v>
      </c>
      <c r="F142" t="s">
        <v>2344</v>
      </c>
      <c r="G142">
        <v>1</v>
      </c>
      <c r="H142" t="s">
        <v>2346</v>
      </c>
      <c r="I142" t="str">
        <f t="shared" si="4"/>
        <v>Obesity</v>
      </c>
      <c r="J142" t="str">
        <f t="shared" si="5"/>
        <v>Diabetes</v>
      </c>
    </row>
    <row r="143" spans="1:10" x14ac:dyDescent="0.35">
      <c r="A143" t="s">
        <v>143</v>
      </c>
      <c r="B143">
        <v>53.62</v>
      </c>
      <c r="C143">
        <v>5.21</v>
      </c>
      <c r="D143" t="s">
        <v>2344</v>
      </c>
      <c r="E143" t="s">
        <v>2344</v>
      </c>
      <c r="F143" t="s">
        <v>2344</v>
      </c>
      <c r="G143">
        <v>0</v>
      </c>
      <c r="H143" t="s">
        <v>2346</v>
      </c>
      <c r="I143" t="str">
        <f t="shared" si="4"/>
        <v>Obesity</v>
      </c>
      <c r="J143" t="str">
        <f t="shared" si="5"/>
        <v>Normal</v>
      </c>
    </row>
    <row r="144" spans="1:10" x14ac:dyDescent="0.35">
      <c r="A144" t="s">
        <v>144</v>
      </c>
      <c r="B144">
        <v>36.67</v>
      </c>
      <c r="C144">
        <v>6.27</v>
      </c>
      <c r="D144" t="s">
        <v>2344</v>
      </c>
      <c r="E144" t="s">
        <v>2344</v>
      </c>
      <c r="F144" t="s">
        <v>2344</v>
      </c>
      <c r="G144">
        <v>0</v>
      </c>
      <c r="H144" t="s">
        <v>2346</v>
      </c>
      <c r="I144" t="str">
        <f t="shared" si="4"/>
        <v>Obesity</v>
      </c>
      <c r="J144" t="str">
        <f t="shared" si="5"/>
        <v>Prediabetes</v>
      </c>
    </row>
    <row r="145" spans="1:10" x14ac:dyDescent="0.35">
      <c r="A145" t="s">
        <v>145</v>
      </c>
      <c r="B145">
        <v>33.4</v>
      </c>
      <c r="C145">
        <v>10.73</v>
      </c>
      <c r="D145" t="s">
        <v>2346</v>
      </c>
      <c r="E145" t="s">
        <v>2344</v>
      </c>
      <c r="F145" t="s">
        <v>2344</v>
      </c>
      <c r="G145">
        <v>1</v>
      </c>
      <c r="H145" t="s">
        <v>2346</v>
      </c>
      <c r="I145" t="str">
        <f t="shared" si="4"/>
        <v>Obesity</v>
      </c>
      <c r="J145" t="str">
        <f t="shared" si="5"/>
        <v>Diabetes</v>
      </c>
    </row>
    <row r="146" spans="1:10" x14ac:dyDescent="0.35">
      <c r="A146" t="s">
        <v>146</v>
      </c>
      <c r="B146">
        <v>42.71</v>
      </c>
      <c r="C146">
        <v>10.52</v>
      </c>
      <c r="D146" t="s">
        <v>2344</v>
      </c>
      <c r="E146" t="s">
        <v>2344</v>
      </c>
      <c r="F146" t="s">
        <v>2344</v>
      </c>
      <c r="G146">
        <v>0</v>
      </c>
      <c r="H146" t="s">
        <v>2346</v>
      </c>
      <c r="I146" t="str">
        <f t="shared" si="4"/>
        <v>Obesity</v>
      </c>
      <c r="J146" t="str">
        <f t="shared" si="5"/>
        <v>Diabetes</v>
      </c>
    </row>
    <row r="147" spans="1:10" x14ac:dyDescent="0.35">
      <c r="A147" t="s">
        <v>147</v>
      </c>
      <c r="B147">
        <v>41.52</v>
      </c>
      <c r="C147">
        <v>11.82</v>
      </c>
      <c r="D147" t="s">
        <v>2346</v>
      </c>
      <c r="E147" t="s">
        <v>2344</v>
      </c>
      <c r="F147" t="s">
        <v>2344</v>
      </c>
      <c r="G147">
        <v>1</v>
      </c>
      <c r="H147" t="s">
        <v>2346</v>
      </c>
      <c r="I147" t="str">
        <f t="shared" si="4"/>
        <v>Obesity</v>
      </c>
      <c r="J147" t="str">
        <f t="shared" si="5"/>
        <v>Diabetes</v>
      </c>
    </row>
    <row r="148" spans="1:10" x14ac:dyDescent="0.35">
      <c r="A148" t="s">
        <v>148</v>
      </c>
      <c r="B148">
        <v>39.4</v>
      </c>
      <c r="C148">
        <v>6.76</v>
      </c>
      <c r="D148" t="s">
        <v>2344</v>
      </c>
      <c r="E148" t="s">
        <v>2344</v>
      </c>
      <c r="F148" t="s">
        <v>2344</v>
      </c>
      <c r="G148">
        <v>0</v>
      </c>
      <c r="H148" t="s">
        <v>2346</v>
      </c>
      <c r="I148" t="str">
        <f t="shared" si="4"/>
        <v>Obesity</v>
      </c>
      <c r="J148" t="str">
        <f t="shared" si="5"/>
        <v>Diabetes</v>
      </c>
    </row>
    <row r="149" spans="1:10" x14ac:dyDescent="0.35">
      <c r="A149" t="s">
        <v>149</v>
      </c>
      <c r="B149">
        <v>46.45</v>
      </c>
      <c r="C149">
        <v>5.62</v>
      </c>
      <c r="D149" t="s">
        <v>2344</v>
      </c>
      <c r="E149" t="s">
        <v>2344</v>
      </c>
      <c r="F149" t="s">
        <v>2344</v>
      </c>
      <c r="G149">
        <v>0</v>
      </c>
      <c r="H149" t="s">
        <v>2346</v>
      </c>
      <c r="I149" t="str">
        <f t="shared" si="4"/>
        <v>Obesity</v>
      </c>
      <c r="J149" t="str">
        <f t="shared" si="5"/>
        <v>Normal</v>
      </c>
    </row>
    <row r="150" spans="1:10" x14ac:dyDescent="0.35">
      <c r="A150" t="s">
        <v>150</v>
      </c>
      <c r="B150">
        <v>35.75</v>
      </c>
      <c r="C150">
        <v>4.1900000000000004</v>
      </c>
      <c r="D150" t="s">
        <v>2344</v>
      </c>
      <c r="E150" t="s">
        <v>2344</v>
      </c>
      <c r="F150" t="s">
        <v>2344</v>
      </c>
      <c r="G150">
        <v>0</v>
      </c>
      <c r="H150" t="s">
        <v>2346</v>
      </c>
      <c r="I150" t="str">
        <f t="shared" si="4"/>
        <v>Obesity</v>
      </c>
      <c r="J150" t="str">
        <f t="shared" si="5"/>
        <v>Normal</v>
      </c>
    </row>
    <row r="151" spans="1:10" x14ac:dyDescent="0.35">
      <c r="A151" t="s">
        <v>151</v>
      </c>
      <c r="B151">
        <v>26.07</v>
      </c>
      <c r="C151">
        <v>5.32</v>
      </c>
      <c r="D151" t="s">
        <v>2344</v>
      </c>
      <c r="E151" t="s">
        <v>2344</v>
      </c>
      <c r="F151" t="s">
        <v>2344</v>
      </c>
      <c r="G151">
        <v>0</v>
      </c>
      <c r="H151" t="s">
        <v>2346</v>
      </c>
      <c r="I151" t="str">
        <f t="shared" si="4"/>
        <v>Over weight</v>
      </c>
      <c r="J151" t="str">
        <f t="shared" si="5"/>
        <v>Normal</v>
      </c>
    </row>
    <row r="152" spans="1:10" x14ac:dyDescent="0.35">
      <c r="A152" t="s">
        <v>152</v>
      </c>
      <c r="B152">
        <v>36.54</v>
      </c>
      <c r="C152">
        <v>4.46</v>
      </c>
      <c r="D152" t="s">
        <v>2346</v>
      </c>
      <c r="E152" t="s">
        <v>2344</v>
      </c>
      <c r="F152" t="s">
        <v>2344</v>
      </c>
      <c r="G152">
        <v>1</v>
      </c>
      <c r="H152" t="s">
        <v>2346</v>
      </c>
      <c r="I152" t="str">
        <f t="shared" si="4"/>
        <v>Obesity</v>
      </c>
      <c r="J152" t="str">
        <f t="shared" si="5"/>
        <v>Normal</v>
      </c>
    </row>
    <row r="153" spans="1:10" x14ac:dyDescent="0.35">
      <c r="A153" t="s">
        <v>153</v>
      </c>
      <c r="B153">
        <v>51.64</v>
      </c>
      <c r="C153">
        <v>5.65</v>
      </c>
      <c r="D153" t="s">
        <v>2344</v>
      </c>
      <c r="E153" t="s">
        <v>2344</v>
      </c>
      <c r="F153" t="s">
        <v>2344</v>
      </c>
      <c r="G153">
        <v>0</v>
      </c>
      <c r="H153" t="s">
        <v>2346</v>
      </c>
      <c r="I153" t="str">
        <f t="shared" si="4"/>
        <v>Obesity</v>
      </c>
      <c r="J153" t="str">
        <f t="shared" si="5"/>
        <v>Normal</v>
      </c>
    </row>
    <row r="154" spans="1:10" x14ac:dyDescent="0.35">
      <c r="A154" t="s">
        <v>154</v>
      </c>
      <c r="B154">
        <v>42.83</v>
      </c>
      <c r="C154">
        <v>6.04</v>
      </c>
      <c r="D154" t="s">
        <v>2344</v>
      </c>
      <c r="E154" t="s">
        <v>2344</v>
      </c>
      <c r="F154" t="s">
        <v>2344</v>
      </c>
      <c r="G154">
        <v>1</v>
      </c>
      <c r="H154" t="s">
        <v>2346</v>
      </c>
      <c r="I154" t="str">
        <f t="shared" si="4"/>
        <v>Obesity</v>
      </c>
      <c r="J154" t="str">
        <f t="shared" si="5"/>
        <v>Prediabetes</v>
      </c>
    </row>
    <row r="155" spans="1:10" x14ac:dyDescent="0.35">
      <c r="A155" t="s">
        <v>155</v>
      </c>
      <c r="B155">
        <v>40.15</v>
      </c>
      <c r="C155">
        <v>5.76</v>
      </c>
      <c r="D155" t="s">
        <v>2344</v>
      </c>
      <c r="E155" t="s">
        <v>2344</v>
      </c>
      <c r="F155" t="s">
        <v>2344</v>
      </c>
      <c r="G155">
        <v>1</v>
      </c>
      <c r="H155" t="s">
        <v>2346</v>
      </c>
      <c r="I155" t="str">
        <f t="shared" si="4"/>
        <v>Obesity</v>
      </c>
      <c r="J155" t="str">
        <f t="shared" si="5"/>
        <v>Prediabetes</v>
      </c>
    </row>
    <row r="156" spans="1:10" x14ac:dyDescent="0.35">
      <c r="A156" t="s">
        <v>156</v>
      </c>
      <c r="B156">
        <v>27.8</v>
      </c>
      <c r="C156">
        <v>4.3600000000000003</v>
      </c>
      <c r="D156" t="s">
        <v>2344</v>
      </c>
      <c r="E156" t="s">
        <v>2344</v>
      </c>
      <c r="F156" t="s">
        <v>2346</v>
      </c>
      <c r="G156">
        <v>1</v>
      </c>
      <c r="H156" t="s">
        <v>2346</v>
      </c>
      <c r="I156" t="str">
        <f t="shared" si="4"/>
        <v>Over weight</v>
      </c>
      <c r="J156" t="str">
        <f t="shared" si="5"/>
        <v>Normal</v>
      </c>
    </row>
    <row r="157" spans="1:10" x14ac:dyDescent="0.35">
      <c r="A157" t="s">
        <v>157</v>
      </c>
      <c r="B157">
        <v>45.81</v>
      </c>
      <c r="C157">
        <v>4.76</v>
      </c>
      <c r="D157" t="s">
        <v>2346</v>
      </c>
      <c r="E157" t="s">
        <v>2344</v>
      </c>
      <c r="F157" t="s">
        <v>2346</v>
      </c>
      <c r="G157">
        <v>1</v>
      </c>
      <c r="H157" t="s">
        <v>2346</v>
      </c>
      <c r="I157" t="str">
        <f t="shared" si="4"/>
        <v>Obesity</v>
      </c>
      <c r="J157" t="str">
        <f t="shared" si="5"/>
        <v>Normal</v>
      </c>
    </row>
    <row r="158" spans="1:10" x14ac:dyDescent="0.35">
      <c r="A158" t="s">
        <v>158</v>
      </c>
      <c r="B158">
        <v>34.43</v>
      </c>
      <c r="C158">
        <v>10.82</v>
      </c>
      <c r="D158" t="s">
        <v>2346</v>
      </c>
      <c r="E158" t="s">
        <v>2344</v>
      </c>
      <c r="F158" t="s">
        <v>2344</v>
      </c>
      <c r="G158">
        <v>1</v>
      </c>
      <c r="H158" t="s">
        <v>2346</v>
      </c>
      <c r="I158" t="str">
        <f t="shared" si="4"/>
        <v>Obesity</v>
      </c>
      <c r="J158" t="str">
        <f t="shared" si="5"/>
        <v>Diabetes</v>
      </c>
    </row>
    <row r="159" spans="1:10" x14ac:dyDescent="0.35">
      <c r="A159" t="s">
        <v>159</v>
      </c>
      <c r="B159">
        <v>41.33</v>
      </c>
      <c r="C159">
        <v>4.01</v>
      </c>
      <c r="D159" t="s">
        <v>2346</v>
      </c>
      <c r="E159" t="s">
        <v>2344</v>
      </c>
      <c r="F159" t="s">
        <v>2344</v>
      </c>
      <c r="G159">
        <v>0</v>
      </c>
      <c r="H159" t="s">
        <v>2346</v>
      </c>
      <c r="I159" t="str">
        <f t="shared" si="4"/>
        <v>Obesity</v>
      </c>
      <c r="J159" t="str">
        <f t="shared" si="5"/>
        <v>Normal</v>
      </c>
    </row>
    <row r="160" spans="1:10" x14ac:dyDescent="0.35">
      <c r="A160" t="s">
        <v>160</v>
      </c>
      <c r="B160">
        <v>31.92</v>
      </c>
      <c r="C160">
        <v>5.12</v>
      </c>
      <c r="D160" t="s">
        <v>2346</v>
      </c>
      <c r="E160" t="s">
        <v>2344</v>
      </c>
      <c r="F160" t="s">
        <v>2344</v>
      </c>
      <c r="G160">
        <v>1</v>
      </c>
      <c r="H160" t="s">
        <v>2346</v>
      </c>
      <c r="I160" t="str">
        <f t="shared" si="4"/>
        <v>Obesity</v>
      </c>
      <c r="J160" t="str">
        <f t="shared" si="5"/>
        <v>Normal</v>
      </c>
    </row>
    <row r="161" spans="1:10" x14ac:dyDescent="0.35">
      <c r="A161" t="s">
        <v>161</v>
      </c>
      <c r="B161">
        <v>39.799999999999997</v>
      </c>
      <c r="C161">
        <v>10.54</v>
      </c>
      <c r="D161" t="s">
        <v>2346</v>
      </c>
      <c r="E161" t="s">
        <v>2344</v>
      </c>
      <c r="F161" t="s">
        <v>2344</v>
      </c>
      <c r="G161">
        <v>1</v>
      </c>
      <c r="H161" t="s">
        <v>2346</v>
      </c>
      <c r="I161" t="str">
        <f t="shared" si="4"/>
        <v>Obesity</v>
      </c>
      <c r="J161" t="str">
        <f t="shared" si="5"/>
        <v>Diabetes</v>
      </c>
    </row>
    <row r="162" spans="1:10" x14ac:dyDescent="0.35">
      <c r="A162" t="s">
        <v>162</v>
      </c>
      <c r="B162">
        <v>42.82</v>
      </c>
      <c r="C162">
        <v>4.21</v>
      </c>
      <c r="D162" t="s">
        <v>2344</v>
      </c>
      <c r="E162" t="s">
        <v>2344</v>
      </c>
      <c r="F162" t="s">
        <v>2344</v>
      </c>
      <c r="G162">
        <v>0</v>
      </c>
      <c r="H162" t="s">
        <v>2346</v>
      </c>
      <c r="I162" t="str">
        <f t="shared" si="4"/>
        <v>Obesity</v>
      </c>
      <c r="J162" t="str">
        <f t="shared" si="5"/>
        <v>Normal</v>
      </c>
    </row>
    <row r="163" spans="1:10" x14ac:dyDescent="0.35">
      <c r="A163" t="s">
        <v>163</v>
      </c>
      <c r="B163">
        <v>33.630000000000003</v>
      </c>
      <c r="C163">
        <v>5.42</v>
      </c>
      <c r="D163" t="s">
        <v>2344</v>
      </c>
      <c r="E163" t="s">
        <v>2344</v>
      </c>
      <c r="F163" t="s">
        <v>2344</v>
      </c>
      <c r="G163">
        <v>0</v>
      </c>
      <c r="H163" t="s">
        <v>2346</v>
      </c>
      <c r="I163" t="str">
        <f t="shared" si="4"/>
        <v>Obesity</v>
      </c>
      <c r="J163" t="str">
        <f t="shared" si="5"/>
        <v>Normal</v>
      </c>
    </row>
    <row r="164" spans="1:10" x14ac:dyDescent="0.35">
      <c r="A164" t="s">
        <v>164</v>
      </c>
      <c r="B164">
        <v>37.07</v>
      </c>
      <c r="C164">
        <v>4.28</v>
      </c>
      <c r="D164" t="s">
        <v>2344</v>
      </c>
      <c r="E164" t="s">
        <v>2345</v>
      </c>
      <c r="F164" t="s">
        <v>2344</v>
      </c>
      <c r="G164">
        <v>1</v>
      </c>
      <c r="H164" t="s">
        <v>2346</v>
      </c>
      <c r="I164" t="str">
        <f t="shared" si="4"/>
        <v>Obesity</v>
      </c>
      <c r="J164" t="str">
        <f t="shared" si="5"/>
        <v>Normal</v>
      </c>
    </row>
    <row r="165" spans="1:10" x14ac:dyDescent="0.35">
      <c r="A165" t="s">
        <v>165</v>
      </c>
      <c r="B165">
        <v>35.625</v>
      </c>
      <c r="C165">
        <v>8.9</v>
      </c>
      <c r="D165" t="s">
        <v>2344</v>
      </c>
      <c r="E165" t="s">
        <v>2344</v>
      </c>
      <c r="F165" t="s">
        <v>2344</v>
      </c>
      <c r="G165">
        <v>0</v>
      </c>
      <c r="H165" t="s">
        <v>2346</v>
      </c>
      <c r="I165" t="str">
        <f t="shared" si="4"/>
        <v>Obesity</v>
      </c>
      <c r="J165" t="str">
        <f t="shared" si="5"/>
        <v>Diabetes</v>
      </c>
    </row>
    <row r="166" spans="1:10" x14ac:dyDescent="0.35">
      <c r="A166" t="s">
        <v>166</v>
      </c>
      <c r="B166">
        <v>42.69</v>
      </c>
      <c r="C166">
        <v>4.8899999999999997</v>
      </c>
      <c r="D166" t="s">
        <v>2344</v>
      </c>
      <c r="E166" t="s">
        <v>2344</v>
      </c>
      <c r="F166" t="s">
        <v>2346</v>
      </c>
      <c r="G166">
        <v>1</v>
      </c>
      <c r="H166" t="s">
        <v>2346</v>
      </c>
      <c r="I166" t="str">
        <f t="shared" si="4"/>
        <v>Obesity</v>
      </c>
      <c r="J166" t="str">
        <f t="shared" si="5"/>
        <v>Normal</v>
      </c>
    </row>
    <row r="167" spans="1:10" x14ac:dyDescent="0.35">
      <c r="A167" t="s">
        <v>167</v>
      </c>
      <c r="B167">
        <v>37.869999999999997</v>
      </c>
      <c r="C167">
        <v>4.29</v>
      </c>
      <c r="D167" t="s">
        <v>2346</v>
      </c>
      <c r="E167" t="s">
        <v>2344</v>
      </c>
      <c r="F167" t="s">
        <v>2346</v>
      </c>
      <c r="G167">
        <v>1</v>
      </c>
      <c r="H167" t="s">
        <v>2346</v>
      </c>
      <c r="I167" t="str">
        <f t="shared" si="4"/>
        <v>Obesity</v>
      </c>
      <c r="J167" t="str">
        <f t="shared" si="5"/>
        <v>Normal</v>
      </c>
    </row>
    <row r="168" spans="1:10" x14ac:dyDescent="0.35">
      <c r="A168" t="s">
        <v>168</v>
      </c>
      <c r="B168">
        <v>40.61</v>
      </c>
      <c r="C168" t="s">
        <v>2346</v>
      </c>
      <c r="D168" t="s">
        <v>2346</v>
      </c>
      <c r="E168" t="s">
        <v>2344</v>
      </c>
      <c r="F168" t="s">
        <v>2344</v>
      </c>
      <c r="G168">
        <v>1</v>
      </c>
      <c r="H168" t="s">
        <v>2346</v>
      </c>
      <c r="I168" t="str">
        <f t="shared" si="4"/>
        <v>Obesity</v>
      </c>
      <c r="J168" t="str">
        <f t="shared" si="5"/>
        <v>Diabetes</v>
      </c>
    </row>
    <row r="169" spans="1:10" x14ac:dyDescent="0.35">
      <c r="A169" t="s">
        <v>169</v>
      </c>
      <c r="B169">
        <v>30.78</v>
      </c>
      <c r="C169">
        <v>4.67</v>
      </c>
      <c r="D169" t="s">
        <v>2346</v>
      </c>
      <c r="E169" t="s">
        <v>2344</v>
      </c>
      <c r="F169" t="s">
        <v>2344</v>
      </c>
      <c r="G169">
        <v>0</v>
      </c>
      <c r="H169" t="s">
        <v>2346</v>
      </c>
      <c r="I169" t="str">
        <f t="shared" si="4"/>
        <v>Obesity</v>
      </c>
      <c r="J169" t="str">
        <f t="shared" si="5"/>
        <v>Normal</v>
      </c>
    </row>
    <row r="170" spans="1:10" x14ac:dyDescent="0.35">
      <c r="A170" t="s">
        <v>170</v>
      </c>
      <c r="B170">
        <v>49.49</v>
      </c>
      <c r="C170">
        <v>4.5</v>
      </c>
      <c r="D170" t="s">
        <v>2344</v>
      </c>
      <c r="E170" t="s">
        <v>2344</v>
      </c>
      <c r="F170" t="s">
        <v>2344</v>
      </c>
      <c r="G170">
        <v>0</v>
      </c>
      <c r="H170" t="s">
        <v>2346</v>
      </c>
      <c r="I170" t="str">
        <f t="shared" si="4"/>
        <v>Obesity</v>
      </c>
      <c r="J170" t="str">
        <f t="shared" si="5"/>
        <v>Normal</v>
      </c>
    </row>
    <row r="171" spans="1:10" x14ac:dyDescent="0.35">
      <c r="A171" t="s">
        <v>171</v>
      </c>
      <c r="B171">
        <v>37.619999999999997</v>
      </c>
      <c r="C171">
        <v>6.32</v>
      </c>
      <c r="D171" t="s">
        <v>2346</v>
      </c>
      <c r="E171" t="s">
        <v>2345</v>
      </c>
      <c r="F171" t="s">
        <v>2344</v>
      </c>
      <c r="G171">
        <v>1</v>
      </c>
      <c r="H171" t="s">
        <v>2346</v>
      </c>
      <c r="I171" t="str">
        <f t="shared" si="4"/>
        <v>Obesity</v>
      </c>
      <c r="J171" t="str">
        <f t="shared" si="5"/>
        <v>Prediabetes</v>
      </c>
    </row>
    <row r="172" spans="1:10" x14ac:dyDescent="0.35">
      <c r="A172" t="s">
        <v>172</v>
      </c>
      <c r="B172">
        <v>36.08</v>
      </c>
      <c r="C172">
        <v>6.1</v>
      </c>
      <c r="D172" t="s">
        <v>2346</v>
      </c>
      <c r="E172" t="s">
        <v>2344</v>
      </c>
      <c r="F172" t="s">
        <v>2344</v>
      </c>
      <c r="G172">
        <v>1</v>
      </c>
      <c r="H172" t="s">
        <v>2346</v>
      </c>
      <c r="I172" t="str">
        <f t="shared" si="4"/>
        <v>Obesity</v>
      </c>
      <c r="J172" t="str">
        <f t="shared" si="5"/>
        <v>Prediabetes</v>
      </c>
    </row>
    <row r="173" spans="1:10" x14ac:dyDescent="0.35">
      <c r="A173" t="s">
        <v>173</v>
      </c>
      <c r="B173">
        <v>33.5</v>
      </c>
      <c r="C173">
        <v>5.4</v>
      </c>
      <c r="D173" t="s">
        <v>2344</v>
      </c>
      <c r="E173" t="s">
        <v>2344</v>
      </c>
      <c r="F173" t="s">
        <v>2344</v>
      </c>
      <c r="G173">
        <v>0</v>
      </c>
      <c r="H173" t="s">
        <v>2346</v>
      </c>
      <c r="I173" t="str">
        <f t="shared" si="4"/>
        <v>Obesity</v>
      </c>
      <c r="J173" t="str">
        <f t="shared" si="5"/>
        <v>Normal</v>
      </c>
    </row>
    <row r="174" spans="1:10" x14ac:dyDescent="0.35">
      <c r="A174" t="s">
        <v>174</v>
      </c>
      <c r="B174">
        <v>47.46</v>
      </c>
      <c r="C174">
        <v>6.24</v>
      </c>
      <c r="D174" t="s">
        <v>2346</v>
      </c>
      <c r="E174" t="s">
        <v>2344</v>
      </c>
      <c r="F174" t="s">
        <v>2344</v>
      </c>
      <c r="G174">
        <v>1</v>
      </c>
      <c r="H174" t="s">
        <v>2346</v>
      </c>
      <c r="I174" t="str">
        <f t="shared" si="4"/>
        <v>Obesity</v>
      </c>
      <c r="J174" t="str">
        <f t="shared" si="5"/>
        <v>Prediabetes</v>
      </c>
    </row>
    <row r="175" spans="1:10" x14ac:dyDescent="0.35">
      <c r="A175" t="s">
        <v>175</v>
      </c>
      <c r="B175">
        <v>49.24</v>
      </c>
      <c r="C175">
        <v>4.45</v>
      </c>
      <c r="D175" t="s">
        <v>2344</v>
      </c>
      <c r="E175" t="s">
        <v>2344</v>
      </c>
      <c r="F175" t="s">
        <v>2344</v>
      </c>
      <c r="G175">
        <v>0</v>
      </c>
      <c r="H175" t="s">
        <v>2346</v>
      </c>
      <c r="I175" t="str">
        <f t="shared" si="4"/>
        <v>Obesity</v>
      </c>
      <c r="J175" t="str">
        <f t="shared" si="5"/>
        <v>Normal</v>
      </c>
    </row>
    <row r="176" spans="1:10" x14ac:dyDescent="0.35">
      <c r="A176" t="s">
        <v>176</v>
      </c>
      <c r="B176">
        <v>54.4</v>
      </c>
      <c r="C176">
        <v>5.22</v>
      </c>
      <c r="D176" t="s">
        <v>2344</v>
      </c>
      <c r="E176" t="s">
        <v>2344</v>
      </c>
      <c r="F176" t="s">
        <v>2344</v>
      </c>
      <c r="G176">
        <v>1</v>
      </c>
      <c r="H176" t="s">
        <v>2346</v>
      </c>
      <c r="I176" t="str">
        <f t="shared" si="4"/>
        <v>Obesity</v>
      </c>
      <c r="J176" t="str">
        <f t="shared" si="5"/>
        <v>Normal</v>
      </c>
    </row>
    <row r="177" spans="1:10" x14ac:dyDescent="0.35">
      <c r="A177" t="s">
        <v>177</v>
      </c>
      <c r="B177">
        <v>35.53</v>
      </c>
      <c r="C177">
        <v>4.6100000000000003</v>
      </c>
      <c r="D177" t="s">
        <v>2344</v>
      </c>
      <c r="E177" t="s">
        <v>2344</v>
      </c>
      <c r="F177" t="s">
        <v>2344</v>
      </c>
      <c r="G177">
        <v>1</v>
      </c>
      <c r="H177" t="s">
        <v>2346</v>
      </c>
      <c r="I177" t="str">
        <f t="shared" si="4"/>
        <v>Obesity</v>
      </c>
      <c r="J177" t="str">
        <f t="shared" si="5"/>
        <v>Normal</v>
      </c>
    </row>
    <row r="178" spans="1:10" x14ac:dyDescent="0.35">
      <c r="A178" t="s">
        <v>178</v>
      </c>
      <c r="B178">
        <v>39.729999999999997</v>
      </c>
      <c r="C178">
        <v>6.24</v>
      </c>
      <c r="D178" t="s">
        <v>2344</v>
      </c>
      <c r="E178" t="s">
        <v>2344</v>
      </c>
      <c r="F178" t="s">
        <v>2344</v>
      </c>
      <c r="G178">
        <v>0</v>
      </c>
      <c r="H178" t="s">
        <v>2346</v>
      </c>
      <c r="I178" t="str">
        <f t="shared" si="4"/>
        <v>Obesity</v>
      </c>
      <c r="J178" t="str">
        <f t="shared" si="5"/>
        <v>Prediabetes</v>
      </c>
    </row>
    <row r="179" spans="1:10" x14ac:dyDescent="0.35">
      <c r="A179" t="s">
        <v>179</v>
      </c>
      <c r="B179">
        <v>35.68</v>
      </c>
      <c r="C179">
        <v>10.039999999999999</v>
      </c>
      <c r="D179" t="s">
        <v>2344</v>
      </c>
      <c r="E179" t="s">
        <v>2344</v>
      </c>
      <c r="F179" t="s">
        <v>2344</v>
      </c>
      <c r="G179">
        <v>0</v>
      </c>
      <c r="H179" t="s">
        <v>2346</v>
      </c>
      <c r="I179" t="str">
        <f t="shared" si="4"/>
        <v>Obesity</v>
      </c>
      <c r="J179" t="str">
        <f t="shared" si="5"/>
        <v>Diabetes</v>
      </c>
    </row>
    <row r="180" spans="1:10" x14ac:dyDescent="0.35">
      <c r="A180" t="s">
        <v>180</v>
      </c>
      <c r="B180">
        <v>48.86</v>
      </c>
      <c r="C180">
        <v>6.09</v>
      </c>
      <c r="D180" t="s">
        <v>2344</v>
      </c>
      <c r="E180" t="s">
        <v>2344</v>
      </c>
      <c r="F180" t="s">
        <v>2344</v>
      </c>
      <c r="G180">
        <v>0</v>
      </c>
      <c r="H180" t="s">
        <v>2346</v>
      </c>
      <c r="I180" t="str">
        <f t="shared" si="4"/>
        <v>Obesity</v>
      </c>
      <c r="J180" t="str">
        <f t="shared" si="5"/>
        <v>Prediabetes</v>
      </c>
    </row>
    <row r="181" spans="1:10" x14ac:dyDescent="0.35">
      <c r="A181" t="s">
        <v>181</v>
      </c>
      <c r="B181">
        <v>34.799999999999997</v>
      </c>
      <c r="C181">
        <v>11.4</v>
      </c>
      <c r="D181" t="s">
        <v>2346</v>
      </c>
      <c r="E181" t="s">
        <v>2344</v>
      </c>
      <c r="F181" t="s">
        <v>2346</v>
      </c>
      <c r="G181">
        <v>1</v>
      </c>
      <c r="H181" t="s">
        <v>2344</v>
      </c>
      <c r="I181" t="str">
        <f t="shared" si="4"/>
        <v>Obesity</v>
      </c>
      <c r="J181" t="str">
        <f t="shared" si="5"/>
        <v>Diabetes</v>
      </c>
    </row>
    <row r="182" spans="1:10" x14ac:dyDescent="0.35">
      <c r="A182" t="s">
        <v>182</v>
      </c>
      <c r="B182">
        <v>32.49</v>
      </c>
      <c r="C182">
        <v>4.29</v>
      </c>
      <c r="D182" t="s">
        <v>2344</v>
      </c>
      <c r="E182" t="s">
        <v>2344</v>
      </c>
      <c r="F182" t="s">
        <v>2346</v>
      </c>
      <c r="G182">
        <v>1</v>
      </c>
      <c r="H182" t="s">
        <v>2346</v>
      </c>
      <c r="I182" t="str">
        <f t="shared" si="4"/>
        <v>Obesity</v>
      </c>
      <c r="J182" t="str">
        <f t="shared" si="5"/>
        <v>Normal</v>
      </c>
    </row>
    <row r="183" spans="1:10" x14ac:dyDescent="0.35">
      <c r="A183" t="s">
        <v>183</v>
      </c>
      <c r="B183">
        <v>39</v>
      </c>
      <c r="C183">
        <v>5.7</v>
      </c>
      <c r="D183" t="s">
        <v>2344</v>
      </c>
      <c r="E183" t="s">
        <v>2344</v>
      </c>
      <c r="F183" t="s">
        <v>2344</v>
      </c>
      <c r="G183">
        <v>1</v>
      </c>
      <c r="H183" t="s">
        <v>2346</v>
      </c>
      <c r="I183" t="str">
        <f t="shared" si="4"/>
        <v>Obesity</v>
      </c>
      <c r="J183" t="str">
        <f t="shared" si="5"/>
        <v>Prediabetes</v>
      </c>
    </row>
    <row r="184" spans="1:10" x14ac:dyDescent="0.35">
      <c r="A184" t="s">
        <v>184</v>
      </c>
      <c r="B184">
        <v>35.299999999999997</v>
      </c>
      <c r="C184">
        <v>6.09</v>
      </c>
      <c r="D184" t="s">
        <v>2344</v>
      </c>
      <c r="E184" t="s">
        <v>2344</v>
      </c>
      <c r="F184" t="s">
        <v>2344</v>
      </c>
      <c r="G184">
        <v>1</v>
      </c>
      <c r="H184" t="s">
        <v>2346</v>
      </c>
      <c r="I184" t="str">
        <f t="shared" si="4"/>
        <v>Obesity</v>
      </c>
      <c r="J184" t="str">
        <f t="shared" si="5"/>
        <v>Prediabetes</v>
      </c>
    </row>
    <row r="185" spans="1:10" x14ac:dyDescent="0.35">
      <c r="A185" t="s">
        <v>185</v>
      </c>
      <c r="B185">
        <v>33.42</v>
      </c>
      <c r="C185">
        <v>10.67</v>
      </c>
      <c r="D185" t="s">
        <v>2344</v>
      </c>
      <c r="E185" t="s">
        <v>2344</v>
      </c>
      <c r="F185" t="s">
        <v>2344</v>
      </c>
      <c r="G185">
        <v>0</v>
      </c>
      <c r="H185" t="s">
        <v>2346</v>
      </c>
      <c r="I185" t="str">
        <f t="shared" si="4"/>
        <v>Obesity</v>
      </c>
      <c r="J185" t="str">
        <f t="shared" si="5"/>
        <v>Diabetes</v>
      </c>
    </row>
    <row r="186" spans="1:10" x14ac:dyDescent="0.35">
      <c r="A186" t="s">
        <v>186</v>
      </c>
      <c r="B186">
        <v>37.18</v>
      </c>
      <c r="C186">
        <v>6.75</v>
      </c>
      <c r="D186" t="s">
        <v>2346</v>
      </c>
      <c r="E186" t="s">
        <v>2344</v>
      </c>
      <c r="F186" t="s">
        <v>2344</v>
      </c>
      <c r="G186">
        <v>1</v>
      </c>
      <c r="H186" t="s">
        <v>2346</v>
      </c>
      <c r="I186" t="str">
        <f t="shared" si="4"/>
        <v>Obesity</v>
      </c>
      <c r="J186" t="str">
        <f t="shared" si="5"/>
        <v>Diabetes</v>
      </c>
    </row>
    <row r="187" spans="1:10" x14ac:dyDescent="0.35">
      <c r="A187" t="s">
        <v>187</v>
      </c>
      <c r="B187">
        <v>33.33</v>
      </c>
      <c r="C187">
        <v>9.26</v>
      </c>
      <c r="D187" t="s">
        <v>2346</v>
      </c>
      <c r="E187" t="s">
        <v>2344</v>
      </c>
      <c r="F187" t="s">
        <v>2344</v>
      </c>
      <c r="G187">
        <v>1</v>
      </c>
      <c r="H187" t="s">
        <v>2344</v>
      </c>
      <c r="I187" t="str">
        <f t="shared" si="4"/>
        <v>Obesity</v>
      </c>
      <c r="J187" t="str">
        <f t="shared" si="5"/>
        <v>Diabetes</v>
      </c>
    </row>
    <row r="188" spans="1:10" x14ac:dyDescent="0.35">
      <c r="A188" t="s">
        <v>188</v>
      </c>
      <c r="B188">
        <v>53.21</v>
      </c>
      <c r="C188">
        <v>4.2699999999999996</v>
      </c>
      <c r="D188" t="s">
        <v>2344</v>
      </c>
      <c r="E188" t="s">
        <v>2344</v>
      </c>
      <c r="F188" t="s">
        <v>2344</v>
      </c>
      <c r="G188">
        <v>1</v>
      </c>
      <c r="H188" t="s">
        <v>2346</v>
      </c>
      <c r="I188" t="str">
        <f t="shared" si="4"/>
        <v>Obesity</v>
      </c>
      <c r="J188" t="str">
        <f t="shared" si="5"/>
        <v>Normal</v>
      </c>
    </row>
    <row r="189" spans="1:10" x14ac:dyDescent="0.35">
      <c r="A189" t="s">
        <v>189</v>
      </c>
      <c r="B189">
        <v>38.729999999999997</v>
      </c>
      <c r="C189">
        <v>11.51</v>
      </c>
      <c r="D189" t="s">
        <v>2344</v>
      </c>
      <c r="E189" t="s">
        <v>2344</v>
      </c>
      <c r="F189" t="s">
        <v>2344</v>
      </c>
      <c r="G189">
        <v>1</v>
      </c>
      <c r="H189" t="s">
        <v>2346</v>
      </c>
      <c r="I189" t="str">
        <f t="shared" si="4"/>
        <v>Obesity</v>
      </c>
      <c r="J189" t="str">
        <f t="shared" si="5"/>
        <v>Diabetes</v>
      </c>
    </row>
    <row r="190" spans="1:10" x14ac:dyDescent="0.35">
      <c r="A190" t="s">
        <v>190</v>
      </c>
      <c r="B190">
        <v>29.73</v>
      </c>
      <c r="C190">
        <v>7.22</v>
      </c>
      <c r="D190" t="s">
        <v>2344</v>
      </c>
      <c r="E190" t="s">
        <v>2344</v>
      </c>
      <c r="F190" t="s">
        <v>2344</v>
      </c>
      <c r="G190">
        <v>0</v>
      </c>
      <c r="H190" t="s">
        <v>2346</v>
      </c>
      <c r="I190" t="str">
        <f t="shared" si="4"/>
        <v>Over weight</v>
      </c>
      <c r="J190" t="str">
        <f t="shared" si="5"/>
        <v>Diabetes</v>
      </c>
    </row>
    <row r="191" spans="1:10" x14ac:dyDescent="0.35">
      <c r="A191" t="s">
        <v>191</v>
      </c>
      <c r="B191">
        <v>34.700000000000003</v>
      </c>
      <c r="C191">
        <v>4.37</v>
      </c>
      <c r="D191" t="s">
        <v>2344</v>
      </c>
      <c r="E191" t="s">
        <v>2344</v>
      </c>
      <c r="F191" t="s">
        <v>2346</v>
      </c>
      <c r="G191">
        <v>1</v>
      </c>
      <c r="H191" t="s">
        <v>2346</v>
      </c>
      <c r="I191" t="str">
        <f t="shared" si="4"/>
        <v>Obesity</v>
      </c>
      <c r="J191" t="str">
        <f t="shared" si="5"/>
        <v>Normal</v>
      </c>
    </row>
    <row r="192" spans="1:10" x14ac:dyDescent="0.35">
      <c r="A192" t="s">
        <v>192</v>
      </c>
      <c r="B192">
        <v>38.28</v>
      </c>
      <c r="C192">
        <v>11.56</v>
      </c>
      <c r="D192" t="s">
        <v>2346</v>
      </c>
      <c r="E192" t="s">
        <v>2344</v>
      </c>
      <c r="F192" t="s">
        <v>2344</v>
      </c>
      <c r="G192">
        <v>1</v>
      </c>
      <c r="H192" t="s">
        <v>2346</v>
      </c>
      <c r="I192" t="str">
        <f t="shared" si="4"/>
        <v>Obesity</v>
      </c>
      <c r="J192" t="str">
        <f t="shared" si="5"/>
        <v>Diabetes</v>
      </c>
    </row>
    <row r="193" spans="1:10" x14ac:dyDescent="0.35">
      <c r="A193" t="s">
        <v>193</v>
      </c>
      <c r="B193">
        <v>33.57</v>
      </c>
      <c r="C193">
        <v>8.82</v>
      </c>
      <c r="D193" t="s">
        <v>2346</v>
      </c>
      <c r="E193" t="s">
        <v>2344</v>
      </c>
      <c r="F193" t="s">
        <v>2344</v>
      </c>
      <c r="G193">
        <v>0</v>
      </c>
      <c r="H193" t="s">
        <v>2346</v>
      </c>
      <c r="I193" t="str">
        <f t="shared" si="4"/>
        <v>Obesity</v>
      </c>
      <c r="J193" t="str">
        <f t="shared" si="5"/>
        <v>Diabetes</v>
      </c>
    </row>
    <row r="194" spans="1:10" x14ac:dyDescent="0.35">
      <c r="A194" t="s">
        <v>194</v>
      </c>
      <c r="B194">
        <v>52.06</v>
      </c>
      <c r="C194">
        <v>4.6900000000000004</v>
      </c>
      <c r="D194" t="s">
        <v>2344</v>
      </c>
      <c r="E194" t="s">
        <v>2344</v>
      </c>
      <c r="F194" t="s">
        <v>2344</v>
      </c>
      <c r="G194">
        <v>1</v>
      </c>
      <c r="H194" t="s">
        <v>2346</v>
      </c>
      <c r="I194" t="str">
        <f t="shared" si="4"/>
        <v>Obesity</v>
      </c>
      <c r="J194" t="str">
        <f t="shared" si="5"/>
        <v>Normal</v>
      </c>
    </row>
    <row r="195" spans="1:10" x14ac:dyDescent="0.35">
      <c r="A195" t="s">
        <v>195</v>
      </c>
      <c r="B195">
        <v>38.17</v>
      </c>
      <c r="C195">
        <v>4.53</v>
      </c>
      <c r="D195" t="s">
        <v>2344</v>
      </c>
      <c r="E195" t="s">
        <v>2345</v>
      </c>
      <c r="F195" t="s">
        <v>2344</v>
      </c>
      <c r="G195">
        <v>1</v>
      </c>
      <c r="H195" t="s">
        <v>2346</v>
      </c>
      <c r="I195" t="str">
        <f t="shared" ref="I195:I258" si="6">IF(B195&lt;18.5,"Under Weight",IF(B195&lt;25,"Normal Weight",IF(B195&lt;30,"Over weight","Obesity")))</f>
        <v>Obesity</v>
      </c>
      <c r="J195" t="str">
        <f t="shared" ref="J195:J258" si="7">IF(C195&lt;5.7,"Normal",IF(C195&lt;6.5,"Prediabetes","Diabetes"))</f>
        <v>Normal</v>
      </c>
    </row>
    <row r="196" spans="1:10" x14ac:dyDescent="0.35">
      <c r="A196" t="s">
        <v>196</v>
      </c>
      <c r="B196">
        <v>36.954999999999998</v>
      </c>
      <c r="C196">
        <v>5.84</v>
      </c>
      <c r="D196" t="s">
        <v>2344</v>
      </c>
      <c r="E196" t="s">
        <v>2344</v>
      </c>
      <c r="F196" t="s">
        <v>2346</v>
      </c>
      <c r="G196">
        <v>1</v>
      </c>
      <c r="H196" t="s">
        <v>2346</v>
      </c>
      <c r="I196" t="str">
        <f t="shared" si="6"/>
        <v>Obesity</v>
      </c>
      <c r="J196" t="str">
        <f t="shared" si="7"/>
        <v>Prediabetes</v>
      </c>
    </row>
    <row r="197" spans="1:10" x14ac:dyDescent="0.35">
      <c r="A197" t="s">
        <v>197</v>
      </c>
      <c r="B197">
        <v>34.4</v>
      </c>
      <c r="C197">
        <v>4.9000000000000004</v>
      </c>
      <c r="D197" t="s">
        <v>2344</v>
      </c>
      <c r="E197" t="s">
        <v>2344</v>
      </c>
      <c r="F197" t="s">
        <v>2346</v>
      </c>
      <c r="G197">
        <v>1</v>
      </c>
      <c r="H197" t="s">
        <v>2346</v>
      </c>
      <c r="I197" t="str">
        <f t="shared" si="6"/>
        <v>Obesity</v>
      </c>
      <c r="J197" t="str">
        <f t="shared" si="7"/>
        <v>Normal</v>
      </c>
    </row>
    <row r="198" spans="1:10" x14ac:dyDescent="0.35">
      <c r="A198" t="s">
        <v>198</v>
      </c>
      <c r="B198">
        <v>31.73</v>
      </c>
      <c r="C198">
        <v>4.3</v>
      </c>
      <c r="D198" t="s">
        <v>2344</v>
      </c>
      <c r="E198" t="s">
        <v>2344</v>
      </c>
      <c r="F198" t="s">
        <v>2344</v>
      </c>
      <c r="G198">
        <v>0</v>
      </c>
      <c r="H198" t="s">
        <v>2346</v>
      </c>
      <c r="I198" t="str">
        <f t="shared" si="6"/>
        <v>Obesity</v>
      </c>
      <c r="J198" t="str">
        <f t="shared" si="7"/>
        <v>Normal</v>
      </c>
    </row>
    <row r="199" spans="1:10" x14ac:dyDescent="0.35">
      <c r="A199" t="s">
        <v>199</v>
      </c>
      <c r="B199">
        <v>36.64</v>
      </c>
      <c r="C199">
        <v>11.34</v>
      </c>
      <c r="D199" t="s">
        <v>2344</v>
      </c>
      <c r="E199" t="s">
        <v>2344</v>
      </c>
      <c r="F199" t="s">
        <v>2344</v>
      </c>
      <c r="G199">
        <v>0</v>
      </c>
      <c r="H199" t="s">
        <v>2346</v>
      </c>
      <c r="I199" t="str">
        <f t="shared" si="6"/>
        <v>Obesity</v>
      </c>
      <c r="J199" t="str">
        <f t="shared" si="7"/>
        <v>Diabetes</v>
      </c>
    </row>
    <row r="200" spans="1:10" x14ac:dyDescent="0.35">
      <c r="A200" t="s">
        <v>200</v>
      </c>
      <c r="B200">
        <v>36.85</v>
      </c>
      <c r="C200">
        <v>5.88</v>
      </c>
      <c r="D200" t="s">
        <v>2344</v>
      </c>
      <c r="E200" t="s">
        <v>2345</v>
      </c>
      <c r="F200" t="s">
        <v>2344</v>
      </c>
      <c r="G200">
        <v>1</v>
      </c>
      <c r="H200" t="s">
        <v>2346</v>
      </c>
      <c r="I200" t="str">
        <f t="shared" si="6"/>
        <v>Obesity</v>
      </c>
      <c r="J200" t="str">
        <f t="shared" si="7"/>
        <v>Prediabetes</v>
      </c>
    </row>
    <row r="201" spans="1:10" x14ac:dyDescent="0.35">
      <c r="A201" t="s">
        <v>201</v>
      </c>
      <c r="B201">
        <v>33.33</v>
      </c>
      <c r="C201">
        <v>5.01</v>
      </c>
      <c r="D201" t="s">
        <v>2346</v>
      </c>
      <c r="E201" t="s">
        <v>2344</v>
      </c>
      <c r="F201" t="s">
        <v>2346</v>
      </c>
      <c r="G201">
        <v>1</v>
      </c>
      <c r="H201" t="s">
        <v>2346</v>
      </c>
      <c r="I201" t="str">
        <f t="shared" si="6"/>
        <v>Obesity</v>
      </c>
      <c r="J201" t="str">
        <f t="shared" si="7"/>
        <v>Normal</v>
      </c>
    </row>
    <row r="202" spans="1:10" x14ac:dyDescent="0.35">
      <c r="A202" t="s">
        <v>202</v>
      </c>
      <c r="B202">
        <v>39.14</v>
      </c>
      <c r="C202">
        <v>4.4000000000000004</v>
      </c>
      <c r="D202" t="s">
        <v>2344</v>
      </c>
      <c r="E202" t="s">
        <v>2344</v>
      </c>
      <c r="F202" t="s">
        <v>2346</v>
      </c>
      <c r="G202">
        <v>1</v>
      </c>
      <c r="H202" t="s">
        <v>2346</v>
      </c>
      <c r="I202" t="str">
        <f t="shared" si="6"/>
        <v>Obesity</v>
      </c>
      <c r="J202" t="str">
        <f t="shared" si="7"/>
        <v>Normal</v>
      </c>
    </row>
    <row r="203" spans="1:10" x14ac:dyDescent="0.35">
      <c r="A203" t="s">
        <v>203</v>
      </c>
      <c r="B203">
        <v>32.9</v>
      </c>
      <c r="C203">
        <v>6.26</v>
      </c>
      <c r="D203" t="s">
        <v>2346</v>
      </c>
      <c r="E203" t="s">
        <v>2344</v>
      </c>
      <c r="F203" t="s">
        <v>2344</v>
      </c>
      <c r="G203">
        <v>0</v>
      </c>
      <c r="H203" t="s">
        <v>2346</v>
      </c>
      <c r="I203" t="str">
        <f t="shared" si="6"/>
        <v>Obesity</v>
      </c>
      <c r="J203" t="str">
        <f t="shared" si="7"/>
        <v>Prediabetes</v>
      </c>
    </row>
    <row r="204" spans="1:10" x14ac:dyDescent="0.35">
      <c r="A204" t="s">
        <v>204</v>
      </c>
      <c r="B204">
        <v>29.78</v>
      </c>
      <c r="C204">
        <v>10.27</v>
      </c>
      <c r="D204" t="s">
        <v>2346</v>
      </c>
      <c r="E204" t="s">
        <v>2344</v>
      </c>
      <c r="F204" t="s">
        <v>2346</v>
      </c>
      <c r="G204">
        <v>1</v>
      </c>
      <c r="H204" t="s">
        <v>2346</v>
      </c>
      <c r="I204" t="str">
        <f t="shared" si="6"/>
        <v>Over weight</v>
      </c>
      <c r="J204" t="str">
        <f t="shared" si="7"/>
        <v>Diabetes</v>
      </c>
    </row>
    <row r="205" spans="1:10" x14ac:dyDescent="0.35">
      <c r="A205" t="s">
        <v>205</v>
      </c>
      <c r="B205">
        <v>32.78</v>
      </c>
      <c r="C205">
        <v>5.27</v>
      </c>
      <c r="D205" t="s">
        <v>2344</v>
      </c>
      <c r="E205" t="s">
        <v>2344</v>
      </c>
      <c r="F205" t="s">
        <v>2344</v>
      </c>
      <c r="G205">
        <v>0</v>
      </c>
      <c r="H205" t="s">
        <v>2346</v>
      </c>
      <c r="I205" t="str">
        <f t="shared" si="6"/>
        <v>Obesity</v>
      </c>
      <c r="J205" t="str">
        <f t="shared" si="7"/>
        <v>Normal</v>
      </c>
    </row>
    <row r="206" spans="1:10" x14ac:dyDescent="0.35">
      <c r="A206" t="s">
        <v>206</v>
      </c>
      <c r="B206">
        <v>41.65</v>
      </c>
      <c r="C206">
        <v>10.73</v>
      </c>
      <c r="D206" t="s">
        <v>2346</v>
      </c>
      <c r="E206" t="s">
        <v>2344</v>
      </c>
      <c r="F206" t="s">
        <v>2344</v>
      </c>
      <c r="G206">
        <v>0</v>
      </c>
      <c r="H206" t="s">
        <v>2346</v>
      </c>
      <c r="I206" t="str">
        <f t="shared" si="6"/>
        <v>Obesity</v>
      </c>
      <c r="J206" t="str">
        <f t="shared" si="7"/>
        <v>Diabetes</v>
      </c>
    </row>
    <row r="207" spans="1:10" x14ac:dyDescent="0.35">
      <c r="A207" t="s">
        <v>207</v>
      </c>
      <c r="B207">
        <v>50.79</v>
      </c>
      <c r="C207">
        <v>4.45</v>
      </c>
      <c r="D207" t="s">
        <v>2344</v>
      </c>
      <c r="E207" t="s">
        <v>2344</v>
      </c>
      <c r="F207" t="s">
        <v>2344</v>
      </c>
      <c r="G207">
        <v>1</v>
      </c>
      <c r="H207" t="s">
        <v>2346</v>
      </c>
      <c r="I207" t="str">
        <f t="shared" si="6"/>
        <v>Obesity</v>
      </c>
      <c r="J207" t="str">
        <f t="shared" si="7"/>
        <v>Normal</v>
      </c>
    </row>
    <row r="208" spans="1:10" x14ac:dyDescent="0.35">
      <c r="A208" t="s">
        <v>208</v>
      </c>
      <c r="B208">
        <v>35.43</v>
      </c>
      <c r="C208">
        <v>5.25</v>
      </c>
      <c r="D208" t="s">
        <v>2346</v>
      </c>
      <c r="E208" t="s">
        <v>2344</v>
      </c>
      <c r="F208" t="s">
        <v>2344</v>
      </c>
      <c r="G208">
        <v>0</v>
      </c>
      <c r="H208" t="s">
        <v>2346</v>
      </c>
      <c r="I208" t="str">
        <f t="shared" si="6"/>
        <v>Obesity</v>
      </c>
      <c r="J208" t="str">
        <f t="shared" si="7"/>
        <v>Normal</v>
      </c>
    </row>
    <row r="209" spans="1:10" x14ac:dyDescent="0.35">
      <c r="A209" t="s">
        <v>209</v>
      </c>
      <c r="B209">
        <v>35.25</v>
      </c>
      <c r="C209">
        <v>9.51</v>
      </c>
      <c r="D209" t="s">
        <v>2344</v>
      </c>
      <c r="E209" t="s">
        <v>2344</v>
      </c>
      <c r="F209" t="s">
        <v>2344</v>
      </c>
      <c r="G209">
        <v>0</v>
      </c>
      <c r="H209" t="s">
        <v>2346</v>
      </c>
      <c r="I209" t="str">
        <f t="shared" si="6"/>
        <v>Obesity</v>
      </c>
      <c r="J209" t="str">
        <f t="shared" si="7"/>
        <v>Diabetes</v>
      </c>
    </row>
    <row r="210" spans="1:10" x14ac:dyDescent="0.35">
      <c r="A210" t="s">
        <v>210</v>
      </c>
      <c r="B210">
        <v>36.85</v>
      </c>
      <c r="C210">
        <v>11.12</v>
      </c>
      <c r="D210" t="s">
        <v>2344</v>
      </c>
      <c r="E210" t="s">
        <v>2344</v>
      </c>
      <c r="F210" t="s">
        <v>2344</v>
      </c>
      <c r="G210">
        <v>0</v>
      </c>
      <c r="H210" t="s">
        <v>2346</v>
      </c>
      <c r="I210" t="str">
        <f t="shared" si="6"/>
        <v>Obesity</v>
      </c>
      <c r="J210" t="str">
        <f t="shared" si="7"/>
        <v>Diabetes</v>
      </c>
    </row>
    <row r="211" spans="1:10" x14ac:dyDescent="0.35">
      <c r="A211" t="s">
        <v>211</v>
      </c>
      <c r="B211">
        <v>31.02</v>
      </c>
      <c r="C211">
        <v>4.5599999999999996</v>
      </c>
      <c r="D211" t="s">
        <v>2344</v>
      </c>
      <c r="E211" t="s">
        <v>2345</v>
      </c>
      <c r="F211" t="s">
        <v>2344</v>
      </c>
      <c r="G211">
        <v>1</v>
      </c>
      <c r="H211" t="s">
        <v>2346</v>
      </c>
      <c r="I211" t="str">
        <f t="shared" si="6"/>
        <v>Obesity</v>
      </c>
      <c r="J211" t="str">
        <f t="shared" si="7"/>
        <v>Normal</v>
      </c>
    </row>
    <row r="212" spans="1:10" x14ac:dyDescent="0.35">
      <c r="A212" t="s">
        <v>212</v>
      </c>
      <c r="B212">
        <v>35.6</v>
      </c>
      <c r="C212">
        <v>4.0199999999999996</v>
      </c>
      <c r="D212" t="s">
        <v>2346</v>
      </c>
      <c r="E212" t="s">
        <v>2345</v>
      </c>
      <c r="F212" t="s">
        <v>2344</v>
      </c>
      <c r="G212">
        <v>1</v>
      </c>
      <c r="H212" t="s">
        <v>2346</v>
      </c>
      <c r="I212" t="str">
        <f t="shared" si="6"/>
        <v>Obesity</v>
      </c>
      <c r="J212" t="str">
        <f t="shared" si="7"/>
        <v>Normal</v>
      </c>
    </row>
    <row r="213" spans="1:10" x14ac:dyDescent="0.35">
      <c r="A213" t="s">
        <v>213</v>
      </c>
      <c r="B213">
        <v>34.39</v>
      </c>
      <c r="C213">
        <v>8.7200000000000006</v>
      </c>
      <c r="D213" t="s">
        <v>2344</v>
      </c>
      <c r="E213" t="s">
        <v>2344</v>
      </c>
      <c r="F213" t="s">
        <v>2344</v>
      </c>
      <c r="G213">
        <v>0</v>
      </c>
      <c r="H213" t="s">
        <v>2346</v>
      </c>
      <c r="I213" t="str">
        <f t="shared" si="6"/>
        <v>Obesity</v>
      </c>
      <c r="J213" t="str">
        <f t="shared" si="7"/>
        <v>Diabetes</v>
      </c>
    </row>
    <row r="214" spans="1:10" x14ac:dyDescent="0.35">
      <c r="A214" t="s">
        <v>214</v>
      </c>
      <c r="B214">
        <v>29.06</v>
      </c>
      <c r="C214">
        <v>6.25</v>
      </c>
      <c r="D214" t="s">
        <v>2346</v>
      </c>
      <c r="E214" t="s">
        <v>2344</v>
      </c>
      <c r="F214" t="s">
        <v>2344</v>
      </c>
      <c r="G214">
        <v>1</v>
      </c>
      <c r="H214" t="s">
        <v>2346</v>
      </c>
      <c r="I214" t="str">
        <f t="shared" si="6"/>
        <v>Over weight</v>
      </c>
      <c r="J214" t="str">
        <f t="shared" si="7"/>
        <v>Prediabetes</v>
      </c>
    </row>
    <row r="215" spans="1:10" x14ac:dyDescent="0.35">
      <c r="A215" t="s">
        <v>215</v>
      </c>
      <c r="B215">
        <v>35.799999999999997</v>
      </c>
      <c r="C215">
        <v>7.32</v>
      </c>
      <c r="D215" t="s">
        <v>2344</v>
      </c>
      <c r="E215" t="s">
        <v>2344</v>
      </c>
      <c r="F215" t="s">
        <v>2344</v>
      </c>
      <c r="G215">
        <v>1</v>
      </c>
      <c r="H215" t="s">
        <v>2346</v>
      </c>
      <c r="I215" t="str">
        <f t="shared" si="6"/>
        <v>Obesity</v>
      </c>
      <c r="J215" t="str">
        <f t="shared" si="7"/>
        <v>Diabetes</v>
      </c>
    </row>
    <row r="216" spans="1:10" x14ac:dyDescent="0.35">
      <c r="A216" t="s">
        <v>216</v>
      </c>
      <c r="B216">
        <v>49.8</v>
      </c>
      <c r="C216">
        <v>4.24</v>
      </c>
      <c r="D216" t="s">
        <v>2344</v>
      </c>
      <c r="E216" t="s">
        <v>2344</v>
      </c>
      <c r="F216" t="s">
        <v>2344</v>
      </c>
      <c r="G216">
        <v>1</v>
      </c>
      <c r="H216" t="s">
        <v>2346</v>
      </c>
      <c r="I216" t="str">
        <f t="shared" si="6"/>
        <v>Obesity</v>
      </c>
      <c r="J216" t="str">
        <f t="shared" si="7"/>
        <v>Normal</v>
      </c>
    </row>
    <row r="217" spans="1:10" x14ac:dyDescent="0.35">
      <c r="A217" t="s">
        <v>217</v>
      </c>
      <c r="B217">
        <v>35.71</v>
      </c>
      <c r="C217">
        <v>6.84</v>
      </c>
      <c r="D217" t="s">
        <v>2344</v>
      </c>
      <c r="E217" t="s">
        <v>2344</v>
      </c>
      <c r="F217" t="s">
        <v>2344</v>
      </c>
      <c r="G217">
        <v>1</v>
      </c>
      <c r="H217" t="s">
        <v>2346</v>
      </c>
      <c r="I217" t="str">
        <f t="shared" si="6"/>
        <v>Obesity</v>
      </c>
      <c r="J217" t="str">
        <f t="shared" si="7"/>
        <v>Diabetes</v>
      </c>
    </row>
    <row r="218" spans="1:10" x14ac:dyDescent="0.35">
      <c r="A218" t="s">
        <v>218</v>
      </c>
      <c r="B218">
        <v>30.8</v>
      </c>
      <c r="C218">
        <v>5.23</v>
      </c>
      <c r="D218" t="s">
        <v>2346</v>
      </c>
      <c r="E218" t="s">
        <v>2344</v>
      </c>
      <c r="F218" t="s">
        <v>2344</v>
      </c>
      <c r="G218">
        <v>1</v>
      </c>
      <c r="H218" t="s">
        <v>2346</v>
      </c>
      <c r="I218" t="str">
        <f t="shared" si="6"/>
        <v>Obesity</v>
      </c>
      <c r="J218" t="str">
        <f t="shared" si="7"/>
        <v>Normal</v>
      </c>
    </row>
    <row r="219" spans="1:10" x14ac:dyDescent="0.35">
      <c r="A219" t="s">
        <v>219</v>
      </c>
      <c r="B219">
        <v>33.69</v>
      </c>
      <c r="C219">
        <v>9.68</v>
      </c>
      <c r="D219" t="s">
        <v>2344</v>
      </c>
      <c r="E219" t="s">
        <v>2344</v>
      </c>
      <c r="F219" t="s">
        <v>2344</v>
      </c>
      <c r="G219">
        <v>0</v>
      </c>
      <c r="H219" t="s">
        <v>2346</v>
      </c>
      <c r="I219" t="str">
        <f t="shared" si="6"/>
        <v>Obesity</v>
      </c>
      <c r="J219" t="str">
        <f t="shared" si="7"/>
        <v>Diabetes</v>
      </c>
    </row>
    <row r="220" spans="1:10" x14ac:dyDescent="0.35">
      <c r="A220" t="s">
        <v>220</v>
      </c>
      <c r="B220">
        <v>42.27</v>
      </c>
      <c r="C220">
        <v>6.05</v>
      </c>
      <c r="D220" t="s">
        <v>2346</v>
      </c>
      <c r="E220" t="s">
        <v>2344</v>
      </c>
      <c r="F220" t="s">
        <v>2344</v>
      </c>
      <c r="G220">
        <v>1</v>
      </c>
      <c r="H220" t="s">
        <v>2346</v>
      </c>
      <c r="I220" t="str">
        <f t="shared" si="6"/>
        <v>Obesity</v>
      </c>
      <c r="J220" t="str">
        <f t="shared" si="7"/>
        <v>Prediabetes</v>
      </c>
    </row>
    <row r="221" spans="1:10" x14ac:dyDescent="0.35">
      <c r="A221" t="s">
        <v>221</v>
      </c>
      <c r="B221">
        <v>53.25</v>
      </c>
      <c r="C221">
        <v>6.11</v>
      </c>
      <c r="D221" t="s">
        <v>2346</v>
      </c>
      <c r="E221" t="s">
        <v>2344</v>
      </c>
      <c r="F221" t="s">
        <v>2346</v>
      </c>
      <c r="G221">
        <v>1</v>
      </c>
      <c r="H221" t="s">
        <v>2346</v>
      </c>
      <c r="I221" t="str">
        <f t="shared" si="6"/>
        <v>Obesity</v>
      </c>
      <c r="J221" t="str">
        <f t="shared" si="7"/>
        <v>Prediabetes</v>
      </c>
    </row>
    <row r="222" spans="1:10" x14ac:dyDescent="0.35">
      <c r="A222" t="s">
        <v>222</v>
      </c>
      <c r="B222">
        <v>26.8</v>
      </c>
      <c r="C222">
        <v>10.93</v>
      </c>
      <c r="D222" t="s">
        <v>2346</v>
      </c>
      <c r="E222" t="s">
        <v>2344</v>
      </c>
      <c r="F222" t="s">
        <v>2344</v>
      </c>
      <c r="G222">
        <v>0</v>
      </c>
      <c r="H222" t="s">
        <v>2344</v>
      </c>
      <c r="I222" t="str">
        <f t="shared" si="6"/>
        <v>Over weight</v>
      </c>
      <c r="J222" t="str">
        <f t="shared" si="7"/>
        <v>Diabetes</v>
      </c>
    </row>
    <row r="223" spans="1:10" x14ac:dyDescent="0.35">
      <c r="A223" t="s">
        <v>223</v>
      </c>
      <c r="B223">
        <v>28.5</v>
      </c>
      <c r="C223">
        <v>5.12</v>
      </c>
      <c r="D223" t="s">
        <v>2344</v>
      </c>
      <c r="E223" t="s">
        <v>2344</v>
      </c>
      <c r="F223" t="s">
        <v>2344</v>
      </c>
      <c r="G223">
        <v>1</v>
      </c>
      <c r="H223" t="s">
        <v>2346</v>
      </c>
      <c r="I223" t="str">
        <f t="shared" si="6"/>
        <v>Over weight</v>
      </c>
      <c r="J223" t="str">
        <f t="shared" si="7"/>
        <v>Normal</v>
      </c>
    </row>
    <row r="224" spans="1:10" x14ac:dyDescent="0.35">
      <c r="A224" t="s">
        <v>224</v>
      </c>
      <c r="B224">
        <v>22.895</v>
      </c>
      <c r="C224">
        <v>5.72</v>
      </c>
      <c r="D224" t="s">
        <v>2344</v>
      </c>
      <c r="E224" t="s">
        <v>2344</v>
      </c>
      <c r="F224" t="s">
        <v>2344</v>
      </c>
      <c r="G224">
        <v>0</v>
      </c>
      <c r="H224" t="s">
        <v>2346</v>
      </c>
      <c r="I224" t="str">
        <f t="shared" si="6"/>
        <v>Normal Weight</v>
      </c>
      <c r="J224" t="str">
        <f t="shared" si="7"/>
        <v>Prediabetes</v>
      </c>
    </row>
    <row r="225" spans="1:10" x14ac:dyDescent="0.35">
      <c r="A225" t="s">
        <v>225</v>
      </c>
      <c r="B225">
        <v>34.06</v>
      </c>
      <c r="C225">
        <v>11.83</v>
      </c>
      <c r="D225" t="s">
        <v>2346</v>
      </c>
      <c r="E225" t="s">
        <v>2344</v>
      </c>
      <c r="F225" t="s">
        <v>2344</v>
      </c>
      <c r="G225">
        <v>1</v>
      </c>
      <c r="H225" t="s">
        <v>2346</v>
      </c>
      <c r="I225" t="str">
        <f t="shared" si="6"/>
        <v>Obesity</v>
      </c>
      <c r="J225" t="str">
        <f t="shared" si="7"/>
        <v>Diabetes</v>
      </c>
    </row>
    <row r="226" spans="1:10" x14ac:dyDescent="0.35">
      <c r="A226" t="s">
        <v>226</v>
      </c>
      <c r="B226">
        <v>36.409999999999997</v>
      </c>
      <c r="C226">
        <v>4.55</v>
      </c>
      <c r="D226" t="s">
        <v>2344</v>
      </c>
      <c r="E226" t="s">
        <v>2344</v>
      </c>
      <c r="F226" t="s">
        <v>2344</v>
      </c>
      <c r="G226">
        <v>0</v>
      </c>
      <c r="H226" t="s">
        <v>2346</v>
      </c>
      <c r="I226" t="str">
        <f t="shared" si="6"/>
        <v>Obesity</v>
      </c>
      <c r="J226" t="str">
        <f t="shared" si="7"/>
        <v>Normal</v>
      </c>
    </row>
    <row r="227" spans="1:10" x14ac:dyDescent="0.35">
      <c r="A227" t="s">
        <v>227</v>
      </c>
      <c r="B227">
        <v>52.3</v>
      </c>
      <c r="C227">
        <v>4.87</v>
      </c>
      <c r="D227" t="s">
        <v>2346</v>
      </c>
      <c r="E227" t="s">
        <v>2344</v>
      </c>
      <c r="F227" t="s">
        <v>2346</v>
      </c>
      <c r="G227">
        <v>1</v>
      </c>
      <c r="H227" t="s">
        <v>2346</v>
      </c>
      <c r="I227" t="str">
        <f t="shared" si="6"/>
        <v>Obesity</v>
      </c>
      <c r="J227" t="str">
        <f t="shared" si="7"/>
        <v>Normal</v>
      </c>
    </row>
    <row r="228" spans="1:10" x14ac:dyDescent="0.35">
      <c r="A228" t="s">
        <v>228</v>
      </c>
      <c r="B228">
        <v>52.66</v>
      </c>
      <c r="C228">
        <v>4.45</v>
      </c>
      <c r="D228" t="s">
        <v>2344</v>
      </c>
      <c r="E228" t="s">
        <v>2344</v>
      </c>
      <c r="F228" t="s">
        <v>2344</v>
      </c>
      <c r="G228">
        <v>1</v>
      </c>
      <c r="H228" t="s">
        <v>2346</v>
      </c>
      <c r="I228" t="str">
        <f t="shared" si="6"/>
        <v>Obesity</v>
      </c>
      <c r="J228" t="str">
        <f t="shared" si="7"/>
        <v>Normal</v>
      </c>
    </row>
    <row r="229" spans="1:10" x14ac:dyDescent="0.35">
      <c r="A229" t="s">
        <v>229</v>
      </c>
      <c r="B229">
        <v>29.57</v>
      </c>
      <c r="C229">
        <v>9.42</v>
      </c>
      <c r="D229" t="s">
        <v>2346</v>
      </c>
      <c r="E229" t="s">
        <v>2344</v>
      </c>
      <c r="F229" t="s">
        <v>2344</v>
      </c>
      <c r="G229">
        <v>0</v>
      </c>
      <c r="H229" t="s">
        <v>2346</v>
      </c>
      <c r="I229" t="str">
        <f t="shared" si="6"/>
        <v>Over weight</v>
      </c>
      <c r="J229" t="str">
        <f t="shared" si="7"/>
        <v>Diabetes</v>
      </c>
    </row>
    <row r="230" spans="1:10" x14ac:dyDescent="0.35">
      <c r="A230" t="s">
        <v>230</v>
      </c>
      <c r="B230">
        <v>36.99</v>
      </c>
      <c r="C230">
        <v>5.37</v>
      </c>
      <c r="D230" t="s">
        <v>2346</v>
      </c>
      <c r="E230" t="s">
        <v>2344</v>
      </c>
      <c r="F230" t="s">
        <v>2346</v>
      </c>
      <c r="G230">
        <v>1</v>
      </c>
      <c r="H230" t="s">
        <v>2346</v>
      </c>
      <c r="I230" t="str">
        <f t="shared" si="6"/>
        <v>Obesity</v>
      </c>
      <c r="J230" t="str">
        <f t="shared" si="7"/>
        <v>Normal</v>
      </c>
    </row>
    <row r="231" spans="1:10" x14ac:dyDescent="0.35">
      <c r="A231" t="s">
        <v>231</v>
      </c>
      <c r="B231">
        <v>31.4</v>
      </c>
      <c r="C231">
        <v>4.5999999999999996</v>
      </c>
      <c r="D231" t="s">
        <v>2346</v>
      </c>
      <c r="E231" t="s">
        <v>2344</v>
      </c>
      <c r="F231" t="s">
        <v>2344</v>
      </c>
      <c r="G231">
        <v>1</v>
      </c>
      <c r="H231" t="s">
        <v>2346</v>
      </c>
      <c r="I231" t="str">
        <f t="shared" si="6"/>
        <v>Obesity</v>
      </c>
      <c r="J231" t="str">
        <f t="shared" si="7"/>
        <v>Normal</v>
      </c>
    </row>
    <row r="232" spans="1:10" x14ac:dyDescent="0.35">
      <c r="A232" t="s">
        <v>232</v>
      </c>
      <c r="B232">
        <v>34.9</v>
      </c>
      <c r="C232">
        <v>6.22</v>
      </c>
      <c r="D232" t="s">
        <v>2344</v>
      </c>
      <c r="E232" t="s">
        <v>2344</v>
      </c>
      <c r="F232" t="s">
        <v>2346</v>
      </c>
      <c r="G232">
        <v>1</v>
      </c>
      <c r="H232" t="s">
        <v>2346</v>
      </c>
      <c r="I232" t="str">
        <f t="shared" si="6"/>
        <v>Obesity</v>
      </c>
      <c r="J232" t="str">
        <f t="shared" si="7"/>
        <v>Prediabetes</v>
      </c>
    </row>
    <row r="233" spans="1:10" x14ac:dyDescent="0.35">
      <c r="A233" t="s">
        <v>233</v>
      </c>
      <c r="B233">
        <v>31.13</v>
      </c>
      <c r="C233">
        <v>4.5199999999999996</v>
      </c>
      <c r="D233" t="s">
        <v>2346</v>
      </c>
      <c r="E233" t="s">
        <v>2344</v>
      </c>
      <c r="F233" t="s">
        <v>2344</v>
      </c>
      <c r="G233">
        <v>1</v>
      </c>
      <c r="H233" t="s">
        <v>2346</v>
      </c>
      <c r="I233" t="str">
        <f t="shared" si="6"/>
        <v>Obesity</v>
      </c>
      <c r="J233" t="str">
        <f t="shared" si="7"/>
        <v>Normal</v>
      </c>
    </row>
    <row r="234" spans="1:10" x14ac:dyDescent="0.35">
      <c r="A234" t="s">
        <v>234</v>
      </c>
      <c r="B234">
        <v>34.799999999999997</v>
      </c>
      <c r="C234">
        <v>6.18</v>
      </c>
      <c r="D234" t="s">
        <v>2344</v>
      </c>
      <c r="E234" t="s">
        <v>2344</v>
      </c>
      <c r="F234" t="s">
        <v>2346</v>
      </c>
      <c r="G234">
        <v>1</v>
      </c>
      <c r="H234" t="s">
        <v>2346</v>
      </c>
      <c r="I234" t="str">
        <f t="shared" si="6"/>
        <v>Obesity</v>
      </c>
      <c r="J234" t="str">
        <f t="shared" si="7"/>
        <v>Prediabetes</v>
      </c>
    </row>
    <row r="235" spans="1:10" x14ac:dyDescent="0.35">
      <c r="A235" t="s">
        <v>235</v>
      </c>
      <c r="B235">
        <v>31.68</v>
      </c>
      <c r="C235">
        <v>4.4000000000000004</v>
      </c>
      <c r="D235" t="s">
        <v>2344</v>
      </c>
      <c r="E235" t="s">
        <v>2344</v>
      </c>
      <c r="F235" t="s">
        <v>2344</v>
      </c>
      <c r="G235">
        <v>0</v>
      </c>
      <c r="H235" t="s">
        <v>2346</v>
      </c>
      <c r="I235" t="str">
        <f t="shared" si="6"/>
        <v>Obesity</v>
      </c>
      <c r="J235" t="str">
        <f t="shared" si="7"/>
        <v>Normal</v>
      </c>
    </row>
    <row r="236" spans="1:10" x14ac:dyDescent="0.35">
      <c r="A236" t="s">
        <v>236</v>
      </c>
      <c r="B236">
        <v>33.534999999999997</v>
      </c>
      <c r="C236">
        <v>6.23</v>
      </c>
      <c r="D236" t="s">
        <v>2344</v>
      </c>
      <c r="E236" t="s">
        <v>2345</v>
      </c>
      <c r="F236" t="s">
        <v>2344</v>
      </c>
      <c r="G236">
        <v>1</v>
      </c>
      <c r="H236" t="s">
        <v>2346</v>
      </c>
      <c r="I236" t="str">
        <f t="shared" si="6"/>
        <v>Obesity</v>
      </c>
      <c r="J236" t="str">
        <f t="shared" si="7"/>
        <v>Prediabetes</v>
      </c>
    </row>
    <row r="237" spans="1:10" x14ac:dyDescent="0.35">
      <c r="A237" t="s">
        <v>237</v>
      </c>
      <c r="B237">
        <v>31.92</v>
      </c>
      <c r="C237">
        <v>5.33</v>
      </c>
      <c r="D237" t="s">
        <v>2346</v>
      </c>
      <c r="E237" t="s">
        <v>2344</v>
      </c>
      <c r="F237" t="s">
        <v>2344</v>
      </c>
      <c r="G237">
        <v>0</v>
      </c>
      <c r="H237" t="s">
        <v>2346</v>
      </c>
      <c r="I237" t="str">
        <f t="shared" si="6"/>
        <v>Obesity</v>
      </c>
      <c r="J237" t="str">
        <f t="shared" si="7"/>
        <v>Normal</v>
      </c>
    </row>
    <row r="238" spans="1:10" x14ac:dyDescent="0.35">
      <c r="A238" t="s">
        <v>238</v>
      </c>
      <c r="B238">
        <v>32.700000000000003</v>
      </c>
      <c r="C238">
        <v>4.09</v>
      </c>
      <c r="D238" t="s">
        <v>2344</v>
      </c>
      <c r="E238" t="s">
        <v>2344</v>
      </c>
      <c r="F238" t="s">
        <v>2344</v>
      </c>
      <c r="G238">
        <v>1</v>
      </c>
      <c r="H238" t="s">
        <v>2346</v>
      </c>
      <c r="I238" t="str">
        <f t="shared" si="6"/>
        <v>Obesity</v>
      </c>
      <c r="J238" t="str">
        <f t="shared" si="7"/>
        <v>Normal</v>
      </c>
    </row>
    <row r="239" spans="1:10" x14ac:dyDescent="0.35">
      <c r="A239" t="s">
        <v>239</v>
      </c>
      <c r="B239">
        <v>41.25</v>
      </c>
      <c r="C239">
        <v>5.19</v>
      </c>
      <c r="D239" t="s">
        <v>2344</v>
      </c>
      <c r="E239" t="s">
        <v>2344</v>
      </c>
      <c r="F239" t="s">
        <v>2344</v>
      </c>
      <c r="G239">
        <v>0</v>
      </c>
      <c r="H239" t="s">
        <v>2346</v>
      </c>
      <c r="I239" t="str">
        <f t="shared" si="6"/>
        <v>Obesity</v>
      </c>
      <c r="J239" t="str">
        <f t="shared" si="7"/>
        <v>Normal</v>
      </c>
    </row>
    <row r="240" spans="1:10" x14ac:dyDescent="0.35">
      <c r="A240" t="s">
        <v>240</v>
      </c>
      <c r="B240">
        <v>33.11</v>
      </c>
      <c r="C240">
        <v>4.12</v>
      </c>
      <c r="D240" t="s">
        <v>2344</v>
      </c>
      <c r="E240" t="s">
        <v>2344</v>
      </c>
      <c r="F240" t="s">
        <v>2346</v>
      </c>
      <c r="G240">
        <v>1</v>
      </c>
      <c r="H240" t="s">
        <v>2346</v>
      </c>
      <c r="I240" t="str">
        <f t="shared" si="6"/>
        <v>Obesity</v>
      </c>
      <c r="J240" t="str">
        <f t="shared" si="7"/>
        <v>Normal</v>
      </c>
    </row>
    <row r="241" spans="1:10" x14ac:dyDescent="0.35">
      <c r="A241" t="s">
        <v>241</v>
      </c>
      <c r="B241">
        <v>36.159999999999997</v>
      </c>
      <c r="C241">
        <v>5.0999999999999996</v>
      </c>
      <c r="D241" t="s">
        <v>2344</v>
      </c>
      <c r="E241" t="s">
        <v>2344</v>
      </c>
      <c r="F241" t="s">
        <v>2344</v>
      </c>
      <c r="G241">
        <v>1</v>
      </c>
      <c r="H241" t="s">
        <v>2346</v>
      </c>
      <c r="I241" t="str">
        <f t="shared" si="6"/>
        <v>Obesity</v>
      </c>
      <c r="J241" t="str">
        <f t="shared" si="7"/>
        <v>Normal</v>
      </c>
    </row>
    <row r="242" spans="1:10" x14ac:dyDescent="0.35">
      <c r="A242" t="s">
        <v>242</v>
      </c>
      <c r="B242">
        <v>33.72</v>
      </c>
      <c r="C242">
        <v>6.21</v>
      </c>
      <c r="D242" t="s">
        <v>2346</v>
      </c>
      <c r="E242" t="s">
        <v>2344</v>
      </c>
      <c r="F242" t="s">
        <v>2346</v>
      </c>
      <c r="G242">
        <v>1</v>
      </c>
      <c r="H242" t="s">
        <v>2346</v>
      </c>
      <c r="I242" t="str">
        <f t="shared" si="6"/>
        <v>Obesity</v>
      </c>
      <c r="J242" t="str">
        <f t="shared" si="7"/>
        <v>Prediabetes</v>
      </c>
    </row>
    <row r="243" spans="1:10" x14ac:dyDescent="0.35">
      <c r="A243" t="s">
        <v>243</v>
      </c>
      <c r="B243">
        <v>37.74</v>
      </c>
      <c r="C243">
        <v>9.5299999999999994</v>
      </c>
      <c r="D243" t="s">
        <v>2346</v>
      </c>
      <c r="E243" t="s">
        <v>2344</v>
      </c>
      <c r="F243" t="s">
        <v>2344</v>
      </c>
      <c r="G243">
        <v>1</v>
      </c>
      <c r="H243" t="s">
        <v>2346</v>
      </c>
      <c r="I243" t="str">
        <f t="shared" si="6"/>
        <v>Obesity</v>
      </c>
      <c r="J243" t="str">
        <f t="shared" si="7"/>
        <v>Diabetes</v>
      </c>
    </row>
    <row r="244" spans="1:10" x14ac:dyDescent="0.35">
      <c r="A244" t="s">
        <v>244</v>
      </c>
      <c r="B244">
        <v>48.75</v>
      </c>
      <c r="C244">
        <v>4.6399999999999997</v>
      </c>
      <c r="D244" t="s">
        <v>2346</v>
      </c>
      <c r="E244" t="s">
        <v>2344</v>
      </c>
      <c r="F244" t="s">
        <v>2344</v>
      </c>
      <c r="G244">
        <v>1</v>
      </c>
      <c r="H244" t="s">
        <v>2346</v>
      </c>
      <c r="I244" t="str">
        <f t="shared" si="6"/>
        <v>Obesity</v>
      </c>
      <c r="J244" t="str">
        <f t="shared" si="7"/>
        <v>Normal</v>
      </c>
    </row>
    <row r="245" spans="1:10" x14ac:dyDescent="0.35">
      <c r="A245" t="s">
        <v>245</v>
      </c>
      <c r="B245">
        <v>31.065000000000001</v>
      </c>
      <c r="C245">
        <v>5.05</v>
      </c>
      <c r="D245" t="s">
        <v>2344</v>
      </c>
      <c r="E245" t="s">
        <v>2344</v>
      </c>
      <c r="F245" t="s">
        <v>2344</v>
      </c>
      <c r="G245">
        <v>1</v>
      </c>
      <c r="H245" t="s">
        <v>2346</v>
      </c>
      <c r="I245" t="str">
        <f t="shared" si="6"/>
        <v>Obesity</v>
      </c>
      <c r="J245" t="str">
        <f t="shared" si="7"/>
        <v>Normal</v>
      </c>
    </row>
    <row r="246" spans="1:10" x14ac:dyDescent="0.35">
      <c r="A246" t="s">
        <v>246</v>
      </c>
      <c r="B246">
        <v>23.55</v>
      </c>
      <c r="C246">
        <v>10.38</v>
      </c>
      <c r="D246" t="s">
        <v>2344</v>
      </c>
      <c r="E246" t="s">
        <v>2344</v>
      </c>
      <c r="F246" t="s">
        <v>2344</v>
      </c>
      <c r="G246">
        <v>0</v>
      </c>
      <c r="H246" t="s">
        <v>2346</v>
      </c>
      <c r="I246" t="str">
        <f t="shared" si="6"/>
        <v>Normal Weight</v>
      </c>
      <c r="J246" t="str">
        <f t="shared" si="7"/>
        <v>Diabetes</v>
      </c>
    </row>
    <row r="247" spans="1:10" x14ac:dyDescent="0.35">
      <c r="A247" t="s">
        <v>247</v>
      </c>
      <c r="B247">
        <v>30.18</v>
      </c>
      <c r="C247">
        <v>8.31</v>
      </c>
      <c r="D247" t="s">
        <v>2346</v>
      </c>
      <c r="E247" t="s">
        <v>2344</v>
      </c>
      <c r="F247" t="s">
        <v>2344</v>
      </c>
      <c r="G247">
        <v>1</v>
      </c>
      <c r="H247" t="s">
        <v>2346</v>
      </c>
      <c r="I247" t="str">
        <f t="shared" si="6"/>
        <v>Obesity</v>
      </c>
      <c r="J247" t="str">
        <f t="shared" si="7"/>
        <v>Diabetes</v>
      </c>
    </row>
    <row r="248" spans="1:10" x14ac:dyDescent="0.35">
      <c r="A248" t="s">
        <v>248</v>
      </c>
      <c r="B248">
        <v>29.94</v>
      </c>
      <c r="C248">
        <v>7.59</v>
      </c>
      <c r="D248" t="s">
        <v>2344</v>
      </c>
      <c r="E248" t="s">
        <v>2344</v>
      </c>
      <c r="F248" t="s">
        <v>2344</v>
      </c>
      <c r="G248">
        <v>0</v>
      </c>
      <c r="H248" t="s">
        <v>2346</v>
      </c>
      <c r="I248" t="str">
        <f t="shared" si="6"/>
        <v>Over weight</v>
      </c>
      <c r="J248" t="str">
        <f t="shared" si="7"/>
        <v>Diabetes</v>
      </c>
    </row>
    <row r="249" spans="1:10" x14ac:dyDescent="0.35">
      <c r="A249" t="s">
        <v>249</v>
      </c>
      <c r="B249">
        <v>31.4</v>
      </c>
      <c r="C249">
        <v>5.49</v>
      </c>
      <c r="D249" t="s">
        <v>2344</v>
      </c>
      <c r="E249" t="s">
        <v>2344</v>
      </c>
      <c r="F249" t="s">
        <v>2344</v>
      </c>
      <c r="G249">
        <v>0</v>
      </c>
      <c r="H249" t="s">
        <v>2346</v>
      </c>
      <c r="I249" t="str">
        <f t="shared" si="6"/>
        <v>Obesity</v>
      </c>
      <c r="J249" t="str">
        <f t="shared" si="7"/>
        <v>Normal</v>
      </c>
    </row>
    <row r="250" spans="1:10" x14ac:dyDescent="0.35">
      <c r="A250" t="s">
        <v>250</v>
      </c>
      <c r="B250">
        <v>53.06</v>
      </c>
      <c r="C250">
        <v>11.68</v>
      </c>
      <c r="D250" t="s">
        <v>2344</v>
      </c>
      <c r="E250" t="s">
        <v>2344</v>
      </c>
      <c r="F250" t="s">
        <v>2344</v>
      </c>
      <c r="G250">
        <v>0</v>
      </c>
      <c r="H250" t="s">
        <v>2346</v>
      </c>
      <c r="I250" t="str">
        <f t="shared" si="6"/>
        <v>Obesity</v>
      </c>
      <c r="J250" t="str">
        <f t="shared" si="7"/>
        <v>Diabetes</v>
      </c>
    </row>
    <row r="251" spans="1:10" x14ac:dyDescent="0.35">
      <c r="A251" t="s">
        <v>251</v>
      </c>
      <c r="B251">
        <v>30.25</v>
      </c>
      <c r="C251">
        <v>4.1900000000000004</v>
      </c>
      <c r="D251" t="s">
        <v>2344</v>
      </c>
      <c r="E251" t="s">
        <v>2344</v>
      </c>
      <c r="F251" t="s">
        <v>2344</v>
      </c>
      <c r="G251">
        <v>1</v>
      </c>
      <c r="H251" t="s">
        <v>2346</v>
      </c>
      <c r="I251" t="str">
        <f t="shared" si="6"/>
        <v>Obesity</v>
      </c>
      <c r="J251" t="str">
        <f t="shared" si="7"/>
        <v>Normal</v>
      </c>
    </row>
    <row r="252" spans="1:10" x14ac:dyDescent="0.35">
      <c r="A252" t="s">
        <v>252</v>
      </c>
      <c r="B252">
        <v>46.68</v>
      </c>
      <c r="C252">
        <v>4.01</v>
      </c>
      <c r="D252" t="s">
        <v>2344</v>
      </c>
      <c r="E252" t="s">
        <v>2344</v>
      </c>
      <c r="F252" t="s">
        <v>2344</v>
      </c>
      <c r="G252">
        <v>0</v>
      </c>
      <c r="H252" t="s">
        <v>2346</v>
      </c>
      <c r="I252" t="str">
        <f t="shared" si="6"/>
        <v>Obesity</v>
      </c>
      <c r="J252" t="str">
        <f t="shared" si="7"/>
        <v>Normal</v>
      </c>
    </row>
    <row r="253" spans="1:10" x14ac:dyDescent="0.35">
      <c r="A253" t="s">
        <v>253</v>
      </c>
      <c r="B253">
        <v>30.4</v>
      </c>
      <c r="C253">
        <v>5.91</v>
      </c>
      <c r="D253" t="s">
        <v>2344</v>
      </c>
      <c r="E253" t="s">
        <v>2345</v>
      </c>
      <c r="F253" t="s">
        <v>2344</v>
      </c>
      <c r="G253">
        <v>1</v>
      </c>
      <c r="H253" t="s">
        <v>2346</v>
      </c>
      <c r="I253" t="str">
        <f t="shared" si="6"/>
        <v>Obesity</v>
      </c>
      <c r="J253" t="str">
        <f t="shared" si="7"/>
        <v>Prediabetes</v>
      </c>
    </row>
    <row r="254" spans="1:10" x14ac:dyDescent="0.35">
      <c r="A254" t="s">
        <v>254</v>
      </c>
      <c r="B254">
        <v>30.2</v>
      </c>
      <c r="C254">
        <v>4.47</v>
      </c>
      <c r="D254" t="s">
        <v>2346</v>
      </c>
      <c r="E254" t="s">
        <v>2344</v>
      </c>
      <c r="F254" t="s">
        <v>2346</v>
      </c>
      <c r="G254">
        <v>1</v>
      </c>
      <c r="H254" t="s">
        <v>2346</v>
      </c>
      <c r="I254" t="str">
        <f t="shared" si="6"/>
        <v>Obesity</v>
      </c>
      <c r="J254" t="str">
        <f t="shared" si="7"/>
        <v>Normal</v>
      </c>
    </row>
    <row r="255" spans="1:10" x14ac:dyDescent="0.35">
      <c r="A255" t="s">
        <v>255</v>
      </c>
      <c r="B255">
        <v>51.18</v>
      </c>
      <c r="C255">
        <v>4.5599999999999996</v>
      </c>
      <c r="D255" t="s">
        <v>2346</v>
      </c>
      <c r="E255" t="s">
        <v>2345</v>
      </c>
      <c r="F255" t="s">
        <v>2344</v>
      </c>
      <c r="G255">
        <v>1</v>
      </c>
      <c r="H255" t="s">
        <v>2346</v>
      </c>
      <c r="I255" t="str">
        <f t="shared" si="6"/>
        <v>Obesity</v>
      </c>
      <c r="J255" t="str">
        <f t="shared" si="7"/>
        <v>Normal</v>
      </c>
    </row>
    <row r="256" spans="1:10" x14ac:dyDescent="0.35">
      <c r="A256" t="s">
        <v>256</v>
      </c>
      <c r="B256">
        <v>22.18</v>
      </c>
      <c r="C256">
        <v>9.9</v>
      </c>
      <c r="D256" t="s">
        <v>2344</v>
      </c>
      <c r="E256" t="s">
        <v>2344</v>
      </c>
      <c r="F256" t="s">
        <v>2344</v>
      </c>
      <c r="G256">
        <v>0</v>
      </c>
      <c r="H256" t="s">
        <v>2346</v>
      </c>
      <c r="I256" t="str">
        <f t="shared" si="6"/>
        <v>Normal Weight</v>
      </c>
      <c r="J256" t="str">
        <f t="shared" si="7"/>
        <v>Diabetes</v>
      </c>
    </row>
    <row r="257" spans="1:10" x14ac:dyDescent="0.35">
      <c r="A257" t="s">
        <v>257</v>
      </c>
      <c r="B257">
        <v>31.92</v>
      </c>
      <c r="C257">
        <v>5.1100000000000003</v>
      </c>
      <c r="D257" t="s">
        <v>2344</v>
      </c>
      <c r="E257" t="s">
        <v>2344</v>
      </c>
      <c r="F257" t="s">
        <v>2346</v>
      </c>
      <c r="G257">
        <v>1</v>
      </c>
      <c r="H257" t="s">
        <v>2346</v>
      </c>
      <c r="I257" t="str">
        <f t="shared" si="6"/>
        <v>Obesity</v>
      </c>
      <c r="J257" t="str">
        <f t="shared" si="7"/>
        <v>Normal</v>
      </c>
    </row>
    <row r="258" spans="1:10" x14ac:dyDescent="0.35">
      <c r="A258" t="s">
        <v>258</v>
      </c>
      <c r="B258">
        <v>31.73</v>
      </c>
      <c r="C258">
        <v>5.73</v>
      </c>
      <c r="D258" t="s">
        <v>2344</v>
      </c>
      <c r="E258" t="s">
        <v>2345</v>
      </c>
      <c r="F258" t="s">
        <v>2344</v>
      </c>
      <c r="G258">
        <v>1</v>
      </c>
      <c r="H258" t="s">
        <v>2346</v>
      </c>
      <c r="I258" t="str">
        <f t="shared" si="6"/>
        <v>Obesity</v>
      </c>
      <c r="J258" t="str">
        <f t="shared" si="7"/>
        <v>Prediabetes</v>
      </c>
    </row>
    <row r="259" spans="1:10" x14ac:dyDescent="0.35">
      <c r="A259" t="s">
        <v>259</v>
      </c>
      <c r="B259">
        <v>45.52</v>
      </c>
      <c r="C259">
        <v>6.04</v>
      </c>
      <c r="D259" t="s">
        <v>2344</v>
      </c>
      <c r="E259" t="s">
        <v>2344</v>
      </c>
      <c r="F259" t="s">
        <v>2346</v>
      </c>
      <c r="G259">
        <v>1</v>
      </c>
      <c r="H259" t="s">
        <v>2346</v>
      </c>
      <c r="I259" t="str">
        <f t="shared" ref="I259:I322" si="8">IF(B259&lt;18.5,"Under Weight",IF(B259&lt;25,"Normal Weight",IF(B259&lt;30,"Over weight","Obesity")))</f>
        <v>Obesity</v>
      </c>
      <c r="J259" t="str">
        <f t="shared" ref="J259:J322" si="9">IF(C259&lt;5.7,"Normal",IF(C259&lt;6.5,"Prediabetes","Diabetes"))</f>
        <v>Prediabetes</v>
      </c>
    </row>
    <row r="260" spans="1:10" x14ac:dyDescent="0.35">
      <c r="A260" t="s">
        <v>260</v>
      </c>
      <c r="B260">
        <v>52.81</v>
      </c>
      <c r="C260">
        <v>5.19</v>
      </c>
      <c r="D260" t="s">
        <v>2344</v>
      </c>
      <c r="E260" t="s">
        <v>2344</v>
      </c>
      <c r="F260" t="s">
        <v>2346</v>
      </c>
      <c r="G260">
        <v>1</v>
      </c>
      <c r="H260" t="s">
        <v>2346</v>
      </c>
      <c r="I260" t="str">
        <f t="shared" si="8"/>
        <v>Obesity</v>
      </c>
      <c r="J260" t="str">
        <f t="shared" si="9"/>
        <v>Normal</v>
      </c>
    </row>
    <row r="261" spans="1:10" x14ac:dyDescent="0.35">
      <c r="A261" t="s">
        <v>261</v>
      </c>
      <c r="B261">
        <v>33.58</v>
      </c>
      <c r="C261">
        <v>5.56</v>
      </c>
      <c r="D261" t="s">
        <v>2344</v>
      </c>
      <c r="E261" t="s">
        <v>2344</v>
      </c>
      <c r="F261" t="s">
        <v>2344</v>
      </c>
      <c r="G261">
        <v>1</v>
      </c>
      <c r="H261" t="s">
        <v>2346</v>
      </c>
      <c r="I261" t="str">
        <f t="shared" si="8"/>
        <v>Obesity</v>
      </c>
      <c r="J261" t="str">
        <f t="shared" si="9"/>
        <v>Normal</v>
      </c>
    </row>
    <row r="262" spans="1:10" x14ac:dyDescent="0.35">
      <c r="A262" t="s">
        <v>262</v>
      </c>
      <c r="B262">
        <v>30.684999999999999</v>
      </c>
      <c r="C262">
        <v>8.23</v>
      </c>
      <c r="D262" t="s">
        <v>2344</v>
      </c>
      <c r="E262" t="s">
        <v>2344</v>
      </c>
      <c r="F262" t="s">
        <v>2344</v>
      </c>
      <c r="G262">
        <v>0</v>
      </c>
      <c r="H262" t="s">
        <v>2346</v>
      </c>
      <c r="I262" t="str">
        <f t="shared" si="8"/>
        <v>Obesity</v>
      </c>
      <c r="J262" t="str">
        <f t="shared" si="9"/>
        <v>Diabetes</v>
      </c>
    </row>
    <row r="263" spans="1:10" x14ac:dyDescent="0.35">
      <c r="A263" t="s">
        <v>263</v>
      </c>
      <c r="B263">
        <v>37.524999999999999</v>
      </c>
      <c r="C263">
        <v>9.0299999999999994</v>
      </c>
      <c r="D263" t="s">
        <v>2346</v>
      </c>
      <c r="E263" t="s">
        <v>2344</v>
      </c>
      <c r="F263" t="s">
        <v>2344</v>
      </c>
      <c r="G263">
        <v>1</v>
      </c>
      <c r="H263" t="s">
        <v>2344</v>
      </c>
      <c r="I263" t="str">
        <f t="shared" si="8"/>
        <v>Obesity</v>
      </c>
      <c r="J263" t="str">
        <f t="shared" si="9"/>
        <v>Diabetes</v>
      </c>
    </row>
    <row r="264" spans="1:10" x14ac:dyDescent="0.35">
      <c r="A264" t="s">
        <v>264</v>
      </c>
      <c r="B264">
        <v>34.5</v>
      </c>
      <c r="C264">
        <v>4.07</v>
      </c>
      <c r="D264" t="s">
        <v>2346</v>
      </c>
      <c r="E264" t="s">
        <v>2344</v>
      </c>
      <c r="F264" t="s">
        <v>2344</v>
      </c>
      <c r="G264">
        <v>0</v>
      </c>
      <c r="H264" t="s">
        <v>2346</v>
      </c>
      <c r="I264" t="str">
        <f t="shared" si="8"/>
        <v>Obesity</v>
      </c>
      <c r="J264" t="str">
        <f t="shared" si="9"/>
        <v>Normal</v>
      </c>
    </row>
    <row r="265" spans="1:10" x14ac:dyDescent="0.35">
      <c r="A265" t="s">
        <v>265</v>
      </c>
      <c r="B265">
        <v>28.16</v>
      </c>
      <c r="C265">
        <v>5.77</v>
      </c>
      <c r="D265" t="s">
        <v>2344</v>
      </c>
      <c r="E265" t="s">
        <v>2344</v>
      </c>
      <c r="F265" t="s">
        <v>2344</v>
      </c>
      <c r="G265">
        <v>1</v>
      </c>
      <c r="H265" t="s">
        <v>2346</v>
      </c>
      <c r="I265" t="str">
        <f t="shared" si="8"/>
        <v>Over weight</v>
      </c>
      <c r="J265" t="str">
        <f t="shared" si="9"/>
        <v>Prediabetes</v>
      </c>
    </row>
    <row r="266" spans="1:10" x14ac:dyDescent="0.35">
      <c r="A266" t="s">
        <v>266</v>
      </c>
      <c r="B266">
        <v>30.02</v>
      </c>
      <c r="C266">
        <v>5.98</v>
      </c>
      <c r="D266" t="s">
        <v>2344</v>
      </c>
      <c r="E266" t="s">
        <v>2344</v>
      </c>
      <c r="F266" t="s">
        <v>2346</v>
      </c>
      <c r="G266">
        <v>1</v>
      </c>
      <c r="H266" t="s">
        <v>2346</v>
      </c>
      <c r="I266" t="str">
        <f t="shared" si="8"/>
        <v>Obesity</v>
      </c>
      <c r="J266" t="str">
        <f t="shared" si="9"/>
        <v>Prediabetes</v>
      </c>
    </row>
    <row r="267" spans="1:10" x14ac:dyDescent="0.35">
      <c r="A267" t="s">
        <v>267</v>
      </c>
      <c r="B267">
        <v>37.82</v>
      </c>
      <c r="C267">
        <v>6.01</v>
      </c>
      <c r="D267" t="s">
        <v>2344</v>
      </c>
      <c r="E267" t="s">
        <v>2344</v>
      </c>
      <c r="F267" t="s">
        <v>2344</v>
      </c>
      <c r="G267">
        <v>0</v>
      </c>
      <c r="H267" t="s">
        <v>2346</v>
      </c>
      <c r="I267" t="str">
        <f t="shared" si="8"/>
        <v>Obesity</v>
      </c>
      <c r="J267" t="str">
        <f t="shared" si="9"/>
        <v>Prediabetes</v>
      </c>
    </row>
    <row r="268" spans="1:10" x14ac:dyDescent="0.35">
      <c r="A268" t="s">
        <v>268</v>
      </c>
      <c r="B268">
        <v>33.14</v>
      </c>
      <c r="C268">
        <v>5.67</v>
      </c>
      <c r="D268" t="s">
        <v>2346</v>
      </c>
      <c r="E268" t="s">
        <v>2344</v>
      </c>
      <c r="F268" t="s">
        <v>2344</v>
      </c>
      <c r="G268">
        <v>0</v>
      </c>
      <c r="H268" t="s">
        <v>2346</v>
      </c>
      <c r="I268" t="str">
        <f t="shared" si="8"/>
        <v>Obesity</v>
      </c>
      <c r="J268" t="str">
        <f t="shared" si="9"/>
        <v>Normal</v>
      </c>
    </row>
    <row r="269" spans="1:10" x14ac:dyDescent="0.35">
      <c r="A269" t="s">
        <v>269</v>
      </c>
      <c r="B269">
        <v>25.14</v>
      </c>
      <c r="C269">
        <v>6.02</v>
      </c>
      <c r="D269" t="s">
        <v>2346</v>
      </c>
      <c r="E269" t="s">
        <v>2344</v>
      </c>
      <c r="F269" t="s">
        <v>2346</v>
      </c>
      <c r="G269">
        <v>1</v>
      </c>
      <c r="H269" t="s">
        <v>2346</v>
      </c>
      <c r="I269" t="str">
        <f t="shared" si="8"/>
        <v>Over weight</v>
      </c>
      <c r="J269" t="str">
        <f t="shared" si="9"/>
        <v>Prediabetes</v>
      </c>
    </row>
    <row r="270" spans="1:10" x14ac:dyDescent="0.35">
      <c r="A270" t="s">
        <v>270</v>
      </c>
      <c r="B270">
        <v>20.18</v>
      </c>
      <c r="C270">
        <v>11.19</v>
      </c>
      <c r="D270" t="s">
        <v>2344</v>
      </c>
      <c r="E270" t="s">
        <v>2344</v>
      </c>
      <c r="F270" t="s">
        <v>2344</v>
      </c>
      <c r="G270">
        <v>0</v>
      </c>
      <c r="H270" t="s">
        <v>2346</v>
      </c>
      <c r="I270" t="str">
        <f t="shared" si="8"/>
        <v>Normal Weight</v>
      </c>
      <c r="J270" t="str">
        <f t="shared" si="9"/>
        <v>Diabetes</v>
      </c>
    </row>
    <row r="271" spans="1:10" x14ac:dyDescent="0.35">
      <c r="A271" t="s">
        <v>271</v>
      </c>
      <c r="B271">
        <v>44.36</v>
      </c>
      <c r="C271">
        <v>5.1100000000000003</v>
      </c>
      <c r="D271" t="s">
        <v>2344</v>
      </c>
      <c r="E271" t="s">
        <v>2344</v>
      </c>
      <c r="F271" t="s">
        <v>2344</v>
      </c>
      <c r="G271">
        <v>0</v>
      </c>
      <c r="H271" t="s">
        <v>2346</v>
      </c>
      <c r="I271" t="str">
        <f t="shared" si="8"/>
        <v>Obesity</v>
      </c>
      <c r="J271" t="str">
        <f t="shared" si="9"/>
        <v>Normal</v>
      </c>
    </row>
    <row r="272" spans="1:10" x14ac:dyDescent="0.35">
      <c r="A272" t="s">
        <v>272</v>
      </c>
      <c r="B272">
        <v>23.82</v>
      </c>
      <c r="C272">
        <v>10.85</v>
      </c>
      <c r="D272" t="s">
        <v>2346</v>
      </c>
      <c r="E272" t="s">
        <v>2344</v>
      </c>
      <c r="F272" t="s">
        <v>2344</v>
      </c>
      <c r="G272">
        <v>0</v>
      </c>
      <c r="H272" t="s">
        <v>2346</v>
      </c>
      <c r="I272" t="str">
        <f t="shared" si="8"/>
        <v>Normal Weight</v>
      </c>
      <c r="J272" t="str">
        <f t="shared" si="9"/>
        <v>Diabetes</v>
      </c>
    </row>
    <row r="273" spans="1:10" x14ac:dyDescent="0.35">
      <c r="A273" t="s">
        <v>273</v>
      </c>
      <c r="B273">
        <v>45</v>
      </c>
      <c r="C273">
        <v>5.24</v>
      </c>
      <c r="D273" t="s">
        <v>2346</v>
      </c>
      <c r="E273" t="s">
        <v>2344</v>
      </c>
      <c r="F273" t="s">
        <v>2344</v>
      </c>
      <c r="G273">
        <v>1</v>
      </c>
      <c r="H273" t="s">
        <v>2346</v>
      </c>
      <c r="I273" t="str">
        <f t="shared" si="8"/>
        <v>Obesity</v>
      </c>
      <c r="J273" t="str">
        <f t="shared" si="9"/>
        <v>Normal</v>
      </c>
    </row>
    <row r="274" spans="1:10" x14ac:dyDescent="0.35">
      <c r="A274" t="s">
        <v>274</v>
      </c>
      <c r="B274">
        <v>26.62</v>
      </c>
      <c r="C274">
        <v>10.08</v>
      </c>
      <c r="D274" t="s">
        <v>2344</v>
      </c>
      <c r="E274" t="s">
        <v>2344</v>
      </c>
      <c r="F274" t="s">
        <v>2344</v>
      </c>
      <c r="G274">
        <v>0</v>
      </c>
      <c r="H274" t="s">
        <v>2346</v>
      </c>
      <c r="I274" t="str">
        <f t="shared" si="8"/>
        <v>Over weight</v>
      </c>
      <c r="J274" t="str">
        <f t="shared" si="9"/>
        <v>Diabetes</v>
      </c>
    </row>
    <row r="275" spans="1:10" x14ac:dyDescent="0.35">
      <c r="A275" t="s">
        <v>275</v>
      </c>
      <c r="B275">
        <v>32.67</v>
      </c>
      <c r="C275">
        <v>10.97</v>
      </c>
      <c r="D275" t="s">
        <v>2346</v>
      </c>
      <c r="E275" t="s">
        <v>2344</v>
      </c>
      <c r="F275" t="s">
        <v>2344</v>
      </c>
      <c r="G275">
        <v>0</v>
      </c>
      <c r="H275" t="s">
        <v>2346</v>
      </c>
      <c r="I275" t="str">
        <f t="shared" si="8"/>
        <v>Obesity</v>
      </c>
      <c r="J275" t="str">
        <f t="shared" si="9"/>
        <v>Diabetes</v>
      </c>
    </row>
    <row r="276" spans="1:10" x14ac:dyDescent="0.35">
      <c r="A276" t="s">
        <v>276</v>
      </c>
      <c r="B276">
        <v>44.44</v>
      </c>
      <c r="C276">
        <v>4.9000000000000004</v>
      </c>
      <c r="D276" t="s">
        <v>2346</v>
      </c>
      <c r="E276" t="s">
        <v>2344</v>
      </c>
      <c r="F276" t="s">
        <v>2344</v>
      </c>
      <c r="G276">
        <v>1</v>
      </c>
      <c r="H276" t="s">
        <v>2346</v>
      </c>
      <c r="I276" t="str">
        <f t="shared" si="8"/>
        <v>Obesity</v>
      </c>
      <c r="J276" t="str">
        <f t="shared" si="9"/>
        <v>Normal</v>
      </c>
    </row>
    <row r="277" spans="1:10" x14ac:dyDescent="0.35">
      <c r="A277" t="s">
        <v>277</v>
      </c>
      <c r="B277">
        <v>28.31</v>
      </c>
      <c r="C277">
        <v>5.33</v>
      </c>
      <c r="D277" t="s">
        <v>2344</v>
      </c>
      <c r="E277" t="s">
        <v>2344</v>
      </c>
      <c r="F277" t="s">
        <v>2344</v>
      </c>
      <c r="G277">
        <v>0</v>
      </c>
      <c r="H277" t="s">
        <v>2346</v>
      </c>
      <c r="I277" t="str">
        <f t="shared" si="8"/>
        <v>Over weight</v>
      </c>
      <c r="J277" t="str">
        <f t="shared" si="9"/>
        <v>Normal</v>
      </c>
    </row>
    <row r="278" spans="1:10" x14ac:dyDescent="0.35">
      <c r="A278" t="s">
        <v>278</v>
      </c>
      <c r="B278">
        <v>25.05</v>
      </c>
      <c r="C278">
        <v>4.6100000000000003</v>
      </c>
      <c r="D278" t="s">
        <v>2344</v>
      </c>
      <c r="E278" t="s">
        <v>2344</v>
      </c>
      <c r="F278" t="s">
        <v>2344</v>
      </c>
      <c r="G278">
        <v>1</v>
      </c>
      <c r="H278" t="s">
        <v>2346</v>
      </c>
      <c r="I278" t="str">
        <f t="shared" si="8"/>
        <v>Over weight</v>
      </c>
      <c r="J278" t="str">
        <f t="shared" si="9"/>
        <v>Normal</v>
      </c>
    </row>
    <row r="279" spans="1:10" x14ac:dyDescent="0.35">
      <c r="A279" t="s">
        <v>279</v>
      </c>
      <c r="B279">
        <v>28.34</v>
      </c>
      <c r="C279">
        <v>8.18</v>
      </c>
      <c r="D279" t="s">
        <v>2344</v>
      </c>
      <c r="E279" t="s">
        <v>2344</v>
      </c>
      <c r="F279" t="s">
        <v>2344</v>
      </c>
      <c r="G279">
        <v>0</v>
      </c>
      <c r="H279" t="s">
        <v>2346</v>
      </c>
      <c r="I279" t="str">
        <f t="shared" si="8"/>
        <v>Over weight</v>
      </c>
      <c r="J279" t="str">
        <f t="shared" si="9"/>
        <v>Diabetes</v>
      </c>
    </row>
    <row r="280" spans="1:10" x14ac:dyDescent="0.35">
      <c r="A280" t="s">
        <v>280</v>
      </c>
      <c r="B280">
        <v>17.765000000000001</v>
      </c>
      <c r="C280">
        <v>5.62</v>
      </c>
      <c r="D280" t="s">
        <v>2344</v>
      </c>
      <c r="E280" t="s">
        <v>2344</v>
      </c>
      <c r="F280" t="s">
        <v>2344</v>
      </c>
      <c r="G280">
        <v>0</v>
      </c>
      <c r="H280" t="s">
        <v>2346</v>
      </c>
      <c r="I280" t="str">
        <f t="shared" si="8"/>
        <v>Under Weight</v>
      </c>
      <c r="J280" t="str">
        <f t="shared" si="9"/>
        <v>Normal</v>
      </c>
    </row>
    <row r="281" spans="1:10" x14ac:dyDescent="0.35">
      <c r="A281" t="s">
        <v>281</v>
      </c>
      <c r="B281">
        <v>36.119999999999997</v>
      </c>
      <c r="C281">
        <v>5.82</v>
      </c>
      <c r="D281" t="s">
        <v>2344</v>
      </c>
      <c r="E281" t="s">
        <v>2344</v>
      </c>
      <c r="F281" t="s">
        <v>2344</v>
      </c>
      <c r="G281">
        <v>0</v>
      </c>
      <c r="H281" t="s">
        <v>2346</v>
      </c>
      <c r="I281" t="str">
        <f t="shared" si="8"/>
        <v>Obesity</v>
      </c>
      <c r="J281" t="str">
        <f t="shared" si="9"/>
        <v>Prediabetes</v>
      </c>
    </row>
    <row r="282" spans="1:10" x14ac:dyDescent="0.35">
      <c r="A282" t="s">
        <v>282</v>
      </c>
      <c r="B282">
        <v>23.19</v>
      </c>
      <c r="C282">
        <v>7.66</v>
      </c>
      <c r="D282" t="s">
        <v>2344</v>
      </c>
      <c r="E282" t="s">
        <v>2344</v>
      </c>
      <c r="F282" t="s">
        <v>2344</v>
      </c>
      <c r="G282">
        <v>0</v>
      </c>
      <c r="H282" t="s">
        <v>2346</v>
      </c>
      <c r="I282" t="str">
        <f t="shared" si="8"/>
        <v>Normal Weight</v>
      </c>
      <c r="J282" t="str">
        <f t="shared" si="9"/>
        <v>Diabetes</v>
      </c>
    </row>
    <row r="283" spans="1:10" x14ac:dyDescent="0.35">
      <c r="A283" t="s">
        <v>283</v>
      </c>
      <c r="B283">
        <v>35.99</v>
      </c>
      <c r="C283">
        <v>4.2300000000000004</v>
      </c>
      <c r="D283" t="s">
        <v>2344</v>
      </c>
      <c r="E283" t="s">
        <v>2344</v>
      </c>
      <c r="F283" t="s">
        <v>2344</v>
      </c>
      <c r="G283">
        <v>0</v>
      </c>
      <c r="H283" t="s">
        <v>2346</v>
      </c>
      <c r="I283" t="str">
        <f t="shared" si="8"/>
        <v>Obesity</v>
      </c>
      <c r="J283" t="str">
        <f t="shared" si="9"/>
        <v>Normal</v>
      </c>
    </row>
    <row r="284" spans="1:10" x14ac:dyDescent="0.35">
      <c r="A284" t="s">
        <v>284</v>
      </c>
      <c r="B284">
        <v>30.25</v>
      </c>
      <c r="C284">
        <v>5.58</v>
      </c>
      <c r="D284" t="s">
        <v>2344</v>
      </c>
      <c r="E284" t="s">
        <v>2344</v>
      </c>
      <c r="F284" t="s">
        <v>2346</v>
      </c>
      <c r="G284">
        <v>1</v>
      </c>
      <c r="H284" t="s">
        <v>2346</v>
      </c>
      <c r="I284" t="str">
        <f t="shared" si="8"/>
        <v>Obesity</v>
      </c>
      <c r="J284" t="str">
        <f t="shared" si="9"/>
        <v>Normal</v>
      </c>
    </row>
    <row r="285" spans="1:10" x14ac:dyDescent="0.35">
      <c r="A285" t="s">
        <v>285</v>
      </c>
      <c r="B285">
        <v>26.24</v>
      </c>
      <c r="C285">
        <v>6.26</v>
      </c>
      <c r="D285" t="s">
        <v>2346</v>
      </c>
      <c r="E285" t="s">
        <v>2344</v>
      </c>
      <c r="F285" t="s">
        <v>2344</v>
      </c>
      <c r="G285">
        <v>0</v>
      </c>
      <c r="H285" t="s">
        <v>2346</v>
      </c>
      <c r="I285" t="str">
        <f t="shared" si="8"/>
        <v>Over weight</v>
      </c>
      <c r="J285" t="str">
        <f t="shared" si="9"/>
        <v>Prediabetes</v>
      </c>
    </row>
    <row r="286" spans="1:10" x14ac:dyDescent="0.35">
      <c r="A286" t="s">
        <v>286</v>
      </c>
      <c r="B286">
        <v>31.36</v>
      </c>
      <c r="C286">
        <v>10.6</v>
      </c>
      <c r="D286" t="s">
        <v>2346</v>
      </c>
      <c r="E286" t="s">
        <v>2344</v>
      </c>
      <c r="F286" t="s">
        <v>2344</v>
      </c>
      <c r="G286">
        <v>0</v>
      </c>
      <c r="H286" t="s">
        <v>2346</v>
      </c>
      <c r="I286" t="str">
        <f t="shared" si="8"/>
        <v>Obesity</v>
      </c>
      <c r="J286" t="str">
        <f t="shared" si="9"/>
        <v>Diabetes</v>
      </c>
    </row>
    <row r="287" spans="1:10" x14ac:dyDescent="0.35">
      <c r="A287" t="s">
        <v>287</v>
      </c>
      <c r="B287">
        <v>25.69</v>
      </c>
      <c r="C287">
        <v>4.78</v>
      </c>
      <c r="D287" t="s">
        <v>2346</v>
      </c>
      <c r="E287" t="s">
        <v>2344</v>
      </c>
      <c r="F287" t="s">
        <v>2344</v>
      </c>
      <c r="G287">
        <v>0</v>
      </c>
      <c r="H287" t="s">
        <v>2346</v>
      </c>
      <c r="I287" t="str">
        <f t="shared" si="8"/>
        <v>Over weight</v>
      </c>
      <c r="J287" t="str">
        <f t="shared" si="9"/>
        <v>Normal</v>
      </c>
    </row>
    <row r="288" spans="1:10" x14ac:dyDescent="0.35">
      <c r="A288" t="s">
        <v>288</v>
      </c>
      <c r="B288">
        <v>25.46</v>
      </c>
      <c r="C288">
        <v>6.03</v>
      </c>
      <c r="D288" t="s">
        <v>2344</v>
      </c>
      <c r="E288" t="s">
        <v>2344</v>
      </c>
      <c r="F288" t="s">
        <v>2344</v>
      </c>
      <c r="G288">
        <v>1</v>
      </c>
      <c r="H288" t="s">
        <v>2346</v>
      </c>
      <c r="I288" t="str">
        <f t="shared" si="8"/>
        <v>Over weight</v>
      </c>
      <c r="J288" t="str">
        <f t="shared" si="9"/>
        <v>Prediabetes</v>
      </c>
    </row>
    <row r="289" spans="1:10" x14ac:dyDescent="0.35">
      <c r="A289" t="s">
        <v>289</v>
      </c>
      <c r="B289">
        <v>31.83</v>
      </c>
      <c r="C289">
        <v>11.55</v>
      </c>
      <c r="D289" t="s">
        <v>2346</v>
      </c>
      <c r="E289" t="s">
        <v>2344</v>
      </c>
      <c r="F289" t="s">
        <v>2344</v>
      </c>
      <c r="G289">
        <v>1</v>
      </c>
      <c r="H289" t="s">
        <v>2346</v>
      </c>
      <c r="I289" t="str">
        <f t="shared" si="8"/>
        <v>Obesity</v>
      </c>
      <c r="J289" t="str">
        <f t="shared" si="9"/>
        <v>Diabetes</v>
      </c>
    </row>
    <row r="290" spans="1:10" x14ac:dyDescent="0.35">
      <c r="A290" t="s">
        <v>290</v>
      </c>
      <c r="B290">
        <v>24.43</v>
      </c>
      <c r="C290">
        <v>7.59</v>
      </c>
      <c r="D290" t="s">
        <v>2346</v>
      </c>
      <c r="E290" t="s">
        <v>2344</v>
      </c>
      <c r="F290" t="s">
        <v>2344</v>
      </c>
      <c r="G290">
        <v>1</v>
      </c>
      <c r="H290" t="s">
        <v>2346</v>
      </c>
      <c r="I290" t="str">
        <f t="shared" si="8"/>
        <v>Normal Weight</v>
      </c>
      <c r="J290" t="str">
        <f t="shared" si="9"/>
        <v>Diabetes</v>
      </c>
    </row>
    <row r="291" spans="1:10" x14ac:dyDescent="0.35">
      <c r="A291" t="s">
        <v>291</v>
      </c>
      <c r="B291">
        <v>41.9</v>
      </c>
      <c r="C291">
        <v>4.26</v>
      </c>
      <c r="D291" t="s">
        <v>2344</v>
      </c>
      <c r="E291" t="s">
        <v>2344</v>
      </c>
      <c r="F291" t="s">
        <v>2344</v>
      </c>
      <c r="G291">
        <v>0</v>
      </c>
      <c r="H291" t="s">
        <v>2346</v>
      </c>
      <c r="I291" t="str">
        <f t="shared" si="8"/>
        <v>Obesity</v>
      </c>
      <c r="J291" t="str">
        <f t="shared" si="9"/>
        <v>Normal</v>
      </c>
    </row>
    <row r="292" spans="1:10" x14ac:dyDescent="0.35">
      <c r="A292" t="s">
        <v>292</v>
      </c>
      <c r="B292">
        <v>22.88</v>
      </c>
      <c r="C292">
        <v>5.9</v>
      </c>
      <c r="D292" t="s">
        <v>2346</v>
      </c>
      <c r="E292" t="s">
        <v>2344</v>
      </c>
      <c r="F292" t="s">
        <v>2346</v>
      </c>
      <c r="G292">
        <v>1</v>
      </c>
      <c r="H292" t="s">
        <v>2346</v>
      </c>
      <c r="I292" t="str">
        <f t="shared" si="8"/>
        <v>Normal Weight</v>
      </c>
      <c r="J292" t="str">
        <f t="shared" si="9"/>
        <v>Prediabetes</v>
      </c>
    </row>
    <row r="293" spans="1:10" x14ac:dyDescent="0.35">
      <c r="A293" t="s">
        <v>293</v>
      </c>
      <c r="B293">
        <v>29.734999999999999</v>
      </c>
      <c r="C293">
        <v>7.79</v>
      </c>
      <c r="D293" t="s">
        <v>2344</v>
      </c>
      <c r="E293" t="s">
        <v>2344</v>
      </c>
      <c r="F293" t="s">
        <v>2344</v>
      </c>
      <c r="G293">
        <v>0</v>
      </c>
      <c r="H293" t="s">
        <v>2344</v>
      </c>
      <c r="I293" t="str">
        <f t="shared" si="8"/>
        <v>Over weight</v>
      </c>
      <c r="J293" t="str">
        <f t="shared" si="9"/>
        <v>Diabetes</v>
      </c>
    </row>
    <row r="294" spans="1:10" x14ac:dyDescent="0.35">
      <c r="A294" t="s">
        <v>294</v>
      </c>
      <c r="B294">
        <v>40.74</v>
      </c>
      <c r="C294">
        <v>5.28</v>
      </c>
      <c r="D294" t="s">
        <v>2344</v>
      </c>
      <c r="E294" t="s">
        <v>2344</v>
      </c>
      <c r="F294" t="s">
        <v>2346</v>
      </c>
      <c r="G294">
        <v>1</v>
      </c>
      <c r="H294" t="s">
        <v>2346</v>
      </c>
      <c r="I294" t="str">
        <f t="shared" si="8"/>
        <v>Obesity</v>
      </c>
      <c r="J294" t="str">
        <f t="shared" si="9"/>
        <v>Normal</v>
      </c>
    </row>
    <row r="295" spans="1:10" x14ac:dyDescent="0.35">
      <c r="A295" t="s">
        <v>295</v>
      </c>
      <c r="B295">
        <v>24.14</v>
      </c>
      <c r="C295">
        <v>5.87</v>
      </c>
      <c r="D295" t="s">
        <v>2344</v>
      </c>
      <c r="E295" t="s">
        <v>2344</v>
      </c>
      <c r="F295" t="s">
        <v>2344</v>
      </c>
      <c r="G295">
        <v>1</v>
      </c>
      <c r="H295" t="s">
        <v>2346</v>
      </c>
      <c r="I295" t="str">
        <f t="shared" si="8"/>
        <v>Normal Weight</v>
      </c>
      <c r="J295" t="str">
        <f t="shared" si="9"/>
        <v>Prediabetes</v>
      </c>
    </row>
    <row r="296" spans="1:10" x14ac:dyDescent="0.35">
      <c r="A296" t="s">
        <v>296</v>
      </c>
      <c r="B296">
        <v>25.15</v>
      </c>
      <c r="C296">
        <v>9.08</v>
      </c>
      <c r="D296" t="s">
        <v>2346</v>
      </c>
      <c r="E296" t="s">
        <v>2344</v>
      </c>
      <c r="F296" t="s">
        <v>2344</v>
      </c>
      <c r="G296">
        <v>1</v>
      </c>
      <c r="H296" t="s">
        <v>2346</v>
      </c>
      <c r="I296" t="str">
        <f t="shared" si="8"/>
        <v>Over weight</v>
      </c>
      <c r="J296" t="str">
        <f t="shared" si="9"/>
        <v>Diabetes</v>
      </c>
    </row>
    <row r="297" spans="1:10" x14ac:dyDescent="0.35">
      <c r="A297" t="s">
        <v>297</v>
      </c>
      <c r="B297">
        <v>28.71</v>
      </c>
      <c r="C297">
        <v>5.2</v>
      </c>
      <c r="D297" t="s">
        <v>2344</v>
      </c>
      <c r="E297" t="s">
        <v>2344</v>
      </c>
      <c r="F297" t="s">
        <v>2344</v>
      </c>
      <c r="G297">
        <v>1</v>
      </c>
      <c r="H297" t="s">
        <v>2346</v>
      </c>
      <c r="I297" t="str">
        <f t="shared" si="8"/>
        <v>Over weight</v>
      </c>
      <c r="J297" t="str">
        <f t="shared" si="9"/>
        <v>Normal</v>
      </c>
    </row>
    <row r="298" spans="1:10" x14ac:dyDescent="0.35">
      <c r="A298" t="s">
        <v>298</v>
      </c>
      <c r="B298">
        <v>23</v>
      </c>
      <c r="C298">
        <v>5.48</v>
      </c>
      <c r="D298" t="s">
        <v>2344</v>
      </c>
      <c r="E298" t="s">
        <v>2344</v>
      </c>
      <c r="F298" t="s">
        <v>2344</v>
      </c>
      <c r="G298">
        <v>0</v>
      </c>
      <c r="H298" t="s">
        <v>2346</v>
      </c>
      <c r="I298" t="str">
        <f t="shared" si="8"/>
        <v>Normal Weight</v>
      </c>
      <c r="J298" t="str">
        <f t="shared" si="9"/>
        <v>Normal</v>
      </c>
    </row>
    <row r="299" spans="1:10" x14ac:dyDescent="0.35">
      <c r="A299" t="s">
        <v>299</v>
      </c>
      <c r="B299">
        <v>36.86</v>
      </c>
      <c r="C299">
        <v>11.95</v>
      </c>
      <c r="D299" t="s">
        <v>2344</v>
      </c>
      <c r="E299" t="s">
        <v>2344</v>
      </c>
      <c r="F299" t="s">
        <v>2344</v>
      </c>
      <c r="G299">
        <v>0</v>
      </c>
      <c r="H299" t="s">
        <v>2344</v>
      </c>
      <c r="I299" t="str">
        <f t="shared" si="8"/>
        <v>Obesity</v>
      </c>
      <c r="J299" t="str">
        <f t="shared" si="9"/>
        <v>Diabetes</v>
      </c>
    </row>
    <row r="300" spans="1:10" x14ac:dyDescent="0.35">
      <c r="A300" t="s">
        <v>300</v>
      </c>
      <c r="B300">
        <v>24.25</v>
      </c>
      <c r="C300">
        <v>8.6999999999999993</v>
      </c>
      <c r="D300" t="s">
        <v>2346</v>
      </c>
      <c r="E300" t="s">
        <v>2344</v>
      </c>
      <c r="F300" t="s">
        <v>2344</v>
      </c>
      <c r="G300">
        <v>1</v>
      </c>
      <c r="H300" t="s">
        <v>2346</v>
      </c>
      <c r="I300" t="str">
        <f t="shared" si="8"/>
        <v>Normal Weight</v>
      </c>
      <c r="J300" t="str">
        <f t="shared" si="9"/>
        <v>Diabetes</v>
      </c>
    </row>
    <row r="301" spans="1:10" x14ac:dyDescent="0.35">
      <c r="A301" t="s">
        <v>301</v>
      </c>
      <c r="B301">
        <v>23.85</v>
      </c>
      <c r="C301">
        <v>7.84</v>
      </c>
      <c r="D301" t="s">
        <v>2344</v>
      </c>
      <c r="E301" t="s">
        <v>2344</v>
      </c>
      <c r="F301" t="s">
        <v>2344</v>
      </c>
      <c r="G301">
        <v>0</v>
      </c>
      <c r="H301" t="s">
        <v>2346</v>
      </c>
      <c r="I301" t="str">
        <f t="shared" si="8"/>
        <v>Normal Weight</v>
      </c>
      <c r="J301" t="str">
        <f t="shared" si="9"/>
        <v>Diabetes</v>
      </c>
    </row>
    <row r="302" spans="1:10" x14ac:dyDescent="0.35">
      <c r="A302" t="s">
        <v>302</v>
      </c>
      <c r="B302">
        <v>40.020000000000003</v>
      </c>
      <c r="C302">
        <v>5.19</v>
      </c>
      <c r="D302" t="s">
        <v>2346</v>
      </c>
      <c r="E302" t="s">
        <v>2344</v>
      </c>
      <c r="F302" t="s">
        <v>2344</v>
      </c>
      <c r="G302">
        <v>1</v>
      </c>
      <c r="H302" t="s">
        <v>2346</v>
      </c>
      <c r="I302" t="str">
        <f t="shared" si="8"/>
        <v>Obesity</v>
      </c>
      <c r="J302" t="str">
        <f t="shared" si="9"/>
        <v>Normal</v>
      </c>
    </row>
    <row r="303" spans="1:10" x14ac:dyDescent="0.35">
      <c r="A303" t="s">
        <v>303</v>
      </c>
      <c r="B303">
        <v>19.170000000000002</v>
      </c>
      <c r="C303">
        <v>8.41</v>
      </c>
      <c r="D303" t="s">
        <v>2344</v>
      </c>
      <c r="E303" t="s">
        <v>2344</v>
      </c>
      <c r="F303" t="s">
        <v>2344</v>
      </c>
      <c r="G303">
        <v>0</v>
      </c>
      <c r="H303" t="s">
        <v>2346</v>
      </c>
      <c r="I303" t="str">
        <f t="shared" si="8"/>
        <v>Normal Weight</v>
      </c>
      <c r="J303" t="str">
        <f t="shared" si="9"/>
        <v>Diabetes</v>
      </c>
    </row>
    <row r="304" spans="1:10" x14ac:dyDescent="0.35">
      <c r="A304" t="s">
        <v>304</v>
      </c>
      <c r="B304">
        <v>43.53</v>
      </c>
      <c r="C304">
        <v>5.86</v>
      </c>
      <c r="D304" t="s">
        <v>2346</v>
      </c>
      <c r="E304" t="s">
        <v>2345</v>
      </c>
      <c r="F304" t="s">
        <v>2344</v>
      </c>
      <c r="G304">
        <v>1</v>
      </c>
      <c r="H304" t="s">
        <v>2346</v>
      </c>
      <c r="I304" t="str">
        <f t="shared" si="8"/>
        <v>Obesity</v>
      </c>
      <c r="J304" t="str">
        <f t="shared" si="9"/>
        <v>Prediabetes</v>
      </c>
    </row>
    <row r="305" spans="1:10" x14ac:dyDescent="0.35">
      <c r="A305" t="s">
        <v>305</v>
      </c>
      <c r="B305">
        <v>46.06</v>
      </c>
      <c r="C305">
        <v>4.18</v>
      </c>
      <c r="D305" t="s">
        <v>2344</v>
      </c>
      <c r="E305" t="s">
        <v>2345</v>
      </c>
      <c r="F305" t="s">
        <v>2344</v>
      </c>
      <c r="G305">
        <v>1</v>
      </c>
      <c r="H305" t="s">
        <v>2346</v>
      </c>
      <c r="I305" t="str">
        <f t="shared" si="8"/>
        <v>Obesity</v>
      </c>
      <c r="J305" t="str">
        <f t="shared" si="9"/>
        <v>Normal</v>
      </c>
    </row>
    <row r="306" spans="1:10" x14ac:dyDescent="0.35">
      <c r="A306" t="s">
        <v>306</v>
      </c>
      <c r="B306">
        <v>29.92</v>
      </c>
      <c r="C306">
        <v>11.99</v>
      </c>
      <c r="D306" t="s">
        <v>2346</v>
      </c>
      <c r="E306" t="s">
        <v>2344</v>
      </c>
      <c r="F306" t="s">
        <v>2344</v>
      </c>
      <c r="G306">
        <v>1</v>
      </c>
      <c r="H306" t="s">
        <v>2346</v>
      </c>
      <c r="I306" t="str">
        <f t="shared" si="8"/>
        <v>Over weight</v>
      </c>
      <c r="J306" t="str">
        <f t="shared" si="9"/>
        <v>Diabetes</v>
      </c>
    </row>
    <row r="307" spans="1:10" x14ac:dyDescent="0.35">
      <c r="A307" t="s">
        <v>307</v>
      </c>
      <c r="B307">
        <v>28.46</v>
      </c>
      <c r="C307">
        <v>4.8499999999999996</v>
      </c>
      <c r="D307" t="s">
        <v>2346</v>
      </c>
      <c r="E307" t="s">
        <v>2344</v>
      </c>
      <c r="F307" t="s">
        <v>2344</v>
      </c>
      <c r="G307">
        <v>1</v>
      </c>
      <c r="H307" t="s">
        <v>2346</v>
      </c>
      <c r="I307" t="str">
        <f t="shared" si="8"/>
        <v>Over weight</v>
      </c>
      <c r="J307" t="str">
        <f t="shared" si="9"/>
        <v>Normal</v>
      </c>
    </row>
    <row r="308" spans="1:10" x14ac:dyDescent="0.35">
      <c r="A308" t="s">
        <v>308</v>
      </c>
      <c r="B308">
        <v>24.56</v>
      </c>
      <c r="C308">
        <v>6.18</v>
      </c>
      <c r="D308" t="s">
        <v>2346</v>
      </c>
      <c r="E308" t="s">
        <v>2344</v>
      </c>
      <c r="F308" t="s">
        <v>2346</v>
      </c>
      <c r="G308">
        <v>1</v>
      </c>
      <c r="H308" t="s">
        <v>2346</v>
      </c>
      <c r="I308" t="str">
        <f t="shared" si="8"/>
        <v>Normal Weight</v>
      </c>
      <c r="J308" t="str">
        <f t="shared" si="9"/>
        <v>Prediabetes</v>
      </c>
    </row>
    <row r="309" spans="1:10" x14ac:dyDescent="0.35">
      <c r="A309" t="s">
        <v>309</v>
      </c>
      <c r="B309">
        <v>41.19</v>
      </c>
      <c r="C309">
        <v>6.37</v>
      </c>
      <c r="D309" t="s">
        <v>2344</v>
      </c>
      <c r="E309" t="s">
        <v>2344</v>
      </c>
      <c r="F309" t="s">
        <v>2344</v>
      </c>
      <c r="G309">
        <v>0</v>
      </c>
      <c r="H309" t="s">
        <v>2346</v>
      </c>
      <c r="I309" t="str">
        <f t="shared" si="8"/>
        <v>Obesity</v>
      </c>
      <c r="J309" t="str">
        <f t="shared" si="9"/>
        <v>Prediabetes</v>
      </c>
    </row>
    <row r="310" spans="1:10" x14ac:dyDescent="0.35">
      <c r="A310" t="s">
        <v>310</v>
      </c>
      <c r="B310">
        <v>18.63</v>
      </c>
      <c r="C310">
        <v>9.81</v>
      </c>
      <c r="D310" t="s">
        <v>2346</v>
      </c>
      <c r="E310" t="s">
        <v>2344</v>
      </c>
      <c r="F310" t="s">
        <v>2344</v>
      </c>
      <c r="G310">
        <v>1</v>
      </c>
      <c r="H310" t="s">
        <v>2346</v>
      </c>
      <c r="I310" t="str">
        <f t="shared" si="8"/>
        <v>Normal Weight</v>
      </c>
      <c r="J310" t="str">
        <f t="shared" si="9"/>
        <v>Diabetes</v>
      </c>
    </row>
    <row r="311" spans="1:10" x14ac:dyDescent="0.35">
      <c r="A311" t="s">
        <v>311</v>
      </c>
      <c r="B311">
        <v>26.26</v>
      </c>
      <c r="C311">
        <v>11.8</v>
      </c>
      <c r="D311" t="s">
        <v>2346</v>
      </c>
      <c r="E311" t="s">
        <v>2344</v>
      </c>
      <c r="F311" t="s">
        <v>2344</v>
      </c>
      <c r="G311">
        <v>1</v>
      </c>
      <c r="H311" t="s">
        <v>2346</v>
      </c>
      <c r="I311" t="str">
        <f t="shared" si="8"/>
        <v>Over weight</v>
      </c>
      <c r="J311" t="str">
        <f t="shared" si="9"/>
        <v>Diabetes</v>
      </c>
    </row>
    <row r="312" spans="1:10" x14ac:dyDescent="0.35">
      <c r="A312" t="s">
        <v>312</v>
      </c>
      <c r="B312">
        <v>22.37</v>
      </c>
      <c r="C312">
        <v>5.86</v>
      </c>
      <c r="D312" t="s">
        <v>2346</v>
      </c>
      <c r="E312" t="s">
        <v>2344</v>
      </c>
      <c r="F312" t="s">
        <v>2346</v>
      </c>
      <c r="G312">
        <v>1</v>
      </c>
      <c r="H312" t="s">
        <v>2346</v>
      </c>
      <c r="I312" t="str">
        <f t="shared" si="8"/>
        <v>Normal Weight</v>
      </c>
      <c r="J312" t="str">
        <f t="shared" si="9"/>
        <v>Prediabetes</v>
      </c>
    </row>
    <row r="313" spans="1:10" x14ac:dyDescent="0.35">
      <c r="A313" t="s">
        <v>313</v>
      </c>
      <c r="B313">
        <v>39.619999999999997</v>
      </c>
      <c r="C313">
        <v>4.28</v>
      </c>
      <c r="D313" t="s">
        <v>2344</v>
      </c>
      <c r="E313" t="s">
        <v>2344</v>
      </c>
      <c r="F313" t="s">
        <v>2344</v>
      </c>
      <c r="G313">
        <v>1</v>
      </c>
      <c r="H313" t="s">
        <v>2346</v>
      </c>
      <c r="I313" t="str">
        <f t="shared" si="8"/>
        <v>Obesity</v>
      </c>
      <c r="J313" t="str">
        <f t="shared" si="9"/>
        <v>Normal</v>
      </c>
    </row>
    <row r="314" spans="1:10" x14ac:dyDescent="0.35">
      <c r="A314" t="s">
        <v>314</v>
      </c>
      <c r="B314">
        <v>18.329999999999998</v>
      </c>
      <c r="C314">
        <v>4.16</v>
      </c>
      <c r="D314" t="s">
        <v>2346</v>
      </c>
      <c r="E314" t="s">
        <v>2344</v>
      </c>
      <c r="F314" t="s">
        <v>2344</v>
      </c>
      <c r="G314">
        <v>0</v>
      </c>
      <c r="H314" t="s">
        <v>2346</v>
      </c>
      <c r="I314" t="str">
        <f t="shared" si="8"/>
        <v>Under Weight</v>
      </c>
      <c r="J314" t="str">
        <f t="shared" si="9"/>
        <v>Normal</v>
      </c>
    </row>
    <row r="315" spans="1:10" x14ac:dyDescent="0.35">
      <c r="A315" t="s">
        <v>315</v>
      </c>
      <c r="B315">
        <v>17.11</v>
      </c>
      <c r="C315">
        <v>4.9800000000000004</v>
      </c>
      <c r="D315" t="s">
        <v>2346</v>
      </c>
      <c r="E315" t="s">
        <v>2344</v>
      </c>
      <c r="F315" t="s">
        <v>2346</v>
      </c>
      <c r="G315">
        <v>1</v>
      </c>
      <c r="H315" t="s">
        <v>2346</v>
      </c>
      <c r="I315" t="str">
        <f t="shared" si="8"/>
        <v>Under Weight</v>
      </c>
      <c r="J315" t="str">
        <f t="shared" si="9"/>
        <v>Normal</v>
      </c>
    </row>
    <row r="316" spans="1:10" x14ac:dyDescent="0.35">
      <c r="A316" t="s">
        <v>316</v>
      </c>
      <c r="B316">
        <v>43.5</v>
      </c>
      <c r="C316">
        <v>6.38</v>
      </c>
      <c r="D316" t="s">
        <v>2344</v>
      </c>
      <c r="E316" t="s">
        <v>2345</v>
      </c>
      <c r="F316" t="s">
        <v>2344</v>
      </c>
      <c r="G316">
        <v>1</v>
      </c>
      <c r="H316" t="s">
        <v>2346</v>
      </c>
      <c r="I316" t="str">
        <f t="shared" si="8"/>
        <v>Obesity</v>
      </c>
      <c r="J316" t="str">
        <f t="shared" si="9"/>
        <v>Prediabetes</v>
      </c>
    </row>
    <row r="317" spans="1:10" x14ac:dyDescent="0.35">
      <c r="A317" t="s">
        <v>317</v>
      </c>
      <c r="B317">
        <v>25.364999999999998</v>
      </c>
      <c r="C317">
        <v>5.19</v>
      </c>
      <c r="D317" t="s">
        <v>2344</v>
      </c>
      <c r="E317" t="s">
        <v>2344</v>
      </c>
      <c r="F317" t="s">
        <v>2344</v>
      </c>
      <c r="G317">
        <v>1</v>
      </c>
      <c r="H317" t="s">
        <v>2344</v>
      </c>
      <c r="I317" t="str">
        <f t="shared" si="8"/>
        <v>Over weight</v>
      </c>
      <c r="J317" t="str">
        <f t="shared" si="9"/>
        <v>Normal</v>
      </c>
    </row>
    <row r="318" spans="1:10" x14ac:dyDescent="0.35">
      <c r="A318" t="s">
        <v>318</v>
      </c>
      <c r="B318">
        <v>28.594999999999999</v>
      </c>
      <c r="C318">
        <v>10.210000000000001</v>
      </c>
      <c r="D318" t="s">
        <v>2344</v>
      </c>
      <c r="E318" t="s">
        <v>2344</v>
      </c>
      <c r="F318" t="s">
        <v>2344</v>
      </c>
      <c r="G318">
        <v>0</v>
      </c>
      <c r="H318" t="s">
        <v>2344</v>
      </c>
      <c r="I318" t="str">
        <f t="shared" si="8"/>
        <v>Over weight</v>
      </c>
      <c r="J318" t="str">
        <f t="shared" si="9"/>
        <v>Diabetes</v>
      </c>
    </row>
    <row r="319" spans="1:10" x14ac:dyDescent="0.35">
      <c r="A319" t="s">
        <v>319</v>
      </c>
      <c r="B319">
        <v>29.83</v>
      </c>
      <c r="C319">
        <v>9.6999999999999993</v>
      </c>
      <c r="D319" t="s">
        <v>2346</v>
      </c>
      <c r="E319" t="s">
        <v>2344</v>
      </c>
      <c r="F319" t="s">
        <v>2346</v>
      </c>
      <c r="G319">
        <v>1</v>
      </c>
      <c r="H319" t="s">
        <v>2346</v>
      </c>
      <c r="I319" t="str">
        <f t="shared" si="8"/>
        <v>Over weight</v>
      </c>
      <c r="J319" t="str">
        <f t="shared" si="9"/>
        <v>Diabetes</v>
      </c>
    </row>
    <row r="320" spans="1:10" x14ac:dyDescent="0.35">
      <c r="A320" t="s">
        <v>320</v>
      </c>
      <c r="B320">
        <v>24.7</v>
      </c>
      <c r="C320">
        <v>10.25</v>
      </c>
      <c r="D320" t="s">
        <v>2344</v>
      </c>
      <c r="E320" t="s">
        <v>2344</v>
      </c>
      <c r="F320" t="s">
        <v>2344</v>
      </c>
      <c r="G320">
        <v>1</v>
      </c>
      <c r="H320" t="s">
        <v>2344</v>
      </c>
      <c r="I320" t="str">
        <f t="shared" si="8"/>
        <v>Normal Weight</v>
      </c>
      <c r="J320" t="str">
        <f t="shared" si="9"/>
        <v>Diabetes</v>
      </c>
    </row>
    <row r="321" spans="1:10" x14ac:dyDescent="0.35">
      <c r="A321" t="s">
        <v>321</v>
      </c>
      <c r="B321">
        <v>17.940000000000001</v>
      </c>
      <c r="C321">
        <v>9.77</v>
      </c>
      <c r="D321" t="s">
        <v>2344</v>
      </c>
      <c r="E321" t="s">
        <v>2344</v>
      </c>
      <c r="F321" t="s">
        <v>2344</v>
      </c>
      <c r="G321">
        <v>0</v>
      </c>
      <c r="H321" t="s">
        <v>2346</v>
      </c>
      <c r="I321" t="str">
        <f t="shared" si="8"/>
        <v>Under Weight</v>
      </c>
      <c r="J321" t="str">
        <f t="shared" si="9"/>
        <v>Diabetes</v>
      </c>
    </row>
    <row r="322" spans="1:10" x14ac:dyDescent="0.35">
      <c r="A322" t="s">
        <v>322</v>
      </c>
      <c r="B322">
        <v>21.08</v>
      </c>
      <c r="C322">
        <v>4.83</v>
      </c>
      <c r="D322" t="s">
        <v>2344</v>
      </c>
      <c r="E322" t="s">
        <v>2344</v>
      </c>
      <c r="F322" t="s">
        <v>2346</v>
      </c>
      <c r="G322">
        <v>1</v>
      </c>
      <c r="H322" t="s">
        <v>2346</v>
      </c>
      <c r="I322" t="str">
        <f t="shared" si="8"/>
        <v>Normal Weight</v>
      </c>
      <c r="J322" t="str">
        <f t="shared" si="9"/>
        <v>Normal</v>
      </c>
    </row>
    <row r="323" spans="1:10" x14ac:dyDescent="0.35">
      <c r="A323" t="s">
        <v>323</v>
      </c>
      <c r="B323">
        <v>37.715000000000003</v>
      </c>
      <c r="C323">
        <v>10.86</v>
      </c>
      <c r="D323" t="s">
        <v>2346</v>
      </c>
      <c r="E323" t="s">
        <v>2344</v>
      </c>
      <c r="F323" t="s">
        <v>2344</v>
      </c>
      <c r="G323">
        <v>0</v>
      </c>
      <c r="H323" t="s">
        <v>2344</v>
      </c>
      <c r="I323" t="str">
        <f t="shared" ref="I323:I386" si="10">IF(B323&lt;18.5,"Under Weight",IF(B323&lt;25,"Normal Weight",IF(B323&lt;30,"Over weight","Obesity")))</f>
        <v>Obesity</v>
      </c>
      <c r="J323" t="str">
        <f t="shared" ref="J323:J386" si="11">IF(C323&lt;5.7,"Normal",IF(C323&lt;6.5,"Prediabetes","Diabetes"))</f>
        <v>Diabetes</v>
      </c>
    </row>
    <row r="324" spans="1:10" x14ac:dyDescent="0.35">
      <c r="A324" t="s">
        <v>324</v>
      </c>
      <c r="B324">
        <v>22.39</v>
      </c>
      <c r="C324">
        <v>9.5299999999999994</v>
      </c>
      <c r="D324" t="s">
        <v>2346</v>
      </c>
      <c r="E324" t="s">
        <v>2344</v>
      </c>
      <c r="F324" t="s">
        <v>2344</v>
      </c>
      <c r="G324">
        <v>0</v>
      </c>
      <c r="H324" t="s">
        <v>2346</v>
      </c>
      <c r="I324" t="str">
        <f t="shared" si="10"/>
        <v>Normal Weight</v>
      </c>
      <c r="J324" t="str">
        <f t="shared" si="11"/>
        <v>Diabetes</v>
      </c>
    </row>
    <row r="325" spans="1:10" x14ac:dyDescent="0.35">
      <c r="A325" t="s">
        <v>325</v>
      </c>
      <c r="B325">
        <v>28.78</v>
      </c>
      <c r="C325">
        <v>5.68</v>
      </c>
      <c r="D325" t="s">
        <v>2344</v>
      </c>
      <c r="E325" t="s">
        <v>2344</v>
      </c>
      <c r="F325" t="s">
        <v>2344</v>
      </c>
      <c r="G325">
        <v>0</v>
      </c>
      <c r="H325" t="s">
        <v>2346</v>
      </c>
      <c r="I325" t="str">
        <f t="shared" si="10"/>
        <v>Over weight</v>
      </c>
      <c r="J325" t="str">
        <f t="shared" si="11"/>
        <v>Normal</v>
      </c>
    </row>
    <row r="326" spans="1:10" x14ac:dyDescent="0.35">
      <c r="A326" t="s">
        <v>326</v>
      </c>
      <c r="B326">
        <v>18.329999999999998</v>
      </c>
      <c r="C326">
        <v>5.57</v>
      </c>
      <c r="D326" t="s">
        <v>2346</v>
      </c>
      <c r="E326" t="s">
        <v>2344</v>
      </c>
      <c r="F326" t="s">
        <v>2344</v>
      </c>
      <c r="G326">
        <v>0</v>
      </c>
      <c r="H326" t="s">
        <v>2346</v>
      </c>
      <c r="I326" t="str">
        <f t="shared" si="10"/>
        <v>Under Weight</v>
      </c>
      <c r="J326" t="str">
        <f t="shared" si="11"/>
        <v>Normal</v>
      </c>
    </row>
    <row r="327" spans="1:10" x14ac:dyDescent="0.35">
      <c r="A327" t="s">
        <v>327</v>
      </c>
      <c r="B327">
        <v>26.39</v>
      </c>
      <c r="C327">
        <v>4.58</v>
      </c>
      <c r="D327" t="s">
        <v>2346</v>
      </c>
      <c r="E327" t="s">
        <v>2344</v>
      </c>
      <c r="F327" t="s">
        <v>2344</v>
      </c>
      <c r="G327">
        <v>1</v>
      </c>
      <c r="H327" t="s">
        <v>2346</v>
      </c>
      <c r="I327" t="str">
        <f t="shared" si="10"/>
        <v>Over weight</v>
      </c>
      <c r="J327" t="str">
        <f t="shared" si="11"/>
        <v>Normal</v>
      </c>
    </row>
    <row r="328" spans="1:10" x14ac:dyDescent="0.35">
      <c r="A328" t="s">
        <v>328</v>
      </c>
      <c r="B328">
        <v>19.260000000000002</v>
      </c>
      <c r="C328">
        <v>8.9600000000000009</v>
      </c>
      <c r="D328" t="s">
        <v>2346</v>
      </c>
      <c r="E328" t="s">
        <v>2344</v>
      </c>
      <c r="F328" t="s">
        <v>2344</v>
      </c>
      <c r="G328">
        <v>1</v>
      </c>
      <c r="H328" t="s">
        <v>2346</v>
      </c>
      <c r="I328" t="str">
        <f t="shared" si="10"/>
        <v>Normal Weight</v>
      </c>
      <c r="J328" t="str">
        <f t="shared" si="11"/>
        <v>Diabetes</v>
      </c>
    </row>
    <row r="329" spans="1:10" x14ac:dyDescent="0.35">
      <c r="A329" t="s">
        <v>329</v>
      </c>
      <c r="B329">
        <v>26.92</v>
      </c>
      <c r="C329">
        <v>6.09</v>
      </c>
      <c r="D329" t="s">
        <v>2344</v>
      </c>
      <c r="E329" t="s">
        <v>2344</v>
      </c>
      <c r="F329" t="s">
        <v>2344</v>
      </c>
      <c r="G329">
        <v>0</v>
      </c>
      <c r="H329" t="s">
        <v>2346</v>
      </c>
      <c r="I329" t="str">
        <f t="shared" si="10"/>
        <v>Over weight</v>
      </c>
      <c r="J329" t="str">
        <f t="shared" si="11"/>
        <v>Prediabetes</v>
      </c>
    </row>
    <row r="330" spans="1:10" x14ac:dyDescent="0.35">
      <c r="A330" t="s">
        <v>330</v>
      </c>
      <c r="B330">
        <v>19.73</v>
      </c>
      <c r="C330">
        <v>4.3600000000000003</v>
      </c>
      <c r="D330" t="s">
        <v>2344</v>
      </c>
      <c r="E330" t="s">
        <v>2344</v>
      </c>
      <c r="F330" t="s">
        <v>2344</v>
      </c>
      <c r="G330">
        <v>0</v>
      </c>
      <c r="H330" t="s">
        <v>2346</v>
      </c>
      <c r="I330" t="str">
        <f t="shared" si="10"/>
        <v>Normal Weight</v>
      </c>
      <c r="J330" t="str">
        <f t="shared" si="11"/>
        <v>Normal</v>
      </c>
    </row>
    <row r="331" spans="1:10" x14ac:dyDescent="0.35">
      <c r="A331" t="s">
        <v>331</v>
      </c>
      <c r="B331">
        <v>23.56</v>
      </c>
      <c r="C331">
        <v>11.74</v>
      </c>
      <c r="D331" t="s">
        <v>2346</v>
      </c>
      <c r="E331" t="s">
        <v>2344</v>
      </c>
      <c r="F331" t="s">
        <v>2344</v>
      </c>
      <c r="G331">
        <v>0</v>
      </c>
      <c r="H331" t="s">
        <v>2346</v>
      </c>
      <c r="I331" t="str">
        <f t="shared" si="10"/>
        <v>Normal Weight</v>
      </c>
      <c r="J331" t="str">
        <f t="shared" si="11"/>
        <v>Diabetes</v>
      </c>
    </row>
    <row r="332" spans="1:10" x14ac:dyDescent="0.35">
      <c r="A332" t="s">
        <v>332</v>
      </c>
      <c r="B332">
        <v>37.67</v>
      </c>
      <c r="C332">
        <v>5.89</v>
      </c>
      <c r="D332" t="s">
        <v>2344</v>
      </c>
      <c r="E332" t="s">
        <v>2344</v>
      </c>
      <c r="F332" t="s">
        <v>2344</v>
      </c>
      <c r="G332">
        <v>1</v>
      </c>
      <c r="H332" t="s">
        <v>2346</v>
      </c>
      <c r="I332" t="str">
        <f t="shared" si="10"/>
        <v>Obesity</v>
      </c>
      <c r="J332" t="str">
        <f t="shared" si="11"/>
        <v>Prediabetes</v>
      </c>
    </row>
    <row r="333" spans="1:10" x14ac:dyDescent="0.35">
      <c r="A333" t="s">
        <v>333</v>
      </c>
      <c r="B333">
        <v>18.73</v>
      </c>
      <c r="C333">
        <v>10.64</v>
      </c>
      <c r="D333" t="s">
        <v>2344</v>
      </c>
      <c r="E333" t="s">
        <v>2344</v>
      </c>
      <c r="F333" t="s">
        <v>2344</v>
      </c>
      <c r="G333">
        <v>1</v>
      </c>
      <c r="H333" t="s">
        <v>2346</v>
      </c>
      <c r="I333" t="str">
        <f t="shared" si="10"/>
        <v>Normal Weight</v>
      </c>
      <c r="J333" t="str">
        <f t="shared" si="11"/>
        <v>Diabetes</v>
      </c>
    </row>
    <row r="334" spans="1:10" x14ac:dyDescent="0.35">
      <c r="A334" t="s">
        <v>334</v>
      </c>
      <c r="B334">
        <v>33.090000000000003</v>
      </c>
      <c r="C334">
        <v>6.06</v>
      </c>
      <c r="D334" t="s">
        <v>2344</v>
      </c>
      <c r="E334" t="s">
        <v>2344</v>
      </c>
      <c r="F334" t="s">
        <v>2346</v>
      </c>
      <c r="G334">
        <v>1</v>
      </c>
      <c r="H334" t="s">
        <v>2346</v>
      </c>
      <c r="I334" t="str">
        <f t="shared" si="10"/>
        <v>Obesity</v>
      </c>
      <c r="J334" t="str">
        <f t="shared" si="11"/>
        <v>Prediabetes</v>
      </c>
    </row>
    <row r="335" spans="1:10" x14ac:dyDescent="0.35">
      <c r="A335" t="s">
        <v>335</v>
      </c>
      <c r="B335">
        <v>18.329999999999998</v>
      </c>
      <c r="C335">
        <v>7.46</v>
      </c>
      <c r="D335" t="s">
        <v>2346</v>
      </c>
      <c r="E335" t="s">
        <v>2344</v>
      </c>
      <c r="F335" t="s">
        <v>2344</v>
      </c>
      <c r="G335">
        <v>1</v>
      </c>
      <c r="H335" t="s">
        <v>2346</v>
      </c>
      <c r="I335" t="str">
        <f t="shared" si="10"/>
        <v>Under Weight</v>
      </c>
      <c r="J335" t="str">
        <f t="shared" si="11"/>
        <v>Diabetes</v>
      </c>
    </row>
    <row r="336" spans="1:10" x14ac:dyDescent="0.35">
      <c r="A336" t="s">
        <v>336</v>
      </c>
      <c r="B336">
        <v>27.74</v>
      </c>
      <c r="C336">
        <v>4.68</v>
      </c>
      <c r="D336" t="s">
        <v>2346</v>
      </c>
      <c r="E336" t="s">
        <v>2344</v>
      </c>
      <c r="F336" t="s">
        <v>2344</v>
      </c>
      <c r="G336">
        <v>1</v>
      </c>
      <c r="H336" t="s">
        <v>2346</v>
      </c>
      <c r="I336" t="str">
        <f t="shared" si="10"/>
        <v>Over weight</v>
      </c>
      <c r="J336" t="str">
        <f t="shared" si="11"/>
        <v>Normal</v>
      </c>
    </row>
    <row r="337" spans="1:10" x14ac:dyDescent="0.35">
      <c r="A337" t="s">
        <v>337</v>
      </c>
      <c r="B337">
        <v>24.2</v>
      </c>
      <c r="C337">
        <v>6.15</v>
      </c>
      <c r="D337" t="s">
        <v>2344</v>
      </c>
      <c r="E337" t="s">
        <v>2344</v>
      </c>
      <c r="F337" t="s">
        <v>2344</v>
      </c>
      <c r="G337">
        <v>1</v>
      </c>
      <c r="H337" t="s">
        <v>2346</v>
      </c>
      <c r="I337" t="str">
        <f t="shared" si="10"/>
        <v>Normal Weight</v>
      </c>
      <c r="J337" t="str">
        <f t="shared" si="11"/>
        <v>Prediabetes</v>
      </c>
    </row>
    <row r="338" spans="1:10" x14ac:dyDescent="0.35">
      <c r="A338" t="s">
        <v>338</v>
      </c>
      <c r="B338">
        <v>22.03</v>
      </c>
      <c r="C338">
        <v>4.28</v>
      </c>
      <c r="D338" t="s">
        <v>2346</v>
      </c>
      <c r="E338" t="s">
        <v>2344</v>
      </c>
      <c r="F338" t="s">
        <v>2344</v>
      </c>
      <c r="G338">
        <v>0</v>
      </c>
      <c r="H338" t="s">
        <v>2346</v>
      </c>
      <c r="I338" t="str">
        <f t="shared" si="10"/>
        <v>Normal Weight</v>
      </c>
      <c r="J338" t="str">
        <f t="shared" si="11"/>
        <v>Normal</v>
      </c>
    </row>
    <row r="339" spans="1:10" x14ac:dyDescent="0.35">
      <c r="A339" t="s">
        <v>339</v>
      </c>
      <c r="B339">
        <v>26.885000000000002</v>
      </c>
      <c r="C339">
        <v>9.86</v>
      </c>
      <c r="D339" t="s">
        <v>2344</v>
      </c>
      <c r="E339" t="s">
        <v>2344</v>
      </c>
      <c r="F339" t="s">
        <v>2344</v>
      </c>
      <c r="G339">
        <v>1</v>
      </c>
      <c r="H339" t="s">
        <v>2346</v>
      </c>
      <c r="I339" t="str">
        <f t="shared" si="10"/>
        <v>Over weight</v>
      </c>
      <c r="J339" t="str">
        <f t="shared" si="11"/>
        <v>Diabetes</v>
      </c>
    </row>
    <row r="340" spans="1:10" x14ac:dyDescent="0.35">
      <c r="A340" t="s">
        <v>340</v>
      </c>
      <c r="B340">
        <v>16.36</v>
      </c>
      <c r="C340">
        <v>11.19</v>
      </c>
      <c r="D340" t="s">
        <v>2344</v>
      </c>
      <c r="E340" t="s">
        <v>2344</v>
      </c>
      <c r="F340" t="s">
        <v>2344</v>
      </c>
      <c r="G340">
        <v>0</v>
      </c>
      <c r="H340" t="s">
        <v>2346</v>
      </c>
      <c r="I340" t="str">
        <f t="shared" si="10"/>
        <v>Under Weight</v>
      </c>
      <c r="J340" t="str">
        <f t="shared" si="11"/>
        <v>Diabetes</v>
      </c>
    </row>
    <row r="341" spans="1:10" x14ac:dyDescent="0.35">
      <c r="A341" t="s">
        <v>341</v>
      </c>
      <c r="B341">
        <v>32.299999999999997</v>
      </c>
      <c r="C341">
        <v>4.8899999999999997</v>
      </c>
      <c r="D341" t="s">
        <v>2346</v>
      </c>
      <c r="E341" t="s">
        <v>2344</v>
      </c>
      <c r="F341" t="s">
        <v>2346</v>
      </c>
      <c r="G341">
        <v>1</v>
      </c>
      <c r="H341" t="s">
        <v>2344</v>
      </c>
      <c r="I341" t="str">
        <f t="shared" si="10"/>
        <v>Obesity</v>
      </c>
      <c r="J341" t="str">
        <f t="shared" si="11"/>
        <v>Normal</v>
      </c>
    </row>
    <row r="342" spans="1:10" x14ac:dyDescent="0.35">
      <c r="A342" t="s">
        <v>342</v>
      </c>
      <c r="B342">
        <v>16.05</v>
      </c>
      <c r="C342">
        <v>4.3499999999999996</v>
      </c>
      <c r="D342" t="s">
        <v>2346</v>
      </c>
      <c r="E342" t="s">
        <v>2344</v>
      </c>
      <c r="F342" t="s">
        <v>2344</v>
      </c>
      <c r="G342">
        <v>0</v>
      </c>
      <c r="H342" t="s">
        <v>2346</v>
      </c>
      <c r="I342" t="str">
        <f t="shared" si="10"/>
        <v>Under Weight</v>
      </c>
      <c r="J342" t="str">
        <f t="shared" si="11"/>
        <v>Normal</v>
      </c>
    </row>
    <row r="343" spans="1:10" x14ac:dyDescent="0.35">
      <c r="A343" t="s">
        <v>343</v>
      </c>
      <c r="B343">
        <v>29.07</v>
      </c>
      <c r="C343">
        <v>8.66</v>
      </c>
      <c r="D343" t="s">
        <v>2346</v>
      </c>
      <c r="E343" t="s">
        <v>2344</v>
      </c>
      <c r="F343" t="s">
        <v>2344</v>
      </c>
      <c r="G343">
        <v>1</v>
      </c>
      <c r="H343" t="s">
        <v>2346</v>
      </c>
      <c r="I343" t="str">
        <f t="shared" si="10"/>
        <v>Over weight</v>
      </c>
      <c r="J343" t="str">
        <f t="shared" si="11"/>
        <v>Diabetes</v>
      </c>
    </row>
    <row r="344" spans="1:10" x14ac:dyDescent="0.35">
      <c r="A344" t="s">
        <v>344</v>
      </c>
      <c r="B344">
        <v>17.43</v>
      </c>
      <c r="C344">
        <v>8.64</v>
      </c>
      <c r="D344" t="s">
        <v>2344</v>
      </c>
      <c r="E344" t="s">
        <v>2344</v>
      </c>
      <c r="F344" t="s">
        <v>2344</v>
      </c>
      <c r="G344">
        <v>0</v>
      </c>
      <c r="H344" t="s">
        <v>2346</v>
      </c>
      <c r="I344" t="str">
        <f t="shared" si="10"/>
        <v>Under Weight</v>
      </c>
      <c r="J344" t="str">
        <f t="shared" si="11"/>
        <v>Diabetes</v>
      </c>
    </row>
    <row r="345" spans="1:10" x14ac:dyDescent="0.35">
      <c r="A345" t="s">
        <v>345</v>
      </c>
      <c r="B345">
        <v>19.329999999999998</v>
      </c>
      <c r="C345">
        <v>4.2699999999999996</v>
      </c>
      <c r="D345" t="s">
        <v>2344</v>
      </c>
      <c r="E345" t="s">
        <v>2344</v>
      </c>
      <c r="F345" t="s">
        <v>2344</v>
      </c>
      <c r="G345">
        <v>0</v>
      </c>
      <c r="H345" t="s">
        <v>2346</v>
      </c>
      <c r="I345" t="str">
        <f t="shared" si="10"/>
        <v>Normal Weight</v>
      </c>
      <c r="J345" t="str">
        <f t="shared" si="11"/>
        <v>Normal</v>
      </c>
    </row>
    <row r="346" spans="1:10" x14ac:dyDescent="0.35">
      <c r="A346" t="s">
        <v>346</v>
      </c>
      <c r="B346">
        <v>30.52</v>
      </c>
      <c r="C346">
        <v>4.21</v>
      </c>
      <c r="D346" t="s">
        <v>2344</v>
      </c>
      <c r="E346" t="s">
        <v>2344</v>
      </c>
      <c r="F346" t="s">
        <v>2344</v>
      </c>
      <c r="G346">
        <v>1</v>
      </c>
      <c r="H346" t="s">
        <v>2346</v>
      </c>
      <c r="I346" t="str">
        <f t="shared" si="10"/>
        <v>Obesity</v>
      </c>
      <c r="J346" t="str">
        <f t="shared" si="11"/>
        <v>Normal</v>
      </c>
    </row>
    <row r="347" spans="1:10" x14ac:dyDescent="0.35">
      <c r="A347" t="s">
        <v>347</v>
      </c>
      <c r="B347">
        <v>39.21</v>
      </c>
      <c r="C347">
        <v>5.04</v>
      </c>
      <c r="D347" t="s">
        <v>2344</v>
      </c>
      <c r="E347" t="s">
        <v>2344</v>
      </c>
      <c r="F347" t="s">
        <v>2346</v>
      </c>
      <c r="G347">
        <v>1</v>
      </c>
      <c r="H347" t="s">
        <v>2346</v>
      </c>
      <c r="I347" t="str">
        <f t="shared" si="10"/>
        <v>Obesity</v>
      </c>
      <c r="J347" t="str">
        <f t="shared" si="11"/>
        <v>Normal</v>
      </c>
    </row>
    <row r="348" spans="1:10" x14ac:dyDescent="0.35">
      <c r="A348" t="s">
        <v>348</v>
      </c>
      <c r="B348">
        <v>26.98</v>
      </c>
      <c r="C348">
        <v>5.21</v>
      </c>
      <c r="D348" t="s">
        <v>2346</v>
      </c>
      <c r="E348" t="s">
        <v>2344</v>
      </c>
      <c r="F348" t="s">
        <v>2344</v>
      </c>
      <c r="G348">
        <v>1</v>
      </c>
      <c r="H348" t="s">
        <v>2346</v>
      </c>
      <c r="I348" t="str">
        <f t="shared" si="10"/>
        <v>Over weight</v>
      </c>
      <c r="J348" t="str">
        <f t="shared" si="11"/>
        <v>Normal</v>
      </c>
    </row>
    <row r="349" spans="1:10" x14ac:dyDescent="0.35">
      <c r="A349" t="s">
        <v>349</v>
      </c>
      <c r="B349">
        <v>25.84</v>
      </c>
      <c r="C349">
        <v>8.83</v>
      </c>
      <c r="D349" t="s">
        <v>2344</v>
      </c>
      <c r="E349" t="s">
        <v>2344</v>
      </c>
      <c r="F349" t="s">
        <v>2344</v>
      </c>
      <c r="G349">
        <v>0</v>
      </c>
      <c r="H349" t="s">
        <v>2344</v>
      </c>
      <c r="I349" t="str">
        <f t="shared" si="10"/>
        <v>Over weight</v>
      </c>
      <c r="J349" t="str">
        <f t="shared" si="11"/>
        <v>Diabetes</v>
      </c>
    </row>
    <row r="350" spans="1:10" x14ac:dyDescent="0.35">
      <c r="A350" t="s">
        <v>350</v>
      </c>
      <c r="B350">
        <v>28.31</v>
      </c>
      <c r="C350">
        <v>8.4700000000000006</v>
      </c>
      <c r="D350" t="s">
        <v>2346</v>
      </c>
      <c r="E350" t="s">
        <v>2344</v>
      </c>
      <c r="F350" t="s">
        <v>2344</v>
      </c>
      <c r="G350">
        <v>1</v>
      </c>
      <c r="H350" t="s">
        <v>2346</v>
      </c>
      <c r="I350" t="str">
        <f t="shared" si="10"/>
        <v>Over weight</v>
      </c>
      <c r="J350" t="str">
        <f t="shared" si="11"/>
        <v>Diabetes</v>
      </c>
    </row>
    <row r="351" spans="1:10" x14ac:dyDescent="0.35">
      <c r="A351" t="s">
        <v>351</v>
      </c>
      <c r="B351">
        <v>23.94</v>
      </c>
      <c r="C351">
        <v>4.2</v>
      </c>
      <c r="D351" t="s">
        <v>2344</v>
      </c>
      <c r="E351" t="s">
        <v>2344</v>
      </c>
      <c r="F351" t="s">
        <v>2344</v>
      </c>
      <c r="G351">
        <v>0</v>
      </c>
      <c r="H351" t="s">
        <v>2346</v>
      </c>
      <c r="I351" t="str">
        <f t="shared" si="10"/>
        <v>Normal Weight</v>
      </c>
      <c r="J351" t="str">
        <f t="shared" si="11"/>
        <v>Normal</v>
      </c>
    </row>
    <row r="352" spans="1:10" x14ac:dyDescent="0.35">
      <c r="A352" t="s">
        <v>352</v>
      </c>
      <c r="B352">
        <v>20.03</v>
      </c>
      <c r="C352">
        <v>6.14</v>
      </c>
      <c r="D352" t="s">
        <v>2346</v>
      </c>
      <c r="E352" t="s">
        <v>2344</v>
      </c>
      <c r="F352" t="s">
        <v>2344</v>
      </c>
      <c r="G352">
        <v>0</v>
      </c>
      <c r="H352" t="s">
        <v>2346</v>
      </c>
      <c r="I352" t="str">
        <f t="shared" si="10"/>
        <v>Normal Weight</v>
      </c>
      <c r="J352" t="str">
        <f t="shared" si="11"/>
        <v>Prediabetes</v>
      </c>
    </row>
    <row r="353" spans="1:10" x14ac:dyDescent="0.35">
      <c r="A353" t="s">
        <v>353</v>
      </c>
      <c r="B353">
        <v>41.42</v>
      </c>
      <c r="C353">
        <v>6.07</v>
      </c>
      <c r="D353" t="s">
        <v>2344</v>
      </c>
      <c r="E353" t="s">
        <v>2344</v>
      </c>
      <c r="F353" t="s">
        <v>2344</v>
      </c>
      <c r="G353">
        <v>0</v>
      </c>
      <c r="H353" t="s">
        <v>2344</v>
      </c>
      <c r="I353" t="str">
        <f t="shared" si="10"/>
        <v>Obesity</v>
      </c>
      <c r="J353" t="str">
        <f t="shared" si="11"/>
        <v>Prediabetes</v>
      </c>
    </row>
    <row r="354" spans="1:10" x14ac:dyDescent="0.35">
      <c r="A354" t="s">
        <v>354</v>
      </c>
      <c r="B354">
        <v>36.67</v>
      </c>
      <c r="C354">
        <v>10.210000000000001</v>
      </c>
      <c r="D354" t="s">
        <v>2344</v>
      </c>
      <c r="E354" t="s">
        <v>2344</v>
      </c>
      <c r="F354" t="s">
        <v>2344</v>
      </c>
      <c r="G354">
        <v>0</v>
      </c>
      <c r="H354" t="s">
        <v>2344</v>
      </c>
      <c r="I354" t="str">
        <f t="shared" si="10"/>
        <v>Obesity</v>
      </c>
      <c r="J354" t="str">
        <f t="shared" si="11"/>
        <v>Diabetes</v>
      </c>
    </row>
    <row r="355" spans="1:10" x14ac:dyDescent="0.35">
      <c r="A355" t="s">
        <v>355</v>
      </c>
      <c r="B355">
        <v>27.645</v>
      </c>
      <c r="C355">
        <v>4.6900000000000004</v>
      </c>
      <c r="D355" t="s">
        <v>2344</v>
      </c>
      <c r="E355" t="s">
        <v>2344</v>
      </c>
      <c r="F355" t="s">
        <v>2344</v>
      </c>
      <c r="G355">
        <v>0</v>
      </c>
      <c r="H355" t="s">
        <v>2344</v>
      </c>
      <c r="I355" t="str">
        <f t="shared" si="10"/>
        <v>Over weight</v>
      </c>
      <c r="J355" t="str">
        <f t="shared" si="11"/>
        <v>Normal</v>
      </c>
    </row>
    <row r="356" spans="1:10" x14ac:dyDescent="0.35">
      <c r="A356" t="s">
        <v>356</v>
      </c>
      <c r="B356">
        <v>22.72</v>
      </c>
      <c r="C356">
        <v>5.71</v>
      </c>
      <c r="D356" t="s">
        <v>2344</v>
      </c>
      <c r="E356" t="s">
        <v>2344</v>
      </c>
      <c r="F356" t="s">
        <v>2344</v>
      </c>
      <c r="G356">
        <v>0</v>
      </c>
      <c r="H356" t="s">
        <v>2346</v>
      </c>
      <c r="I356" t="str">
        <f t="shared" si="10"/>
        <v>Normal Weight</v>
      </c>
      <c r="J356" t="str">
        <f t="shared" si="11"/>
        <v>Prediabetes</v>
      </c>
    </row>
    <row r="357" spans="1:10" x14ac:dyDescent="0.35">
      <c r="A357" t="s">
        <v>357</v>
      </c>
      <c r="B357">
        <v>36.520000000000003</v>
      </c>
      <c r="C357">
        <v>9.07</v>
      </c>
      <c r="D357" t="s">
        <v>2346</v>
      </c>
      <c r="E357" t="s">
        <v>2344</v>
      </c>
      <c r="F357" t="s">
        <v>2346</v>
      </c>
      <c r="G357">
        <v>1</v>
      </c>
      <c r="H357" t="s">
        <v>2344</v>
      </c>
      <c r="I357" t="str">
        <f t="shared" si="10"/>
        <v>Obesity</v>
      </c>
      <c r="J357" t="str">
        <f t="shared" si="11"/>
        <v>Diabetes</v>
      </c>
    </row>
    <row r="358" spans="1:10" x14ac:dyDescent="0.35">
      <c r="A358" t="s">
        <v>358</v>
      </c>
      <c r="B358">
        <v>33.96</v>
      </c>
      <c r="C358">
        <v>4.99</v>
      </c>
      <c r="D358" t="s">
        <v>2344</v>
      </c>
      <c r="E358" t="s">
        <v>2344</v>
      </c>
      <c r="F358" t="s">
        <v>2344</v>
      </c>
      <c r="G358">
        <v>0</v>
      </c>
      <c r="H358" t="s">
        <v>2346</v>
      </c>
      <c r="I358" t="str">
        <f t="shared" si="10"/>
        <v>Obesity</v>
      </c>
      <c r="J358" t="str">
        <f t="shared" si="11"/>
        <v>Normal</v>
      </c>
    </row>
    <row r="359" spans="1:10" x14ac:dyDescent="0.35">
      <c r="A359" t="s">
        <v>359</v>
      </c>
      <c r="B359">
        <v>26.695</v>
      </c>
      <c r="C359">
        <v>8.31</v>
      </c>
      <c r="D359" t="s">
        <v>2344</v>
      </c>
      <c r="E359" t="s">
        <v>2344</v>
      </c>
      <c r="F359" t="s">
        <v>2344</v>
      </c>
      <c r="G359">
        <v>0</v>
      </c>
      <c r="H359" t="s">
        <v>2346</v>
      </c>
      <c r="I359" t="str">
        <f t="shared" si="10"/>
        <v>Over weight</v>
      </c>
      <c r="J359" t="str">
        <f t="shared" si="11"/>
        <v>Diabetes</v>
      </c>
    </row>
    <row r="360" spans="1:10" x14ac:dyDescent="0.35">
      <c r="A360" t="s">
        <v>360</v>
      </c>
      <c r="B360">
        <v>18.45</v>
      </c>
      <c r="C360">
        <v>5.07</v>
      </c>
      <c r="D360" t="s">
        <v>2346</v>
      </c>
      <c r="E360" t="s">
        <v>2344</v>
      </c>
      <c r="F360" t="s">
        <v>2344</v>
      </c>
      <c r="G360">
        <v>0</v>
      </c>
      <c r="H360" t="s">
        <v>2346</v>
      </c>
      <c r="I360" t="str">
        <f t="shared" si="10"/>
        <v>Under Weight</v>
      </c>
      <c r="J360" t="str">
        <f t="shared" si="11"/>
        <v>Normal</v>
      </c>
    </row>
    <row r="361" spans="1:10" x14ac:dyDescent="0.35">
      <c r="A361" t="s">
        <v>361</v>
      </c>
      <c r="B361">
        <v>33.18</v>
      </c>
      <c r="C361">
        <v>4.79</v>
      </c>
      <c r="D361" t="s">
        <v>2344</v>
      </c>
      <c r="E361" t="s">
        <v>2344</v>
      </c>
      <c r="F361" t="s">
        <v>2344</v>
      </c>
      <c r="G361">
        <v>0</v>
      </c>
      <c r="H361" t="s">
        <v>2346</v>
      </c>
      <c r="I361" t="str">
        <f t="shared" si="10"/>
        <v>Obesity</v>
      </c>
      <c r="J361" t="str">
        <f t="shared" si="11"/>
        <v>Normal</v>
      </c>
    </row>
    <row r="362" spans="1:10" x14ac:dyDescent="0.35">
      <c r="A362" t="s">
        <v>362</v>
      </c>
      <c r="B362">
        <v>36.1</v>
      </c>
      <c r="C362">
        <v>11.39</v>
      </c>
      <c r="D362" t="s">
        <v>2346</v>
      </c>
      <c r="E362" t="s">
        <v>2344</v>
      </c>
      <c r="F362" t="s">
        <v>2344</v>
      </c>
      <c r="G362">
        <v>1</v>
      </c>
      <c r="H362" t="s">
        <v>2344</v>
      </c>
      <c r="I362" t="str">
        <f t="shared" si="10"/>
        <v>Obesity</v>
      </c>
      <c r="J362" t="str">
        <f t="shared" si="11"/>
        <v>Diabetes</v>
      </c>
    </row>
    <row r="363" spans="1:10" x14ac:dyDescent="0.35">
      <c r="A363" t="s">
        <v>363</v>
      </c>
      <c r="B363">
        <v>22.77</v>
      </c>
      <c r="C363" t="s">
        <v>2346</v>
      </c>
      <c r="D363" t="s">
        <v>2344</v>
      </c>
      <c r="E363" t="s">
        <v>2344</v>
      </c>
      <c r="F363" t="s">
        <v>2344</v>
      </c>
      <c r="G363">
        <v>0</v>
      </c>
      <c r="H363" t="s">
        <v>2346</v>
      </c>
      <c r="I363" t="str">
        <f t="shared" si="10"/>
        <v>Normal Weight</v>
      </c>
      <c r="J363" t="str">
        <f t="shared" si="11"/>
        <v>Diabetes</v>
      </c>
    </row>
    <row r="364" spans="1:10" x14ac:dyDescent="0.35">
      <c r="A364" t="s">
        <v>364</v>
      </c>
      <c r="B364">
        <v>21.24</v>
      </c>
      <c r="C364">
        <v>5.13</v>
      </c>
      <c r="D364" t="s">
        <v>2344</v>
      </c>
      <c r="E364" t="s">
        <v>2344</v>
      </c>
      <c r="F364" t="s">
        <v>2344</v>
      </c>
      <c r="G364">
        <v>0</v>
      </c>
      <c r="H364" t="s">
        <v>2346</v>
      </c>
      <c r="I364" t="str">
        <f t="shared" si="10"/>
        <v>Normal Weight</v>
      </c>
      <c r="J364" t="str">
        <f t="shared" si="11"/>
        <v>Normal</v>
      </c>
    </row>
    <row r="365" spans="1:10" x14ac:dyDescent="0.35">
      <c r="A365" t="s">
        <v>365</v>
      </c>
      <c r="B365">
        <v>17.600000000000001</v>
      </c>
      <c r="C365">
        <v>5.26</v>
      </c>
      <c r="D365" t="s">
        <v>2346</v>
      </c>
      <c r="E365" t="s">
        <v>2344</v>
      </c>
      <c r="F365" t="s">
        <v>2344</v>
      </c>
      <c r="G365">
        <v>0</v>
      </c>
      <c r="H365" t="s">
        <v>2346</v>
      </c>
      <c r="I365" t="str">
        <f t="shared" si="10"/>
        <v>Under Weight</v>
      </c>
      <c r="J365" t="str">
        <f t="shared" si="11"/>
        <v>Normal</v>
      </c>
    </row>
    <row r="366" spans="1:10" x14ac:dyDescent="0.35">
      <c r="A366" t="s">
        <v>366</v>
      </c>
      <c r="B366">
        <v>26.29</v>
      </c>
      <c r="C366">
        <v>6.84</v>
      </c>
      <c r="D366" t="s">
        <v>2344</v>
      </c>
      <c r="E366" t="s">
        <v>2344</v>
      </c>
      <c r="F366" t="s">
        <v>2344</v>
      </c>
      <c r="G366">
        <v>0</v>
      </c>
      <c r="H366" t="s">
        <v>2346</v>
      </c>
      <c r="I366" t="str">
        <f t="shared" si="10"/>
        <v>Over weight</v>
      </c>
      <c r="J366" t="str">
        <f t="shared" si="11"/>
        <v>Diabetes</v>
      </c>
    </row>
    <row r="367" spans="1:10" x14ac:dyDescent="0.35">
      <c r="A367" t="s">
        <v>367</v>
      </c>
      <c r="B367">
        <v>35.31</v>
      </c>
      <c r="C367">
        <v>9.0399999999999991</v>
      </c>
      <c r="D367" t="s">
        <v>2344</v>
      </c>
      <c r="E367" t="s">
        <v>2344</v>
      </c>
      <c r="F367" t="s">
        <v>2344</v>
      </c>
      <c r="G367">
        <v>0</v>
      </c>
      <c r="H367" t="s">
        <v>2344</v>
      </c>
      <c r="I367" t="str">
        <f t="shared" si="10"/>
        <v>Obesity</v>
      </c>
      <c r="J367" t="str">
        <f t="shared" si="11"/>
        <v>Diabetes</v>
      </c>
    </row>
    <row r="368" spans="1:10" x14ac:dyDescent="0.35">
      <c r="A368" t="s">
        <v>368</v>
      </c>
      <c r="B368">
        <v>27.04</v>
      </c>
      <c r="C368">
        <v>4.0999999999999996</v>
      </c>
      <c r="D368" t="s">
        <v>2344</v>
      </c>
      <c r="E368" t="s">
        <v>2344</v>
      </c>
      <c r="F368" t="s">
        <v>2344</v>
      </c>
      <c r="G368">
        <v>1</v>
      </c>
      <c r="H368" t="s">
        <v>2346</v>
      </c>
      <c r="I368" t="str">
        <f t="shared" si="10"/>
        <v>Over weight</v>
      </c>
      <c r="J368" t="str">
        <f t="shared" si="11"/>
        <v>Normal</v>
      </c>
    </row>
    <row r="369" spans="1:10" x14ac:dyDescent="0.35">
      <c r="A369" t="s">
        <v>369</v>
      </c>
      <c r="B369">
        <v>30.23</v>
      </c>
      <c r="C369">
        <v>4.2300000000000004</v>
      </c>
      <c r="D369" t="s">
        <v>2346</v>
      </c>
      <c r="E369" t="s">
        <v>2344</v>
      </c>
      <c r="F369" t="s">
        <v>2346</v>
      </c>
      <c r="G369">
        <v>1</v>
      </c>
      <c r="H369" t="s">
        <v>2346</v>
      </c>
      <c r="I369" t="str">
        <f t="shared" si="10"/>
        <v>Obesity</v>
      </c>
      <c r="J369" t="str">
        <f t="shared" si="11"/>
        <v>Normal</v>
      </c>
    </row>
    <row r="370" spans="1:10" x14ac:dyDescent="0.35">
      <c r="A370" t="s">
        <v>370</v>
      </c>
      <c r="B370">
        <v>30.6</v>
      </c>
      <c r="C370">
        <v>6.48</v>
      </c>
      <c r="D370" t="s">
        <v>2346</v>
      </c>
      <c r="E370" t="s">
        <v>2344</v>
      </c>
      <c r="F370" t="s">
        <v>2346</v>
      </c>
      <c r="G370">
        <v>1</v>
      </c>
      <c r="H370" t="s">
        <v>2346</v>
      </c>
      <c r="I370" t="str">
        <f t="shared" si="10"/>
        <v>Obesity</v>
      </c>
      <c r="J370" t="str">
        <f t="shared" si="11"/>
        <v>Prediabetes</v>
      </c>
    </row>
    <row r="371" spans="1:10" x14ac:dyDescent="0.35">
      <c r="A371" t="s">
        <v>371</v>
      </c>
      <c r="B371">
        <v>26.8</v>
      </c>
      <c r="C371">
        <v>5.53</v>
      </c>
      <c r="D371" t="s">
        <v>2344</v>
      </c>
      <c r="E371" t="s">
        <v>2344</v>
      </c>
      <c r="F371" t="s">
        <v>2344</v>
      </c>
      <c r="G371">
        <v>1</v>
      </c>
      <c r="H371" t="s">
        <v>2346</v>
      </c>
      <c r="I371" t="str">
        <f t="shared" si="10"/>
        <v>Over weight</v>
      </c>
      <c r="J371" t="str">
        <f t="shared" si="11"/>
        <v>Normal</v>
      </c>
    </row>
    <row r="372" spans="1:10" x14ac:dyDescent="0.35">
      <c r="A372" t="s">
        <v>372</v>
      </c>
      <c r="B372">
        <v>16.86</v>
      </c>
      <c r="C372">
        <v>4.07</v>
      </c>
      <c r="D372" t="s">
        <v>2346</v>
      </c>
      <c r="E372" t="s">
        <v>2344</v>
      </c>
      <c r="F372" t="s">
        <v>2344</v>
      </c>
      <c r="G372">
        <v>0</v>
      </c>
      <c r="H372" t="s">
        <v>2346</v>
      </c>
      <c r="I372" t="str">
        <f t="shared" si="10"/>
        <v>Under Weight</v>
      </c>
      <c r="J372" t="str">
        <f t="shared" si="11"/>
        <v>Normal</v>
      </c>
    </row>
    <row r="373" spans="1:10" x14ac:dyDescent="0.35">
      <c r="A373" t="s">
        <v>373</v>
      </c>
      <c r="B373">
        <v>16.3</v>
      </c>
      <c r="C373">
        <v>5.51</v>
      </c>
      <c r="D373" t="s">
        <v>2344</v>
      </c>
      <c r="E373" t="s">
        <v>2344</v>
      </c>
      <c r="F373" t="s">
        <v>2344</v>
      </c>
      <c r="G373">
        <v>1</v>
      </c>
      <c r="H373" t="s">
        <v>2346</v>
      </c>
      <c r="I373" t="str">
        <f t="shared" si="10"/>
        <v>Under Weight</v>
      </c>
      <c r="J373" t="str">
        <f t="shared" si="11"/>
        <v>Normal</v>
      </c>
    </row>
    <row r="374" spans="1:10" x14ac:dyDescent="0.35">
      <c r="A374" t="s">
        <v>374</v>
      </c>
      <c r="B374">
        <v>29.81</v>
      </c>
      <c r="C374">
        <v>11.66</v>
      </c>
      <c r="D374" t="s">
        <v>2344</v>
      </c>
      <c r="E374" t="s">
        <v>2344</v>
      </c>
      <c r="F374" t="s">
        <v>2344</v>
      </c>
      <c r="G374">
        <v>0</v>
      </c>
      <c r="H374" t="s">
        <v>2346</v>
      </c>
      <c r="I374" t="str">
        <f t="shared" si="10"/>
        <v>Over weight</v>
      </c>
      <c r="J374" t="str">
        <f t="shared" si="11"/>
        <v>Diabetes</v>
      </c>
    </row>
    <row r="375" spans="1:10" x14ac:dyDescent="0.35">
      <c r="A375" t="s">
        <v>375</v>
      </c>
      <c r="B375">
        <v>16.329999999999998</v>
      </c>
      <c r="C375">
        <v>7.26</v>
      </c>
      <c r="D375" t="s">
        <v>2346</v>
      </c>
      <c r="E375" t="s">
        <v>2344</v>
      </c>
      <c r="F375" t="s">
        <v>2344</v>
      </c>
      <c r="G375">
        <v>0</v>
      </c>
      <c r="H375" t="s">
        <v>2346</v>
      </c>
      <c r="I375" t="str">
        <f t="shared" si="10"/>
        <v>Under Weight</v>
      </c>
      <c r="J375" t="str">
        <f t="shared" si="11"/>
        <v>Diabetes</v>
      </c>
    </row>
    <row r="376" spans="1:10" x14ac:dyDescent="0.35">
      <c r="A376" t="s">
        <v>376</v>
      </c>
      <c r="B376">
        <v>16.37</v>
      </c>
      <c r="C376">
        <v>4.79</v>
      </c>
      <c r="D376" t="s">
        <v>2346</v>
      </c>
      <c r="E376" t="s">
        <v>2344</v>
      </c>
      <c r="F376" t="s">
        <v>2344</v>
      </c>
      <c r="G376">
        <v>0</v>
      </c>
      <c r="H376" t="s">
        <v>2346</v>
      </c>
      <c r="I376" t="str">
        <f t="shared" si="10"/>
        <v>Under Weight</v>
      </c>
      <c r="J376" t="str">
        <f t="shared" si="11"/>
        <v>Normal</v>
      </c>
    </row>
    <row r="377" spans="1:10" x14ac:dyDescent="0.35">
      <c r="A377" t="s">
        <v>377</v>
      </c>
      <c r="B377">
        <v>22.42</v>
      </c>
      <c r="C377">
        <v>4.68</v>
      </c>
      <c r="D377" t="s">
        <v>2346</v>
      </c>
      <c r="E377" t="s">
        <v>2344</v>
      </c>
      <c r="F377" t="s">
        <v>2344</v>
      </c>
      <c r="G377">
        <v>1</v>
      </c>
      <c r="H377" t="s">
        <v>2344</v>
      </c>
      <c r="I377" t="str">
        <f t="shared" si="10"/>
        <v>Normal Weight</v>
      </c>
      <c r="J377" t="str">
        <f t="shared" si="11"/>
        <v>Normal</v>
      </c>
    </row>
    <row r="378" spans="1:10" x14ac:dyDescent="0.35">
      <c r="A378" t="s">
        <v>378</v>
      </c>
      <c r="B378">
        <v>31.35</v>
      </c>
      <c r="C378">
        <v>4.33</v>
      </c>
      <c r="D378" t="s">
        <v>2346</v>
      </c>
      <c r="E378" t="s">
        <v>2344</v>
      </c>
      <c r="F378" t="s">
        <v>2346</v>
      </c>
      <c r="G378">
        <v>1</v>
      </c>
      <c r="H378" t="s">
        <v>2344</v>
      </c>
      <c r="I378" t="str">
        <f t="shared" si="10"/>
        <v>Obesity</v>
      </c>
      <c r="J378" t="str">
        <f t="shared" si="11"/>
        <v>Normal</v>
      </c>
    </row>
    <row r="379" spans="1:10" x14ac:dyDescent="0.35">
      <c r="A379" t="s">
        <v>379</v>
      </c>
      <c r="B379">
        <v>31.9</v>
      </c>
      <c r="C379">
        <v>11.89</v>
      </c>
      <c r="D379" t="s">
        <v>2344</v>
      </c>
      <c r="E379" t="s">
        <v>2344</v>
      </c>
      <c r="F379" t="s">
        <v>2344</v>
      </c>
      <c r="G379">
        <v>0</v>
      </c>
      <c r="H379" t="s">
        <v>2344</v>
      </c>
      <c r="I379" t="str">
        <f t="shared" si="10"/>
        <v>Obesity</v>
      </c>
      <c r="J379" t="str">
        <f t="shared" si="11"/>
        <v>Diabetes</v>
      </c>
    </row>
    <row r="380" spans="1:10" x14ac:dyDescent="0.35">
      <c r="A380" t="s">
        <v>380</v>
      </c>
      <c r="B380">
        <v>30.6</v>
      </c>
      <c r="C380">
        <v>5.24</v>
      </c>
      <c r="D380" t="s">
        <v>2344</v>
      </c>
      <c r="E380" t="s">
        <v>2344</v>
      </c>
      <c r="F380" t="s">
        <v>2344</v>
      </c>
      <c r="G380">
        <v>0</v>
      </c>
      <c r="H380" t="s">
        <v>2346</v>
      </c>
      <c r="I380" t="str">
        <f t="shared" si="10"/>
        <v>Obesity</v>
      </c>
      <c r="J380" t="str">
        <f t="shared" si="11"/>
        <v>Normal</v>
      </c>
    </row>
    <row r="381" spans="1:10" x14ac:dyDescent="0.35">
      <c r="A381" t="s">
        <v>381</v>
      </c>
      <c r="B381">
        <v>28.975000000000001</v>
      </c>
      <c r="C381">
        <v>7.63</v>
      </c>
      <c r="D381" t="s">
        <v>2344</v>
      </c>
      <c r="E381" t="s">
        <v>2344</v>
      </c>
      <c r="F381" t="s">
        <v>2344</v>
      </c>
      <c r="G381">
        <v>0</v>
      </c>
      <c r="H381" t="s">
        <v>2346</v>
      </c>
      <c r="I381" t="str">
        <f t="shared" si="10"/>
        <v>Over weight</v>
      </c>
      <c r="J381" t="str">
        <f t="shared" si="11"/>
        <v>Diabetes</v>
      </c>
    </row>
    <row r="382" spans="1:10" x14ac:dyDescent="0.35">
      <c r="A382" t="s">
        <v>382</v>
      </c>
      <c r="B382">
        <v>24.86</v>
      </c>
      <c r="C382">
        <v>8.92</v>
      </c>
      <c r="D382" t="s">
        <v>2346</v>
      </c>
      <c r="E382" t="s">
        <v>2344</v>
      </c>
      <c r="F382" t="s">
        <v>2344</v>
      </c>
      <c r="G382">
        <v>1</v>
      </c>
      <c r="H382" t="s">
        <v>2344</v>
      </c>
      <c r="I382" t="str">
        <f t="shared" si="10"/>
        <v>Normal Weight</v>
      </c>
      <c r="J382" t="str">
        <f t="shared" si="11"/>
        <v>Diabetes</v>
      </c>
    </row>
    <row r="383" spans="1:10" x14ac:dyDescent="0.35">
      <c r="A383" t="s">
        <v>383</v>
      </c>
      <c r="B383">
        <v>19.54</v>
      </c>
      <c r="C383">
        <v>5.37</v>
      </c>
      <c r="D383" t="s">
        <v>2344</v>
      </c>
      <c r="E383" t="s">
        <v>2344</v>
      </c>
      <c r="F383" t="s">
        <v>2344</v>
      </c>
      <c r="G383">
        <v>0</v>
      </c>
      <c r="H383" t="s">
        <v>2346</v>
      </c>
      <c r="I383" t="str">
        <f t="shared" si="10"/>
        <v>Normal Weight</v>
      </c>
      <c r="J383" t="str">
        <f t="shared" si="11"/>
        <v>Normal</v>
      </c>
    </row>
    <row r="384" spans="1:10" x14ac:dyDescent="0.35">
      <c r="A384" t="s">
        <v>384</v>
      </c>
      <c r="B384">
        <v>26.74</v>
      </c>
      <c r="C384">
        <v>4.3099999999999996</v>
      </c>
      <c r="D384" t="s">
        <v>2344</v>
      </c>
      <c r="E384" t="s">
        <v>2344</v>
      </c>
      <c r="F384" t="s">
        <v>2344</v>
      </c>
      <c r="G384">
        <v>0</v>
      </c>
      <c r="H384" t="s">
        <v>2346</v>
      </c>
      <c r="I384" t="str">
        <f t="shared" si="10"/>
        <v>Over weight</v>
      </c>
      <c r="J384" t="str">
        <f t="shared" si="11"/>
        <v>Normal</v>
      </c>
    </row>
    <row r="385" spans="1:10" x14ac:dyDescent="0.35">
      <c r="A385" t="s">
        <v>385</v>
      </c>
      <c r="B385">
        <v>22.99</v>
      </c>
      <c r="C385">
        <v>10.46</v>
      </c>
      <c r="D385" t="s">
        <v>2344</v>
      </c>
      <c r="E385" t="s">
        <v>2344</v>
      </c>
      <c r="F385" t="s">
        <v>2344</v>
      </c>
      <c r="G385">
        <v>1</v>
      </c>
      <c r="H385" t="s">
        <v>2346</v>
      </c>
      <c r="I385" t="str">
        <f t="shared" si="10"/>
        <v>Normal Weight</v>
      </c>
      <c r="J385" t="str">
        <f t="shared" si="11"/>
        <v>Diabetes</v>
      </c>
    </row>
    <row r="386" spans="1:10" x14ac:dyDescent="0.35">
      <c r="A386" t="s">
        <v>386</v>
      </c>
      <c r="B386">
        <v>31.46</v>
      </c>
      <c r="C386">
        <v>7.39</v>
      </c>
      <c r="D386" t="s">
        <v>2344</v>
      </c>
      <c r="E386" t="s">
        <v>2344</v>
      </c>
      <c r="F386" t="s">
        <v>2344</v>
      </c>
      <c r="G386">
        <v>0</v>
      </c>
      <c r="H386" t="s">
        <v>2344</v>
      </c>
      <c r="I386" t="str">
        <f t="shared" si="10"/>
        <v>Obesity</v>
      </c>
      <c r="J386" t="str">
        <f t="shared" si="11"/>
        <v>Diabetes</v>
      </c>
    </row>
    <row r="387" spans="1:10" x14ac:dyDescent="0.35">
      <c r="A387" t="s">
        <v>387</v>
      </c>
      <c r="B387">
        <v>30.86</v>
      </c>
      <c r="C387">
        <v>6.18</v>
      </c>
      <c r="D387" t="s">
        <v>2344</v>
      </c>
      <c r="E387" t="s">
        <v>2345</v>
      </c>
      <c r="F387" t="s">
        <v>2344</v>
      </c>
      <c r="G387">
        <v>1</v>
      </c>
      <c r="H387" t="s">
        <v>2346</v>
      </c>
      <c r="I387" t="str">
        <f t="shared" ref="I387:I450" si="12">IF(B387&lt;18.5,"Under Weight",IF(B387&lt;25,"Normal Weight",IF(B387&lt;30,"Over weight","Obesity")))</f>
        <v>Obesity</v>
      </c>
      <c r="J387" t="str">
        <f t="shared" ref="J387:J450" si="13">IF(C387&lt;5.7,"Normal",IF(C387&lt;6.5,"Prediabetes","Diabetes"))</f>
        <v>Prediabetes</v>
      </c>
    </row>
    <row r="388" spans="1:10" x14ac:dyDescent="0.35">
      <c r="A388" t="s">
        <v>388</v>
      </c>
      <c r="B388">
        <v>31.96</v>
      </c>
      <c r="C388">
        <v>8.86</v>
      </c>
      <c r="D388" t="s">
        <v>2344</v>
      </c>
      <c r="E388" t="s">
        <v>2344</v>
      </c>
      <c r="F388" t="s">
        <v>2344</v>
      </c>
      <c r="G388">
        <v>0</v>
      </c>
      <c r="H388" t="s">
        <v>2346</v>
      </c>
      <c r="I388" t="str">
        <f t="shared" si="12"/>
        <v>Obesity</v>
      </c>
      <c r="J388" t="str">
        <f t="shared" si="13"/>
        <v>Diabetes</v>
      </c>
    </row>
    <row r="389" spans="1:10" x14ac:dyDescent="0.35">
      <c r="A389" t="s">
        <v>389</v>
      </c>
      <c r="B389">
        <v>23.76</v>
      </c>
      <c r="C389">
        <v>10.96</v>
      </c>
      <c r="D389" t="s">
        <v>2344</v>
      </c>
      <c r="E389" t="s">
        <v>2344</v>
      </c>
      <c r="F389" t="s">
        <v>2344</v>
      </c>
      <c r="G389">
        <v>1</v>
      </c>
      <c r="H389" t="s">
        <v>2346</v>
      </c>
      <c r="I389" t="str">
        <f t="shared" si="12"/>
        <v>Normal Weight</v>
      </c>
      <c r="J389" t="str">
        <f t="shared" si="13"/>
        <v>Diabetes</v>
      </c>
    </row>
    <row r="390" spans="1:10" x14ac:dyDescent="0.35">
      <c r="A390" t="s">
        <v>390</v>
      </c>
      <c r="B390">
        <v>19.38</v>
      </c>
      <c r="C390">
        <v>6.28</v>
      </c>
      <c r="D390" t="s">
        <v>2344</v>
      </c>
      <c r="E390" t="s">
        <v>2344</v>
      </c>
      <c r="F390" t="s">
        <v>2344</v>
      </c>
      <c r="G390">
        <v>0</v>
      </c>
      <c r="H390" t="s">
        <v>2346</v>
      </c>
      <c r="I390" t="str">
        <f t="shared" si="12"/>
        <v>Normal Weight</v>
      </c>
      <c r="J390" t="str">
        <f t="shared" si="13"/>
        <v>Prediabetes</v>
      </c>
    </row>
    <row r="391" spans="1:10" x14ac:dyDescent="0.35">
      <c r="A391" t="s">
        <v>391</v>
      </c>
      <c r="B391">
        <v>16.21</v>
      </c>
      <c r="C391">
        <v>6.29</v>
      </c>
      <c r="D391" t="s">
        <v>2346</v>
      </c>
      <c r="E391" t="s">
        <v>2344</v>
      </c>
      <c r="F391" t="s">
        <v>2344</v>
      </c>
      <c r="G391">
        <v>1</v>
      </c>
      <c r="H391" t="s">
        <v>2346</v>
      </c>
      <c r="I391" t="str">
        <f t="shared" si="12"/>
        <v>Under Weight</v>
      </c>
      <c r="J391" t="str">
        <f t="shared" si="13"/>
        <v>Prediabetes</v>
      </c>
    </row>
    <row r="392" spans="1:10" x14ac:dyDescent="0.35">
      <c r="A392" t="s">
        <v>392</v>
      </c>
      <c r="B392">
        <v>32.54</v>
      </c>
      <c r="C392">
        <v>4.0199999999999996</v>
      </c>
      <c r="D392" t="s">
        <v>2344</v>
      </c>
      <c r="E392" t="s">
        <v>2345</v>
      </c>
      <c r="F392" t="s">
        <v>2344</v>
      </c>
      <c r="G392">
        <v>1</v>
      </c>
      <c r="H392" t="s">
        <v>2346</v>
      </c>
      <c r="I392" t="str">
        <f t="shared" si="12"/>
        <v>Obesity</v>
      </c>
      <c r="J392" t="str">
        <f t="shared" si="13"/>
        <v>Normal</v>
      </c>
    </row>
    <row r="393" spans="1:10" x14ac:dyDescent="0.35">
      <c r="A393" t="s">
        <v>393</v>
      </c>
      <c r="B393">
        <v>36.765000000000001</v>
      </c>
      <c r="C393">
        <v>11.95</v>
      </c>
      <c r="D393" t="s">
        <v>2346</v>
      </c>
      <c r="E393" t="s">
        <v>2344</v>
      </c>
      <c r="F393" t="s">
        <v>2344</v>
      </c>
      <c r="G393">
        <v>1</v>
      </c>
      <c r="H393" t="s">
        <v>2344</v>
      </c>
      <c r="I393" t="str">
        <f t="shared" si="12"/>
        <v>Obesity</v>
      </c>
      <c r="J393" t="str">
        <f t="shared" si="13"/>
        <v>Diabetes</v>
      </c>
    </row>
    <row r="394" spans="1:10" x14ac:dyDescent="0.35">
      <c r="A394" t="s">
        <v>394</v>
      </c>
      <c r="B394">
        <v>35.909999999999997</v>
      </c>
      <c r="C394">
        <v>8.7100000000000009</v>
      </c>
      <c r="D394" t="s">
        <v>2344</v>
      </c>
      <c r="E394" t="s">
        <v>2344</v>
      </c>
      <c r="F394" t="s">
        <v>2344</v>
      </c>
      <c r="G394">
        <v>0</v>
      </c>
      <c r="H394" t="s">
        <v>2344</v>
      </c>
      <c r="I394" t="str">
        <f t="shared" si="12"/>
        <v>Obesity</v>
      </c>
      <c r="J394" t="str">
        <f t="shared" si="13"/>
        <v>Diabetes</v>
      </c>
    </row>
    <row r="395" spans="1:10" x14ac:dyDescent="0.35">
      <c r="A395" t="s">
        <v>395</v>
      </c>
      <c r="B395">
        <v>32.06</v>
      </c>
      <c r="C395">
        <v>4.67</v>
      </c>
      <c r="D395" t="s">
        <v>2344</v>
      </c>
      <c r="E395" t="s">
        <v>2345</v>
      </c>
      <c r="F395" t="s">
        <v>2344</v>
      </c>
      <c r="G395">
        <v>1</v>
      </c>
      <c r="H395" t="s">
        <v>2346</v>
      </c>
      <c r="I395" t="str">
        <f t="shared" si="12"/>
        <v>Obesity</v>
      </c>
      <c r="J395" t="str">
        <f t="shared" si="13"/>
        <v>Normal</v>
      </c>
    </row>
    <row r="396" spans="1:10" x14ac:dyDescent="0.35">
      <c r="A396" t="s">
        <v>396</v>
      </c>
      <c r="B396">
        <v>24.1</v>
      </c>
      <c r="C396">
        <v>11.14</v>
      </c>
      <c r="D396" t="s">
        <v>2346</v>
      </c>
      <c r="E396" t="s">
        <v>2344</v>
      </c>
      <c r="F396" t="s">
        <v>2344</v>
      </c>
      <c r="G396">
        <v>1</v>
      </c>
      <c r="H396" t="s">
        <v>2344</v>
      </c>
      <c r="I396" t="str">
        <f t="shared" si="12"/>
        <v>Normal Weight</v>
      </c>
      <c r="J396" t="str">
        <f t="shared" si="13"/>
        <v>Diabetes</v>
      </c>
    </row>
    <row r="397" spans="1:10" x14ac:dyDescent="0.35">
      <c r="A397" t="s">
        <v>397</v>
      </c>
      <c r="B397">
        <v>27.1</v>
      </c>
      <c r="C397">
        <v>9.0500000000000007</v>
      </c>
      <c r="D397" t="s">
        <v>2344</v>
      </c>
      <c r="E397" t="s">
        <v>2344</v>
      </c>
      <c r="F397" t="s">
        <v>2344</v>
      </c>
      <c r="G397">
        <v>1</v>
      </c>
      <c r="H397" t="s">
        <v>2344</v>
      </c>
      <c r="I397" t="str">
        <f t="shared" si="12"/>
        <v>Over weight</v>
      </c>
      <c r="J397" t="str">
        <f t="shared" si="13"/>
        <v>Diabetes</v>
      </c>
    </row>
    <row r="398" spans="1:10" x14ac:dyDescent="0.35">
      <c r="A398" t="s">
        <v>398</v>
      </c>
      <c r="B398">
        <v>24.42</v>
      </c>
      <c r="C398">
        <v>11.31</v>
      </c>
      <c r="D398" t="s">
        <v>2344</v>
      </c>
      <c r="E398" t="s">
        <v>2344</v>
      </c>
      <c r="F398" t="s">
        <v>2344</v>
      </c>
      <c r="G398">
        <v>0</v>
      </c>
      <c r="H398" t="s">
        <v>2346</v>
      </c>
      <c r="I398" t="str">
        <f t="shared" si="12"/>
        <v>Normal Weight</v>
      </c>
      <c r="J398" t="str">
        <f t="shared" si="13"/>
        <v>Diabetes</v>
      </c>
    </row>
    <row r="399" spans="1:10" x14ac:dyDescent="0.35">
      <c r="A399" t="s">
        <v>399</v>
      </c>
      <c r="B399">
        <v>26.695</v>
      </c>
      <c r="C399">
        <v>4.68</v>
      </c>
      <c r="D399" t="s">
        <v>2346</v>
      </c>
      <c r="E399" t="s">
        <v>2344</v>
      </c>
      <c r="F399" t="s">
        <v>2344</v>
      </c>
      <c r="G399">
        <v>1</v>
      </c>
      <c r="H399" t="s">
        <v>2346</v>
      </c>
      <c r="I399" t="str">
        <f t="shared" si="12"/>
        <v>Over weight</v>
      </c>
      <c r="J399" t="str">
        <f t="shared" si="13"/>
        <v>Normal</v>
      </c>
    </row>
    <row r="400" spans="1:10" x14ac:dyDescent="0.35">
      <c r="A400" t="s">
        <v>400</v>
      </c>
      <c r="B400">
        <v>27.79</v>
      </c>
      <c r="C400">
        <v>6.05</v>
      </c>
      <c r="D400" t="s">
        <v>2346</v>
      </c>
      <c r="E400" t="s">
        <v>2345</v>
      </c>
      <c r="F400" t="s">
        <v>2344</v>
      </c>
      <c r="G400">
        <v>1</v>
      </c>
      <c r="H400" t="s">
        <v>2346</v>
      </c>
      <c r="I400" t="str">
        <f t="shared" si="12"/>
        <v>Over weight</v>
      </c>
      <c r="J400" t="str">
        <f t="shared" si="13"/>
        <v>Prediabetes</v>
      </c>
    </row>
    <row r="401" spans="1:10" x14ac:dyDescent="0.35">
      <c r="A401" t="s">
        <v>401</v>
      </c>
      <c r="B401">
        <v>32.68</v>
      </c>
      <c r="C401">
        <v>4.68</v>
      </c>
      <c r="D401" t="s">
        <v>2346</v>
      </c>
      <c r="E401" t="s">
        <v>2344</v>
      </c>
      <c r="F401" t="s">
        <v>2344</v>
      </c>
      <c r="G401">
        <v>0</v>
      </c>
      <c r="H401" t="s">
        <v>2344</v>
      </c>
      <c r="I401" t="str">
        <f t="shared" si="12"/>
        <v>Obesity</v>
      </c>
      <c r="J401" t="str">
        <f t="shared" si="13"/>
        <v>Normal</v>
      </c>
    </row>
    <row r="402" spans="1:10" x14ac:dyDescent="0.35">
      <c r="A402" t="s">
        <v>402</v>
      </c>
      <c r="B402">
        <v>26.4</v>
      </c>
      <c r="C402">
        <v>9.5</v>
      </c>
      <c r="D402" t="s">
        <v>2346</v>
      </c>
      <c r="E402" t="s">
        <v>2344</v>
      </c>
      <c r="F402" t="s">
        <v>2344</v>
      </c>
      <c r="G402">
        <v>1</v>
      </c>
      <c r="H402" t="s">
        <v>2344</v>
      </c>
      <c r="I402" t="str">
        <f t="shared" si="12"/>
        <v>Over weight</v>
      </c>
      <c r="J402" t="str">
        <f t="shared" si="13"/>
        <v>Diabetes</v>
      </c>
    </row>
    <row r="403" spans="1:10" x14ac:dyDescent="0.35">
      <c r="A403" t="s">
        <v>403</v>
      </c>
      <c r="B403">
        <v>23.655000000000001</v>
      </c>
      <c r="C403">
        <v>10.84</v>
      </c>
      <c r="D403" t="s">
        <v>2346</v>
      </c>
      <c r="E403" t="s">
        <v>2344</v>
      </c>
      <c r="F403" t="s">
        <v>2346</v>
      </c>
      <c r="G403">
        <v>1</v>
      </c>
      <c r="H403" t="s">
        <v>2346</v>
      </c>
      <c r="I403" t="str">
        <f t="shared" si="12"/>
        <v>Normal Weight</v>
      </c>
      <c r="J403" t="str">
        <f t="shared" si="13"/>
        <v>Diabetes</v>
      </c>
    </row>
    <row r="404" spans="1:10" x14ac:dyDescent="0.35">
      <c r="A404" t="s">
        <v>404</v>
      </c>
      <c r="B404">
        <v>27.36</v>
      </c>
      <c r="C404">
        <v>5.88</v>
      </c>
      <c r="D404" t="s">
        <v>2344</v>
      </c>
      <c r="E404" t="s">
        <v>2344</v>
      </c>
      <c r="F404" t="s">
        <v>2344</v>
      </c>
      <c r="G404">
        <v>1</v>
      </c>
      <c r="H404" t="s">
        <v>2344</v>
      </c>
      <c r="I404" t="str">
        <f t="shared" si="12"/>
        <v>Over weight</v>
      </c>
      <c r="J404" t="str">
        <f t="shared" si="13"/>
        <v>Prediabetes</v>
      </c>
    </row>
    <row r="405" spans="1:10" x14ac:dyDescent="0.35">
      <c r="A405" t="s">
        <v>405</v>
      </c>
      <c r="B405">
        <v>27.82</v>
      </c>
      <c r="C405">
        <v>5.24</v>
      </c>
      <c r="D405" t="s">
        <v>2346</v>
      </c>
      <c r="E405" t="s">
        <v>2344</v>
      </c>
      <c r="F405" t="s">
        <v>2344</v>
      </c>
      <c r="G405">
        <v>0</v>
      </c>
      <c r="H405" t="s">
        <v>2346</v>
      </c>
      <c r="I405" t="str">
        <f t="shared" si="12"/>
        <v>Over weight</v>
      </c>
      <c r="J405" t="str">
        <f t="shared" si="13"/>
        <v>Normal</v>
      </c>
    </row>
    <row r="406" spans="1:10" x14ac:dyDescent="0.35">
      <c r="A406" t="s">
        <v>406</v>
      </c>
      <c r="B406">
        <v>25.46</v>
      </c>
      <c r="C406">
        <v>11.75</v>
      </c>
      <c r="D406" t="s">
        <v>2344</v>
      </c>
      <c r="E406" t="s">
        <v>2344</v>
      </c>
      <c r="F406" t="s">
        <v>2344</v>
      </c>
      <c r="G406">
        <v>0</v>
      </c>
      <c r="H406" t="s">
        <v>2344</v>
      </c>
      <c r="I406" t="str">
        <f t="shared" si="12"/>
        <v>Over weight</v>
      </c>
      <c r="J406" t="str">
        <f t="shared" si="13"/>
        <v>Diabetes</v>
      </c>
    </row>
    <row r="407" spans="1:10" x14ac:dyDescent="0.35">
      <c r="A407" t="s">
        <v>407</v>
      </c>
      <c r="B407">
        <v>25.1</v>
      </c>
      <c r="C407">
        <v>6.97</v>
      </c>
      <c r="D407" t="s">
        <v>2344</v>
      </c>
      <c r="E407" t="s">
        <v>2344</v>
      </c>
      <c r="F407" t="s">
        <v>2344</v>
      </c>
      <c r="G407">
        <v>0</v>
      </c>
      <c r="H407" t="s">
        <v>2346</v>
      </c>
      <c r="I407" t="str">
        <f t="shared" si="12"/>
        <v>Over weight</v>
      </c>
      <c r="J407" t="str">
        <f t="shared" si="13"/>
        <v>Diabetes</v>
      </c>
    </row>
    <row r="408" spans="1:10" x14ac:dyDescent="0.35">
      <c r="A408" t="s">
        <v>408</v>
      </c>
      <c r="B408">
        <v>32.11</v>
      </c>
      <c r="C408">
        <v>4.76</v>
      </c>
      <c r="D408" t="s">
        <v>2344</v>
      </c>
      <c r="E408" t="s">
        <v>2344</v>
      </c>
      <c r="F408" t="s">
        <v>2344</v>
      </c>
      <c r="G408">
        <v>1</v>
      </c>
      <c r="H408" t="s">
        <v>2344</v>
      </c>
      <c r="I408" t="str">
        <f t="shared" si="12"/>
        <v>Obesity</v>
      </c>
      <c r="J408" t="str">
        <f t="shared" si="13"/>
        <v>Normal</v>
      </c>
    </row>
    <row r="409" spans="1:10" x14ac:dyDescent="0.35">
      <c r="A409" t="s">
        <v>409</v>
      </c>
      <c r="B409">
        <v>29.8</v>
      </c>
      <c r="C409">
        <v>8.24</v>
      </c>
      <c r="D409" t="s">
        <v>2346</v>
      </c>
      <c r="E409" t="s">
        <v>2344</v>
      </c>
      <c r="F409" t="s">
        <v>2344</v>
      </c>
      <c r="G409">
        <v>1</v>
      </c>
      <c r="H409" t="s">
        <v>2346</v>
      </c>
      <c r="I409" t="str">
        <f t="shared" si="12"/>
        <v>Over weight</v>
      </c>
      <c r="J409" t="str">
        <f t="shared" si="13"/>
        <v>Diabetes</v>
      </c>
    </row>
    <row r="410" spans="1:10" x14ac:dyDescent="0.35">
      <c r="A410" t="s">
        <v>410</v>
      </c>
      <c r="B410">
        <v>24.01</v>
      </c>
      <c r="C410">
        <v>4.76</v>
      </c>
      <c r="D410" t="s">
        <v>2344</v>
      </c>
      <c r="E410" t="s">
        <v>2344</v>
      </c>
      <c r="F410" t="s">
        <v>2344</v>
      </c>
      <c r="G410">
        <v>1</v>
      </c>
      <c r="H410" t="s">
        <v>2346</v>
      </c>
      <c r="I410" t="str">
        <f t="shared" si="12"/>
        <v>Normal Weight</v>
      </c>
      <c r="J410" t="str">
        <f t="shared" si="13"/>
        <v>Normal</v>
      </c>
    </row>
    <row r="411" spans="1:10" x14ac:dyDescent="0.35">
      <c r="A411" t="s">
        <v>411</v>
      </c>
      <c r="B411">
        <v>23.21</v>
      </c>
      <c r="C411">
        <v>6.03</v>
      </c>
      <c r="D411" t="s">
        <v>2344</v>
      </c>
      <c r="E411" t="s">
        <v>2344</v>
      </c>
      <c r="F411" t="s">
        <v>2344</v>
      </c>
      <c r="G411">
        <v>1</v>
      </c>
      <c r="H411" t="s">
        <v>2344</v>
      </c>
      <c r="I411" t="str">
        <f t="shared" si="12"/>
        <v>Normal Weight</v>
      </c>
      <c r="J411" t="str">
        <f t="shared" si="13"/>
        <v>Prediabetes</v>
      </c>
    </row>
    <row r="412" spans="1:10" x14ac:dyDescent="0.35">
      <c r="A412" t="s">
        <v>412</v>
      </c>
      <c r="B412">
        <v>21.2</v>
      </c>
      <c r="C412">
        <v>4.07</v>
      </c>
      <c r="D412" t="s">
        <v>2346</v>
      </c>
      <c r="E412" t="s">
        <v>2344</v>
      </c>
      <c r="F412" t="s">
        <v>2344</v>
      </c>
      <c r="G412">
        <v>1</v>
      </c>
      <c r="H412" t="s">
        <v>2346</v>
      </c>
      <c r="I412" t="str">
        <f t="shared" si="12"/>
        <v>Normal Weight</v>
      </c>
      <c r="J412" t="str">
        <f t="shared" si="13"/>
        <v>Normal</v>
      </c>
    </row>
    <row r="413" spans="1:10" x14ac:dyDescent="0.35">
      <c r="A413" t="s">
        <v>413</v>
      </c>
      <c r="B413">
        <v>28.215</v>
      </c>
      <c r="C413">
        <v>8.26</v>
      </c>
      <c r="D413" t="s">
        <v>2346</v>
      </c>
      <c r="E413" t="s">
        <v>2344</v>
      </c>
      <c r="F413" t="s">
        <v>2344</v>
      </c>
      <c r="G413">
        <v>1</v>
      </c>
      <c r="H413" t="s">
        <v>2346</v>
      </c>
      <c r="I413" t="str">
        <f t="shared" si="12"/>
        <v>Over weight</v>
      </c>
      <c r="J413" t="str">
        <f t="shared" si="13"/>
        <v>Diabetes</v>
      </c>
    </row>
    <row r="414" spans="1:10" x14ac:dyDescent="0.35">
      <c r="A414" t="s">
        <v>414</v>
      </c>
      <c r="B414">
        <v>38.094999999999999</v>
      </c>
      <c r="C414">
        <v>4.76</v>
      </c>
      <c r="D414" t="s">
        <v>2344</v>
      </c>
      <c r="E414" t="s">
        <v>2344</v>
      </c>
      <c r="F414" t="s">
        <v>2344</v>
      </c>
      <c r="G414">
        <v>1</v>
      </c>
      <c r="H414" t="s">
        <v>2344</v>
      </c>
      <c r="I414" t="str">
        <f t="shared" si="12"/>
        <v>Obesity</v>
      </c>
      <c r="J414" t="str">
        <f t="shared" si="13"/>
        <v>Normal</v>
      </c>
    </row>
    <row r="415" spans="1:10" x14ac:dyDescent="0.35">
      <c r="A415" t="s">
        <v>415</v>
      </c>
      <c r="B415">
        <v>22.61</v>
      </c>
      <c r="C415">
        <v>6.13</v>
      </c>
      <c r="D415" t="s">
        <v>2346</v>
      </c>
      <c r="E415" t="s">
        <v>2344</v>
      </c>
      <c r="F415" t="s">
        <v>2346</v>
      </c>
      <c r="G415">
        <v>1</v>
      </c>
      <c r="H415" t="s">
        <v>2346</v>
      </c>
      <c r="I415" t="str">
        <f t="shared" si="12"/>
        <v>Normal Weight</v>
      </c>
      <c r="J415" t="str">
        <f t="shared" si="13"/>
        <v>Prediabetes</v>
      </c>
    </row>
    <row r="416" spans="1:10" x14ac:dyDescent="0.35">
      <c r="A416" t="s">
        <v>416</v>
      </c>
      <c r="B416">
        <v>24.32</v>
      </c>
      <c r="C416">
        <v>10.47</v>
      </c>
      <c r="D416" t="s">
        <v>2346</v>
      </c>
      <c r="E416" t="s">
        <v>2344</v>
      </c>
      <c r="F416" t="s">
        <v>2344</v>
      </c>
      <c r="G416">
        <v>1</v>
      </c>
      <c r="H416" t="s">
        <v>2346</v>
      </c>
      <c r="I416" t="str">
        <f t="shared" si="12"/>
        <v>Normal Weight</v>
      </c>
      <c r="J416" t="str">
        <f t="shared" si="13"/>
        <v>Diabetes</v>
      </c>
    </row>
    <row r="417" spans="1:10" x14ac:dyDescent="0.35">
      <c r="A417" t="s">
        <v>417</v>
      </c>
      <c r="B417">
        <v>20.96</v>
      </c>
      <c r="C417">
        <v>4.04</v>
      </c>
      <c r="D417" t="s">
        <v>2346</v>
      </c>
      <c r="E417" t="s">
        <v>2344</v>
      </c>
      <c r="F417" t="s">
        <v>2344</v>
      </c>
      <c r="G417">
        <v>1</v>
      </c>
      <c r="H417" t="s">
        <v>2346</v>
      </c>
      <c r="I417" t="str">
        <f t="shared" si="12"/>
        <v>Normal Weight</v>
      </c>
      <c r="J417" t="str">
        <f t="shared" si="13"/>
        <v>Normal</v>
      </c>
    </row>
    <row r="418" spans="1:10" x14ac:dyDescent="0.35">
      <c r="A418" t="s">
        <v>418</v>
      </c>
      <c r="B418">
        <v>19.68</v>
      </c>
      <c r="C418">
        <v>5.74</v>
      </c>
      <c r="D418" t="s">
        <v>2344</v>
      </c>
      <c r="E418" t="s">
        <v>2344</v>
      </c>
      <c r="F418" t="s">
        <v>2344</v>
      </c>
      <c r="G418">
        <v>0</v>
      </c>
      <c r="H418" t="s">
        <v>2346</v>
      </c>
      <c r="I418" t="str">
        <f t="shared" si="12"/>
        <v>Normal Weight</v>
      </c>
      <c r="J418" t="str">
        <f t="shared" si="13"/>
        <v>Prediabetes</v>
      </c>
    </row>
    <row r="419" spans="1:10" x14ac:dyDescent="0.35">
      <c r="A419" t="s">
        <v>419</v>
      </c>
      <c r="B419">
        <v>18.100000000000001</v>
      </c>
      <c r="C419">
        <v>6.33</v>
      </c>
      <c r="D419" t="s">
        <v>2344</v>
      </c>
      <c r="E419" t="s">
        <v>2344</v>
      </c>
      <c r="F419" t="s">
        <v>2344</v>
      </c>
      <c r="G419">
        <v>1</v>
      </c>
      <c r="H419" t="s">
        <v>2346</v>
      </c>
      <c r="I419" t="str">
        <f t="shared" si="12"/>
        <v>Under Weight</v>
      </c>
      <c r="J419" t="str">
        <f t="shared" si="13"/>
        <v>Prediabetes</v>
      </c>
    </row>
    <row r="420" spans="1:10" x14ac:dyDescent="0.35">
      <c r="A420" t="s">
        <v>420</v>
      </c>
      <c r="B420">
        <v>29.64</v>
      </c>
      <c r="C420">
        <v>4.28</v>
      </c>
      <c r="D420" t="s">
        <v>2346</v>
      </c>
      <c r="E420" t="s">
        <v>2344</v>
      </c>
      <c r="F420" t="s">
        <v>2344</v>
      </c>
      <c r="G420">
        <v>0</v>
      </c>
      <c r="H420" t="s">
        <v>2344</v>
      </c>
      <c r="I420" t="str">
        <f t="shared" si="12"/>
        <v>Over weight</v>
      </c>
      <c r="J420" t="str">
        <f t="shared" si="13"/>
        <v>Normal</v>
      </c>
    </row>
    <row r="421" spans="1:10" x14ac:dyDescent="0.35">
      <c r="A421" t="s">
        <v>421</v>
      </c>
      <c r="B421">
        <v>25.3</v>
      </c>
      <c r="C421">
        <v>9.4700000000000006</v>
      </c>
      <c r="D421" t="s">
        <v>2346</v>
      </c>
      <c r="E421" t="s">
        <v>2344</v>
      </c>
      <c r="F421" t="s">
        <v>2344</v>
      </c>
      <c r="G421">
        <v>1</v>
      </c>
      <c r="H421" t="s">
        <v>2346</v>
      </c>
      <c r="I421" t="str">
        <f t="shared" si="12"/>
        <v>Over weight</v>
      </c>
      <c r="J421" t="str">
        <f t="shared" si="13"/>
        <v>Diabetes</v>
      </c>
    </row>
    <row r="422" spans="1:10" x14ac:dyDescent="0.35">
      <c r="A422" t="s">
        <v>422</v>
      </c>
      <c r="B422">
        <v>27.6</v>
      </c>
      <c r="C422">
        <v>4.8499999999999996</v>
      </c>
      <c r="D422" t="s">
        <v>2346</v>
      </c>
      <c r="E422" t="s">
        <v>2344</v>
      </c>
      <c r="F422" t="s">
        <v>2344</v>
      </c>
      <c r="G422">
        <v>0</v>
      </c>
      <c r="H422" t="s">
        <v>2344</v>
      </c>
      <c r="I422" t="str">
        <f t="shared" si="12"/>
        <v>Over weight</v>
      </c>
      <c r="J422" t="str">
        <f t="shared" si="13"/>
        <v>Normal</v>
      </c>
    </row>
    <row r="423" spans="1:10" x14ac:dyDescent="0.35">
      <c r="A423" t="s">
        <v>423</v>
      </c>
      <c r="B423">
        <v>27.645</v>
      </c>
      <c r="C423">
        <v>11.03</v>
      </c>
      <c r="D423" t="s">
        <v>2346</v>
      </c>
      <c r="E423" t="s">
        <v>2344</v>
      </c>
      <c r="F423" t="s">
        <v>2344</v>
      </c>
      <c r="G423">
        <v>1</v>
      </c>
      <c r="H423" t="s">
        <v>2346</v>
      </c>
      <c r="I423" t="str">
        <f t="shared" si="12"/>
        <v>Over weight</v>
      </c>
      <c r="J423" t="str">
        <f t="shared" si="13"/>
        <v>Diabetes</v>
      </c>
    </row>
    <row r="424" spans="1:10" x14ac:dyDescent="0.35">
      <c r="A424" t="s">
        <v>424</v>
      </c>
      <c r="B424">
        <v>27.6</v>
      </c>
      <c r="C424">
        <v>5.22</v>
      </c>
      <c r="D424" t="s">
        <v>2344</v>
      </c>
      <c r="E424" t="s">
        <v>2344</v>
      </c>
      <c r="F424" t="s">
        <v>2344</v>
      </c>
      <c r="G424">
        <v>1</v>
      </c>
      <c r="H424" t="s">
        <v>2346</v>
      </c>
      <c r="I424" t="str">
        <f t="shared" si="12"/>
        <v>Over weight</v>
      </c>
      <c r="J424" t="str">
        <f t="shared" si="13"/>
        <v>Normal</v>
      </c>
    </row>
    <row r="425" spans="1:10" x14ac:dyDescent="0.35">
      <c r="A425" t="s">
        <v>425</v>
      </c>
      <c r="B425">
        <v>25.08</v>
      </c>
      <c r="C425">
        <v>9.52</v>
      </c>
      <c r="D425" t="s">
        <v>2346</v>
      </c>
      <c r="E425" t="s">
        <v>2344</v>
      </c>
      <c r="F425" t="s">
        <v>2344</v>
      </c>
      <c r="G425">
        <v>1</v>
      </c>
      <c r="H425" t="s">
        <v>2344</v>
      </c>
      <c r="I425" t="str">
        <f t="shared" si="12"/>
        <v>Over weight</v>
      </c>
      <c r="J425" t="str">
        <f t="shared" si="13"/>
        <v>Diabetes</v>
      </c>
    </row>
    <row r="426" spans="1:10" x14ac:dyDescent="0.35">
      <c r="A426" t="s">
        <v>426</v>
      </c>
      <c r="B426">
        <v>30.02</v>
      </c>
      <c r="C426">
        <v>11.09</v>
      </c>
      <c r="D426" t="s">
        <v>2344</v>
      </c>
      <c r="E426" t="s">
        <v>2344</v>
      </c>
      <c r="F426" t="s">
        <v>2344</v>
      </c>
      <c r="G426">
        <v>0</v>
      </c>
      <c r="H426" t="s">
        <v>2344</v>
      </c>
      <c r="I426" t="str">
        <f t="shared" si="12"/>
        <v>Obesity</v>
      </c>
      <c r="J426" t="str">
        <f t="shared" si="13"/>
        <v>Diabetes</v>
      </c>
    </row>
    <row r="427" spans="1:10" x14ac:dyDescent="0.35">
      <c r="A427" t="s">
        <v>427</v>
      </c>
      <c r="B427">
        <v>27.36</v>
      </c>
      <c r="C427">
        <v>9.4499999999999993</v>
      </c>
      <c r="D427" t="s">
        <v>2346</v>
      </c>
      <c r="E427" t="s">
        <v>2344</v>
      </c>
      <c r="F427" t="s">
        <v>2344</v>
      </c>
      <c r="G427">
        <v>1</v>
      </c>
      <c r="H427" t="s">
        <v>2346</v>
      </c>
      <c r="I427" t="str">
        <f t="shared" si="12"/>
        <v>Over weight</v>
      </c>
      <c r="J427" t="str">
        <f t="shared" si="13"/>
        <v>Diabetes</v>
      </c>
    </row>
    <row r="428" spans="1:10" x14ac:dyDescent="0.35">
      <c r="A428" t="s">
        <v>428</v>
      </c>
      <c r="B428">
        <v>22.2</v>
      </c>
      <c r="C428">
        <v>5.51</v>
      </c>
      <c r="D428" t="s">
        <v>2344</v>
      </c>
      <c r="E428" t="s">
        <v>2344</v>
      </c>
      <c r="F428" t="s">
        <v>2344</v>
      </c>
      <c r="G428">
        <v>0</v>
      </c>
      <c r="H428" t="s">
        <v>2346</v>
      </c>
      <c r="I428" t="str">
        <f t="shared" si="12"/>
        <v>Normal Weight</v>
      </c>
      <c r="J428" t="str">
        <f t="shared" si="13"/>
        <v>Normal</v>
      </c>
    </row>
    <row r="429" spans="1:10" x14ac:dyDescent="0.35">
      <c r="A429" t="s">
        <v>429</v>
      </c>
      <c r="B429">
        <v>25.71</v>
      </c>
      <c r="C429">
        <v>4.18</v>
      </c>
      <c r="D429" t="s">
        <v>2344</v>
      </c>
      <c r="E429" t="s">
        <v>2345</v>
      </c>
      <c r="F429" t="s">
        <v>2344</v>
      </c>
      <c r="G429">
        <v>1</v>
      </c>
      <c r="H429" t="s">
        <v>2346</v>
      </c>
      <c r="I429" t="str">
        <f t="shared" si="12"/>
        <v>Over weight</v>
      </c>
      <c r="J429" t="str">
        <f t="shared" si="13"/>
        <v>Normal</v>
      </c>
    </row>
    <row r="430" spans="1:10" x14ac:dyDescent="0.35">
      <c r="A430" t="s">
        <v>430</v>
      </c>
      <c r="B430">
        <v>41.91</v>
      </c>
      <c r="C430">
        <v>5.98</v>
      </c>
      <c r="D430" t="s">
        <v>2346</v>
      </c>
      <c r="E430" t="s">
        <v>2344</v>
      </c>
      <c r="F430" t="s">
        <v>2344</v>
      </c>
      <c r="G430">
        <v>1</v>
      </c>
      <c r="H430" t="s">
        <v>2344</v>
      </c>
      <c r="I430" t="str">
        <f t="shared" si="12"/>
        <v>Obesity</v>
      </c>
      <c r="J430" t="str">
        <f t="shared" si="13"/>
        <v>Prediabetes</v>
      </c>
    </row>
    <row r="431" spans="1:10" x14ac:dyDescent="0.35">
      <c r="A431" t="s">
        <v>431</v>
      </c>
      <c r="B431">
        <v>25.85</v>
      </c>
      <c r="C431">
        <v>10.16</v>
      </c>
      <c r="D431" t="s">
        <v>2344</v>
      </c>
      <c r="E431" t="s">
        <v>2344</v>
      </c>
      <c r="F431" t="s">
        <v>2344</v>
      </c>
      <c r="G431">
        <v>0</v>
      </c>
      <c r="H431" t="s">
        <v>2346</v>
      </c>
      <c r="I431" t="str">
        <f t="shared" si="12"/>
        <v>Over weight</v>
      </c>
      <c r="J431" t="str">
        <f t="shared" si="13"/>
        <v>Diabetes</v>
      </c>
    </row>
    <row r="432" spans="1:10" x14ac:dyDescent="0.35">
      <c r="A432" t="s">
        <v>432</v>
      </c>
      <c r="B432">
        <v>23.844999999999999</v>
      </c>
      <c r="C432">
        <v>11.71</v>
      </c>
      <c r="D432" t="s">
        <v>2344</v>
      </c>
      <c r="E432" t="s">
        <v>2344</v>
      </c>
      <c r="F432" t="s">
        <v>2344</v>
      </c>
      <c r="G432">
        <v>1</v>
      </c>
      <c r="H432" t="s">
        <v>2346</v>
      </c>
      <c r="I432" t="str">
        <f t="shared" si="12"/>
        <v>Normal Weight</v>
      </c>
      <c r="J432" t="str">
        <f t="shared" si="13"/>
        <v>Diabetes</v>
      </c>
    </row>
    <row r="433" spans="1:10" x14ac:dyDescent="0.35">
      <c r="A433" t="s">
        <v>433</v>
      </c>
      <c r="B433">
        <v>30.59</v>
      </c>
      <c r="C433">
        <v>5.23</v>
      </c>
      <c r="D433" t="s">
        <v>2344</v>
      </c>
      <c r="E433" t="s">
        <v>2344</v>
      </c>
      <c r="F433" t="s">
        <v>2346</v>
      </c>
      <c r="G433">
        <v>1</v>
      </c>
      <c r="H433" t="s">
        <v>2344</v>
      </c>
      <c r="I433" t="str">
        <f t="shared" si="12"/>
        <v>Obesity</v>
      </c>
      <c r="J433" t="str">
        <f t="shared" si="13"/>
        <v>Normal</v>
      </c>
    </row>
    <row r="434" spans="1:10" x14ac:dyDescent="0.35">
      <c r="A434" t="s">
        <v>434</v>
      </c>
      <c r="B434">
        <v>24.795000000000002</v>
      </c>
      <c r="C434">
        <v>6.85</v>
      </c>
      <c r="D434" t="s">
        <v>2344</v>
      </c>
      <c r="E434" t="s">
        <v>2344</v>
      </c>
      <c r="F434" t="s">
        <v>2344</v>
      </c>
      <c r="G434">
        <v>0</v>
      </c>
      <c r="H434" t="s">
        <v>2346</v>
      </c>
      <c r="I434" t="str">
        <f t="shared" si="12"/>
        <v>Normal Weight</v>
      </c>
      <c r="J434" t="str">
        <f t="shared" si="13"/>
        <v>Diabetes</v>
      </c>
    </row>
    <row r="435" spans="1:10" x14ac:dyDescent="0.35">
      <c r="A435" t="s">
        <v>435</v>
      </c>
      <c r="B435">
        <v>24.13</v>
      </c>
      <c r="C435">
        <v>7.05</v>
      </c>
      <c r="D435" t="s">
        <v>2346</v>
      </c>
      <c r="E435" t="s">
        <v>2344</v>
      </c>
      <c r="F435" t="s">
        <v>2344</v>
      </c>
      <c r="G435">
        <v>1</v>
      </c>
      <c r="H435" t="s">
        <v>2346</v>
      </c>
      <c r="I435" t="str">
        <f t="shared" si="12"/>
        <v>Normal Weight</v>
      </c>
      <c r="J435" t="str">
        <f t="shared" si="13"/>
        <v>Diabetes</v>
      </c>
    </row>
    <row r="436" spans="1:10" x14ac:dyDescent="0.35">
      <c r="A436" t="s">
        <v>436</v>
      </c>
      <c r="B436">
        <v>25.84</v>
      </c>
      <c r="C436">
        <v>11.64</v>
      </c>
      <c r="D436" t="s">
        <v>2344</v>
      </c>
      <c r="E436" t="s">
        <v>2344</v>
      </c>
      <c r="F436" t="s">
        <v>2344</v>
      </c>
      <c r="G436">
        <v>1</v>
      </c>
      <c r="H436" t="s">
        <v>2346</v>
      </c>
      <c r="I436" t="str">
        <f t="shared" si="12"/>
        <v>Over weight</v>
      </c>
      <c r="J436" t="str">
        <f t="shared" si="13"/>
        <v>Diabetes</v>
      </c>
    </row>
    <row r="437" spans="1:10" x14ac:dyDescent="0.35">
      <c r="A437" t="s">
        <v>437</v>
      </c>
      <c r="B437">
        <v>28</v>
      </c>
      <c r="C437">
        <v>10.52</v>
      </c>
      <c r="D437" t="s">
        <v>2344</v>
      </c>
      <c r="E437" t="s">
        <v>2344</v>
      </c>
      <c r="F437" t="s">
        <v>2344</v>
      </c>
      <c r="G437">
        <v>0</v>
      </c>
      <c r="H437" t="s">
        <v>2346</v>
      </c>
      <c r="I437" t="str">
        <f t="shared" si="12"/>
        <v>Over weight</v>
      </c>
      <c r="J437" t="str">
        <f t="shared" si="13"/>
        <v>Diabetes</v>
      </c>
    </row>
    <row r="438" spans="1:10" x14ac:dyDescent="0.35">
      <c r="A438" t="s">
        <v>438</v>
      </c>
      <c r="B438">
        <v>34.1</v>
      </c>
      <c r="C438">
        <v>4.01</v>
      </c>
      <c r="D438" t="s">
        <v>2346</v>
      </c>
      <c r="E438" t="s">
        <v>2344</v>
      </c>
      <c r="F438" t="s">
        <v>2346</v>
      </c>
      <c r="G438">
        <v>1</v>
      </c>
      <c r="H438" t="s">
        <v>2344</v>
      </c>
      <c r="I438" t="str">
        <f t="shared" si="12"/>
        <v>Obesity</v>
      </c>
      <c r="J438" t="str">
        <f t="shared" si="13"/>
        <v>Normal</v>
      </c>
    </row>
    <row r="439" spans="1:10" x14ac:dyDescent="0.35">
      <c r="A439" t="s">
        <v>439</v>
      </c>
      <c r="B439">
        <v>26.125</v>
      </c>
      <c r="C439">
        <v>8.56</v>
      </c>
      <c r="D439" t="s">
        <v>2346</v>
      </c>
      <c r="E439" t="s">
        <v>2344</v>
      </c>
      <c r="F439" t="s">
        <v>2344</v>
      </c>
      <c r="G439">
        <v>1</v>
      </c>
      <c r="H439" t="s">
        <v>2346</v>
      </c>
      <c r="I439" t="str">
        <f t="shared" si="12"/>
        <v>Over weight</v>
      </c>
      <c r="J439" t="str">
        <f t="shared" si="13"/>
        <v>Diabetes</v>
      </c>
    </row>
    <row r="440" spans="1:10" x14ac:dyDescent="0.35">
      <c r="A440" t="s">
        <v>440</v>
      </c>
      <c r="B440">
        <v>25.6</v>
      </c>
      <c r="C440">
        <v>10.5</v>
      </c>
      <c r="D440" t="s">
        <v>2344</v>
      </c>
      <c r="E440" t="s">
        <v>2344</v>
      </c>
      <c r="F440" t="s">
        <v>2344</v>
      </c>
      <c r="G440">
        <v>1</v>
      </c>
      <c r="H440" t="s">
        <v>2346</v>
      </c>
      <c r="I440" t="str">
        <f t="shared" si="12"/>
        <v>Over weight</v>
      </c>
      <c r="J440" t="str">
        <f t="shared" si="13"/>
        <v>Diabetes</v>
      </c>
    </row>
    <row r="441" spans="1:10" x14ac:dyDescent="0.35">
      <c r="A441" t="s">
        <v>441</v>
      </c>
      <c r="B441">
        <v>24.32</v>
      </c>
      <c r="C441">
        <v>6.39</v>
      </c>
      <c r="D441" t="s">
        <v>2344</v>
      </c>
      <c r="E441" t="s">
        <v>2344</v>
      </c>
      <c r="F441" t="s">
        <v>2344</v>
      </c>
      <c r="G441">
        <v>0</v>
      </c>
      <c r="H441" t="s">
        <v>2344</v>
      </c>
      <c r="I441" t="str">
        <f t="shared" si="12"/>
        <v>Normal Weight</v>
      </c>
      <c r="J441" t="str">
        <f t="shared" si="13"/>
        <v>Prediabetes</v>
      </c>
    </row>
    <row r="442" spans="1:10" x14ac:dyDescent="0.35">
      <c r="A442" t="s">
        <v>442</v>
      </c>
      <c r="B442">
        <v>22.88</v>
      </c>
      <c r="C442">
        <v>5.71</v>
      </c>
      <c r="D442" t="s">
        <v>2346</v>
      </c>
      <c r="E442" t="s">
        <v>2344</v>
      </c>
      <c r="F442" t="s">
        <v>2346</v>
      </c>
      <c r="G442">
        <v>1</v>
      </c>
      <c r="H442" t="s">
        <v>2346</v>
      </c>
      <c r="I442" t="str">
        <f t="shared" si="12"/>
        <v>Normal Weight</v>
      </c>
      <c r="J442" t="str">
        <f t="shared" si="13"/>
        <v>Prediabetes</v>
      </c>
    </row>
    <row r="443" spans="1:10" x14ac:dyDescent="0.35">
      <c r="A443" t="s">
        <v>443</v>
      </c>
      <c r="B443">
        <v>24.984999999999999</v>
      </c>
      <c r="C443">
        <v>4.43</v>
      </c>
      <c r="D443" t="s">
        <v>2346</v>
      </c>
      <c r="E443" t="s">
        <v>2344</v>
      </c>
      <c r="F443" t="s">
        <v>2346</v>
      </c>
      <c r="G443">
        <v>1</v>
      </c>
      <c r="H443" t="s">
        <v>2344</v>
      </c>
      <c r="I443" t="str">
        <f t="shared" si="12"/>
        <v>Normal Weight</v>
      </c>
      <c r="J443" t="str">
        <f t="shared" si="13"/>
        <v>Normal</v>
      </c>
    </row>
    <row r="444" spans="1:10" x14ac:dyDescent="0.35">
      <c r="A444" t="s">
        <v>444</v>
      </c>
      <c r="B444">
        <v>33.1</v>
      </c>
      <c r="C444">
        <v>5.52</v>
      </c>
      <c r="D444" t="s">
        <v>2344</v>
      </c>
      <c r="E444" t="s">
        <v>2344</v>
      </c>
      <c r="F444" t="s">
        <v>2346</v>
      </c>
      <c r="G444">
        <v>1</v>
      </c>
      <c r="H444" t="s">
        <v>2344</v>
      </c>
      <c r="I444" t="str">
        <f t="shared" si="12"/>
        <v>Obesity</v>
      </c>
      <c r="J444" t="str">
        <f t="shared" si="13"/>
        <v>Normal</v>
      </c>
    </row>
    <row r="445" spans="1:10" x14ac:dyDescent="0.35">
      <c r="A445" t="s">
        <v>445</v>
      </c>
      <c r="B445">
        <v>27.83</v>
      </c>
      <c r="C445">
        <v>9.1999999999999993</v>
      </c>
      <c r="D445" t="s">
        <v>2346</v>
      </c>
      <c r="E445" t="s">
        <v>2344</v>
      </c>
      <c r="F445" t="s">
        <v>2344</v>
      </c>
      <c r="G445">
        <v>1</v>
      </c>
      <c r="H445" t="s">
        <v>2346</v>
      </c>
      <c r="I445" t="str">
        <f t="shared" si="12"/>
        <v>Over weight</v>
      </c>
      <c r="J445" t="str">
        <f t="shared" si="13"/>
        <v>Diabetes</v>
      </c>
    </row>
    <row r="446" spans="1:10" x14ac:dyDescent="0.35">
      <c r="A446" t="s">
        <v>446</v>
      </c>
      <c r="B446">
        <v>30.875</v>
      </c>
      <c r="C446">
        <v>10.97</v>
      </c>
      <c r="D446" t="s">
        <v>2346</v>
      </c>
      <c r="E446" t="s">
        <v>2344</v>
      </c>
      <c r="F446" t="s">
        <v>2344</v>
      </c>
      <c r="G446">
        <v>1</v>
      </c>
      <c r="H446" t="s">
        <v>2344</v>
      </c>
      <c r="I446" t="str">
        <f t="shared" si="12"/>
        <v>Obesity</v>
      </c>
      <c r="J446" t="str">
        <f t="shared" si="13"/>
        <v>Diabetes</v>
      </c>
    </row>
    <row r="447" spans="1:10" x14ac:dyDescent="0.35">
      <c r="A447" t="s">
        <v>447</v>
      </c>
      <c r="B447">
        <v>27.265000000000001</v>
      </c>
      <c r="C447">
        <v>4.25</v>
      </c>
      <c r="D447" t="s">
        <v>2344</v>
      </c>
      <c r="E447" t="s">
        <v>2344</v>
      </c>
      <c r="F447" t="s">
        <v>2346</v>
      </c>
      <c r="G447">
        <v>1</v>
      </c>
      <c r="H447" t="s">
        <v>2344</v>
      </c>
      <c r="I447" t="str">
        <f t="shared" si="12"/>
        <v>Over weight</v>
      </c>
      <c r="J447" t="str">
        <f t="shared" si="13"/>
        <v>Normal</v>
      </c>
    </row>
    <row r="448" spans="1:10" x14ac:dyDescent="0.35">
      <c r="A448" t="s">
        <v>448</v>
      </c>
      <c r="B448">
        <v>26.7</v>
      </c>
      <c r="C448">
        <v>5.23</v>
      </c>
      <c r="D448" t="s">
        <v>2344</v>
      </c>
      <c r="E448" t="s">
        <v>2344</v>
      </c>
      <c r="F448" t="s">
        <v>2346</v>
      </c>
      <c r="G448">
        <v>1</v>
      </c>
      <c r="H448" t="s">
        <v>2346</v>
      </c>
      <c r="I448" t="str">
        <f t="shared" si="12"/>
        <v>Over weight</v>
      </c>
      <c r="J448" t="str">
        <f t="shared" si="13"/>
        <v>Normal</v>
      </c>
    </row>
    <row r="449" spans="1:10" x14ac:dyDescent="0.35">
      <c r="A449" t="s">
        <v>449</v>
      </c>
      <c r="B449">
        <v>29.925000000000001</v>
      </c>
      <c r="C449">
        <v>5.96</v>
      </c>
      <c r="D449" t="s">
        <v>2346</v>
      </c>
      <c r="E449" t="s">
        <v>2344</v>
      </c>
      <c r="F449" t="s">
        <v>2346</v>
      </c>
      <c r="G449">
        <v>1</v>
      </c>
      <c r="H449" t="s">
        <v>2346</v>
      </c>
      <c r="I449" t="str">
        <f t="shared" si="12"/>
        <v>Over weight</v>
      </c>
      <c r="J449" t="str">
        <f t="shared" si="13"/>
        <v>Prediabetes</v>
      </c>
    </row>
    <row r="450" spans="1:10" x14ac:dyDescent="0.35">
      <c r="A450" t="s">
        <v>450</v>
      </c>
      <c r="B450">
        <v>19.95</v>
      </c>
      <c r="C450">
        <v>4.29</v>
      </c>
      <c r="D450" t="s">
        <v>2346</v>
      </c>
      <c r="E450" t="s">
        <v>2344</v>
      </c>
      <c r="F450" t="s">
        <v>2344</v>
      </c>
      <c r="G450">
        <v>1</v>
      </c>
      <c r="H450" t="s">
        <v>2346</v>
      </c>
      <c r="I450" t="str">
        <f t="shared" si="12"/>
        <v>Normal Weight</v>
      </c>
      <c r="J450" t="str">
        <f t="shared" si="13"/>
        <v>Normal</v>
      </c>
    </row>
    <row r="451" spans="1:10" x14ac:dyDescent="0.35">
      <c r="A451" t="s">
        <v>451</v>
      </c>
      <c r="B451">
        <v>24.225000000000001</v>
      </c>
      <c r="C451">
        <v>4.09</v>
      </c>
      <c r="D451" t="s">
        <v>2344</v>
      </c>
      <c r="E451" t="s">
        <v>2344</v>
      </c>
      <c r="F451" t="s">
        <v>2344</v>
      </c>
      <c r="G451">
        <v>0</v>
      </c>
      <c r="H451" t="s">
        <v>2344</v>
      </c>
      <c r="I451" t="str">
        <f t="shared" ref="I451:I514" si="14">IF(B451&lt;18.5,"Under Weight",IF(B451&lt;25,"Normal Weight",IF(B451&lt;30,"Over weight","Obesity")))</f>
        <v>Normal Weight</v>
      </c>
      <c r="J451" t="str">
        <f t="shared" ref="J451:J514" si="15">IF(C451&lt;5.7,"Normal",IF(C451&lt;6.5,"Prediabetes","Diabetes"))</f>
        <v>Normal</v>
      </c>
    </row>
    <row r="452" spans="1:10" x14ac:dyDescent="0.35">
      <c r="A452" t="s">
        <v>452</v>
      </c>
      <c r="B452">
        <v>28.12</v>
      </c>
      <c r="C452">
        <v>4.88</v>
      </c>
      <c r="D452" t="s">
        <v>2344</v>
      </c>
      <c r="E452" t="s">
        <v>2344</v>
      </c>
      <c r="F452" t="s">
        <v>2344</v>
      </c>
      <c r="G452">
        <v>0</v>
      </c>
      <c r="H452" t="s">
        <v>2346</v>
      </c>
      <c r="I452" t="str">
        <f t="shared" si="14"/>
        <v>Over weight</v>
      </c>
      <c r="J452" t="str">
        <f t="shared" si="15"/>
        <v>Normal</v>
      </c>
    </row>
    <row r="453" spans="1:10" x14ac:dyDescent="0.35">
      <c r="A453" t="s">
        <v>453</v>
      </c>
      <c r="B453">
        <v>23.21</v>
      </c>
      <c r="C453">
        <v>6.76</v>
      </c>
      <c r="D453" t="s">
        <v>2344</v>
      </c>
      <c r="E453" t="s">
        <v>2344</v>
      </c>
      <c r="F453" t="s">
        <v>2344</v>
      </c>
      <c r="G453">
        <v>0</v>
      </c>
      <c r="H453" t="s">
        <v>2346</v>
      </c>
      <c r="I453" t="str">
        <f t="shared" si="14"/>
        <v>Normal Weight</v>
      </c>
      <c r="J453" t="str">
        <f t="shared" si="15"/>
        <v>Diabetes</v>
      </c>
    </row>
    <row r="454" spans="1:10" x14ac:dyDescent="0.35">
      <c r="A454" t="s">
        <v>454</v>
      </c>
      <c r="B454">
        <v>23.98</v>
      </c>
      <c r="C454">
        <v>10.67</v>
      </c>
      <c r="D454" t="s">
        <v>2344</v>
      </c>
      <c r="E454" t="s">
        <v>2344</v>
      </c>
      <c r="F454" t="s">
        <v>2344</v>
      </c>
      <c r="G454">
        <v>0</v>
      </c>
      <c r="H454" t="s">
        <v>2344</v>
      </c>
      <c r="I454" t="str">
        <f t="shared" si="14"/>
        <v>Normal Weight</v>
      </c>
      <c r="J454" t="str">
        <f t="shared" si="15"/>
        <v>Diabetes</v>
      </c>
    </row>
    <row r="455" spans="1:10" x14ac:dyDescent="0.35">
      <c r="A455" t="s">
        <v>455</v>
      </c>
      <c r="B455">
        <v>30</v>
      </c>
      <c r="C455">
        <v>6.21</v>
      </c>
      <c r="D455" t="s">
        <v>2344</v>
      </c>
      <c r="E455" t="s">
        <v>2344</v>
      </c>
      <c r="F455" t="s">
        <v>2344</v>
      </c>
      <c r="G455">
        <v>0</v>
      </c>
      <c r="H455" t="s">
        <v>2346</v>
      </c>
      <c r="I455" t="str">
        <f t="shared" si="14"/>
        <v>Obesity</v>
      </c>
      <c r="J455" t="str">
        <f t="shared" si="15"/>
        <v>Prediabetes</v>
      </c>
    </row>
    <row r="456" spans="1:10" x14ac:dyDescent="0.35">
      <c r="A456" t="s">
        <v>456</v>
      </c>
      <c r="B456">
        <v>17.350000000000001</v>
      </c>
      <c r="C456">
        <v>5.03</v>
      </c>
      <c r="D456" t="s">
        <v>2346</v>
      </c>
      <c r="E456" t="s">
        <v>2344</v>
      </c>
      <c r="F456" t="s">
        <v>2344</v>
      </c>
      <c r="G456">
        <v>0</v>
      </c>
      <c r="H456" t="s">
        <v>2346</v>
      </c>
      <c r="I456" t="str">
        <f t="shared" si="14"/>
        <v>Under Weight</v>
      </c>
      <c r="J456" t="str">
        <f t="shared" si="15"/>
        <v>Normal</v>
      </c>
    </row>
    <row r="457" spans="1:10" x14ac:dyDescent="0.35">
      <c r="A457" t="s">
        <v>457</v>
      </c>
      <c r="B457">
        <v>22.704999999999998</v>
      </c>
      <c r="C457">
        <v>5.27</v>
      </c>
      <c r="D457" t="s">
        <v>2344</v>
      </c>
      <c r="E457" t="s">
        <v>2344</v>
      </c>
      <c r="F457" t="s">
        <v>2344</v>
      </c>
      <c r="G457">
        <v>0</v>
      </c>
      <c r="H457" t="s">
        <v>2344</v>
      </c>
      <c r="I457" t="str">
        <f t="shared" si="14"/>
        <v>Normal Weight</v>
      </c>
      <c r="J457" t="str">
        <f t="shared" si="15"/>
        <v>Normal</v>
      </c>
    </row>
    <row r="458" spans="1:10" x14ac:dyDescent="0.35">
      <c r="A458" t="s">
        <v>458</v>
      </c>
      <c r="B458">
        <v>25.41</v>
      </c>
      <c r="C458">
        <v>10.53</v>
      </c>
      <c r="D458" t="s">
        <v>2346</v>
      </c>
      <c r="E458" t="s">
        <v>2344</v>
      </c>
      <c r="F458" t="s">
        <v>2344</v>
      </c>
      <c r="G458">
        <v>1</v>
      </c>
      <c r="H458" t="s">
        <v>2346</v>
      </c>
      <c r="I458" t="str">
        <f t="shared" si="14"/>
        <v>Over weight</v>
      </c>
      <c r="J458" t="str">
        <f t="shared" si="15"/>
        <v>Diabetes</v>
      </c>
    </row>
    <row r="459" spans="1:10" x14ac:dyDescent="0.35">
      <c r="A459" t="s">
        <v>459</v>
      </c>
      <c r="B459">
        <v>18.23</v>
      </c>
      <c r="C459">
        <v>5.78</v>
      </c>
      <c r="D459" t="s">
        <v>2344</v>
      </c>
      <c r="E459" t="s">
        <v>2344</v>
      </c>
      <c r="F459" t="s">
        <v>2346</v>
      </c>
      <c r="G459">
        <v>1</v>
      </c>
      <c r="H459" t="s">
        <v>2346</v>
      </c>
      <c r="I459" t="str">
        <f t="shared" si="14"/>
        <v>Under Weight</v>
      </c>
      <c r="J459" t="str">
        <f t="shared" si="15"/>
        <v>Prediabetes</v>
      </c>
    </row>
    <row r="460" spans="1:10" x14ac:dyDescent="0.35">
      <c r="A460" t="s">
        <v>460</v>
      </c>
      <c r="B460">
        <v>24.7</v>
      </c>
      <c r="C460">
        <v>4.3600000000000003</v>
      </c>
      <c r="D460" t="s">
        <v>2344</v>
      </c>
      <c r="E460" t="s">
        <v>2344</v>
      </c>
      <c r="F460" t="s">
        <v>2346</v>
      </c>
      <c r="G460">
        <v>1</v>
      </c>
      <c r="H460" t="s">
        <v>2346</v>
      </c>
      <c r="I460" t="str">
        <f t="shared" si="14"/>
        <v>Normal Weight</v>
      </c>
      <c r="J460" t="str">
        <f t="shared" si="15"/>
        <v>Normal</v>
      </c>
    </row>
    <row r="461" spans="1:10" x14ac:dyDescent="0.35">
      <c r="A461" t="s">
        <v>461</v>
      </c>
      <c r="B461">
        <v>37.4</v>
      </c>
      <c r="C461">
        <v>9.7200000000000006</v>
      </c>
      <c r="D461" t="s">
        <v>2346</v>
      </c>
      <c r="E461" t="s">
        <v>2344</v>
      </c>
      <c r="F461" t="s">
        <v>2346</v>
      </c>
      <c r="G461">
        <v>1</v>
      </c>
      <c r="H461" t="s">
        <v>2344</v>
      </c>
      <c r="I461" t="str">
        <f t="shared" si="14"/>
        <v>Obesity</v>
      </c>
      <c r="J461" t="str">
        <f t="shared" si="15"/>
        <v>Diabetes</v>
      </c>
    </row>
    <row r="462" spans="1:10" x14ac:dyDescent="0.35">
      <c r="A462" t="s">
        <v>462</v>
      </c>
      <c r="B462">
        <v>26.885000000000002</v>
      </c>
      <c r="C462">
        <v>5.18</v>
      </c>
      <c r="D462" t="s">
        <v>2344</v>
      </c>
      <c r="E462" t="s">
        <v>2344</v>
      </c>
      <c r="F462" t="s">
        <v>2346</v>
      </c>
      <c r="G462">
        <v>1</v>
      </c>
      <c r="H462" t="s">
        <v>2346</v>
      </c>
      <c r="I462" t="str">
        <f t="shared" si="14"/>
        <v>Over weight</v>
      </c>
      <c r="J462" t="str">
        <f t="shared" si="15"/>
        <v>Normal</v>
      </c>
    </row>
    <row r="463" spans="1:10" x14ac:dyDescent="0.35">
      <c r="A463" t="s">
        <v>463</v>
      </c>
      <c r="B463">
        <v>25.27</v>
      </c>
      <c r="C463">
        <v>5.29</v>
      </c>
      <c r="D463" t="s">
        <v>2344</v>
      </c>
      <c r="E463" t="s">
        <v>2344</v>
      </c>
      <c r="F463" t="s">
        <v>2346</v>
      </c>
      <c r="G463">
        <v>1</v>
      </c>
      <c r="H463" t="s">
        <v>2346</v>
      </c>
      <c r="I463" t="str">
        <f t="shared" si="14"/>
        <v>Over weight</v>
      </c>
      <c r="J463" t="str">
        <f t="shared" si="15"/>
        <v>Normal</v>
      </c>
    </row>
    <row r="464" spans="1:10" x14ac:dyDescent="0.35">
      <c r="A464" t="s">
        <v>464</v>
      </c>
      <c r="B464">
        <v>23.655000000000001</v>
      </c>
      <c r="C464">
        <v>4.8600000000000003</v>
      </c>
      <c r="D464" t="s">
        <v>2346</v>
      </c>
      <c r="E464" t="s">
        <v>2344</v>
      </c>
      <c r="F464" t="s">
        <v>2344</v>
      </c>
      <c r="G464">
        <v>0</v>
      </c>
      <c r="H464" t="s">
        <v>2346</v>
      </c>
      <c r="I464" t="str">
        <f t="shared" si="14"/>
        <v>Normal Weight</v>
      </c>
      <c r="J464" t="str">
        <f t="shared" si="15"/>
        <v>Normal</v>
      </c>
    </row>
    <row r="465" spans="1:10" x14ac:dyDescent="0.35">
      <c r="A465" t="s">
        <v>465</v>
      </c>
      <c r="B465">
        <v>55.05</v>
      </c>
      <c r="C465">
        <v>7.66</v>
      </c>
      <c r="D465" t="s">
        <v>2344</v>
      </c>
      <c r="E465" t="s">
        <v>2344</v>
      </c>
      <c r="F465" t="s">
        <v>2344</v>
      </c>
      <c r="G465">
        <v>0</v>
      </c>
      <c r="H465" t="s">
        <v>2344</v>
      </c>
      <c r="I465" t="str">
        <f t="shared" si="14"/>
        <v>Obesity</v>
      </c>
      <c r="J465" t="str">
        <f t="shared" si="15"/>
        <v>Diabetes</v>
      </c>
    </row>
    <row r="466" spans="1:10" x14ac:dyDescent="0.35">
      <c r="A466" t="s">
        <v>466</v>
      </c>
      <c r="B466">
        <v>24.89</v>
      </c>
      <c r="C466">
        <v>6.1</v>
      </c>
      <c r="D466" t="s">
        <v>2346</v>
      </c>
      <c r="E466" t="s">
        <v>2344</v>
      </c>
      <c r="F466" t="s">
        <v>2346</v>
      </c>
      <c r="G466">
        <v>1</v>
      </c>
      <c r="H466" t="s">
        <v>2346</v>
      </c>
      <c r="I466" t="str">
        <f t="shared" si="14"/>
        <v>Normal Weight</v>
      </c>
      <c r="J466" t="str">
        <f t="shared" si="15"/>
        <v>Prediabetes</v>
      </c>
    </row>
    <row r="467" spans="1:10" x14ac:dyDescent="0.35">
      <c r="A467" t="s">
        <v>467</v>
      </c>
      <c r="B467">
        <v>18.715</v>
      </c>
      <c r="C467">
        <v>4.4400000000000004</v>
      </c>
      <c r="D467" t="s">
        <v>2344</v>
      </c>
      <c r="E467" t="s">
        <v>2344</v>
      </c>
      <c r="F467" t="s">
        <v>2344</v>
      </c>
      <c r="G467">
        <v>0</v>
      </c>
      <c r="H467" t="s">
        <v>2344</v>
      </c>
      <c r="I467" t="str">
        <f t="shared" si="14"/>
        <v>Normal Weight</v>
      </c>
      <c r="J467" t="str">
        <f t="shared" si="15"/>
        <v>Normal</v>
      </c>
    </row>
    <row r="468" spans="1:10" x14ac:dyDescent="0.35">
      <c r="A468" t="s">
        <v>468</v>
      </c>
      <c r="B468">
        <v>28.12</v>
      </c>
      <c r="C468">
        <v>6.15</v>
      </c>
      <c r="D468" t="s">
        <v>2344</v>
      </c>
      <c r="E468" t="s">
        <v>2344</v>
      </c>
      <c r="F468" t="s">
        <v>2344</v>
      </c>
      <c r="G468">
        <v>0</v>
      </c>
      <c r="H468" t="s">
        <v>2346</v>
      </c>
      <c r="I468" t="str">
        <f t="shared" si="14"/>
        <v>Over weight</v>
      </c>
      <c r="J468" t="str">
        <f t="shared" si="15"/>
        <v>Prediabetes</v>
      </c>
    </row>
    <row r="469" spans="1:10" x14ac:dyDescent="0.35">
      <c r="A469" t="s">
        <v>469</v>
      </c>
      <c r="B469">
        <v>26.6</v>
      </c>
      <c r="C469">
        <v>4.53</v>
      </c>
      <c r="D469" t="s">
        <v>2344</v>
      </c>
      <c r="E469" t="s">
        <v>2344</v>
      </c>
      <c r="F469" t="s">
        <v>2344</v>
      </c>
      <c r="G469">
        <v>0</v>
      </c>
      <c r="H469" t="s">
        <v>2346</v>
      </c>
      <c r="I469" t="str">
        <f t="shared" si="14"/>
        <v>Over weight</v>
      </c>
      <c r="J469" t="str">
        <f t="shared" si="15"/>
        <v>Normal</v>
      </c>
    </row>
    <row r="470" spans="1:10" x14ac:dyDescent="0.35">
      <c r="A470" t="s">
        <v>470</v>
      </c>
      <c r="B470">
        <v>30.114999999999998</v>
      </c>
      <c r="C470">
        <v>5.48</v>
      </c>
      <c r="D470" t="s">
        <v>2344</v>
      </c>
      <c r="E470" t="s">
        <v>2345</v>
      </c>
      <c r="F470" t="s">
        <v>2344</v>
      </c>
      <c r="G470">
        <v>1</v>
      </c>
      <c r="H470" t="s">
        <v>2344</v>
      </c>
      <c r="I470" t="str">
        <f t="shared" si="14"/>
        <v>Obesity</v>
      </c>
      <c r="J470" t="str">
        <f t="shared" si="15"/>
        <v>Normal</v>
      </c>
    </row>
    <row r="471" spans="1:10" x14ac:dyDescent="0.35">
      <c r="A471" t="s">
        <v>471</v>
      </c>
      <c r="B471">
        <v>24.605</v>
      </c>
      <c r="C471">
        <v>5.48</v>
      </c>
      <c r="D471" t="s">
        <v>2344</v>
      </c>
      <c r="E471" t="s">
        <v>2344</v>
      </c>
      <c r="F471" t="s">
        <v>2344</v>
      </c>
      <c r="G471">
        <v>0</v>
      </c>
      <c r="H471" t="s">
        <v>2346</v>
      </c>
      <c r="I471" t="str">
        <f t="shared" si="14"/>
        <v>Normal Weight</v>
      </c>
      <c r="J471" t="str">
        <f t="shared" si="15"/>
        <v>Normal</v>
      </c>
    </row>
    <row r="472" spans="1:10" x14ac:dyDescent="0.35">
      <c r="A472" t="s">
        <v>472</v>
      </c>
      <c r="B472">
        <v>29.6</v>
      </c>
      <c r="C472">
        <v>8.1</v>
      </c>
      <c r="D472" t="s">
        <v>2344</v>
      </c>
      <c r="E472" t="s">
        <v>2344</v>
      </c>
      <c r="F472" t="s">
        <v>2344</v>
      </c>
      <c r="G472">
        <v>0</v>
      </c>
      <c r="H472" t="s">
        <v>2344</v>
      </c>
      <c r="I472" t="str">
        <f t="shared" si="14"/>
        <v>Over weight</v>
      </c>
      <c r="J472" t="str">
        <f t="shared" si="15"/>
        <v>Diabetes</v>
      </c>
    </row>
    <row r="473" spans="1:10" x14ac:dyDescent="0.35">
      <c r="A473" t="s">
        <v>473</v>
      </c>
      <c r="B473">
        <v>24.42</v>
      </c>
      <c r="C473">
        <v>7.16</v>
      </c>
      <c r="D473" t="s">
        <v>2344</v>
      </c>
      <c r="E473" t="s">
        <v>2344</v>
      </c>
      <c r="F473" t="s">
        <v>2344</v>
      </c>
      <c r="G473">
        <v>0</v>
      </c>
      <c r="H473" t="s">
        <v>2346</v>
      </c>
      <c r="I473" t="str">
        <f t="shared" si="14"/>
        <v>Normal Weight</v>
      </c>
      <c r="J473" t="str">
        <f t="shared" si="15"/>
        <v>Diabetes</v>
      </c>
    </row>
    <row r="474" spans="1:10" x14ac:dyDescent="0.35">
      <c r="A474" t="s">
        <v>474</v>
      </c>
      <c r="B474">
        <v>20.9</v>
      </c>
      <c r="C474">
        <v>4.55</v>
      </c>
      <c r="D474" t="s">
        <v>2346</v>
      </c>
      <c r="E474" t="s">
        <v>2344</v>
      </c>
      <c r="F474" t="s">
        <v>2346</v>
      </c>
      <c r="G474">
        <v>1</v>
      </c>
      <c r="H474" t="s">
        <v>2346</v>
      </c>
      <c r="I474" t="str">
        <f t="shared" si="14"/>
        <v>Normal Weight</v>
      </c>
      <c r="J474" t="str">
        <f t="shared" si="15"/>
        <v>Normal</v>
      </c>
    </row>
    <row r="475" spans="1:10" x14ac:dyDescent="0.35">
      <c r="A475" t="s">
        <v>475</v>
      </c>
      <c r="B475">
        <v>22.895</v>
      </c>
      <c r="C475">
        <v>6.03</v>
      </c>
      <c r="D475" t="s">
        <v>2344</v>
      </c>
      <c r="E475" t="s">
        <v>2344</v>
      </c>
      <c r="F475" t="s">
        <v>2344</v>
      </c>
      <c r="G475">
        <v>0</v>
      </c>
      <c r="H475" t="s">
        <v>2346</v>
      </c>
      <c r="I475" t="str">
        <f t="shared" si="14"/>
        <v>Normal Weight</v>
      </c>
      <c r="J475" t="str">
        <f t="shared" si="15"/>
        <v>Prediabetes</v>
      </c>
    </row>
    <row r="476" spans="1:10" x14ac:dyDescent="0.35">
      <c r="A476" t="s">
        <v>476</v>
      </c>
      <c r="B476">
        <v>28.3</v>
      </c>
      <c r="C476">
        <v>5.47</v>
      </c>
      <c r="D476" t="s">
        <v>2346</v>
      </c>
      <c r="E476" t="s">
        <v>2344</v>
      </c>
      <c r="F476" t="s">
        <v>2346</v>
      </c>
      <c r="G476">
        <v>1</v>
      </c>
      <c r="H476" t="s">
        <v>2346</v>
      </c>
      <c r="I476" t="str">
        <f t="shared" si="14"/>
        <v>Over weight</v>
      </c>
      <c r="J476" t="str">
        <f t="shared" si="15"/>
        <v>Normal</v>
      </c>
    </row>
    <row r="477" spans="1:10" x14ac:dyDescent="0.35">
      <c r="A477" t="s">
        <v>477</v>
      </c>
      <c r="B477">
        <v>54.3</v>
      </c>
      <c r="C477">
        <v>4.1500000000000004</v>
      </c>
      <c r="D477" t="s">
        <v>2346</v>
      </c>
      <c r="E477" t="s">
        <v>2344</v>
      </c>
      <c r="F477" t="s">
        <v>2344</v>
      </c>
      <c r="G477">
        <v>1</v>
      </c>
      <c r="H477" t="s">
        <v>2344</v>
      </c>
      <c r="I477" t="str">
        <f t="shared" si="14"/>
        <v>Obesity</v>
      </c>
      <c r="J477" t="str">
        <f t="shared" si="15"/>
        <v>Normal</v>
      </c>
    </row>
    <row r="478" spans="1:10" x14ac:dyDescent="0.35">
      <c r="A478" t="s">
        <v>478</v>
      </c>
      <c r="B478">
        <v>33.344999999999999</v>
      </c>
      <c r="C478">
        <v>11.32</v>
      </c>
      <c r="D478" t="s">
        <v>2346</v>
      </c>
      <c r="E478" t="s">
        <v>2344</v>
      </c>
      <c r="F478" t="s">
        <v>2344</v>
      </c>
      <c r="G478">
        <v>1</v>
      </c>
      <c r="H478" t="s">
        <v>2344</v>
      </c>
      <c r="I478" t="str">
        <f t="shared" si="14"/>
        <v>Obesity</v>
      </c>
      <c r="J478" t="str">
        <f t="shared" si="15"/>
        <v>Diabetes</v>
      </c>
    </row>
    <row r="479" spans="1:10" x14ac:dyDescent="0.35">
      <c r="A479" t="s">
        <v>479</v>
      </c>
      <c r="B479">
        <v>33</v>
      </c>
      <c r="C479">
        <v>9.51</v>
      </c>
      <c r="D479" t="s">
        <v>2346</v>
      </c>
      <c r="E479" t="s">
        <v>2344</v>
      </c>
      <c r="F479" t="s">
        <v>2344</v>
      </c>
      <c r="G479">
        <v>0</v>
      </c>
      <c r="H479" t="s">
        <v>2344</v>
      </c>
      <c r="I479" t="str">
        <f t="shared" si="14"/>
        <v>Obesity</v>
      </c>
      <c r="J479" t="str">
        <f t="shared" si="15"/>
        <v>Diabetes</v>
      </c>
    </row>
    <row r="480" spans="1:10" x14ac:dyDescent="0.35">
      <c r="A480" t="s">
        <v>480</v>
      </c>
      <c r="B480">
        <v>28.024999999999999</v>
      </c>
      <c r="C480">
        <v>7.67</v>
      </c>
      <c r="D480" t="s">
        <v>2346</v>
      </c>
      <c r="E480" t="s">
        <v>2344</v>
      </c>
      <c r="F480" t="s">
        <v>2344</v>
      </c>
      <c r="G480">
        <v>1</v>
      </c>
      <c r="H480" t="s">
        <v>2346</v>
      </c>
      <c r="I480" t="str">
        <f t="shared" si="14"/>
        <v>Over weight</v>
      </c>
      <c r="J480" t="str">
        <f t="shared" si="15"/>
        <v>Diabetes</v>
      </c>
    </row>
    <row r="481" spans="1:10" x14ac:dyDescent="0.35">
      <c r="A481" t="s">
        <v>481</v>
      </c>
      <c r="B481">
        <v>28.69</v>
      </c>
      <c r="C481">
        <v>6.23</v>
      </c>
      <c r="D481" t="s">
        <v>2344</v>
      </c>
      <c r="E481" t="s">
        <v>2344</v>
      </c>
      <c r="F481" t="s">
        <v>2344</v>
      </c>
      <c r="G481">
        <v>1</v>
      </c>
      <c r="H481" t="s">
        <v>2346</v>
      </c>
      <c r="I481" t="str">
        <f t="shared" si="14"/>
        <v>Over weight</v>
      </c>
      <c r="J481" t="str">
        <f t="shared" si="15"/>
        <v>Prediabetes</v>
      </c>
    </row>
    <row r="482" spans="1:10" x14ac:dyDescent="0.35">
      <c r="A482" t="s">
        <v>482</v>
      </c>
      <c r="B482">
        <v>40.28</v>
      </c>
      <c r="C482">
        <v>8.9</v>
      </c>
      <c r="D482" t="s">
        <v>2344</v>
      </c>
      <c r="E482" t="s">
        <v>2344</v>
      </c>
      <c r="F482" t="s">
        <v>2344</v>
      </c>
      <c r="G482">
        <v>0</v>
      </c>
      <c r="H482" t="s">
        <v>2344</v>
      </c>
      <c r="I482" t="str">
        <f t="shared" si="14"/>
        <v>Obesity</v>
      </c>
      <c r="J482" t="str">
        <f t="shared" si="15"/>
        <v>Diabetes</v>
      </c>
    </row>
    <row r="483" spans="1:10" x14ac:dyDescent="0.35">
      <c r="A483" t="s">
        <v>483</v>
      </c>
      <c r="B483">
        <v>37.299999999999997</v>
      </c>
      <c r="C483">
        <v>7.79</v>
      </c>
      <c r="D483" t="s">
        <v>2346</v>
      </c>
      <c r="E483" t="s">
        <v>2344</v>
      </c>
      <c r="F483" t="s">
        <v>2344</v>
      </c>
      <c r="G483">
        <v>0</v>
      </c>
      <c r="H483" t="s">
        <v>2344</v>
      </c>
      <c r="I483" t="str">
        <f t="shared" si="14"/>
        <v>Obesity</v>
      </c>
      <c r="J483" t="str">
        <f t="shared" si="15"/>
        <v>Diabetes</v>
      </c>
    </row>
    <row r="484" spans="1:10" x14ac:dyDescent="0.35">
      <c r="A484" t="s">
        <v>484</v>
      </c>
      <c r="B484">
        <v>54.47</v>
      </c>
      <c r="C484">
        <v>4.49</v>
      </c>
      <c r="D484" t="s">
        <v>2346</v>
      </c>
      <c r="E484" t="s">
        <v>2344</v>
      </c>
      <c r="F484" t="s">
        <v>2344</v>
      </c>
      <c r="G484">
        <v>1</v>
      </c>
      <c r="H484" t="s">
        <v>2344</v>
      </c>
      <c r="I484" t="str">
        <f t="shared" si="14"/>
        <v>Obesity</v>
      </c>
      <c r="J484" t="str">
        <f t="shared" si="15"/>
        <v>Normal</v>
      </c>
    </row>
    <row r="485" spans="1:10" x14ac:dyDescent="0.35">
      <c r="A485" t="s">
        <v>485</v>
      </c>
      <c r="B485">
        <v>38.06</v>
      </c>
      <c r="C485">
        <v>5.24</v>
      </c>
      <c r="D485" t="s">
        <v>2346</v>
      </c>
      <c r="E485" t="s">
        <v>2344</v>
      </c>
      <c r="F485" t="s">
        <v>2346</v>
      </c>
      <c r="G485">
        <v>1</v>
      </c>
      <c r="H485" t="s">
        <v>2344</v>
      </c>
      <c r="I485" t="str">
        <f t="shared" si="14"/>
        <v>Obesity</v>
      </c>
      <c r="J485" t="str">
        <f t="shared" si="15"/>
        <v>Normal</v>
      </c>
    </row>
    <row r="486" spans="1:10" x14ac:dyDescent="0.35">
      <c r="A486" t="s">
        <v>486</v>
      </c>
      <c r="B486">
        <v>51.47</v>
      </c>
      <c r="C486">
        <v>9.6</v>
      </c>
      <c r="D486" t="s">
        <v>2344</v>
      </c>
      <c r="E486" t="s">
        <v>2344</v>
      </c>
      <c r="F486" t="s">
        <v>2344</v>
      </c>
      <c r="G486">
        <v>0</v>
      </c>
      <c r="H486" t="s">
        <v>2344</v>
      </c>
      <c r="I486" t="str">
        <f t="shared" si="14"/>
        <v>Obesity</v>
      </c>
      <c r="J486" t="str">
        <f t="shared" si="15"/>
        <v>Diabetes</v>
      </c>
    </row>
    <row r="487" spans="1:10" x14ac:dyDescent="0.35">
      <c r="A487" t="s">
        <v>487</v>
      </c>
      <c r="B487">
        <v>29.8</v>
      </c>
      <c r="C487">
        <v>5.78</v>
      </c>
      <c r="D487" t="s">
        <v>2346</v>
      </c>
      <c r="E487" t="s">
        <v>2344</v>
      </c>
      <c r="F487" t="s">
        <v>2344</v>
      </c>
      <c r="G487">
        <v>0</v>
      </c>
      <c r="H487" t="s">
        <v>2344</v>
      </c>
      <c r="I487" t="str">
        <f t="shared" si="14"/>
        <v>Over weight</v>
      </c>
      <c r="J487" t="str">
        <f t="shared" si="15"/>
        <v>Prediabetes</v>
      </c>
    </row>
    <row r="488" spans="1:10" x14ac:dyDescent="0.35">
      <c r="A488" t="s">
        <v>488</v>
      </c>
      <c r="B488">
        <v>49.77</v>
      </c>
      <c r="C488">
        <v>7.02</v>
      </c>
      <c r="D488" t="s">
        <v>2344</v>
      </c>
      <c r="E488" t="s">
        <v>2344</v>
      </c>
      <c r="F488" t="s">
        <v>2344</v>
      </c>
      <c r="G488">
        <v>0</v>
      </c>
      <c r="H488" t="s">
        <v>2344</v>
      </c>
      <c r="I488" t="str">
        <f t="shared" si="14"/>
        <v>Obesity</v>
      </c>
      <c r="J488" t="str">
        <f t="shared" si="15"/>
        <v>Diabetes</v>
      </c>
    </row>
    <row r="489" spans="1:10" x14ac:dyDescent="0.35">
      <c r="A489" t="s">
        <v>489</v>
      </c>
      <c r="B489">
        <v>25.555</v>
      </c>
      <c r="C489">
        <v>4.09</v>
      </c>
      <c r="D489" t="s">
        <v>2346</v>
      </c>
      <c r="E489" t="s">
        <v>2344</v>
      </c>
      <c r="F489" t="s">
        <v>2344</v>
      </c>
      <c r="G489">
        <v>0</v>
      </c>
      <c r="H489" t="s">
        <v>2346</v>
      </c>
      <c r="I489" t="str">
        <f t="shared" si="14"/>
        <v>Over weight</v>
      </c>
      <c r="J489" t="str">
        <f t="shared" si="15"/>
        <v>Normal</v>
      </c>
    </row>
    <row r="490" spans="1:10" x14ac:dyDescent="0.35">
      <c r="A490" t="s">
        <v>490</v>
      </c>
      <c r="B490">
        <v>29.64</v>
      </c>
      <c r="C490">
        <v>4.93</v>
      </c>
      <c r="D490" t="s">
        <v>2344</v>
      </c>
      <c r="E490" t="s">
        <v>2344</v>
      </c>
      <c r="F490" t="s">
        <v>2346</v>
      </c>
      <c r="G490">
        <v>1</v>
      </c>
      <c r="H490" t="s">
        <v>2344</v>
      </c>
      <c r="I490" t="str">
        <f t="shared" si="14"/>
        <v>Over weight</v>
      </c>
      <c r="J490" t="str">
        <f t="shared" si="15"/>
        <v>Normal</v>
      </c>
    </row>
    <row r="491" spans="1:10" x14ac:dyDescent="0.35">
      <c r="A491" t="s">
        <v>491</v>
      </c>
      <c r="B491">
        <v>53.93</v>
      </c>
      <c r="C491">
        <v>5.34</v>
      </c>
      <c r="D491" t="s">
        <v>2346</v>
      </c>
      <c r="E491" t="s">
        <v>2344</v>
      </c>
      <c r="F491" t="s">
        <v>2344</v>
      </c>
      <c r="G491">
        <v>1</v>
      </c>
      <c r="H491" t="s">
        <v>2344</v>
      </c>
      <c r="I491" t="str">
        <f t="shared" si="14"/>
        <v>Obesity</v>
      </c>
      <c r="J491" t="str">
        <f t="shared" si="15"/>
        <v>Normal</v>
      </c>
    </row>
    <row r="492" spans="1:10" x14ac:dyDescent="0.35">
      <c r="A492" t="s">
        <v>492</v>
      </c>
      <c r="B492">
        <v>28.024999999999999</v>
      </c>
      <c r="C492">
        <v>5.65</v>
      </c>
      <c r="D492" t="s">
        <v>2344</v>
      </c>
      <c r="E492" t="s">
        <v>2344</v>
      </c>
      <c r="F492" t="s">
        <v>2344</v>
      </c>
      <c r="G492">
        <v>1</v>
      </c>
      <c r="H492" t="s">
        <v>2346</v>
      </c>
      <c r="I492" t="str">
        <f t="shared" si="14"/>
        <v>Over weight</v>
      </c>
      <c r="J492" t="str">
        <f t="shared" si="15"/>
        <v>Normal</v>
      </c>
    </row>
    <row r="493" spans="1:10" x14ac:dyDescent="0.35">
      <c r="A493" t="s">
        <v>493</v>
      </c>
      <c r="B493">
        <v>27.5</v>
      </c>
      <c r="C493">
        <v>4.49</v>
      </c>
      <c r="D493" t="s">
        <v>2344</v>
      </c>
      <c r="E493" t="s">
        <v>2344</v>
      </c>
      <c r="F493" t="s">
        <v>2344</v>
      </c>
      <c r="G493">
        <v>0</v>
      </c>
      <c r="H493" t="s">
        <v>2344</v>
      </c>
      <c r="I493" t="str">
        <f t="shared" si="14"/>
        <v>Over weight</v>
      </c>
      <c r="J493" t="str">
        <f t="shared" si="15"/>
        <v>Normal</v>
      </c>
    </row>
    <row r="494" spans="1:10" x14ac:dyDescent="0.35">
      <c r="A494" t="s">
        <v>494</v>
      </c>
      <c r="B494">
        <v>21.8</v>
      </c>
      <c r="C494">
        <v>10.55</v>
      </c>
      <c r="D494" t="s">
        <v>2344</v>
      </c>
      <c r="E494" t="s">
        <v>2344</v>
      </c>
      <c r="F494" t="s">
        <v>2344</v>
      </c>
      <c r="G494">
        <v>0</v>
      </c>
      <c r="H494" t="s">
        <v>2346</v>
      </c>
      <c r="I494" t="str">
        <f t="shared" si="14"/>
        <v>Normal Weight</v>
      </c>
      <c r="J494" t="str">
        <f t="shared" si="15"/>
        <v>Diabetes</v>
      </c>
    </row>
    <row r="495" spans="1:10" x14ac:dyDescent="0.35">
      <c r="A495" t="s">
        <v>495</v>
      </c>
      <c r="B495">
        <v>26.41</v>
      </c>
      <c r="C495">
        <v>4.92</v>
      </c>
      <c r="D495" t="s">
        <v>2346</v>
      </c>
      <c r="E495" t="s">
        <v>2344</v>
      </c>
      <c r="F495" t="s">
        <v>2346</v>
      </c>
      <c r="G495">
        <v>1</v>
      </c>
      <c r="H495" t="s">
        <v>2346</v>
      </c>
      <c r="I495" t="str">
        <f t="shared" si="14"/>
        <v>Over weight</v>
      </c>
      <c r="J495" t="str">
        <f t="shared" si="15"/>
        <v>Normal</v>
      </c>
    </row>
    <row r="496" spans="1:10" x14ac:dyDescent="0.35">
      <c r="A496" t="s">
        <v>496</v>
      </c>
      <c r="B496">
        <v>27.835000000000001</v>
      </c>
      <c r="C496">
        <v>5.9</v>
      </c>
      <c r="D496" t="s">
        <v>2346</v>
      </c>
      <c r="E496" t="s">
        <v>2344</v>
      </c>
      <c r="F496" t="s">
        <v>2344</v>
      </c>
      <c r="G496">
        <v>1</v>
      </c>
      <c r="H496" t="s">
        <v>2346</v>
      </c>
      <c r="I496" t="str">
        <f t="shared" si="14"/>
        <v>Over weight</v>
      </c>
      <c r="J496" t="str">
        <f t="shared" si="15"/>
        <v>Prediabetes</v>
      </c>
    </row>
    <row r="497" spans="1:10" x14ac:dyDescent="0.35">
      <c r="A497" t="s">
        <v>497</v>
      </c>
      <c r="B497">
        <v>51.74</v>
      </c>
      <c r="C497">
        <v>4.9800000000000004</v>
      </c>
      <c r="D497" t="s">
        <v>2346</v>
      </c>
      <c r="E497" t="s">
        <v>2344</v>
      </c>
      <c r="F497" t="s">
        <v>2344</v>
      </c>
      <c r="G497">
        <v>1</v>
      </c>
      <c r="H497" t="s">
        <v>2344</v>
      </c>
      <c r="I497" t="str">
        <f t="shared" si="14"/>
        <v>Obesity</v>
      </c>
      <c r="J497" t="str">
        <f t="shared" si="15"/>
        <v>Normal</v>
      </c>
    </row>
    <row r="498" spans="1:10" x14ac:dyDescent="0.35">
      <c r="A498" t="s">
        <v>498</v>
      </c>
      <c r="B498">
        <v>23.37</v>
      </c>
      <c r="C498">
        <v>5.8</v>
      </c>
      <c r="D498" t="s">
        <v>2344</v>
      </c>
      <c r="E498" t="s">
        <v>2344</v>
      </c>
      <c r="F498" t="s">
        <v>2344</v>
      </c>
      <c r="G498">
        <v>0</v>
      </c>
      <c r="H498" t="s">
        <v>2346</v>
      </c>
      <c r="I498" t="str">
        <f t="shared" si="14"/>
        <v>Normal Weight</v>
      </c>
      <c r="J498" t="str">
        <f t="shared" si="15"/>
        <v>Prediabetes</v>
      </c>
    </row>
    <row r="499" spans="1:10" x14ac:dyDescent="0.35">
      <c r="A499" t="s">
        <v>499</v>
      </c>
      <c r="B499">
        <v>29.7</v>
      </c>
      <c r="C499">
        <v>6.21</v>
      </c>
      <c r="D499" t="s">
        <v>2346</v>
      </c>
      <c r="E499" t="s">
        <v>2344</v>
      </c>
      <c r="F499" t="s">
        <v>2346</v>
      </c>
      <c r="G499">
        <v>1</v>
      </c>
      <c r="H499" t="s">
        <v>2346</v>
      </c>
      <c r="I499" t="str">
        <f t="shared" si="14"/>
        <v>Over weight</v>
      </c>
      <c r="J499" t="str">
        <f t="shared" si="15"/>
        <v>Prediabetes</v>
      </c>
    </row>
    <row r="500" spans="1:10" x14ac:dyDescent="0.35">
      <c r="A500" t="s">
        <v>500</v>
      </c>
      <c r="B500">
        <v>20.045000000000002</v>
      </c>
      <c r="C500">
        <v>6.17</v>
      </c>
      <c r="D500" t="s">
        <v>2344</v>
      </c>
      <c r="E500" t="s">
        <v>2344</v>
      </c>
      <c r="F500" t="s">
        <v>2346</v>
      </c>
      <c r="G500">
        <v>1</v>
      </c>
      <c r="H500" t="s">
        <v>2346</v>
      </c>
      <c r="I500" t="str">
        <f t="shared" si="14"/>
        <v>Normal Weight</v>
      </c>
      <c r="J500" t="str">
        <f t="shared" si="15"/>
        <v>Prediabetes</v>
      </c>
    </row>
    <row r="501" spans="1:10" x14ac:dyDescent="0.35">
      <c r="A501" t="s">
        <v>501</v>
      </c>
      <c r="B501">
        <v>27.83</v>
      </c>
      <c r="C501">
        <v>5.36</v>
      </c>
      <c r="D501" t="s">
        <v>2344</v>
      </c>
      <c r="E501" t="s">
        <v>2344</v>
      </c>
      <c r="F501" t="s">
        <v>2344</v>
      </c>
      <c r="G501">
        <v>1</v>
      </c>
      <c r="H501" t="s">
        <v>2344</v>
      </c>
      <c r="I501" t="str">
        <f t="shared" si="14"/>
        <v>Over weight</v>
      </c>
      <c r="J501" t="str">
        <f t="shared" si="15"/>
        <v>Normal</v>
      </c>
    </row>
    <row r="502" spans="1:10" x14ac:dyDescent="0.35">
      <c r="A502" t="s">
        <v>502</v>
      </c>
      <c r="B502">
        <v>28.93</v>
      </c>
      <c r="C502">
        <v>5.2</v>
      </c>
      <c r="D502" t="s">
        <v>2344</v>
      </c>
      <c r="E502" t="s">
        <v>2344</v>
      </c>
      <c r="F502" t="s">
        <v>2344</v>
      </c>
      <c r="G502">
        <v>0</v>
      </c>
      <c r="H502" t="s">
        <v>2346</v>
      </c>
      <c r="I502" t="str">
        <f t="shared" si="14"/>
        <v>Over weight</v>
      </c>
      <c r="J502" t="str">
        <f t="shared" si="15"/>
        <v>Normal</v>
      </c>
    </row>
    <row r="503" spans="1:10" x14ac:dyDescent="0.35">
      <c r="A503" t="s">
        <v>503</v>
      </c>
      <c r="B503">
        <v>33.82</v>
      </c>
      <c r="C503">
        <v>5.42</v>
      </c>
      <c r="D503" t="s">
        <v>2344</v>
      </c>
      <c r="E503" t="s">
        <v>2344</v>
      </c>
      <c r="F503" t="s">
        <v>2344</v>
      </c>
      <c r="G503">
        <v>0</v>
      </c>
      <c r="H503" t="s">
        <v>2344</v>
      </c>
      <c r="I503" t="str">
        <f t="shared" si="14"/>
        <v>Obesity</v>
      </c>
      <c r="J503" t="str">
        <f t="shared" si="15"/>
        <v>Normal</v>
      </c>
    </row>
    <row r="504" spans="1:10" x14ac:dyDescent="0.35">
      <c r="A504" t="s">
        <v>504</v>
      </c>
      <c r="B504">
        <v>20.234999999999999</v>
      </c>
      <c r="C504">
        <v>6.84</v>
      </c>
      <c r="D504" t="s">
        <v>2344</v>
      </c>
      <c r="E504" t="s">
        <v>2344</v>
      </c>
      <c r="F504" t="s">
        <v>2344</v>
      </c>
      <c r="G504">
        <v>0</v>
      </c>
      <c r="H504" t="s">
        <v>2346</v>
      </c>
      <c r="I504" t="str">
        <f t="shared" si="14"/>
        <v>Normal Weight</v>
      </c>
      <c r="J504" t="str">
        <f t="shared" si="15"/>
        <v>Diabetes</v>
      </c>
    </row>
    <row r="505" spans="1:10" x14ac:dyDescent="0.35">
      <c r="A505" t="s">
        <v>505</v>
      </c>
      <c r="B505">
        <v>49.2</v>
      </c>
      <c r="C505">
        <v>10.9</v>
      </c>
      <c r="D505" t="s">
        <v>2346</v>
      </c>
      <c r="E505" t="s">
        <v>2344</v>
      </c>
      <c r="F505" t="s">
        <v>2346</v>
      </c>
      <c r="G505">
        <v>1</v>
      </c>
      <c r="H505" t="s">
        <v>2344</v>
      </c>
      <c r="I505" t="str">
        <f t="shared" si="14"/>
        <v>Obesity</v>
      </c>
      <c r="J505" t="str">
        <f t="shared" si="15"/>
        <v>Diabetes</v>
      </c>
    </row>
    <row r="506" spans="1:10" x14ac:dyDescent="0.35">
      <c r="A506" t="s">
        <v>506</v>
      </c>
      <c r="B506">
        <v>26.4</v>
      </c>
      <c r="C506">
        <v>4.87</v>
      </c>
      <c r="D506" t="s">
        <v>2346</v>
      </c>
      <c r="E506" t="s">
        <v>2344</v>
      </c>
      <c r="F506" t="s">
        <v>2344</v>
      </c>
      <c r="G506">
        <v>0</v>
      </c>
      <c r="H506" t="s">
        <v>2346</v>
      </c>
      <c r="I506" t="str">
        <f t="shared" si="14"/>
        <v>Over weight</v>
      </c>
      <c r="J506" t="str">
        <f t="shared" si="15"/>
        <v>Normal</v>
      </c>
    </row>
    <row r="507" spans="1:10" x14ac:dyDescent="0.35">
      <c r="A507" t="s">
        <v>507</v>
      </c>
      <c r="B507">
        <v>28.38</v>
      </c>
      <c r="C507">
        <v>6.07</v>
      </c>
      <c r="D507" t="s">
        <v>2344</v>
      </c>
      <c r="E507" t="s">
        <v>2344</v>
      </c>
      <c r="F507" t="s">
        <v>2344</v>
      </c>
      <c r="G507">
        <v>1</v>
      </c>
      <c r="H507" t="s">
        <v>2346</v>
      </c>
      <c r="I507" t="str">
        <f t="shared" si="14"/>
        <v>Over weight</v>
      </c>
      <c r="J507" t="str">
        <f t="shared" si="15"/>
        <v>Prediabetes</v>
      </c>
    </row>
    <row r="508" spans="1:10" x14ac:dyDescent="0.35">
      <c r="A508" t="s">
        <v>508</v>
      </c>
      <c r="B508">
        <v>24.64</v>
      </c>
      <c r="C508">
        <v>4.33</v>
      </c>
      <c r="D508" t="s">
        <v>2344</v>
      </c>
      <c r="E508" t="s">
        <v>2344</v>
      </c>
      <c r="F508" t="s">
        <v>2344</v>
      </c>
      <c r="G508">
        <v>0</v>
      </c>
      <c r="H508" t="s">
        <v>2346</v>
      </c>
      <c r="I508" t="str">
        <f t="shared" si="14"/>
        <v>Normal Weight</v>
      </c>
      <c r="J508" t="str">
        <f t="shared" si="15"/>
        <v>Normal</v>
      </c>
    </row>
    <row r="509" spans="1:10" x14ac:dyDescent="0.35">
      <c r="A509" t="s">
        <v>509</v>
      </c>
      <c r="B509">
        <v>39.71</v>
      </c>
      <c r="C509">
        <v>5.83</v>
      </c>
      <c r="D509" t="s">
        <v>2344</v>
      </c>
      <c r="E509" t="s">
        <v>2344</v>
      </c>
      <c r="F509" t="s">
        <v>2344</v>
      </c>
      <c r="G509">
        <v>1</v>
      </c>
      <c r="H509" t="s">
        <v>2344</v>
      </c>
      <c r="I509" t="str">
        <f t="shared" si="14"/>
        <v>Obesity</v>
      </c>
      <c r="J509" t="str">
        <f t="shared" si="15"/>
        <v>Prediabetes</v>
      </c>
    </row>
    <row r="510" spans="1:10" x14ac:dyDescent="0.35">
      <c r="A510" t="s">
        <v>510</v>
      </c>
      <c r="B510">
        <v>22.22</v>
      </c>
      <c r="C510">
        <v>5.5</v>
      </c>
      <c r="D510" t="s">
        <v>2344</v>
      </c>
      <c r="E510" t="s">
        <v>2344</v>
      </c>
      <c r="F510" t="s">
        <v>2344</v>
      </c>
      <c r="G510">
        <v>0</v>
      </c>
      <c r="H510" t="s">
        <v>2346</v>
      </c>
      <c r="I510" t="str">
        <f t="shared" si="14"/>
        <v>Normal Weight</v>
      </c>
      <c r="J510" t="str">
        <f t="shared" si="15"/>
        <v>Normal</v>
      </c>
    </row>
    <row r="511" spans="1:10" x14ac:dyDescent="0.35">
      <c r="A511" t="s">
        <v>511</v>
      </c>
      <c r="B511">
        <v>33.344999999999999</v>
      </c>
      <c r="C511">
        <v>4.79</v>
      </c>
      <c r="D511" t="s">
        <v>2344</v>
      </c>
      <c r="E511" t="s">
        <v>2344</v>
      </c>
      <c r="F511" t="s">
        <v>2346</v>
      </c>
      <c r="G511">
        <v>1</v>
      </c>
      <c r="H511" t="s">
        <v>2344</v>
      </c>
      <c r="I511" t="str">
        <f t="shared" si="14"/>
        <v>Obesity</v>
      </c>
      <c r="J511" t="str">
        <f t="shared" si="15"/>
        <v>Normal</v>
      </c>
    </row>
    <row r="512" spans="1:10" x14ac:dyDescent="0.35">
      <c r="A512" t="s">
        <v>512</v>
      </c>
      <c r="B512">
        <v>24.42</v>
      </c>
      <c r="C512">
        <v>5.81</v>
      </c>
      <c r="D512" t="s">
        <v>2344</v>
      </c>
      <c r="E512" t="s">
        <v>2344</v>
      </c>
      <c r="F512" t="s">
        <v>2344</v>
      </c>
      <c r="G512">
        <v>1</v>
      </c>
      <c r="H512" t="s">
        <v>2346</v>
      </c>
      <c r="I512" t="str">
        <f t="shared" si="14"/>
        <v>Normal Weight</v>
      </c>
      <c r="J512" t="str">
        <f t="shared" si="15"/>
        <v>Prediabetes</v>
      </c>
    </row>
    <row r="513" spans="1:10" x14ac:dyDescent="0.35">
      <c r="A513" t="s">
        <v>513</v>
      </c>
      <c r="B513">
        <v>29.81</v>
      </c>
      <c r="C513">
        <v>5.58</v>
      </c>
      <c r="D513" t="s">
        <v>2344</v>
      </c>
      <c r="E513" t="s">
        <v>2344</v>
      </c>
      <c r="F513" t="s">
        <v>2344</v>
      </c>
      <c r="G513">
        <v>0</v>
      </c>
      <c r="H513" t="s">
        <v>2346</v>
      </c>
      <c r="I513" t="str">
        <f t="shared" si="14"/>
        <v>Over weight</v>
      </c>
      <c r="J513" t="str">
        <f t="shared" si="15"/>
        <v>Normal</v>
      </c>
    </row>
    <row r="514" spans="1:10" x14ac:dyDescent="0.35">
      <c r="A514" t="s">
        <v>514</v>
      </c>
      <c r="B514">
        <v>51.18</v>
      </c>
      <c r="C514">
        <v>4.4000000000000004</v>
      </c>
      <c r="D514" t="s">
        <v>2346</v>
      </c>
      <c r="E514" t="s">
        <v>2344</v>
      </c>
      <c r="F514" t="s">
        <v>2344</v>
      </c>
      <c r="G514">
        <v>1</v>
      </c>
      <c r="H514" t="s">
        <v>2344</v>
      </c>
      <c r="I514" t="str">
        <f t="shared" si="14"/>
        <v>Obesity</v>
      </c>
      <c r="J514" t="str">
        <f t="shared" si="15"/>
        <v>Normal</v>
      </c>
    </row>
    <row r="515" spans="1:10" x14ac:dyDescent="0.35">
      <c r="A515" t="s">
        <v>515</v>
      </c>
      <c r="B515">
        <v>51.37</v>
      </c>
      <c r="C515">
        <v>8.18</v>
      </c>
      <c r="D515" t="s">
        <v>2346</v>
      </c>
      <c r="E515" t="s">
        <v>2344</v>
      </c>
      <c r="F515" t="s">
        <v>2344</v>
      </c>
      <c r="G515">
        <v>0</v>
      </c>
      <c r="H515" t="s">
        <v>2344</v>
      </c>
      <c r="I515" t="str">
        <f t="shared" ref="I515:I578" si="16">IF(B515&lt;18.5,"Under Weight",IF(B515&lt;25,"Normal Weight",IF(B515&lt;30,"Over weight","Obesity")))</f>
        <v>Obesity</v>
      </c>
      <c r="J515" t="str">
        <f t="shared" ref="J515:J522" si="17">IF(C515&lt;5.7,"Normal",IF(C515&lt;6.5,"Prediabetes","Diabetes"))</f>
        <v>Diabetes</v>
      </c>
    </row>
    <row r="516" spans="1:10" x14ac:dyDescent="0.35">
      <c r="A516" t="s">
        <v>516</v>
      </c>
      <c r="B516">
        <v>36.19</v>
      </c>
      <c r="C516">
        <v>5.52</v>
      </c>
      <c r="D516" t="s">
        <v>2346</v>
      </c>
      <c r="E516" t="s">
        <v>2344</v>
      </c>
      <c r="F516" t="s">
        <v>2344</v>
      </c>
      <c r="G516">
        <v>0</v>
      </c>
      <c r="H516" t="s">
        <v>2344</v>
      </c>
      <c r="I516" t="str">
        <f t="shared" si="16"/>
        <v>Obesity</v>
      </c>
      <c r="J516" t="str">
        <f t="shared" si="17"/>
        <v>Normal</v>
      </c>
    </row>
    <row r="517" spans="1:10" x14ac:dyDescent="0.35">
      <c r="A517" t="s">
        <v>517</v>
      </c>
      <c r="B517">
        <v>25.9</v>
      </c>
      <c r="C517">
        <v>4.84</v>
      </c>
      <c r="D517" t="s">
        <v>2344</v>
      </c>
      <c r="E517" t="s">
        <v>2344</v>
      </c>
      <c r="F517" t="s">
        <v>2344</v>
      </c>
      <c r="G517">
        <v>0</v>
      </c>
      <c r="H517" t="s">
        <v>2346</v>
      </c>
      <c r="I517" t="str">
        <f t="shared" si="16"/>
        <v>Over weight</v>
      </c>
      <c r="J517" t="str">
        <f t="shared" si="17"/>
        <v>Normal</v>
      </c>
    </row>
    <row r="518" spans="1:10" x14ac:dyDescent="0.35">
      <c r="A518" t="s">
        <v>518</v>
      </c>
      <c r="B518">
        <v>35.72</v>
      </c>
      <c r="C518">
        <v>4.08</v>
      </c>
      <c r="D518" t="s">
        <v>2344</v>
      </c>
      <c r="E518" t="s">
        <v>2344</v>
      </c>
      <c r="F518" t="s">
        <v>2346</v>
      </c>
      <c r="G518">
        <v>1</v>
      </c>
      <c r="H518" t="s">
        <v>2344</v>
      </c>
      <c r="I518" t="str">
        <f t="shared" si="16"/>
        <v>Obesity</v>
      </c>
      <c r="J518" t="str">
        <f t="shared" si="17"/>
        <v>Normal</v>
      </c>
    </row>
    <row r="519" spans="1:10" x14ac:dyDescent="0.35">
      <c r="A519" t="s">
        <v>519</v>
      </c>
      <c r="B519">
        <v>27.94</v>
      </c>
      <c r="C519">
        <v>4.4800000000000004</v>
      </c>
      <c r="D519" t="s">
        <v>2344</v>
      </c>
      <c r="E519" t="s">
        <v>2344</v>
      </c>
      <c r="F519" t="s">
        <v>2346</v>
      </c>
      <c r="G519">
        <v>1</v>
      </c>
      <c r="H519" t="s">
        <v>2346</v>
      </c>
      <c r="I519" t="str">
        <f t="shared" si="16"/>
        <v>Over weight</v>
      </c>
      <c r="J519" t="str">
        <f t="shared" si="17"/>
        <v>Normal</v>
      </c>
    </row>
    <row r="520" spans="1:10" x14ac:dyDescent="0.35">
      <c r="A520" t="s">
        <v>520</v>
      </c>
      <c r="B520">
        <v>27.1</v>
      </c>
      <c r="C520">
        <v>5.73</v>
      </c>
      <c r="D520" t="s">
        <v>2344</v>
      </c>
      <c r="E520" t="s">
        <v>2344</v>
      </c>
      <c r="F520" t="s">
        <v>2344</v>
      </c>
      <c r="G520">
        <v>0</v>
      </c>
      <c r="H520" t="s">
        <v>2346</v>
      </c>
      <c r="I520" t="str">
        <f t="shared" si="16"/>
        <v>Over weight</v>
      </c>
      <c r="J520" t="str">
        <f t="shared" si="17"/>
        <v>Prediabetes</v>
      </c>
    </row>
    <row r="521" spans="1:10" x14ac:dyDescent="0.35">
      <c r="A521" t="s">
        <v>521</v>
      </c>
      <c r="B521">
        <v>18.3</v>
      </c>
      <c r="C521">
        <v>5.46</v>
      </c>
      <c r="D521" t="s">
        <v>2346</v>
      </c>
      <c r="E521" t="s">
        <v>2344</v>
      </c>
      <c r="F521" t="s">
        <v>2346</v>
      </c>
      <c r="G521">
        <v>1</v>
      </c>
      <c r="H521" t="s">
        <v>2346</v>
      </c>
      <c r="I521" t="str">
        <f t="shared" si="16"/>
        <v>Under Weight</v>
      </c>
      <c r="J521" t="str">
        <f t="shared" si="17"/>
        <v>Normal</v>
      </c>
    </row>
    <row r="522" spans="1:10" x14ac:dyDescent="0.35">
      <c r="A522" t="s">
        <v>522</v>
      </c>
      <c r="B522">
        <v>25.3</v>
      </c>
      <c r="C522">
        <v>5.0199999999999996</v>
      </c>
      <c r="D522" t="s">
        <v>2346</v>
      </c>
      <c r="E522" t="s">
        <v>2344</v>
      </c>
      <c r="F522" t="s">
        <v>2344</v>
      </c>
      <c r="G522">
        <v>1</v>
      </c>
      <c r="H522" t="s">
        <v>2346</v>
      </c>
      <c r="I522" t="str">
        <f t="shared" si="16"/>
        <v>Over weight</v>
      </c>
      <c r="J522" t="str">
        <f t="shared" si="17"/>
        <v>Normal</v>
      </c>
    </row>
    <row r="523" spans="1:10" x14ac:dyDescent="0.35">
      <c r="A523" t="s">
        <v>523</v>
      </c>
      <c r="B523">
        <v>38.83</v>
      </c>
      <c r="C523">
        <v>6.36</v>
      </c>
      <c r="D523" t="s">
        <v>2344</v>
      </c>
      <c r="E523" t="s">
        <v>2344</v>
      </c>
      <c r="F523" t="s">
        <v>2344</v>
      </c>
      <c r="G523">
        <v>1</v>
      </c>
      <c r="H523" t="s">
        <v>2344</v>
      </c>
      <c r="I523" t="str">
        <f t="shared" si="16"/>
        <v>Obesity</v>
      </c>
      <c r="J523" t="str">
        <f>IF(C523&lt;5.7,"Normal",IF(C523&lt;6.5,"Prediabetes","Diabetes"))</f>
        <v>Prediabetes</v>
      </c>
    </row>
    <row r="524" spans="1:10" x14ac:dyDescent="0.35">
      <c r="A524" t="s">
        <v>524</v>
      </c>
      <c r="B524">
        <v>27.6</v>
      </c>
      <c r="C524">
        <v>5.36</v>
      </c>
      <c r="D524" t="s">
        <v>2344</v>
      </c>
      <c r="E524" t="s">
        <v>2344</v>
      </c>
      <c r="F524" t="s">
        <v>2344</v>
      </c>
      <c r="G524">
        <v>1</v>
      </c>
      <c r="H524" t="s">
        <v>2344</v>
      </c>
      <c r="I524" t="str">
        <f t="shared" si="16"/>
        <v>Over weight</v>
      </c>
      <c r="J524" t="str">
        <f t="shared" ref="J524:J587" si="18">IF(C524&lt;5.7,"Normal",IF(C524&lt;6.5,"Prediabetes","Diabetes"))</f>
        <v>Normal</v>
      </c>
    </row>
    <row r="525" spans="1:10" x14ac:dyDescent="0.35">
      <c r="A525" t="s">
        <v>525</v>
      </c>
      <c r="B525">
        <v>46.4</v>
      </c>
      <c r="C525">
        <v>8.3699999999999992</v>
      </c>
      <c r="D525" t="s">
        <v>2346</v>
      </c>
      <c r="E525" t="s">
        <v>2344</v>
      </c>
      <c r="F525" t="s">
        <v>2346</v>
      </c>
      <c r="G525">
        <v>1</v>
      </c>
      <c r="H525" t="s">
        <v>2344</v>
      </c>
      <c r="I525" t="str">
        <f t="shared" si="16"/>
        <v>Obesity</v>
      </c>
      <c r="J525" t="str">
        <f t="shared" si="18"/>
        <v>Diabetes</v>
      </c>
    </row>
    <row r="526" spans="1:10" x14ac:dyDescent="0.35">
      <c r="A526" t="s">
        <v>526</v>
      </c>
      <c r="B526">
        <v>51.92</v>
      </c>
      <c r="C526">
        <v>5.18</v>
      </c>
      <c r="D526" t="s">
        <v>2346</v>
      </c>
      <c r="E526" t="s">
        <v>2344</v>
      </c>
      <c r="F526" t="s">
        <v>2346</v>
      </c>
      <c r="G526">
        <v>1</v>
      </c>
      <c r="H526" t="s">
        <v>2344</v>
      </c>
      <c r="I526" t="str">
        <f t="shared" si="16"/>
        <v>Obesity</v>
      </c>
      <c r="J526" t="str">
        <f t="shared" si="18"/>
        <v>Normal</v>
      </c>
    </row>
    <row r="527" spans="1:10" x14ac:dyDescent="0.35">
      <c r="A527" t="s">
        <v>527</v>
      </c>
      <c r="B527">
        <v>32.395000000000003</v>
      </c>
      <c r="C527">
        <v>5.68</v>
      </c>
      <c r="D527" t="s">
        <v>2346</v>
      </c>
      <c r="E527" t="s">
        <v>2344</v>
      </c>
      <c r="F527" t="s">
        <v>2344</v>
      </c>
      <c r="G527">
        <v>1</v>
      </c>
      <c r="H527" t="s">
        <v>2344</v>
      </c>
      <c r="I527" t="str">
        <f t="shared" si="16"/>
        <v>Obesity</v>
      </c>
      <c r="J527" t="str">
        <f t="shared" si="18"/>
        <v>Normal</v>
      </c>
    </row>
    <row r="528" spans="1:10" x14ac:dyDescent="0.35">
      <c r="A528" t="s">
        <v>528</v>
      </c>
      <c r="B528">
        <v>46.19</v>
      </c>
      <c r="C528">
        <v>7.31</v>
      </c>
      <c r="D528" t="s">
        <v>2346</v>
      </c>
      <c r="E528" t="s">
        <v>2344</v>
      </c>
      <c r="F528" t="s">
        <v>2346</v>
      </c>
      <c r="G528">
        <v>1</v>
      </c>
      <c r="H528" t="s">
        <v>2344</v>
      </c>
      <c r="I528" t="str">
        <f t="shared" si="16"/>
        <v>Obesity</v>
      </c>
      <c r="J528" t="str">
        <f t="shared" si="18"/>
        <v>Diabetes</v>
      </c>
    </row>
    <row r="529" spans="1:10" x14ac:dyDescent="0.35">
      <c r="A529" t="s">
        <v>529</v>
      </c>
      <c r="B529">
        <v>27.93</v>
      </c>
      <c r="C529">
        <v>4.67</v>
      </c>
      <c r="D529" t="s">
        <v>2344</v>
      </c>
      <c r="E529" t="s">
        <v>2344</v>
      </c>
      <c r="F529" t="s">
        <v>2346</v>
      </c>
      <c r="G529">
        <v>1</v>
      </c>
      <c r="H529" t="s">
        <v>2344</v>
      </c>
      <c r="I529" t="str">
        <f t="shared" si="16"/>
        <v>Over weight</v>
      </c>
      <c r="J529" t="str">
        <f t="shared" si="18"/>
        <v>Normal</v>
      </c>
    </row>
    <row r="530" spans="1:10" x14ac:dyDescent="0.35">
      <c r="A530" t="s">
        <v>530</v>
      </c>
      <c r="B530">
        <v>45.62</v>
      </c>
      <c r="C530">
        <v>6.87</v>
      </c>
      <c r="D530" t="s">
        <v>2344</v>
      </c>
      <c r="E530" t="s">
        <v>2344</v>
      </c>
      <c r="F530" t="s">
        <v>2344</v>
      </c>
      <c r="G530">
        <v>0</v>
      </c>
      <c r="H530" t="s">
        <v>2344</v>
      </c>
      <c r="I530" t="str">
        <f t="shared" si="16"/>
        <v>Obesity</v>
      </c>
      <c r="J530" t="str">
        <f t="shared" si="18"/>
        <v>Diabetes</v>
      </c>
    </row>
    <row r="531" spans="1:10" x14ac:dyDescent="0.35">
      <c r="A531" t="s">
        <v>531</v>
      </c>
      <c r="B531">
        <v>35.31</v>
      </c>
      <c r="C531">
        <v>5.87</v>
      </c>
      <c r="D531" t="s">
        <v>2344</v>
      </c>
      <c r="E531" t="s">
        <v>2344</v>
      </c>
      <c r="F531" t="s">
        <v>2346</v>
      </c>
      <c r="G531">
        <v>1</v>
      </c>
      <c r="H531" t="s">
        <v>2344</v>
      </c>
      <c r="I531" t="str">
        <f t="shared" si="16"/>
        <v>Obesity</v>
      </c>
      <c r="J531" t="str">
        <f t="shared" si="18"/>
        <v>Prediabetes</v>
      </c>
    </row>
    <row r="532" spans="1:10" x14ac:dyDescent="0.35">
      <c r="A532" t="s">
        <v>532</v>
      </c>
      <c r="B532">
        <v>30.4</v>
      </c>
      <c r="C532">
        <v>4.07</v>
      </c>
      <c r="D532" t="s">
        <v>2346</v>
      </c>
      <c r="E532" t="s">
        <v>2344</v>
      </c>
      <c r="F532" t="s">
        <v>2344</v>
      </c>
      <c r="G532">
        <v>1</v>
      </c>
      <c r="H532" t="s">
        <v>2344</v>
      </c>
      <c r="I532" t="str">
        <f t="shared" si="16"/>
        <v>Obesity</v>
      </c>
      <c r="J532" t="str">
        <f t="shared" si="18"/>
        <v>Normal</v>
      </c>
    </row>
    <row r="533" spans="1:10" x14ac:dyDescent="0.35">
      <c r="A533" t="s">
        <v>533</v>
      </c>
      <c r="B533">
        <v>20.13</v>
      </c>
      <c r="C533">
        <v>6.47</v>
      </c>
      <c r="D533" t="s">
        <v>2344</v>
      </c>
      <c r="E533" t="s">
        <v>2344</v>
      </c>
      <c r="F533" t="s">
        <v>2346</v>
      </c>
      <c r="G533">
        <v>1</v>
      </c>
      <c r="H533" t="s">
        <v>2346</v>
      </c>
      <c r="I533" t="str">
        <f t="shared" si="16"/>
        <v>Normal Weight</v>
      </c>
      <c r="J533" t="str">
        <f t="shared" si="18"/>
        <v>Prediabetes</v>
      </c>
    </row>
    <row r="534" spans="1:10" x14ac:dyDescent="0.35">
      <c r="A534" t="s">
        <v>534</v>
      </c>
      <c r="B534">
        <v>23.655000000000001</v>
      </c>
      <c r="C534">
        <v>5.14</v>
      </c>
      <c r="D534" t="s">
        <v>2344</v>
      </c>
      <c r="E534" t="s">
        <v>2344</v>
      </c>
      <c r="F534" t="s">
        <v>2344</v>
      </c>
      <c r="G534">
        <v>1</v>
      </c>
      <c r="H534" t="s">
        <v>2346</v>
      </c>
      <c r="I534" t="str">
        <f t="shared" si="16"/>
        <v>Normal Weight</v>
      </c>
      <c r="J534" t="str">
        <f t="shared" si="18"/>
        <v>Normal</v>
      </c>
    </row>
    <row r="535" spans="1:10" x14ac:dyDescent="0.35">
      <c r="A535" t="s">
        <v>535</v>
      </c>
      <c r="B535">
        <v>49.05</v>
      </c>
      <c r="C535">
        <v>9.77</v>
      </c>
      <c r="D535" t="s">
        <v>2346</v>
      </c>
      <c r="E535" t="s">
        <v>2344</v>
      </c>
      <c r="F535" t="s">
        <v>2344</v>
      </c>
      <c r="G535">
        <v>0</v>
      </c>
      <c r="H535" t="s">
        <v>2344</v>
      </c>
      <c r="I535" t="str">
        <f t="shared" si="16"/>
        <v>Obesity</v>
      </c>
      <c r="J535" t="str">
        <f t="shared" si="18"/>
        <v>Diabetes</v>
      </c>
    </row>
    <row r="536" spans="1:10" x14ac:dyDescent="0.35">
      <c r="A536" t="s">
        <v>536</v>
      </c>
      <c r="B536">
        <v>51.94</v>
      </c>
      <c r="C536">
        <v>8.8000000000000007</v>
      </c>
      <c r="D536" t="s">
        <v>2346</v>
      </c>
      <c r="E536" t="s">
        <v>2344</v>
      </c>
      <c r="F536" t="s">
        <v>2344</v>
      </c>
      <c r="G536">
        <v>1</v>
      </c>
      <c r="H536" t="s">
        <v>2344</v>
      </c>
      <c r="I536" t="str">
        <f t="shared" si="16"/>
        <v>Obesity</v>
      </c>
      <c r="J536" t="str">
        <f t="shared" si="18"/>
        <v>Diabetes</v>
      </c>
    </row>
    <row r="537" spans="1:10" x14ac:dyDescent="0.35">
      <c r="A537" t="s">
        <v>537</v>
      </c>
      <c r="B537">
        <v>29.83</v>
      </c>
      <c r="C537">
        <v>5.84</v>
      </c>
      <c r="D537" t="s">
        <v>2344</v>
      </c>
      <c r="E537" t="s">
        <v>2344</v>
      </c>
      <c r="F537" t="s">
        <v>2344</v>
      </c>
      <c r="G537">
        <v>1</v>
      </c>
      <c r="H537" t="s">
        <v>2346</v>
      </c>
      <c r="I537" t="str">
        <f t="shared" si="16"/>
        <v>Over weight</v>
      </c>
      <c r="J537" t="str">
        <f t="shared" si="18"/>
        <v>Prediabetes</v>
      </c>
    </row>
    <row r="538" spans="1:10" x14ac:dyDescent="0.35">
      <c r="A538" t="s">
        <v>538</v>
      </c>
      <c r="B538">
        <v>22.6</v>
      </c>
      <c r="C538">
        <v>10.43</v>
      </c>
      <c r="D538" t="s">
        <v>2346</v>
      </c>
      <c r="E538" t="s">
        <v>2344</v>
      </c>
      <c r="F538" t="s">
        <v>2344</v>
      </c>
      <c r="G538">
        <v>1</v>
      </c>
      <c r="H538" t="s">
        <v>2346</v>
      </c>
      <c r="I538" t="str">
        <f t="shared" si="16"/>
        <v>Normal Weight</v>
      </c>
      <c r="J538" t="str">
        <f t="shared" si="18"/>
        <v>Diabetes</v>
      </c>
    </row>
    <row r="539" spans="1:10" x14ac:dyDescent="0.35">
      <c r="A539" t="s">
        <v>539</v>
      </c>
      <c r="B539">
        <v>46.69</v>
      </c>
      <c r="C539">
        <v>4.25</v>
      </c>
      <c r="D539" t="s">
        <v>2346</v>
      </c>
      <c r="E539" t="s">
        <v>2344</v>
      </c>
      <c r="F539" t="s">
        <v>2344</v>
      </c>
      <c r="G539">
        <v>1</v>
      </c>
      <c r="H539" t="s">
        <v>2344</v>
      </c>
      <c r="I539" t="str">
        <f t="shared" si="16"/>
        <v>Obesity</v>
      </c>
      <c r="J539" t="str">
        <f t="shared" si="18"/>
        <v>Normal</v>
      </c>
    </row>
    <row r="540" spans="1:10" x14ac:dyDescent="0.35">
      <c r="A540" t="s">
        <v>540</v>
      </c>
      <c r="B540">
        <v>28.49</v>
      </c>
      <c r="C540">
        <v>4.8899999999999997</v>
      </c>
      <c r="D540" t="s">
        <v>2344</v>
      </c>
      <c r="E540" t="s">
        <v>2344</v>
      </c>
      <c r="F540" t="s">
        <v>2344</v>
      </c>
      <c r="G540">
        <v>0</v>
      </c>
      <c r="H540" t="s">
        <v>2346</v>
      </c>
      <c r="I540" t="str">
        <f t="shared" si="16"/>
        <v>Over weight</v>
      </c>
      <c r="J540" t="str">
        <f t="shared" si="18"/>
        <v>Normal</v>
      </c>
    </row>
    <row r="541" spans="1:10" x14ac:dyDescent="0.35">
      <c r="A541" t="s">
        <v>541</v>
      </c>
      <c r="B541">
        <v>28.5</v>
      </c>
      <c r="C541">
        <v>5.55</v>
      </c>
      <c r="D541" t="s">
        <v>2346</v>
      </c>
      <c r="E541" t="s">
        <v>2344</v>
      </c>
      <c r="F541" t="s">
        <v>2344</v>
      </c>
      <c r="G541">
        <v>1</v>
      </c>
      <c r="H541" t="s">
        <v>2346</v>
      </c>
      <c r="I541" t="str">
        <f t="shared" si="16"/>
        <v>Over weight</v>
      </c>
      <c r="J541" t="str">
        <f t="shared" si="18"/>
        <v>Normal</v>
      </c>
    </row>
    <row r="542" spans="1:10" x14ac:dyDescent="0.35">
      <c r="A542" t="s">
        <v>542</v>
      </c>
      <c r="B542">
        <v>24.4</v>
      </c>
      <c r="C542">
        <v>4.5199999999999996</v>
      </c>
      <c r="D542" t="s">
        <v>2344</v>
      </c>
      <c r="E542" t="s">
        <v>2344</v>
      </c>
      <c r="F542" t="s">
        <v>2344</v>
      </c>
      <c r="G542">
        <v>1</v>
      </c>
      <c r="H542" t="s">
        <v>2346</v>
      </c>
      <c r="I542" t="str">
        <f t="shared" si="16"/>
        <v>Normal Weight</v>
      </c>
      <c r="J542" t="str">
        <f t="shared" si="18"/>
        <v>Normal</v>
      </c>
    </row>
    <row r="543" spans="1:10" x14ac:dyDescent="0.35">
      <c r="A543" t="s">
        <v>543</v>
      </c>
      <c r="B543">
        <v>29.15</v>
      </c>
      <c r="C543">
        <v>4.45</v>
      </c>
      <c r="D543" t="s">
        <v>2346</v>
      </c>
      <c r="E543" t="s">
        <v>2344</v>
      </c>
      <c r="F543" t="s">
        <v>2344</v>
      </c>
      <c r="G543">
        <v>1</v>
      </c>
      <c r="H543" t="s">
        <v>2346</v>
      </c>
      <c r="I543" t="str">
        <f t="shared" si="16"/>
        <v>Over weight</v>
      </c>
      <c r="J543" t="str">
        <f t="shared" si="18"/>
        <v>Normal</v>
      </c>
    </row>
    <row r="544" spans="1:10" x14ac:dyDescent="0.35">
      <c r="A544" t="s">
        <v>544</v>
      </c>
      <c r="B544">
        <v>27.28</v>
      </c>
      <c r="C544">
        <v>4.72</v>
      </c>
      <c r="D544" t="s">
        <v>2344</v>
      </c>
      <c r="E544" t="s">
        <v>2345</v>
      </c>
      <c r="F544" t="s">
        <v>2344</v>
      </c>
      <c r="G544">
        <v>1</v>
      </c>
      <c r="H544" t="s">
        <v>2346</v>
      </c>
      <c r="I544" t="str">
        <f t="shared" si="16"/>
        <v>Over weight</v>
      </c>
      <c r="J544" t="str">
        <f t="shared" si="18"/>
        <v>Normal</v>
      </c>
    </row>
    <row r="545" spans="1:10" x14ac:dyDescent="0.35">
      <c r="A545" t="s">
        <v>545</v>
      </c>
      <c r="B545">
        <v>32.229999999999997</v>
      </c>
      <c r="C545">
        <v>4.6500000000000004</v>
      </c>
      <c r="D545" t="s">
        <v>2346</v>
      </c>
      <c r="E545" t="s">
        <v>2344</v>
      </c>
      <c r="F545" t="s">
        <v>2346</v>
      </c>
      <c r="G545">
        <v>1</v>
      </c>
      <c r="H545" t="s">
        <v>2344</v>
      </c>
      <c r="I545" t="str">
        <f t="shared" si="16"/>
        <v>Obesity</v>
      </c>
      <c r="J545" t="str">
        <f t="shared" si="18"/>
        <v>Normal</v>
      </c>
    </row>
    <row r="546" spans="1:10" x14ac:dyDescent="0.35">
      <c r="A546" t="s">
        <v>546</v>
      </c>
      <c r="B546">
        <v>44.2</v>
      </c>
      <c r="C546">
        <v>11.34</v>
      </c>
      <c r="D546" t="s">
        <v>2346</v>
      </c>
      <c r="E546" t="s">
        <v>2344</v>
      </c>
      <c r="F546" t="s">
        <v>2346</v>
      </c>
      <c r="G546">
        <v>1</v>
      </c>
      <c r="H546" t="s">
        <v>2344</v>
      </c>
      <c r="I546" t="str">
        <f t="shared" si="16"/>
        <v>Obesity</v>
      </c>
      <c r="J546" t="str">
        <f t="shared" si="18"/>
        <v>Diabetes</v>
      </c>
    </row>
    <row r="547" spans="1:10" x14ac:dyDescent="0.35">
      <c r="A547" t="s">
        <v>547</v>
      </c>
      <c r="B547">
        <v>29.734999999999999</v>
      </c>
      <c r="C547">
        <v>4.53</v>
      </c>
      <c r="D547" t="s">
        <v>2344</v>
      </c>
      <c r="E547" t="s">
        <v>2344</v>
      </c>
      <c r="F547" t="s">
        <v>2346</v>
      </c>
      <c r="G547">
        <v>1</v>
      </c>
      <c r="H547" t="s">
        <v>2344</v>
      </c>
      <c r="I547" t="str">
        <f t="shared" si="16"/>
        <v>Over weight</v>
      </c>
      <c r="J547" t="str">
        <f t="shared" si="18"/>
        <v>Normal</v>
      </c>
    </row>
    <row r="548" spans="1:10" x14ac:dyDescent="0.35">
      <c r="A548" t="s">
        <v>548</v>
      </c>
      <c r="B548">
        <v>28.31</v>
      </c>
      <c r="C548">
        <v>6.35</v>
      </c>
      <c r="D548" t="s">
        <v>2344</v>
      </c>
      <c r="E548" t="s">
        <v>2344</v>
      </c>
      <c r="F548" t="s">
        <v>2344</v>
      </c>
      <c r="G548">
        <v>0</v>
      </c>
      <c r="H548" t="s">
        <v>2346</v>
      </c>
      <c r="I548" t="str">
        <f t="shared" si="16"/>
        <v>Over weight</v>
      </c>
      <c r="J548" t="str">
        <f t="shared" si="18"/>
        <v>Prediabetes</v>
      </c>
    </row>
    <row r="549" spans="1:10" x14ac:dyDescent="0.35">
      <c r="A549" t="s">
        <v>549</v>
      </c>
      <c r="B549">
        <v>46.62</v>
      </c>
      <c r="C549">
        <v>8.51</v>
      </c>
      <c r="D549" t="s">
        <v>2344</v>
      </c>
      <c r="E549" t="s">
        <v>2344</v>
      </c>
      <c r="F549" t="s">
        <v>2344</v>
      </c>
      <c r="G549">
        <v>0</v>
      </c>
      <c r="H549" t="s">
        <v>2344</v>
      </c>
      <c r="I549" t="str">
        <f t="shared" si="16"/>
        <v>Obesity</v>
      </c>
      <c r="J549" t="str">
        <f t="shared" si="18"/>
        <v>Diabetes</v>
      </c>
    </row>
    <row r="550" spans="1:10" x14ac:dyDescent="0.35">
      <c r="A550" t="s">
        <v>550</v>
      </c>
      <c r="B550">
        <v>51.75</v>
      </c>
      <c r="C550">
        <v>8.59</v>
      </c>
      <c r="D550" t="s">
        <v>2346</v>
      </c>
      <c r="E550" t="s">
        <v>2344</v>
      </c>
      <c r="F550" t="s">
        <v>2344</v>
      </c>
      <c r="G550">
        <v>1</v>
      </c>
      <c r="H550" t="s">
        <v>2344</v>
      </c>
      <c r="I550" t="str">
        <f t="shared" si="16"/>
        <v>Obesity</v>
      </c>
      <c r="J550" t="str">
        <f t="shared" si="18"/>
        <v>Diabetes</v>
      </c>
    </row>
    <row r="551" spans="1:10" x14ac:dyDescent="0.35">
      <c r="A551" t="s">
        <v>551</v>
      </c>
      <c r="B551">
        <v>25.7</v>
      </c>
      <c r="C551">
        <v>4.13</v>
      </c>
      <c r="D551" t="s">
        <v>2346</v>
      </c>
      <c r="E551" t="s">
        <v>2344</v>
      </c>
      <c r="F551" t="s">
        <v>2344</v>
      </c>
      <c r="G551">
        <v>0</v>
      </c>
      <c r="H551" t="s">
        <v>2346</v>
      </c>
      <c r="I551" t="str">
        <f t="shared" si="16"/>
        <v>Over weight</v>
      </c>
      <c r="J551" t="str">
        <f t="shared" si="18"/>
        <v>Normal</v>
      </c>
    </row>
    <row r="552" spans="1:10" x14ac:dyDescent="0.35">
      <c r="A552" t="s">
        <v>552</v>
      </c>
      <c r="B552">
        <v>31.79</v>
      </c>
      <c r="C552">
        <v>4.55</v>
      </c>
      <c r="D552" t="s">
        <v>2344</v>
      </c>
      <c r="E552" t="s">
        <v>2344</v>
      </c>
      <c r="F552" t="s">
        <v>2344</v>
      </c>
      <c r="G552">
        <v>0</v>
      </c>
      <c r="H552" t="s">
        <v>2344</v>
      </c>
      <c r="I552" t="str">
        <f t="shared" si="16"/>
        <v>Obesity</v>
      </c>
      <c r="J552" t="str">
        <f t="shared" si="18"/>
        <v>Normal</v>
      </c>
    </row>
    <row r="553" spans="1:10" x14ac:dyDescent="0.35">
      <c r="A553" t="s">
        <v>553</v>
      </c>
      <c r="B553">
        <v>24.795000000000002</v>
      </c>
      <c r="C553">
        <v>4.5199999999999996</v>
      </c>
      <c r="D553" t="s">
        <v>2344</v>
      </c>
      <c r="E553" t="s">
        <v>2344</v>
      </c>
      <c r="F553" t="s">
        <v>2344</v>
      </c>
      <c r="G553">
        <v>0</v>
      </c>
      <c r="H553" t="s">
        <v>2346</v>
      </c>
      <c r="I553" t="str">
        <f t="shared" si="16"/>
        <v>Normal Weight</v>
      </c>
      <c r="J553" t="str">
        <f t="shared" si="18"/>
        <v>Normal</v>
      </c>
    </row>
    <row r="554" spans="1:10" x14ac:dyDescent="0.35">
      <c r="A554" t="s">
        <v>554</v>
      </c>
      <c r="B554">
        <v>53.98</v>
      </c>
      <c r="C554">
        <v>5.07</v>
      </c>
      <c r="D554" t="s">
        <v>2344</v>
      </c>
      <c r="E554" t="s">
        <v>2344</v>
      </c>
      <c r="F554" t="s">
        <v>2346</v>
      </c>
      <c r="G554">
        <v>1</v>
      </c>
      <c r="H554" t="s">
        <v>2344</v>
      </c>
      <c r="I554" t="str">
        <f t="shared" si="16"/>
        <v>Obesity</v>
      </c>
      <c r="J554" t="str">
        <f t="shared" si="18"/>
        <v>Normal</v>
      </c>
    </row>
    <row r="555" spans="1:10" x14ac:dyDescent="0.35">
      <c r="A555" t="s">
        <v>555</v>
      </c>
      <c r="B555">
        <v>41.325000000000003</v>
      </c>
      <c r="C555">
        <v>4.04</v>
      </c>
      <c r="D555" t="s">
        <v>2346</v>
      </c>
      <c r="E555" t="s">
        <v>2344</v>
      </c>
      <c r="F555" t="s">
        <v>2346</v>
      </c>
      <c r="G555">
        <v>1</v>
      </c>
      <c r="H555" t="s">
        <v>2344</v>
      </c>
      <c r="I555" t="str">
        <f t="shared" si="16"/>
        <v>Obesity</v>
      </c>
      <c r="J555" t="str">
        <f t="shared" si="18"/>
        <v>Normal</v>
      </c>
    </row>
    <row r="556" spans="1:10" x14ac:dyDescent="0.35">
      <c r="A556" t="s">
        <v>556</v>
      </c>
      <c r="B556">
        <v>51.65</v>
      </c>
      <c r="C556">
        <v>5.3</v>
      </c>
      <c r="D556" t="s">
        <v>2346</v>
      </c>
      <c r="E556" t="s">
        <v>2344</v>
      </c>
      <c r="F556" t="s">
        <v>2344</v>
      </c>
      <c r="G556">
        <v>0</v>
      </c>
      <c r="H556" t="s">
        <v>2344</v>
      </c>
      <c r="I556" t="str">
        <f t="shared" si="16"/>
        <v>Obesity</v>
      </c>
      <c r="J556" t="str">
        <f t="shared" si="18"/>
        <v>Normal</v>
      </c>
    </row>
    <row r="557" spans="1:10" x14ac:dyDescent="0.35">
      <c r="A557" t="s">
        <v>557</v>
      </c>
      <c r="B557">
        <v>44.52</v>
      </c>
      <c r="C557">
        <v>8.64</v>
      </c>
      <c r="D557" t="s">
        <v>2346</v>
      </c>
      <c r="E557" t="s">
        <v>2344</v>
      </c>
      <c r="F557" t="s">
        <v>2346</v>
      </c>
      <c r="G557">
        <v>1</v>
      </c>
      <c r="H557" t="s">
        <v>2344</v>
      </c>
      <c r="I557" t="str">
        <f t="shared" si="16"/>
        <v>Obesity</v>
      </c>
      <c r="J557" t="str">
        <f t="shared" si="18"/>
        <v>Diabetes</v>
      </c>
    </row>
    <row r="558" spans="1:10" x14ac:dyDescent="0.35">
      <c r="A558" t="s">
        <v>558</v>
      </c>
      <c r="B558">
        <v>53.29</v>
      </c>
      <c r="C558">
        <v>4.03</v>
      </c>
      <c r="D558" t="s">
        <v>2344</v>
      </c>
      <c r="E558" t="s">
        <v>2344</v>
      </c>
      <c r="F558" t="s">
        <v>2346</v>
      </c>
      <c r="G558">
        <v>1</v>
      </c>
      <c r="H558" t="s">
        <v>2344</v>
      </c>
      <c r="I558" t="str">
        <f t="shared" si="16"/>
        <v>Obesity</v>
      </c>
      <c r="J558" t="str">
        <f t="shared" si="18"/>
        <v>Normal</v>
      </c>
    </row>
    <row r="559" spans="1:10" x14ac:dyDescent="0.35">
      <c r="A559" t="s">
        <v>559</v>
      </c>
      <c r="B559">
        <v>46.63</v>
      </c>
      <c r="C559">
        <v>4.26</v>
      </c>
      <c r="D559" t="s">
        <v>2346</v>
      </c>
      <c r="E559" t="s">
        <v>2344</v>
      </c>
      <c r="F559" t="s">
        <v>2344</v>
      </c>
      <c r="G559">
        <v>1</v>
      </c>
      <c r="H559" t="s">
        <v>2344</v>
      </c>
      <c r="I559" t="str">
        <f t="shared" si="16"/>
        <v>Obesity</v>
      </c>
      <c r="J559" t="str">
        <f t="shared" si="18"/>
        <v>Normal</v>
      </c>
    </row>
    <row r="560" spans="1:10" x14ac:dyDescent="0.35">
      <c r="A560" t="s">
        <v>560</v>
      </c>
      <c r="B560">
        <v>28.88</v>
      </c>
      <c r="C560">
        <v>5.35</v>
      </c>
      <c r="D560" t="s">
        <v>2344</v>
      </c>
      <c r="E560" t="s">
        <v>2344</v>
      </c>
      <c r="F560" t="s">
        <v>2346</v>
      </c>
      <c r="G560">
        <v>1</v>
      </c>
      <c r="H560" t="s">
        <v>2346</v>
      </c>
      <c r="I560" t="str">
        <f t="shared" si="16"/>
        <v>Over weight</v>
      </c>
      <c r="J560" t="str">
        <f t="shared" si="18"/>
        <v>Normal</v>
      </c>
    </row>
    <row r="561" spans="1:10" x14ac:dyDescent="0.35">
      <c r="A561" t="s">
        <v>561</v>
      </c>
      <c r="B561">
        <v>23.98</v>
      </c>
      <c r="C561">
        <v>4.9000000000000004</v>
      </c>
      <c r="D561" t="s">
        <v>2344</v>
      </c>
      <c r="E561" t="s">
        <v>2344</v>
      </c>
      <c r="F561" t="s">
        <v>2344</v>
      </c>
      <c r="G561">
        <v>0</v>
      </c>
      <c r="H561" t="s">
        <v>2346</v>
      </c>
      <c r="I561" t="str">
        <f t="shared" si="16"/>
        <v>Normal Weight</v>
      </c>
      <c r="J561" t="str">
        <f t="shared" si="18"/>
        <v>Normal</v>
      </c>
    </row>
    <row r="562" spans="1:10" x14ac:dyDescent="0.35">
      <c r="A562" t="s">
        <v>562</v>
      </c>
      <c r="B562">
        <v>23.65</v>
      </c>
      <c r="C562">
        <v>4.5</v>
      </c>
      <c r="D562" t="s">
        <v>2344</v>
      </c>
      <c r="E562" t="s">
        <v>2344</v>
      </c>
      <c r="F562" t="s">
        <v>2344</v>
      </c>
      <c r="G562">
        <v>0</v>
      </c>
      <c r="H562" t="s">
        <v>2344</v>
      </c>
      <c r="I562" t="str">
        <f t="shared" si="16"/>
        <v>Normal Weight</v>
      </c>
      <c r="J562" t="str">
        <f t="shared" si="18"/>
        <v>Normal</v>
      </c>
    </row>
    <row r="563" spans="1:10" x14ac:dyDescent="0.35">
      <c r="A563" t="s">
        <v>563</v>
      </c>
      <c r="B563">
        <v>49.09</v>
      </c>
      <c r="C563">
        <v>8.3800000000000008</v>
      </c>
      <c r="D563" t="s">
        <v>2346</v>
      </c>
      <c r="E563" t="s">
        <v>2344</v>
      </c>
      <c r="F563" t="s">
        <v>2344</v>
      </c>
      <c r="G563">
        <v>1</v>
      </c>
      <c r="H563" t="s">
        <v>2344</v>
      </c>
      <c r="I563" t="str">
        <f t="shared" si="16"/>
        <v>Obesity</v>
      </c>
      <c r="J563" t="str">
        <f t="shared" si="18"/>
        <v>Diabetes</v>
      </c>
    </row>
    <row r="564" spans="1:10" x14ac:dyDescent="0.35">
      <c r="A564" t="s">
        <v>564</v>
      </c>
      <c r="B564">
        <v>28.024999999999999</v>
      </c>
      <c r="C564">
        <v>7.03</v>
      </c>
      <c r="D564" t="s">
        <v>2344</v>
      </c>
      <c r="E564" t="s">
        <v>2344</v>
      </c>
      <c r="F564" t="s">
        <v>2344</v>
      </c>
      <c r="G564">
        <v>0</v>
      </c>
      <c r="H564" t="s">
        <v>2346</v>
      </c>
      <c r="I564" t="str">
        <f t="shared" si="16"/>
        <v>Over weight</v>
      </c>
      <c r="J564" t="str">
        <f t="shared" si="18"/>
        <v>Diabetes</v>
      </c>
    </row>
    <row r="565" spans="1:10" x14ac:dyDescent="0.35">
      <c r="A565" t="s">
        <v>565</v>
      </c>
      <c r="B565">
        <v>43.32</v>
      </c>
      <c r="C565">
        <v>8.75</v>
      </c>
      <c r="D565" t="s">
        <v>2346</v>
      </c>
      <c r="E565" t="s">
        <v>2344</v>
      </c>
      <c r="F565" t="s">
        <v>2346</v>
      </c>
      <c r="G565">
        <v>1</v>
      </c>
      <c r="H565" t="s">
        <v>2344</v>
      </c>
      <c r="I565" t="str">
        <f t="shared" si="16"/>
        <v>Obesity</v>
      </c>
      <c r="J565" t="str">
        <f t="shared" si="18"/>
        <v>Diabetes</v>
      </c>
    </row>
    <row r="566" spans="1:10" x14ac:dyDescent="0.35">
      <c r="A566" t="s">
        <v>566</v>
      </c>
      <c r="B566">
        <v>45.92</v>
      </c>
      <c r="C566">
        <v>9.51</v>
      </c>
      <c r="D566" t="s">
        <v>2344</v>
      </c>
      <c r="E566" t="s">
        <v>2344</v>
      </c>
      <c r="F566" t="s">
        <v>2344</v>
      </c>
      <c r="G566">
        <v>0</v>
      </c>
      <c r="H566" t="s">
        <v>2344</v>
      </c>
      <c r="I566" t="str">
        <f t="shared" si="16"/>
        <v>Obesity</v>
      </c>
      <c r="J566" t="str">
        <f t="shared" si="18"/>
        <v>Diabetes</v>
      </c>
    </row>
    <row r="567" spans="1:10" x14ac:dyDescent="0.35">
      <c r="A567" t="s">
        <v>567</v>
      </c>
      <c r="B567">
        <v>44.03</v>
      </c>
      <c r="C567">
        <v>9.36</v>
      </c>
      <c r="D567" t="s">
        <v>2344</v>
      </c>
      <c r="E567" t="s">
        <v>2344</v>
      </c>
      <c r="F567" t="s">
        <v>2344</v>
      </c>
      <c r="G567">
        <v>0</v>
      </c>
      <c r="H567" t="s">
        <v>2344</v>
      </c>
      <c r="I567" t="str">
        <f t="shared" si="16"/>
        <v>Obesity</v>
      </c>
      <c r="J567" t="str">
        <f t="shared" si="18"/>
        <v>Diabetes</v>
      </c>
    </row>
    <row r="568" spans="1:10" x14ac:dyDescent="0.35">
      <c r="A568" t="s">
        <v>568</v>
      </c>
      <c r="B568">
        <v>24.6</v>
      </c>
      <c r="C568">
        <v>4.8099999999999996</v>
      </c>
      <c r="D568" t="s">
        <v>2344</v>
      </c>
      <c r="E568" t="s">
        <v>2344</v>
      </c>
      <c r="F568" t="s">
        <v>2344</v>
      </c>
      <c r="G568">
        <v>0</v>
      </c>
      <c r="H568" t="s">
        <v>2346</v>
      </c>
      <c r="I568" t="str">
        <f t="shared" si="16"/>
        <v>Normal Weight</v>
      </c>
      <c r="J568" t="str">
        <f t="shared" si="18"/>
        <v>Normal</v>
      </c>
    </row>
    <row r="569" spans="1:10" x14ac:dyDescent="0.35">
      <c r="A569" t="s">
        <v>569</v>
      </c>
      <c r="B569">
        <v>49.15</v>
      </c>
      <c r="C569">
        <v>8.08</v>
      </c>
      <c r="D569" t="s">
        <v>2344</v>
      </c>
      <c r="E569" t="s">
        <v>2344</v>
      </c>
      <c r="F569" t="s">
        <v>2344</v>
      </c>
      <c r="G569">
        <v>0</v>
      </c>
      <c r="H569" t="s">
        <v>2344</v>
      </c>
      <c r="I569" t="str">
        <f t="shared" si="16"/>
        <v>Obesity</v>
      </c>
      <c r="J569" t="str">
        <f t="shared" si="18"/>
        <v>Diabetes</v>
      </c>
    </row>
    <row r="570" spans="1:10" x14ac:dyDescent="0.35">
      <c r="A570" t="s">
        <v>570</v>
      </c>
      <c r="B570">
        <v>28.31</v>
      </c>
      <c r="C570">
        <v>6.29</v>
      </c>
      <c r="D570" t="s">
        <v>2344</v>
      </c>
      <c r="E570" t="s">
        <v>2344</v>
      </c>
      <c r="F570" t="s">
        <v>2346</v>
      </c>
      <c r="G570">
        <v>1</v>
      </c>
      <c r="H570" t="s">
        <v>2346</v>
      </c>
      <c r="I570" t="str">
        <f t="shared" si="16"/>
        <v>Over weight</v>
      </c>
      <c r="J570" t="str">
        <f t="shared" si="18"/>
        <v>Prediabetes</v>
      </c>
    </row>
    <row r="571" spans="1:10" x14ac:dyDescent="0.35">
      <c r="A571" t="s">
        <v>571</v>
      </c>
      <c r="B571">
        <v>22.99</v>
      </c>
      <c r="C571">
        <v>6.29</v>
      </c>
      <c r="D571" t="s">
        <v>2344</v>
      </c>
      <c r="E571" t="s">
        <v>2344</v>
      </c>
      <c r="F571" t="s">
        <v>2344</v>
      </c>
      <c r="G571">
        <v>1</v>
      </c>
      <c r="H571" t="s">
        <v>2346</v>
      </c>
      <c r="I571" t="str">
        <f t="shared" si="16"/>
        <v>Normal Weight</v>
      </c>
      <c r="J571" t="str">
        <f t="shared" si="18"/>
        <v>Prediabetes</v>
      </c>
    </row>
    <row r="572" spans="1:10" x14ac:dyDescent="0.35">
      <c r="A572" t="s">
        <v>572</v>
      </c>
      <c r="B572">
        <v>29.07</v>
      </c>
      <c r="C572">
        <v>5.12</v>
      </c>
      <c r="D572" t="s">
        <v>2344</v>
      </c>
      <c r="E572" t="s">
        <v>2344</v>
      </c>
      <c r="F572" t="s">
        <v>2346</v>
      </c>
      <c r="G572">
        <v>1</v>
      </c>
      <c r="H572" t="s">
        <v>2346</v>
      </c>
      <c r="I572" t="str">
        <f t="shared" si="16"/>
        <v>Over weight</v>
      </c>
      <c r="J572" t="str">
        <f t="shared" si="18"/>
        <v>Normal</v>
      </c>
    </row>
    <row r="573" spans="1:10" x14ac:dyDescent="0.35">
      <c r="A573" t="s">
        <v>573</v>
      </c>
      <c r="B573">
        <v>42.02</v>
      </c>
      <c r="C573">
        <v>9.9499999999999993</v>
      </c>
      <c r="D573" t="s">
        <v>2346</v>
      </c>
      <c r="E573" t="s">
        <v>2344</v>
      </c>
      <c r="F573" t="s">
        <v>2346</v>
      </c>
      <c r="G573">
        <v>1</v>
      </c>
      <c r="H573" t="s">
        <v>2344</v>
      </c>
      <c r="I573" t="str">
        <f t="shared" si="16"/>
        <v>Obesity</v>
      </c>
      <c r="J573" t="str">
        <f t="shared" si="18"/>
        <v>Diabetes</v>
      </c>
    </row>
    <row r="574" spans="1:10" x14ac:dyDescent="0.35">
      <c r="A574" t="s">
        <v>574</v>
      </c>
      <c r="B574">
        <v>49.07</v>
      </c>
      <c r="C574">
        <v>9.08</v>
      </c>
      <c r="D574" t="s">
        <v>2346</v>
      </c>
      <c r="E574" t="s">
        <v>2344</v>
      </c>
      <c r="F574" t="s">
        <v>2344</v>
      </c>
      <c r="G574">
        <v>1</v>
      </c>
      <c r="H574" t="s">
        <v>2344</v>
      </c>
      <c r="I574" t="str">
        <f t="shared" si="16"/>
        <v>Obesity</v>
      </c>
      <c r="J574" t="str">
        <f t="shared" si="18"/>
        <v>Diabetes</v>
      </c>
    </row>
    <row r="575" spans="1:10" x14ac:dyDescent="0.35">
      <c r="A575" t="s">
        <v>575</v>
      </c>
      <c r="B575">
        <v>19.8</v>
      </c>
      <c r="C575">
        <v>4.82</v>
      </c>
      <c r="D575" t="s">
        <v>2344</v>
      </c>
      <c r="E575" t="s">
        <v>2344</v>
      </c>
      <c r="F575" t="s">
        <v>2344</v>
      </c>
      <c r="G575">
        <v>0</v>
      </c>
      <c r="H575" t="s">
        <v>2346</v>
      </c>
      <c r="I575" t="str">
        <f t="shared" si="16"/>
        <v>Normal Weight</v>
      </c>
      <c r="J575" t="str">
        <f t="shared" si="18"/>
        <v>Normal</v>
      </c>
    </row>
    <row r="576" spans="1:10" x14ac:dyDescent="0.35">
      <c r="A576" t="s">
        <v>576</v>
      </c>
      <c r="B576">
        <v>27.36</v>
      </c>
      <c r="C576">
        <v>4.6500000000000004</v>
      </c>
      <c r="D576" t="s">
        <v>2344</v>
      </c>
      <c r="E576" t="s">
        <v>2345</v>
      </c>
      <c r="F576" t="s">
        <v>2344</v>
      </c>
      <c r="G576">
        <v>1</v>
      </c>
      <c r="H576" t="s">
        <v>2346</v>
      </c>
      <c r="I576" t="str">
        <f t="shared" si="16"/>
        <v>Over weight</v>
      </c>
      <c r="J576" t="str">
        <f t="shared" si="18"/>
        <v>Normal</v>
      </c>
    </row>
    <row r="577" spans="1:10" x14ac:dyDescent="0.35">
      <c r="A577" t="s">
        <v>577</v>
      </c>
      <c r="B577">
        <v>42.95</v>
      </c>
      <c r="C577">
        <v>5.16</v>
      </c>
      <c r="D577" t="s">
        <v>2346</v>
      </c>
      <c r="E577" t="s">
        <v>2344</v>
      </c>
      <c r="F577" t="s">
        <v>2344</v>
      </c>
      <c r="G577">
        <v>1</v>
      </c>
      <c r="H577" t="s">
        <v>2344</v>
      </c>
      <c r="I577" t="str">
        <f t="shared" si="16"/>
        <v>Obesity</v>
      </c>
      <c r="J577" t="str">
        <f t="shared" si="18"/>
        <v>Normal</v>
      </c>
    </row>
    <row r="578" spans="1:10" x14ac:dyDescent="0.35">
      <c r="A578" t="s">
        <v>578</v>
      </c>
      <c r="B578">
        <v>42.66</v>
      </c>
      <c r="C578">
        <v>10.44</v>
      </c>
      <c r="D578" t="s">
        <v>2344</v>
      </c>
      <c r="E578" t="s">
        <v>2344</v>
      </c>
      <c r="F578" t="s">
        <v>2344</v>
      </c>
      <c r="G578">
        <v>0</v>
      </c>
      <c r="H578" t="s">
        <v>2344</v>
      </c>
      <c r="I578" t="str">
        <f t="shared" si="16"/>
        <v>Obesity</v>
      </c>
      <c r="J578" t="str">
        <f t="shared" si="18"/>
        <v>Diabetes</v>
      </c>
    </row>
    <row r="579" spans="1:10" x14ac:dyDescent="0.35">
      <c r="A579" t="s">
        <v>579</v>
      </c>
      <c r="B579">
        <v>33.630000000000003</v>
      </c>
      <c r="C579">
        <v>5.69</v>
      </c>
      <c r="D579" t="s">
        <v>2344</v>
      </c>
      <c r="E579" t="s">
        <v>2344</v>
      </c>
      <c r="F579" t="s">
        <v>2344</v>
      </c>
      <c r="G579">
        <v>1</v>
      </c>
      <c r="H579" t="s">
        <v>2344</v>
      </c>
      <c r="I579" t="str">
        <f t="shared" ref="I579:I642" si="19">IF(B579&lt;18.5,"Under Weight",IF(B579&lt;25,"Normal Weight",IF(B579&lt;30,"Over weight","Obesity")))</f>
        <v>Obesity</v>
      </c>
      <c r="J579" t="str">
        <f t="shared" si="18"/>
        <v>Normal</v>
      </c>
    </row>
    <row r="580" spans="1:10" x14ac:dyDescent="0.35">
      <c r="A580" t="s">
        <v>580</v>
      </c>
      <c r="B580">
        <v>26.84</v>
      </c>
      <c r="C580">
        <v>6.5</v>
      </c>
      <c r="D580" t="s">
        <v>2344</v>
      </c>
      <c r="E580" t="s">
        <v>2344</v>
      </c>
      <c r="F580" t="s">
        <v>2344</v>
      </c>
      <c r="G580">
        <v>0</v>
      </c>
      <c r="H580" t="s">
        <v>2346</v>
      </c>
      <c r="I580" t="str">
        <f t="shared" si="19"/>
        <v>Over weight</v>
      </c>
      <c r="J580" t="str">
        <f t="shared" si="18"/>
        <v>Diabetes</v>
      </c>
    </row>
    <row r="581" spans="1:10" x14ac:dyDescent="0.35">
      <c r="A581" t="s">
        <v>581</v>
      </c>
      <c r="B581">
        <v>28.3</v>
      </c>
      <c r="C581">
        <v>5.73</v>
      </c>
      <c r="D581" t="s">
        <v>2344</v>
      </c>
      <c r="E581" t="s">
        <v>2344</v>
      </c>
      <c r="F581" t="s">
        <v>2346</v>
      </c>
      <c r="G581">
        <v>1</v>
      </c>
      <c r="H581" t="s">
        <v>2346</v>
      </c>
      <c r="I581" t="str">
        <f t="shared" si="19"/>
        <v>Over weight</v>
      </c>
      <c r="J581" t="str">
        <f t="shared" si="18"/>
        <v>Prediabetes</v>
      </c>
    </row>
    <row r="582" spans="1:10" x14ac:dyDescent="0.35">
      <c r="A582" t="s">
        <v>582</v>
      </c>
      <c r="B582">
        <v>27.06</v>
      </c>
      <c r="C582">
        <v>5.74</v>
      </c>
      <c r="D582" t="s">
        <v>2346</v>
      </c>
      <c r="E582" t="s">
        <v>2344</v>
      </c>
      <c r="F582" t="s">
        <v>2344</v>
      </c>
      <c r="G582">
        <v>0</v>
      </c>
      <c r="H582" t="s">
        <v>2346</v>
      </c>
      <c r="I582" t="str">
        <f t="shared" si="19"/>
        <v>Over weight</v>
      </c>
      <c r="J582" t="str">
        <f t="shared" si="18"/>
        <v>Prediabetes</v>
      </c>
    </row>
    <row r="583" spans="1:10" x14ac:dyDescent="0.35">
      <c r="A583" t="s">
        <v>583</v>
      </c>
      <c r="B583">
        <v>47.13</v>
      </c>
      <c r="C583">
        <v>8.6999999999999993</v>
      </c>
      <c r="D583" t="s">
        <v>2344</v>
      </c>
      <c r="E583" t="s">
        <v>2344</v>
      </c>
      <c r="F583" t="s">
        <v>2344</v>
      </c>
      <c r="G583">
        <v>0</v>
      </c>
      <c r="H583" t="s">
        <v>2344</v>
      </c>
      <c r="I583" t="str">
        <f t="shared" si="19"/>
        <v>Obesity</v>
      </c>
      <c r="J583" t="str">
        <f t="shared" si="18"/>
        <v>Diabetes</v>
      </c>
    </row>
    <row r="584" spans="1:10" x14ac:dyDescent="0.35">
      <c r="A584" t="s">
        <v>584</v>
      </c>
      <c r="B584">
        <v>51.72</v>
      </c>
      <c r="C584">
        <v>5.09</v>
      </c>
      <c r="D584" t="s">
        <v>2344</v>
      </c>
      <c r="E584" t="s">
        <v>2344</v>
      </c>
      <c r="F584" t="s">
        <v>2344</v>
      </c>
      <c r="G584">
        <v>0</v>
      </c>
      <c r="H584" t="s">
        <v>2344</v>
      </c>
      <c r="I584" t="str">
        <f t="shared" si="19"/>
        <v>Obesity</v>
      </c>
      <c r="J584" t="str">
        <f t="shared" si="18"/>
        <v>Normal</v>
      </c>
    </row>
    <row r="585" spans="1:10" x14ac:dyDescent="0.35">
      <c r="A585" t="s">
        <v>585</v>
      </c>
      <c r="B585">
        <v>48.59</v>
      </c>
      <c r="C585">
        <v>5.57</v>
      </c>
      <c r="D585" t="s">
        <v>2344</v>
      </c>
      <c r="E585" t="s">
        <v>2344</v>
      </c>
      <c r="F585" t="s">
        <v>2344</v>
      </c>
      <c r="G585">
        <v>0</v>
      </c>
      <c r="H585" t="s">
        <v>2344</v>
      </c>
      <c r="I585" t="str">
        <f t="shared" si="19"/>
        <v>Obesity</v>
      </c>
      <c r="J585" t="str">
        <f t="shared" si="18"/>
        <v>Normal</v>
      </c>
    </row>
    <row r="586" spans="1:10" x14ac:dyDescent="0.35">
      <c r="A586" t="s">
        <v>586</v>
      </c>
      <c r="B586">
        <v>45.18</v>
      </c>
      <c r="C586">
        <v>10.87</v>
      </c>
      <c r="D586" t="s">
        <v>2344</v>
      </c>
      <c r="E586" t="s">
        <v>2344</v>
      </c>
      <c r="F586" t="s">
        <v>2344</v>
      </c>
      <c r="G586">
        <v>0</v>
      </c>
      <c r="H586" t="s">
        <v>2344</v>
      </c>
      <c r="I586" t="str">
        <f t="shared" si="19"/>
        <v>Obesity</v>
      </c>
      <c r="J586" t="str">
        <f t="shared" si="18"/>
        <v>Diabetes</v>
      </c>
    </row>
    <row r="587" spans="1:10" x14ac:dyDescent="0.35">
      <c r="A587" t="s">
        <v>587</v>
      </c>
      <c r="B587">
        <v>27.9</v>
      </c>
      <c r="C587">
        <v>6.02</v>
      </c>
      <c r="D587" t="s">
        <v>2344</v>
      </c>
      <c r="E587" t="s">
        <v>2344</v>
      </c>
      <c r="F587" t="s">
        <v>2346</v>
      </c>
      <c r="G587">
        <v>1</v>
      </c>
      <c r="H587" t="s">
        <v>2346</v>
      </c>
      <c r="I587" t="str">
        <f t="shared" si="19"/>
        <v>Over weight</v>
      </c>
      <c r="J587" t="str">
        <f t="shared" si="18"/>
        <v>Prediabetes</v>
      </c>
    </row>
    <row r="588" spans="1:10" x14ac:dyDescent="0.35">
      <c r="A588" t="s">
        <v>588</v>
      </c>
      <c r="B588">
        <v>51.33</v>
      </c>
      <c r="C588" t="s">
        <v>2346</v>
      </c>
      <c r="D588" t="s">
        <v>2344</v>
      </c>
      <c r="E588" t="s">
        <v>2344</v>
      </c>
      <c r="F588" t="s">
        <v>2344</v>
      </c>
      <c r="G588">
        <v>0</v>
      </c>
      <c r="H588" t="s">
        <v>2344</v>
      </c>
      <c r="I588" t="str">
        <f t="shared" si="19"/>
        <v>Obesity</v>
      </c>
      <c r="J588" t="str">
        <f t="shared" ref="J588:J651" si="20">IF(C588&lt;5.7,"Normal",IF(C588&lt;6.5,"Prediabetes","Diabetes"))</f>
        <v>Diabetes</v>
      </c>
    </row>
    <row r="589" spans="1:10" x14ac:dyDescent="0.35">
      <c r="A589" t="s">
        <v>589</v>
      </c>
      <c r="B589">
        <v>30.59</v>
      </c>
      <c r="C589">
        <v>5.56</v>
      </c>
      <c r="D589" t="s">
        <v>2346</v>
      </c>
      <c r="E589" t="s">
        <v>2344</v>
      </c>
      <c r="F589" t="s">
        <v>2344</v>
      </c>
      <c r="G589">
        <v>1</v>
      </c>
      <c r="H589" t="s">
        <v>2344</v>
      </c>
      <c r="I589" t="str">
        <f t="shared" si="19"/>
        <v>Obesity</v>
      </c>
      <c r="J589" t="str">
        <f t="shared" si="20"/>
        <v>Normal</v>
      </c>
    </row>
    <row r="590" spans="1:10" x14ac:dyDescent="0.35">
      <c r="A590" t="s">
        <v>590</v>
      </c>
      <c r="B590">
        <v>39.229999999999997</v>
      </c>
      <c r="C590">
        <v>8.4499999999999993</v>
      </c>
      <c r="D590" t="s">
        <v>2344</v>
      </c>
      <c r="E590" t="s">
        <v>2344</v>
      </c>
      <c r="F590" t="s">
        <v>2344</v>
      </c>
      <c r="G590">
        <v>0</v>
      </c>
      <c r="H590" t="s">
        <v>2344</v>
      </c>
      <c r="I590" t="str">
        <f t="shared" si="19"/>
        <v>Obesity</v>
      </c>
      <c r="J590" t="str">
        <f t="shared" si="20"/>
        <v>Diabetes</v>
      </c>
    </row>
    <row r="591" spans="1:10" x14ac:dyDescent="0.35">
      <c r="A591" t="s">
        <v>591</v>
      </c>
      <c r="B591">
        <v>19.094999999999999</v>
      </c>
      <c r="C591">
        <v>6.19</v>
      </c>
      <c r="D591" t="s">
        <v>2344</v>
      </c>
      <c r="E591" t="s">
        <v>2344</v>
      </c>
      <c r="F591" t="s">
        <v>2344</v>
      </c>
      <c r="G591">
        <v>0</v>
      </c>
      <c r="H591" t="s">
        <v>2346</v>
      </c>
      <c r="I591" t="str">
        <f t="shared" si="19"/>
        <v>Normal Weight</v>
      </c>
      <c r="J591" t="str">
        <f t="shared" si="20"/>
        <v>Prediabetes</v>
      </c>
    </row>
    <row r="592" spans="1:10" x14ac:dyDescent="0.35">
      <c r="A592" t="s">
        <v>592</v>
      </c>
      <c r="B592">
        <v>49.72</v>
      </c>
      <c r="C592">
        <v>7.71</v>
      </c>
      <c r="D592" t="s">
        <v>2344</v>
      </c>
      <c r="E592" t="s">
        <v>2344</v>
      </c>
      <c r="F592" t="s">
        <v>2344</v>
      </c>
      <c r="G592">
        <v>0</v>
      </c>
      <c r="H592" t="s">
        <v>2344</v>
      </c>
      <c r="I592" t="str">
        <f t="shared" si="19"/>
        <v>Obesity</v>
      </c>
      <c r="J592" t="str">
        <f t="shared" si="20"/>
        <v>Diabetes</v>
      </c>
    </row>
    <row r="593" spans="1:10" x14ac:dyDescent="0.35">
      <c r="A593" t="s">
        <v>593</v>
      </c>
      <c r="B593">
        <v>21.754999999999999</v>
      </c>
      <c r="C593">
        <v>4.63</v>
      </c>
      <c r="D593" t="s">
        <v>2344</v>
      </c>
      <c r="E593" t="s">
        <v>2344</v>
      </c>
      <c r="F593" t="s">
        <v>2346</v>
      </c>
      <c r="G593">
        <v>1</v>
      </c>
      <c r="H593" t="s">
        <v>2346</v>
      </c>
      <c r="I593" t="str">
        <f t="shared" si="19"/>
        <v>Normal Weight</v>
      </c>
      <c r="J593" t="str">
        <f t="shared" si="20"/>
        <v>Normal</v>
      </c>
    </row>
    <row r="594" spans="1:10" x14ac:dyDescent="0.35">
      <c r="A594" t="s">
        <v>594</v>
      </c>
      <c r="B594">
        <v>48.39</v>
      </c>
      <c r="C594">
        <v>4.6100000000000003</v>
      </c>
      <c r="D594" t="s">
        <v>2344</v>
      </c>
      <c r="E594" t="s">
        <v>2344</v>
      </c>
      <c r="F594" t="s">
        <v>2344</v>
      </c>
      <c r="G594">
        <v>0</v>
      </c>
      <c r="H594" t="s">
        <v>2344</v>
      </c>
      <c r="I594" t="str">
        <f t="shared" si="19"/>
        <v>Obesity</v>
      </c>
      <c r="J594" t="str">
        <f t="shared" si="20"/>
        <v>Normal</v>
      </c>
    </row>
    <row r="595" spans="1:10" x14ac:dyDescent="0.35">
      <c r="A595" t="s">
        <v>595</v>
      </c>
      <c r="B595">
        <v>47.15</v>
      </c>
      <c r="C595">
        <v>9.5299999999999994</v>
      </c>
      <c r="D595" t="s">
        <v>2346</v>
      </c>
      <c r="E595" t="s">
        <v>2344</v>
      </c>
      <c r="F595" t="s">
        <v>2344</v>
      </c>
      <c r="G595">
        <v>1</v>
      </c>
      <c r="H595" t="s">
        <v>2344</v>
      </c>
      <c r="I595" t="str">
        <f t="shared" si="19"/>
        <v>Obesity</v>
      </c>
      <c r="J595" t="str">
        <f t="shared" si="20"/>
        <v>Diabetes</v>
      </c>
    </row>
    <row r="596" spans="1:10" x14ac:dyDescent="0.35">
      <c r="A596" t="s">
        <v>596</v>
      </c>
      <c r="B596">
        <v>47.59</v>
      </c>
      <c r="C596">
        <v>11.43</v>
      </c>
      <c r="D596" t="s">
        <v>2346</v>
      </c>
      <c r="E596" t="s">
        <v>2344</v>
      </c>
      <c r="F596" t="s">
        <v>2344</v>
      </c>
      <c r="G596">
        <v>1</v>
      </c>
      <c r="H596" t="s">
        <v>2344</v>
      </c>
      <c r="I596" t="str">
        <f t="shared" si="19"/>
        <v>Obesity</v>
      </c>
      <c r="J596" t="str">
        <f t="shared" si="20"/>
        <v>Diabetes</v>
      </c>
    </row>
    <row r="597" spans="1:10" x14ac:dyDescent="0.35">
      <c r="A597" t="s">
        <v>597</v>
      </c>
      <c r="B597">
        <v>39.81</v>
      </c>
      <c r="C597">
        <v>7.65</v>
      </c>
      <c r="D597" t="s">
        <v>2346</v>
      </c>
      <c r="E597" t="s">
        <v>2344</v>
      </c>
      <c r="F597" t="s">
        <v>2346</v>
      </c>
      <c r="G597">
        <v>1</v>
      </c>
      <c r="H597" t="s">
        <v>2344</v>
      </c>
      <c r="I597" t="str">
        <f t="shared" si="19"/>
        <v>Obesity</v>
      </c>
      <c r="J597" t="str">
        <f t="shared" si="20"/>
        <v>Diabetes</v>
      </c>
    </row>
    <row r="598" spans="1:10" x14ac:dyDescent="0.35">
      <c r="A598" t="s">
        <v>598</v>
      </c>
      <c r="B598">
        <v>31.02</v>
      </c>
      <c r="C598">
        <v>5.87</v>
      </c>
      <c r="D598" t="s">
        <v>2346</v>
      </c>
      <c r="E598" t="s">
        <v>2344</v>
      </c>
      <c r="F598" t="s">
        <v>2344</v>
      </c>
      <c r="G598">
        <v>0</v>
      </c>
      <c r="H598" t="s">
        <v>2344</v>
      </c>
      <c r="I598" t="str">
        <f t="shared" si="19"/>
        <v>Obesity</v>
      </c>
      <c r="J598" t="str">
        <f t="shared" si="20"/>
        <v>Prediabetes</v>
      </c>
    </row>
    <row r="599" spans="1:10" x14ac:dyDescent="0.35">
      <c r="A599" t="s">
        <v>599</v>
      </c>
      <c r="B599">
        <v>24.75</v>
      </c>
      <c r="C599">
        <v>4.3600000000000003</v>
      </c>
      <c r="D599" t="s">
        <v>2346</v>
      </c>
      <c r="E599" t="s">
        <v>2344</v>
      </c>
      <c r="F599" t="s">
        <v>2344</v>
      </c>
      <c r="G599">
        <v>1</v>
      </c>
      <c r="H599" t="s">
        <v>2346</v>
      </c>
      <c r="I599" t="str">
        <f t="shared" si="19"/>
        <v>Normal Weight</v>
      </c>
      <c r="J599" t="str">
        <f t="shared" si="20"/>
        <v>Normal</v>
      </c>
    </row>
    <row r="600" spans="1:10" x14ac:dyDescent="0.35">
      <c r="A600" t="s">
        <v>600</v>
      </c>
      <c r="B600">
        <v>30.114999999999998</v>
      </c>
      <c r="C600">
        <v>10.119999999999999</v>
      </c>
      <c r="D600" t="s">
        <v>2344</v>
      </c>
      <c r="E600" t="s">
        <v>2344</v>
      </c>
      <c r="F600" t="s">
        <v>2344</v>
      </c>
      <c r="G600">
        <v>1</v>
      </c>
      <c r="H600" t="s">
        <v>2344</v>
      </c>
      <c r="I600" t="str">
        <f t="shared" si="19"/>
        <v>Obesity</v>
      </c>
      <c r="J600" t="str">
        <f t="shared" si="20"/>
        <v>Diabetes</v>
      </c>
    </row>
    <row r="601" spans="1:10" x14ac:dyDescent="0.35">
      <c r="A601" t="s">
        <v>601</v>
      </c>
      <c r="B601">
        <v>26.03</v>
      </c>
      <c r="C601">
        <v>4.01</v>
      </c>
      <c r="D601" t="s">
        <v>2344</v>
      </c>
      <c r="E601" t="s">
        <v>2344</v>
      </c>
      <c r="F601" t="s">
        <v>2346</v>
      </c>
      <c r="G601">
        <v>1</v>
      </c>
      <c r="H601" t="s">
        <v>2346</v>
      </c>
      <c r="I601" t="str">
        <f t="shared" si="19"/>
        <v>Over weight</v>
      </c>
      <c r="J601" t="str">
        <f t="shared" si="20"/>
        <v>Normal</v>
      </c>
    </row>
    <row r="602" spans="1:10" x14ac:dyDescent="0.35">
      <c r="A602" t="s">
        <v>602</v>
      </c>
      <c r="B602">
        <v>20.045000000000002</v>
      </c>
      <c r="C602">
        <v>4.7699999999999996</v>
      </c>
      <c r="D602" t="s">
        <v>2346</v>
      </c>
      <c r="E602" t="s">
        <v>2344</v>
      </c>
      <c r="F602" t="s">
        <v>2344</v>
      </c>
      <c r="G602">
        <v>1</v>
      </c>
      <c r="H602" t="s">
        <v>2346</v>
      </c>
      <c r="I602" t="str">
        <f t="shared" si="19"/>
        <v>Normal Weight</v>
      </c>
      <c r="J602" t="str">
        <f t="shared" si="20"/>
        <v>Normal</v>
      </c>
    </row>
    <row r="603" spans="1:10" x14ac:dyDescent="0.35">
      <c r="A603" t="s">
        <v>603</v>
      </c>
      <c r="B603">
        <v>40.24</v>
      </c>
      <c r="C603">
        <v>6.83</v>
      </c>
      <c r="D603" t="s">
        <v>2344</v>
      </c>
      <c r="E603" t="s">
        <v>2344</v>
      </c>
      <c r="F603" t="s">
        <v>2344</v>
      </c>
      <c r="G603">
        <v>0</v>
      </c>
      <c r="H603" t="s">
        <v>2344</v>
      </c>
      <c r="I603" t="str">
        <f t="shared" si="19"/>
        <v>Obesity</v>
      </c>
      <c r="J603" t="str">
        <f t="shared" si="20"/>
        <v>Diabetes</v>
      </c>
    </row>
    <row r="604" spans="1:10" x14ac:dyDescent="0.35">
      <c r="A604" t="s">
        <v>604</v>
      </c>
      <c r="B604">
        <v>43.15</v>
      </c>
      <c r="C604">
        <v>6.14</v>
      </c>
      <c r="D604" t="s">
        <v>2346</v>
      </c>
      <c r="E604" t="s">
        <v>2344</v>
      </c>
      <c r="F604" t="s">
        <v>2346</v>
      </c>
      <c r="G604">
        <v>1</v>
      </c>
      <c r="H604" t="s">
        <v>2344</v>
      </c>
      <c r="I604" t="str">
        <f t="shared" si="19"/>
        <v>Obesity</v>
      </c>
      <c r="J604" t="str">
        <f t="shared" si="20"/>
        <v>Prediabetes</v>
      </c>
    </row>
    <row r="605" spans="1:10" x14ac:dyDescent="0.35">
      <c r="A605" t="s">
        <v>605</v>
      </c>
      <c r="B605">
        <v>27.7</v>
      </c>
      <c r="C605">
        <v>5.6</v>
      </c>
      <c r="D605" t="s">
        <v>2344</v>
      </c>
      <c r="E605" t="s">
        <v>2344</v>
      </c>
      <c r="F605" t="s">
        <v>2346</v>
      </c>
      <c r="G605">
        <v>1</v>
      </c>
      <c r="H605" t="s">
        <v>2346</v>
      </c>
      <c r="I605" t="str">
        <f t="shared" si="19"/>
        <v>Over weight</v>
      </c>
      <c r="J605" t="str">
        <f t="shared" si="20"/>
        <v>Normal</v>
      </c>
    </row>
    <row r="606" spans="1:10" x14ac:dyDescent="0.35">
      <c r="A606" t="s">
        <v>606</v>
      </c>
      <c r="B606">
        <v>45.68</v>
      </c>
      <c r="C606">
        <v>4.8</v>
      </c>
      <c r="D606" t="s">
        <v>2344</v>
      </c>
      <c r="E606" t="s">
        <v>2344</v>
      </c>
      <c r="F606" t="s">
        <v>2344</v>
      </c>
      <c r="G606">
        <v>1</v>
      </c>
      <c r="H606" t="s">
        <v>2344</v>
      </c>
      <c r="I606" t="str">
        <f t="shared" si="19"/>
        <v>Obesity</v>
      </c>
      <c r="J606" t="str">
        <f t="shared" si="20"/>
        <v>Normal</v>
      </c>
    </row>
    <row r="607" spans="1:10" x14ac:dyDescent="0.35">
      <c r="A607" t="s">
        <v>607</v>
      </c>
      <c r="B607">
        <v>27.3</v>
      </c>
      <c r="C607">
        <v>11.89</v>
      </c>
      <c r="D607" t="s">
        <v>2344</v>
      </c>
      <c r="E607" t="s">
        <v>2344</v>
      </c>
      <c r="F607" t="s">
        <v>2344</v>
      </c>
      <c r="G607">
        <v>0</v>
      </c>
      <c r="H607" t="s">
        <v>2346</v>
      </c>
      <c r="I607" t="str">
        <f t="shared" si="19"/>
        <v>Over weight</v>
      </c>
      <c r="J607" t="str">
        <f t="shared" si="20"/>
        <v>Diabetes</v>
      </c>
    </row>
    <row r="608" spans="1:10" x14ac:dyDescent="0.35">
      <c r="A608" t="s">
        <v>608</v>
      </c>
      <c r="B608">
        <v>54.45</v>
      </c>
      <c r="C608">
        <v>4.7300000000000004</v>
      </c>
      <c r="D608" t="s">
        <v>2346</v>
      </c>
      <c r="E608" t="s">
        <v>2344</v>
      </c>
      <c r="F608" t="s">
        <v>2344</v>
      </c>
      <c r="G608">
        <v>1</v>
      </c>
      <c r="H608" t="s">
        <v>2344</v>
      </c>
      <c r="I608" t="str">
        <f t="shared" si="19"/>
        <v>Obesity</v>
      </c>
      <c r="J608" t="str">
        <f t="shared" si="20"/>
        <v>Normal</v>
      </c>
    </row>
    <row r="609" spans="1:10" x14ac:dyDescent="0.35">
      <c r="A609" t="s">
        <v>609</v>
      </c>
      <c r="B609">
        <v>54.43</v>
      </c>
      <c r="C609">
        <v>4.6100000000000003</v>
      </c>
      <c r="D609" t="s">
        <v>2346</v>
      </c>
      <c r="E609" t="s">
        <v>2344</v>
      </c>
      <c r="F609" t="s">
        <v>2344</v>
      </c>
      <c r="G609">
        <v>1</v>
      </c>
      <c r="H609" t="s">
        <v>2344</v>
      </c>
      <c r="I609" t="str">
        <f t="shared" si="19"/>
        <v>Obesity</v>
      </c>
      <c r="J609" t="str">
        <f t="shared" si="20"/>
        <v>Normal</v>
      </c>
    </row>
    <row r="610" spans="1:10" x14ac:dyDescent="0.35">
      <c r="A610" t="s">
        <v>610</v>
      </c>
      <c r="B610">
        <v>48.01</v>
      </c>
      <c r="C610">
        <v>7.3</v>
      </c>
      <c r="D610" t="s">
        <v>2344</v>
      </c>
      <c r="E610" t="s">
        <v>2344</v>
      </c>
      <c r="F610" t="s">
        <v>2344</v>
      </c>
      <c r="G610">
        <v>0</v>
      </c>
      <c r="H610" t="s">
        <v>2344</v>
      </c>
      <c r="I610" t="str">
        <f t="shared" si="19"/>
        <v>Obesity</v>
      </c>
      <c r="J610" t="str">
        <f t="shared" si="20"/>
        <v>Diabetes</v>
      </c>
    </row>
    <row r="611" spans="1:10" x14ac:dyDescent="0.35">
      <c r="A611" t="s">
        <v>611</v>
      </c>
      <c r="B611">
        <v>48.32</v>
      </c>
      <c r="C611">
        <v>5.88</v>
      </c>
      <c r="D611" t="s">
        <v>2344</v>
      </c>
      <c r="E611" t="s">
        <v>2344</v>
      </c>
      <c r="F611" t="s">
        <v>2344</v>
      </c>
      <c r="G611">
        <v>0</v>
      </c>
      <c r="H611" t="s">
        <v>2344</v>
      </c>
      <c r="I611" t="str">
        <f t="shared" si="19"/>
        <v>Obesity</v>
      </c>
      <c r="J611" t="str">
        <f t="shared" si="20"/>
        <v>Prediabetes</v>
      </c>
    </row>
    <row r="612" spans="1:10" x14ac:dyDescent="0.35">
      <c r="A612" t="s">
        <v>612</v>
      </c>
      <c r="B612">
        <v>22.895</v>
      </c>
      <c r="C612">
        <v>4.0599999999999996</v>
      </c>
      <c r="D612" t="s">
        <v>2344</v>
      </c>
      <c r="E612" t="s">
        <v>2344</v>
      </c>
      <c r="F612" t="s">
        <v>2346</v>
      </c>
      <c r="G612">
        <v>1</v>
      </c>
      <c r="H612" t="s">
        <v>2346</v>
      </c>
      <c r="I612" t="str">
        <f t="shared" si="19"/>
        <v>Normal Weight</v>
      </c>
      <c r="J612" t="str">
        <f t="shared" si="20"/>
        <v>Normal</v>
      </c>
    </row>
    <row r="613" spans="1:10" x14ac:dyDescent="0.35">
      <c r="A613" t="s">
        <v>613</v>
      </c>
      <c r="B613">
        <v>54.85</v>
      </c>
      <c r="C613">
        <v>4.9000000000000004</v>
      </c>
      <c r="D613" t="s">
        <v>2344</v>
      </c>
      <c r="E613" t="s">
        <v>2344</v>
      </c>
      <c r="F613" t="s">
        <v>2344</v>
      </c>
      <c r="G613">
        <v>1</v>
      </c>
      <c r="H613" t="s">
        <v>2344</v>
      </c>
      <c r="I613" t="str">
        <f t="shared" si="19"/>
        <v>Obesity</v>
      </c>
      <c r="J613" t="str">
        <f t="shared" si="20"/>
        <v>Normal</v>
      </c>
    </row>
    <row r="614" spans="1:10" x14ac:dyDescent="0.35">
      <c r="A614" t="s">
        <v>614</v>
      </c>
      <c r="B614">
        <v>21.85</v>
      </c>
      <c r="C614">
        <v>5.52</v>
      </c>
      <c r="D614" t="s">
        <v>2344</v>
      </c>
      <c r="E614" t="s">
        <v>2344</v>
      </c>
      <c r="F614" t="s">
        <v>2346</v>
      </c>
      <c r="G614">
        <v>1</v>
      </c>
      <c r="H614" t="s">
        <v>2346</v>
      </c>
      <c r="I614" t="str">
        <f t="shared" si="19"/>
        <v>Normal Weight</v>
      </c>
      <c r="J614" t="str">
        <f t="shared" si="20"/>
        <v>Normal</v>
      </c>
    </row>
    <row r="615" spans="1:10" x14ac:dyDescent="0.35">
      <c r="A615" t="s">
        <v>615</v>
      </c>
      <c r="B615">
        <v>51.86</v>
      </c>
      <c r="C615">
        <v>5.2</v>
      </c>
      <c r="D615" t="s">
        <v>2346</v>
      </c>
      <c r="E615" t="s">
        <v>2344</v>
      </c>
      <c r="F615" t="s">
        <v>2344</v>
      </c>
      <c r="G615">
        <v>0</v>
      </c>
      <c r="H615" t="s">
        <v>2344</v>
      </c>
      <c r="I615" t="str">
        <f t="shared" si="19"/>
        <v>Obesity</v>
      </c>
      <c r="J615" t="str">
        <f t="shared" si="20"/>
        <v>Normal</v>
      </c>
    </row>
    <row r="616" spans="1:10" x14ac:dyDescent="0.35">
      <c r="A616" t="s">
        <v>616</v>
      </c>
      <c r="B616">
        <v>39.049999999999997</v>
      </c>
      <c r="C616">
        <v>7.59</v>
      </c>
      <c r="D616" t="s">
        <v>2344</v>
      </c>
      <c r="E616" t="s">
        <v>2344</v>
      </c>
      <c r="F616" t="s">
        <v>2344</v>
      </c>
      <c r="G616">
        <v>1</v>
      </c>
      <c r="H616" t="s">
        <v>2344</v>
      </c>
      <c r="I616" t="str">
        <f t="shared" si="19"/>
        <v>Obesity</v>
      </c>
      <c r="J616" t="str">
        <f t="shared" si="20"/>
        <v>Diabetes</v>
      </c>
    </row>
    <row r="617" spans="1:10" x14ac:dyDescent="0.35">
      <c r="A617" t="s">
        <v>617</v>
      </c>
      <c r="B617">
        <v>31.824999999999999</v>
      </c>
      <c r="C617">
        <v>8.2799999999999994</v>
      </c>
      <c r="D617" t="s">
        <v>2344</v>
      </c>
      <c r="E617" t="s">
        <v>2344</v>
      </c>
      <c r="F617" t="s">
        <v>2344</v>
      </c>
      <c r="G617">
        <v>1</v>
      </c>
      <c r="H617" t="s">
        <v>2344</v>
      </c>
      <c r="I617" t="str">
        <f t="shared" si="19"/>
        <v>Obesity</v>
      </c>
      <c r="J617" t="str">
        <f t="shared" si="20"/>
        <v>Diabetes</v>
      </c>
    </row>
    <row r="618" spans="1:10" x14ac:dyDescent="0.35">
      <c r="A618" t="s">
        <v>618</v>
      </c>
      <c r="B618">
        <v>46.43</v>
      </c>
      <c r="C618">
        <v>6.72</v>
      </c>
      <c r="D618" t="s">
        <v>2344</v>
      </c>
      <c r="E618" t="s">
        <v>2344</v>
      </c>
      <c r="F618" t="s">
        <v>2344</v>
      </c>
      <c r="G618">
        <v>0</v>
      </c>
      <c r="H618" t="s">
        <v>2344</v>
      </c>
      <c r="I618" t="str">
        <f t="shared" si="19"/>
        <v>Obesity</v>
      </c>
      <c r="J618" t="str">
        <f t="shared" si="20"/>
        <v>Diabetes</v>
      </c>
    </row>
    <row r="619" spans="1:10" x14ac:dyDescent="0.35">
      <c r="A619" t="s">
        <v>619</v>
      </c>
      <c r="B619">
        <v>53.63</v>
      </c>
      <c r="C619">
        <v>5.47</v>
      </c>
      <c r="D619" t="s">
        <v>2346</v>
      </c>
      <c r="E619" t="s">
        <v>2344</v>
      </c>
      <c r="F619" t="s">
        <v>2344</v>
      </c>
      <c r="G619">
        <v>1</v>
      </c>
      <c r="H619" t="s">
        <v>2344</v>
      </c>
      <c r="I619" t="str">
        <f t="shared" si="19"/>
        <v>Obesity</v>
      </c>
      <c r="J619" t="str">
        <f t="shared" si="20"/>
        <v>Normal</v>
      </c>
    </row>
    <row r="620" spans="1:10" x14ac:dyDescent="0.35">
      <c r="A620" t="s">
        <v>620</v>
      </c>
      <c r="B620">
        <v>48.7</v>
      </c>
      <c r="C620">
        <v>4.71</v>
      </c>
      <c r="D620" t="s">
        <v>2344</v>
      </c>
      <c r="E620" t="s">
        <v>2344</v>
      </c>
      <c r="F620" t="s">
        <v>2344</v>
      </c>
      <c r="G620">
        <v>0</v>
      </c>
      <c r="H620" t="s">
        <v>2344</v>
      </c>
      <c r="I620" t="str">
        <f t="shared" si="19"/>
        <v>Obesity</v>
      </c>
      <c r="J620" t="str">
        <f t="shared" si="20"/>
        <v>Normal</v>
      </c>
    </row>
    <row r="621" spans="1:10" x14ac:dyDescent="0.35">
      <c r="A621" t="s">
        <v>621</v>
      </c>
      <c r="B621">
        <v>48.81</v>
      </c>
      <c r="C621">
        <v>5.49</v>
      </c>
      <c r="D621" t="s">
        <v>2344</v>
      </c>
      <c r="E621" t="s">
        <v>2344</v>
      </c>
      <c r="F621" t="s">
        <v>2344</v>
      </c>
      <c r="G621">
        <v>0</v>
      </c>
      <c r="H621" t="s">
        <v>2344</v>
      </c>
      <c r="I621" t="str">
        <f t="shared" si="19"/>
        <v>Obesity</v>
      </c>
      <c r="J621" t="str">
        <f t="shared" si="20"/>
        <v>Normal</v>
      </c>
    </row>
    <row r="622" spans="1:10" x14ac:dyDescent="0.35">
      <c r="A622" t="s">
        <v>622</v>
      </c>
      <c r="B622">
        <v>47.53</v>
      </c>
      <c r="C622">
        <v>4.72</v>
      </c>
      <c r="D622" t="s">
        <v>2344</v>
      </c>
      <c r="E622" t="s">
        <v>2344</v>
      </c>
      <c r="F622" t="s">
        <v>2344</v>
      </c>
      <c r="G622">
        <v>0</v>
      </c>
      <c r="H622" t="s">
        <v>2344</v>
      </c>
      <c r="I622" t="str">
        <f t="shared" si="19"/>
        <v>Obesity</v>
      </c>
      <c r="J622" t="str">
        <f t="shared" si="20"/>
        <v>Normal</v>
      </c>
    </row>
    <row r="623" spans="1:10" x14ac:dyDescent="0.35">
      <c r="A623" t="s">
        <v>623</v>
      </c>
      <c r="B623">
        <v>36.85</v>
      </c>
      <c r="C623">
        <v>6.7</v>
      </c>
      <c r="D623" t="s">
        <v>2344</v>
      </c>
      <c r="E623" t="s">
        <v>2344</v>
      </c>
      <c r="F623" t="s">
        <v>2344</v>
      </c>
      <c r="G623">
        <v>0</v>
      </c>
      <c r="H623" t="s">
        <v>2344</v>
      </c>
      <c r="I623" t="str">
        <f t="shared" si="19"/>
        <v>Obesity</v>
      </c>
      <c r="J623" t="str">
        <f t="shared" si="20"/>
        <v>Diabetes</v>
      </c>
    </row>
    <row r="624" spans="1:10" x14ac:dyDescent="0.35">
      <c r="A624" t="s">
        <v>624</v>
      </c>
      <c r="B624">
        <v>29.3</v>
      </c>
      <c r="C624">
        <v>5.5</v>
      </c>
      <c r="D624" t="s">
        <v>2344</v>
      </c>
      <c r="E624" t="s">
        <v>2344</v>
      </c>
      <c r="F624" t="s">
        <v>2344</v>
      </c>
      <c r="G624">
        <v>0</v>
      </c>
      <c r="H624" t="s">
        <v>2344</v>
      </c>
      <c r="I624" t="str">
        <f t="shared" si="19"/>
        <v>Over weight</v>
      </c>
      <c r="J624" t="str">
        <f t="shared" si="20"/>
        <v>Normal</v>
      </c>
    </row>
    <row r="625" spans="1:10" x14ac:dyDescent="0.35">
      <c r="A625" t="s">
        <v>625</v>
      </c>
      <c r="B625">
        <v>19.3</v>
      </c>
      <c r="C625">
        <v>4.46</v>
      </c>
      <c r="D625" t="s">
        <v>2344</v>
      </c>
      <c r="E625" t="s">
        <v>2344</v>
      </c>
      <c r="F625" t="s">
        <v>2344</v>
      </c>
      <c r="G625">
        <v>1</v>
      </c>
      <c r="H625" t="s">
        <v>2346</v>
      </c>
      <c r="I625" t="str">
        <f t="shared" si="19"/>
        <v>Normal Weight</v>
      </c>
      <c r="J625" t="str">
        <f t="shared" si="20"/>
        <v>Normal</v>
      </c>
    </row>
    <row r="626" spans="1:10" x14ac:dyDescent="0.35">
      <c r="A626" t="s">
        <v>626</v>
      </c>
      <c r="B626">
        <v>24.13</v>
      </c>
      <c r="C626">
        <v>5.29</v>
      </c>
      <c r="D626" t="s">
        <v>2346</v>
      </c>
      <c r="E626" t="s">
        <v>2344</v>
      </c>
      <c r="F626" t="s">
        <v>2346</v>
      </c>
      <c r="G626">
        <v>1</v>
      </c>
      <c r="H626" t="s">
        <v>2346</v>
      </c>
      <c r="I626" t="str">
        <f t="shared" si="19"/>
        <v>Normal Weight</v>
      </c>
      <c r="J626" t="str">
        <f t="shared" si="20"/>
        <v>Normal</v>
      </c>
    </row>
    <row r="627" spans="1:10" x14ac:dyDescent="0.35">
      <c r="A627" t="s">
        <v>627</v>
      </c>
      <c r="B627">
        <v>46.7</v>
      </c>
      <c r="C627">
        <v>10.99</v>
      </c>
      <c r="D627" t="s">
        <v>2344</v>
      </c>
      <c r="E627" t="s">
        <v>2344</v>
      </c>
      <c r="F627" t="s">
        <v>2344</v>
      </c>
      <c r="G627">
        <v>0</v>
      </c>
      <c r="H627" t="s">
        <v>2344</v>
      </c>
      <c r="I627" t="str">
        <f t="shared" si="19"/>
        <v>Obesity</v>
      </c>
      <c r="J627" t="str">
        <f t="shared" si="20"/>
        <v>Diabetes</v>
      </c>
    </row>
    <row r="628" spans="1:10" x14ac:dyDescent="0.35">
      <c r="A628" t="s">
        <v>628</v>
      </c>
      <c r="B628">
        <v>45.27</v>
      </c>
      <c r="C628">
        <v>5.2</v>
      </c>
      <c r="D628" t="s">
        <v>2346</v>
      </c>
      <c r="E628" t="s">
        <v>2344</v>
      </c>
      <c r="F628" t="s">
        <v>2344</v>
      </c>
      <c r="G628">
        <v>0</v>
      </c>
      <c r="H628" t="s">
        <v>2344</v>
      </c>
      <c r="I628" t="str">
        <f t="shared" si="19"/>
        <v>Obesity</v>
      </c>
      <c r="J628" t="str">
        <f t="shared" si="20"/>
        <v>Normal</v>
      </c>
    </row>
    <row r="629" spans="1:10" x14ac:dyDescent="0.35">
      <c r="A629" t="s">
        <v>629</v>
      </c>
      <c r="B629">
        <v>44.29</v>
      </c>
      <c r="C629">
        <v>9.66</v>
      </c>
      <c r="D629" t="s">
        <v>2344</v>
      </c>
      <c r="E629" t="s">
        <v>2344</v>
      </c>
      <c r="F629" t="s">
        <v>2344</v>
      </c>
      <c r="G629">
        <v>1</v>
      </c>
      <c r="H629" t="s">
        <v>2344</v>
      </c>
      <c r="I629" t="str">
        <f t="shared" si="19"/>
        <v>Obesity</v>
      </c>
      <c r="J629" t="str">
        <f t="shared" si="20"/>
        <v>Diabetes</v>
      </c>
    </row>
    <row r="630" spans="1:10" x14ac:dyDescent="0.35">
      <c r="A630" t="s">
        <v>630</v>
      </c>
      <c r="B630">
        <v>54.59</v>
      </c>
      <c r="C630">
        <v>4.22</v>
      </c>
      <c r="D630" t="s">
        <v>2346</v>
      </c>
      <c r="E630" t="s">
        <v>2344</v>
      </c>
      <c r="F630" t="s">
        <v>2344</v>
      </c>
      <c r="G630">
        <v>1</v>
      </c>
      <c r="H630" t="s">
        <v>2344</v>
      </c>
      <c r="I630" t="str">
        <f t="shared" si="19"/>
        <v>Obesity</v>
      </c>
      <c r="J630" t="str">
        <f t="shared" si="20"/>
        <v>Normal</v>
      </c>
    </row>
    <row r="631" spans="1:10" x14ac:dyDescent="0.35">
      <c r="A631" t="s">
        <v>631</v>
      </c>
      <c r="B631">
        <v>32.965000000000003</v>
      </c>
      <c r="C631">
        <v>11.78</v>
      </c>
      <c r="D631" t="s">
        <v>2344</v>
      </c>
      <c r="E631" t="s">
        <v>2344</v>
      </c>
      <c r="F631" t="s">
        <v>2344</v>
      </c>
      <c r="G631">
        <v>0</v>
      </c>
      <c r="H631" t="s">
        <v>2344</v>
      </c>
      <c r="I631" t="str">
        <f t="shared" si="19"/>
        <v>Obesity</v>
      </c>
      <c r="J631" t="str">
        <f t="shared" si="20"/>
        <v>Diabetes</v>
      </c>
    </row>
    <row r="632" spans="1:10" x14ac:dyDescent="0.35">
      <c r="A632" t="s">
        <v>632</v>
      </c>
      <c r="B632">
        <v>38.049999999999997</v>
      </c>
      <c r="C632">
        <v>9.6199999999999992</v>
      </c>
      <c r="D632" t="s">
        <v>2344</v>
      </c>
      <c r="E632" t="s">
        <v>2344</v>
      </c>
      <c r="F632" t="s">
        <v>2344</v>
      </c>
      <c r="G632">
        <v>0</v>
      </c>
      <c r="H632" t="s">
        <v>2344</v>
      </c>
      <c r="I632" t="str">
        <f t="shared" si="19"/>
        <v>Obesity</v>
      </c>
      <c r="J632" t="str">
        <f t="shared" si="20"/>
        <v>Diabetes</v>
      </c>
    </row>
    <row r="633" spans="1:10" x14ac:dyDescent="0.35">
      <c r="A633" t="s">
        <v>633</v>
      </c>
      <c r="B633">
        <v>46.14</v>
      </c>
      <c r="C633">
        <v>10.78</v>
      </c>
      <c r="D633" t="s">
        <v>2344</v>
      </c>
      <c r="E633" t="s">
        <v>2344</v>
      </c>
      <c r="F633" t="s">
        <v>2344</v>
      </c>
      <c r="G633">
        <v>0</v>
      </c>
      <c r="H633" t="s">
        <v>2344</v>
      </c>
      <c r="I633" t="str">
        <f t="shared" si="19"/>
        <v>Obesity</v>
      </c>
      <c r="J633" t="str">
        <f t="shared" si="20"/>
        <v>Diabetes</v>
      </c>
    </row>
    <row r="634" spans="1:10" x14ac:dyDescent="0.35">
      <c r="A634" t="s">
        <v>634</v>
      </c>
      <c r="B634">
        <v>41.325000000000003</v>
      </c>
      <c r="C634">
        <v>5.1100000000000003</v>
      </c>
      <c r="D634" t="s">
        <v>2346</v>
      </c>
      <c r="E634" t="s">
        <v>2344</v>
      </c>
      <c r="F634" t="s">
        <v>2344</v>
      </c>
      <c r="G634">
        <v>1</v>
      </c>
      <c r="H634" t="s">
        <v>2344</v>
      </c>
      <c r="I634" t="str">
        <f t="shared" si="19"/>
        <v>Obesity</v>
      </c>
      <c r="J634" t="str">
        <f t="shared" si="20"/>
        <v>Normal</v>
      </c>
    </row>
    <row r="635" spans="1:10" x14ac:dyDescent="0.35">
      <c r="A635" t="s">
        <v>635</v>
      </c>
      <c r="B635">
        <v>44.64</v>
      </c>
      <c r="C635">
        <v>7.18</v>
      </c>
      <c r="D635" t="s">
        <v>2344</v>
      </c>
      <c r="E635" t="s">
        <v>2344</v>
      </c>
      <c r="F635" t="s">
        <v>2344</v>
      </c>
      <c r="G635">
        <v>0</v>
      </c>
      <c r="H635" t="s">
        <v>2344</v>
      </c>
      <c r="I635" t="str">
        <f t="shared" si="19"/>
        <v>Obesity</v>
      </c>
      <c r="J635" t="str">
        <f t="shared" si="20"/>
        <v>Diabetes</v>
      </c>
    </row>
    <row r="636" spans="1:10" x14ac:dyDescent="0.35">
      <c r="A636" t="s">
        <v>636</v>
      </c>
      <c r="B636">
        <v>25.175000000000001</v>
      </c>
      <c r="C636">
        <v>4.96</v>
      </c>
      <c r="D636" t="s">
        <v>2344</v>
      </c>
      <c r="E636" t="s">
        <v>2345</v>
      </c>
      <c r="F636" t="s">
        <v>2344</v>
      </c>
      <c r="G636">
        <v>1</v>
      </c>
      <c r="H636" t="s">
        <v>2346</v>
      </c>
      <c r="I636" t="str">
        <f t="shared" si="19"/>
        <v>Over weight</v>
      </c>
      <c r="J636" t="str">
        <f t="shared" si="20"/>
        <v>Normal</v>
      </c>
    </row>
    <row r="637" spans="1:10" x14ac:dyDescent="0.35">
      <c r="A637" t="s">
        <v>637</v>
      </c>
      <c r="B637">
        <v>43.11</v>
      </c>
      <c r="C637">
        <v>4.67</v>
      </c>
      <c r="D637" t="s">
        <v>2346</v>
      </c>
      <c r="E637" t="s">
        <v>2344</v>
      </c>
      <c r="F637" t="s">
        <v>2344</v>
      </c>
      <c r="G637">
        <v>0</v>
      </c>
      <c r="H637" t="s">
        <v>2344</v>
      </c>
      <c r="I637" t="str">
        <f t="shared" si="19"/>
        <v>Obesity</v>
      </c>
      <c r="J637" t="str">
        <f t="shared" si="20"/>
        <v>Normal</v>
      </c>
    </row>
    <row r="638" spans="1:10" x14ac:dyDescent="0.35">
      <c r="A638" t="s">
        <v>638</v>
      </c>
      <c r="B638">
        <v>53.32</v>
      </c>
      <c r="C638">
        <v>5.0599999999999996</v>
      </c>
      <c r="D638" t="s">
        <v>2344</v>
      </c>
      <c r="E638" t="s">
        <v>2344</v>
      </c>
      <c r="F638" t="s">
        <v>2344</v>
      </c>
      <c r="G638">
        <v>0</v>
      </c>
      <c r="H638" t="s">
        <v>2344</v>
      </c>
      <c r="I638" t="str">
        <f t="shared" si="19"/>
        <v>Obesity</v>
      </c>
      <c r="J638" t="str">
        <f t="shared" si="20"/>
        <v>Normal</v>
      </c>
    </row>
    <row r="639" spans="1:10" x14ac:dyDescent="0.35">
      <c r="A639" t="s">
        <v>639</v>
      </c>
      <c r="B639">
        <v>38.04</v>
      </c>
      <c r="C639">
        <v>5.0199999999999996</v>
      </c>
      <c r="D639" t="s">
        <v>2346</v>
      </c>
      <c r="E639" t="s">
        <v>2344</v>
      </c>
      <c r="F639" t="s">
        <v>2344</v>
      </c>
      <c r="G639">
        <v>1</v>
      </c>
      <c r="H639" t="s">
        <v>2344</v>
      </c>
      <c r="I639" t="str">
        <f t="shared" si="19"/>
        <v>Obesity</v>
      </c>
      <c r="J639" t="str">
        <f t="shared" si="20"/>
        <v>Normal</v>
      </c>
    </row>
    <row r="640" spans="1:10" x14ac:dyDescent="0.35">
      <c r="A640" t="s">
        <v>640</v>
      </c>
      <c r="B640">
        <v>37.9</v>
      </c>
      <c r="C640">
        <v>7.76</v>
      </c>
      <c r="D640" t="s">
        <v>2344</v>
      </c>
      <c r="E640" t="s">
        <v>2344</v>
      </c>
      <c r="F640" t="s">
        <v>2344</v>
      </c>
      <c r="G640">
        <v>0</v>
      </c>
      <c r="H640" t="s">
        <v>2344</v>
      </c>
      <c r="I640" t="str">
        <f t="shared" si="19"/>
        <v>Obesity</v>
      </c>
      <c r="J640" t="str">
        <f t="shared" si="20"/>
        <v>Diabetes</v>
      </c>
    </row>
    <row r="641" spans="1:10" x14ac:dyDescent="0.35">
      <c r="A641" t="s">
        <v>641</v>
      </c>
      <c r="B641">
        <v>39.6</v>
      </c>
      <c r="C641">
        <v>9.32</v>
      </c>
      <c r="D641" t="s">
        <v>2344</v>
      </c>
      <c r="E641" t="s">
        <v>2344</v>
      </c>
      <c r="F641" t="s">
        <v>2344</v>
      </c>
      <c r="G641">
        <v>0</v>
      </c>
      <c r="H641" t="s">
        <v>2344</v>
      </c>
      <c r="I641" t="str">
        <f t="shared" si="19"/>
        <v>Obesity</v>
      </c>
      <c r="J641" t="str">
        <f t="shared" si="20"/>
        <v>Diabetes</v>
      </c>
    </row>
    <row r="642" spans="1:10" x14ac:dyDescent="0.35">
      <c r="A642" t="s">
        <v>642</v>
      </c>
      <c r="B642">
        <v>50.92</v>
      </c>
      <c r="C642">
        <v>5.31</v>
      </c>
      <c r="D642" t="s">
        <v>2346</v>
      </c>
      <c r="E642" t="s">
        <v>2344</v>
      </c>
      <c r="F642" t="s">
        <v>2344</v>
      </c>
      <c r="G642">
        <v>1</v>
      </c>
      <c r="H642" t="s">
        <v>2344</v>
      </c>
      <c r="I642" t="str">
        <f t="shared" si="19"/>
        <v>Obesity</v>
      </c>
      <c r="J642" t="str">
        <f t="shared" si="20"/>
        <v>Normal</v>
      </c>
    </row>
    <row r="643" spans="1:10" x14ac:dyDescent="0.35">
      <c r="A643" t="s">
        <v>643</v>
      </c>
      <c r="B643">
        <v>21.85</v>
      </c>
      <c r="C643">
        <v>5.56</v>
      </c>
      <c r="D643" t="s">
        <v>2346</v>
      </c>
      <c r="E643" t="s">
        <v>2344</v>
      </c>
      <c r="F643" t="s">
        <v>2344</v>
      </c>
      <c r="G643">
        <v>0</v>
      </c>
      <c r="H643" t="s">
        <v>2346</v>
      </c>
      <c r="I643" t="str">
        <f t="shared" ref="I643:I706" si="21">IF(B643&lt;18.5,"Under Weight",IF(B643&lt;25,"Normal Weight",IF(B643&lt;30,"Over weight","Obesity")))</f>
        <v>Normal Weight</v>
      </c>
      <c r="J643" t="str">
        <f t="shared" si="20"/>
        <v>Normal</v>
      </c>
    </row>
    <row r="644" spans="1:10" x14ac:dyDescent="0.35">
      <c r="A644" t="s">
        <v>644</v>
      </c>
      <c r="B644">
        <v>36.08</v>
      </c>
      <c r="C644">
        <v>7.11</v>
      </c>
      <c r="D644" t="s">
        <v>2346</v>
      </c>
      <c r="E644" t="s">
        <v>2344</v>
      </c>
      <c r="F644" t="s">
        <v>2346</v>
      </c>
      <c r="G644">
        <v>1</v>
      </c>
      <c r="H644" t="s">
        <v>2344</v>
      </c>
      <c r="I644" t="str">
        <f t="shared" si="21"/>
        <v>Obesity</v>
      </c>
      <c r="J644" t="str">
        <f t="shared" si="20"/>
        <v>Diabetes</v>
      </c>
    </row>
    <row r="645" spans="1:10" x14ac:dyDescent="0.35">
      <c r="A645" t="s">
        <v>645</v>
      </c>
      <c r="B645">
        <v>40.44</v>
      </c>
      <c r="C645">
        <v>5.13</v>
      </c>
      <c r="D645" t="s">
        <v>2346</v>
      </c>
      <c r="E645" t="s">
        <v>2344</v>
      </c>
      <c r="F645" t="s">
        <v>2346</v>
      </c>
      <c r="G645">
        <v>1</v>
      </c>
      <c r="H645" t="s">
        <v>2344</v>
      </c>
      <c r="I645" t="str">
        <f t="shared" si="21"/>
        <v>Obesity</v>
      </c>
      <c r="J645" t="str">
        <f t="shared" si="20"/>
        <v>Normal</v>
      </c>
    </row>
    <row r="646" spans="1:10" x14ac:dyDescent="0.35">
      <c r="A646" t="s">
        <v>646</v>
      </c>
      <c r="B646">
        <v>38.094999999999999</v>
      </c>
      <c r="C646">
        <v>10.199999999999999</v>
      </c>
      <c r="D646" t="s">
        <v>2344</v>
      </c>
      <c r="E646" t="s">
        <v>2344</v>
      </c>
      <c r="F646" t="s">
        <v>2344</v>
      </c>
      <c r="G646">
        <v>0</v>
      </c>
      <c r="H646" t="s">
        <v>2344</v>
      </c>
      <c r="I646" t="str">
        <f t="shared" si="21"/>
        <v>Obesity</v>
      </c>
      <c r="J646" t="str">
        <f t="shared" si="20"/>
        <v>Diabetes</v>
      </c>
    </row>
    <row r="647" spans="1:10" x14ac:dyDescent="0.35">
      <c r="A647" t="s">
        <v>647</v>
      </c>
      <c r="B647">
        <v>44.95</v>
      </c>
      <c r="C647">
        <v>10.4</v>
      </c>
      <c r="D647" t="s">
        <v>2344</v>
      </c>
      <c r="E647" t="s">
        <v>2344</v>
      </c>
      <c r="F647" t="s">
        <v>2344</v>
      </c>
      <c r="G647">
        <v>0</v>
      </c>
      <c r="H647" t="s">
        <v>2344</v>
      </c>
      <c r="I647" t="str">
        <f t="shared" si="21"/>
        <v>Obesity</v>
      </c>
      <c r="J647" t="str">
        <f t="shared" si="20"/>
        <v>Diabetes</v>
      </c>
    </row>
    <row r="648" spans="1:10" x14ac:dyDescent="0.35">
      <c r="A648" t="s">
        <v>648</v>
      </c>
      <c r="B648">
        <v>35.54</v>
      </c>
      <c r="C648">
        <v>10.67</v>
      </c>
      <c r="D648" t="s">
        <v>2344</v>
      </c>
      <c r="E648" t="s">
        <v>2344</v>
      </c>
      <c r="F648" t="s">
        <v>2344</v>
      </c>
      <c r="G648">
        <v>0</v>
      </c>
      <c r="H648" t="s">
        <v>2344</v>
      </c>
      <c r="I648" t="str">
        <f t="shared" si="21"/>
        <v>Obesity</v>
      </c>
      <c r="J648" t="str">
        <f t="shared" si="20"/>
        <v>Diabetes</v>
      </c>
    </row>
    <row r="649" spans="1:10" x14ac:dyDescent="0.35">
      <c r="A649" t="s">
        <v>649</v>
      </c>
      <c r="B649">
        <v>39.799999999999997</v>
      </c>
      <c r="C649">
        <v>4.6500000000000004</v>
      </c>
      <c r="D649" t="s">
        <v>2346</v>
      </c>
      <c r="E649" t="s">
        <v>2344</v>
      </c>
      <c r="F649" t="s">
        <v>2344</v>
      </c>
      <c r="G649">
        <v>1</v>
      </c>
      <c r="H649" t="s">
        <v>2344</v>
      </c>
      <c r="I649" t="str">
        <f t="shared" si="21"/>
        <v>Obesity</v>
      </c>
      <c r="J649" t="str">
        <f t="shared" si="20"/>
        <v>Normal</v>
      </c>
    </row>
    <row r="650" spans="1:10" x14ac:dyDescent="0.35">
      <c r="A650" t="s">
        <v>650</v>
      </c>
      <c r="B650">
        <v>33.659999999999997</v>
      </c>
      <c r="C650">
        <v>5.65</v>
      </c>
      <c r="D650" t="s">
        <v>2346</v>
      </c>
      <c r="E650" t="s">
        <v>2344</v>
      </c>
      <c r="F650" t="s">
        <v>2344</v>
      </c>
      <c r="G650">
        <v>1</v>
      </c>
      <c r="H650" t="s">
        <v>2344</v>
      </c>
      <c r="I650" t="str">
        <f t="shared" si="21"/>
        <v>Obesity</v>
      </c>
      <c r="J650" t="str">
        <f t="shared" si="20"/>
        <v>Normal</v>
      </c>
    </row>
    <row r="651" spans="1:10" x14ac:dyDescent="0.35">
      <c r="A651" t="s">
        <v>651</v>
      </c>
      <c r="B651">
        <v>35.5</v>
      </c>
      <c r="C651">
        <v>11.97</v>
      </c>
      <c r="D651" t="s">
        <v>2344</v>
      </c>
      <c r="E651" t="s">
        <v>2344</v>
      </c>
      <c r="F651" t="s">
        <v>2344</v>
      </c>
      <c r="G651">
        <v>0</v>
      </c>
      <c r="H651" t="s">
        <v>2344</v>
      </c>
      <c r="I651" t="str">
        <f t="shared" si="21"/>
        <v>Obesity</v>
      </c>
      <c r="J651" t="str">
        <f t="shared" si="20"/>
        <v>Diabetes</v>
      </c>
    </row>
    <row r="652" spans="1:10" x14ac:dyDescent="0.35">
      <c r="A652" t="s">
        <v>652</v>
      </c>
      <c r="B652">
        <v>41.63</v>
      </c>
      <c r="C652">
        <v>6.71</v>
      </c>
      <c r="D652" t="s">
        <v>2344</v>
      </c>
      <c r="E652" t="s">
        <v>2344</v>
      </c>
      <c r="F652" t="s">
        <v>2344</v>
      </c>
      <c r="G652">
        <v>0</v>
      </c>
      <c r="H652" t="s">
        <v>2344</v>
      </c>
      <c r="I652" t="str">
        <f t="shared" si="21"/>
        <v>Obesity</v>
      </c>
      <c r="J652" t="str">
        <f t="shared" ref="J652:J715" si="22">IF(C652&lt;5.7,"Normal",IF(C652&lt;6.5,"Prediabetes","Diabetes"))</f>
        <v>Diabetes</v>
      </c>
    </row>
    <row r="653" spans="1:10" x14ac:dyDescent="0.35">
      <c r="A653" t="s">
        <v>653</v>
      </c>
      <c r="B653">
        <v>46.49</v>
      </c>
      <c r="C653">
        <v>11.92</v>
      </c>
      <c r="D653" t="s">
        <v>2344</v>
      </c>
      <c r="E653" t="s">
        <v>2344</v>
      </c>
      <c r="F653" t="s">
        <v>2344</v>
      </c>
      <c r="G653">
        <v>0</v>
      </c>
      <c r="H653" t="s">
        <v>2344</v>
      </c>
      <c r="I653" t="str">
        <f t="shared" si="21"/>
        <v>Obesity</v>
      </c>
      <c r="J653" t="str">
        <f t="shared" si="22"/>
        <v>Diabetes</v>
      </c>
    </row>
    <row r="654" spans="1:10" x14ac:dyDescent="0.35">
      <c r="A654" t="s">
        <v>654</v>
      </c>
      <c r="B654">
        <v>43.29</v>
      </c>
      <c r="C654">
        <v>5.35</v>
      </c>
      <c r="D654" t="s">
        <v>2344</v>
      </c>
      <c r="E654" t="s">
        <v>2344</v>
      </c>
      <c r="F654" t="s">
        <v>2344</v>
      </c>
      <c r="G654">
        <v>1</v>
      </c>
      <c r="H654" t="s">
        <v>2344</v>
      </c>
      <c r="I654" t="str">
        <f t="shared" si="21"/>
        <v>Obesity</v>
      </c>
      <c r="J654" t="str">
        <f t="shared" si="22"/>
        <v>Normal</v>
      </c>
    </row>
    <row r="655" spans="1:10" x14ac:dyDescent="0.35">
      <c r="A655" t="s">
        <v>655</v>
      </c>
      <c r="B655">
        <v>43.08</v>
      </c>
      <c r="C655">
        <v>8.9600000000000009</v>
      </c>
      <c r="D655" t="s">
        <v>2346</v>
      </c>
      <c r="E655" t="s">
        <v>2344</v>
      </c>
      <c r="F655" t="s">
        <v>2344</v>
      </c>
      <c r="G655">
        <v>1</v>
      </c>
      <c r="H655" t="s">
        <v>2344</v>
      </c>
      <c r="I655" t="str">
        <f t="shared" si="21"/>
        <v>Obesity</v>
      </c>
      <c r="J655" t="str">
        <f t="shared" si="22"/>
        <v>Diabetes</v>
      </c>
    </row>
    <row r="656" spans="1:10" x14ac:dyDescent="0.35">
      <c r="A656" t="s">
        <v>656</v>
      </c>
      <c r="B656">
        <v>39.07</v>
      </c>
      <c r="C656">
        <v>11.93</v>
      </c>
      <c r="D656" t="s">
        <v>2344</v>
      </c>
      <c r="E656" t="s">
        <v>2344</v>
      </c>
      <c r="F656" t="s">
        <v>2344</v>
      </c>
      <c r="G656">
        <v>0</v>
      </c>
      <c r="H656" t="s">
        <v>2344</v>
      </c>
      <c r="I656" t="str">
        <f t="shared" si="21"/>
        <v>Obesity</v>
      </c>
      <c r="J656" t="str">
        <f t="shared" si="22"/>
        <v>Diabetes</v>
      </c>
    </row>
    <row r="657" spans="1:10" x14ac:dyDescent="0.35">
      <c r="A657" t="s">
        <v>657</v>
      </c>
      <c r="B657">
        <v>41.3</v>
      </c>
      <c r="C657">
        <v>9.59</v>
      </c>
      <c r="D657" t="s">
        <v>2344</v>
      </c>
      <c r="E657" t="s">
        <v>2344</v>
      </c>
      <c r="F657" t="s">
        <v>2344</v>
      </c>
      <c r="G657">
        <v>0</v>
      </c>
      <c r="H657" t="s">
        <v>2344</v>
      </c>
      <c r="I657" t="str">
        <f t="shared" si="21"/>
        <v>Obesity</v>
      </c>
      <c r="J657" t="str">
        <f t="shared" si="22"/>
        <v>Diabetes</v>
      </c>
    </row>
    <row r="658" spans="1:10" x14ac:dyDescent="0.35">
      <c r="A658" t="s">
        <v>658</v>
      </c>
      <c r="B658">
        <v>42.95</v>
      </c>
      <c r="C658">
        <v>11.88</v>
      </c>
      <c r="D658" t="s">
        <v>2346</v>
      </c>
      <c r="E658" t="s">
        <v>2344</v>
      </c>
      <c r="F658" t="s">
        <v>2344</v>
      </c>
      <c r="G658">
        <v>1</v>
      </c>
      <c r="H658" t="s">
        <v>2344</v>
      </c>
      <c r="I658" t="str">
        <f t="shared" si="21"/>
        <v>Obesity</v>
      </c>
      <c r="J658" t="str">
        <f t="shared" si="22"/>
        <v>Diabetes</v>
      </c>
    </row>
    <row r="659" spans="1:10" x14ac:dyDescent="0.35">
      <c r="A659" t="s">
        <v>659</v>
      </c>
      <c r="B659">
        <v>46.96</v>
      </c>
      <c r="C659">
        <v>4.6399999999999997</v>
      </c>
      <c r="D659" t="s">
        <v>2344</v>
      </c>
      <c r="E659" t="s">
        <v>2344</v>
      </c>
      <c r="F659" t="s">
        <v>2346</v>
      </c>
      <c r="G659">
        <v>1</v>
      </c>
      <c r="H659" t="s">
        <v>2344</v>
      </c>
      <c r="I659" t="str">
        <f t="shared" si="21"/>
        <v>Obesity</v>
      </c>
      <c r="J659" t="str">
        <f t="shared" si="22"/>
        <v>Normal</v>
      </c>
    </row>
    <row r="660" spans="1:10" x14ac:dyDescent="0.35">
      <c r="A660" t="s">
        <v>660</v>
      </c>
      <c r="B660">
        <v>30.495000000000001</v>
      </c>
      <c r="C660">
        <v>9.5299999999999994</v>
      </c>
      <c r="D660" t="s">
        <v>2344</v>
      </c>
      <c r="E660" t="s">
        <v>2344</v>
      </c>
      <c r="F660" t="s">
        <v>2344</v>
      </c>
      <c r="G660">
        <v>0</v>
      </c>
      <c r="H660" t="s">
        <v>2344</v>
      </c>
      <c r="I660" t="str">
        <f t="shared" si="21"/>
        <v>Obesity</v>
      </c>
      <c r="J660" t="str">
        <f t="shared" si="22"/>
        <v>Diabetes</v>
      </c>
    </row>
    <row r="661" spans="1:10" x14ac:dyDescent="0.35">
      <c r="A661" t="s">
        <v>661</v>
      </c>
      <c r="B661">
        <v>17.954999999999998</v>
      </c>
      <c r="C661">
        <v>5.29</v>
      </c>
      <c r="D661" t="s">
        <v>2346</v>
      </c>
      <c r="E661" t="s">
        <v>2344</v>
      </c>
      <c r="F661" t="s">
        <v>2344</v>
      </c>
      <c r="G661">
        <v>1</v>
      </c>
      <c r="H661" t="s">
        <v>2346</v>
      </c>
      <c r="I661" t="str">
        <f t="shared" si="21"/>
        <v>Under Weight</v>
      </c>
      <c r="J661" t="str">
        <f t="shared" si="22"/>
        <v>Normal</v>
      </c>
    </row>
    <row r="662" spans="1:10" x14ac:dyDescent="0.35">
      <c r="A662" t="s">
        <v>662</v>
      </c>
      <c r="B662">
        <v>25.6</v>
      </c>
      <c r="C662">
        <v>10.95</v>
      </c>
      <c r="D662" t="s">
        <v>2344</v>
      </c>
      <c r="E662" t="s">
        <v>2344</v>
      </c>
      <c r="F662" t="s">
        <v>2344</v>
      </c>
      <c r="G662">
        <v>1</v>
      </c>
      <c r="H662" t="s">
        <v>2344</v>
      </c>
      <c r="I662" t="str">
        <f t="shared" si="21"/>
        <v>Over weight</v>
      </c>
      <c r="J662" t="str">
        <f t="shared" si="22"/>
        <v>Diabetes</v>
      </c>
    </row>
    <row r="663" spans="1:10" x14ac:dyDescent="0.35">
      <c r="A663" t="s">
        <v>663</v>
      </c>
      <c r="B663">
        <v>34.21</v>
      </c>
      <c r="C663">
        <v>9.17</v>
      </c>
      <c r="D663" t="s">
        <v>2344</v>
      </c>
      <c r="E663" t="s">
        <v>2344</v>
      </c>
      <c r="F663" t="s">
        <v>2344</v>
      </c>
      <c r="G663">
        <v>0</v>
      </c>
      <c r="H663" t="s">
        <v>2344</v>
      </c>
      <c r="I663" t="str">
        <f t="shared" si="21"/>
        <v>Obesity</v>
      </c>
      <c r="J663" t="str">
        <f t="shared" si="22"/>
        <v>Diabetes</v>
      </c>
    </row>
    <row r="664" spans="1:10" x14ac:dyDescent="0.35">
      <c r="A664" t="s">
        <v>664</v>
      </c>
      <c r="B664">
        <v>39.74</v>
      </c>
      <c r="C664">
        <v>7.39</v>
      </c>
      <c r="D664" t="s">
        <v>2344</v>
      </c>
      <c r="E664" t="s">
        <v>2344</v>
      </c>
      <c r="F664" t="s">
        <v>2344</v>
      </c>
      <c r="G664">
        <v>0</v>
      </c>
      <c r="H664" t="s">
        <v>2344</v>
      </c>
      <c r="I664" t="str">
        <f t="shared" si="21"/>
        <v>Obesity</v>
      </c>
      <c r="J664" t="str">
        <f t="shared" si="22"/>
        <v>Diabetes</v>
      </c>
    </row>
    <row r="665" spans="1:10" x14ac:dyDescent="0.35">
      <c r="A665" t="s">
        <v>665</v>
      </c>
      <c r="B665">
        <v>49.53</v>
      </c>
      <c r="C665">
        <v>9.1300000000000008</v>
      </c>
      <c r="D665" t="s">
        <v>2346</v>
      </c>
      <c r="E665" t="s">
        <v>2344</v>
      </c>
      <c r="F665" t="s">
        <v>2344</v>
      </c>
      <c r="G665">
        <v>0</v>
      </c>
      <c r="H665" t="s">
        <v>2344</v>
      </c>
      <c r="I665" t="str">
        <f t="shared" si="21"/>
        <v>Obesity</v>
      </c>
      <c r="J665" t="str">
        <f t="shared" si="22"/>
        <v>Diabetes</v>
      </c>
    </row>
    <row r="666" spans="1:10" x14ac:dyDescent="0.35">
      <c r="A666" t="s">
        <v>666</v>
      </c>
      <c r="B666">
        <v>39.33</v>
      </c>
      <c r="C666">
        <v>10.4</v>
      </c>
      <c r="D666" t="s">
        <v>2344</v>
      </c>
      <c r="E666" t="s">
        <v>2344</v>
      </c>
      <c r="F666" t="s">
        <v>2344</v>
      </c>
      <c r="G666">
        <v>1</v>
      </c>
      <c r="H666" t="s">
        <v>2344</v>
      </c>
      <c r="I666" t="str">
        <f t="shared" si="21"/>
        <v>Obesity</v>
      </c>
      <c r="J666" t="str">
        <f t="shared" si="22"/>
        <v>Diabetes</v>
      </c>
    </row>
    <row r="667" spans="1:10" x14ac:dyDescent="0.35">
      <c r="A667" t="s">
        <v>667</v>
      </c>
      <c r="B667">
        <v>39.979999999999997</v>
      </c>
      <c r="C667">
        <v>9.4600000000000009</v>
      </c>
      <c r="D667" t="s">
        <v>2346</v>
      </c>
      <c r="E667" t="s">
        <v>2344</v>
      </c>
      <c r="F667" t="s">
        <v>2344</v>
      </c>
      <c r="G667">
        <v>1</v>
      </c>
      <c r="H667" t="s">
        <v>2344</v>
      </c>
      <c r="I667" t="str">
        <f t="shared" si="21"/>
        <v>Obesity</v>
      </c>
      <c r="J667" t="str">
        <f t="shared" si="22"/>
        <v>Diabetes</v>
      </c>
    </row>
    <row r="668" spans="1:10" x14ac:dyDescent="0.35">
      <c r="A668" t="s">
        <v>668</v>
      </c>
      <c r="B668">
        <v>46.51</v>
      </c>
      <c r="C668">
        <v>8.69</v>
      </c>
      <c r="D668" t="s">
        <v>2346</v>
      </c>
      <c r="E668" t="s">
        <v>2344</v>
      </c>
      <c r="F668" t="s">
        <v>2344</v>
      </c>
      <c r="G668">
        <v>0</v>
      </c>
      <c r="H668" t="s">
        <v>2344</v>
      </c>
      <c r="I668" t="str">
        <f t="shared" si="21"/>
        <v>Obesity</v>
      </c>
      <c r="J668" t="str">
        <f t="shared" si="22"/>
        <v>Diabetes</v>
      </c>
    </row>
    <row r="669" spans="1:10" x14ac:dyDescent="0.35">
      <c r="A669" t="s">
        <v>669</v>
      </c>
      <c r="B669">
        <v>43.58</v>
      </c>
      <c r="C669">
        <v>4.2300000000000004</v>
      </c>
      <c r="D669" t="s">
        <v>2344</v>
      </c>
      <c r="E669" t="s">
        <v>2344</v>
      </c>
      <c r="F669" t="s">
        <v>2346</v>
      </c>
      <c r="G669">
        <v>1</v>
      </c>
      <c r="H669" t="s">
        <v>2344</v>
      </c>
      <c r="I669" t="str">
        <f t="shared" si="21"/>
        <v>Obesity</v>
      </c>
      <c r="J669" t="str">
        <f t="shared" si="22"/>
        <v>Normal</v>
      </c>
    </row>
    <row r="670" spans="1:10" x14ac:dyDescent="0.35">
      <c r="A670" t="s">
        <v>670</v>
      </c>
      <c r="B670">
        <v>42.28</v>
      </c>
      <c r="C670">
        <v>9.16</v>
      </c>
      <c r="D670" t="s">
        <v>2346</v>
      </c>
      <c r="E670" t="s">
        <v>2344</v>
      </c>
      <c r="F670" t="s">
        <v>2344</v>
      </c>
      <c r="G670">
        <v>1</v>
      </c>
      <c r="H670" t="s">
        <v>2344</v>
      </c>
      <c r="I670" t="str">
        <f t="shared" si="21"/>
        <v>Obesity</v>
      </c>
      <c r="J670" t="str">
        <f t="shared" si="22"/>
        <v>Diabetes</v>
      </c>
    </row>
    <row r="671" spans="1:10" x14ac:dyDescent="0.35">
      <c r="A671" t="s">
        <v>671</v>
      </c>
      <c r="B671">
        <v>35.520000000000003</v>
      </c>
      <c r="C671">
        <v>8.26</v>
      </c>
      <c r="D671" t="s">
        <v>2344</v>
      </c>
      <c r="E671" t="s">
        <v>2344</v>
      </c>
      <c r="F671" t="s">
        <v>2344</v>
      </c>
      <c r="G671">
        <v>0</v>
      </c>
      <c r="H671" t="s">
        <v>2344</v>
      </c>
      <c r="I671" t="str">
        <f t="shared" si="21"/>
        <v>Obesity</v>
      </c>
      <c r="J671" t="str">
        <f t="shared" si="22"/>
        <v>Diabetes</v>
      </c>
    </row>
    <row r="672" spans="1:10" x14ac:dyDescent="0.35">
      <c r="A672" t="s">
        <v>672</v>
      </c>
      <c r="B672">
        <v>33.6</v>
      </c>
      <c r="C672">
        <v>11.25</v>
      </c>
      <c r="D672" t="s">
        <v>2344</v>
      </c>
      <c r="E672" t="s">
        <v>2344</v>
      </c>
      <c r="F672" t="s">
        <v>2344</v>
      </c>
      <c r="G672">
        <v>0</v>
      </c>
      <c r="H672" t="s">
        <v>2344</v>
      </c>
      <c r="I672" t="str">
        <f t="shared" si="21"/>
        <v>Obesity</v>
      </c>
      <c r="J672" t="str">
        <f t="shared" si="22"/>
        <v>Diabetes</v>
      </c>
    </row>
    <row r="673" spans="1:10" x14ac:dyDescent="0.35">
      <c r="A673" t="s">
        <v>673</v>
      </c>
      <c r="B673">
        <v>22.42</v>
      </c>
      <c r="C673">
        <v>6.74</v>
      </c>
      <c r="D673" t="s">
        <v>2344</v>
      </c>
      <c r="E673" t="s">
        <v>2344</v>
      </c>
      <c r="F673" t="s">
        <v>2344</v>
      </c>
      <c r="G673">
        <v>0</v>
      </c>
      <c r="H673" t="s">
        <v>2346</v>
      </c>
      <c r="I673" t="str">
        <f t="shared" si="21"/>
        <v>Normal Weight</v>
      </c>
      <c r="J673" t="str">
        <f t="shared" si="22"/>
        <v>Diabetes</v>
      </c>
    </row>
    <row r="674" spans="1:10" x14ac:dyDescent="0.35">
      <c r="A674" t="s">
        <v>674</v>
      </c>
      <c r="B674">
        <v>46.86</v>
      </c>
      <c r="C674">
        <v>4.87</v>
      </c>
      <c r="D674" t="s">
        <v>2344</v>
      </c>
      <c r="E674" t="s">
        <v>2344</v>
      </c>
      <c r="F674" t="s">
        <v>2344</v>
      </c>
      <c r="G674">
        <v>0</v>
      </c>
      <c r="H674" t="s">
        <v>2344</v>
      </c>
      <c r="I674" t="str">
        <f t="shared" si="21"/>
        <v>Obesity</v>
      </c>
      <c r="J674" t="str">
        <f t="shared" si="22"/>
        <v>Normal</v>
      </c>
    </row>
    <row r="675" spans="1:10" x14ac:dyDescent="0.35">
      <c r="A675" t="s">
        <v>675</v>
      </c>
      <c r="B675">
        <v>32.965000000000003</v>
      </c>
      <c r="C675">
        <v>6.68</v>
      </c>
      <c r="D675" t="s">
        <v>2344</v>
      </c>
      <c r="E675" t="s">
        <v>2344</v>
      </c>
      <c r="F675" t="s">
        <v>2344</v>
      </c>
      <c r="G675">
        <v>1</v>
      </c>
      <c r="H675" t="s">
        <v>2344</v>
      </c>
      <c r="I675" t="str">
        <f t="shared" si="21"/>
        <v>Obesity</v>
      </c>
      <c r="J675" t="str">
        <f t="shared" si="22"/>
        <v>Diabetes</v>
      </c>
    </row>
    <row r="676" spans="1:10" x14ac:dyDescent="0.35">
      <c r="A676" t="s">
        <v>676</v>
      </c>
      <c r="B676">
        <v>39.340000000000003</v>
      </c>
      <c r="C676">
        <v>5.0199999999999996</v>
      </c>
      <c r="D676" t="s">
        <v>2346</v>
      </c>
      <c r="E676" t="s">
        <v>2344</v>
      </c>
      <c r="F676" t="s">
        <v>2346</v>
      </c>
      <c r="G676">
        <v>1</v>
      </c>
      <c r="H676" t="s">
        <v>2344</v>
      </c>
      <c r="I676" t="str">
        <f t="shared" si="21"/>
        <v>Obesity</v>
      </c>
      <c r="J676" t="str">
        <f t="shared" si="22"/>
        <v>Normal</v>
      </c>
    </row>
    <row r="677" spans="1:10" x14ac:dyDescent="0.35">
      <c r="A677" t="s">
        <v>677</v>
      </c>
      <c r="B677">
        <v>47</v>
      </c>
      <c r="C677">
        <v>10.64</v>
      </c>
      <c r="D677" t="s">
        <v>2346</v>
      </c>
      <c r="E677" t="s">
        <v>2344</v>
      </c>
      <c r="F677" t="s">
        <v>2344</v>
      </c>
      <c r="G677">
        <v>0</v>
      </c>
      <c r="H677" t="s">
        <v>2344</v>
      </c>
      <c r="I677" t="str">
        <f t="shared" si="21"/>
        <v>Obesity</v>
      </c>
      <c r="J677" t="str">
        <f t="shared" si="22"/>
        <v>Diabetes</v>
      </c>
    </row>
    <row r="678" spans="1:10" x14ac:dyDescent="0.35">
      <c r="A678" t="s">
        <v>678</v>
      </c>
      <c r="B678">
        <v>36.71</v>
      </c>
      <c r="C678">
        <v>8.74</v>
      </c>
      <c r="D678" t="s">
        <v>2346</v>
      </c>
      <c r="E678" t="s">
        <v>2344</v>
      </c>
      <c r="F678" t="s">
        <v>2344</v>
      </c>
      <c r="G678">
        <v>0</v>
      </c>
      <c r="H678" t="s">
        <v>2344</v>
      </c>
      <c r="I678" t="str">
        <f t="shared" si="21"/>
        <v>Obesity</v>
      </c>
      <c r="J678" t="str">
        <f t="shared" si="22"/>
        <v>Diabetes</v>
      </c>
    </row>
    <row r="679" spans="1:10" x14ac:dyDescent="0.35">
      <c r="A679" t="s">
        <v>679</v>
      </c>
      <c r="B679">
        <v>53.48</v>
      </c>
      <c r="C679">
        <v>5.64</v>
      </c>
      <c r="D679" t="s">
        <v>2344</v>
      </c>
      <c r="E679" t="s">
        <v>2344</v>
      </c>
      <c r="F679" t="s">
        <v>2344</v>
      </c>
      <c r="G679">
        <v>0</v>
      </c>
      <c r="H679" t="s">
        <v>2344</v>
      </c>
      <c r="I679" t="str">
        <f t="shared" si="21"/>
        <v>Obesity</v>
      </c>
      <c r="J679" t="str">
        <f t="shared" si="22"/>
        <v>Normal</v>
      </c>
    </row>
    <row r="680" spans="1:10" x14ac:dyDescent="0.35">
      <c r="A680" t="s">
        <v>680</v>
      </c>
      <c r="B680">
        <v>35.5</v>
      </c>
      <c r="C680">
        <v>10.37</v>
      </c>
      <c r="D680" t="s">
        <v>2344</v>
      </c>
      <c r="E680" t="s">
        <v>2344</v>
      </c>
      <c r="F680" t="s">
        <v>2344</v>
      </c>
      <c r="G680">
        <v>0</v>
      </c>
      <c r="H680" t="s">
        <v>2344</v>
      </c>
      <c r="I680" t="str">
        <f t="shared" si="21"/>
        <v>Obesity</v>
      </c>
      <c r="J680" t="str">
        <f t="shared" si="22"/>
        <v>Diabetes</v>
      </c>
    </row>
    <row r="681" spans="1:10" x14ac:dyDescent="0.35">
      <c r="A681" t="s">
        <v>681</v>
      </c>
      <c r="B681">
        <v>36.979999999999997</v>
      </c>
      <c r="C681">
        <v>9.56</v>
      </c>
      <c r="D681" t="s">
        <v>2346</v>
      </c>
      <c r="E681" t="s">
        <v>2344</v>
      </c>
      <c r="F681" t="s">
        <v>2344</v>
      </c>
      <c r="G681">
        <v>0</v>
      </c>
      <c r="H681" t="s">
        <v>2344</v>
      </c>
      <c r="I681" t="str">
        <f t="shared" si="21"/>
        <v>Obesity</v>
      </c>
      <c r="J681" t="str">
        <f t="shared" si="22"/>
        <v>Diabetes</v>
      </c>
    </row>
    <row r="682" spans="1:10" x14ac:dyDescent="0.35">
      <c r="A682" t="s">
        <v>682</v>
      </c>
      <c r="B682">
        <v>32.395000000000003</v>
      </c>
      <c r="C682">
        <v>8.23</v>
      </c>
      <c r="D682" t="s">
        <v>2346</v>
      </c>
      <c r="E682" t="s">
        <v>2344</v>
      </c>
      <c r="F682" t="s">
        <v>2346</v>
      </c>
      <c r="G682">
        <v>1</v>
      </c>
      <c r="H682" t="s">
        <v>2344</v>
      </c>
      <c r="I682" t="str">
        <f t="shared" si="21"/>
        <v>Obesity</v>
      </c>
      <c r="J682" t="str">
        <f t="shared" si="22"/>
        <v>Diabetes</v>
      </c>
    </row>
    <row r="683" spans="1:10" x14ac:dyDescent="0.35">
      <c r="A683" t="s">
        <v>683</v>
      </c>
      <c r="B683">
        <v>32.729999999999997</v>
      </c>
      <c r="C683">
        <v>7.03</v>
      </c>
      <c r="D683" t="s">
        <v>2344</v>
      </c>
      <c r="E683" t="s">
        <v>2344</v>
      </c>
      <c r="F683" t="s">
        <v>2344</v>
      </c>
      <c r="G683">
        <v>0</v>
      </c>
      <c r="H683" t="s">
        <v>2344</v>
      </c>
      <c r="I683" t="str">
        <f t="shared" si="21"/>
        <v>Obesity</v>
      </c>
      <c r="J683" t="str">
        <f t="shared" si="22"/>
        <v>Diabetes</v>
      </c>
    </row>
    <row r="684" spans="1:10" x14ac:dyDescent="0.35">
      <c r="A684" t="s">
        <v>684</v>
      </c>
      <c r="B684">
        <v>20.52</v>
      </c>
      <c r="C684">
        <v>5.45</v>
      </c>
      <c r="D684" t="s">
        <v>2344</v>
      </c>
      <c r="E684" t="s">
        <v>2344</v>
      </c>
      <c r="F684" t="s">
        <v>2344</v>
      </c>
      <c r="G684">
        <v>1</v>
      </c>
      <c r="H684" t="s">
        <v>2346</v>
      </c>
      <c r="I684" t="str">
        <f t="shared" si="21"/>
        <v>Normal Weight</v>
      </c>
      <c r="J684" t="str">
        <f t="shared" si="22"/>
        <v>Normal</v>
      </c>
    </row>
    <row r="685" spans="1:10" x14ac:dyDescent="0.35">
      <c r="A685" t="s">
        <v>685</v>
      </c>
      <c r="B685">
        <v>51.72</v>
      </c>
      <c r="C685">
        <v>5.76</v>
      </c>
      <c r="D685" t="s">
        <v>2344</v>
      </c>
      <c r="E685" t="s">
        <v>2344</v>
      </c>
      <c r="F685" t="s">
        <v>2344</v>
      </c>
      <c r="G685">
        <v>0</v>
      </c>
      <c r="H685" t="s">
        <v>2344</v>
      </c>
      <c r="I685" t="str">
        <f t="shared" si="21"/>
        <v>Obesity</v>
      </c>
      <c r="J685" t="str">
        <f t="shared" si="22"/>
        <v>Prediabetes</v>
      </c>
    </row>
    <row r="686" spans="1:10" x14ac:dyDescent="0.35">
      <c r="A686" t="s">
        <v>686</v>
      </c>
      <c r="B686">
        <v>50.2</v>
      </c>
      <c r="C686">
        <v>5.4</v>
      </c>
      <c r="D686" t="s">
        <v>2344</v>
      </c>
      <c r="E686" t="s">
        <v>2344</v>
      </c>
      <c r="F686" t="s">
        <v>2344</v>
      </c>
      <c r="G686">
        <v>0</v>
      </c>
      <c r="H686" t="s">
        <v>2344</v>
      </c>
      <c r="I686" t="str">
        <f t="shared" si="21"/>
        <v>Obesity</v>
      </c>
      <c r="J686" t="str">
        <f t="shared" si="22"/>
        <v>Normal</v>
      </c>
    </row>
    <row r="687" spans="1:10" x14ac:dyDescent="0.35">
      <c r="A687" t="s">
        <v>687</v>
      </c>
      <c r="B687">
        <v>25.52</v>
      </c>
      <c r="C687">
        <v>6.35</v>
      </c>
      <c r="D687" t="s">
        <v>2344</v>
      </c>
      <c r="E687" t="s">
        <v>2344</v>
      </c>
      <c r="F687" t="s">
        <v>2346</v>
      </c>
      <c r="G687">
        <v>1</v>
      </c>
      <c r="H687" t="s">
        <v>2344</v>
      </c>
      <c r="I687" t="str">
        <f t="shared" si="21"/>
        <v>Over weight</v>
      </c>
      <c r="J687" t="str">
        <f t="shared" si="22"/>
        <v>Prediabetes</v>
      </c>
    </row>
    <row r="688" spans="1:10" x14ac:dyDescent="0.35">
      <c r="A688" t="s">
        <v>688</v>
      </c>
      <c r="B688">
        <v>35.200000000000003</v>
      </c>
      <c r="C688">
        <v>6.26</v>
      </c>
      <c r="D688" t="s">
        <v>2346</v>
      </c>
      <c r="E688" t="s">
        <v>2344</v>
      </c>
      <c r="F688" t="s">
        <v>2344</v>
      </c>
      <c r="G688">
        <v>1</v>
      </c>
      <c r="H688" t="s">
        <v>2344</v>
      </c>
      <c r="I688" t="str">
        <f t="shared" si="21"/>
        <v>Obesity</v>
      </c>
      <c r="J688" t="str">
        <f t="shared" si="22"/>
        <v>Prediabetes</v>
      </c>
    </row>
    <row r="689" spans="1:10" x14ac:dyDescent="0.35">
      <c r="A689" t="s">
        <v>689</v>
      </c>
      <c r="B689">
        <v>41.26</v>
      </c>
      <c r="C689">
        <v>5.97</v>
      </c>
      <c r="D689" t="s">
        <v>2346</v>
      </c>
      <c r="E689" t="s">
        <v>2344</v>
      </c>
      <c r="F689" t="s">
        <v>2344</v>
      </c>
      <c r="G689">
        <v>0</v>
      </c>
      <c r="H689" t="s">
        <v>2344</v>
      </c>
      <c r="I689" t="str">
        <f t="shared" si="21"/>
        <v>Obesity</v>
      </c>
      <c r="J689" t="str">
        <f t="shared" si="22"/>
        <v>Prediabetes</v>
      </c>
    </row>
    <row r="690" spans="1:10" x14ac:dyDescent="0.35">
      <c r="A690" t="s">
        <v>690</v>
      </c>
      <c r="B690">
        <v>17.195</v>
      </c>
      <c r="C690">
        <v>5.29</v>
      </c>
      <c r="D690" t="s">
        <v>2346</v>
      </c>
      <c r="E690" t="s">
        <v>2344</v>
      </c>
      <c r="F690" t="s">
        <v>2344</v>
      </c>
      <c r="G690">
        <v>0</v>
      </c>
      <c r="H690" t="s">
        <v>2346</v>
      </c>
      <c r="I690" t="str">
        <f t="shared" si="21"/>
        <v>Under Weight</v>
      </c>
      <c r="J690" t="str">
        <f t="shared" si="22"/>
        <v>Normal</v>
      </c>
    </row>
    <row r="691" spans="1:10" x14ac:dyDescent="0.35">
      <c r="A691" t="s">
        <v>691</v>
      </c>
      <c r="B691">
        <v>23.085000000000001</v>
      </c>
      <c r="C691">
        <v>4.2699999999999996</v>
      </c>
      <c r="D691" t="s">
        <v>2346</v>
      </c>
      <c r="E691" t="s">
        <v>2344</v>
      </c>
      <c r="F691" t="s">
        <v>2344</v>
      </c>
      <c r="G691">
        <v>1</v>
      </c>
      <c r="H691" t="s">
        <v>2344</v>
      </c>
      <c r="I691" t="str">
        <f t="shared" si="21"/>
        <v>Normal Weight</v>
      </c>
      <c r="J691" t="str">
        <f t="shared" si="22"/>
        <v>Normal</v>
      </c>
    </row>
    <row r="692" spans="1:10" x14ac:dyDescent="0.35">
      <c r="A692" t="s">
        <v>692</v>
      </c>
      <c r="B692">
        <v>21.66</v>
      </c>
      <c r="C692">
        <v>5.2</v>
      </c>
      <c r="D692" t="s">
        <v>2346</v>
      </c>
      <c r="E692" t="s">
        <v>2344</v>
      </c>
      <c r="F692" t="s">
        <v>2344</v>
      </c>
      <c r="G692">
        <v>1</v>
      </c>
      <c r="H692" t="s">
        <v>2344</v>
      </c>
      <c r="I692" t="str">
        <f t="shared" si="21"/>
        <v>Normal Weight</v>
      </c>
      <c r="J692" t="str">
        <f t="shared" si="22"/>
        <v>Normal</v>
      </c>
    </row>
    <row r="693" spans="1:10" x14ac:dyDescent="0.35">
      <c r="A693" t="s">
        <v>693</v>
      </c>
      <c r="B693">
        <v>36.47</v>
      </c>
      <c r="C693">
        <v>8.23</v>
      </c>
      <c r="D693" t="s">
        <v>2346</v>
      </c>
      <c r="E693" t="s">
        <v>2344</v>
      </c>
      <c r="F693" t="s">
        <v>2344</v>
      </c>
      <c r="G693">
        <v>0</v>
      </c>
      <c r="H693" t="s">
        <v>2344</v>
      </c>
      <c r="I693" t="str">
        <f t="shared" si="21"/>
        <v>Obesity</v>
      </c>
      <c r="J693" t="str">
        <f t="shared" si="22"/>
        <v>Diabetes</v>
      </c>
    </row>
    <row r="694" spans="1:10" x14ac:dyDescent="0.35">
      <c r="A694" t="s">
        <v>694</v>
      </c>
      <c r="B694">
        <v>36.08</v>
      </c>
      <c r="C694">
        <v>10.33</v>
      </c>
      <c r="D694" t="s">
        <v>2346</v>
      </c>
      <c r="E694" t="s">
        <v>2344</v>
      </c>
      <c r="F694" t="s">
        <v>2344</v>
      </c>
      <c r="G694">
        <v>0</v>
      </c>
      <c r="H694" t="s">
        <v>2344</v>
      </c>
      <c r="I694" t="str">
        <f t="shared" si="21"/>
        <v>Obesity</v>
      </c>
      <c r="J694" t="str">
        <f t="shared" si="22"/>
        <v>Diabetes</v>
      </c>
    </row>
    <row r="695" spans="1:10" x14ac:dyDescent="0.35">
      <c r="A695" t="s">
        <v>695</v>
      </c>
      <c r="B695">
        <v>23.18</v>
      </c>
      <c r="C695">
        <v>6.13</v>
      </c>
      <c r="D695" t="s">
        <v>2344</v>
      </c>
      <c r="E695" t="s">
        <v>2344</v>
      </c>
      <c r="F695" t="s">
        <v>2344</v>
      </c>
      <c r="G695">
        <v>0</v>
      </c>
      <c r="H695" t="s">
        <v>2344</v>
      </c>
      <c r="I695" t="str">
        <f t="shared" si="21"/>
        <v>Normal Weight</v>
      </c>
      <c r="J695" t="str">
        <f t="shared" si="22"/>
        <v>Prediabetes</v>
      </c>
    </row>
    <row r="696" spans="1:10" x14ac:dyDescent="0.35">
      <c r="A696" t="s">
        <v>696</v>
      </c>
      <c r="B696">
        <v>39.159999999999997</v>
      </c>
      <c r="C696">
        <v>8.08</v>
      </c>
      <c r="D696" t="s">
        <v>2344</v>
      </c>
      <c r="E696" t="s">
        <v>2344</v>
      </c>
      <c r="F696" t="s">
        <v>2344</v>
      </c>
      <c r="G696">
        <v>1</v>
      </c>
      <c r="H696" t="s">
        <v>2344</v>
      </c>
      <c r="I696" t="str">
        <f t="shared" si="21"/>
        <v>Obesity</v>
      </c>
      <c r="J696" t="str">
        <f t="shared" si="22"/>
        <v>Diabetes</v>
      </c>
    </row>
    <row r="697" spans="1:10" x14ac:dyDescent="0.35">
      <c r="A697" t="s">
        <v>697</v>
      </c>
      <c r="B697">
        <v>38.19</v>
      </c>
      <c r="C697">
        <v>10.49</v>
      </c>
      <c r="D697" t="s">
        <v>2344</v>
      </c>
      <c r="E697" t="s">
        <v>2344</v>
      </c>
      <c r="F697" t="s">
        <v>2344</v>
      </c>
      <c r="G697">
        <v>1</v>
      </c>
      <c r="H697" t="s">
        <v>2344</v>
      </c>
      <c r="I697" t="str">
        <f t="shared" si="21"/>
        <v>Obesity</v>
      </c>
      <c r="J697" t="str">
        <f t="shared" si="22"/>
        <v>Diabetes</v>
      </c>
    </row>
    <row r="698" spans="1:10" x14ac:dyDescent="0.35">
      <c r="A698" t="s">
        <v>698</v>
      </c>
      <c r="B698">
        <v>26.41</v>
      </c>
      <c r="C698">
        <v>8.11</v>
      </c>
      <c r="D698" t="s">
        <v>2344</v>
      </c>
      <c r="E698" t="s">
        <v>2344</v>
      </c>
      <c r="F698" t="s">
        <v>2344</v>
      </c>
      <c r="G698">
        <v>1</v>
      </c>
      <c r="H698" t="s">
        <v>2344</v>
      </c>
      <c r="I698" t="str">
        <f t="shared" si="21"/>
        <v>Over weight</v>
      </c>
      <c r="J698" t="str">
        <f t="shared" si="22"/>
        <v>Diabetes</v>
      </c>
    </row>
    <row r="699" spans="1:10" x14ac:dyDescent="0.35">
      <c r="A699" t="s">
        <v>699</v>
      </c>
      <c r="B699">
        <v>28.785</v>
      </c>
      <c r="C699">
        <v>6.6</v>
      </c>
      <c r="D699" t="s">
        <v>2344</v>
      </c>
      <c r="E699" t="s">
        <v>2344</v>
      </c>
      <c r="F699" t="s">
        <v>2344</v>
      </c>
      <c r="G699">
        <v>0</v>
      </c>
      <c r="H699" t="s">
        <v>2344</v>
      </c>
      <c r="I699" t="str">
        <f t="shared" si="21"/>
        <v>Over weight</v>
      </c>
      <c r="J699" t="str">
        <f t="shared" si="22"/>
        <v>Diabetes</v>
      </c>
    </row>
    <row r="700" spans="1:10" x14ac:dyDescent="0.35">
      <c r="A700" t="s">
        <v>700</v>
      </c>
      <c r="B700">
        <v>26.695</v>
      </c>
      <c r="C700">
        <v>10.14</v>
      </c>
      <c r="D700" t="s">
        <v>2346</v>
      </c>
      <c r="E700" t="s">
        <v>2344</v>
      </c>
      <c r="F700" t="s">
        <v>2346</v>
      </c>
      <c r="G700">
        <v>1</v>
      </c>
      <c r="H700" t="s">
        <v>2344</v>
      </c>
      <c r="I700" t="str">
        <f t="shared" si="21"/>
        <v>Over weight</v>
      </c>
      <c r="J700" t="str">
        <f t="shared" si="22"/>
        <v>Diabetes</v>
      </c>
    </row>
    <row r="701" spans="1:10" x14ac:dyDescent="0.35">
      <c r="A701" t="s">
        <v>701</v>
      </c>
      <c r="B701">
        <v>32.799999999999997</v>
      </c>
      <c r="C701">
        <v>6.06</v>
      </c>
      <c r="D701" t="s">
        <v>2346</v>
      </c>
      <c r="E701" t="s">
        <v>2344</v>
      </c>
      <c r="F701" t="s">
        <v>2344</v>
      </c>
      <c r="G701">
        <v>1</v>
      </c>
      <c r="H701" t="s">
        <v>2344</v>
      </c>
      <c r="I701" t="str">
        <f t="shared" si="21"/>
        <v>Obesity</v>
      </c>
      <c r="J701" t="str">
        <f t="shared" si="22"/>
        <v>Prediabetes</v>
      </c>
    </row>
    <row r="702" spans="1:10" x14ac:dyDescent="0.35">
      <c r="A702" t="s">
        <v>702</v>
      </c>
      <c r="B702">
        <v>35.869999999999997</v>
      </c>
      <c r="C702">
        <v>9.91</v>
      </c>
      <c r="D702" t="s">
        <v>2346</v>
      </c>
      <c r="E702" t="s">
        <v>2344</v>
      </c>
      <c r="F702" t="s">
        <v>2344</v>
      </c>
      <c r="G702">
        <v>0</v>
      </c>
      <c r="H702" t="s">
        <v>2344</v>
      </c>
      <c r="I702" t="str">
        <f t="shared" si="21"/>
        <v>Obesity</v>
      </c>
      <c r="J702" t="str">
        <f t="shared" si="22"/>
        <v>Diabetes</v>
      </c>
    </row>
    <row r="703" spans="1:10" x14ac:dyDescent="0.35">
      <c r="A703" t="s">
        <v>703</v>
      </c>
      <c r="B703">
        <v>21.66</v>
      </c>
      <c r="C703">
        <v>4.1399999999999997</v>
      </c>
      <c r="D703" t="s">
        <v>2346</v>
      </c>
      <c r="E703" t="s">
        <v>2344</v>
      </c>
      <c r="F703" t="s">
        <v>2344</v>
      </c>
      <c r="G703">
        <v>1</v>
      </c>
      <c r="H703" t="s">
        <v>2344</v>
      </c>
      <c r="I703" t="str">
        <f t="shared" si="21"/>
        <v>Normal Weight</v>
      </c>
      <c r="J703" t="str">
        <f t="shared" si="22"/>
        <v>Normal</v>
      </c>
    </row>
    <row r="704" spans="1:10" x14ac:dyDescent="0.35">
      <c r="A704" t="s">
        <v>704</v>
      </c>
      <c r="B704">
        <v>37.72</v>
      </c>
      <c r="C704">
        <v>4.38</v>
      </c>
      <c r="D704" t="s">
        <v>2346</v>
      </c>
      <c r="E704" t="s">
        <v>2344</v>
      </c>
      <c r="F704" t="s">
        <v>2346</v>
      </c>
      <c r="G704">
        <v>1</v>
      </c>
      <c r="H704" t="s">
        <v>2344</v>
      </c>
      <c r="I704" t="str">
        <f t="shared" si="21"/>
        <v>Obesity</v>
      </c>
      <c r="J704" t="str">
        <f t="shared" si="22"/>
        <v>Normal</v>
      </c>
    </row>
    <row r="705" spans="1:10" x14ac:dyDescent="0.35">
      <c r="A705" t="s">
        <v>705</v>
      </c>
      <c r="B705">
        <v>39.700000000000003</v>
      </c>
      <c r="C705">
        <v>9.83</v>
      </c>
      <c r="D705" t="s">
        <v>2344</v>
      </c>
      <c r="E705" t="s">
        <v>2344</v>
      </c>
      <c r="F705" t="s">
        <v>2344</v>
      </c>
      <c r="G705">
        <v>1</v>
      </c>
      <c r="H705" t="s">
        <v>2344</v>
      </c>
      <c r="I705" t="str">
        <f t="shared" si="21"/>
        <v>Obesity</v>
      </c>
      <c r="J705" t="str">
        <f t="shared" si="22"/>
        <v>Diabetes</v>
      </c>
    </row>
    <row r="706" spans="1:10" x14ac:dyDescent="0.35">
      <c r="A706" t="s">
        <v>706</v>
      </c>
      <c r="B706">
        <v>35.97</v>
      </c>
      <c r="C706">
        <v>11.08</v>
      </c>
      <c r="D706" t="s">
        <v>2344</v>
      </c>
      <c r="E706" t="s">
        <v>2344</v>
      </c>
      <c r="F706" t="s">
        <v>2344</v>
      </c>
      <c r="G706">
        <v>1</v>
      </c>
      <c r="H706" t="s">
        <v>2344</v>
      </c>
      <c r="I706" t="str">
        <f t="shared" si="21"/>
        <v>Obesity</v>
      </c>
      <c r="J706" t="str">
        <f t="shared" si="22"/>
        <v>Diabetes</v>
      </c>
    </row>
    <row r="707" spans="1:10" x14ac:dyDescent="0.35">
      <c r="A707" t="s">
        <v>707</v>
      </c>
      <c r="B707">
        <v>37.85</v>
      </c>
      <c r="C707">
        <v>11.01</v>
      </c>
      <c r="D707" t="s">
        <v>2344</v>
      </c>
      <c r="E707" t="s">
        <v>2344</v>
      </c>
      <c r="F707" t="s">
        <v>2344</v>
      </c>
      <c r="G707">
        <v>0</v>
      </c>
      <c r="H707" t="s">
        <v>2344</v>
      </c>
      <c r="I707" t="str">
        <f t="shared" ref="I707:I770" si="23">IF(B707&lt;18.5,"Under Weight",IF(B707&lt;25,"Normal Weight",IF(B707&lt;30,"Over weight","Obesity")))</f>
        <v>Obesity</v>
      </c>
      <c r="J707" t="str">
        <f t="shared" si="22"/>
        <v>Diabetes</v>
      </c>
    </row>
    <row r="708" spans="1:10" x14ac:dyDescent="0.35">
      <c r="A708" t="s">
        <v>708</v>
      </c>
      <c r="B708">
        <v>21.66</v>
      </c>
      <c r="C708">
        <v>4.37</v>
      </c>
      <c r="D708" t="s">
        <v>2344</v>
      </c>
      <c r="E708" t="s">
        <v>2345</v>
      </c>
      <c r="F708" t="s">
        <v>2344</v>
      </c>
      <c r="G708">
        <v>1</v>
      </c>
      <c r="H708" t="s">
        <v>2346</v>
      </c>
      <c r="I708" t="str">
        <f t="shared" si="23"/>
        <v>Normal Weight</v>
      </c>
      <c r="J708" t="str">
        <f t="shared" si="22"/>
        <v>Normal</v>
      </c>
    </row>
    <row r="709" spans="1:10" x14ac:dyDescent="0.35">
      <c r="A709" t="s">
        <v>709</v>
      </c>
      <c r="B709">
        <v>39.369999999999997</v>
      </c>
      <c r="C709">
        <v>5.91</v>
      </c>
      <c r="D709" t="s">
        <v>2344</v>
      </c>
      <c r="E709" t="s">
        <v>2344</v>
      </c>
      <c r="F709" t="s">
        <v>2344</v>
      </c>
      <c r="G709">
        <v>1</v>
      </c>
      <c r="H709" t="s">
        <v>2344</v>
      </c>
      <c r="I709" t="str">
        <f t="shared" si="23"/>
        <v>Obesity</v>
      </c>
      <c r="J709" t="str">
        <f t="shared" si="22"/>
        <v>Prediabetes</v>
      </c>
    </row>
    <row r="710" spans="1:10" x14ac:dyDescent="0.35">
      <c r="A710" t="s">
        <v>710</v>
      </c>
      <c r="B710">
        <v>40.880000000000003</v>
      </c>
      <c r="C710">
        <v>7.65</v>
      </c>
      <c r="D710" t="s">
        <v>2344</v>
      </c>
      <c r="E710" t="s">
        <v>2344</v>
      </c>
      <c r="F710" t="s">
        <v>2344</v>
      </c>
      <c r="G710">
        <v>0</v>
      </c>
      <c r="H710" t="s">
        <v>2344</v>
      </c>
      <c r="I710" t="str">
        <f t="shared" si="23"/>
        <v>Obesity</v>
      </c>
      <c r="J710" t="str">
        <f t="shared" si="22"/>
        <v>Diabetes</v>
      </c>
    </row>
    <row r="711" spans="1:10" x14ac:dyDescent="0.35">
      <c r="A711" t="s">
        <v>711</v>
      </c>
      <c r="B711">
        <v>26.22</v>
      </c>
      <c r="C711">
        <v>5.37</v>
      </c>
      <c r="D711" t="s">
        <v>2346</v>
      </c>
      <c r="E711" t="s">
        <v>2344</v>
      </c>
      <c r="F711" t="s">
        <v>2344</v>
      </c>
      <c r="G711">
        <v>1</v>
      </c>
      <c r="H711" t="s">
        <v>2344</v>
      </c>
      <c r="I711" t="str">
        <f t="shared" si="23"/>
        <v>Over weight</v>
      </c>
      <c r="J711" t="str">
        <f t="shared" si="22"/>
        <v>Normal</v>
      </c>
    </row>
    <row r="712" spans="1:10" x14ac:dyDescent="0.35">
      <c r="A712" t="s">
        <v>712</v>
      </c>
      <c r="B712">
        <v>25.08</v>
      </c>
      <c r="C712">
        <v>5.75</v>
      </c>
      <c r="D712" t="s">
        <v>2346</v>
      </c>
      <c r="E712" t="s">
        <v>2344</v>
      </c>
      <c r="F712" t="s">
        <v>2344</v>
      </c>
      <c r="G712">
        <v>1</v>
      </c>
      <c r="H712" t="s">
        <v>2344</v>
      </c>
      <c r="I712" t="str">
        <f t="shared" si="23"/>
        <v>Over weight</v>
      </c>
      <c r="J712" t="str">
        <f t="shared" si="22"/>
        <v>Prediabetes</v>
      </c>
    </row>
    <row r="713" spans="1:10" x14ac:dyDescent="0.35">
      <c r="A713" t="s">
        <v>713</v>
      </c>
      <c r="B713">
        <v>39.1</v>
      </c>
      <c r="C713">
        <v>6.79</v>
      </c>
      <c r="D713" t="s">
        <v>2346</v>
      </c>
      <c r="E713" t="s">
        <v>2344</v>
      </c>
      <c r="F713" t="s">
        <v>2344</v>
      </c>
      <c r="G713">
        <v>1</v>
      </c>
      <c r="H713" t="s">
        <v>2344</v>
      </c>
      <c r="I713" t="str">
        <f t="shared" si="23"/>
        <v>Obesity</v>
      </c>
      <c r="J713" t="str">
        <f t="shared" si="22"/>
        <v>Diabetes</v>
      </c>
    </row>
    <row r="714" spans="1:10" x14ac:dyDescent="0.35">
      <c r="A714" t="s">
        <v>714</v>
      </c>
      <c r="B714">
        <v>37.905000000000001</v>
      </c>
      <c r="C714">
        <v>7.03</v>
      </c>
      <c r="D714" t="s">
        <v>2344</v>
      </c>
      <c r="E714" t="s">
        <v>2344</v>
      </c>
      <c r="F714" t="s">
        <v>2344</v>
      </c>
      <c r="G714">
        <v>1</v>
      </c>
      <c r="H714" t="s">
        <v>2344</v>
      </c>
      <c r="I714" t="str">
        <f t="shared" si="23"/>
        <v>Obesity</v>
      </c>
      <c r="J714" t="str">
        <f t="shared" si="22"/>
        <v>Diabetes</v>
      </c>
    </row>
    <row r="715" spans="1:10" x14ac:dyDescent="0.35">
      <c r="A715" t="s">
        <v>715</v>
      </c>
      <c r="B715">
        <v>43.35</v>
      </c>
      <c r="C715">
        <v>5.41</v>
      </c>
      <c r="D715" t="s">
        <v>2346</v>
      </c>
      <c r="E715" t="s">
        <v>2344</v>
      </c>
      <c r="F715" t="s">
        <v>2346</v>
      </c>
      <c r="G715">
        <v>1</v>
      </c>
      <c r="H715" t="s">
        <v>2344</v>
      </c>
      <c r="I715" t="str">
        <f t="shared" si="23"/>
        <v>Obesity</v>
      </c>
      <c r="J715" t="str">
        <f t="shared" si="22"/>
        <v>Normal</v>
      </c>
    </row>
    <row r="716" spans="1:10" x14ac:dyDescent="0.35">
      <c r="A716" t="s">
        <v>716</v>
      </c>
      <c r="B716">
        <v>36.15</v>
      </c>
      <c r="C716">
        <v>8.0500000000000007</v>
      </c>
      <c r="D716" t="s">
        <v>2344</v>
      </c>
      <c r="E716" t="s">
        <v>2344</v>
      </c>
      <c r="F716" t="s">
        <v>2344</v>
      </c>
      <c r="G716">
        <v>0</v>
      </c>
      <c r="H716" t="s">
        <v>2344</v>
      </c>
      <c r="I716" t="str">
        <f t="shared" si="23"/>
        <v>Obesity</v>
      </c>
      <c r="J716" t="str">
        <f t="shared" ref="J716:J779" si="24">IF(C716&lt;5.7,"Normal",IF(C716&lt;6.5,"Prediabetes","Diabetes"))</f>
        <v>Diabetes</v>
      </c>
    </row>
    <row r="717" spans="1:10" x14ac:dyDescent="0.35">
      <c r="A717" t="s">
        <v>717</v>
      </c>
      <c r="B717">
        <v>44.98</v>
      </c>
      <c r="C717">
        <v>5.94</v>
      </c>
      <c r="D717" t="s">
        <v>2344</v>
      </c>
      <c r="E717" t="s">
        <v>2344</v>
      </c>
      <c r="F717" t="s">
        <v>2344</v>
      </c>
      <c r="G717">
        <v>1</v>
      </c>
      <c r="H717" t="s">
        <v>2344</v>
      </c>
      <c r="I717" t="str">
        <f t="shared" si="23"/>
        <v>Obesity</v>
      </c>
      <c r="J717" t="str">
        <f t="shared" si="24"/>
        <v>Prediabetes</v>
      </c>
    </row>
    <row r="718" spans="1:10" x14ac:dyDescent="0.35">
      <c r="A718" t="s">
        <v>718</v>
      </c>
      <c r="B718">
        <v>38.28</v>
      </c>
      <c r="C718">
        <v>5.51</v>
      </c>
      <c r="D718" t="s">
        <v>2344</v>
      </c>
      <c r="E718" t="s">
        <v>2345</v>
      </c>
      <c r="F718" t="s">
        <v>2344</v>
      </c>
      <c r="G718">
        <v>1</v>
      </c>
      <c r="H718" t="s">
        <v>2344</v>
      </c>
      <c r="I718" t="str">
        <f t="shared" si="23"/>
        <v>Obesity</v>
      </c>
      <c r="J718" t="str">
        <f t="shared" si="24"/>
        <v>Normal</v>
      </c>
    </row>
    <row r="719" spans="1:10" x14ac:dyDescent="0.35">
      <c r="A719" t="s">
        <v>719</v>
      </c>
      <c r="B719">
        <v>32.299999999999997</v>
      </c>
      <c r="C719">
        <v>6.55</v>
      </c>
      <c r="D719" t="s">
        <v>2346</v>
      </c>
      <c r="E719" t="s">
        <v>2344</v>
      </c>
      <c r="F719" t="s">
        <v>2344</v>
      </c>
      <c r="G719">
        <v>1</v>
      </c>
      <c r="H719" t="s">
        <v>2344</v>
      </c>
      <c r="I719" t="str">
        <f t="shared" si="23"/>
        <v>Obesity</v>
      </c>
      <c r="J719" t="str">
        <f t="shared" si="24"/>
        <v>Diabetes</v>
      </c>
    </row>
    <row r="720" spans="1:10" x14ac:dyDescent="0.35">
      <c r="A720" t="s">
        <v>720</v>
      </c>
      <c r="B720">
        <v>39.51</v>
      </c>
      <c r="C720">
        <v>5.79</v>
      </c>
      <c r="D720" t="s">
        <v>2346</v>
      </c>
      <c r="E720" t="s">
        <v>2344</v>
      </c>
      <c r="F720" t="s">
        <v>2344</v>
      </c>
      <c r="G720">
        <v>0</v>
      </c>
      <c r="H720" t="s">
        <v>2344</v>
      </c>
      <c r="I720" t="str">
        <f t="shared" si="23"/>
        <v>Obesity</v>
      </c>
      <c r="J720" t="str">
        <f t="shared" si="24"/>
        <v>Prediabetes</v>
      </c>
    </row>
    <row r="721" spans="1:10" x14ac:dyDescent="0.35">
      <c r="A721" t="s">
        <v>721</v>
      </c>
      <c r="B721">
        <v>50.46</v>
      </c>
      <c r="C721">
        <v>4.5599999999999996</v>
      </c>
      <c r="D721" t="s">
        <v>2344</v>
      </c>
      <c r="E721" t="s">
        <v>2344</v>
      </c>
      <c r="F721" t="s">
        <v>2344</v>
      </c>
      <c r="G721">
        <v>0</v>
      </c>
      <c r="H721" t="s">
        <v>2344</v>
      </c>
      <c r="I721" t="str">
        <f t="shared" si="23"/>
        <v>Obesity</v>
      </c>
      <c r="J721" t="str">
        <f t="shared" si="24"/>
        <v>Normal</v>
      </c>
    </row>
    <row r="722" spans="1:10" x14ac:dyDescent="0.35">
      <c r="A722" t="s">
        <v>722</v>
      </c>
      <c r="B722">
        <v>31.73</v>
      </c>
      <c r="C722" t="s">
        <v>2346</v>
      </c>
      <c r="D722" t="s">
        <v>2344</v>
      </c>
      <c r="E722" t="s">
        <v>2344</v>
      </c>
      <c r="F722" t="s">
        <v>2344</v>
      </c>
      <c r="G722">
        <v>0</v>
      </c>
      <c r="H722" t="s">
        <v>2344</v>
      </c>
      <c r="I722" t="str">
        <f t="shared" si="23"/>
        <v>Obesity</v>
      </c>
      <c r="J722" t="str">
        <f t="shared" si="24"/>
        <v>Diabetes</v>
      </c>
    </row>
    <row r="723" spans="1:10" x14ac:dyDescent="0.35">
      <c r="A723" t="s">
        <v>723</v>
      </c>
      <c r="B723">
        <v>32.1</v>
      </c>
      <c r="C723">
        <v>6.57</v>
      </c>
      <c r="D723" t="s">
        <v>2346</v>
      </c>
      <c r="E723" t="s">
        <v>2344</v>
      </c>
      <c r="F723" t="s">
        <v>2346</v>
      </c>
      <c r="G723">
        <v>1</v>
      </c>
      <c r="H723" t="s">
        <v>2344</v>
      </c>
      <c r="I723" t="str">
        <f t="shared" si="23"/>
        <v>Obesity</v>
      </c>
      <c r="J723" t="str">
        <f t="shared" si="24"/>
        <v>Diabetes</v>
      </c>
    </row>
    <row r="724" spans="1:10" x14ac:dyDescent="0.35">
      <c r="A724" t="s">
        <v>724</v>
      </c>
      <c r="B724">
        <v>27.83</v>
      </c>
      <c r="C724">
        <v>11.61</v>
      </c>
      <c r="D724" t="s">
        <v>2346</v>
      </c>
      <c r="E724" t="s">
        <v>2344</v>
      </c>
      <c r="F724" t="s">
        <v>2346</v>
      </c>
      <c r="G724">
        <v>1</v>
      </c>
      <c r="H724" t="s">
        <v>2344</v>
      </c>
      <c r="I724" t="str">
        <f t="shared" si="23"/>
        <v>Over weight</v>
      </c>
      <c r="J724" t="str">
        <f t="shared" si="24"/>
        <v>Diabetes</v>
      </c>
    </row>
    <row r="725" spans="1:10" x14ac:dyDescent="0.35">
      <c r="A725" t="s">
        <v>725</v>
      </c>
      <c r="B725">
        <v>27.72</v>
      </c>
      <c r="C725">
        <v>8.16</v>
      </c>
      <c r="D725" t="s">
        <v>2346</v>
      </c>
      <c r="E725" t="s">
        <v>2344</v>
      </c>
      <c r="F725" t="s">
        <v>2346</v>
      </c>
      <c r="G725">
        <v>1</v>
      </c>
      <c r="H725" t="s">
        <v>2344</v>
      </c>
      <c r="I725" t="str">
        <f t="shared" si="23"/>
        <v>Over weight</v>
      </c>
      <c r="J725" t="str">
        <f t="shared" si="24"/>
        <v>Diabetes</v>
      </c>
    </row>
    <row r="726" spans="1:10" x14ac:dyDescent="0.35">
      <c r="A726" t="s">
        <v>726</v>
      </c>
      <c r="B726">
        <v>36.765000000000001</v>
      </c>
      <c r="C726">
        <v>4.4800000000000004</v>
      </c>
      <c r="D726" t="s">
        <v>2346</v>
      </c>
      <c r="E726" t="s">
        <v>2344</v>
      </c>
      <c r="F726" t="s">
        <v>2344</v>
      </c>
      <c r="G726">
        <v>1</v>
      </c>
      <c r="H726" t="s">
        <v>2344</v>
      </c>
      <c r="I726" t="str">
        <f t="shared" si="23"/>
        <v>Obesity</v>
      </c>
      <c r="J726" t="str">
        <f t="shared" si="24"/>
        <v>Normal</v>
      </c>
    </row>
    <row r="727" spans="1:10" x14ac:dyDescent="0.35">
      <c r="A727" t="s">
        <v>727</v>
      </c>
      <c r="B727">
        <v>48.36</v>
      </c>
      <c r="C727">
        <v>4.08</v>
      </c>
      <c r="D727" t="s">
        <v>2344</v>
      </c>
      <c r="E727" t="s">
        <v>2344</v>
      </c>
      <c r="F727" t="s">
        <v>2344</v>
      </c>
      <c r="G727">
        <v>0</v>
      </c>
      <c r="H727" t="s">
        <v>2344</v>
      </c>
      <c r="I727" t="str">
        <f t="shared" si="23"/>
        <v>Obesity</v>
      </c>
      <c r="J727" t="str">
        <f t="shared" si="24"/>
        <v>Normal</v>
      </c>
    </row>
    <row r="728" spans="1:10" x14ac:dyDescent="0.35">
      <c r="A728" t="s">
        <v>728</v>
      </c>
      <c r="B728">
        <v>31.445</v>
      </c>
      <c r="C728">
        <v>4.4000000000000004</v>
      </c>
      <c r="D728" t="s">
        <v>2346</v>
      </c>
      <c r="E728" t="s">
        <v>2344</v>
      </c>
      <c r="F728" t="s">
        <v>2344</v>
      </c>
      <c r="G728">
        <v>1</v>
      </c>
      <c r="H728" t="s">
        <v>2344</v>
      </c>
      <c r="I728" t="str">
        <f t="shared" si="23"/>
        <v>Obesity</v>
      </c>
      <c r="J728" t="str">
        <f t="shared" si="24"/>
        <v>Normal</v>
      </c>
    </row>
    <row r="729" spans="1:10" x14ac:dyDescent="0.35">
      <c r="A729" t="s">
        <v>729</v>
      </c>
      <c r="B729">
        <v>27.55</v>
      </c>
      <c r="C729">
        <v>9.02</v>
      </c>
      <c r="D729" t="s">
        <v>2344</v>
      </c>
      <c r="E729" t="s">
        <v>2344</v>
      </c>
      <c r="F729" t="s">
        <v>2344</v>
      </c>
      <c r="G729">
        <v>0</v>
      </c>
      <c r="H729" t="s">
        <v>2344</v>
      </c>
      <c r="I729" t="str">
        <f t="shared" si="23"/>
        <v>Over weight</v>
      </c>
      <c r="J729" t="str">
        <f t="shared" si="24"/>
        <v>Diabetes</v>
      </c>
    </row>
    <row r="730" spans="1:10" x14ac:dyDescent="0.35">
      <c r="A730" t="s">
        <v>730</v>
      </c>
      <c r="B730">
        <v>33.11</v>
      </c>
      <c r="C730">
        <v>8.06</v>
      </c>
      <c r="D730" t="s">
        <v>2344</v>
      </c>
      <c r="E730" t="s">
        <v>2344</v>
      </c>
      <c r="F730" t="s">
        <v>2344</v>
      </c>
      <c r="G730">
        <v>0</v>
      </c>
      <c r="H730" t="s">
        <v>2344</v>
      </c>
      <c r="I730" t="str">
        <f t="shared" si="23"/>
        <v>Obesity</v>
      </c>
      <c r="J730" t="str">
        <f t="shared" si="24"/>
        <v>Diabetes</v>
      </c>
    </row>
    <row r="731" spans="1:10" x14ac:dyDescent="0.35">
      <c r="A731" t="s">
        <v>731</v>
      </c>
      <c r="B731">
        <v>36.85</v>
      </c>
      <c r="C731">
        <v>6.21</v>
      </c>
      <c r="D731" t="s">
        <v>2346</v>
      </c>
      <c r="E731" t="s">
        <v>2344</v>
      </c>
      <c r="F731" t="s">
        <v>2344</v>
      </c>
      <c r="G731">
        <v>1</v>
      </c>
      <c r="H731" t="s">
        <v>2344</v>
      </c>
      <c r="I731" t="str">
        <f t="shared" si="23"/>
        <v>Obesity</v>
      </c>
      <c r="J731" t="str">
        <f t="shared" si="24"/>
        <v>Prediabetes</v>
      </c>
    </row>
    <row r="732" spans="1:10" x14ac:dyDescent="0.35">
      <c r="A732" t="s">
        <v>732</v>
      </c>
      <c r="B732">
        <v>36.299999999999997</v>
      </c>
      <c r="C732">
        <v>5.79</v>
      </c>
      <c r="D732" t="s">
        <v>2346</v>
      </c>
      <c r="E732" t="s">
        <v>2344</v>
      </c>
      <c r="F732" t="s">
        <v>2344</v>
      </c>
      <c r="G732">
        <v>1</v>
      </c>
      <c r="H732" t="s">
        <v>2344</v>
      </c>
      <c r="I732" t="str">
        <f t="shared" si="23"/>
        <v>Obesity</v>
      </c>
      <c r="J732" t="str">
        <f t="shared" si="24"/>
        <v>Prediabetes</v>
      </c>
    </row>
    <row r="733" spans="1:10" x14ac:dyDescent="0.35">
      <c r="A733" t="s">
        <v>733</v>
      </c>
      <c r="B733">
        <v>45.34</v>
      </c>
      <c r="C733">
        <v>5.69</v>
      </c>
      <c r="D733" t="s">
        <v>2346</v>
      </c>
      <c r="E733" t="s">
        <v>2344</v>
      </c>
      <c r="F733" t="s">
        <v>2344</v>
      </c>
      <c r="G733">
        <v>0</v>
      </c>
      <c r="H733" t="s">
        <v>2344</v>
      </c>
      <c r="I733" t="str">
        <f t="shared" si="23"/>
        <v>Obesity</v>
      </c>
      <c r="J733" t="str">
        <f t="shared" si="24"/>
        <v>Normal</v>
      </c>
    </row>
    <row r="734" spans="1:10" x14ac:dyDescent="0.35">
      <c r="A734" t="s">
        <v>734</v>
      </c>
      <c r="B734">
        <v>31.8</v>
      </c>
      <c r="C734">
        <v>5.36</v>
      </c>
      <c r="D734" t="s">
        <v>2346</v>
      </c>
      <c r="E734" t="s">
        <v>2344</v>
      </c>
      <c r="F734" t="s">
        <v>2344</v>
      </c>
      <c r="G734">
        <v>1</v>
      </c>
      <c r="H734" t="s">
        <v>2344</v>
      </c>
      <c r="I734" t="str">
        <f t="shared" si="23"/>
        <v>Obesity</v>
      </c>
      <c r="J734" t="str">
        <f t="shared" si="24"/>
        <v>Normal</v>
      </c>
    </row>
    <row r="735" spans="1:10" x14ac:dyDescent="0.35">
      <c r="A735" t="s">
        <v>735</v>
      </c>
      <c r="B735">
        <v>41.02</v>
      </c>
      <c r="C735">
        <v>11.37</v>
      </c>
      <c r="D735" t="s">
        <v>2344</v>
      </c>
      <c r="E735" t="s">
        <v>2344</v>
      </c>
      <c r="F735" t="s">
        <v>2344</v>
      </c>
      <c r="G735">
        <v>0</v>
      </c>
      <c r="H735" t="s">
        <v>2344</v>
      </c>
      <c r="I735" t="str">
        <f t="shared" si="23"/>
        <v>Obesity</v>
      </c>
      <c r="J735" t="str">
        <f t="shared" si="24"/>
        <v>Diabetes</v>
      </c>
    </row>
    <row r="736" spans="1:10" x14ac:dyDescent="0.35">
      <c r="A736" t="s">
        <v>736</v>
      </c>
      <c r="B736">
        <v>32.68</v>
      </c>
      <c r="C736">
        <v>11.87</v>
      </c>
      <c r="D736" t="s">
        <v>2344</v>
      </c>
      <c r="E736" t="s">
        <v>2344</v>
      </c>
      <c r="F736" t="s">
        <v>2344</v>
      </c>
      <c r="G736">
        <v>0</v>
      </c>
      <c r="H736" t="s">
        <v>2344</v>
      </c>
      <c r="I736" t="str">
        <f t="shared" si="23"/>
        <v>Obesity</v>
      </c>
      <c r="J736" t="str">
        <f t="shared" si="24"/>
        <v>Diabetes</v>
      </c>
    </row>
    <row r="737" spans="1:10" x14ac:dyDescent="0.35">
      <c r="A737" t="s">
        <v>737</v>
      </c>
      <c r="B737">
        <v>21.7</v>
      </c>
      <c r="C737">
        <v>4.9000000000000004</v>
      </c>
      <c r="D737" t="s">
        <v>2344</v>
      </c>
      <c r="E737" t="s">
        <v>2344</v>
      </c>
      <c r="F737" t="s">
        <v>2346</v>
      </c>
      <c r="G737">
        <v>1</v>
      </c>
      <c r="H737" t="s">
        <v>2346</v>
      </c>
      <c r="I737" t="str">
        <f t="shared" si="23"/>
        <v>Normal Weight</v>
      </c>
      <c r="J737" t="str">
        <f t="shared" si="24"/>
        <v>Normal</v>
      </c>
    </row>
    <row r="738" spans="1:10" x14ac:dyDescent="0.35">
      <c r="A738" t="s">
        <v>738</v>
      </c>
      <c r="B738">
        <v>40.479999999999997</v>
      </c>
      <c r="C738">
        <v>6.7</v>
      </c>
      <c r="D738" t="s">
        <v>2344</v>
      </c>
      <c r="E738" t="s">
        <v>2344</v>
      </c>
      <c r="F738" t="s">
        <v>2344</v>
      </c>
      <c r="G738">
        <v>1</v>
      </c>
      <c r="H738" t="s">
        <v>2344</v>
      </c>
      <c r="I738" t="str">
        <f t="shared" si="23"/>
        <v>Obesity</v>
      </c>
      <c r="J738" t="str">
        <f t="shared" si="24"/>
        <v>Diabetes</v>
      </c>
    </row>
    <row r="739" spans="1:10" x14ac:dyDescent="0.35">
      <c r="A739" t="s">
        <v>739</v>
      </c>
      <c r="B739">
        <v>34.5</v>
      </c>
      <c r="C739">
        <v>10.3</v>
      </c>
      <c r="D739" t="s">
        <v>2344</v>
      </c>
      <c r="E739" t="s">
        <v>2344</v>
      </c>
      <c r="F739" t="s">
        <v>2344</v>
      </c>
      <c r="G739">
        <v>1</v>
      </c>
      <c r="H739" t="s">
        <v>2344</v>
      </c>
      <c r="I739" t="str">
        <f t="shared" si="23"/>
        <v>Obesity</v>
      </c>
      <c r="J739" t="str">
        <f t="shared" si="24"/>
        <v>Diabetes</v>
      </c>
    </row>
    <row r="740" spans="1:10" x14ac:dyDescent="0.35">
      <c r="A740" t="s">
        <v>740</v>
      </c>
      <c r="B740">
        <v>45.9</v>
      </c>
      <c r="C740">
        <v>11.14</v>
      </c>
      <c r="D740" t="s">
        <v>2346</v>
      </c>
      <c r="E740" t="s">
        <v>2344</v>
      </c>
      <c r="F740" t="s">
        <v>2344</v>
      </c>
      <c r="G740">
        <v>1</v>
      </c>
      <c r="H740" t="s">
        <v>2344</v>
      </c>
      <c r="I740" t="str">
        <f t="shared" si="23"/>
        <v>Obesity</v>
      </c>
      <c r="J740" t="str">
        <f t="shared" si="24"/>
        <v>Diabetes</v>
      </c>
    </row>
    <row r="741" spans="1:10" x14ac:dyDescent="0.35">
      <c r="A741" t="s">
        <v>741</v>
      </c>
      <c r="B741">
        <v>33.479999999999997</v>
      </c>
      <c r="C741">
        <v>4.74</v>
      </c>
      <c r="D741" t="s">
        <v>2346</v>
      </c>
      <c r="E741" t="s">
        <v>2344</v>
      </c>
      <c r="F741" t="s">
        <v>2344</v>
      </c>
      <c r="G741">
        <v>1</v>
      </c>
      <c r="H741" t="s">
        <v>2344</v>
      </c>
      <c r="I741" t="str">
        <f t="shared" si="23"/>
        <v>Obesity</v>
      </c>
      <c r="J741" t="str">
        <f t="shared" si="24"/>
        <v>Normal</v>
      </c>
    </row>
    <row r="742" spans="1:10" x14ac:dyDescent="0.35">
      <c r="A742" t="s">
        <v>742</v>
      </c>
      <c r="B742">
        <v>28.31</v>
      </c>
      <c r="C742">
        <v>5.96</v>
      </c>
      <c r="D742" t="s">
        <v>2346</v>
      </c>
      <c r="E742" t="s">
        <v>2344</v>
      </c>
      <c r="F742" t="s">
        <v>2344</v>
      </c>
      <c r="G742">
        <v>1</v>
      </c>
      <c r="H742" t="s">
        <v>2344</v>
      </c>
      <c r="I742" t="str">
        <f t="shared" si="23"/>
        <v>Over weight</v>
      </c>
      <c r="J742" t="str">
        <f t="shared" si="24"/>
        <v>Prediabetes</v>
      </c>
    </row>
    <row r="743" spans="1:10" x14ac:dyDescent="0.35">
      <c r="A743" t="s">
        <v>743</v>
      </c>
      <c r="B743">
        <v>21.565000000000001</v>
      </c>
      <c r="C743">
        <v>4.95</v>
      </c>
      <c r="D743" t="s">
        <v>2344</v>
      </c>
      <c r="E743" t="s">
        <v>2345</v>
      </c>
      <c r="F743" t="s">
        <v>2344</v>
      </c>
      <c r="G743">
        <v>1</v>
      </c>
      <c r="H743" t="s">
        <v>2346</v>
      </c>
      <c r="I743" t="str">
        <f t="shared" si="23"/>
        <v>Normal Weight</v>
      </c>
      <c r="J743" t="str">
        <f t="shared" si="24"/>
        <v>Normal</v>
      </c>
    </row>
    <row r="744" spans="1:10" x14ac:dyDescent="0.35">
      <c r="A744" t="s">
        <v>744</v>
      </c>
      <c r="B744">
        <v>35.590000000000003</v>
      </c>
      <c r="C744">
        <v>5.21</v>
      </c>
      <c r="D744" t="s">
        <v>2346</v>
      </c>
      <c r="E744" t="s">
        <v>2344</v>
      </c>
      <c r="F744" t="s">
        <v>2346</v>
      </c>
      <c r="G744">
        <v>1</v>
      </c>
      <c r="H744" t="s">
        <v>2344</v>
      </c>
      <c r="I744" t="str">
        <f t="shared" si="23"/>
        <v>Obesity</v>
      </c>
      <c r="J744" t="str">
        <f t="shared" si="24"/>
        <v>Normal</v>
      </c>
    </row>
    <row r="745" spans="1:10" x14ac:dyDescent="0.35">
      <c r="A745" t="s">
        <v>745</v>
      </c>
      <c r="B745">
        <v>43.44</v>
      </c>
      <c r="C745">
        <v>4.8600000000000003</v>
      </c>
      <c r="D745" t="s">
        <v>2346</v>
      </c>
      <c r="E745" t="s">
        <v>2344</v>
      </c>
      <c r="F745" t="s">
        <v>2344</v>
      </c>
      <c r="G745">
        <v>0</v>
      </c>
      <c r="H745" t="s">
        <v>2344</v>
      </c>
      <c r="I745" t="str">
        <f t="shared" si="23"/>
        <v>Obesity</v>
      </c>
      <c r="J745" t="str">
        <f t="shared" si="24"/>
        <v>Normal</v>
      </c>
    </row>
    <row r="746" spans="1:10" x14ac:dyDescent="0.35">
      <c r="A746" t="s">
        <v>746</v>
      </c>
      <c r="B746">
        <v>21.754999999999999</v>
      </c>
      <c r="C746">
        <v>7.79</v>
      </c>
      <c r="D746" t="s">
        <v>2346</v>
      </c>
      <c r="E746" t="s">
        <v>2344</v>
      </c>
      <c r="F746" t="s">
        <v>2344</v>
      </c>
      <c r="G746">
        <v>0</v>
      </c>
      <c r="H746" t="s">
        <v>2344</v>
      </c>
      <c r="I746" t="str">
        <f t="shared" si="23"/>
        <v>Normal Weight</v>
      </c>
      <c r="J746" t="str">
        <f t="shared" si="24"/>
        <v>Diabetes</v>
      </c>
    </row>
    <row r="747" spans="1:10" x14ac:dyDescent="0.35">
      <c r="A747" t="s">
        <v>747</v>
      </c>
      <c r="B747">
        <v>44.55</v>
      </c>
      <c r="C747">
        <v>7.12</v>
      </c>
      <c r="D747" t="s">
        <v>2346</v>
      </c>
      <c r="E747" t="s">
        <v>2344</v>
      </c>
      <c r="F747" t="s">
        <v>2344</v>
      </c>
      <c r="G747">
        <v>1</v>
      </c>
      <c r="H747" t="s">
        <v>2344</v>
      </c>
      <c r="I747" t="str">
        <f t="shared" si="23"/>
        <v>Obesity</v>
      </c>
      <c r="J747" t="str">
        <f t="shared" si="24"/>
        <v>Diabetes</v>
      </c>
    </row>
    <row r="748" spans="1:10" x14ac:dyDescent="0.35">
      <c r="A748" t="s">
        <v>748</v>
      </c>
      <c r="B748">
        <v>43.32</v>
      </c>
      <c r="C748">
        <v>4.67</v>
      </c>
      <c r="D748" t="s">
        <v>2346</v>
      </c>
      <c r="E748" t="s">
        <v>2344</v>
      </c>
      <c r="F748" t="s">
        <v>2344</v>
      </c>
      <c r="G748">
        <v>0</v>
      </c>
      <c r="H748" t="s">
        <v>2344</v>
      </c>
      <c r="I748" t="str">
        <f t="shared" si="23"/>
        <v>Obesity</v>
      </c>
      <c r="J748" t="str">
        <f t="shared" si="24"/>
        <v>Normal</v>
      </c>
    </row>
    <row r="749" spans="1:10" x14ac:dyDescent="0.35">
      <c r="A749" t="s">
        <v>749</v>
      </c>
      <c r="B749">
        <v>31.23</v>
      </c>
      <c r="C749">
        <v>9.1199999999999992</v>
      </c>
      <c r="D749" t="s">
        <v>2346</v>
      </c>
      <c r="E749" t="s">
        <v>2344</v>
      </c>
      <c r="F749" t="s">
        <v>2346</v>
      </c>
      <c r="G749">
        <v>1</v>
      </c>
      <c r="H749" t="s">
        <v>2344</v>
      </c>
      <c r="I749" t="str">
        <f t="shared" si="23"/>
        <v>Obesity</v>
      </c>
      <c r="J749" t="str">
        <f t="shared" si="24"/>
        <v>Diabetes</v>
      </c>
    </row>
    <row r="750" spans="1:10" x14ac:dyDescent="0.35">
      <c r="A750" t="s">
        <v>750</v>
      </c>
      <c r="B750">
        <v>42.81</v>
      </c>
      <c r="C750">
        <v>4.1500000000000004</v>
      </c>
      <c r="D750" t="s">
        <v>2344</v>
      </c>
      <c r="E750" t="s">
        <v>2344</v>
      </c>
      <c r="F750" t="s">
        <v>2344</v>
      </c>
      <c r="G750">
        <v>1</v>
      </c>
      <c r="H750" t="s">
        <v>2344</v>
      </c>
      <c r="I750" t="str">
        <f t="shared" si="23"/>
        <v>Obesity</v>
      </c>
      <c r="J750" t="str">
        <f t="shared" si="24"/>
        <v>Normal</v>
      </c>
    </row>
    <row r="751" spans="1:10" x14ac:dyDescent="0.35">
      <c r="A751" t="s">
        <v>751</v>
      </c>
      <c r="B751">
        <v>35.909999999999997</v>
      </c>
      <c r="C751">
        <v>6.72</v>
      </c>
      <c r="D751" t="s">
        <v>2346</v>
      </c>
      <c r="E751" t="s">
        <v>2344</v>
      </c>
      <c r="F751" t="s">
        <v>2344</v>
      </c>
      <c r="G751">
        <v>1</v>
      </c>
      <c r="H751" t="s">
        <v>2344</v>
      </c>
      <c r="I751" t="str">
        <f t="shared" si="23"/>
        <v>Obesity</v>
      </c>
      <c r="J751" t="str">
        <f t="shared" si="24"/>
        <v>Diabetes</v>
      </c>
    </row>
    <row r="752" spans="1:10" x14ac:dyDescent="0.35">
      <c r="A752" t="s">
        <v>752</v>
      </c>
      <c r="B752">
        <v>36.65</v>
      </c>
      <c r="C752">
        <v>5.01</v>
      </c>
      <c r="D752" t="s">
        <v>2346</v>
      </c>
      <c r="E752" t="s">
        <v>2344</v>
      </c>
      <c r="F752" t="s">
        <v>2346</v>
      </c>
      <c r="G752">
        <v>1</v>
      </c>
      <c r="H752" t="s">
        <v>2344</v>
      </c>
      <c r="I752" t="str">
        <f t="shared" si="23"/>
        <v>Obesity</v>
      </c>
      <c r="J752" t="str">
        <f t="shared" si="24"/>
        <v>Normal</v>
      </c>
    </row>
    <row r="753" spans="1:10" x14ac:dyDescent="0.35">
      <c r="A753" t="s">
        <v>753</v>
      </c>
      <c r="B753">
        <v>22.04</v>
      </c>
      <c r="C753">
        <v>10.9</v>
      </c>
      <c r="D753" t="s">
        <v>2346</v>
      </c>
      <c r="E753" t="s">
        <v>2344</v>
      </c>
      <c r="F753" t="s">
        <v>2344</v>
      </c>
      <c r="G753">
        <v>1</v>
      </c>
      <c r="H753" t="s">
        <v>2344</v>
      </c>
      <c r="I753" t="str">
        <f t="shared" si="23"/>
        <v>Normal Weight</v>
      </c>
      <c r="J753" t="str">
        <f t="shared" si="24"/>
        <v>Diabetes</v>
      </c>
    </row>
    <row r="754" spans="1:10" x14ac:dyDescent="0.35">
      <c r="A754" t="s">
        <v>754</v>
      </c>
      <c r="B754">
        <v>31.824999999999999</v>
      </c>
      <c r="C754">
        <v>5.52</v>
      </c>
      <c r="D754" t="s">
        <v>2346</v>
      </c>
      <c r="E754" t="s">
        <v>2344</v>
      </c>
      <c r="F754" t="s">
        <v>2344</v>
      </c>
      <c r="G754">
        <v>1</v>
      </c>
      <c r="H754" t="s">
        <v>2344</v>
      </c>
      <c r="I754" t="str">
        <f t="shared" si="23"/>
        <v>Obesity</v>
      </c>
      <c r="J754" t="str">
        <f t="shared" si="24"/>
        <v>Normal</v>
      </c>
    </row>
    <row r="755" spans="1:10" x14ac:dyDescent="0.35">
      <c r="A755" t="s">
        <v>755</v>
      </c>
      <c r="B755">
        <v>53.58</v>
      </c>
      <c r="C755">
        <v>4.55</v>
      </c>
      <c r="D755" t="s">
        <v>2344</v>
      </c>
      <c r="E755" t="s">
        <v>2344</v>
      </c>
      <c r="F755" t="s">
        <v>2344</v>
      </c>
      <c r="G755">
        <v>1</v>
      </c>
      <c r="H755" t="s">
        <v>2344</v>
      </c>
      <c r="I755" t="str">
        <f t="shared" si="23"/>
        <v>Obesity</v>
      </c>
      <c r="J755" t="str">
        <f t="shared" si="24"/>
        <v>Normal</v>
      </c>
    </row>
    <row r="756" spans="1:10" x14ac:dyDescent="0.35">
      <c r="A756" t="s">
        <v>756</v>
      </c>
      <c r="B756">
        <v>34.299999999999997</v>
      </c>
      <c r="C756">
        <v>11.76</v>
      </c>
      <c r="D756" t="s">
        <v>2344</v>
      </c>
      <c r="E756" t="s">
        <v>2344</v>
      </c>
      <c r="F756" t="s">
        <v>2344</v>
      </c>
      <c r="G756">
        <v>0</v>
      </c>
      <c r="H756" t="s">
        <v>2344</v>
      </c>
      <c r="I756" t="str">
        <f t="shared" si="23"/>
        <v>Obesity</v>
      </c>
      <c r="J756" t="str">
        <f t="shared" si="24"/>
        <v>Diabetes</v>
      </c>
    </row>
    <row r="757" spans="1:10" x14ac:dyDescent="0.35">
      <c r="A757" t="s">
        <v>757</v>
      </c>
      <c r="B757">
        <v>32.11</v>
      </c>
      <c r="C757">
        <v>7.06</v>
      </c>
      <c r="D757" t="s">
        <v>2344</v>
      </c>
      <c r="E757" t="s">
        <v>2344</v>
      </c>
      <c r="F757" t="s">
        <v>2344</v>
      </c>
      <c r="G757">
        <v>0</v>
      </c>
      <c r="H757" t="s">
        <v>2344</v>
      </c>
      <c r="I757" t="str">
        <f t="shared" si="23"/>
        <v>Obesity</v>
      </c>
      <c r="J757" t="str">
        <f t="shared" si="24"/>
        <v>Diabetes</v>
      </c>
    </row>
    <row r="758" spans="1:10" x14ac:dyDescent="0.35">
      <c r="A758" t="s">
        <v>758</v>
      </c>
      <c r="B758">
        <v>31.78</v>
      </c>
      <c r="C758">
        <v>11.35</v>
      </c>
      <c r="D758" t="s">
        <v>2346</v>
      </c>
      <c r="E758" t="s">
        <v>2344</v>
      </c>
      <c r="F758" t="s">
        <v>2346</v>
      </c>
      <c r="G758">
        <v>1</v>
      </c>
      <c r="H758" t="s">
        <v>2344</v>
      </c>
      <c r="I758" t="str">
        <f t="shared" si="23"/>
        <v>Obesity</v>
      </c>
      <c r="J758" t="str">
        <f t="shared" si="24"/>
        <v>Diabetes</v>
      </c>
    </row>
    <row r="759" spans="1:10" x14ac:dyDescent="0.35">
      <c r="A759" t="s">
        <v>759</v>
      </c>
      <c r="B759">
        <v>46.89</v>
      </c>
      <c r="C759">
        <v>5.52</v>
      </c>
      <c r="D759" t="s">
        <v>2344</v>
      </c>
      <c r="E759" t="s">
        <v>2344</v>
      </c>
      <c r="F759" t="s">
        <v>2344</v>
      </c>
      <c r="G759">
        <v>0</v>
      </c>
      <c r="H759" t="s">
        <v>2344</v>
      </c>
      <c r="I759" t="str">
        <f t="shared" si="23"/>
        <v>Obesity</v>
      </c>
      <c r="J759" t="str">
        <f t="shared" si="24"/>
        <v>Normal</v>
      </c>
    </row>
    <row r="760" spans="1:10" x14ac:dyDescent="0.35">
      <c r="A760" t="s">
        <v>760</v>
      </c>
      <c r="B760">
        <v>39.35</v>
      </c>
      <c r="C760">
        <v>7.86</v>
      </c>
      <c r="D760" t="s">
        <v>2346</v>
      </c>
      <c r="E760" t="s">
        <v>2344</v>
      </c>
      <c r="F760" t="s">
        <v>2344</v>
      </c>
      <c r="G760">
        <v>1</v>
      </c>
      <c r="H760" t="s">
        <v>2344</v>
      </c>
      <c r="I760" t="str">
        <f t="shared" si="23"/>
        <v>Obesity</v>
      </c>
      <c r="J760" t="str">
        <f t="shared" si="24"/>
        <v>Diabetes</v>
      </c>
    </row>
    <row r="761" spans="1:10" x14ac:dyDescent="0.35">
      <c r="A761" t="s">
        <v>761</v>
      </c>
      <c r="B761">
        <v>39.200000000000003</v>
      </c>
      <c r="C761">
        <v>11.38</v>
      </c>
      <c r="D761" t="s">
        <v>2344</v>
      </c>
      <c r="E761" t="s">
        <v>2344</v>
      </c>
      <c r="F761" t="s">
        <v>2344</v>
      </c>
      <c r="G761">
        <v>0</v>
      </c>
      <c r="H761" t="s">
        <v>2344</v>
      </c>
      <c r="I761" t="str">
        <f t="shared" si="23"/>
        <v>Obesity</v>
      </c>
      <c r="J761" t="str">
        <f t="shared" si="24"/>
        <v>Diabetes</v>
      </c>
    </row>
    <row r="762" spans="1:10" x14ac:dyDescent="0.35">
      <c r="A762" t="s">
        <v>762</v>
      </c>
      <c r="B762">
        <v>39.159999999999997</v>
      </c>
      <c r="C762">
        <v>10.48</v>
      </c>
      <c r="D762" t="s">
        <v>2344</v>
      </c>
      <c r="E762" t="s">
        <v>2344</v>
      </c>
      <c r="F762" t="s">
        <v>2344</v>
      </c>
      <c r="G762">
        <v>0</v>
      </c>
      <c r="H762" t="s">
        <v>2344</v>
      </c>
      <c r="I762" t="str">
        <f t="shared" si="23"/>
        <v>Obesity</v>
      </c>
      <c r="J762" t="str">
        <f t="shared" si="24"/>
        <v>Diabetes</v>
      </c>
    </row>
    <row r="763" spans="1:10" x14ac:dyDescent="0.35">
      <c r="A763" t="s">
        <v>763</v>
      </c>
      <c r="B763">
        <v>44.1</v>
      </c>
      <c r="C763">
        <v>5.04</v>
      </c>
      <c r="D763" t="s">
        <v>2346</v>
      </c>
      <c r="E763" t="s">
        <v>2344</v>
      </c>
      <c r="F763" t="s">
        <v>2344</v>
      </c>
      <c r="G763">
        <v>0</v>
      </c>
      <c r="H763" t="s">
        <v>2344</v>
      </c>
      <c r="I763" t="str">
        <f t="shared" si="23"/>
        <v>Obesity</v>
      </c>
      <c r="J763" t="str">
        <f t="shared" si="24"/>
        <v>Normal</v>
      </c>
    </row>
    <row r="764" spans="1:10" x14ac:dyDescent="0.35">
      <c r="A764" t="s">
        <v>764</v>
      </c>
      <c r="B764">
        <v>33.200000000000003</v>
      </c>
      <c r="C764">
        <v>9.06</v>
      </c>
      <c r="D764" t="s">
        <v>2344</v>
      </c>
      <c r="E764" t="s">
        <v>2344</v>
      </c>
      <c r="F764" t="s">
        <v>2344</v>
      </c>
      <c r="G764">
        <v>0</v>
      </c>
      <c r="H764" t="s">
        <v>2344</v>
      </c>
      <c r="I764" t="str">
        <f t="shared" si="23"/>
        <v>Obesity</v>
      </c>
      <c r="J764" t="str">
        <f t="shared" si="24"/>
        <v>Diabetes</v>
      </c>
    </row>
    <row r="765" spans="1:10" x14ac:dyDescent="0.35">
      <c r="A765" t="s">
        <v>765</v>
      </c>
      <c r="B765">
        <v>29.92</v>
      </c>
      <c r="C765">
        <v>11.07</v>
      </c>
      <c r="D765" t="s">
        <v>2344</v>
      </c>
      <c r="E765" t="s">
        <v>2344</v>
      </c>
      <c r="F765" t="s">
        <v>2344</v>
      </c>
      <c r="G765">
        <v>0</v>
      </c>
      <c r="H765" t="s">
        <v>2344</v>
      </c>
      <c r="I765" t="str">
        <f t="shared" si="23"/>
        <v>Over weight</v>
      </c>
      <c r="J765" t="str">
        <f t="shared" si="24"/>
        <v>Diabetes</v>
      </c>
    </row>
    <row r="766" spans="1:10" x14ac:dyDescent="0.35">
      <c r="A766" t="s">
        <v>766</v>
      </c>
      <c r="B766">
        <v>25</v>
      </c>
      <c r="C766">
        <v>10.45</v>
      </c>
      <c r="D766" t="s">
        <v>2344</v>
      </c>
      <c r="E766" t="s">
        <v>2344</v>
      </c>
      <c r="F766" t="s">
        <v>2344</v>
      </c>
      <c r="G766">
        <v>0</v>
      </c>
      <c r="H766" t="s">
        <v>2344</v>
      </c>
      <c r="I766" t="str">
        <f t="shared" si="23"/>
        <v>Over weight</v>
      </c>
      <c r="J766" t="str">
        <f t="shared" si="24"/>
        <v>Diabetes</v>
      </c>
    </row>
    <row r="767" spans="1:10" x14ac:dyDescent="0.35">
      <c r="A767" t="s">
        <v>767</v>
      </c>
      <c r="B767">
        <v>38.869999999999997</v>
      </c>
      <c r="C767">
        <v>8.6300000000000008</v>
      </c>
      <c r="D767" t="s">
        <v>2346</v>
      </c>
      <c r="E767" t="s">
        <v>2344</v>
      </c>
      <c r="F767" t="s">
        <v>2344</v>
      </c>
      <c r="G767">
        <v>1</v>
      </c>
      <c r="H767" t="s">
        <v>2344</v>
      </c>
      <c r="I767" t="str">
        <f t="shared" si="23"/>
        <v>Obesity</v>
      </c>
      <c r="J767" t="str">
        <f t="shared" si="24"/>
        <v>Diabetes</v>
      </c>
    </row>
    <row r="768" spans="1:10" x14ac:dyDescent="0.35">
      <c r="A768" t="s">
        <v>768</v>
      </c>
      <c r="B768">
        <v>32.299999999999997</v>
      </c>
      <c r="C768">
        <v>5.28</v>
      </c>
      <c r="D768" t="s">
        <v>2346</v>
      </c>
      <c r="E768" t="s">
        <v>2344</v>
      </c>
      <c r="F768" t="s">
        <v>2344</v>
      </c>
      <c r="G768">
        <v>1</v>
      </c>
      <c r="H768" t="s">
        <v>2344</v>
      </c>
      <c r="I768" t="str">
        <f t="shared" si="23"/>
        <v>Obesity</v>
      </c>
      <c r="J768" t="str">
        <f t="shared" si="24"/>
        <v>Normal</v>
      </c>
    </row>
    <row r="769" spans="1:10" x14ac:dyDescent="0.35">
      <c r="A769" t="s">
        <v>769</v>
      </c>
      <c r="B769">
        <v>31.16</v>
      </c>
      <c r="C769">
        <v>7.49</v>
      </c>
      <c r="D769" t="s">
        <v>2346</v>
      </c>
      <c r="E769" t="s">
        <v>2344</v>
      </c>
      <c r="F769" t="s">
        <v>2344</v>
      </c>
      <c r="G769">
        <v>1</v>
      </c>
      <c r="H769" t="s">
        <v>2344</v>
      </c>
      <c r="I769" t="str">
        <f t="shared" si="23"/>
        <v>Obesity</v>
      </c>
      <c r="J769" t="str">
        <f t="shared" si="24"/>
        <v>Diabetes</v>
      </c>
    </row>
    <row r="770" spans="1:10" x14ac:dyDescent="0.35">
      <c r="A770" t="s">
        <v>770</v>
      </c>
      <c r="B770">
        <v>54.59</v>
      </c>
      <c r="C770">
        <v>4.2699999999999996</v>
      </c>
      <c r="D770" t="s">
        <v>2344</v>
      </c>
      <c r="E770" t="s">
        <v>2344</v>
      </c>
      <c r="F770" t="s">
        <v>2344</v>
      </c>
      <c r="G770">
        <v>0</v>
      </c>
      <c r="H770" t="s">
        <v>2344</v>
      </c>
      <c r="I770" t="str">
        <f t="shared" si="23"/>
        <v>Obesity</v>
      </c>
      <c r="J770" t="str">
        <f t="shared" si="24"/>
        <v>Normal</v>
      </c>
    </row>
    <row r="771" spans="1:10" x14ac:dyDescent="0.35">
      <c r="A771" t="s">
        <v>771</v>
      </c>
      <c r="B771">
        <v>21.09</v>
      </c>
      <c r="C771">
        <v>9.2200000000000006</v>
      </c>
      <c r="D771" t="s">
        <v>2346</v>
      </c>
      <c r="E771" t="s">
        <v>2344</v>
      </c>
      <c r="F771" t="s">
        <v>2344</v>
      </c>
      <c r="G771">
        <v>1</v>
      </c>
      <c r="H771" t="s">
        <v>2344</v>
      </c>
      <c r="I771" t="str">
        <f t="shared" ref="I771:I834" si="25">IF(B771&lt;18.5,"Under Weight",IF(B771&lt;25,"Normal Weight",IF(B771&lt;30,"Over weight","Obesity")))</f>
        <v>Normal Weight</v>
      </c>
      <c r="J771" t="str">
        <f t="shared" si="24"/>
        <v>Diabetes</v>
      </c>
    </row>
    <row r="772" spans="1:10" x14ac:dyDescent="0.35">
      <c r="A772" t="s">
        <v>772</v>
      </c>
      <c r="B772">
        <v>52.41</v>
      </c>
      <c r="C772">
        <v>5.99</v>
      </c>
      <c r="D772" t="s">
        <v>2344</v>
      </c>
      <c r="E772" t="s">
        <v>2344</v>
      </c>
      <c r="F772" t="s">
        <v>2344</v>
      </c>
      <c r="G772">
        <v>1</v>
      </c>
      <c r="H772" t="s">
        <v>2344</v>
      </c>
      <c r="I772" t="str">
        <f t="shared" si="25"/>
        <v>Obesity</v>
      </c>
      <c r="J772" t="str">
        <f t="shared" si="24"/>
        <v>Prediabetes</v>
      </c>
    </row>
    <row r="773" spans="1:10" x14ac:dyDescent="0.35">
      <c r="A773" t="s">
        <v>773</v>
      </c>
      <c r="B773">
        <v>41.47</v>
      </c>
      <c r="C773">
        <v>5.86</v>
      </c>
      <c r="D773" t="s">
        <v>2346</v>
      </c>
      <c r="E773" t="s">
        <v>2344</v>
      </c>
      <c r="F773" t="s">
        <v>2344</v>
      </c>
      <c r="G773">
        <v>1</v>
      </c>
      <c r="H773" t="s">
        <v>2344</v>
      </c>
      <c r="I773" t="str">
        <f t="shared" si="25"/>
        <v>Obesity</v>
      </c>
      <c r="J773" t="str">
        <f t="shared" si="24"/>
        <v>Prediabetes</v>
      </c>
    </row>
    <row r="774" spans="1:10" x14ac:dyDescent="0.35">
      <c r="A774" t="s">
        <v>774</v>
      </c>
      <c r="B774">
        <v>33.1</v>
      </c>
      <c r="C774">
        <v>5.19</v>
      </c>
      <c r="D774" t="s">
        <v>2346</v>
      </c>
      <c r="E774" t="s">
        <v>2344</v>
      </c>
      <c r="F774" t="s">
        <v>2344</v>
      </c>
      <c r="G774">
        <v>1</v>
      </c>
      <c r="H774" t="s">
        <v>2344</v>
      </c>
      <c r="I774" t="str">
        <f t="shared" si="25"/>
        <v>Obesity</v>
      </c>
      <c r="J774" t="str">
        <f t="shared" si="24"/>
        <v>Normal</v>
      </c>
    </row>
    <row r="775" spans="1:10" x14ac:dyDescent="0.35">
      <c r="A775" t="s">
        <v>775</v>
      </c>
      <c r="B775">
        <v>30.8</v>
      </c>
      <c r="C775">
        <v>4.37</v>
      </c>
      <c r="D775" t="s">
        <v>2346</v>
      </c>
      <c r="E775" t="s">
        <v>2344</v>
      </c>
      <c r="F775" t="s">
        <v>2344</v>
      </c>
      <c r="G775">
        <v>1</v>
      </c>
      <c r="H775" t="s">
        <v>2344</v>
      </c>
      <c r="I775" t="str">
        <f t="shared" si="25"/>
        <v>Obesity</v>
      </c>
      <c r="J775" t="str">
        <f t="shared" si="24"/>
        <v>Normal</v>
      </c>
    </row>
    <row r="776" spans="1:10" x14ac:dyDescent="0.35">
      <c r="A776" t="s">
        <v>776</v>
      </c>
      <c r="B776">
        <v>42.06</v>
      </c>
      <c r="C776">
        <v>5.32</v>
      </c>
      <c r="D776" t="s">
        <v>2344</v>
      </c>
      <c r="E776" t="s">
        <v>2344</v>
      </c>
      <c r="F776" t="s">
        <v>2344</v>
      </c>
      <c r="G776">
        <v>1</v>
      </c>
      <c r="H776" t="s">
        <v>2344</v>
      </c>
      <c r="I776" t="str">
        <f t="shared" si="25"/>
        <v>Obesity</v>
      </c>
      <c r="J776" t="str">
        <f t="shared" si="24"/>
        <v>Normal</v>
      </c>
    </row>
    <row r="777" spans="1:10" x14ac:dyDescent="0.35">
      <c r="A777" t="s">
        <v>777</v>
      </c>
      <c r="B777">
        <v>39.270000000000003</v>
      </c>
      <c r="C777">
        <v>5.64</v>
      </c>
      <c r="D777" t="s">
        <v>2344</v>
      </c>
      <c r="E777" t="s">
        <v>2344</v>
      </c>
      <c r="F777" t="s">
        <v>2346</v>
      </c>
      <c r="G777">
        <v>1</v>
      </c>
      <c r="H777" t="s">
        <v>2344</v>
      </c>
      <c r="I777" t="str">
        <f t="shared" si="25"/>
        <v>Obesity</v>
      </c>
      <c r="J777" t="str">
        <f t="shared" si="24"/>
        <v>Normal</v>
      </c>
    </row>
    <row r="778" spans="1:10" x14ac:dyDescent="0.35">
      <c r="A778" t="s">
        <v>778</v>
      </c>
      <c r="B778">
        <v>30.71</v>
      </c>
      <c r="C778">
        <v>5.59</v>
      </c>
      <c r="D778" t="s">
        <v>2346</v>
      </c>
      <c r="E778" t="s">
        <v>2344</v>
      </c>
      <c r="F778" t="s">
        <v>2344</v>
      </c>
      <c r="G778">
        <v>1</v>
      </c>
      <c r="H778" t="s">
        <v>2344</v>
      </c>
      <c r="I778" t="str">
        <f t="shared" si="25"/>
        <v>Obesity</v>
      </c>
      <c r="J778" t="str">
        <f t="shared" si="24"/>
        <v>Normal</v>
      </c>
    </row>
    <row r="779" spans="1:10" x14ac:dyDescent="0.35">
      <c r="A779" t="s">
        <v>779</v>
      </c>
      <c r="B779">
        <v>47.19</v>
      </c>
      <c r="C779">
        <v>5.29</v>
      </c>
      <c r="D779" t="s">
        <v>2344</v>
      </c>
      <c r="E779" t="s">
        <v>2344</v>
      </c>
      <c r="F779" t="s">
        <v>2344</v>
      </c>
      <c r="G779">
        <v>0</v>
      </c>
      <c r="H779" t="s">
        <v>2344</v>
      </c>
      <c r="I779" t="str">
        <f t="shared" si="25"/>
        <v>Obesity</v>
      </c>
      <c r="J779" t="str">
        <f t="shared" si="24"/>
        <v>Normal</v>
      </c>
    </row>
    <row r="780" spans="1:10" x14ac:dyDescent="0.35">
      <c r="A780" t="s">
        <v>780</v>
      </c>
      <c r="B780">
        <v>30.02</v>
      </c>
      <c r="C780">
        <v>6.65</v>
      </c>
      <c r="D780" t="s">
        <v>2344</v>
      </c>
      <c r="E780" t="s">
        <v>2344</v>
      </c>
      <c r="F780" t="s">
        <v>2344</v>
      </c>
      <c r="G780">
        <v>0</v>
      </c>
      <c r="H780" t="s">
        <v>2344</v>
      </c>
      <c r="I780" t="str">
        <f t="shared" si="25"/>
        <v>Obesity</v>
      </c>
      <c r="J780" t="str">
        <f t="shared" ref="J780:J843" si="26">IF(C780&lt;5.7,"Normal",IF(C780&lt;6.5,"Prediabetes","Diabetes"))</f>
        <v>Diabetes</v>
      </c>
    </row>
    <row r="781" spans="1:10" x14ac:dyDescent="0.35">
      <c r="A781" t="s">
        <v>781</v>
      </c>
      <c r="B781">
        <v>37.909999999999997</v>
      </c>
      <c r="C781">
        <v>5.68</v>
      </c>
      <c r="D781" t="s">
        <v>2346</v>
      </c>
      <c r="E781" t="s">
        <v>2344</v>
      </c>
      <c r="F781" t="s">
        <v>2344</v>
      </c>
      <c r="G781">
        <v>0</v>
      </c>
      <c r="H781" t="s">
        <v>2344</v>
      </c>
      <c r="I781" t="str">
        <f t="shared" si="25"/>
        <v>Obesity</v>
      </c>
      <c r="J781" t="str">
        <f t="shared" si="26"/>
        <v>Normal</v>
      </c>
    </row>
    <row r="782" spans="1:10" x14ac:dyDescent="0.35">
      <c r="A782" t="s">
        <v>782</v>
      </c>
      <c r="B782">
        <v>54.61</v>
      </c>
      <c r="C782">
        <v>4.49</v>
      </c>
      <c r="D782" t="s">
        <v>2344</v>
      </c>
      <c r="E782" t="s">
        <v>2344</v>
      </c>
      <c r="F782" t="s">
        <v>2344</v>
      </c>
      <c r="G782">
        <v>0</v>
      </c>
      <c r="H782" t="s">
        <v>2344</v>
      </c>
      <c r="I782" t="str">
        <f t="shared" si="25"/>
        <v>Obesity</v>
      </c>
      <c r="J782" t="str">
        <f t="shared" si="26"/>
        <v>Normal</v>
      </c>
    </row>
    <row r="783" spans="1:10" x14ac:dyDescent="0.35">
      <c r="A783" t="s">
        <v>783</v>
      </c>
      <c r="B783">
        <v>36.005000000000003</v>
      </c>
      <c r="C783">
        <v>6.9</v>
      </c>
      <c r="D783" t="s">
        <v>2344</v>
      </c>
      <c r="E783" t="s">
        <v>2344</v>
      </c>
      <c r="F783" t="s">
        <v>2344</v>
      </c>
      <c r="G783">
        <v>0</v>
      </c>
      <c r="H783" t="s">
        <v>2344</v>
      </c>
      <c r="I783" t="str">
        <f t="shared" si="25"/>
        <v>Obesity</v>
      </c>
      <c r="J783" t="str">
        <f t="shared" si="26"/>
        <v>Diabetes</v>
      </c>
    </row>
    <row r="784" spans="1:10" x14ac:dyDescent="0.35">
      <c r="A784" t="s">
        <v>784</v>
      </c>
      <c r="B784">
        <v>28.7</v>
      </c>
      <c r="C784">
        <v>11.52</v>
      </c>
      <c r="D784" t="s">
        <v>2344</v>
      </c>
      <c r="E784" t="s">
        <v>2344</v>
      </c>
      <c r="F784" t="s">
        <v>2344</v>
      </c>
      <c r="G784">
        <v>0</v>
      </c>
      <c r="H784" t="s">
        <v>2344</v>
      </c>
      <c r="I784" t="str">
        <f t="shared" si="25"/>
        <v>Over weight</v>
      </c>
      <c r="J784" t="str">
        <f t="shared" si="26"/>
        <v>Diabetes</v>
      </c>
    </row>
    <row r="785" spans="1:10" x14ac:dyDescent="0.35">
      <c r="A785" t="s">
        <v>785</v>
      </c>
      <c r="B785">
        <v>34.295000000000002</v>
      </c>
      <c r="C785">
        <v>11.24</v>
      </c>
      <c r="D785" t="s">
        <v>2344</v>
      </c>
      <c r="E785" t="s">
        <v>2344</v>
      </c>
      <c r="F785" t="s">
        <v>2344</v>
      </c>
      <c r="G785">
        <v>0</v>
      </c>
      <c r="H785" t="s">
        <v>2344</v>
      </c>
      <c r="I785" t="str">
        <f t="shared" si="25"/>
        <v>Obesity</v>
      </c>
      <c r="J785" t="str">
        <f t="shared" si="26"/>
        <v>Diabetes</v>
      </c>
    </row>
    <row r="786" spans="1:10" x14ac:dyDescent="0.35">
      <c r="A786" t="s">
        <v>786</v>
      </c>
      <c r="B786">
        <v>27.55</v>
      </c>
      <c r="C786">
        <v>10.98</v>
      </c>
      <c r="D786" t="s">
        <v>2344</v>
      </c>
      <c r="E786" t="s">
        <v>2344</v>
      </c>
      <c r="F786" t="s">
        <v>2344</v>
      </c>
      <c r="G786">
        <v>0</v>
      </c>
      <c r="H786" t="s">
        <v>2344</v>
      </c>
      <c r="I786" t="str">
        <f t="shared" si="25"/>
        <v>Over weight</v>
      </c>
      <c r="J786" t="str">
        <f t="shared" si="26"/>
        <v>Diabetes</v>
      </c>
    </row>
    <row r="787" spans="1:10" x14ac:dyDescent="0.35">
      <c r="A787" t="s">
        <v>787</v>
      </c>
      <c r="B787">
        <v>40.700000000000003</v>
      </c>
      <c r="C787">
        <v>5.42</v>
      </c>
      <c r="D787" t="s">
        <v>2344</v>
      </c>
      <c r="E787" t="s">
        <v>2344</v>
      </c>
      <c r="F787" t="s">
        <v>2344</v>
      </c>
      <c r="G787">
        <v>0</v>
      </c>
      <c r="H787" t="s">
        <v>2344</v>
      </c>
      <c r="I787" t="str">
        <f t="shared" si="25"/>
        <v>Obesity</v>
      </c>
      <c r="J787" t="str">
        <f t="shared" si="26"/>
        <v>Normal</v>
      </c>
    </row>
    <row r="788" spans="1:10" x14ac:dyDescent="0.35">
      <c r="A788" t="s">
        <v>788</v>
      </c>
      <c r="B788">
        <v>18.335000000000001</v>
      </c>
      <c r="C788">
        <v>10.97</v>
      </c>
      <c r="D788" t="s">
        <v>2344</v>
      </c>
      <c r="E788" t="s">
        <v>2344</v>
      </c>
      <c r="F788" t="s">
        <v>2344</v>
      </c>
      <c r="G788">
        <v>0</v>
      </c>
      <c r="H788" t="s">
        <v>2344</v>
      </c>
      <c r="I788" t="str">
        <f t="shared" si="25"/>
        <v>Under Weight</v>
      </c>
      <c r="J788" t="str">
        <f t="shared" si="26"/>
        <v>Diabetes</v>
      </c>
    </row>
    <row r="789" spans="1:10" x14ac:dyDescent="0.35">
      <c r="A789" t="s">
        <v>789</v>
      </c>
      <c r="B789">
        <v>33.914999999999999</v>
      </c>
      <c r="C789">
        <v>9.56</v>
      </c>
      <c r="D789" t="s">
        <v>2346</v>
      </c>
      <c r="E789" t="s">
        <v>2344</v>
      </c>
      <c r="F789" t="s">
        <v>2344</v>
      </c>
      <c r="G789">
        <v>1</v>
      </c>
      <c r="H789" t="s">
        <v>2344</v>
      </c>
      <c r="I789" t="str">
        <f t="shared" si="25"/>
        <v>Obesity</v>
      </c>
      <c r="J789" t="str">
        <f t="shared" si="26"/>
        <v>Diabetes</v>
      </c>
    </row>
    <row r="790" spans="1:10" x14ac:dyDescent="0.35">
      <c r="A790" t="s">
        <v>790</v>
      </c>
      <c r="B790">
        <v>33.534999999999997</v>
      </c>
      <c r="C790">
        <v>9.4</v>
      </c>
      <c r="D790" t="s">
        <v>2346</v>
      </c>
      <c r="E790" t="s">
        <v>2344</v>
      </c>
      <c r="F790" t="s">
        <v>2344</v>
      </c>
      <c r="G790">
        <v>1</v>
      </c>
      <c r="H790" t="s">
        <v>2344</v>
      </c>
      <c r="I790" t="str">
        <f t="shared" si="25"/>
        <v>Obesity</v>
      </c>
      <c r="J790" t="str">
        <f t="shared" si="26"/>
        <v>Diabetes</v>
      </c>
    </row>
    <row r="791" spans="1:10" x14ac:dyDescent="0.35">
      <c r="A791" t="s">
        <v>791</v>
      </c>
      <c r="B791">
        <v>23.655000000000001</v>
      </c>
      <c r="C791">
        <v>8.48</v>
      </c>
      <c r="D791" t="s">
        <v>2346</v>
      </c>
      <c r="E791" t="s">
        <v>2344</v>
      </c>
      <c r="F791" t="s">
        <v>2344</v>
      </c>
      <c r="G791">
        <v>1</v>
      </c>
      <c r="H791" t="s">
        <v>2344</v>
      </c>
      <c r="I791" t="str">
        <f t="shared" si="25"/>
        <v>Normal Weight</v>
      </c>
      <c r="J791" t="str">
        <f t="shared" si="26"/>
        <v>Diabetes</v>
      </c>
    </row>
    <row r="792" spans="1:10" x14ac:dyDescent="0.35">
      <c r="A792" t="s">
        <v>792</v>
      </c>
      <c r="B792">
        <v>28</v>
      </c>
      <c r="C792">
        <v>5.57</v>
      </c>
      <c r="D792" t="s">
        <v>2344</v>
      </c>
      <c r="E792" t="s">
        <v>2344</v>
      </c>
      <c r="F792" t="s">
        <v>2344</v>
      </c>
      <c r="G792">
        <v>0</v>
      </c>
      <c r="H792" t="s">
        <v>2344</v>
      </c>
      <c r="I792" t="str">
        <f t="shared" si="25"/>
        <v>Over weight</v>
      </c>
      <c r="J792" t="str">
        <f t="shared" si="26"/>
        <v>Normal</v>
      </c>
    </row>
    <row r="793" spans="1:10" x14ac:dyDescent="0.35">
      <c r="A793" t="s">
        <v>793</v>
      </c>
      <c r="B793">
        <v>30.23</v>
      </c>
      <c r="C793">
        <v>6.94</v>
      </c>
      <c r="D793" t="s">
        <v>2346</v>
      </c>
      <c r="E793" t="s">
        <v>2344</v>
      </c>
      <c r="F793" t="s">
        <v>2346</v>
      </c>
      <c r="G793">
        <v>1</v>
      </c>
      <c r="H793" t="s">
        <v>2344</v>
      </c>
      <c r="I793" t="str">
        <f t="shared" si="25"/>
        <v>Obesity</v>
      </c>
      <c r="J793" t="str">
        <f t="shared" si="26"/>
        <v>Diabetes</v>
      </c>
    </row>
    <row r="794" spans="1:10" x14ac:dyDescent="0.35">
      <c r="A794" t="s">
        <v>794</v>
      </c>
      <c r="B794">
        <v>51.14</v>
      </c>
      <c r="C794">
        <v>4.05</v>
      </c>
      <c r="D794" t="s">
        <v>2344</v>
      </c>
      <c r="E794" t="s">
        <v>2344</v>
      </c>
      <c r="F794" t="s">
        <v>2344</v>
      </c>
      <c r="G794">
        <v>1</v>
      </c>
      <c r="H794" t="s">
        <v>2344</v>
      </c>
      <c r="I794" t="str">
        <f t="shared" si="25"/>
        <v>Obesity</v>
      </c>
      <c r="J794" t="str">
        <f t="shared" si="26"/>
        <v>Normal</v>
      </c>
    </row>
    <row r="795" spans="1:10" x14ac:dyDescent="0.35">
      <c r="A795" t="s">
        <v>795</v>
      </c>
      <c r="B795">
        <v>24.32</v>
      </c>
      <c r="C795">
        <v>10.220000000000001</v>
      </c>
      <c r="D795" t="s">
        <v>2344</v>
      </c>
      <c r="E795" t="s">
        <v>2344</v>
      </c>
      <c r="F795" t="s">
        <v>2344</v>
      </c>
      <c r="G795">
        <v>0</v>
      </c>
      <c r="H795" t="s">
        <v>2344</v>
      </c>
      <c r="I795" t="str">
        <f t="shared" si="25"/>
        <v>Normal Weight</v>
      </c>
      <c r="J795" t="str">
        <f t="shared" si="26"/>
        <v>Diabetes</v>
      </c>
    </row>
    <row r="796" spans="1:10" x14ac:dyDescent="0.35">
      <c r="A796" t="s">
        <v>796</v>
      </c>
      <c r="B796">
        <v>38.06</v>
      </c>
      <c r="C796">
        <v>9.24</v>
      </c>
      <c r="D796" t="s">
        <v>2344</v>
      </c>
      <c r="E796" t="s">
        <v>2344</v>
      </c>
      <c r="F796" t="s">
        <v>2344</v>
      </c>
      <c r="G796">
        <v>0</v>
      </c>
      <c r="H796" t="s">
        <v>2344</v>
      </c>
      <c r="I796" t="str">
        <f t="shared" si="25"/>
        <v>Obesity</v>
      </c>
      <c r="J796" t="str">
        <f t="shared" si="26"/>
        <v>Diabetes</v>
      </c>
    </row>
    <row r="797" spans="1:10" x14ac:dyDescent="0.35">
      <c r="A797" t="s">
        <v>797</v>
      </c>
      <c r="B797">
        <v>37.700000000000003</v>
      </c>
      <c r="C797">
        <v>8.6</v>
      </c>
      <c r="D797" t="s">
        <v>2344</v>
      </c>
      <c r="E797" t="s">
        <v>2344</v>
      </c>
      <c r="F797" t="s">
        <v>2344</v>
      </c>
      <c r="G797">
        <v>0</v>
      </c>
      <c r="H797" t="s">
        <v>2344</v>
      </c>
      <c r="I797" t="str">
        <f t="shared" si="25"/>
        <v>Obesity</v>
      </c>
      <c r="J797" t="str">
        <f t="shared" si="26"/>
        <v>Diabetes</v>
      </c>
    </row>
    <row r="798" spans="1:10" x14ac:dyDescent="0.35">
      <c r="A798" t="s">
        <v>798</v>
      </c>
      <c r="B798">
        <v>44</v>
      </c>
      <c r="C798">
        <v>9.32</v>
      </c>
      <c r="D798" t="s">
        <v>2346</v>
      </c>
      <c r="E798" t="s">
        <v>2344</v>
      </c>
      <c r="F798" t="s">
        <v>2344</v>
      </c>
      <c r="G798">
        <v>1</v>
      </c>
      <c r="H798" t="s">
        <v>2344</v>
      </c>
      <c r="I798" t="str">
        <f t="shared" si="25"/>
        <v>Obesity</v>
      </c>
      <c r="J798" t="str">
        <f t="shared" si="26"/>
        <v>Diabetes</v>
      </c>
    </row>
    <row r="799" spans="1:10" x14ac:dyDescent="0.35">
      <c r="A799" t="s">
        <v>799</v>
      </c>
      <c r="B799">
        <v>41.45</v>
      </c>
      <c r="C799">
        <v>6.12</v>
      </c>
      <c r="D799" t="s">
        <v>2346</v>
      </c>
      <c r="E799" t="s">
        <v>2344</v>
      </c>
      <c r="F799" t="s">
        <v>2344</v>
      </c>
      <c r="G799">
        <v>0</v>
      </c>
      <c r="H799" t="s">
        <v>2344</v>
      </c>
      <c r="I799" t="str">
        <f t="shared" si="25"/>
        <v>Obesity</v>
      </c>
      <c r="J799" t="str">
        <f t="shared" si="26"/>
        <v>Prediabetes</v>
      </c>
    </row>
    <row r="800" spans="1:10" x14ac:dyDescent="0.35">
      <c r="A800" t="s">
        <v>800</v>
      </c>
      <c r="B800">
        <v>25.364999999999998</v>
      </c>
      <c r="C800">
        <v>9.19</v>
      </c>
      <c r="D800" t="s">
        <v>2346</v>
      </c>
      <c r="E800" t="s">
        <v>2344</v>
      </c>
      <c r="F800" t="s">
        <v>2344</v>
      </c>
      <c r="G800">
        <v>0</v>
      </c>
      <c r="H800" t="s">
        <v>2344</v>
      </c>
      <c r="I800" t="str">
        <f t="shared" si="25"/>
        <v>Over weight</v>
      </c>
      <c r="J800" t="str">
        <f t="shared" si="26"/>
        <v>Diabetes</v>
      </c>
    </row>
    <row r="801" spans="1:10" x14ac:dyDescent="0.35">
      <c r="A801" t="s">
        <v>801</v>
      </c>
      <c r="B801">
        <v>34.56</v>
      </c>
      <c r="C801">
        <v>5.84</v>
      </c>
      <c r="D801" t="s">
        <v>2346</v>
      </c>
      <c r="E801" t="s">
        <v>2344</v>
      </c>
      <c r="F801" t="s">
        <v>2346</v>
      </c>
      <c r="G801">
        <v>1</v>
      </c>
      <c r="H801" t="s">
        <v>2344</v>
      </c>
      <c r="I801" t="str">
        <f t="shared" si="25"/>
        <v>Obesity</v>
      </c>
      <c r="J801" t="str">
        <f t="shared" si="26"/>
        <v>Prediabetes</v>
      </c>
    </row>
    <row r="802" spans="1:10" x14ac:dyDescent="0.35">
      <c r="A802" t="s">
        <v>802</v>
      </c>
      <c r="B802">
        <v>28.2</v>
      </c>
      <c r="C802">
        <v>7.19</v>
      </c>
      <c r="D802" t="s">
        <v>2346</v>
      </c>
      <c r="E802" t="s">
        <v>2344</v>
      </c>
      <c r="F802" t="s">
        <v>2344</v>
      </c>
      <c r="G802">
        <v>1</v>
      </c>
      <c r="H802" t="s">
        <v>2344</v>
      </c>
      <c r="I802" t="str">
        <f t="shared" si="25"/>
        <v>Over weight</v>
      </c>
      <c r="J802" t="str">
        <f t="shared" si="26"/>
        <v>Diabetes</v>
      </c>
    </row>
    <row r="803" spans="1:10" x14ac:dyDescent="0.35">
      <c r="A803" t="s">
        <v>803</v>
      </c>
      <c r="B803">
        <v>30.43</v>
      </c>
      <c r="C803">
        <v>9.39</v>
      </c>
      <c r="D803" t="s">
        <v>2344</v>
      </c>
      <c r="E803" t="s">
        <v>2344</v>
      </c>
      <c r="F803" t="s">
        <v>2344</v>
      </c>
      <c r="G803">
        <v>0</v>
      </c>
      <c r="H803" t="s">
        <v>2344</v>
      </c>
      <c r="I803" t="str">
        <f t="shared" si="25"/>
        <v>Obesity</v>
      </c>
      <c r="J803" t="str">
        <f t="shared" si="26"/>
        <v>Diabetes</v>
      </c>
    </row>
    <row r="804" spans="1:10" x14ac:dyDescent="0.35">
      <c r="A804" t="s">
        <v>804</v>
      </c>
      <c r="B804">
        <v>32.395000000000003</v>
      </c>
      <c r="C804">
        <v>4.2699999999999996</v>
      </c>
      <c r="D804" t="s">
        <v>2346</v>
      </c>
      <c r="E804" t="s">
        <v>2344</v>
      </c>
      <c r="F804" t="s">
        <v>2344</v>
      </c>
      <c r="G804">
        <v>1</v>
      </c>
      <c r="H804" t="s">
        <v>2344</v>
      </c>
      <c r="I804" t="str">
        <f t="shared" si="25"/>
        <v>Obesity</v>
      </c>
      <c r="J804" t="str">
        <f t="shared" si="26"/>
        <v>Normal</v>
      </c>
    </row>
    <row r="805" spans="1:10" x14ac:dyDescent="0.35">
      <c r="A805" t="s">
        <v>805</v>
      </c>
      <c r="B805">
        <v>24.035</v>
      </c>
      <c r="C805">
        <v>11.71</v>
      </c>
      <c r="D805" t="s">
        <v>2344</v>
      </c>
      <c r="E805" t="s">
        <v>2344</v>
      </c>
      <c r="F805" t="s">
        <v>2344</v>
      </c>
      <c r="G805">
        <v>0</v>
      </c>
      <c r="H805" t="s">
        <v>2344</v>
      </c>
      <c r="I805" t="str">
        <f t="shared" si="25"/>
        <v>Normal Weight</v>
      </c>
      <c r="J805" t="str">
        <f t="shared" si="26"/>
        <v>Diabetes</v>
      </c>
    </row>
    <row r="806" spans="1:10" x14ac:dyDescent="0.35">
      <c r="A806" t="s">
        <v>806</v>
      </c>
      <c r="B806">
        <v>37.119999999999997</v>
      </c>
      <c r="C806">
        <v>5.29</v>
      </c>
      <c r="D806" t="s">
        <v>2344</v>
      </c>
      <c r="E806" t="s">
        <v>2344</v>
      </c>
      <c r="F806" t="s">
        <v>2344</v>
      </c>
      <c r="G806">
        <v>1</v>
      </c>
      <c r="H806" t="s">
        <v>2344</v>
      </c>
      <c r="I806" t="str">
        <f t="shared" si="25"/>
        <v>Obesity</v>
      </c>
      <c r="J806" t="str">
        <f t="shared" si="26"/>
        <v>Normal</v>
      </c>
    </row>
    <row r="807" spans="1:10" x14ac:dyDescent="0.35">
      <c r="A807" t="s">
        <v>807</v>
      </c>
      <c r="B807">
        <v>34.840000000000003</v>
      </c>
      <c r="C807" t="s">
        <v>2346</v>
      </c>
      <c r="D807" t="s">
        <v>2346</v>
      </c>
      <c r="E807" t="s">
        <v>2344</v>
      </c>
      <c r="F807" t="s">
        <v>2346</v>
      </c>
      <c r="G807">
        <v>1</v>
      </c>
      <c r="H807" t="s">
        <v>2344</v>
      </c>
      <c r="I807" t="str">
        <f t="shared" si="25"/>
        <v>Obesity</v>
      </c>
      <c r="J807" t="str">
        <f t="shared" si="26"/>
        <v>Diabetes</v>
      </c>
    </row>
    <row r="808" spans="1:10" x14ac:dyDescent="0.35">
      <c r="A808" t="s">
        <v>808</v>
      </c>
      <c r="B808">
        <v>29.53</v>
      </c>
      <c r="C808">
        <v>10.64</v>
      </c>
      <c r="D808" t="s">
        <v>2344</v>
      </c>
      <c r="E808" t="s">
        <v>2344</v>
      </c>
      <c r="F808" t="s">
        <v>2344</v>
      </c>
      <c r="G808">
        <v>0</v>
      </c>
      <c r="H808" t="s">
        <v>2344</v>
      </c>
      <c r="I808" t="str">
        <f t="shared" si="25"/>
        <v>Over weight</v>
      </c>
      <c r="J808" t="str">
        <f t="shared" si="26"/>
        <v>Diabetes</v>
      </c>
    </row>
    <row r="809" spans="1:10" x14ac:dyDescent="0.35">
      <c r="A809" t="s">
        <v>809</v>
      </c>
      <c r="B809">
        <v>42.51</v>
      </c>
      <c r="C809">
        <v>8.2100000000000009</v>
      </c>
      <c r="D809" t="s">
        <v>2346</v>
      </c>
      <c r="E809" t="s">
        <v>2344</v>
      </c>
      <c r="F809" t="s">
        <v>2344</v>
      </c>
      <c r="G809">
        <v>0</v>
      </c>
      <c r="H809" t="s">
        <v>2344</v>
      </c>
      <c r="I809" t="str">
        <f t="shared" si="25"/>
        <v>Obesity</v>
      </c>
      <c r="J809" t="str">
        <f t="shared" si="26"/>
        <v>Diabetes</v>
      </c>
    </row>
    <row r="810" spans="1:10" x14ac:dyDescent="0.35">
      <c r="A810" t="s">
        <v>810</v>
      </c>
      <c r="B810">
        <v>38.14</v>
      </c>
      <c r="C810">
        <v>5.58</v>
      </c>
      <c r="D810" t="s">
        <v>2344</v>
      </c>
      <c r="E810" t="s">
        <v>2344</v>
      </c>
      <c r="F810" t="s">
        <v>2346</v>
      </c>
      <c r="G810">
        <v>1</v>
      </c>
      <c r="H810" t="s">
        <v>2344</v>
      </c>
      <c r="I810" t="str">
        <f t="shared" si="25"/>
        <v>Obesity</v>
      </c>
      <c r="J810" t="str">
        <f t="shared" si="26"/>
        <v>Normal</v>
      </c>
    </row>
    <row r="811" spans="1:10" x14ac:dyDescent="0.35">
      <c r="A811" t="s">
        <v>811</v>
      </c>
      <c r="B811">
        <v>39.93</v>
      </c>
      <c r="C811">
        <v>8.75</v>
      </c>
      <c r="D811" t="s">
        <v>2344</v>
      </c>
      <c r="E811" t="s">
        <v>2344</v>
      </c>
      <c r="F811" t="s">
        <v>2344</v>
      </c>
      <c r="G811">
        <v>0</v>
      </c>
      <c r="H811" t="s">
        <v>2344</v>
      </c>
      <c r="I811" t="str">
        <f t="shared" si="25"/>
        <v>Obesity</v>
      </c>
      <c r="J811" t="str">
        <f t="shared" si="26"/>
        <v>Diabetes</v>
      </c>
    </row>
    <row r="812" spans="1:10" x14ac:dyDescent="0.35">
      <c r="A812" t="s">
        <v>812</v>
      </c>
      <c r="B812">
        <v>38.83</v>
      </c>
      <c r="C812">
        <v>11.86</v>
      </c>
      <c r="D812" t="s">
        <v>2344</v>
      </c>
      <c r="E812" t="s">
        <v>2344</v>
      </c>
      <c r="F812" t="s">
        <v>2344</v>
      </c>
      <c r="G812">
        <v>0</v>
      </c>
      <c r="H812" t="s">
        <v>2344</v>
      </c>
      <c r="I812" t="str">
        <f t="shared" si="25"/>
        <v>Obesity</v>
      </c>
      <c r="J812" t="str">
        <f t="shared" si="26"/>
        <v>Diabetes</v>
      </c>
    </row>
    <row r="813" spans="1:10" x14ac:dyDescent="0.35">
      <c r="A813" t="s">
        <v>813</v>
      </c>
      <c r="B813">
        <v>37.4</v>
      </c>
      <c r="C813">
        <v>11.46</v>
      </c>
      <c r="D813" t="s">
        <v>2344</v>
      </c>
      <c r="E813" t="s">
        <v>2344</v>
      </c>
      <c r="F813" t="s">
        <v>2344</v>
      </c>
      <c r="G813">
        <v>0</v>
      </c>
      <c r="H813" t="s">
        <v>2344</v>
      </c>
      <c r="I813" t="str">
        <f t="shared" si="25"/>
        <v>Obesity</v>
      </c>
      <c r="J813" t="str">
        <f t="shared" si="26"/>
        <v>Diabetes</v>
      </c>
    </row>
    <row r="814" spans="1:10" x14ac:dyDescent="0.35">
      <c r="A814" t="s">
        <v>814</v>
      </c>
      <c r="B814">
        <v>21.4</v>
      </c>
      <c r="C814">
        <v>9.0299999999999994</v>
      </c>
      <c r="D814" t="s">
        <v>2344</v>
      </c>
      <c r="E814" t="s">
        <v>2344</v>
      </c>
      <c r="F814" t="s">
        <v>2344</v>
      </c>
      <c r="G814">
        <v>0</v>
      </c>
      <c r="H814" t="s">
        <v>2344</v>
      </c>
      <c r="I814" t="str">
        <f t="shared" si="25"/>
        <v>Normal Weight</v>
      </c>
      <c r="J814" t="str">
        <f t="shared" si="26"/>
        <v>Diabetes</v>
      </c>
    </row>
    <row r="815" spans="1:10" x14ac:dyDescent="0.35">
      <c r="A815" t="s">
        <v>815</v>
      </c>
      <c r="B815">
        <v>38.380000000000003</v>
      </c>
      <c r="C815">
        <v>8.26</v>
      </c>
      <c r="D815" t="s">
        <v>2346</v>
      </c>
      <c r="E815" t="s">
        <v>2344</v>
      </c>
      <c r="F815" t="s">
        <v>2344</v>
      </c>
      <c r="G815">
        <v>1</v>
      </c>
      <c r="H815" t="s">
        <v>2344</v>
      </c>
      <c r="I815" t="str">
        <f t="shared" si="25"/>
        <v>Obesity</v>
      </c>
      <c r="J815" t="str">
        <f t="shared" si="26"/>
        <v>Diabetes</v>
      </c>
    </row>
    <row r="816" spans="1:10" x14ac:dyDescent="0.35">
      <c r="A816" t="s">
        <v>816</v>
      </c>
      <c r="B816">
        <v>33.659999999999997</v>
      </c>
      <c r="C816">
        <v>5.42</v>
      </c>
      <c r="D816" t="s">
        <v>2346</v>
      </c>
      <c r="E816" t="s">
        <v>2344</v>
      </c>
      <c r="F816" t="s">
        <v>2344</v>
      </c>
      <c r="G816">
        <v>1</v>
      </c>
      <c r="H816" t="s">
        <v>2344</v>
      </c>
      <c r="I816" t="str">
        <f t="shared" si="25"/>
        <v>Obesity</v>
      </c>
      <c r="J816" t="str">
        <f t="shared" si="26"/>
        <v>Normal</v>
      </c>
    </row>
    <row r="817" spans="1:10" x14ac:dyDescent="0.35">
      <c r="A817" t="s">
        <v>817</v>
      </c>
      <c r="B817">
        <v>31.79</v>
      </c>
      <c r="C817">
        <v>11.33</v>
      </c>
      <c r="D817" t="s">
        <v>2346</v>
      </c>
      <c r="E817" t="s">
        <v>2344</v>
      </c>
      <c r="F817" t="s">
        <v>2346</v>
      </c>
      <c r="G817">
        <v>1</v>
      </c>
      <c r="H817" t="s">
        <v>2344</v>
      </c>
      <c r="I817" t="str">
        <f t="shared" si="25"/>
        <v>Obesity</v>
      </c>
      <c r="J817" t="str">
        <f t="shared" si="26"/>
        <v>Diabetes</v>
      </c>
    </row>
    <row r="818" spans="1:10" x14ac:dyDescent="0.35">
      <c r="A818" t="s">
        <v>818</v>
      </c>
      <c r="B818">
        <v>29.7</v>
      </c>
      <c r="C818">
        <v>7.69</v>
      </c>
      <c r="D818" t="s">
        <v>2346</v>
      </c>
      <c r="E818" t="s">
        <v>2344</v>
      </c>
      <c r="F818" t="s">
        <v>2346</v>
      </c>
      <c r="G818">
        <v>1</v>
      </c>
      <c r="H818" t="s">
        <v>2344</v>
      </c>
      <c r="I818" t="str">
        <f t="shared" si="25"/>
        <v>Over weight</v>
      </c>
      <c r="J818" t="str">
        <f t="shared" si="26"/>
        <v>Diabetes</v>
      </c>
    </row>
    <row r="819" spans="1:10" x14ac:dyDescent="0.35">
      <c r="A819" t="s">
        <v>819</v>
      </c>
      <c r="B819">
        <v>25.46</v>
      </c>
      <c r="C819">
        <v>8.77</v>
      </c>
      <c r="D819" t="s">
        <v>2346</v>
      </c>
      <c r="E819" t="s">
        <v>2344</v>
      </c>
      <c r="F819" t="s">
        <v>2346</v>
      </c>
      <c r="G819">
        <v>1</v>
      </c>
      <c r="H819" t="s">
        <v>2344</v>
      </c>
      <c r="I819" t="str">
        <f t="shared" si="25"/>
        <v>Over weight</v>
      </c>
      <c r="J819" t="str">
        <f t="shared" si="26"/>
        <v>Diabetes</v>
      </c>
    </row>
    <row r="820" spans="1:10" x14ac:dyDescent="0.35">
      <c r="A820" t="s">
        <v>820</v>
      </c>
      <c r="B820">
        <v>39.14</v>
      </c>
      <c r="C820">
        <v>4.91</v>
      </c>
      <c r="D820" t="s">
        <v>2344</v>
      </c>
      <c r="E820" t="s">
        <v>2345</v>
      </c>
      <c r="F820" t="s">
        <v>2344</v>
      </c>
      <c r="G820">
        <v>1</v>
      </c>
      <c r="H820" t="s">
        <v>2344</v>
      </c>
      <c r="I820" t="str">
        <f t="shared" si="25"/>
        <v>Obesity</v>
      </c>
      <c r="J820" t="str">
        <f t="shared" si="26"/>
        <v>Normal</v>
      </c>
    </row>
    <row r="821" spans="1:10" x14ac:dyDescent="0.35">
      <c r="A821" t="s">
        <v>821</v>
      </c>
      <c r="B821">
        <v>41.2</v>
      </c>
      <c r="C821">
        <v>4.95</v>
      </c>
      <c r="D821" t="s">
        <v>2344</v>
      </c>
      <c r="E821" t="s">
        <v>2344</v>
      </c>
      <c r="F821" t="s">
        <v>2344</v>
      </c>
      <c r="G821">
        <v>1</v>
      </c>
      <c r="H821" t="s">
        <v>2344</v>
      </c>
      <c r="I821" t="str">
        <f t="shared" si="25"/>
        <v>Obesity</v>
      </c>
      <c r="J821" t="str">
        <f t="shared" si="26"/>
        <v>Normal</v>
      </c>
    </row>
    <row r="822" spans="1:10" x14ac:dyDescent="0.35">
      <c r="A822" t="s">
        <v>822</v>
      </c>
      <c r="B822">
        <v>28.81</v>
      </c>
      <c r="C822">
        <v>10.8</v>
      </c>
      <c r="D822" t="s">
        <v>2346</v>
      </c>
      <c r="E822" t="s">
        <v>2344</v>
      </c>
      <c r="F822" t="s">
        <v>2346</v>
      </c>
      <c r="G822">
        <v>1</v>
      </c>
      <c r="H822" t="s">
        <v>2344</v>
      </c>
      <c r="I822" t="str">
        <f t="shared" si="25"/>
        <v>Over weight</v>
      </c>
      <c r="J822" t="str">
        <f t="shared" si="26"/>
        <v>Diabetes</v>
      </c>
    </row>
    <row r="823" spans="1:10" x14ac:dyDescent="0.35">
      <c r="A823" t="s">
        <v>823</v>
      </c>
      <c r="B823">
        <v>37.409999999999997</v>
      </c>
      <c r="C823">
        <v>7.21</v>
      </c>
      <c r="D823" t="s">
        <v>2344</v>
      </c>
      <c r="E823" t="s">
        <v>2344</v>
      </c>
      <c r="F823" t="s">
        <v>2344</v>
      </c>
      <c r="G823">
        <v>1</v>
      </c>
      <c r="H823" t="s">
        <v>2344</v>
      </c>
      <c r="I823" t="str">
        <f t="shared" si="25"/>
        <v>Obesity</v>
      </c>
      <c r="J823" t="str">
        <f t="shared" si="26"/>
        <v>Diabetes</v>
      </c>
    </row>
    <row r="824" spans="1:10" x14ac:dyDescent="0.35">
      <c r="A824" t="s">
        <v>824</v>
      </c>
      <c r="B824">
        <v>52.54</v>
      </c>
      <c r="C824">
        <v>5.12</v>
      </c>
      <c r="D824" t="s">
        <v>2344</v>
      </c>
      <c r="E824" t="s">
        <v>2344</v>
      </c>
      <c r="F824" t="s">
        <v>2346</v>
      </c>
      <c r="G824">
        <v>1</v>
      </c>
      <c r="H824" t="s">
        <v>2344</v>
      </c>
      <c r="I824" t="str">
        <f t="shared" si="25"/>
        <v>Obesity</v>
      </c>
      <c r="J824" t="str">
        <f t="shared" si="26"/>
        <v>Normal</v>
      </c>
    </row>
    <row r="825" spans="1:10" x14ac:dyDescent="0.35">
      <c r="A825" t="s">
        <v>825</v>
      </c>
      <c r="B825">
        <v>17.29</v>
      </c>
      <c r="C825">
        <v>4.62</v>
      </c>
      <c r="D825" t="s">
        <v>2344</v>
      </c>
      <c r="E825" t="s">
        <v>2345</v>
      </c>
      <c r="F825" t="s">
        <v>2344</v>
      </c>
      <c r="G825">
        <v>1</v>
      </c>
      <c r="H825" t="s">
        <v>2346</v>
      </c>
      <c r="I825" t="str">
        <f t="shared" si="25"/>
        <v>Under Weight</v>
      </c>
      <c r="J825" t="str">
        <f t="shared" si="26"/>
        <v>Normal</v>
      </c>
    </row>
    <row r="826" spans="1:10" x14ac:dyDescent="0.35">
      <c r="A826" t="s">
        <v>826</v>
      </c>
      <c r="B826">
        <v>31.74</v>
      </c>
      <c r="C826">
        <v>7.68</v>
      </c>
      <c r="D826" t="s">
        <v>2346</v>
      </c>
      <c r="E826" t="s">
        <v>2344</v>
      </c>
      <c r="F826" t="s">
        <v>2344</v>
      </c>
      <c r="G826">
        <v>0</v>
      </c>
      <c r="H826" t="s">
        <v>2344</v>
      </c>
      <c r="I826" t="str">
        <f t="shared" si="25"/>
        <v>Obesity</v>
      </c>
      <c r="J826" t="str">
        <f t="shared" si="26"/>
        <v>Diabetes</v>
      </c>
    </row>
    <row r="827" spans="1:10" x14ac:dyDescent="0.35">
      <c r="A827" t="s">
        <v>827</v>
      </c>
      <c r="B827">
        <v>26.504999999999999</v>
      </c>
      <c r="C827">
        <v>6.79</v>
      </c>
      <c r="D827" t="s">
        <v>2346</v>
      </c>
      <c r="E827" t="s">
        <v>2344</v>
      </c>
      <c r="F827" t="s">
        <v>2346</v>
      </c>
      <c r="G827">
        <v>1</v>
      </c>
      <c r="H827" t="s">
        <v>2344</v>
      </c>
      <c r="I827" t="str">
        <f t="shared" si="25"/>
        <v>Over weight</v>
      </c>
      <c r="J827" t="str">
        <f t="shared" si="26"/>
        <v>Diabetes</v>
      </c>
    </row>
    <row r="828" spans="1:10" x14ac:dyDescent="0.35">
      <c r="A828" t="s">
        <v>828</v>
      </c>
      <c r="B828">
        <v>36.479999999999997</v>
      </c>
      <c r="C828">
        <v>11.09</v>
      </c>
      <c r="D828" t="s">
        <v>2344</v>
      </c>
      <c r="E828" t="s">
        <v>2344</v>
      </c>
      <c r="F828" t="s">
        <v>2344</v>
      </c>
      <c r="G828">
        <v>0</v>
      </c>
      <c r="H828" t="s">
        <v>2344</v>
      </c>
      <c r="I828" t="str">
        <f t="shared" si="25"/>
        <v>Obesity</v>
      </c>
      <c r="J828" t="str">
        <f t="shared" si="26"/>
        <v>Diabetes</v>
      </c>
    </row>
    <row r="829" spans="1:10" x14ac:dyDescent="0.35">
      <c r="A829" t="s">
        <v>829</v>
      </c>
      <c r="B829">
        <v>39.159999999999997</v>
      </c>
      <c r="C829">
        <v>5.24</v>
      </c>
      <c r="D829" t="s">
        <v>2346</v>
      </c>
      <c r="E829" t="s">
        <v>2344</v>
      </c>
      <c r="F829" t="s">
        <v>2346</v>
      </c>
      <c r="G829">
        <v>1</v>
      </c>
      <c r="H829" t="s">
        <v>2344</v>
      </c>
      <c r="I829" t="str">
        <f t="shared" si="25"/>
        <v>Obesity</v>
      </c>
      <c r="J829" t="str">
        <f t="shared" si="26"/>
        <v>Normal</v>
      </c>
    </row>
    <row r="830" spans="1:10" x14ac:dyDescent="0.35">
      <c r="A830" t="s">
        <v>830</v>
      </c>
      <c r="B830">
        <v>28.22</v>
      </c>
      <c r="C830">
        <v>7.51</v>
      </c>
      <c r="D830" t="s">
        <v>2346</v>
      </c>
      <c r="E830" t="s">
        <v>2344</v>
      </c>
      <c r="F830" t="s">
        <v>2346</v>
      </c>
      <c r="G830">
        <v>1</v>
      </c>
      <c r="H830" t="s">
        <v>2344</v>
      </c>
      <c r="I830" t="str">
        <f t="shared" si="25"/>
        <v>Over weight</v>
      </c>
      <c r="J830" t="str">
        <f t="shared" si="26"/>
        <v>Diabetes</v>
      </c>
    </row>
    <row r="831" spans="1:10" x14ac:dyDescent="0.35">
      <c r="A831" t="s">
        <v>831</v>
      </c>
      <c r="B831">
        <v>35</v>
      </c>
      <c r="C831">
        <v>4.13</v>
      </c>
      <c r="D831" t="s">
        <v>2344</v>
      </c>
      <c r="E831" t="s">
        <v>2344</v>
      </c>
      <c r="F831" t="s">
        <v>2344</v>
      </c>
      <c r="G831">
        <v>1</v>
      </c>
      <c r="H831" t="s">
        <v>2344</v>
      </c>
      <c r="I831" t="str">
        <f t="shared" si="25"/>
        <v>Obesity</v>
      </c>
      <c r="J831" t="str">
        <f t="shared" si="26"/>
        <v>Normal</v>
      </c>
    </row>
    <row r="832" spans="1:10" x14ac:dyDescent="0.35">
      <c r="A832" t="s">
        <v>832</v>
      </c>
      <c r="B832">
        <v>36.24</v>
      </c>
      <c r="C832">
        <v>8.3800000000000008</v>
      </c>
      <c r="D832" t="s">
        <v>2346</v>
      </c>
      <c r="E832" t="s">
        <v>2344</v>
      </c>
      <c r="F832" t="s">
        <v>2344</v>
      </c>
      <c r="G832">
        <v>1</v>
      </c>
      <c r="H832" t="s">
        <v>2344</v>
      </c>
      <c r="I832" t="str">
        <f t="shared" si="25"/>
        <v>Obesity</v>
      </c>
      <c r="J832" t="str">
        <f t="shared" si="26"/>
        <v>Diabetes</v>
      </c>
    </row>
    <row r="833" spans="1:10" x14ac:dyDescent="0.35">
      <c r="A833" t="s">
        <v>833</v>
      </c>
      <c r="B833">
        <v>36.954999999999998</v>
      </c>
      <c r="C833">
        <v>8.07</v>
      </c>
      <c r="D833" t="s">
        <v>2344</v>
      </c>
      <c r="E833" t="s">
        <v>2344</v>
      </c>
      <c r="F833" t="s">
        <v>2344</v>
      </c>
      <c r="G833">
        <v>0</v>
      </c>
      <c r="H833" t="s">
        <v>2344</v>
      </c>
      <c r="I833" t="str">
        <f t="shared" si="25"/>
        <v>Obesity</v>
      </c>
      <c r="J833" t="str">
        <f t="shared" si="26"/>
        <v>Diabetes</v>
      </c>
    </row>
    <row r="834" spans="1:10" x14ac:dyDescent="0.35">
      <c r="A834" t="s">
        <v>834</v>
      </c>
      <c r="B834">
        <v>29.64</v>
      </c>
      <c r="C834">
        <v>8.9499999999999993</v>
      </c>
      <c r="D834" t="s">
        <v>2344</v>
      </c>
      <c r="E834" t="s">
        <v>2344</v>
      </c>
      <c r="F834" t="s">
        <v>2344</v>
      </c>
      <c r="G834">
        <v>0</v>
      </c>
      <c r="H834" t="s">
        <v>2344</v>
      </c>
      <c r="I834" t="str">
        <f t="shared" si="25"/>
        <v>Over weight</v>
      </c>
      <c r="J834" t="str">
        <f t="shared" si="26"/>
        <v>Diabetes</v>
      </c>
    </row>
    <row r="835" spans="1:10" x14ac:dyDescent="0.35">
      <c r="A835" t="s">
        <v>835</v>
      </c>
      <c r="B835">
        <v>42.74</v>
      </c>
      <c r="C835">
        <v>6.31</v>
      </c>
      <c r="D835" t="s">
        <v>2346</v>
      </c>
      <c r="E835" t="s">
        <v>2344</v>
      </c>
      <c r="F835" t="s">
        <v>2344</v>
      </c>
      <c r="G835">
        <v>1</v>
      </c>
      <c r="H835" t="s">
        <v>2344</v>
      </c>
      <c r="I835" t="str">
        <f t="shared" ref="I835:I898" si="27">IF(B835&lt;18.5,"Under Weight",IF(B835&lt;25,"Normal Weight",IF(B835&lt;30,"Over weight","Obesity")))</f>
        <v>Obesity</v>
      </c>
      <c r="J835" t="str">
        <f t="shared" si="26"/>
        <v>Prediabetes</v>
      </c>
    </row>
    <row r="836" spans="1:10" x14ac:dyDescent="0.35">
      <c r="A836" t="s">
        <v>836</v>
      </c>
      <c r="B836">
        <v>36.130000000000003</v>
      </c>
      <c r="C836">
        <v>7.19</v>
      </c>
      <c r="D836" t="s">
        <v>2346</v>
      </c>
      <c r="E836" t="s">
        <v>2344</v>
      </c>
      <c r="F836" t="s">
        <v>2344</v>
      </c>
      <c r="G836">
        <v>1</v>
      </c>
      <c r="H836" t="s">
        <v>2344</v>
      </c>
      <c r="I836" t="str">
        <f t="shared" si="27"/>
        <v>Obesity</v>
      </c>
      <c r="J836" t="str">
        <f t="shared" si="26"/>
        <v>Diabetes</v>
      </c>
    </row>
    <row r="837" spans="1:10" x14ac:dyDescent="0.35">
      <c r="A837" t="s">
        <v>837</v>
      </c>
      <c r="B837">
        <v>31.55</v>
      </c>
      <c r="C837">
        <v>6.11</v>
      </c>
      <c r="D837" t="s">
        <v>2346</v>
      </c>
      <c r="E837" t="s">
        <v>2344</v>
      </c>
      <c r="F837" t="s">
        <v>2344</v>
      </c>
      <c r="G837">
        <v>1</v>
      </c>
      <c r="H837" t="s">
        <v>2344</v>
      </c>
      <c r="I837" t="str">
        <f t="shared" si="27"/>
        <v>Obesity</v>
      </c>
      <c r="J837" t="str">
        <f t="shared" si="26"/>
        <v>Prediabetes</v>
      </c>
    </row>
    <row r="838" spans="1:10" x14ac:dyDescent="0.35">
      <c r="A838" t="s">
        <v>838</v>
      </c>
      <c r="B838">
        <v>52.75</v>
      </c>
      <c r="C838">
        <v>6.02</v>
      </c>
      <c r="D838" t="s">
        <v>2344</v>
      </c>
      <c r="E838" t="s">
        <v>2344</v>
      </c>
      <c r="F838" t="s">
        <v>2344</v>
      </c>
      <c r="G838">
        <v>1</v>
      </c>
      <c r="H838" t="s">
        <v>2344</v>
      </c>
      <c r="I838" t="str">
        <f t="shared" si="27"/>
        <v>Obesity</v>
      </c>
      <c r="J838" t="str">
        <f t="shared" si="26"/>
        <v>Prediabetes</v>
      </c>
    </row>
    <row r="839" spans="1:10" x14ac:dyDescent="0.35">
      <c r="A839" t="s">
        <v>839</v>
      </c>
      <c r="B839">
        <v>36.67</v>
      </c>
      <c r="C839">
        <v>11.86</v>
      </c>
      <c r="D839" t="s">
        <v>2344</v>
      </c>
      <c r="E839" t="s">
        <v>2344</v>
      </c>
      <c r="F839" t="s">
        <v>2344</v>
      </c>
      <c r="G839">
        <v>0</v>
      </c>
      <c r="H839" t="s">
        <v>2344</v>
      </c>
      <c r="I839" t="str">
        <f t="shared" si="27"/>
        <v>Obesity</v>
      </c>
      <c r="J839" t="str">
        <f t="shared" si="26"/>
        <v>Diabetes</v>
      </c>
    </row>
    <row r="840" spans="1:10" x14ac:dyDescent="0.35">
      <c r="A840" t="s">
        <v>840</v>
      </c>
      <c r="B840">
        <v>38.06</v>
      </c>
      <c r="C840">
        <v>8.25</v>
      </c>
      <c r="D840" t="s">
        <v>2344</v>
      </c>
      <c r="E840" t="s">
        <v>2344</v>
      </c>
      <c r="F840" t="s">
        <v>2344</v>
      </c>
      <c r="G840">
        <v>0</v>
      </c>
      <c r="H840" t="s">
        <v>2344</v>
      </c>
      <c r="I840" t="str">
        <f t="shared" si="27"/>
        <v>Obesity</v>
      </c>
      <c r="J840" t="str">
        <f t="shared" si="26"/>
        <v>Diabetes</v>
      </c>
    </row>
    <row r="841" spans="1:10" x14ac:dyDescent="0.35">
      <c r="A841" t="s">
        <v>841</v>
      </c>
      <c r="B841">
        <v>38</v>
      </c>
      <c r="C841">
        <v>8.1300000000000008</v>
      </c>
      <c r="D841" t="s">
        <v>2344</v>
      </c>
      <c r="E841" t="s">
        <v>2344</v>
      </c>
      <c r="F841" t="s">
        <v>2344</v>
      </c>
      <c r="G841">
        <v>0</v>
      </c>
      <c r="H841" t="s">
        <v>2344</v>
      </c>
      <c r="I841" t="str">
        <f t="shared" si="27"/>
        <v>Obesity</v>
      </c>
      <c r="J841" t="str">
        <f t="shared" si="26"/>
        <v>Diabetes</v>
      </c>
    </row>
    <row r="842" spans="1:10" x14ac:dyDescent="0.35">
      <c r="A842" t="s">
        <v>842</v>
      </c>
      <c r="B842">
        <v>35.1</v>
      </c>
      <c r="C842">
        <v>10.1</v>
      </c>
      <c r="D842" t="s">
        <v>2344</v>
      </c>
      <c r="E842" t="s">
        <v>2344</v>
      </c>
      <c r="F842" t="s">
        <v>2344</v>
      </c>
      <c r="G842">
        <v>0</v>
      </c>
      <c r="H842" t="s">
        <v>2344</v>
      </c>
      <c r="I842" t="str">
        <f t="shared" si="27"/>
        <v>Obesity</v>
      </c>
      <c r="J842" t="str">
        <f t="shared" si="26"/>
        <v>Diabetes</v>
      </c>
    </row>
    <row r="843" spans="1:10" x14ac:dyDescent="0.35">
      <c r="A843" t="s">
        <v>843</v>
      </c>
      <c r="B843">
        <v>33.82</v>
      </c>
      <c r="C843">
        <v>5.89</v>
      </c>
      <c r="D843" t="s">
        <v>2346</v>
      </c>
      <c r="E843" t="s">
        <v>2344</v>
      </c>
      <c r="F843" t="s">
        <v>2344</v>
      </c>
      <c r="G843">
        <v>1</v>
      </c>
      <c r="H843" t="s">
        <v>2344</v>
      </c>
      <c r="I843" t="str">
        <f t="shared" si="27"/>
        <v>Obesity</v>
      </c>
      <c r="J843" t="str">
        <f t="shared" si="26"/>
        <v>Prediabetes</v>
      </c>
    </row>
    <row r="844" spans="1:10" x14ac:dyDescent="0.35">
      <c r="A844" t="s">
        <v>844</v>
      </c>
      <c r="B844">
        <v>37.43</v>
      </c>
      <c r="C844">
        <v>4.97</v>
      </c>
      <c r="D844" t="s">
        <v>2344</v>
      </c>
      <c r="E844" t="s">
        <v>2344</v>
      </c>
      <c r="F844" t="s">
        <v>2344</v>
      </c>
      <c r="G844">
        <v>1</v>
      </c>
      <c r="H844" t="s">
        <v>2344</v>
      </c>
      <c r="I844" t="str">
        <f t="shared" si="27"/>
        <v>Obesity</v>
      </c>
      <c r="J844" t="str">
        <f t="shared" ref="J844:J907" si="28">IF(C844&lt;5.7,"Normal",IF(C844&lt;6.5,"Prediabetes","Diabetes"))</f>
        <v>Normal</v>
      </c>
    </row>
    <row r="845" spans="1:10" x14ac:dyDescent="0.35">
      <c r="A845" t="s">
        <v>845</v>
      </c>
      <c r="B845">
        <v>30.5</v>
      </c>
      <c r="C845">
        <v>9.9</v>
      </c>
      <c r="D845" t="s">
        <v>2344</v>
      </c>
      <c r="E845" t="s">
        <v>2344</v>
      </c>
      <c r="F845" t="s">
        <v>2344</v>
      </c>
      <c r="G845">
        <v>0</v>
      </c>
      <c r="H845" t="s">
        <v>2344</v>
      </c>
      <c r="I845" t="str">
        <f t="shared" si="27"/>
        <v>Obesity</v>
      </c>
      <c r="J845" t="str">
        <f t="shared" si="28"/>
        <v>Diabetes</v>
      </c>
    </row>
    <row r="846" spans="1:10" x14ac:dyDescent="0.35">
      <c r="A846" t="s">
        <v>846</v>
      </c>
      <c r="B846">
        <v>24.53</v>
      </c>
      <c r="C846">
        <v>9.0500000000000007</v>
      </c>
      <c r="D846" t="s">
        <v>2344</v>
      </c>
      <c r="E846" t="s">
        <v>2344</v>
      </c>
      <c r="F846" t="s">
        <v>2344</v>
      </c>
      <c r="G846">
        <v>0</v>
      </c>
      <c r="H846" t="s">
        <v>2344</v>
      </c>
      <c r="I846" t="str">
        <f t="shared" si="27"/>
        <v>Normal Weight</v>
      </c>
      <c r="J846" t="str">
        <f t="shared" si="28"/>
        <v>Diabetes</v>
      </c>
    </row>
    <row r="847" spans="1:10" x14ac:dyDescent="0.35">
      <c r="A847" t="s">
        <v>847</v>
      </c>
      <c r="B847">
        <v>25.74</v>
      </c>
      <c r="C847">
        <v>10.93</v>
      </c>
      <c r="D847" t="s">
        <v>2344</v>
      </c>
      <c r="E847" t="s">
        <v>2344</v>
      </c>
      <c r="F847" t="s">
        <v>2344</v>
      </c>
      <c r="G847">
        <v>0</v>
      </c>
      <c r="H847" t="s">
        <v>2344</v>
      </c>
      <c r="I847" t="str">
        <f t="shared" si="27"/>
        <v>Over weight</v>
      </c>
      <c r="J847" t="str">
        <f t="shared" si="28"/>
        <v>Diabetes</v>
      </c>
    </row>
    <row r="848" spans="1:10" x14ac:dyDescent="0.35">
      <c r="A848" t="s">
        <v>848</v>
      </c>
      <c r="B848">
        <v>34.08</v>
      </c>
      <c r="C848">
        <v>7.58</v>
      </c>
      <c r="D848" t="s">
        <v>2346</v>
      </c>
      <c r="E848" t="s">
        <v>2344</v>
      </c>
      <c r="F848" t="s">
        <v>2344</v>
      </c>
      <c r="G848">
        <v>1</v>
      </c>
      <c r="H848" t="s">
        <v>2344</v>
      </c>
      <c r="I848" t="str">
        <f t="shared" si="27"/>
        <v>Obesity</v>
      </c>
      <c r="J848" t="str">
        <f t="shared" si="28"/>
        <v>Diabetes</v>
      </c>
    </row>
    <row r="849" spans="1:10" x14ac:dyDescent="0.35">
      <c r="A849" t="s">
        <v>849</v>
      </c>
      <c r="B849">
        <v>31.35</v>
      </c>
      <c r="C849">
        <v>11</v>
      </c>
      <c r="D849" t="s">
        <v>2346</v>
      </c>
      <c r="E849" t="s">
        <v>2344</v>
      </c>
      <c r="F849" t="s">
        <v>2346</v>
      </c>
      <c r="G849">
        <v>1</v>
      </c>
      <c r="H849" t="s">
        <v>2344</v>
      </c>
      <c r="I849" t="str">
        <f t="shared" si="27"/>
        <v>Obesity</v>
      </c>
      <c r="J849" t="str">
        <f t="shared" si="28"/>
        <v>Diabetes</v>
      </c>
    </row>
    <row r="850" spans="1:10" x14ac:dyDescent="0.35">
      <c r="A850" t="s">
        <v>850</v>
      </c>
      <c r="B850">
        <v>26.79</v>
      </c>
      <c r="C850">
        <v>5.0599999999999996</v>
      </c>
      <c r="D850" t="s">
        <v>2344</v>
      </c>
      <c r="E850" t="s">
        <v>2344</v>
      </c>
      <c r="F850" t="s">
        <v>2344</v>
      </c>
      <c r="G850">
        <v>1</v>
      </c>
      <c r="H850" t="s">
        <v>2344</v>
      </c>
      <c r="I850" t="str">
        <f t="shared" si="27"/>
        <v>Over weight</v>
      </c>
      <c r="J850" t="str">
        <f t="shared" si="28"/>
        <v>Normal</v>
      </c>
    </row>
    <row r="851" spans="1:10" x14ac:dyDescent="0.35">
      <c r="A851" t="s">
        <v>851</v>
      </c>
      <c r="B851">
        <v>42.78</v>
      </c>
      <c r="C851">
        <v>6.11</v>
      </c>
      <c r="D851" t="s">
        <v>2346</v>
      </c>
      <c r="E851" t="s">
        <v>2344</v>
      </c>
      <c r="F851" t="s">
        <v>2344</v>
      </c>
      <c r="G851">
        <v>1</v>
      </c>
      <c r="H851" t="s">
        <v>2344</v>
      </c>
      <c r="I851" t="str">
        <f t="shared" si="27"/>
        <v>Obesity</v>
      </c>
      <c r="J851" t="str">
        <f t="shared" si="28"/>
        <v>Prediabetes</v>
      </c>
    </row>
    <row r="852" spans="1:10" x14ac:dyDescent="0.35">
      <c r="A852" t="s">
        <v>852</v>
      </c>
      <c r="B852">
        <v>46.75</v>
      </c>
      <c r="C852">
        <v>6.66</v>
      </c>
      <c r="D852" t="s">
        <v>2346</v>
      </c>
      <c r="E852" t="s">
        <v>2344</v>
      </c>
      <c r="F852" t="s">
        <v>2344</v>
      </c>
      <c r="G852">
        <v>1</v>
      </c>
      <c r="H852" t="s">
        <v>2344</v>
      </c>
      <c r="I852" t="str">
        <f t="shared" si="27"/>
        <v>Obesity</v>
      </c>
      <c r="J852" t="str">
        <f t="shared" si="28"/>
        <v>Diabetes</v>
      </c>
    </row>
    <row r="853" spans="1:10" x14ac:dyDescent="0.35">
      <c r="A853" t="s">
        <v>853</v>
      </c>
      <c r="B853">
        <v>32.15</v>
      </c>
      <c r="C853">
        <v>4.0199999999999996</v>
      </c>
      <c r="D853" t="s">
        <v>2346</v>
      </c>
      <c r="E853" t="s">
        <v>2344</v>
      </c>
      <c r="F853" t="s">
        <v>2346</v>
      </c>
      <c r="G853">
        <v>1</v>
      </c>
      <c r="H853" t="s">
        <v>2344</v>
      </c>
      <c r="I853" t="str">
        <f t="shared" si="27"/>
        <v>Obesity</v>
      </c>
      <c r="J853" t="str">
        <f t="shared" si="28"/>
        <v>Normal</v>
      </c>
    </row>
    <row r="854" spans="1:10" x14ac:dyDescent="0.35">
      <c r="A854" t="s">
        <v>854</v>
      </c>
      <c r="B854">
        <v>43.4</v>
      </c>
      <c r="C854">
        <v>8.81</v>
      </c>
      <c r="D854" t="s">
        <v>2346</v>
      </c>
      <c r="E854" t="s">
        <v>2344</v>
      </c>
      <c r="F854" t="s">
        <v>2344</v>
      </c>
      <c r="G854">
        <v>1</v>
      </c>
      <c r="H854" t="s">
        <v>2344</v>
      </c>
      <c r="I854" t="str">
        <f t="shared" si="27"/>
        <v>Obesity</v>
      </c>
      <c r="J854" t="str">
        <f t="shared" si="28"/>
        <v>Diabetes</v>
      </c>
    </row>
    <row r="855" spans="1:10" x14ac:dyDescent="0.35">
      <c r="A855" t="s">
        <v>855</v>
      </c>
      <c r="B855">
        <v>31.57</v>
      </c>
      <c r="C855">
        <v>7.92</v>
      </c>
      <c r="D855" t="s">
        <v>2346</v>
      </c>
      <c r="E855" t="s">
        <v>2344</v>
      </c>
      <c r="F855" t="s">
        <v>2344</v>
      </c>
      <c r="G855">
        <v>1</v>
      </c>
      <c r="H855" t="s">
        <v>2344</v>
      </c>
      <c r="I855" t="str">
        <f t="shared" si="27"/>
        <v>Obesity</v>
      </c>
      <c r="J855" t="str">
        <f t="shared" si="28"/>
        <v>Diabetes</v>
      </c>
    </row>
    <row r="856" spans="1:10" x14ac:dyDescent="0.35">
      <c r="A856" t="s">
        <v>856</v>
      </c>
      <c r="B856">
        <v>24.32</v>
      </c>
      <c r="C856">
        <v>7.48</v>
      </c>
      <c r="D856" t="s">
        <v>2344</v>
      </c>
      <c r="E856" t="s">
        <v>2344</v>
      </c>
      <c r="F856" t="s">
        <v>2344</v>
      </c>
      <c r="G856">
        <v>0</v>
      </c>
      <c r="H856" t="s">
        <v>2344</v>
      </c>
      <c r="I856" t="str">
        <f t="shared" si="27"/>
        <v>Normal Weight</v>
      </c>
      <c r="J856" t="str">
        <f t="shared" si="28"/>
        <v>Diabetes</v>
      </c>
    </row>
    <row r="857" spans="1:10" x14ac:dyDescent="0.35">
      <c r="A857" t="s">
        <v>857</v>
      </c>
      <c r="B857">
        <v>31.07</v>
      </c>
      <c r="C857">
        <v>4.62</v>
      </c>
      <c r="D857" t="s">
        <v>2346</v>
      </c>
      <c r="E857" t="s">
        <v>2344</v>
      </c>
      <c r="F857" t="s">
        <v>2344</v>
      </c>
      <c r="G857">
        <v>1</v>
      </c>
      <c r="H857" t="s">
        <v>2344</v>
      </c>
      <c r="I857" t="str">
        <f t="shared" si="27"/>
        <v>Obesity</v>
      </c>
      <c r="J857" t="str">
        <f t="shared" si="28"/>
        <v>Normal</v>
      </c>
    </row>
    <row r="858" spans="1:10" x14ac:dyDescent="0.35">
      <c r="A858" t="s">
        <v>858</v>
      </c>
      <c r="B858">
        <v>35.814999999999998</v>
      </c>
      <c r="C858">
        <v>8.4700000000000006</v>
      </c>
      <c r="D858" t="s">
        <v>2344</v>
      </c>
      <c r="E858" t="s">
        <v>2344</v>
      </c>
      <c r="F858" t="s">
        <v>2344</v>
      </c>
      <c r="G858">
        <v>0</v>
      </c>
      <c r="H858" t="s">
        <v>2344</v>
      </c>
      <c r="I858" t="str">
        <f t="shared" si="27"/>
        <v>Obesity</v>
      </c>
      <c r="J858" t="str">
        <f t="shared" si="28"/>
        <v>Diabetes</v>
      </c>
    </row>
    <row r="859" spans="1:10" x14ac:dyDescent="0.35">
      <c r="A859" t="s">
        <v>859</v>
      </c>
      <c r="B859">
        <v>40.81</v>
      </c>
      <c r="C859">
        <v>10.58</v>
      </c>
      <c r="D859" t="s">
        <v>2346</v>
      </c>
      <c r="E859" t="s">
        <v>2344</v>
      </c>
      <c r="F859" t="s">
        <v>2344</v>
      </c>
      <c r="G859">
        <v>0</v>
      </c>
      <c r="H859" t="s">
        <v>2344</v>
      </c>
      <c r="I859" t="str">
        <f t="shared" si="27"/>
        <v>Obesity</v>
      </c>
      <c r="J859" t="str">
        <f t="shared" si="28"/>
        <v>Diabetes</v>
      </c>
    </row>
    <row r="860" spans="1:10" x14ac:dyDescent="0.35">
      <c r="A860" t="s">
        <v>860</v>
      </c>
      <c r="B860">
        <v>24.605</v>
      </c>
      <c r="C860">
        <v>7.48</v>
      </c>
      <c r="D860" t="s">
        <v>2344</v>
      </c>
      <c r="E860" t="s">
        <v>2344</v>
      </c>
      <c r="F860" t="s">
        <v>2344</v>
      </c>
      <c r="G860">
        <v>0</v>
      </c>
      <c r="H860" t="s">
        <v>2344</v>
      </c>
      <c r="I860" t="str">
        <f t="shared" si="27"/>
        <v>Normal Weight</v>
      </c>
      <c r="J860" t="str">
        <f t="shared" si="28"/>
        <v>Diabetes</v>
      </c>
    </row>
    <row r="861" spans="1:10" x14ac:dyDescent="0.35">
      <c r="A861" t="s">
        <v>861</v>
      </c>
      <c r="B861">
        <v>21.47</v>
      </c>
      <c r="C861">
        <v>7.82</v>
      </c>
      <c r="D861" t="s">
        <v>2344</v>
      </c>
      <c r="E861" t="s">
        <v>2344</v>
      </c>
      <c r="F861" t="s">
        <v>2344</v>
      </c>
      <c r="G861">
        <v>0</v>
      </c>
      <c r="H861" t="s">
        <v>2344</v>
      </c>
      <c r="I861" t="str">
        <f t="shared" si="27"/>
        <v>Normal Weight</v>
      </c>
      <c r="J861" t="str">
        <f t="shared" si="28"/>
        <v>Diabetes</v>
      </c>
    </row>
    <row r="862" spans="1:10" x14ac:dyDescent="0.35">
      <c r="A862" t="s">
        <v>862</v>
      </c>
      <c r="B862">
        <v>52.89</v>
      </c>
      <c r="C862">
        <v>4.96</v>
      </c>
      <c r="D862" t="s">
        <v>2346</v>
      </c>
      <c r="E862" t="s">
        <v>2344</v>
      </c>
      <c r="F862" t="s">
        <v>2344</v>
      </c>
      <c r="G862">
        <v>1</v>
      </c>
      <c r="H862" t="s">
        <v>2344</v>
      </c>
      <c r="I862" t="str">
        <f t="shared" si="27"/>
        <v>Obesity</v>
      </c>
      <c r="J862" t="str">
        <f t="shared" si="28"/>
        <v>Normal</v>
      </c>
    </row>
    <row r="863" spans="1:10" x14ac:dyDescent="0.35">
      <c r="A863" t="s">
        <v>863</v>
      </c>
      <c r="B863">
        <v>32.965000000000003</v>
      </c>
      <c r="C863">
        <v>6.15</v>
      </c>
      <c r="D863" t="s">
        <v>2346</v>
      </c>
      <c r="E863" t="s">
        <v>2344</v>
      </c>
      <c r="F863" t="s">
        <v>2344</v>
      </c>
      <c r="G863">
        <v>1</v>
      </c>
      <c r="H863" t="s">
        <v>2344</v>
      </c>
      <c r="I863" t="str">
        <f t="shared" si="27"/>
        <v>Obesity</v>
      </c>
      <c r="J863" t="str">
        <f t="shared" si="28"/>
        <v>Prediabetes</v>
      </c>
    </row>
    <row r="864" spans="1:10" x14ac:dyDescent="0.35">
      <c r="A864" t="s">
        <v>864</v>
      </c>
      <c r="B864">
        <v>36.799999999999997</v>
      </c>
      <c r="C864">
        <v>4.62</v>
      </c>
      <c r="D864" t="s">
        <v>2344</v>
      </c>
      <c r="E864" t="s">
        <v>2344</v>
      </c>
      <c r="F864" t="s">
        <v>2346</v>
      </c>
      <c r="G864">
        <v>1</v>
      </c>
      <c r="H864" t="s">
        <v>2344</v>
      </c>
      <c r="I864" t="str">
        <f t="shared" si="27"/>
        <v>Obesity</v>
      </c>
      <c r="J864" t="str">
        <f t="shared" si="28"/>
        <v>Normal</v>
      </c>
    </row>
    <row r="865" spans="1:10" x14ac:dyDescent="0.35">
      <c r="A865" t="s">
        <v>865</v>
      </c>
      <c r="B865">
        <v>34.299999999999997</v>
      </c>
      <c r="C865">
        <v>4.87</v>
      </c>
      <c r="D865" t="s">
        <v>2344</v>
      </c>
      <c r="E865" t="s">
        <v>2344</v>
      </c>
      <c r="F865" t="s">
        <v>2344</v>
      </c>
      <c r="G865">
        <v>1</v>
      </c>
      <c r="H865" t="s">
        <v>2344</v>
      </c>
      <c r="I865" t="str">
        <f t="shared" si="27"/>
        <v>Obesity</v>
      </c>
      <c r="J865" t="str">
        <f t="shared" si="28"/>
        <v>Normal</v>
      </c>
    </row>
    <row r="866" spans="1:10" x14ac:dyDescent="0.35">
      <c r="A866" t="s">
        <v>866</v>
      </c>
      <c r="B866">
        <v>35.244999999999997</v>
      </c>
      <c r="C866">
        <v>4.63</v>
      </c>
      <c r="D866" t="s">
        <v>2344</v>
      </c>
      <c r="E866" t="s">
        <v>2344</v>
      </c>
      <c r="F866" t="s">
        <v>2344</v>
      </c>
      <c r="G866">
        <v>0</v>
      </c>
      <c r="H866" t="s">
        <v>2344</v>
      </c>
      <c r="I866" t="str">
        <f t="shared" si="27"/>
        <v>Obesity</v>
      </c>
      <c r="J866" t="str">
        <f t="shared" si="28"/>
        <v>Normal</v>
      </c>
    </row>
    <row r="867" spans="1:10" x14ac:dyDescent="0.35">
      <c r="A867" t="s">
        <v>867</v>
      </c>
      <c r="B867">
        <v>26.23</v>
      </c>
      <c r="C867">
        <v>11.93</v>
      </c>
      <c r="D867" t="s">
        <v>2344</v>
      </c>
      <c r="E867" t="s">
        <v>2344</v>
      </c>
      <c r="F867" t="s">
        <v>2344</v>
      </c>
      <c r="G867">
        <v>0</v>
      </c>
      <c r="H867" t="s">
        <v>2344</v>
      </c>
      <c r="I867" t="str">
        <f t="shared" si="27"/>
        <v>Over weight</v>
      </c>
      <c r="J867" t="str">
        <f t="shared" si="28"/>
        <v>Diabetes</v>
      </c>
    </row>
    <row r="868" spans="1:10" x14ac:dyDescent="0.35">
      <c r="A868" t="s">
        <v>868</v>
      </c>
      <c r="B868">
        <v>36.1</v>
      </c>
      <c r="C868">
        <v>5.65</v>
      </c>
      <c r="D868" t="s">
        <v>2346</v>
      </c>
      <c r="E868" t="s">
        <v>2344</v>
      </c>
      <c r="F868" t="s">
        <v>2344</v>
      </c>
      <c r="G868">
        <v>1</v>
      </c>
      <c r="H868" t="s">
        <v>2344</v>
      </c>
      <c r="I868" t="str">
        <f t="shared" si="27"/>
        <v>Obesity</v>
      </c>
      <c r="J868" t="str">
        <f t="shared" si="28"/>
        <v>Normal</v>
      </c>
    </row>
    <row r="869" spans="1:10" x14ac:dyDescent="0.35">
      <c r="A869" t="s">
        <v>869</v>
      </c>
      <c r="B869">
        <v>37.1</v>
      </c>
      <c r="C869">
        <v>11.21</v>
      </c>
      <c r="D869" t="s">
        <v>2346</v>
      </c>
      <c r="E869" t="s">
        <v>2344</v>
      </c>
      <c r="F869" t="s">
        <v>2346</v>
      </c>
      <c r="G869">
        <v>1</v>
      </c>
      <c r="H869" t="s">
        <v>2344</v>
      </c>
      <c r="I869" t="str">
        <f t="shared" si="27"/>
        <v>Obesity</v>
      </c>
      <c r="J869" t="str">
        <f t="shared" si="28"/>
        <v>Diabetes</v>
      </c>
    </row>
    <row r="870" spans="1:10" x14ac:dyDescent="0.35">
      <c r="A870" t="s">
        <v>870</v>
      </c>
      <c r="B870">
        <v>27.5</v>
      </c>
      <c r="C870">
        <v>10.62</v>
      </c>
      <c r="D870" t="s">
        <v>2346</v>
      </c>
      <c r="E870" t="s">
        <v>2344</v>
      </c>
      <c r="F870" t="s">
        <v>2346</v>
      </c>
      <c r="G870">
        <v>1</v>
      </c>
      <c r="H870" t="s">
        <v>2344</v>
      </c>
      <c r="I870" t="str">
        <f t="shared" si="27"/>
        <v>Over weight</v>
      </c>
      <c r="J870" t="str">
        <f t="shared" si="28"/>
        <v>Diabetes</v>
      </c>
    </row>
    <row r="871" spans="1:10" x14ac:dyDescent="0.35">
      <c r="A871" t="s">
        <v>871</v>
      </c>
      <c r="B871">
        <v>24.7</v>
      </c>
      <c r="C871">
        <v>10.7</v>
      </c>
      <c r="D871" t="s">
        <v>2346</v>
      </c>
      <c r="E871" t="s">
        <v>2344</v>
      </c>
      <c r="F871" t="s">
        <v>2346</v>
      </c>
      <c r="G871">
        <v>1</v>
      </c>
      <c r="H871" t="s">
        <v>2344</v>
      </c>
      <c r="I871" t="str">
        <f t="shared" si="27"/>
        <v>Normal Weight</v>
      </c>
      <c r="J871" t="str">
        <f t="shared" si="28"/>
        <v>Diabetes</v>
      </c>
    </row>
    <row r="872" spans="1:10" x14ac:dyDescent="0.35">
      <c r="A872" t="s">
        <v>872</v>
      </c>
      <c r="B872">
        <v>26.78</v>
      </c>
      <c r="C872">
        <v>10.02</v>
      </c>
      <c r="D872" t="s">
        <v>2346</v>
      </c>
      <c r="E872" t="s">
        <v>2344</v>
      </c>
      <c r="F872" t="s">
        <v>2346</v>
      </c>
      <c r="G872">
        <v>1</v>
      </c>
      <c r="H872" t="s">
        <v>2344</v>
      </c>
      <c r="I872" t="str">
        <f t="shared" si="27"/>
        <v>Over weight</v>
      </c>
      <c r="J872" t="str">
        <f t="shared" si="28"/>
        <v>Diabetes</v>
      </c>
    </row>
    <row r="873" spans="1:10" x14ac:dyDescent="0.35">
      <c r="A873" t="s">
        <v>873</v>
      </c>
      <c r="B873">
        <v>45.8</v>
      </c>
      <c r="C873">
        <v>4.8499999999999996</v>
      </c>
      <c r="D873" t="s">
        <v>2344</v>
      </c>
      <c r="E873" t="s">
        <v>2344</v>
      </c>
      <c r="F873" t="s">
        <v>2344</v>
      </c>
      <c r="G873">
        <v>0</v>
      </c>
      <c r="H873" t="s">
        <v>2344</v>
      </c>
      <c r="I873" t="str">
        <f t="shared" si="27"/>
        <v>Obesity</v>
      </c>
      <c r="J873" t="str">
        <f t="shared" si="28"/>
        <v>Normal</v>
      </c>
    </row>
    <row r="874" spans="1:10" x14ac:dyDescent="0.35">
      <c r="A874" t="s">
        <v>874</v>
      </c>
      <c r="B874">
        <v>29</v>
      </c>
      <c r="C874">
        <v>4.3899999999999997</v>
      </c>
      <c r="D874" t="s">
        <v>2346</v>
      </c>
      <c r="E874" t="s">
        <v>2344</v>
      </c>
      <c r="F874" t="s">
        <v>2344</v>
      </c>
      <c r="G874">
        <v>1</v>
      </c>
      <c r="H874" t="s">
        <v>2344</v>
      </c>
      <c r="I874" t="str">
        <f t="shared" si="27"/>
        <v>Over weight</v>
      </c>
      <c r="J874" t="str">
        <f t="shared" si="28"/>
        <v>Normal</v>
      </c>
    </row>
    <row r="875" spans="1:10" x14ac:dyDescent="0.35">
      <c r="A875" t="s">
        <v>875</v>
      </c>
      <c r="B875">
        <v>33.534999999999997</v>
      </c>
      <c r="C875">
        <v>8.24</v>
      </c>
      <c r="D875" t="s">
        <v>2346</v>
      </c>
      <c r="E875" t="s">
        <v>2344</v>
      </c>
      <c r="F875" t="s">
        <v>2344</v>
      </c>
      <c r="G875">
        <v>0</v>
      </c>
      <c r="H875" t="s">
        <v>2344</v>
      </c>
      <c r="I875" t="str">
        <f t="shared" si="27"/>
        <v>Obesity</v>
      </c>
      <c r="J875" t="str">
        <f t="shared" si="28"/>
        <v>Diabetes</v>
      </c>
    </row>
    <row r="876" spans="1:10" x14ac:dyDescent="0.35">
      <c r="A876" t="s">
        <v>876</v>
      </c>
      <c r="B876">
        <v>32.774999999999999</v>
      </c>
      <c r="C876">
        <v>9.77</v>
      </c>
      <c r="D876" t="s">
        <v>2346</v>
      </c>
      <c r="E876" t="s">
        <v>2344</v>
      </c>
      <c r="F876" t="s">
        <v>2344</v>
      </c>
      <c r="G876">
        <v>0</v>
      </c>
      <c r="H876" t="s">
        <v>2344</v>
      </c>
      <c r="I876" t="str">
        <f t="shared" si="27"/>
        <v>Obesity</v>
      </c>
      <c r="J876" t="str">
        <f t="shared" si="28"/>
        <v>Diabetes</v>
      </c>
    </row>
    <row r="877" spans="1:10" x14ac:dyDescent="0.35">
      <c r="A877" t="s">
        <v>877</v>
      </c>
      <c r="B877">
        <v>37.51</v>
      </c>
      <c r="C877">
        <v>5.5</v>
      </c>
      <c r="D877" t="s">
        <v>2346</v>
      </c>
      <c r="E877" t="s">
        <v>2344</v>
      </c>
      <c r="F877" t="s">
        <v>2344</v>
      </c>
      <c r="G877">
        <v>1</v>
      </c>
      <c r="H877" t="s">
        <v>2344</v>
      </c>
      <c r="I877" t="str">
        <f t="shared" si="27"/>
        <v>Obesity</v>
      </c>
      <c r="J877" t="str">
        <f t="shared" si="28"/>
        <v>Normal</v>
      </c>
    </row>
    <row r="878" spans="1:10" x14ac:dyDescent="0.35">
      <c r="A878" t="s">
        <v>878</v>
      </c>
      <c r="B878">
        <v>39.86</v>
      </c>
      <c r="C878">
        <v>11.84</v>
      </c>
      <c r="D878" t="s">
        <v>2346</v>
      </c>
      <c r="E878" t="s">
        <v>2344</v>
      </c>
      <c r="F878" t="s">
        <v>2344</v>
      </c>
      <c r="G878">
        <v>1</v>
      </c>
      <c r="H878" t="s">
        <v>2344</v>
      </c>
      <c r="I878" t="str">
        <f t="shared" si="27"/>
        <v>Obesity</v>
      </c>
      <c r="J878" t="str">
        <f t="shared" si="28"/>
        <v>Diabetes</v>
      </c>
    </row>
    <row r="879" spans="1:10" x14ac:dyDescent="0.35">
      <c r="A879" t="s">
        <v>879</v>
      </c>
      <c r="B879">
        <v>42.13</v>
      </c>
      <c r="C879">
        <v>4.66</v>
      </c>
      <c r="D879" t="s">
        <v>2344</v>
      </c>
      <c r="E879" t="s">
        <v>2344</v>
      </c>
      <c r="F879" t="s">
        <v>2344</v>
      </c>
      <c r="G879">
        <v>0</v>
      </c>
      <c r="H879" t="s">
        <v>2344</v>
      </c>
      <c r="I879" t="str">
        <f t="shared" si="27"/>
        <v>Obesity</v>
      </c>
      <c r="J879" t="str">
        <f t="shared" si="28"/>
        <v>Normal</v>
      </c>
    </row>
    <row r="880" spans="1:10" x14ac:dyDescent="0.35">
      <c r="A880" t="s">
        <v>880</v>
      </c>
      <c r="B880">
        <v>35.99</v>
      </c>
      <c r="C880">
        <v>11.11</v>
      </c>
      <c r="D880" t="s">
        <v>2344</v>
      </c>
      <c r="E880" t="s">
        <v>2344</v>
      </c>
      <c r="F880" t="s">
        <v>2344</v>
      </c>
      <c r="G880">
        <v>0</v>
      </c>
      <c r="H880" t="s">
        <v>2344</v>
      </c>
      <c r="I880" t="str">
        <f t="shared" si="27"/>
        <v>Obesity</v>
      </c>
      <c r="J880" t="str">
        <f t="shared" si="28"/>
        <v>Diabetes</v>
      </c>
    </row>
    <row r="881" spans="1:10" x14ac:dyDescent="0.35">
      <c r="A881" t="s">
        <v>881</v>
      </c>
      <c r="B881">
        <v>35.200000000000003</v>
      </c>
      <c r="C881">
        <v>7.72</v>
      </c>
      <c r="D881" t="s">
        <v>2346</v>
      </c>
      <c r="E881" t="s">
        <v>2344</v>
      </c>
      <c r="F881" t="s">
        <v>2346</v>
      </c>
      <c r="G881">
        <v>1</v>
      </c>
      <c r="H881" t="s">
        <v>2344</v>
      </c>
      <c r="I881" t="str">
        <f t="shared" si="27"/>
        <v>Obesity</v>
      </c>
      <c r="J881" t="str">
        <f t="shared" si="28"/>
        <v>Diabetes</v>
      </c>
    </row>
    <row r="882" spans="1:10" x14ac:dyDescent="0.35">
      <c r="A882" t="s">
        <v>882</v>
      </c>
      <c r="B882">
        <v>29.91</v>
      </c>
      <c r="C882">
        <v>5.55</v>
      </c>
      <c r="D882" t="s">
        <v>2346</v>
      </c>
      <c r="E882" t="s">
        <v>2344</v>
      </c>
      <c r="F882" t="s">
        <v>2344</v>
      </c>
      <c r="G882">
        <v>1</v>
      </c>
      <c r="H882" t="s">
        <v>2344</v>
      </c>
      <c r="I882" t="str">
        <f t="shared" si="27"/>
        <v>Over weight</v>
      </c>
      <c r="J882" t="str">
        <f t="shared" si="28"/>
        <v>Normal</v>
      </c>
    </row>
    <row r="883" spans="1:10" x14ac:dyDescent="0.35">
      <c r="A883" t="s">
        <v>883</v>
      </c>
      <c r="B883">
        <v>36.479999999999997</v>
      </c>
      <c r="C883">
        <v>5.05</v>
      </c>
      <c r="D883" t="s">
        <v>2346</v>
      </c>
      <c r="E883" t="s">
        <v>2344</v>
      </c>
      <c r="F883" t="s">
        <v>2344</v>
      </c>
      <c r="G883">
        <v>1</v>
      </c>
      <c r="H883" t="s">
        <v>2344</v>
      </c>
      <c r="I883" t="str">
        <f t="shared" si="27"/>
        <v>Obesity</v>
      </c>
      <c r="J883" t="str">
        <f t="shared" si="28"/>
        <v>Normal</v>
      </c>
    </row>
    <row r="884" spans="1:10" x14ac:dyDescent="0.35">
      <c r="A884" t="s">
        <v>884</v>
      </c>
      <c r="B884">
        <v>27.5</v>
      </c>
      <c r="C884">
        <v>8.69</v>
      </c>
      <c r="D884" t="s">
        <v>2346</v>
      </c>
      <c r="E884" t="s">
        <v>2344</v>
      </c>
      <c r="F884" t="s">
        <v>2346</v>
      </c>
      <c r="G884">
        <v>1</v>
      </c>
      <c r="H884" t="s">
        <v>2344</v>
      </c>
      <c r="I884" t="str">
        <f t="shared" si="27"/>
        <v>Over weight</v>
      </c>
      <c r="J884" t="str">
        <f t="shared" si="28"/>
        <v>Diabetes</v>
      </c>
    </row>
    <row r="885" spans="1:10" x14ac:dyDescent="0.35">
      <c r="A885" t="s">
        <v>885</v>
      </c>
      <c r="B885">
        <v>33.44</v>
      </c>
      <c r="C885">
        <v>5.9</v>
      </c>
      <c r="D885" t="s">
        <v>2346</v>
      </c>
      <c r="E885" t="s">
        <v>2344</v>
      </c>
      <c r="F885" t="s">
        <v>2344</v>
      </c>
      <c r="G885">
        <v>1</v>
      </c>
      <c r="H885" t="s">
        <v>2344</v>
      </c>
      <c r="I885" t="str">
        <f t="shared" si="27"/>
        <v>Obesity</v>
      </c>
      <c r="J885" t="str">
        <f t="shared" si="28"/>
        <v>Prediabetes</v>
      </c>
    </row>
    <row r="886" spans="1:10" x14ac:dyDescent="0.35">
      <c r="A886" t="s">
        <v>886</v>
      </c>
      <c r="B886">
        <v>28.215</v>
      </c>
      <c r="C886">
        <v>6.29</v>
      </c>
      <c r="D886" t="s">
        <v>2346</v>
      </c>
      <c r="E886" t="s">
        <v>2344</v>
      </c>
      <c r="F886" t="s">
        <v>2344</v>
      </c>
      <c r="G886">
        <v>1</v>
      </c>
      <c r="H886" t="s">
        <v>2344</v>
      </c>
      <c r="I886" t="str">
        <f t="shared" si="27"/>
        <v>Over weight</v>
      </c>
      <c r="J886" t="str">
        <f t="shared" si="28"/>
        <v>Prediabetes</v>
      </c>
    </row>
    <row r="887" spans="1:10" x14ac:dyDescent="0.35">
      <c r="A887" t="s">
        <v>887</v>
      </c>
      <c r="B887">
        <v>27.17</v>
      </c>
      <c r="C887">
        <v>5.84</v>
      </c>
      <c r="D887" t="s">
        <v>2346</v>
      </c>
      <c r="E887" t="s">
        <v>2344</v>
      </c>
      <c r="F887" t="s">
        <v>2344</v>
      </c>
      <c r="G887">
        <v>1</v>
      </c>
      <c r="H887" t="s">
        <v>2344</v>
      </c>
      <c r="I887" t="str">
        <f t="shared" si="27"/>
        <v>Over weight</v>
      </c>
      <c r="J887" t="str">
        <f t="shared" si="28"/>
        <v>Prediabetes</v>
      </c>
    </row>
    <row r="888" spans="1:10" x14ac:dyDescent="0.35">
      <c r="A888" t="s">
        <v>888</v>
      </c>
      <c r="B888">
        <v>35.380000000000003</v>
      </c>
      <c r="C888">
        <v>6.12</v>
      </c>
      <c r="D888" t="s">
        <v>2344</v>
      </c>
      <c r="E888" t="s">
        <v>2344</v>
      </c>
      <c r="F888" t="s">
        <v>2344</v>
      </c>
      <c r="G888">
        <v>0</v>
      </c>
      <c r="H888" t="s">
        <v>2344</v>
      </c>
      <c r="I888" t="str">
        <f t="shared" si="27"/>
        <v>Obesity</v>
      </c>
      <c r="J888" t="str">
        <f t="shared" si="28"/>
        <v>Prediabetes</v>
      </c>
    </row>
    <row r="889" spans="1:10" x14ac:dyDescent="0.35">
      <c r="A889" t="s">
        <v>889</v>
      </c>
      <c r="B889">
        <v>43.48</v>
      </c>
      <c r="C889">
        <v>6.24</v>
      </c>
      <c r="D889" t="s">
        <v>2344</v>
      </c>
      <c r="E889" t="s">
        <v>2344</v>
      </c>
      <c r="F889" t="s">
        <v>2344</v>
      </c>
      <c r="G889">
        <v>0</v>
      </c>
      <c r="H889" t="s">
        <v>2344</v>
      </c>
      <c r="I889" t="str">
        <f t="shared" si="27"/>
        <v>Obesity</v>
      </c>
      <c r="J889" t="str">
        <f t="shared" si="28"/>
        <v>Prediabetes</v>
      </c>
    </row>
    <row r="890" spans="1:10" x14ac:dyDescent="0.35">
      <c r="A890" t="s">
        <v>890</v>
      </c>
      <c r="B890">
        <v>41.73</v>
      </c>
      <c r="C890">
        <v>6.25</v>
      </c>
      <c r="D890" t="s">
        <v>2344</v>
      </c>
      <c r="E890" t="s">
        <v>2344</v>
      </c>
      <c r="F890" t="s">
        <v>2344</v>
      </c>
      <c r="G890">
        <v>1</v>
      </c>
      <c r="H890" t="s">
        <v>2344</v>
      </c>
      <c r="I890" t="str">
        <f t="shared" si="27"/>
        <v>Obesity</v>
      </c>
      <c r="J890" t="str">
        <f t="shared" si="28"/>
        <v>Prediabetes</v>
      </c>
    </row>
    <row r="891" spans="1:10" x14ac:dyDescent="0.35">
      <c r="A891" t="s">
        <v>891</v>
      </c>
      <c r="B891">
        <v>28.9</v>
      </c>
      <c r="C891">
        <v>11.96</v>
      </c>
      <c r="D891" t="s">
        <v>2344</v>
      </c>
      <c r="E891" t="s">
        <v>2344</v>
      </c>
      <c r="F891" t="s">
        <v>2344</v>
      </c>
      <c r="G891">
        <v>0</v>
      </c>
      <c r="H891" t="s">
        <v>2344</v>
      </c>
      <c r="I891" t="str">
        <f t="shared" si="27"/>
        <v>Over weight</v>
      </c>
      <c r="J891" t="str">
        <f t="shared" si="28"/>
        <v>Diabetes</v>
      </c>
    </row>
    <row r="892" spans="1:10" x14ac:dyDescent="0.35">
      <c r="A892" t="s">
        <v>892</v>
      </c>
      <c r="B892">
        <v>25.74</v>
      </c>
      <c r="C892">
        <v>7.69</v>
      </c>
      <c r="D892" t="s">
        <v>2344</v>
      </c>
      <c r="E892" t="s">
        <v>2344</v>
      </c>
      <c r="F892" t="s">
        <v>2344</v>
      </c>
      <c r="G892">
        <v>0</v>
      </c>
      <c r="H892" t="s">
        <v>2344</v>
      </c>
      <c r="I892" t="str">
        <f t="shared" si="27"/>
        <v>Over weight</v>
      </c>
      <c r="J892" t="str">
        <f t="shared" si="28"/>
        <v>Diabetes</v>
      </c>
    </row>
    <row r="893" spans="1:10" x14ac:dyDescent="0.35">
      <c r="A893" t="s">
        <v>893</v>
      </c>
      <c r="B893">
        <v>36.06</v>
      </c>
      <c r="C893">
        <v>8.83</v>
      </c>
      <c r="D893" t="s">
        <v>2344</v>
      </c>
      <c r="E893" t="s">
        <v>2344</v>
      </c>
      <c r="F893" t="s">
        <v>2344</v>
      </c>
      <c r="G893">
        <v>0</v>
      </c>
      <c r="H893" t="s">
        <v>2344</v>
      </c>
      <c r="I893" t="str">
        <f t="shared" si="27"/>
        <v>Obesity</v>
      </c>
      <c r="J893" t="str">
        <f t="shared" si="28"/>
        <v>Diabetes</v>
      </c>
    </row>
    <row r="894" spans="1:10" x14ac:dyDescent="0.35">
      <c r="A894" t="s">
        <v>894</v>
      </c>
      <c r="B894">
        <v>43.28</v>
      </c>
      <c r="C894">
        <v>4.41</v>
      </c>
      <c r="D894" t="s">
        <v>2344</v>
      </c>
      <c r="E894" t="s">
        <v>2344</v>
      </c>
      <c r="F894" t="s">
        <v>2344</v>
      </c>
      <c r="G894">
        <v>0</v>
      </c>
      <c r="H894" t="s">
        <v>2344</v>
      </c>
      <c r="I894" t="str">
        <f t="shared" si="27"/>
        <v>Obesity</v>
      </c>
      <c r="J894" t="str">
        <f t="shared" si="28"/>
        <v>Normal</v>
      </c>
    </row>
    <row r="895" spans="1:10" x14ac:dyDescent="0.35">
      <c r="A895" t="s">
        <v>895</v>
      </c>
      <c r="B895">
        <v>28.785</v>
      </c>
      <c r="C895">
        <v>9.1</v>
      </c>
      <c r="D895" t="s">
        <v>2346</v>
      </c>
      <c r="E895" t="s">
        <v>2344</v>
      </c>
      <c r="F895" t="s">
        <v>2346</v>
      </c>
      <c r="G895">
        <v>1</v>
      </c>
      <c r="H895" t="s">
        <v>2344</v>
      </c>
      <c r="I895" t="str">
        <f t="shared" si="27"/>
        <v>Over weight</v>
      </c>
      <c r="J895" t="str">
        <f t="shared" si="28"/>
        <v>Diabetes</v>
      </c>
    </row>
    <row r="896" spans="1:10" x14ac:dyDescent="0.35">
      <c r="A896" t="s">
        <v>896</v>
      </c>
      <c r="B896">
        <v>25.46</v>
      </c>
      <c r="C896">
        <v>11.52</v>
      </c>
      <c r="D896" t="s">
        <v>2346</v>
      </c>
      <c r="E896" t="s">
        <v>2344</v>
      </c>
      <c r="F896" t="s">
        <v>2346</v>
      </c>
      <c r="G896">
        <v>1</v>
      </c>
      <c r="H896" t="s">
        <v>2344</v>
      </c>
      <c r="I896" t="str">
        <f t="shared" si="27"/>
        <v>Over weight</v>
      </c>
      <c r="J896" t="str">
        <f t="shared" si="28"/>
        <v>Diabetes</v>
      </c>
    </row>
    <row r="897" spans="1:10" x14ac:dyDescent="0.35">
      <c r="A897" t="s">
        <v>897</v>
      </c>
      <c r="B897">
        <v>30.8</v>
      </c>
      <c r="C897">
        <v>10.95</v>
      </c>
      <c r="D897" t="s">
        <v>2344</v>
      </c>
      <c r="E897" t="s">
        <v>2344</v>
      </c>
      <c r="F897" t="s">
        <v>2344</v>
      </c>
      <c r="G897">
        <v>0</v>
      </c>
      <c r="H897" t="s">
        <v>2344</v>
      </c>
      <c r="I897" t="str">
        <f t="shared" si="27"/>
        <v>Obesity</v>
      </c>
      <c r="J897" t="str">
        <f t="shared" si="28"/>
        <v>Diabetes</v>
      </c>
    </row>
    <row r="898" spans="1:10" x14ac:dyDescent="0.35">
      <c r="A898" t="s">
        <v>898</v>
      </c>
      <c r="B898">
        <v>28.88</v>
      </c>
      <c r="C898">
        <v>11.5</v>
      </c>
      <c r="D898" t="s">
        <v>2344</v>
      </c>
      <c r="E898" t="s">
        <v>2344</v>
      </c>
      <c r="F898" t="s">
        <v>2344</v>
      </c>
      <c r="G898">
        <v>0</v>
      </c>
      <c r="H898" t="s">
        <v>2344</v>
      </c>
      <c r="I898" t="str">
        <f t="shared" si="27"/>
        <v>Over weight</v>
      </c>
      <c r="J898" t="str">
        <f t="shared" si="28"/>
        <v>Diabetes</v>
      </c>
    </row>
    <row r="899" spans="1:10" x14ac:dyDescent="0.35">
      <c r="A899" t="s">
        <v>899</v>
      </c>
      <c r="B899">
        <v>23</v>
      </c>
      <c r="C899">
        <v>9.8800000000000008</v>
      </c>
      <c r="D899" t="s">
        <v>2344</v>
      </c>
      <c r="E899" t="s">
        <v>2344</v>
      </c>
      <c r="F899" t="s">
        <v>2344</v>
      </c>
      <c r="G899">
        <v>0</v>
      </c>
      <c r="H899" t="s">
        <v>2344</v>
      </c>
      <c r="I899" t="str">
        <f t="shared" ref="I899:I962" si="29">IF(B899&lt;18.5,"Under Weight",IF(B899&lt;25,"Normal Weight",IF(B899&lt;30,"Over weight","Obesity")))</f>
        <v>Normal Weight</v>
      </c>
      <c r="J899" t="str">
        <f t="shared" si="28"/>
        <v>Diabetes</v>
      </c>
    </row>
    <row r="900" spans="1:10" x14ac:dyDescent="0.35">
      <c r="A900" t="s">
        <v>900</v>
      </c>
      <c r="B900">
        <v>38.25</v>
      </c>
      <c r="C900">
        <v>6.2</v>
      </c>
      <c r="D900" t="s">
        <v>2344</v>
      </c>
      <c r="E900" t="s">
        <v>2344</v>
      </c>
      <c r="F900" t="s">
        <v>2344</v>
      </c>
      <c r="G900">
        <v>1</v>
      </c>
      <c r="H900" t="s">
        <v>2344</v>
      </c>
      <c r="I900" t="str">
        <f t="shared" si="29"/>
        <v>Obesity</v>
      </c>
      <c r="J900" t="str">
        <f t="shared" si="28"/>
        <v>Prediabetes</v>
      </c>
    </row>
    <row r="901" spans="1:10" x14ac:dyDescent="0.35">
      <c r="A901" t="s">
        <v>901</v>
      </c>
      <c r="B901">
        <v>39.25</v>
      </c>
      <c r="C901">
        <v>8.41</v>
      </c>
      <c r="D901" t="s">
        <v>2346</v>
      </c>
      <c r="E901" t="s">
        <v>2344</v>
      </c>
      <c r="F901" t="s">
        <v>2344</v>
      </c>
      <c r="G901">
        <v>1</v>
      </c>
      <c r="H901" t="s">
        <v>2344</v>
      </c>
      <c r="I901" t="str">
        <f t="shared" si="29"/>
        <v>Obesity</v>
      </c>
      <c r="J901" t="str">
        <f t="shared" si="28"/>
        <v>Diabetes</v>
      </c>
    </row>
    <row r="902" spans="1:10" x14ac:dyDescent="0.35">
      <c r="A902" t="s">
        <v>902</v>
      </c>
      <c r="B902">
        <v>26.6</v>
      </c>
      <c r="C902">
        <v>5.07</v>
      </c>
      <c r="D902" t="s">
        <v>2346</v>
      </c>
      <c r="E902" t="s">
        <v>2344</v>
      </c>
      <c r="F902" t="s">
        <v>2344</v>
      </c>
      <c r="G902">
        <v>1</v>
      </c>
      <c r="H902" t="s">
        <v>2344</v>
      </c>
      <c r="I902" t="str">
        <f t="shared" si="29"/>
        <v>Over weight</v>
      </c>
      <c r="J902" t="str">
        <f t="shared" si="28"/>
        <v>Normal</v>
      </c>
    </row>
    <row r="903" spans="1:10" x14ac:dyDescent="0.35">
      <c r="A903" t="s">
        <v>903</v>
      </c>
      <c r="B903">
        <v>35.700000000000003</v>
      </c>
      <c r="C903">
        <v>4.0599999999999996</v>
      </c>
      <c r="D903" t="s">
        <v>2344</v>
      </c>
      <c r="E903" t="s">
        <v>2344</v>
      </c>
      <c r="F903" t="s">
        <v>2346</v>
      </c>
      <c r="G903">
        <v>1</v>
      </c>
      <c r="H903" t="s">
        <v>2344</v>
      </c>
      <c r="I903" t="str">
        <f t="shared" si="29"/>
        <v>Obesity</v>
      </c>
      <c r="J903" t="str">
        <f t="shared" si="28"/>
        <v>Normal</v>
      </c>
    </row>
    <row r="904" spans="1:10" x14ac:dyDescent="0.35">
      <c r="A904" t="s">
        <v>904</v>
      </c>
      <c r="B904">
        <v>20.100000000000001</v>
      </c>
      <c r="C904">
        <v>10.52</v>
      </c>
      <c r="D904" t="s">
        <v>2344</v>
      </c>
      <c r="E904" t="s">
        <v>2344</v>
      </c>
      <c r="F904" t="s">
        <v>2344</v>
      </c>
      <c r="G904">
        <v>0</v>
      </c>
      <c r="H904" t="s">
        <v>2344</v>
      </c>
      <c r="I904" t="str">
        <f t="shared" si="29"/>
        <v>Normal Weight</v>
      </c>
      <c r="J904" t="str">
        <f t="shared" si="28"/>
        <v>Diabetes</v>
      </c>
    </row>
    <row r="905" spans="1:10" x14ac:dyDescent="0.35">
      <c r="A905" t="s">
        <v>905</v>
      </c>
      <c r="B905">
        <v>22.23</v>
      </c>
      <c r="C905">
        <v>9.65</v>
      </c>
      <c r="D905" t="s">
        <v>2344</v>
      </c>
      <c r="E905" t="s">
        <v>2344</v>
      </c>
      <c r="F905" t="s">
        <v>2344</v>
      </c>
      <c r="G905">
        <v>0</v>
      </c>
      <c r="H905" t="s">
        <v>2344</v>
      </c>
      <c r="I905" t="str">
        <f t="shared" si="29"/>
        <v>Normal Weight</v>
      </c>
      <c r="J905" t="str">
        <f t="shared" si="28"/>
        <v>Diabetes</v>
      </c>
    </row>
    <row r="906" spans="1:10" x14ac:dyDescent="0.35">
      <c r="A906" t="s">
        <v>906</v>
      </c>
      <c r="B906">
        <v>36.47</v>
      </c>
      <c r="C906">
        <v>6.21</v>
      </c>
      <c r="D906" t="s">
        <v>2344</v>
      </c>
      <c r="E906" t="s">
        <v>2344</v>
      </c>
      <c r="F906" t="s">
        <v>2344</v>
      </c>
      <c r="G906">
        <v>0</v>
      </c>
      <c r="H906" t="s">
        <v>2344</v>
      </c>
      <c r="I906" t="str">
        <f t="shared" si="29"/>
        <v>Obesity</v>
      </c>
      <c r="J906" t="str">
        <f t="shared" si="28"/>
        <v>Prediabetes</v>
      </c>
    </row>
    <row r="907" spans="1:10" x14ac:dyDescent="0.35">
      <c r="A907" t="s">
        <v>907</v>
      </c>
      <c r="B907">
        <v>49.64</v>
      </c>
      <c r="C907">
        <v>4.76</v>
      </c>
      <c r="D907" t="s">
        <v>2344</v>
      </c>
      <c r="E907" t="s">
        <v>2344</v>
      </c>
      <c r="F907" t="s">
        <v>2346</v>
      </c>
      <c r="G907">
        <v>1</v>
      </c>
      <c r="H907" t="s">
        <v>2344</v>
      </c>
      <c r="I907" t="str">
        <f t="shared" si="29"/>
        <v>Obesity</v>
      </c>
      <c r="J907" t="str">
        <f t="shared" si="28"/>
        <v>Normal</v>
      </c>
    </row>
    <row r="908" spans="1:10" x14ac:dyDescent="0.35">
      <c r="A908" t="s">
        <v>908</v>
      </c>
      <c r="B908">
        <v>36.799999999999997</v>
      </c>
      <c r="C908">
        <v>5.73</v>
      </c>
      <c r="D908" t="s">
        <v>2346</v>
      </c>
      <c r="E908" t="s">
        <v>2344</v>
      </c>
      <c r="F908" t="s">
        <v>2346</v>
      </c>
      <c r="G908">
        <v>1</v>
      </c>
      <c r="H908" t="s">
        <v>2344</v>
      </c>
      <c r="I908" t="str">
        <f t="shared" si="29"/>
        <v>Obesity</v>
      </c>
      <c r="J908" t="str">
        <f t="shared" ref="J908:J971" si="30">IF(C908&lt;5.7,"Normal",IF(C908&lt;6.5,"Prediabetes","Diabetes"))</f>
        <v>Prediabetes</v>
      </c>
    </row>
    <row r="909" spans="1:10" x14ac:dyDescent="0.35">
      <c r="A909" t="s">
        <v>909</v>
      </c>
      <c r="B909">
        <v>33.880000000000003</v>
      </c>
      <c r="C909">
        <v>10.78</v>
      </c>
      <c r="D909" t="s">
        <v>2346</v>
      </c>
      <c r="E909" t="s">
        <v>2344</v>
      </c>
      <c r="F909" t="s">
        <v>2344</v>
      </c>
      <c r="G909">
        <v>0</v>
      </c>
      <c r="H909" t="s">
        <v>2344</v>
      </c>
      <c r="I909" t="str">
        <f t="shared" si="29"/>
        <v>Obesity</v>
      </c>
      <c r="J909" t="str">
        <f t="shared" si="30"/>
        <v>Diabetes</v>
      </c>
    </row>
    <row r="910" spans="1:10" x14ac:dyDescent="0.35">
      <c r="A910" t="s">
        <v>910</v>
      </c>
      <c r="B910">
        <v>32.01</v>
      </c>
      <c r="C910">
        <v>5.08</v>
      </c>
      <c r="D910" t="s">
        <v>2346</v>
      </c>
      <c r="E910" t="s">
        <v>2344</v>
      </c>
      <c r="F910" t="s">
        <v>2344</v>
      </c>
      <c r="G910">
        <v>1</v>
      </c>
      <c r="H910" t="s">
        <v>2344</v>
      </c>
      <c r="I910" t="str">
        <f t="shared" si="29"/>
        <v>Obesity</v>
      </c>
      <c r="J910" t="str">
        <f t="shared" si="30"/>
        <v>Normal</v>
      </c>
    </row>
    <row r="911" spans="1:10" x14ac:dyDescent="0.35">
      <c r="A911" t="s">
        <v>911</v>
      </c>
      <c r="B911">
        <v>33.630000000000003</v>
      </c>
      <c r="C911">
        <v>11.39</v>
      </c>
      <c r="D911" t="s">
        <v>2344</v>
      </c>
      <c r="E911" t="s">
        <v>2344</v>
      </c>
      <c r="F911" t="s">
        <v>2344</v>
      </c>
      <c r="G911">
        <v>0</v>
      </c>
      <c r="H911" t="s">
        <v>2344</v>
      </c>
      <c r="I911" t="str">
        <f t="shared" si="29"/>
        <v>Obesity</v>
      </c>
      <c r="J911" t="str">
        <f t="shared" si="30"/>
        <v>Diabetes</v>
      </c>
    </row>
    <row r="912" spans="1:10" x14ac:dyDescent="0.35">
      <c r="A912" t="s">
        <v>912</v>
      </c>
      <c r="B912">
        <v>34.865000000000002</v>
      </c>
      <c r="C912">
        <v>5.35</v>
      </c>
      <c r="D912" t="s">
        <v>2346</v>
      </c>
      <c r="E912" t="s">
        <v>2344</v>
      </c>
      <c r="F912" t="s">
        <v>2344</v>
      </c>
      <c r="G912">
        <v>1</v>
      </c>
      <c r="H912" t="s">
        <v>2344</v>
      </c>
      <c r="I912" t="str">
        <f t="shared" si="29"/>
        <v>Obesity</v>
      </c>
      <c r="J912" t="str">
        <f t="shared" si="30"/>
        <v>Normal</v>
      </c>
    </row>
    <row r="913" spans="1:10" x14ac:dyDescent="0.35">
      <c r="A913" t="s">
        <v>913</v>
      </c>
      <c r="B913">
        <v>43.11</v>
      </c>
      <c r="C913">
        <v>5.6</v>
      </c>
      <c r="D913" t="s">
        <v>2344</v>
      </c>
      <c r="E913" t="s">
        <v>2344</v>
      </c>
      <c r="F913" t="s">
        <v>2344</v>
      </c>
      <c r="G913">
        <v>0</v>
      </c>
      <c r="H913" t="s">
        <v>2344</v>
      </c>
      <c r="I913" t="str">
        <f t="shared" si="29"/>
        <v>Obesity</v>
      </c>
      <c r="J913" t="str">
        <f t="shared" si="30"/>
        <v>Normal</v>
      </c>
    </row>
    <row r="914" spans="1:10" x14ac:dyDescent="0.35">
      <c r="A914" t="s">
        <v>914</v>
      </c>
      <c r="B914">
        <v>30.305</v>
      </c>
      <c r="C914">
        <v>4.2699999999999996</v>
      </c>
      <c r="D914" t="s">
        <v>2346</v>
      </c>
      <c r="E914" t="s">
        <v>2344</v>
      </c>
      <c r="F914" t="s">
        <v>2344</v>
      </c>
      <c r="G914">
        <v>1</v>
      </c>
      <c r="H914" t="s">
        <v>2344</v>
      </c>
      <c r="I914" t="str">
        <f t="shared" si="29"/>
        <v>Obesity</v>
      </c>
      <c r="J914" t="str">
        <f t="shared" si="30"/>
        <v>Normal</v>
      </c>
    </row>
    <row r="915" spans="1:10" x14ac:dyDescent="0.35">
      <c r="A915" t="s">
        <v>915</v>
      </c>
      <c r="B915">
        <v>25.175000000000001</v>
      </c>
      <c r="C915">
        <v>5.57</v>
      </c>
      <c r="D915" t="s">
        <v>2346</v>
      </c>
      <c r="E915" t="s">
        <v>2344</v>
      </c>
      <c r="F915" t="s">
        <v>2344</v>
      </c>
      <c r="G915">
        <v>1</v>
      </c>
      <c r="H915" t="s">
        <v>2344</v>
      </c>
      <c r="I915" t="str">
        <f t="shared" si="29"/>
        <v>Over weight</v>
      </c>
      <c r="J915" t="str">
        <f t="shared" si="30"/>
        <v>Normal</v>
      </c>
    </row>
    <row r="916" spans="1:10" x14ac:dyDescent="0.35">
      <c r="A916" t="s">
        <v>916</v>
      </c>
      <c r="B916">
        <v>26.8</v>
      </c>
      <c r="C916">
        <v>5.68</v>
      </c>
      <c r="D916" t="s">
        <v>2346</v>
      </c>
      <c r="E916" t="s">
        <v>2344</v>
      </c>
      <c r="F916" t="s">
        <v>2344</v>
      </c>
      <c r="G916">
        <v>1</v>
      </c>
      <c r="H916" t="s">
        <v>2344</v>
      </c>
      <c r="I916" t="str">
        <f t="shared" si="29"/>
        <v>Over weight</v>
      </c>
      <c r="J916" t="str">
        <f t="shared" si="30"/>
        <v>Normal</v>
      </c>
    </row>
    <row r="917" spans="1:10" x14ac:dyDescent="0.35">
      <c r="A917" t="s">
        <v>917</v>
      </c>
      <c r="B917">
        <v>21.78</v>
      </c>
      <c r="C917">
        <v>5.3</v>
      </c>
      <c r="D917" t="s">
        <v>2344</v>
      </c>
      <c r="E917" t="s">
        <v>2345</v>
      </c>
      <c r="F917" t="s">
        <v>2344</v>
      </c>
      <c r="G917">
        <v>1</v>
      </c>
      <c r="H917" t="s">
        <v>2344</v>
      </c>
      <c r="I917" t="str">
        <f t="shared" si="29"/>
        <v>Normal Weight</v>
      </c>
      <c r="J917" t="str">
        <f t="shared" si="30"/>
        <v>Normal</v>
      </c>
    </row>
    <row r="918" spans="1:10" x14ac:dyDescent="0.35">
      <c r="A918" t="s">
        <v>918</v>
      </c>
      <c r="B918">
        <v>30.14</v>
      </c>
      <c r="C918">
        <v>9.4499999999999993</v>
      </c>
      <c r="D918" t="s">
        <v>2346</v>
      </c>
      <c r="E918" t="s">
        <v>2344</v>
      </c>
      <c r="F918" t="s">
        <v>2344</v>
      </c>
      <c r="G918">
        <v>0</v>
      </c>
      <c r="H918" t="s">
        <v>2344</v>
      </c>
      <c r="I918" t="str">
        <f t="shared" si="29"/>
        <v>Obesity</v>
      </c>
      <c r="J918" t="str">
        <f t="shared" si="30"/>
        <v>Diabetes</v>
      </c>
    </row>
    <row r="919" spans="1:10" x14ac:dyDescent="0.35">
      <c r="A919" t="s">
        <v>919</v>
      </c>
      <c r="B919">
        <v>29.7</v>
      </c>
      <c r="C919">
        <v>6.79</v>
      </c>
      <c r="D919" t="s">
        <v>2346</v>
      </c>
      <c r="E919" t="s">
        <v>2344</v>
      </c>
      <c r="F919" t="s">
        <v>2344</v>
      </c>
      <c r="G919">
        <v>0</v>
      </c>
      <c r="H919" t="s">
        <v>2344</v>
      </c>
      <c r="I919" t="str">
        <f t="shared" si="29"/>
        <v>Over weight</v>
      </c>
      <c r="J919" t="str">
        <f t="shared" si="30"/>
        <v>Diabetes</v>
      </c>
    </row>
    <row r="920" spans="1:10" x14ac:dyDescent="0.35">
      <c r="A920" t="s">
        <v>920</v>
      </c>
      <c r="B920">
        <v>32.395000000000003</v>
      </c>
      <c r="C920">
        <v>11.1</v>
      </c>
      <c r="D920" t="s">
        <v>2346</v>
      </c>
      <c r="E920" t="s">
        <v>2344</v>
      </c>
      <c r="F920" t="s">
        <v>2344</v>
      </c>
      <c r="G920">
        <v>0</v>
      </c>
      <c r="H920" t="s">
        <v>2344</v>
      </c>
      <c r="I920" t="str">
        <f t="shared" si="29"/>
        <v>Obesity</v>
      </c>
      <c r="J920" t="str">
        <f t="shared" si="30"/>
        <v>Diabetes</v>
      </c>
    </row>
    <row r="921" spans="1:10" x14ac:dyDescent="0.35">
      <c r="A921" t="s">
        <v>921</v>
      </c>
      <c r="B921">
        <v>36.64</v>
      </c>
      <c r="C921">
        <v>7.26</v>
      </c>
      <c r="D921" t="s">
        <v>2344</v>
      </c>
      <c r="E921" t="s">
        <v>2344</v>
      </c>
      <c r="F921" t="s">
        <v>2344</v>
      </c>
      <c r="G921">
        <v>0</v>
      </c>
      <c r="H921" t="s">
        <v>2344</v>
      </c>
      <c r="I921" t="str">
        <f t="shared" si="29"/>
        <v>Obesity</v>
      </c>
      <c r="J921" t="str">
        <f t="shared" si="30"/>
        <v>Diabetes</v>
      </c>
    </row>
    <row r="922" spans="1:10" x14ac:dyDescent="0.35">
      <c r="A922" t="s">
        <v>922</v>
      </c>
      <c r="B922">
        <v>39.049999999999997</v>
      </c>
      <c r="C922">
        <v>5.27</v>
      </c>
      <c r="D922" t="s">
        <v>2346</v>
      </c>
      <c r="E922" t="s">
        <v>2344</v>
      </c>
      <c r="F922" t="s">
        <v>2344</v>
      </c>
      <c r="G922">
        <v>1</v>
      </c>
      <c r="H922" t="s">
        <v>2344</v>
      </c>
      <c r="I922" t="str">
        <f t="shared" si="29"/>
        <v>Obesity</v>
      </c>
      <c r="J922" t="str">
        <f t="shared" si="30"/>
        <v>Normal</v>
      </c>
    </row>
    <row r="923" spans="1:10" x14ac:dyDescent="0.35">
      <c r="A923" t="s">
        <v>923</v>
      </c>
      <c r="B923">
        <v>33.1</v>
      </c>
      <c r="C923">
        <v>5.46</v>
      </c>
      <c r="D923" t="s">
        <v>2346</v>
      </c>
      <c r="E923" t="s">
        <v>2344</v>
      </c>
      <c r="F923" t="s">
        <v>2344</v>
      </c>
      <c r="G923">
        <v>1</v>
      </c>
      <c r="H923" t="s">
        <v>2344</v>
      </c>
      <c r="I923" t="str">
        <f t="shared" si="29"/>
        <v>Obesity</v>
      </c>
      <c r="J923" t="str">
        <f t="shared" si="30"/>
        <v>Normal</v>
      </c>
    </row>
    <row r="924" spans="1:10" x14ac:dyDescent="0.35">
      <c r="A924" t="s">
        <v>924</v>
      </c>
      <c r="B924">
        <v>31.824999999999999</v>
      </c>
      <c r="C924">
        <v>8.1300000000000008</v>
      </c>
      <c r="D924" t="s">
        <v>2344</v>
      </c>
      <c r="E924" t="s">
        <v>2344</v>
      </c>
      <c r="F924" t="s">
        <v>2344</v>
      </c>
      <c r="G924">
        <v>0</v>
      </c>
      <c r="H924" t="s">
        <v>2344</v>
      </c>
      <c r="I924" t="str">
        <f t="shared" si="29"/>
        <v>Obesity</v>
      </c>
      <c r="J924" t="str">
        <f t="shared" si="30"/>
        <v>Diabetes</v>
      </c>
    </row>
    <row r="925" spans="1:10" x14ac:dyDescent="0.35">
      <c r="A925" t="s">
        <v>925</v>
      </c>
      <c r="B925">
        <v>29</v>
      </c>
      <c r="C925">
        <v>4.25</v>
      </c>
      <c r="D925" t="s">
        <v>2346</v>
      </c>
      <c r="E925" t="s">
        <v>2344</v>
      </c>
      <c r="F925" t="s">
        <v>2344</v>
      </c>
      <c r="G925">
        <v>1</v>
      </c>
      <c r="H925" t="s">
        <v>2344</v>
      </c>
      <c r="I925" t="str">
        <f t="shared" si="29"/>
        <v>Over weight</v>
      </c>
      <c r="J925" t="str">
        <f t="shared" si="30"/>
        <v>Normal</v>
      </c>
    </row>
    <row r="926" spans="1:10" x14ac:dyDescent="0.35">
      <c r="A926" t="s">
        <v>926</v>
      </c>
      <c r="B926">
        <v>30.495000000000001</v>
      </c>
      <c r="C926">
        <v>8.68</v>
      </c>
      <c r="D926" t="s">
        <v>2344</v>
      </c>
      <c r="E926" t="s">
        <v>2344</v>
      </c>
      <c r="F926" t="s">
        <v>2344</v>
      </c>
      <c r="G926">
        <v>0</v>
      </c>
      <c r="H926" t="s">
        <v>2344</v>
      </c>
      <c r="I926" t="str">
        <f t="shared" si="29"/>
        <v>Obesity</v>
      </c>
      <c r="J926" t="str">
        <f t="shared" si="30"/>
        <v>Diabetes</v>
      </c>
    </row>
    <row r="927" spans="1:10" x14ac:dyDescent="0.35">
      <c r="A927" t="s">
        <v>927</v>
      </c>
      <c r="B927">
        <v>25.2</v>
      </c>
      <c r="C927">
        <v>6.25</v>
      </c>
      <c r="D927" t="s">
        <v>2346</v>
      </c>
      <c r="E927" t="s">
        <v>2344</v>
      </c>
      <c r="F927" t="s">
        <v>2344</v>
      </c>
      <c r="G927">
        <v>1</v>
      </c>
      <c r="H927" t="s">
        <v>2344</v>
      </c>
      <c r="I927" t="str">
        <f t="shared" si="29"/>
        <v>Over weight</v>
      </c>
      <c r="J927" t="str">
        <f t="shared" si="30"/>
        <v>Prediabetes</v>
      </c>
    </row>
    <row r="928" spans="1:10" x14ac:dyDescent="0.35">
      <c r="A928" t="s">
        <v>928</v>
      </c>
      <c r="B928">
        <v>22.77</v>
      </c>
      <c r="C928">
        <v>4.47</v>
      </c>
      <c r="D928" t="s">
        <v>2346</v>
      </c>
      <c r="E928" t="s">
        <v>2344</v>
      </c>
      <c r="F928" t="s">
        <v>2344</v>
      </c>
      <c r="G928">
        <v>1</v>
      </c>
      <c r="H928" t="s">
        <v>2344</v>
      </c>
      <c r="I928" t="str">
        <f t="shared" si="29"/>
        <v>Normal Weight</v>
      </c>
      <c r="J928" t="str">
        <f t="shared" si="30"/>
        <v>Normal</v>
      </c>
    </row>
    <row r="929" spans="1:10" x14ac:dyDescent="0.35">
      <c r="A929" t="s">
        <v>929</v>
      </c>
      <c r="B929">
        <v>23.18</v>
      </c>
      <c r="C929">
        <v>8.31</v>
      </c>
      <c r="D929" t="s">
        <v>2344</v>
      </c>
      <c r="E929" t="s">
        <v>2344</v>
      </c>
      <c r="F929" t="s">
        <v>2344</v>
      </c>
      <c r="G929">
        <v>0</v>
      </c>
      <c r="H929" t="s">
        <v>2344</v>
      </c>
      <c r="I929" t="str">
        <f t="shared" si="29"/>
        <v>Normal Weight</v>
      </c>
      <c r="J929" t="str">
        <f t="shared" si="30"/>
        <v>Diabetes</v>
      </c>
    </row>
    <row r="930" spans="1:10" x14ac:dyDescent="0.35">
      <c r="A930" t="s">
        <v>930</v>
      </c>
      <c r="B930">
        <v>35.409999999999997</v>
      </c>
      <c r="C930">
        <v>5.68</v>
      </c>
      <c r="D930" t="s">
        <v>2344</v>
      </c>
      <c r="E930" t="s">
        <v>2344</v>
      </c>
      <c r="F930" t="s">
        <v>2344</v>
      </c>
      <c r="G930">
        <v>0</v>
      </c>
      <c r="H930" t="s">
        <v>2344</v>
      </c>
      <c r="I930" t="str">
        <f t="shared" si="29"/>
        <v>Obesity</v>
      </c>
      <c r="J930" t="str">
        <f t="shared" si="30"/>
        <v>Normal</v>
      </c>
    </row>
    <row r="931" spans="1:10" x14ac:dyDescent="0.35">
      <c r="A931" t="s">
        <v>931</v>
      </c>
      <c r="B931">
        <v>32.11</v>
      </c>
      <c r="C931">
        <v>4.75</v>
      </c>
      <c r="D931" t="s">
        <v>2346</v>
      </c>
      <c r="E931" t="s">
        <v>2344</v>
      </c>
      <c r="F931" t="s">
        <v>2344</v>
      </c>
      <c r="G931">
        <v>1</v>
      </c>
      <c r="H931" t="s">
        <v>2344</v>
      </c>
      <c r="I931" t="str">
        <f t="shared" si="29"/>
        <v>Obesity</v>
      </c>
      <c r="J931" t="str">
        <f t="shared" si="30"/>
        <v>Normal</v>
      </c>
    </row>
    <row r="932" spans="1:10" x14ac:dyDescent="0.35">
      <c r="A932" t="s">
        <v>932</v>
      </c>
      <c r="B932">
        <v>34.479999999999997</v>
      </c>
      <c r="C932">
        <v>6.31</v>
      </c>
      <c r="D932" t="s">
        <v>2344</v>
      </c>
      <c r="E932" t="s">
        <v>2344</v>
      </c>
      <c r="F932" t="s">
        <v>2346</v>
      </c>
      <c r="G932">
        <v>1</v>
      </c>
      <c r="H932" t="s">
        <v>2344</v>
      </c>
      <c r="I932" t="str">
        <f t="shared" si="29"/>
        <v>Obesity</v>
      </c>
      <c r="J932" t="str">
        <f t="shared" si="30"/>
        <v>Prediabetes</v>
      </c>
    </row>
    <row r="933" spans="1:10" x14ac:dyDescent="0.35">
      <c r="A933" t="s">
        <v>933</v>
      </c>
      <c r="B933">
        <v>34.39</v>
      </c>
      <c r="C933">
        <v>6.28</v>
      </c>
      <c r="D933" t="s">
        <v>2346</v>
      </c>
      <c r="E933" t="s">
        <v>2344</v>
      </c>
      <c r="F933" t="s">
        <v>2344</v>
      </c>
      <c r="G933">
        <v>1</v>
      </c>
      <c r="H933" t="s">
        <v>2344</v>
      </c>
      <c r="I933" t="str">
        <f t="shared" si="29"/>
        <v>Obesity</v>
      </c>
      <c r="J933" t="str">
        <f t="shared" si="30"/>
        <v>Prediabetes</v>
      </c>
    </row>
    <row r="934" spans="1:10" x14ac:dyDescent="0.35">
      <c r="A934" t="s">
        <v>934</v>
      </c>
      <c r="B934">
        <v>26.4</v>
      </c>
      <c r="C934">
        <v>9.2899999999999991</v>
      </c>
      <c r="D934" t="s">
        <v>2346</v>
      </c>
      <c r="E934" t="s">
        <v>2344</v>
      </c>
      <c r="F934" t="s">
        <v>2346</v>
      </c>
      <c r="G934">
        <v>1</v>
      </c>
      <c r="H934" t="s">
        <v>2344</v>
      </c>
      <c r="I934" t="str">
        <f t="shared" si="29"/>
        <v>Over weight</v>
      </c>
      <c r="J934" t="str">
        <f t="shared" si="30"/>
        <v>Diabetes</v>
      </c>
    </row>
    <row r="935" spans="1:10" x14ac:dyDescent="0.35">
      <c r="A935" t="s">
        <v>935</v>
      </c>
      <c r="B935">
        <v>28.1</v>
      </c>
      <c r="C935">
        <v>5.79</v>
      </c>
      <c r="D935" t="s">
        <v>2346</v>
      </c>
      <c r="E935" t="s">
        <v>2344</v>
      </c>
      <c r="F935" t="s">
        <v>2346</v>
      </c>
      <c r="G935">
        <v>1</v>
      </c>
      <c r="H935" t="s">
        <v>2344</v>
      </c>
      <c r="I935" t="str">
        <f t="shared" si="29"/>
        <v>Over weight</v>
      </c>
      <c r="J935" t="str">
        <f t="shared" si="30"/>
        <v>Prediabetes</v>
      </c>
    </row>
    <row r="936" spans="1:10" x14ac:dyDescent="0.35">
      <c r="A936" t="s">
        <v>936</v>
      </c>
      <c r="B936">
        <v>27</v>
      </c>
      <c r="C936">
        <v>4.54</v>
      </c>
      <c r="D936" t="s">
        <v>2346</v>
      </c>
      <c r="E936" t="s">
        <v>2344</v>
      </c>
      <c r="F936" t="s">
        <v>2344</v>
      </c>
      <c r="G936">
        <v>1</v>
      </c>
      <c r="H936" t="s">
        <v>2344</v>
      </c>
      <c r="I936" t="str">
        <f t="shared" si="29"/>
        <v>Over weight</v>
      </c>
      <c r="J936" t="str">
        <f t="shared" si="30"/>
        <v>Normal</v>
      </c>
    </row>
    <row r="937" spans="1:10" x14ac:dyDescent="0.35">
      <c r="A937" t="s">
        <v>937</v>
      </c>
      <c r="B937">
        <v>28.594999999999999</v>
      </c>
      <c r="C937">
        <v>4.68</v>
      </c>
      <c r="D937" t="s">
        <v>2346</v>
      </c>
      <c r="E937" t="s">
        <v>2344</v>
      </c>
      <c r="F937" t="s">
        <v>2344</v>
      </c>
      <c r="G937">
        <v>1</v>
      </c>
      <c r="H937" t="s">
        <v>2344</v>
      </c>
      <c r="I937" t="str">
        <f t="shared" si="29"/>
        <v>Over weight</v>
      </c>
      <c r="J937" t="str">
        <f t="shared" si="30"/>
        <v>Normal</v>
      </c>
    </row>
    <row r="938" spans="1:10" x14ac:dyDescent="0.35">
      <c r="A938" t="s">
        <v>938</v>
      </c>
      <c r="B938">
        <v>36.799999999999997</v>
      </c>
      <c r="C938">
        <v>5.88</v>
      </c>
      <c r="D938" t="s">
        <v>2344</v>
      </c>
      <c r="E938" t="s">
        <v>2344</v>
      </c>
      <c r="F938" t="s">
        <v>2344</v>
      </c>
      <c r="G938">
        <v>1</v>
      </c>
      <c r="H938" t="s">
        <v>2344</v>
      </c>
      <c r="I938" t="str">
        <f t="shared" si="29"/>
        <v>Obesity</v>
      </c>
      <c r="J938" t="str">
        <f t="shared" si="30"/>
        <v>Prediabetes</v>
      </c>
    </row>
    <row r="939" spans="1:10" x14ac:dyDescent="0.35">
      <c r="A939" t="s">
        <v>939</v>
      </c>
      <c r="B939">
        <v>23.75</v>
      </c>
      <c r="C939">
        <v>5.42</v>
      </c>
      <c r="D939" t="s">
        <v>2346</v>
      </c>
      <c r="E939" t="s">
        <v>2344</v>
      </c>
      <c r="F939" t="s">
        <v>2346</v>
      </c>
      <c r="G939">
        <v>1</v>
      </c>
      <c r="H939" t="s">
        <v>2344</v>
      </c>
      <c r="I939" t="str">
        <f t="shared" si="29"/>
        <v>Normal Weight</v>
      </c>
      <c r="J939" t="str">
        <f t="shared" si="30"/>
        <v>Normal</v>
      </c>
    </row>
    <row r="940" spans="1:10" x14ac:dyDescent="0.35">
      <c r="A940" t="s">
        <v>940</v>
      </c>
      <c r="B940">
        <v>35.619999999999997</v>
      </c>
      <c r="C940">
        <v>4.16</v>
      </c>
      <c r="D940" t="s">
        <v>2344</v>
      </c>
      <c r="E940" t="s">
        <v>2344</v>
      </c>
      <c r="F940" t="s">
        <v>2344</v>
      </c>
      <c r="G940">
        <v>0</v>
      </c>
      <c r="H940" t="s">
        <v>2344</v>
      </c>
      <c r="I940" t="str">
        <f t="shared" si="29"/>
        <v>Obesity</v>
      </c>
      <c r="J940" t="str">
        <f t="shared" si="30"/>
        <v>Normal</v>
      </c>
    </row>
    <row r="941" spans="1:10" x14ac:dyDescent="0.35">
      <c r="A941" t="s">
        <v>941</v>
      </c>
      <c r="B941">
        <v>30.69</v>
      </c>
      <c r="C941">
        <v>7.05</v>
      </c>
      <c r="D941" t="s">
        <v>2346</v>
      </c>
      <c r="E941" t="s">
        <v>2344</v>
      </c>
      <c r="F941" t="s">
        <v>2344</v>
      </c>
      <c r="G941">
        <v>1</v>
      </c>
      <c r="H941" t="s">
        <v>2344</v>
      </c>
      <c r="I941" t="str">
        <f t="shared" si="29"/>
        <v>Obesity</v>
      </c>
      <c r="J941" t="str">
        <f t="shared" si="30"/>
        <v>Diabetes</v>
      </c>
    </row>
    <row r="942" spans="1:10" x14ac:dyDescent="0.35">
      <c r="A942" t="s">
        <v>942</v>
      </c>
      <c r="B942">
        <v>35.799999999999997</v>
      </c>
      <c r="C942">
        <v>5.63</v>
      </c>
      <c r="D942" t="s">
        <v>2346</v>
      </c>
      <c r="E942" t="s">
        <v>2344</v>
      </c>
      <c r="F942" t="s">
        <v>2344</v>
      </c>
      <c r="G942">
        <v>1</v>
      </c>
      <c r="H942" t="s">
        <v>2344</v>
      </c>
      <c r="I942" t="str">
        <f t="shared" si="29"/>
        <v>Obesity</v>
      </c>
      <c r="J942" t="str">
        <f t="shared" si="30"/>
        <v>Normal</v>
      </c>
    </row>
    <row r="943" spans="1:10" x14ac:dyDescent="0.35">
      <c r="A943" t="s">
        <v>943</v>
      </c>
      <c r="B943">
        <v>28.785</v>
      </c>
      <c r="C943">
        <v>4.24</v>
      </c>
      <c r="D943" t="s">
        <v>2346</v>
      </c>
      <c r="E943" t="s">
        <v>2344</v>
      </c>
      <c r="F943" t="s">
        <v>2344</v>
      </c>
      <c r="G943">
        <v>1</v>
      </c>
      <c r="H943" t="s">
        <v>2344</v>
      </c>
      <c r="I943" t="str">
        <f t="shared" si="29"/>
        <v>Over weight</v>
      </c>
      <c r="J943" t="str">
        <f t="shared" si="30"/>
        <v>Normal</v>
      </c>
    </row>
    <row r="944" spans="1:10" x14ac:dyDescent="0.35">
      <c r="A944" t="s">
        <v>944</v>
      </c>
      <c r="B944">
        <v>28.594999999999999</v>
      </c>
      <c r="C944">
        <v>4.96</v>
      </c>
      <c r="D944" t="s">
        <v>2346</v>
      </c>
      <c r="E944" t="s">
        <v>2344</v>
      </c>
      <c r="F944" t="s">
        <v>2344</v>
      </c>
      <c r="G944">
        <v>1</v>
      </c>
      <c r="H944" t="s">
        <v>2344</v>
      </c>
      <c r="I944" t="str">
        <f t="shared" si="29"/>
        <v>Over weight</v>
      </c>
      <c r="J944" t="str">
        <f t="shared" si="30"/>
        <v>Normal</v>
      </c>
    </row>
    <row r="945" spans="1:10" x14ac:dyDescent="0.35">
      <c r="A945" t="s">
        <v>945</v>
      </c>
      <c r="B945">
        <v>48.75</v>
      </c>
      <c r="C945">
        <v>4.34</v>
      </c>
      <c r="D945" t="s">
        <v>2344</v>
      </c>
      <c r="E945" t="s">
        <v>2344</v>
      </c>
      <c r="F945" t="s">
        <v>2344</v>
      </c>
      <c r="G945">
        <v>0</v>
      </c>
      <c r="H945" t="s">
        <v>2344</v>
      </c>
      <c r="I945" t="str">
        <f t="shared" si="29"/>
        <v>Obesity</v>
      </c>
      <c r="J945" t="str">
        <f t="shared" si="30"/>
        <v>Normal</v>
      </c>
    </row>
    <row r="946" spans="1:10" x14ac:dyDescent="0.35">
      <c r="A946" t="s">
        <v>946</v>
      </c>
      <c r="B946">
        <v>28.31</v>
      </c>
      <c r="C946">
        <v>5.43</v>
      </c>
      <c r="D946" t="s">
        <v>2346</v>
      </c>
      <c r="E946" t="s">
        <v>2344</v>
      </c>
      <c r="F946" t="s">
        <v>2344</v>
      </c>
      <c r="G946">
        <v>1</v>
      </c>
      <c r="H946" t="s">
        <v>2344</v>
      </c>
      <c r="I946" t="str">
        <f t="shared" si="29"/>
        <v>Over weight</v>
      </c>
      <c r="J946" t="str">
        <f t="shared" si="30"/>
        <v>Normal</v>
      </c>
    </row>
    <row r="947" spans="1:10" x14ac:dyDescent="0.35">
      <c r="A947" t="s">
        <v>947</v>
      </c>
      <c r="B947">
        <v>38.39</v>
      </c>
      <c r="C947">
        <v>8.33</v>
      </c>
      <c r="D947" t="s">
        <v>2346</v>
      </c>
      <c r="E947" t="s">
        <v>2344</v>
      </c>
      <c r="F947" t="s">
        <v>2344</v>
      </c>
      <c r="G947">
        <v>1</v>
      </c>
      <c r="H947" t="s">
        <v>2344</v>
      </c>
      <c r="I947" t="str">
        <f t="shared" si="29"/>
        <v>Obesity</v>
      </c>
      <c r="J947" t="str">
        <f t="shared" si="30"/>
        <v>Diabetes</v>
      </c>
    </row>
    <row r="948" spans="1:10" x14ac:dyDescent="0.35">
      <c r="A948" t="s">
        <v>948</v>
      </c>
      <c r="B948">
        <v>25.87</v>
      </c>
      <c r="C948">
        <v>5.63</v>
      </c>
      <c r="D948" t="s">
        <v>2346</v>
      </c>
      <c r="E948" t="s">
        <v>2344</v>
      </c>
      <c r="F948" t="s">
        <v>2344</v>
      </c>
      <c r="G948">
        <v>1</v>
      </c>
      <c r="H948" t="s">
        <v>2344</v>
      </c>
      <c r="I948" t="str">
        <f t="shared" si="29"/>
        <v>Over weight</v>
      </c>
      <c r="J948" t="str">
        <f t="shared" si="30"/>
        <v>Normal</v>
      </c>
    </row>
    <row r="949" spans="1:10" x14ac:dyDescent="0.35">
      <c r="A949" t="s">
        <v>949</v>
      </c>
      <c r="B949">
        <v>43.7</v>
      </c>
      <c r="C949">
        <v>7.23</v>
      </c>
      <c r="D949" t="s">
        <v>2344</v>
      </c>
      <c r="E949" t="s">
        <v>2344</v>
      </c>
      <c r="F949" t="s">
        <v>2344</v>
      </c>
      <c r="G949">
        <v>0</v>
      </c>
      <c r="H949" t="s">
        <v>2344</v>
      </c>
      <c r="I949" t="str">
        <f t="shared" si="29"/>
        <v>Obesity</v>
      </c>
      <c r="J949" t="str">
        <f t="shared" si="30"/>
        <v>Diabetes</v>
      </c>
    </row>
    <row r="950" spans="1:10" x14ac:dyDescent="0.35">
      <c r="A950" t="s">
        <v>950</v>
      </c>
      <c r="B950">
        <v>40.945</v>
      </c>
      <c r="C950">
        <v>10.57</v>
      </c>
      <c r="D950" t="s">
        <v>2344</v>
      </c>
      <c r="E950" t="s">
        <v>2344</v>
      </c>
      <c r="F950" t="s">
        <v>2344</v>
      </c>
      <c r="G950">
        <v>0</v>
      </c>
      <c r="H950" t="s">
        <v>2344</v>
      </c>
      <c r="I950" t="str">
        <f t="shared" si="29"/>
        <v>Obesity</v>
      </c>
      <c r="J950" t="str">
        <f t="shared" si="30"/>
        <v>Diabetes</v>
      </c>
    </row>
    <row r="951" spans="1:10" x14ac:dyDescent="0.35">
      <c r="A951" t="s">
        <v>951</v>
      </c>
      <c r="B951">
        <v>27.94</v>
      </c>
      <c r="C951">
        <v>7.92</v>
      </c>
      <c r="D951" t="s">
        <v>2344</v>
      </c>
      <c r="E951" t="s">
        <v>2344</v>
      </c>
      <c r="F951" t="s">
        <v>2344</v>
      </c>
      <c r="G951">
        <v>0</v>
      </c>
      <c r="H951" t="s">
        <v>2344</v>
      </c>
      <c r="I951" t="str">
        <f t="shared" si="29"/>
        <v>Over weight</v>
      </c>
      <c r="J951" t="str">
        <f t="shared" si="30"/>
        <v>Diabetes</v>
      </c>
    </row>
    <row r="952" spans="1:10" x14ac:dyDescent="0.35">
      <c r="A952" t="s">
        <v>952</v>
      </c>
      <c r="B952">
        <v>31.9</v>
      </c>
      <c r="C952">
        <v>10.119999999999999</v>
      </c>
      <c r="D952" t="s">
        <v>2344</v>
      </c>
      <c r="E952" t="s">
        <v>2344</v>
      </c>
      <c r="F952" t="s">
        <v>2344</v>
      </c>
      <c r="G952">
        <v>1</v>
      </c>
      <c r="H952" t="s">
        <v>2344</v>
      </c>
      <c r="I952" t="str">
        <f t="shared" si="29"/>
        <v>Obesity</v>
      </c>
      <c r="J952" t="str">
        <f t="shared" si="30"/>
        <v>Diabetes</v>
      </c>
    </row>
    <row r="953" spans="1:10" x14ac:dyDescent="0.35">
      <c r="A953" t="s">
        <v>953</v>
      </c>
      <c r="B953">
        <v>31.64</v>
      </c>
      <c r="C953">
        <v>7.91</v>
      </c>
      <c r="D953" t="s">
        <v>2344</v>
      </c>
      <c r="E953" t="s">
        <v>2344</v>
      </c>
      <c r="F953" t="s">
        <v>2344</v>
      </c>
      <c r="G953">
        <v>0</v>
      </c>
      <c r="H953" t="s">
        <v>2344</v>
      </c>
      <c r="I953" t="str">
        <f t="shared" si="29"/>
        <v>Obesity</v>
      </c>
      <c r="J953" t="str">
        <f t="shared" si="30"/>
        <v>Diabetes</v>
      </c>
    </row>
    <row r="954" spans="1:10" x14ac:dyDescent="0.35">
      <c r="A954" t="s">
        <v>954</v>
      </c>
      <c r="B954">
        <v>46.7</v>
      </c>
      <c r="C954">
        <v>10.9</v>
      </c>
      <c r="D954" t="s">
        <v>2344</v>
      </c>
      <c r="E954" t="s">
        <v>2344</v>
      </c>
      <c r="F954" t="s">
        <v>2344</v>
      </c>
      <c r="G954">
        <v>0</v>
      </c>
      <c r="H954" t="s">
        <v>2344</v>
      </c>
      <c r="I954" t="str">
        <f t="shared" si="29"/>
        <v>Obesity</v>
      </c>
      <c r="J954" t="str">
        <f t="shared" si="30"/>
        <v>Diabetes</v>
      </c>
    </row>
    <row r="955" spans="1:10" x14ac:dyDescent="0.35">
      <c r="A955" t="s">
        <v>955</v>
      </c>
      <c r="B955">
        <v>18.335000000000001</v>
      </c>
      <c r="C955">
        <v>11.83</v>
      </c>
      <c r="D955" t="s">
        <v>2344</v>
      </c>
      <c r="E955" t="s">
        <v>2344</v>
      </c>
      <c r="F955" t="s">
        <v>2344</v>
      </c>
      <c r="G955">
        <v>0</v>
      </c>
      <c r="H955" t="s">
        <v>2344</v>
      </c>
      <c r="I955" t="str">
        <f t="shared" si="29"/>
        <v>Under Weight</v>
      </c>
      <c r="J955" t="str">
        <f t="shared" si="30"/>
        <v>Diabetes</v>
      </c>
    </row>
    <row r="956" spans="1:10" x14ac:dyDescent="0.35">
      <c r="A956" t="s">
        <v>956</v>
      </c>
      <c r="B956">
        <v>31.24</v>
      </c>
      <c r="C956">
        <v>7.42</v>
      </c>
      <c r="D956" t="s">
        <v>2346</v>
      </c>
      <c r="E956" t="s">
        <v>2344</v>
      </c>
      <c r="F956" t="s">
        <v>2344</v>
      </c>
      <c r="G956">
        <v>1</v>
      </c>
      <c r="H956" t="s">
        <v>2344</v>
      </c>
      <c r="I956" t="str">
        <f t="shared" si="29"/>
        <v>Obesity</v>
      </c>
      <c r="J956" t="str">
        <f t="shared" si="30"/>
        <v>Diabetes</v>
      </c>
    </row>
    <row r="957" spans="1:10" x14ac:dyDescent="0.35">
      <c r="A957" t="s">
        <v>957</v>
      </c>
      <c r="B957">
        <v>39.22</v>
      </c>
      <c r="C957">
        <v>5.62</v>
      </c>
      <c r="D957" t="s">
        <v>2346</v>
      </c>
      <c r="E957" t="s">
        <v>2344</v>
      </c>
      <c r="F957" t="s">
        <v>2344</v>
      </c>
      <c r="G957">
        <v>1</v>
      </c>
      <c r="H957" t="s">
        <v>2344</v>
      </c>
      <c r="I957" t="str">
        <f t="shared" si="29"/>
        <v>Obesity</v>
      </c>
      <c r="J957" t="str">
        <f t="shared" si="30"/>
        <v>Normal</v>
      </c>
    </row>
    <row r="958" spans="1:10" x14ac:dyDescent="0.35">
      <c r="A958" t="s">
        <v>958</v>
      </c>
      <c r="B958">
        <v>24.414999999999999</v>
      </c>
      <c r="C958">
        <v>7.16</v>
      </c>
      <c r="D958" t="s">
        <v>2344</v>
      </c>
      <c r="E958" t="s">
        <v>2344</v>
      </c>
      <c r="F958" t="s">
        <v>2344</v>
      </c>
      <c r="G958">
        <v>0</v>
      </c>
      <c r="H958" t="s">
        <v>2344</v>
      </c>
      <c r="I958" t="str">
        <f t="shared" si="29"/>
        <v>Normal Weight</v>
      </c>
      <c r="J958" t="str">
        <f t="shared" si="30"/>
        <v>Diabetes</v>
      </c>
    </row>
    <row r="959" spans="1:10" x14ac:dyDescent="0.35">
      <c r="A959" t="s">
        <v>959</v>
      </c>
      <c r="B959">
        <v>32.299999999999997</v>
      </c>
      <c r="C959">
        <v>9.89</v>
      </c>
      <c r="D959" t="s">
        <v>2344</v>
      </c>
      <c r="E959" t="s">
        <v>2344</v>
      </c>
      <c r="F959" t="s">
        <v>2344</v>
      </c>
      <c r="G959">
        <v>0</v>
      </c>
      <c r="H959" t="s">
        <v>2344</v>
      </c>
      <c r="I959" t="str">
        <f t="shared" si="29"/>
        <v>Obesity</v>
      </c>
      <c r="J959" t="str">
        <f t="shared" si="30"/>
        <v>Diabetes</v>
      </c>
    </row>
    <row r="960" spans="1:10" x14ac:dyDescent="0.35">
      <c r="A960" t="s">
        <v>960</v>
      </c>
      <c r="B960">
        <v>39.94</v>
      </c>
      <c r="C960">
        <v>5.14</v>
      </c>
      <c r="D960" t="s">
        <v>2344</v>
      </c>
      <c r="E960" t="s">
        <v>2344</v>
      </c>
      <c r="F960" t="s">
        <v>2344</v>
      </c>
      <c r="G960">
        <v>0</v>
      </c>
      <c r="H960" t="s">
        <v>2344</v>
      </c>
      <c r="I960" t="str">
        <f t="shared" si="29"/>
        <v>Obesity</v>
      </c>
      <c r="J960" t="str">
        <f t="shared" si="30"/>
        <v>Normal</v>
      </c>
    </row>
    <row r="961" spans="1:10" x14ac:dyDescent="0.35">
      <c r="A961" t="s">
        <v>961</v>
      </c>
      <c r="B961">
        <v>30</v>
      </c>
      <c r="C961">
        <v>5.61</v>
      </c>
      <c r="D961" t="s">
        <v>2346</v>
      </c>
      <c r="E961" t="s">
        <v>2344</v>
      </c>
      <c r="F961" t="s">
        <v>2346</v>
      </c>
      <c r="G961">
        <v>1</v>
      </c>
      <c r="H961" t="s">
        <v>2344</v>
      </c>
      <c r="I961" t="str">
        <f t="shared" si="29"/>
        <v>Obesity</v>
      </c>
      <c r="J961" t="str">
        <f t="shared" si="30"/>
        <v>Normal</v>
      </c>
    </row>
    <row r="962" spans="1:10" x14ac:dyDescent="0.35">
      <c r="A962" t="s">
        <v>962</v>
      </c>
      <c r="B962">
        <v>35.340000000000003</v>
      </c>
      <c r="C962">
        <v>5.51</v>
      </c>
      <c r="D962" t="s">
        <v>2346</v>
      </c>
      <c r="E962" t="s">
        <v>2344</v>
      </c>
      <c r="F962" t="s">
        <v>2346</v>
      </c>
      <c r="G962">
        <v>1</v>
      </c>
      <c r="H962" t="s">
        <v>2344</v>
      </c>
      <c r="I962" t="str">
        <f t="shared" si="29"/>
        <v>Obesity</v>
      </c>
      <c r="J962" t="str">
        <f t="shared" si="30"/>
        <v>Normal</v>
      </c>
    </row>
    <row r="963" spans="1:10" x14ac:dyDescent="0.35">
      <c r="A963" t="s">
        <v>963</v>
      </c>
      <c r="B963">
        <v>32.204999999999998</v>
      </c>
      <c r="C963">
        <v>8.3800000000000008</v>
      </c>
      <c r="D963" t="s">
        <v>2346</v>
      </c>
      <c r="E963" t="s">
        <v>2344</v>
      </c>
      <c r="F963" t="s">
        <v>2344</v>
      </c>
      <c r="G963">
        <v>1</v>
      </c>
      <c r="H963" t="s">
        <v>2344</v>
      </c>
      <c r="I963" t="str">
        <f t="shared" ref="I963:I1026" si="31">IF(B963&lt;18.5,"Under Weight",IF(B963&lt;25,"Normal Weight",IF(B963&lt;30,"Over weight","Obesity")))</f>
        <v>Obesity</v>
      </c>
      <c r="J963" t="str">
        <f t="shared" si="30"/>
        <v>Diabetes</v>
      </c>
    </row>
    <row r="964" spans="1:10" x14ac:dyDescent="0.35">
      <c r="A964" t="s">
        <v>964</v>
      </c>
      <c r="B964">
        <v>33.880000000000003</v>
      </c>
      <c r="C964">
        <v>4.68</v>
      </c>
      <c r="D964" t="s">
        <v>2344</v>
      </c>
      <c r="E964" t="s">
        <v>2345</v>
      </c>
      <c r="F964" t="s">
        <v>2344</v>
      </c>
      <c r="G964">
        <v>1</v>
      </c>
      <c r="H964" t="s">
        <v>2344</v>
      </c>
      <c r="I964" t="str">
        <f t="shared" si="31"/>
        <v>Obesity</v>
      </c>
      <c r="J964" t="str">
        <f t="shared" si="30"/>
        <v>Normal</v>
      </c>
    </row>
    <row r="965" spans="1:10" x14ac:dyDescent="0.35">
      <c r="A965" t="s">
        <v>965</v>
      </c>
      <c r="B965">
        <v>26.63</v>
      </c>
      <c r="C965">
        <v>4.3600000000000003</v>
      </c>
      <c r="D965" t="s">
        <v>2346</v>
      </c>
      <c r="E965" t="s">
        <v>2344</v>
      </c>
      <c r="F965" t="s">
        <v>2344</v>
      </c>
      <c r="G965">
        <v>1</v>
      </c>
      <c r="H965" t="s">
        <v>2344</v>
      </c>
      <c r="I965" t="str">
        <f t="shared" si="31"/>
        <v>Over weight</v>
      </c>
      <c r="J965" t="str">
        <f t="shared" si="30"/>
        <v>Normal</v>
      </c>
    </row>
    <row r="966" spans="1:10" x14ac:dyDescent="0.35">
      <c r="A966" t="s">
        <v>966</v>
      </c>
      <c r="B966">
        <v>28.7</v>
      </c>
      <c r="C966">
        <v>7.74</v>
      </c>
      <c r="D966" t="s">
        <v>2344</v>
      </c>
      <c r="E966" t="s">
        <v>2344</v>
      </c>
      <c r="F966" t="s">
        <v>2344</v>
      </c>
      <c r="G966">
        <v>0</v>
      </c>
      <c r="H966" t="s">
        <v>2344</v>
      </c>
      <c r="I966" t="str">
        <f t="shared" si="31"/>
        <v>Over weight</v>
      </c>
      <c r="J966" t="str">
        <f t="shared" si="30"/>
        <v>Diabetes</v>
      </c>
    </row>
    <row r="967" spans="1:10" x14ac:dyDescent="0.35">
      <c r="A967" t="s">
        <v>967</v>
      </c>
      <c r="B967">
        <v>25.65</v>
      </c>
      <c r="C967">
        <v>4.05</v>
      </c>
      <c r="D967" t="s">
        <v>2346</v>
      </c>
      <c r="E967" t="s">
        <v>2344</v>
      </c>
      <c r="F967" t="s">
        <v>2344</v>
      </c>
      <c r="G967">
        <v>1</v>
      </c>
      <c r="H967" t="s">
        <v>2344</v>
      </c>
      <c r="I967" t="str">
        <f t="shared" si="31"/>
        <v>Over weight</v>
      </c>
      <c r="J967" t="str">
        <f t="shared" si="30"/>
        <v>Normal</v>
      </c>
    </row>
    <row r="968" spans="1:10" x14ac:dyDescent="0.35">
      <c r="A968" t="s">
        <v>968</v>
      </c>
      <c r="B968">
        <v>36.384999999999998</v>
      </c>
      <c r="C968">
        <v>11.49</v>
      </c>
      <c r="D968" t="s">
        <v>2344</v>
      </c>
      <c r="E968" t="s">
        <v>2344</v>
      </c>
      <c r="F968" t="s">
        <v>2344</v>
      </c>
      <c r="G968">
        <v>0</v>
      </c>
      <c r="H968" t="s">
        <v>2344</v>
      </c>
      <c r="I968" t="str">
        <f t="shared" si="31"/>
        <v>Obesity</v>
      </c>
      <c r="J968" t="str">
        <f t="shared" si="30"/>
        <v>Diabetes</v>
      </c>
    </row>
    <row r="969" spans="1:10" x14ac:dyDescent="0.35">
      <c r="A969" t="s">
        <v>969</v>
      </c>
      <c r="B969">
        <v>34.69</v>
      </c>
      <c r="C969">
        <v>5.65</v>
      </c>
      <c r="D969" t="s">
        <v>2344</v>
      </c>
      <c r="E969" t="s">
        <v>2344</v>
      </c>
      <c r="F969" t="s">
        <v>2344</v>
      </c>
      <c r="G969">
        <v>0</v>
      </c>
      <c r="H969" t="s">
        <v>2344</v>
      </c>
      <c r="I969" t="str">
        <f t="shared" si="31"/>
        <v>Obesity</v>
      </c>
      <c r="J969" t="str">
        <f t="shared" si="30"/>
        <v>Normal</v>
      </c>
    </row>
    <row r="970" spans="1:10" x14ac:dyDescent="0.35">
      <c r="A970" t="s">
        <v>970</v>
      </c>
      <c r="B970">
        <v>37.68</v>
      </c>
      <c r="C970">
        <v>4.29</v>
      </c>
      <c r="D970" t="s">
        <v>2346</v>
      </c>
      <c r="E970" t="s">
        <v>2344</v>
      </c>
      <c r="F970" t="s">
        <v>2344</v>
      </c>
      <c r="G970">
        <v>0</v>
      </c>
      <c r="H970" t="s">
        <v>2344</v>
      </c>
      <c r="I970" t="str">
        <f t="shared" si="31"/>
        <v>Obesity</v>
      </c>
      <c r="J970" t="str">
        <f t="shared" si="30"/>
        <v>Normal</v>
      </c>
    </row>
    <row r="971" spans="1:10" x14ac:dyDescent="0.35">
      <c r="A971" t="s">
        <v>971</v>
      </c>
      <c r="B971">
        <v>35.49</v>
      </c>
      <c r="C971">
        <v>4.74</v>
      </c>
      <c r="D971" t="s">
        <v>2346</v>
      </c>
      <c r="E971" t="s">
        <v>2344</v>
      </c>
      <c r="F971" t="s">
        <v>2346</v>
      </c>
      <c r="G971">
        <v>1</v>
      </c>
      <c r="H971" t="s">
        <v>2344</v>
      </c>
      <c r="I971" t="str">
        <f t="shared" si="31"/>
        <v>Obesity</v>
      </c>
      <c r="J971" t="str">
        <f t="shared" si="30"/>
        <v>Normal</v>
      </c>
    </row>
    <row r="972" spans="1:10" x14ac:dyDescent="0.35">
      <c r="A972" t="s">
        <v>972</v>
      </c>
      <c r="B972">
        <v>44.7</v>
      </c>
      <c r="C972">
        <v>7.6</v>
      </c>
      <c r="D972" t="s">
        <v>2346</v>
      </c>
      <c r="E972" t="s">
        <v>2344</v>
      </c>
      <c r="F972" t="s">
        <v>2344</v>
      </c>
      <c r="G972">
        <v>1</v>
      </c>
      <c r="H972" t="s">
        <v>2344</v>
      </c>
      <c r="I972" t="str">
        <f t="shared" si="31"/>
        <v>Obesity</v>
      </c>
      <c r="J972" t="str">
        <f t="shared" ref="J972:J1035" si="32">IF(C972&lt;5.7,"Normal",IF(C972&lt;6.5,"Prediabetes","Diabetes"))</f>
        <v>Diabetes</v>
      </c>
    </row>
    <row r="973" spans="1:10" x14ac:dyDescent="0.35">
      <c r="A973" t="s">
        <v>973</v>
      </c>
      <c r="B973">
        <v>38.380000000000003</v>
      </c>
      <c r="C973">
        <v>8.5</v>
      </c>
      <c r="D973" t="s">
        <v>2346</v>
      </c>
      <c r="E973" t="s">
        <v>2344</v>
      </c>
      <c r="F973" t="s">
        <v>2344</v>
      </c>
      <c r="G973">
        <v>1</v>
      </c>
      <c r="H973" t="s">
        <v>2344</v>
      </c>
      <c r="I973" t="str">
        <f t="shared" si="31"/>
        <v>Obesity</v>
      </c>
      <c r="J973" t="str">
        <f t="shared" si="32"/>
        <v>Diabetes</v>
      </c>
    </row>
    <row r="974" spans="1:10" x14ac:dyDescent="0.35">
      <c r="A974" t="s">
        <v>974</v>
      </c>
      <c r="B974">
        <v>35.244999999999997</v>
      </c>
      <c r="C974">
        <v>11.22</v>
      </c>
      <c r="D974" t="s">
        <v>2346</v>
      </c>
      <c r="E974" t="s">
        <v>2344</v>
      </c>
      <c r="F974" t="s">
        <v>2344</v>
      </c>
      <c r="G974">
        <v>0</v>
      </c>
      <c r="H974" t="s">
        <v>2344</v>
      </c>
      <c r="I974" t="str">
        <f t="shared" si="31"/>
        <v>Obesity</v>
      </c>
      <c r="J974" t="str">
        <f t="shared" si="32"/>
        <v>Diabetes</v>
      </c>
    </row>
    <row r="975" spans="1:10" x14ac:dyDescent="0.35">
      <c r="A975" t="s">
        <v>975</v>
      </c>
      <c r="B975">
        <v>49.84</v>
      </c>
      <c r="C975">
        <v>5.0999999999999996</v>
      </c>
      <c r="D975" t="s">
        <v>2346</v>
      </c>
      <c r="E975" t="s">
        <v>2344</v>
      </c>
      <c r="F975" t="s">
        <v>2346</v>
      </c>
      <c r="G975">
        <v>1</v>
      </c>
      <c r="H975" t="s">
        <v>2344</v>
      </c>
      <c r="I975" t="str">
        <f t="shared" si="31"/>
        <v>Obesity</v>
      </c>
      <c r="J975" t="str">
        <f t="shared" si="32"/>
        <v>Normal</v>
      </c>
    </row>
    <row r="976" spans="1:10" x14ac:dyDescent="0.35">
      <c r="A976" t="s">
        <v>976</v>
      </c>
      <c r="B976">
        <v>49.06</v>
      </c>
      <c r="C976">
        <v>5.43</v>
      </c>
      <c r="D976" t="s">
        <v>2346</v>
      </c>
      <c r="E976" t="s">
        <v>2344</v>
      </c>
      <c r="F976" t="s">
        <v>2344</v>
      </c>
      <c r="G976">
        <v>1</v>
      </c>
      <c r="H976" t="s">
        <v>2344</v>
      </c>
      <c r="I976" t="str">
        <f t="shared" si="31"/>
        <v>Obesity</v>
      </c>
      <c r="J976" t="str">
        <f t="shared" si="32"/>
        <v>Normal</v>
      </c>
    </row>
    <row r="977" spans="1:10" x14ac:dyDescent="0.35">
      <c r="A977" t="s">
        <v>977</v>
      </c>
      <c r="B977">
        <v>30.88</v>
      </c>
      <c r="C977">
        <v>5.82</v>
      </c>
      <c r="D977" t="s">
        <v>2344</v>
      </c>
      <c r="E977" t="s">
        <v>2344</v>
      </c>
      <c r="F977" t="s">
        <v>2344</v>
      </c>
      <c r="G977">
        <v>1</v>
      </c>
      <c r="H977" t="s">
        <v>2344</v>
      </c>
      <c r="I977" t="str">
        <f t="shared" si="31"/>
        <v>Obesity</v>
      </c>
      <c r="J977" t="str">
        <f t="shared" si="32"/>
        <v>Prediabetes</v>
      </c>
    </row>
    <row r="978" spans="1:10" x14ac:dyDescent="0.35">
      <c r="A978" t="s">
        <v>978</v>
      </c>
      <c r="B978">
        <v>33.35</v>
      </c>
      <c r="C978">
        <v>6.05</v>
      </c>
      <c r="D978" t="s">
        <v>2344</v>
      </c>
      <c r="E978" t="s">
        <v>2344</v>
      </c>
      <c r="F978" t="s">
        <v>2346</v>
      </c>
      <c r="G978">
        <v>1</v>
      </c>
      <c r="H978" t="s">
        <v>2344</v>
      </c>
      <c r="I978" t="str">
        <f t="shared" si="31"/>
        <v>Obesity</v>
      </c>
      <c r="J978" t="str">
        <f t="shared" si="32"/>
        <v>Prediabetes</v>
      </c>
    </row>
    <row r="979" spans="1:10" x14ac:dyDescent="0.35">
      <c r="A979" t="s">
        <v>979</v>
      </c>
      <c r="B979">
        <v>38</v>
      </c>
      <c r="C979">
        <v>6.38</v>
      </c>
      <c r="D979" t="s">
        <v>2346</v>
      </c>
      <c r="E979" t="s">
        <v>2344</v>
      </c>
      <c r="F979" t="s">
        <v>2344</v>
      </c>
      <c r="G979">
        <v>1</v>
      </c>
      <c r="H979" t="s">
        <v>2344</v>
      </c>
      <c r="I979" t="str">
        <f t="shared" si="31"/>
        <v>Obesity</v>
      </c>
      <c r="J979" t="str">
        <f t="shared" si="32"/>
        <v>Prediabetes</v>
      </c>
    </row>
    <row r="980" spans="1:10" x14ac:dyDescent="0.35">
      <c r="A980" t="s">
        <v>980</v>
      </c>
      <c r="B980">
        <v>36.08</v>
      </c>
      <c r="C980">
        <v>5.73</v>
      </c>
      <c r="D980" t="s">
        <v>2346</v>
      </c>
      <c r="E980" t="s">
        <v>2344</v>
      </c>
      <c r="F980" t="s">
        <v>2344</v>
      </c>
      <c r="G980">
        <v>1</v>
      </c>
      <c r="H980" t="s">
        <v>2344</v>
      </c>
      <c r="I980" t="str">
        <f t="shared" si="31"/>
        <v>Obesity</v>
      </c>
      <c r="J980" t="str">
        <f t="shared" si="32"/>
        <v>Prediabetes</v>
      </c>
    </row>
    <row r="981" spans="1:10" x14ac:dyDescent="0.35">
      <c r="A981" t="s">
        <v>981</v>
      </c>
      <c r="B981">
        <v>35.700000000000003</v>
      </c>
      <c r="C981">
        <v>5.47</v>
      </c>
      <c r="D981" t="s">
        <v>2346</v>
      </c>
      <c r="E981" t="s">
        <v>2344</v>
      </c>
      <c r="F981" t="s">
        <v>2344</v>
      </c>
      <c r="G981">
        <v>1</v>
      </c>
      <c r="H981" t="s">
        <v>2344</v>
      </c>
      <c r="I981" t="str">
        <f t="shared" si="31"/>
        <v>Obesity</v>
      </c>
      <c r="J981" t="str">
        <f t="shared" si="32"/>
        <v>Normal</v>
      </c>
    </row>
    <row r="982" spans="1:10" x14ac:dyDescent="0.35">
      <c r="A982" t="s">
        <v>982</v>
      </c>
      <c r="B982">
        <v>34.01</v>
      </c>
      <c r="C982">
        <v>11.3</v>
      </c>
      <c r="D982" t="s">
        <v>2344</v>
      </c>
      <c r="E982" t="s">
        <v>2344</v>
      </c>
      <c r="F982" t="s">
        <v>2344</v>
      </c>
      <c r="G982">
        <v>0</v>
      </c>
      <c r="H982" t="s">
        <v>2344</v>
      </c>
      <c r="I982" t="str">
        <f t="shared" si="31"/>
        <v>Obesity</v>
      </c>
      <c r="J982" t="str">
        <f t="shared" si="32"/>
        <v>Diabetes</v>
      </c>
    </row>
    <row r="983" spans="1:10" x14ac:dyDescent="0.35">
      <c r="A983" t="s">
        <v>983</v>
      </c>
      <c r="B983">
        <v>31.54</v>
      </c>
      <c r="C983">
        <v>6.72</v>
      </c>
      <c r="D983" t="s">
        <v>2344</v>
      </c>
      <c r="E983" t="s">
        <v>2344</v>
      </c>
      <c r="F983" t="s">
        <v>2344</v>
      </c>
      <c r="G983">
        <v>0</v>
      </c>
      <c r="H983" t="s">
        <v>2344</v>
      </c>
      <c r="I983" t="str">
        <f t="shared" si="31"/>
        <v>Obesity</v>
      </c>
      <c r="J983" t="str">
        <f t="shared" si="32"/>
        <v>Diabetes</v>
      </c>
    </row>
    <row r="984" spans="1:10" x14ac:dyDescent="0.35">
      <c r="A984" t="s">
        <v>984</v>
      </c>
      <c r="B984">
        <v>23.3</v>
      </c>
      <c r="C984">
        <v>5.36</v>
      </c>
      <c r="D984" t="s">
        <v>2346</v>
      </c>
      <c r="E984" t="s">
        <v>2344</v>
      </c>
      <c r="F984" t="s">
        <v>2344</v>
      </c>
      <c r="G984">
        <v>1</v>
      </c>
      <c r="H984" t="s">
        <v>2344</v>
      </c>
      <c r="I984" t="str">
        <f t="shared" si="31"/>
        <v>Normal Weight</v>
      </c>
      <c r="J984" t="str">
        <f t="shared" si="32"/>
        <v>Normal</v>
      </c>
    </row>
    <row r="985" spans="1:10" x14ac:dyDescent="0.35">
      <c r="A985" t="s">
        <v>985</v>
      </c>
      <c r="B985">
        <v>27.75</v>
      </c>
      <c r="C985">
        <v>9.8800000000000008</v>
      </c>
      <c r="D985" t="s">
        <v>2344</v>
      </c>
      <c r="E985" t="s">
        <v>2344</v>
      </c>
      <c r="F985" t="s">
        <v>2344</v>
      </c>
      <c r="G985">
        <v>0</v>
      </c>
      <c r="H985" t="s">
        <v>2344</v>
      </c>
      <c r="I985" t="str">
        <f t="shared" si="31"/>
        <v>Over weight</v>
      </c>
      <c r="J985" t="str">
        <f t="shared" si="32"/>
        <v>Diabetes</v>
      </c>
    </row>
    <row r="986" spans="1:10" x14ac:dyDescent="0.35">
      <c r="A986" t="s">
        <v>986</v>
      </c>
      <c r="B986">
        <v>42.46</v>
      </c>
      <c r="C986">
        <v>4.1100000000000003</v>
      </c>
      <c r="D986" t="s">
        <v>2344</v>
      </c>
      <c r="E986" t="s">
        <v>2344</v>
      </c>
      <c r="F986" t="s">
        <v>2344</v>
      </c>
      <c r="G986">
        <v>0</v>
      </c>
      <c r="H986" t="s">
        <v>2344</v>
      </c>
      <c r="I986" t="str">
        <f t="shared" si="31"/>
        <v>Obesity</v>
      </c>
      <c r="J986" t="str">
        <f t="shared" si="32"/>
        <v>Normal</v>
      </c>
    </row>
    <row r="987" spans="1:10" x14ac:dyDescent="0.35">
      <c r="A987" t="s">
        <v>987</v>
      </c>
      <c r="B987">
        <v>54.47</v>
      </c>
      <c r="C987">
        <v>7.48</v>
      </c>
      <c r="D987" t="s">
        <v>2344</v>
      </c>
      <c r="E987" t="s">
        <v>2344</v>
      </c>
      <c r="F987" t="s">
        <v>2344</v>
      </c>
      <c r="G987">
        <v>0</v>
      </c>
      <c r="H987" t="s">
        <v>2344</v>
      </c>
      <c r="I987" t="str">
        <f t="shared" si="31"/>
        <v>Obesity</v>
      </c>
      <c r="J987" t="str">
        <f t="shared" si="32"/>
        <v>Diabetes</v>
      </c>
    </row>
    <row r="988" spans="1:10" x14ac:dyDescent="0.35">
      <c r="A988" t="s">
        <v>988</v>
      </c>
      <c r="B988">
        <v>24.93</v>
      </c>
      <c r="C988">
        <v>9.18</v>
      </c>
      <c r="D988" t="s">
        <v>2346</v>
      </c>
      <c r="E988" t="s">
        <v>2344</v>
      </c>
      <c r="F988" t="s">
        <v>2346</v>
      </c>
      <c r="G988">
        <v>1</v>
      </c>
      <c r="H988" t="s">
        <v>2344</v>
      </c>
      <c r="I988" t="str">
        <f t="shared" si="31"/>
        <v>Normal Weight</v>
      </c>
      <c r="J988" t="str">
        <f t="shared" si="32"/>
        <v>Diabetes</v>
      </c>
    </row>
    <row r="989" spans="1:10" x14ac:dyDescent="0.35">
      <c r="A989" t="s">
        <v>989</v>
      </c>
      <c r="B989">
        <v>48.12</v>
      </c>
      <c r="C989">
        <v>4.51</v>
      </c>
      <c r="D989" t="s">
        <v>2346</v>
      </c>
      <c r="E989" t="s">
        <v>2344</v>
      </c>
      <c r="F989" t="s">
        <v>2344</v>
      </c>
      <c r="G989">
        <v>1</v>
      </c>
      <c r="H989" t="s">
        <v>2344</v>
      </c>
      <c r="I989" t="str">
        <f t="shared" si="31"/>
        <v>Obesity</v>
      </c>
      <c r="J989" t="str">
        <f t="shared" si="32"/>
        <v>Normal</v>
      </c>
    </row>
    <row r="990" spans="1:10" x14ac:dyDescent="0.35">
      <c r="A990" t="s">
        <v>990</v>
      </c>
      <c r="B990">
        <v>24.91</v>
      </c>
      <c r="C990">
        <v>7.33</v>
      </c>
      <c r="D990" t="s">
        <v>2346</v>
      </c>
      <c r="E990" t="s">
        <v>2344</v>
      </c>
      <c r="F990" t="s">
        <v>2346</v>
      </c>
      <c r="G990">
        <v>1</v>
      </c>
      <c r="H990" t="s">
        <v>2344</v>
      </c>
      <c r="I990" t="str">
        <f t="shared" si="31"/>
        <v>Normal Weight</v>
      </c>
      <c r="J990" t="str">
        <f t="shared" si="32"/>
        <v>Diabetes</v>
      </c>
    </row>
    <row r="991" spans="1:10" x14ac:dyDescent="0.35">
      <c r="A991" t="s">
        <v>991</v>
      </c>
      <c r="B991">
        <v>27.645</v>
      </c>
      <c r="C991">
        <v>10.56</v>
      </c>
      <c r="D991" t="s">
        <v>2344</v>
      </c>
      <c r="E991" t="s">
        <v>2344</v>
      </c>
      <c r="F991" t="s">
        <v>2344</v>
      </c>
      <c r="G991">
        <v>0</v>
      </c>
      <c r="H991" t="s">
        <v>2344</v>
      </c>
      <c r="I991" t="str">
        <f t="shared" si="31"/>
        <v>Over weight</v>
      </c>
      <c r="J991" t="str">
        <f t="shared" si="32"/>
        <v>Diabetes</v>
      </c>
    </row>
    <row r="992" spans="1:10" x14ac:dyDescent="0.35">
      <c r="A992" t="s">
        <v>992</v>
      </c>
      <c r="B992">
        <v>33.700000000000003</v>
      </c>
      <c r="C992">
        <v>4.01</v>
      </c>
      <c r="D992" t="s">
        <v>2344</v>
      </c>
      <c r="E992" t="s">
        <v>2344</v>
      </c>
      <c r="F992" t="s">
        <v>2344</v>
      </c>
      <c r="G992">
        <v>1</v>
      </c>
      <c r="H992" t="s">
        <v>2344</v>
      </c>
      <c r="I992" t="str">
        <f t="shared" si="31"/>
        <v>Obesity</v>
      </c>
      <c r="J992" t="str">
        <f t="shared" si="32"/>
        <v>Normal</v>
      </c>
    </row>
    <row r="993" spans="1:10" x14ac:dyDescent="0.35">
      <c r="A993" t="s">
        <v>993</v>
      </c>
      <c r="B993">
        <v>38.93</v>
      </c>
      <c r="C993">
        <v>5.64</v>
      </c>
      <c r="D993" t="s">
        <v>2346</v>
      </c>
      <c r="E993" t="s">
        <v>2344</v>
      </c>
      <c r="F993" t="s">
        <v>2344</v>
      </c>
      <c r="G993">
        <v>1</v>
      </c>
      <c r="H993" t="s">
        <v>2344</v>
      </c>
      <c r="I993" t="str">
        <f t="shared" si="31"/>
        <v>Obesity</v>
      </c>
      <c r="J993" t="str">
        <f t="shared" si="32"/>
        <v>Normal</v>
      </c>
    </row>
    <row r="994" spans="1:10" x14ac:dyDescent="0.35">
      <c r="A994" t="s">
        <v>994</v>
      </c>
      <c r="B994">
        <v>32.774999999999999</v>
      </c>
      <c r="C994">
        <v>8.02</v>
      </c>
      <c r="D994" t="s">
        <v>2346</v>
      </c>
      <c r="E994" t="s">
        <v>2344</v>
      </c>
      <c r="F994" t="s">
        <v>2344</v>
      </c>
      <c r="G994">
        <v>1</v>
      </c>
      <c r="H994" t="s">
        <v>2344</v>
      </c>
      <c r="I994" t="str">
        <f t="shared" si="31"/>
        <v>Obesity</v>
      </c>
      <c r="J994" t="str">
        <f t="shared" si="32"/>
        <v>Diabetes</v>
      </c>
    </row>
    <row r="995" spans="1:10" x14ac:dyDescent="0.35">
      <c r="A995" t="s">
        <v>995</v>
      </c>
      <c r="B995">
        <v>29.83</v>
      </c>
      <c r="C995">
        <v>7.2</v>
      </c>
      <c r="D995" t="s">
        <v>2346</v>
      </c>
      <c r="E995" t="s">
        <v>2344</v>
      </c>
      <c r="F995" t="s">
        <v>2344</v>
      </c>
      <c r="G995">
        <v>0</v>
      </c>
      <c r="H995" t="s">
        <v>2344</v>
      </c>
      <c r="I995" t="str">
        <f t="shared" si="31"/>
        <v>Over weight</v>
      </c>
      <c r="J995" t="str">
        <f t="shared" si="32"/>
        <v>Diabetes</v>
      </c>
    </row>
    <row r="996" spans="1:10" x14ac:dyDescent="0.35">
      <c r="A996" t="s">
        <v>996</v>
      </c>
      <c r="B996">
        <v>28.31</v>
      </c>
      <c r="C996">
        <v>4.55</v>
      </c>
      <c r="D996" t="s">
        <v>2344</v>
      </c>
      <c r="E996" t="s">
        <v>2345</v>
      </c>
      <c r="F996" t="s">
        <v>2344</v>
      </c>
      <c r="G996">
        <v>1</v>
      </c>
      <c r="H996" t="s">
        <v>2344</v>
      </c>
      <c r="I996" t="str">
        <f t="shared" si="31"/>
        <v>Over weight</v>
      </c>
      <c r="J996" t="str">
        <f t="shared" si="32"/>
        <v>Normal</v>
      </c>
    </row>
    <row r="997" spans="1:10" x14ac:dyDescent="0.35">
      <c r="A997" t="s">
        <v>997</v>
      </c>
      <c r="B997">
        <v>29.79</v>
      </c>
      <c r="C997">
        <v>9.0299999999999994</v>
      </c>
      <c r="D997" t="s">
        <v>2344</v>
      </c>
      <c r="E997" t="s">
        <v>2344</v>
      </c>
      <c r="F997" t="s">
        <v>2344</v>
      </c>
      <c r="G997">
        <v>0</v>
      </c>
      <c r="H997" t="s">
        <v>2344</v>
      </c>
      <c r="I997" t="str">
        <f t="shared" si="31"/>
        <v>Over weight</v>
      </c>
      <c r="J997" t="str">
        <f t="shared" si="32"/>
        <v>Diabetes</v>
      </c>
    </row>
    <row r="998" spans="1:10" x14ac:dyDescent="0.35">
      <c r="A998" t="s">
        <v>998</v>
      </c>
      <c r="B998">
        <v>36.6</v>
      </c>
      <c r="C998">
        <v>5.2</v>
      </c>
      <c r="D998" t="s">
        <v>2346</v>
      </c>
      <c r="E998" t="s">
        <v>2344</v>
      </c>
      <c r="F998" t="s">
        <v>2346</v>
      </c>
      <c r="G998">
        <v>1</v>
      </c>
      <c r="H998" t="s">
        <v>2344</v>
      </c>
      <c r="I998" t="str">
        <f t="shared" si="31"/>
        <v>Obesity</v>
      </c>
      <c r="J998" t="str">
        <f t="shared" si="32"/>
        <v>Normal</v>
      </c>
    </row>
    <row r="999" spans="1:10" x14ac:dyDescent="0.35">
      <c r="A999" t="s">
        <v>999</v>
      </c>
      <c r="B999">
        <v>35.93</v>
      </c>
      <c r="C999">
        <v>8.3000000000000007</v>
      </c>
      <c r="D999" t="s">
        <v>2346</v>
      </c>
      <c r="E999" t="s">
        <v>2344</v>
      </c>
      <c r="F999" t="s">
        <v>2344</v>
      </c>
      <c r="G999">
        <v>0</v>
      </c>
      <c r="H999" t="s">
        <v>2344</v>
      </c>
      <c r="I999" t="str">
        <f t="shared" si="31"/>
        <v>Obesity</v>
      </c>
      <c r="J999" t="str">
        <f t="shared" si="32"/>
        <v>Diabetes</v>
      </c>
    </row>
    <row r="1000" spans="1:10" x14ac:dyDescent="0.35">
      <c r="A1000" t="s">
        <v>1000</v>
      </c>
      <c r="B1000">
        <v>28.6</v>
      </c>
      <c r="C1000">
        <v>5.56</v>
      </c>
      <c r="D1000" t="s">
        <v>2346</v>
      </c>
      <c r="E1000" t="s">
        <v>2344</v>
      </c>
      <c r="F1000" t="s">
        <v>2346</v>
      </c>
      <c r="G1000">
        <v>1</v>
      </c>
      <c r="H1000" t="s">
        <v>2344</v>
      </c>
      <c r="I1000" t="str">
        <f t="shared" si="31"/>
        <v>Over weight</v>
      </c>
      <c r="J1000" t="str">
        <f t="shared" si="32"/>
        <v>Normal</v>
      </c>
    </row>
    <row r="1001" spans="1:10" x14ac:dyDescent="0.35">
      <c r="A1001" t="s">
        <v>1001</v>
      </c>
      <c r="B1001">
        <v>39.17</v>
      </c>
      <c r="C1001">
        <v>4.1500000000000004</v>
      </c>
      <c r="D1001" t="s">
        <v>2344</v>
      </c>
      <c r="E1001" t="s">
        <v>2344</v>
      </c>
      <c r="F1001" t="s">
        <v>2344</v>
      </c>
      <c r="G1001">
        <v>0</v>
      </c>
      <c r="H1001" t="s">
        <v>2344</v>
      </c>
      <c r="I1001" t="str">
        <f t="shared" si="31"/>
        <v>Obesity</v>
      </c>
      <c r="J1001" t="str">
        <f t="shared" si="32"/>
        <v>Normal</v>
      </c>
    </row>
    <row r="1002" spans="1:10" x14ac:dyDescent="0.35">
      <c r="A1002" t="s">
        <v>1002</v>
      </c>
      <c r="B1002">
        <v>26.41</v>
      </c>
      <c r="C1002">
        <v>5.99</v>
      </c>
      <c r="D1002" t="s">
        <v>2346</v>
      </c>
      <c r="E1002" t="s">
        <v>2344</v>
      </c>
      <c r="F1002" t="s">
        <v>2346</v>
      </c>
      <c r="G1002">
        <v>1</v>
      </c>
      <c r="H1002" t="s">
        <v>2344</v>
      </c>
      <c r="I1002" t="str">
        <f t="shared" si="31"/>
        <v>Over weight</v>
      </c>
      <c r="J1002" t="str">
        <f t="shared" si="32"/>
        <v>Prediabetes</v>
      </c>
    </row>
    <row r="1003" spans="1:10" x14ac:dyDescent="0.35">
      <c r="A1003" t="s">
        <v>1003</v>
      </c>
      <c r="B1003">
        <v>30.63</v>
      </c>
      <c r="C1003">
        <v>5.8</v>
      </c>
      <c r="D1003" t="s">
        <v>2346</v>
      </c>
      <c r="E1003" t="s">
        <v>2344</v>
      </c>
      <c r="F1003" t="s">
        <v>2344</v>
      </c>
      <c r="G1003">
        <v>0</v>
      </c>
      <c r="H1003" t="s">
        <v>2344</v>
      </c>
      <c r="I1003" t="str">
        <f t="shared" si="31"/>
        <v>Obesity</v>
      </c>
      <c r="J1003" t="str">
        <f t="shared" si="32"/>
        <v>Prediabetes</v>
      </c>
    </row>
    <row r="1004" spans="1:10" x14ac:dyDescent="0.35">
      <c r="A1004" t="s">
        <v>1004</v>
      </c>
      <c r="B1004">
        <v>31.73</v>
      </c>
      <c r="C1004">
        <v>7.32</v>
      </c>
      <c r="D1004" t="s">
        <v>2346</v>
      </c>
      <c r="E1004" t="s">
        <v>2344</v>
      </c>
      <c r="F1004" t="s">
        <v>2344</v>
      </c>
      <c r="G1004">
        <v>1</v>
      </c>
      <c r="H1004" t="s">
        <v>2344</v>
      </c>
      <c r="I1004" t="str">
        <f t="shared" si="31"/>
        <v>Obesity</v>
      </c>
      <c r="J1004" t="str">
        <f t="shared" si="32"/>
        <v>Diabetes</v>
      </c>
    </row>
    <row r="1005" spans="1:10" x14ac:dyDescent="0.35">
      <c r="A1005" t="s">
        <v>1005</v>
      </c>
      <c r="B1005">
        <v>30.7</v>
      </c>
      <c r="C1005">
        <v>5.16</v>
      </c>
      <c r="D1005" t="s">
        <v>2344</v>
      </c>
      <c r="E1005" t="s">
        <v>2344</v>
      </c>
      <c r="F1005" t="s">
        <v>2344</v>
      </c>
      <c r="G1005">
        <v>1</v>
      </c>
      <c r="H1005" t="s">
        <v>2344</v>
      </c>
      <c r="I1005" t="str">
        <f t="shared" si="31"/>
        <v>Obesity</v>
      </c>
      <c r="J1005" t="str">
        <f t="shared" si="32"/>
        <v>Normal</v>
      </c>
    </row>
    <row r="1006" spans="1:10" x14ac:dyDescent="0.35">
      <c r="A1006" t="s">
        <v>1006</v>
      </c>
      <c r="B1006">
        <v>25.934999999999999</v>
      </c>
      <c r="C1006">
        <v>5.96</v>
      </c>
      <c r="D1006" t="s">
        <v>2346</v>
      </c>
      <c r="E1006" t="s">
        <v>2344</v>
      </c>
      <c r="F1006" t="s">
        <v>2344</v>
      </c>
      <c r="G1006">
        <v>1</v>
      </c>
      <c r="H1006" t="s">
        <v>2344</v>
      </c>
      <c r="I1006" t="str">
        <f t="shared" si="31"/>
        <v>Over weight</v>
      </c>
      <c r="J1006" t="str">
        <f t="shared" si="32"/>
        <v>Prediabetes</v>
      </c>
    </row>
    <row r="1007" spans="1:10" x14ac:dyDescent="0.35">
      <c r="A1007" t="s">
        <v>1007</v>
      </c>
      <c r="B1007">
        <v>35.9</v>
      </c>
      <c r="C1007">
        <v>4.8499999999999996</v>
      </c>
      <c r="D1007" t="s">
        <v>2346</v>
      </c>
      <c r="E1007" t="s">
        <v>2344</v>
      </c>
      <c r="F1007" t="s">
        <v>2346</v>
      </c>
      <c r="G1007">
        <v>1</v>
      </c>
      <c r="H1007" t="s">
        <v>2344</v>
      </c>
      <c r="I1007" t="str">
        <f t="shared" si="31"/>
        <v>Obesity</v>
      </c>
      <c r="J1007" t="str">
        <f t="shared" si="32"/>
        <v>Normal</v>
      </c>
    </row>
    <row r="1008" spans="1:10" x14ac:dyDescent="0.35">
      <c r="A1008" t="s">
        <v>1008</v>
      </c>
      <c r="B1008">
        <v>26.7</v>
      </c>
      <c r="C1008">
        <v>5.09</v>
      </c>
      <c r="D1008" t="s">
        <v>2346</v>
      </c>
      <c r="E1008" t="s">
        <v>2344</v>
      </c>
      <c r="F1008" t="s">
        <v>2346</v>
      </c>
      <c r="G1008">
        <v>1</v>
      </c>
      <c r="H1008" t="s">
        <v>2344</v>
      </c>
      <c r="I1008" t="str">
        <f t="shared" si="31"/>
        <v>Over weight</v>
      </c>
      <c r="J1008" t="str">
        <f t="shared" si="32"/>
        <v>Normal</v>
      </c>
    </row>
    <row r="1009" spans="1:10" x14ac:dyDescent="0.35">
      <c r="A1009" t="s">
        <v>1009</v>
      </c>
      <c r="B1009">
        <v>33.71</v>
      </c>
      <c r="C1009">
        <v>4.9400000000000004</v>
      </c>
      <c r="D1009" t="s">
        <v>2344</v>
      </c>
      <c r="E1009" t="s">
        <v>2344</v>
      </c>
      <c r="F1009" t="s">
        <v>2344</v>
      </c>
      <c r="G1009">
        <v>0</v>
      </c>
      <c r="H1009" t="s">
        <v>2344</v>
      </c>
      <c r="I1009" t="str">
        <f t="shared" si="31"/>
        <v>Obesity</v>
      </c>
      <c r="J1009" t="str">
        <f t="shared" si="32"/>
        <v>Normal</v>
      </c>
    </row>
    <row r="1010" spans="1:10" x14ac:dyDescent="0.35">
      <c r="A1010" t="s">
        <v>1010</v>
      </c>
      <c r="B1010">
        <v>41.91</v>
      </c>
      <c r="C1010">
        <v>4.92</v>
      </c>
      <c r="D1010" t="s">
        <v>2346</v>
      </c>
      <c r="E1010" t="s">
        <v>2344</v>
      </c>
      <c r="F1010" t="s">
        <v>2344</v>
      </c>
      <c r="G1010">
        <v>1</v>
      </c>
      <c r="H1010" t="s">
        <v>2344</v>
      </c>
      <c r="I1010" t="str">
        <f t="shared" si="31"/>
        <v>Obesity</v>
      </c>
      <c r="J1010" t="str">
        <f t="shared" si="32"/>
        <v>Normal</v>
      </c>
    </row>
    <row r="1011" spans="1:10" x14ac:dyDescent="0.35">
      <c r="A1011" t="s">
        <v>1011</v>
      </c>
      <c r="B1011">
        <v>39.82</v>
      </c>
      <c r="C1011">
        <v>6.05</v>
      </c>
      <c r="D1011" t="s">
        <v>2346</v>
      </c>
      <c r="E1011" t="s">
        <v>2344</v>
      </c>
      <c r="F1011" t="s">
        <v>2344</v>
      </c>
      <c r="G1011">
        <v>1</v>
      </c>
      <c r="H1011" t="s">
        <v>2344</v>
      </c>
      <c r="I1011" t="str">
        <f t="shared" si="31"/>
        <v>Obesity</v>
      </c>
      <c r="J1011" t="str">
        <f t="shared" si="32"/>
        <v>Prediabetes</v>
      </c>
    </row>
    <row r="1012" spans="1:10" x14ac:dyDescent="0.35">
      <c r="A1012" t="s">
        <v>1012</v>
      </c>
      <c r="B1012">
        <v>28.12</v>
      </c>
      <c r="C1012">
        <v>4.67</v>
      </c>
      <c r="D1012" t="s">
        <v>2344</v>
      </c>
      <c r="E1012" t="s">
        <v>2344</v>
      </c>
      <c r="F1012" t="s">
        <v>2344</v>
      </c>
      <c r="G1012">
        <v>1</v>
      </c>
      <c r="H1012" t="s">
        <v>2344</v>
      </c>
      <c r="I1012" t="str">
        <f t="shared" si="31"/>
        <v>Over weight</v>
      </c>
      <c r="J1012" t="str">
        <f t="shared" si="32"/>
        <v>Normal</v>
      </c>
    </row>
    <row r="1013" spans="1:10" x14ac:dyDescent="0.35">
      <c r="A1013" t="s">
        <v>1013</v>
      </c>
      <c r="B1013">
        <v>26.98</v>
      </c>
      <c r="C1013">
        <v>9.81</v>
      </c>
      <c r="D1013" t="s">
        <v>2346</v>
      </c>
      <c r="E1013" t="s">
        <v>2344</v>
      </c>
      <c r="F1013" t="s">
        <v>2344</v>
      </c>
      <c r="G1013">
        <v>0</v>
      </c>
      <c r="H1013" t="s">
        <v>2344</v>
      </c>
      <c r="I1013" t="str">
        <f t="shared" si="31"/>
        <v>Over weight</v>
      </c>
      <c r="J1013" t="str">
        <f t="shared" si="32"/>
        <v>Diabetes</v>
      </c>
    </row>
    <row r="1014" spans="1:10" x14ac:dyDescent="0.35">
      <c r="A1014" t="s">
        <v>1014</v>
      </c>
      <c r="B1014">
        <v>27.2</v>
      </c>
      <c r="C1014">
        <v>6.06</v>
      </c>
      <c r="D1014" t="s">
        <v>2346</v>
      </c>
      <c r="E1014" t="s">
        <v>2344</v>
      </c>
      <c r="F1014" t="s">
        <v>2344</v>
      </c>
      <c r="G1014">
        <v>1</v>
      </c>
      <c r="H1014" t="s">
        <v>2344</v>
      </c>
      <c r="I1014" t="str">
        <f t="shared" si="31"/>
        <v>Over weight</v>
      </c>
      <c r="J1014" t="str">
        <f t="shared" si="32"/>
        <v>Prediabetes</v>
      </c>
    </row>
    <row r="1015" spans="1:10" x14ac:dyDescent="0.35">
      <c r="A1015" t="s">
        <v>1015</v>
      </c>
      <c r="B1015">
        <v>25.3</v>
      </c>
      <c r="C1015">
        <v>5.19</v>
      </c>
      <c r="D1015" t="s">
        <v>2346</v>
      </c>
      <c r="E1015" t="s">
        <v>2344</v>
      </c>
      <c r="F1015" t="s">
        <v>2344</v>
      </c>
      <c r="G1015">
        <v>1</v>
      </c>
      <c r="H1015" t="s">
        <v>2344</v>
      </c>
      <c r="I1015" t="str">
        <f t="shared" si="31"/>
        <v>Over weight</v>
      </c>
      <c r="J1015" t="str">
        <f t="shared" si="32"/>
        <v>Normal</v>
      </c>
    </row>
    <row r="1016" spans="1:10" x14ac:dyDescent="0.35">
      <c r="A1016" t="s">
        <v>1016</v>
      </c>
      <c r="B1016">
        <v>30.25</v>
      </c>
      <c r="C1016">
        <v>10.16</v>
      </c>
      <c r="D1016" t="s">
        <v>2344</v>
      </c>
      <c r="E1016" t="s">
        <v>2344</v>
      </c>
      <c r="F1016" t="s">
        <v>2344</v>
      </c>
      <c r="G1016">
        <v>0</v>
      </c>
      <c r="H1016" t="s">
        <v>2344</v>
      </c>
      <c r="I1016" t="str">
        <f t="shared" si="31"/>
        <v>Obesity</v>
      </c>
      <c r="J1016" t="str">
        <f t="shared" si="32"/>
        <v>Diabetes</v>
      </c>
    </row>
    <row r="1017" spans="1:10" x14ac:dyDescent="0.35">
      <c r="A1017" t="s">
        <v>1017</v>
      </c>
      <c r="B1017">
        <v>54</v>
      </c>
      <c r="C1017">
        <v>4.68</v>
      </c>
      <c r="D1017" t="s">
        <v>2346</v>
      </c>
      <c r="E1017" t="s">
        <v>2345</v>
      </c>
      <c r="F1017" t="s">
        <v>2344</v>
      </c>
      <c r="G1017">
        <v>1</v>
      </c>
      <c r="H1017" t="s">
        <v>2344</v>
      </c>
      <c r="I1017" t="str">
        <f t="shared" si="31"/>
        <v>Obesity</v>
      </c>
      <c r="J1017" t="str">
        <f t="shared" si="32"/>
        <v>Normal</v>
      </c>
    </row>
    <row r="1018" spans="1:10" x14ac:dyDescent="0.35">
      <c r="A1018" t="s">
        <v>1018</v>
      </c>
      <c r="B1018">
        <v>51.86</v>
      </c>
      <c r="C1018">
        <v>5.32</v>
      </c>
      <c r="D1018" t="s">
        <v>2346</v>
      </c>
      <c r="E1018" t="s">
        <v>2344</v>
      </c>
      <c r="F1018" t="s">
        <v>2344</v>
      </c>
      <c r="G1018">
        <v>0</v>
      </c>
      <c r="H1018" t="s">
        <v>2344</v>
      </c>
      <c r="I1018" t="str">
        <f t="shared" si="31"/>
        <v>Obesity</v>
      </c>
      <c r="J1018" t="str">
        <f t="shared" si="32"/>
        <v>Normal</v>
      </c>
    </row>
    <row r="1019" spans="1:10" x14ac:dyDescent="0.35">
      <c r="A1019" t="s">
        <v>1019</v>
      </c>
      <c r="B1019">
        <v>31.39</v>
      </c>
      <c r="C1019">
        <v>6.99</v>
      </c>
      <c r="D1019" t="s">
        <v>2344</v>
      </c>
      <c r="E1019" t="s">
        <v>2344</v>
      </c>
      <c r="F1019" t="s">
        <v>2344</v>
      </c>
      <c r="G1019">
        <v>0</v>
      </c>
      <c r="H1019" t="s">
        <v>2344</v>
      </c>
      <c r="I1019" t="str">
        <f t="shared" si="31"/>
        <v>Obesity</v>
      </c>
      <c r="J1019" t="str">
        <f t="shared" si="32"/>
        <v>Diabetes</v>
      </c>
    </row>
    <row r="1020" spans="1:10" x14ac:dyDescent="0.35">
      <c r="A1020" t="s">
        <v>1020</v>
      </c>
      <c r="B1020">
        <v>39.97</v>
      </c>
      <c r="C1020">
        <v>5.55</v>
      </c>
      <c r="D1020" t="s">
        <v>2344</v>
      </c>
      <c r="E1020" t="s">
        <v>2344</v>
      </c>
      <c r="F1020" t="s">
        <v>2344</v>
      </c>
      <c r="G1020">
        <v>0</v>
      </c>
      <c r="H1020" t="s">
        <v>2344</v>
      </c>
      <c r="I1020" t="str">
        <f t="shared" si="31"/>
        <v>Obesity</v>
      </c>
      <c r="J1020" t="str">
        <f t="shared" si="32"/>
        <v>Normal</v>
      </c>
    </row>
    <row r="1021" spans="1:10" x14ac:dyDescent="0.35">
      <c r="A1021" t="s">
        <v>1021</v>
      </c>
      <c r="B1021">
        <v>41.23</v>
      </c>
      <c r="C1021">
        <v>6.94</v>
      </c>
      <c r="D1021" t="s">
        <v>2344</v>
      </c>
      <c r="E1021" t="s">
        <v>2344</v>
      </c>
      <c r="F1021" t="s">
        <v>2344</v>
      </c>
      <c r="G1021">
        <v>0</v>
      </c>
      <c r="H1021" t="s">
        <v>2344</v>
      </c>
      <c r="I1021" t="str">
        <f t="shared" si="31"/>
        <v>Obesity</v>
      </c>
      <c r="J1021" t="str">
        <f t="shared" si="32"/>
        <v>Diabetes</v>
      </c>
    </row>
    <row r="1022" spans="1:10" x14ac:dyDescent="0.35">
      <c r="A1022" t="s">
        <v>1022</v>
      </c>
      <c r="B1022">
        <v>49.45</v>
      </c>
      <c r="C1022">
        <v>4.2</v>
      </c>
      <c r="D1022" t="s">
        <v>2346</v>
      </c>
      <c r="E1022" t="s">
        <v>2344</v>
      </c>
      <c r="F1022" t="s">
        <v>2344</v>
      </c>
      <c r="G1022">
        <v>0</v>
      </c>
      <c r="H1022" t="s">
        <v>2344</v>
      </c>
      <c r="I1022" t="str">
        <f t="shared" si="31"/>
        <v>Obesity</v>
      </c>
      <c r="J1022" t="str">
        <f t="shared" si="32"/>
        <v>Normal</v>
      </c>
    </row>
    <row r="1023" spans="1:10" x14ac:dyDescent="0.35">
      <c r="A1023" t="s">
        <v>1023</v>
      </c>
      <c r="B1023">
        <v>41.04</v>
      </c>
      <c r="C1023">
        <v>5.59</v>
      </c>
      <c r="D1023" t="s">
        <v>2344</v>
      </c>
      <c r="E1023" t="s">
        <v>2344</v>
      </c>
      <c r="F1023" t="s">
        <v>2344</v>
      </c>
      <c r="G1023">
        <v>0</v>
      </c>
      <c r="H1023" t="s">
        <v>2344</v>
      </c>
      <c r="I1023" t="str">
        <f t="shared" si="31"/>
        <v>Obesity</v>
      </c>
      <c r="J1023" t="str">
        <f t="shared" si="32"/>
        <v>Normal</v>
      </c>
    </row>
    <row r="1024" spans="1:10" x14ac:dyDescent="0.35">
      <c r="A1024" t="s">
        <v>1024</v>
      </c>
      <c r="B1024">
        <v>27.93</v>
      </c>
      <c r="C1024">
        <v>9.9600000000000009</v>
      </c>
      <c r="D1024" t="s">
        <v>2344</v>
      </c>
      <c r="E1024" t="s">
        <v>2344</v>
      </c>
      <c r="F1024" t="s">
        <v>2344</v>
      </c>
      <c r="G1024">
        <v>0</v>
      </c>
      <c r="H1024" t="s">
        <v>2344</v>
      </c>
      <c r="I1024" t="str">
        <f t="shared" si="31"/>
        <v>Over weight</v>
      </c>
      <c r="J1024" t="str">
        <f t="shared" si="32"/>
        <v>Diabetes</v>
      </c>
    </row>
    <row r="1025" spans="1:10" x14ac:dyDescent="0.35">
      <c r="A1025" t="s">
        <v>1025</v>
      </c>
      <c r="B1025">
        <v>21.01</v>
      </c>
      <c r="C1025">
        <v>7.37</v>
      </c>
      <c r="D1025" t="s">
        <v>2344</v>
      </c>
      <c r="E1025" t="s">
        <v>2344</v>
      </c>
      <c r="F1025" t="s">
        <v>2344</v>
      </c>
      <c r="G1025">
        <v>0</v>
      </c>
      <c r="H1025" t="s">
        <v>2344</v>
      </c>
      <c r="I1025" t="str">
        <f t="shared" si="31"/>
        <v>Normal Weight</v>
      </c>
      <c r="J1025" t="str">
        <f t="shared" si="32"/>
        <v>Diabetes</v>
      </c>
    </row>
    <row r="1026" spans="1:10" x14ac:dyDescent="0.35">
      <c r="A1026" t="s">
        <v>1026</v>
      </c>
      <c r="B1026">
        <v>52.37</v>
      </c>
      <c r="C1026">
        <v>5.0599999999999996</v>
      </c>
      <c r="D1026" t="s">
        <v>2346</v>
      </c>
      <c r="E1026" t="s">
        <v>2345</v>
      </c>
      <c r="F1026" t="s">
        <v>2344</v>
      </c>
      <c r="G1026">
        <v>1</v>
      </c>
      <c r="H1026" t="s">
        <v>2344</v>
      </c>
      <c r="I1026" t="str">
        <f t="shared" si="31"/>
        <v>Obesity</v>
      </c>
      <c r="J1026" t="str">
        <f t="shared" si="32"/>
        <v>Normal</v>
      </c>
    </row>
    <row r="1027" spans="1:10" x14ac:dyDescent="0.35">
      <c r="A1027" t="s">
        <v>1027</v>
      </c>
      <c r="B1027">
        <v>40.369999999999997</v>
      </c>
      <c r="C1027">
        <v>8.2100000000000009</v>
      </c>
      <c r="D1027" t="s">
        <v>2344</v>
      </c>
      <c r="E1027" t="s">
        <v>2344</v>
      </c>
      <c r="F1027" t="s">
        <v>2344</v>
      </c>
      <c r="G1027">
        <v>0</v>
      </c>
      <c r="H1027" t="s">
        <v>2344</v>
      </c>
      <c r="I1027" t="str">
        <f t="shared" ref="I1027:I1090" si="33">IF(B1027&lt;18.5,"Under Weight",IF(B1027&lt;25,"Normal Weight",IF(B1027&lt;30,"Over weight","Obesity")))</f>
        <v>Obesity</v>
      </c>
      <c r="J1027" t="str">
        <f t="shared" si="32"/>
        <v>Diabetes</v>
      </c>
    </row>
    <row r="1028" spans="1:10" x14ac:dyDescent="0.35">
      <c r="A1028" t="s">
        <v>1028</v>
      </c>
      <c r="B1028">
        <v>41.47</v>
      </c>
      <c r="C1028">
        <v>10.34</v>
      </c>
      <c r="D1028" t="s">
        <v>2344</v>
      </c>
      <c r="E1028" t="s">
        <v>2344</v>
      </c>
      <c r="F1028" t="s">
        <v>2344</v>
      </c>
      <c r="G1028">
        <v>1</v>
      </c>
      <c r="H1028" t="s">
        <v>2344</v>
      </c>
      <c r="I1028" t="str">
        <f t="shared" si="33"/>
        <v>Obesity</v>
      </c>
      <c r="J1028" t="str">
        <f t="shared" si="32"/>
        <v>Diabetes</v>
      </c>
    </row>
    <row r="1029" spans="1:10" x14ac:dyDescent="0.35">
      <c r="A1029" t="s">
        <v>1029</v>
      </c>
      <c r="B1029">
        <v>33.725000000000001</v>
      </c>
      <c r="C1029">
        <v>5.51</v>
      </c>
      <c r="D1029" t="s">
        <v>2346</v>
      </c>
      <c r="E1029" t="s">
        <v>2344</v>
      </c>
      <c r="F1029" t="s">
        <v>2344</v>
      </c>
      <c r="G1029">
        <v>1</v>
      </c>
      <c r="H1029" t="s">
        <v>2344</v>
      </c>
      <c r="I1029" t="str">
        <f t="shared" si="33"/>
        <v>Obesity</v>
      </c>
      <c r="J1029" t="str">
        <f t="shared" si="32"/>
        <v>Normal</v>
      </c>
    </row>
    <row r="1030" spans="1:10" x14ac:dyDescent="0.35">
      <c r="A1030" t="s">
        <v>1030</v>
      </c>
      <c r="B1030">
        <v>28.1</v>
      </c>
      <c r="C1030">
        <v>11.2</v>
      </c>
      <c r="D1030" t="s">
        <v>2344</v>
      </c>
      <c r="E1030" t="s">
        <v>2344</v>
      </c>
      <c r="F1030" t="s">
        <v>2344</v>
      </c>
      <c r="G1030">
        <v>0</v>
      </c>
      <c r="H1030" t="s">
        <v>2344</v>
      </c>
      <c r="I1030" t="str">
        <f t="shared" si="33"/>
        <v>Over weight</v>
      </c>
      <c r="J1030" t="str">
        <f t="shared" si="32"/>
        <v>Diabetes</v>
      </c>
    </row>
    <row r="1031" spans="1:10" x14ac:dyDescent="0.35">
      <c r="A1031" t="s">
        <v>1031</v>
      </c>
      <c r="B1031">
        <v>37.43</v>
      </c>
      <c r="C1031">
        <v>4.3499999999999996</v>
      </c>
      <c r="D1031" t="s">
        <v>2346</v>
      </c>
      <c r="E1031" t="s">
        <v>2344</v>
      </c>
      <c r="F1031" t="s">
        <v>2346</v>
      </c>
      <c r="G1031">
        <v>1</v>
      </c>
      <c r="H1031" t="s">
        <v>2344</v>
      </c>
      <c r="I1031" t="str">
        <f t="shared" si="33"/>
        <v>Obesity</v>
      </c>
      <c r="J1031" t="str">
        <f t="shared" si="32"/>
        <v>Normal</v>
      </c>
    </row>
    <row r="1032" spans="1:10" x14ac:dyDescent="0.35">
      <c r="A1032" t="s">
        <v>1032</v>
      </c>
      <c r="B1032">
        <v>23.7</v>
      </c>
      <c r="C1032">
        <v>10.45</v>
      </c>
      <c r="D1032" t="s">
        <v>2344</v>
      </c>
      <c r="E1032" t="s">
        <v>2344</v>
      </c>
      <c r="F1032" t="s">
        <v>2344</v>
      </c>
      <c r="G1032">
        <v>0</v>
      </c>
      <c r="H1032" t="s">
        <v>2344</v>
      </c>
      <c r="I1032" t="str">
        <f t="shared" si="33"/>
        <v>Normal Weight</v>
      </c>
      <c r="J1032" t="str">
        <f t="shared" si="32"/>
        <v>Diabetes</v>
      </c>
    </row>
    <row r="1033" spans="1:10" x14ac:dyDescent="0.35">
      <c r="A1033" t="s">
        <v>1033</v>
      </c>
      <c r="B1033">
        <v>24.795000000000002</v>
      </c>
      <c r="C1033">
        <v>4.07</v>
      </c>
      <c r="D1033" t="s">
        <v>2346</v>
      </c>
      <c r="E1033" t="s">
        <v>2344</v>
      </c>
      <c r="F1033" t="s">
        <v>2346</v>
      </c>
      <c r="G1033">
        <v>1</v>
      </c>
      <c r="H1033" t="s">
        <v>2344</v>
      </c>
      <c r="I1033" t="str">
        <f t="shared" si="33"/>
        <v>Normal Weight</v>
      </c>
      <c r="J1033" t="str">
        <f t="shared" si="32"/>
        <v>Normal</v>
      </c>
    </row>
    <row r="1034" spans="1:10" x14ac:dyDescent="0.35">
      <c r="A1034" t="s">
        <v>1034</v>
      </c>
      <c r="B1034">
        <v>31.9</v>
      </c>
      <c r="C1034">
        <v>8.34</v>
      </c>
      <c r="D1034" t="s">
        <v>2344</v>
      </c>
      <c r="E1034" t="s">
        <v>2344</v>
      </c>
      <c r="F1034" t="s">
        <v>2344</v>
      </c>
      <c r="G1034">
        <v>0</v>
      </c>
      <c r="H1034" t="s">
        <v>2344</v>
      </c>
      <c r="I1034" t="str">
        <f t="shared" si="33"/>
        <v>Obesity</v>
      </c>
      <c r="J1034" t="str">
        <f t="shared" si="32"/>
        <v>Diabetes</v>
      </c>
    </row>
    <row r="1035" spans="1:10" x14ac:dyDescent="0.35">
      <c r="A1035" t="s">
        <v>1035</v>
      </c>
      <c r="B1035">
        <v>32.68</v>
      </c>
      <c r="C1035">
        <v>7.41</v>
      </c>
      <c r="D1035" t="s">
        <v>2344</v>
      </c>
      <c r="E1035" t="s">
        <v>2344</v>
      </c>
      <c r="F1035" t="s">
        <v>2344</v>
      </c>
      <c r="G1035">
        <v>0</v>
      </c>
      <c r="H1035" t="s">
        <v>2344</v>
      </c>
      <c r="I1035" t="str">
        <f t="shared" si="33"/>
        <v>Obesity</v>
      </c>
      <c r="J1035" t="str">
        <f t="shared" si="32"/>
        <v>Diabetes</v>
      </c>
    </row>
    <row r="1036" spans="1:10" x14ac:dyDescent="0.35">
      <c r="A1036" t="s">
        <v>1036</v>
      </c>
      <c r="B1036">
        <v>47.13</v>
      </c>
      <c r="C1036">
        <v>4.3099999999999996</v>
      </c>
      <c r="D1036" t="s">
        <v>2344</v>
      </c>
      <c r="E1036" t="s">
        <v>2344</v>
      </c>
      <c r="F1036" t="s">
        <v>2344</v>
      </c>
      <c r="G1036">
        <v>0</v>
      </c>
      <c r="H1036" t="s">
        <v>2344</v>
      </c>
      <c r="I1036" t="str">
        <f t="shared" si="33"/>
        <v>Obesity</v>
      </c>
      <c r="J1036" t="str">
        <f t="shared" ref="J1036:J1099" si="34">IF(C1036&lt;5.7,"Normal",IF(C1036&lt;6.5,"Prediabetes","Diabetes"))</f>
        <v>Normal</v>
      </c>
    </row>
    <row r="1037" spans="1:10" x14ac:dyDescent="0.35">
      <c r="A1037" t="s">
        <v>1037</v>
      </c>
      <c r="B1037">
        <v>36.67</v>
      </c>
      <c r="C1037">
        <v>10.83</v>
      </c>
      <c r="D1037" t="s">
        <v>2344</v>
      </c>
      <c r="E1037" t="s">
        <v>2344</v>
      </c>
      <c r="F1037" t="s">
        <v>2344</v>
      </c>
      <c r="G1037">
        <v>0</v>
      </c>
      <c r="H1037" t="s">
        <v>2344</v>
      </c>
      <c r="I1037" t="str">
        <f t="shared" si="33"/>
        <v>Obesity</v>
      </c>
      <c r="J1037" t="str">
        <f t="shared" si="34"/>
        <v>Diabetes</v>
      </c>
    </row>
    <row r="1038" spans="1:10" x14ac:dyDescent="0.35">
      <c r="A1038" t="s">
        <v>1038</v>
      </c>
      <c r="B1038">
        <v>33.630000000000003</v>
      </c>
      <c r="C1038">
        <v>11.31</v>
      </c>
      <c r="D1038" t="s">
        <v>2344</v>
      </c>
      <c r="E1038" t="s">
        <v>2344</v>
      </c>
      <c r="F1038" t="s">
        <v>2344</v>
      </c>
      <c r="G1038">
        <v>0</v>
      </c>
      <c r="H1038" t="s">
        <v>2344</v>
      </c>
      <c r="I1038" t="str">
        <f t="shared" si="33"/>
        <v>Obesity</v>
      </c>
      <c r="J1038" t="str">
        <f t="shared" si="34"/>
        <v>Diabetes</v>
      </c>
    </row>
    <row r="1039" spans="1:10" x14ac:dyDescent="0.35">
      <c r="A1039" t="s">
        <v>1039</v>
      </c>
      <c r="B1039">
        <v>32.67</v>
      </c>
      <c r="C1039">
        <v>11.81</v>
      </c>
      <c r="D1039" t="s">
        <v>2346</v>
      </c>
      <c r="E1039" t="s">
        <v>2344</v>
      </c>
      <c r="F1039" t="s">
        <v>2344</v>
      </c>
      <c r="G1039">
        <v>0</v>
      </c>
      <c r="H1039" t="s">
        <v>2344</v>
      </c>
      <c r="I1039" t="str">
        <f t="shared" si="33"/>
        <v>Obesity</v>
      </c>
      <c r="J1039" t="str">
        <f t="shared" si="34"/>
        <v>Diabetes</v>
      </c>
    </row>
    <row r="1040" spans="1:10" x14ac:dyDescent="0.35">
      <c r="A1040" t="s">
        <v>1040</v>
      </c>
      <c r="B1040">
        <v>33.299999999999997</v>
      </c>
      <c r="C1040">
        <v>8.26</v>
      </c>
      <c r="D1040" t="s">
        <v>2346</v>
      </c>
      <c r="E1040" t="s">
        <v>2344</v>
      </c>
      <c r="F1040" t="s">
        <v>2344</v>
      </c>
      <c r="G1040">
        <v>1</v>
      </c>
      <c r="H1040" t="s">
        <v>2344</v>
      </c>
      <c r="I1040" t="str">
        <f t="shared" si="33"/>
        <v>Obesity</v>
      </c>
      <c r="J1040" t="str">
        <f t="shared" si="34"/>
        <v>Diabetes</v>
      </c>
    </row>
    <row r="1041" spans="1:10" x14ac:dyDescent="0.35">
      <c r="A1041" t="s">
        <v>1041</v>
      </c>
      <c r="B1041">
        <v>30.78</v>
      </c>
      <c r="C1041">
        <v>10.74</v>
      </c>
      <c r="D1041" t="s">
        <v>2346</v>
      </c>
      <c r="E1041" t="s">
        <v>2344</v>
      </c>
      <c r="F1041" t="s">
        <v>2344</v>
      </c>
      <c r="G1041">
        <v>1</v>
      </c>
      <c r="H1041" t="s">
        <v>2344</v>
      </c>
      <c r="I1041" t="str">
        <f t="shared" si="33"/>
        <v>Obesity</v>
      </c>
      <c r="J1041" t="str">
        <f t="shared" si="34"/>
        <v>Diabetes</v>
      </c>
    </row>
    <row r="1042" spans="1:10" x14ac:dyDescent="0.35">
      <c r="A1042" t="s">
        <v>1042</v>
      </c>
      <c r="B1042">
        <v>28.975000000000001</v>
      </c>
      <c r="C1042">
        <v>7.69</v>
      </c>
      <c r="D1042" t="s">
        <v>2346</v>
      </c>
      <c r="E1042" t="s">
        <v>2344</v>
      </c>
      <c r="F1042" t="s">
        <v>2344</v>
      </c>
      <c r="G1042">
        <v>0</v>
      </c>
      <c r="H1042" t="s">
        <v>2344</v>
      </c>
      <c r="I1042" t="str">
        <f t="shared" si="33"/>
        <v>Over weight</v>
      </c>
      <c r="J1042" t="str">
        <f t="shared" si="34"/>
        <v>Diabetes</v>
      </c>
    </row>
    <row r="1043" spans="1:10" x14ac:dyDescent="0.35">
      <c r="A1043" t="s">
        <v>1043</v>
      </c>
      <c r="B1043">
        <v>33.4</v>
      </c>
      <c r="C1043">
        <v>4.84</v>
      </c>
      <c r="D1043" t="s">
        <v>2344</v>
      </c>
      <c r="E1043" t="s">
        <v>2344</v>
      </c>
      <c r="F1043" t="s">
        <v>2344</v>
      </c>
      <c r="G1043">
        <v>0</v>
      </c>
      <c r="H1043" t="s">
        <v>2344</v>
      </c>
      <c r="I1043" t="str">
        <f t="shared" si="33"/>
        <v>Obesity</v>
      </c>
      <c r="J1043" t="str">
        <f t="shared" si="34"/>
        <v>Normal</v>
      </c>
    </row>
    <row r="1044" spans="1:10" x14ac:dyDescent="0.35">
      <c r="A1044" t="s">
        <v>1044</v>
      </c>
      <c r="B1044">
        <v>21.5</v>
      </c>
      <c r="C1044">
        <v>9.77</v>
      </c>
      <c r="D1044" t="s">
        <v>2346</v>
      </c>
      <c r="E1044" t="s">
        <v>2344</v>
      </c>
      <c r="F1044" t="s">
        <v>2344</v>
      </c>
      <c r="G1044">
        <v>0</v>
      </c>
      <c r="H1044" t="s">
        <v>2344</v>
      </c>
      <c r="I1044" t="str">
        <f t="shared" si="33"/>
        <v>Normal Weight</v>
      </c>
      <c r="J1044" t="str">
        <f t="shared" si="34"/>
        <v>Diabetes</v>
      </c>
    </row>
    <row r="1045" spans="1:10" x14ac:dyDescent="0.35">
      <c r="A1045" t="s">
        <v>1045</v>
      </c>
      <c r="B1045">
        <v>38.14</v>
      </c>
      <c r="C1045">
        <v>5.84</v>
      </c>
      <c r="D1045" t="s">
        <v>2344</v>
      </c>
      <c r="E1045" t="s">
        <v>2344</v>
      </c>
      <c r="F1045" t="s">
        <v>2344</v>
      </c>
      <c r="G1045">
        <v>0</v>
      </c>
      <c r="H1045" t="s">
        <v>2344</v>
      </c>
      <c r="I1045" t="str">
        <f t="shared" si="33"/>
        <v>Obesity</v>
      </c>
      <c r="J1045" t="str">
        <f t="shared" si="34"/>
        <v>Prediabetes</v>
      </c>
    </row>
    <row r="1046" spans="1:10" x14ac:dyDescent="0.35">
      <c r="A1046" t="s">
        <v>1046</v>
      </c>
      <c r="B1046">
        <v>35.42</v>
      </c>
      <c r="C1046">
        <v>8.6999999999999993</v>
      </c>
      <c r="D1046" t="s">
        <v>2346</v>
      </c>
      <c r="E1046" t="s">
        <v>2344</v>
      </c>
      <c r="F1046" t="s">
        <v>2344</v>
      </c>
      <c r="G1046">
        <v>1</v>
      </c>
      <c r="H1046" t="s">
        <v>2344</v>
      </c>
      <c r="I1046" t="str">
        <f t="shared" si="33"/>
        <v>Obesity</v>
      </c>
      <c r="J1046" t="str">
        <f t="shared" si="34"/>
        <v>Diabetes</v>
      </c>
    </row>
    <row r="1047" spans="1:10" x14ac:dyDescent="0.35">
      <c r="A1047" t="s">
        <v>1047</v>
      </c>
      <c r="B1047">
        <v>35.625</v>
      </c>
      <c r="C1047">
        <v>10.79</v>
      </c>
      <c r="D1047" t="s">
        <v>2344</v>
      </c>
      <c r="E1047" t="s">
        <v>2344</v>
      </c>
      <c r="F1047" t="s">
        <v>2344</v>
      </c>
      <c r="G1047">
        <v>0</v>
      </c>
      <c r="H1047" t="s">
        <v>2344</v>
      </c>
      <c r="I1047" t="str">
        <f t="shared" si="33"/>
        <v>Obesity</v>
      </c>
      <c r="J1047" t="str">
        <f t="shared" si="34"/>
        <v>Diabetes</v>
      </c>
    </row>
    <row r="1048" spans="1:10" x14ac:dyDescent="0.35">
      <c r="A1048" t="s">
        <v>1048</v>
      </c>
      <c r="B1048">
        <v>45.51</v>
      </c>
      <c r="C1048">
        <v>4.32</v>
      </c>
      <c r="D1048" t="s">
        <v>2344</v>
      </c>
      <c r="E1048" t="s">
        <v>2344</v>
      </c>
      <c r="F1048" t="s">
        <v>2344</v>
      </c>
      <c r="G1048">
        <v>1</v>
      </c>
      <c r="H1048" t="s">
        <v>2344</v>
      </c>
      <c r="I1048" t="str">
        <f t="shared" si="33"/>
        <v>Obesity</v>
      </c>
      <c r="J1048" t="str">
        <f t="shared" si="34"/>
        <v>Normal</v>
      </c>
    </row>
    <row r="1049" spans="1:10" x14ac:dyDescent="0.35">
      <c r="A1049" t="s">
        <v>1049</v>
      </c>
      <c r="B1049">
        <v>37.1</v>
      </c>
      <c r="C1049">
        <v>7.19</v>
      </c>
      <c r="D1049" t="s">
        <v>2346</v>
      </c>
      <c r="E1049" t="s">
        <v>2344</v>
      </c>
      <c r="F1049" t="s">
        <v>2344</v>
      </c>
      <c r="G1049">
        <v>0</v>
      </c>
      <c r="H1049" t="s">
        <v>2344</v>
      </c>
      <c r="I1049" t="str">
        <f t="shared" si="33"/>
        <v>Obesity</v>
      </c>
      <c r="J1049" t="str">
        <f t="shared" si="34"/>
        <v>Diabetes</v>
      </c>
    </row>
    <row r="1050" spans="1:10" x14ac:dyDescent="0.35">
      <c r="A1050" t="s">
        <v>1050</v>
      </c>
      <c r="B1050">
        <v>30.5</v>
      </c>
      <c r="C1050">
        <v>11.94</v>
      </c>
      <c r="D1050" t="s">
        <v>2346</v>
      </c>
      <c r="E1050" t="s">
        <v>2344</v>
      </c>
      <c r="F1050" t="s">
        <v>2344</v>
      </c>
      <c r="G1050">
        <v>0</v>
      </c>
      <c r="H1050" t="s">
        <v>2344</v>
      </c>
      <c r="I1050" t="str">
        <f t="shared" si="33"/>
        <v>Obesity</v>
      </c>
      <c r="J1050" t="str">
        <f t="shared" si="34"/>
        <v>Diabetes</v>
      </c>
    </row>
    <row r="1051" spans="1:10" x14ac:dyDescent="0.35">
      <c r="A1051" t="s">
        <v>1051</v>
      </c>
      <c r="B1051">
        <v>28.16</v>
      </c>
      <c r="C1051">
        <v>5.56</v>
      </c>
      <c r="D1051" t="s">
        <v>2344</v>
      </c>
      <c r="E1051" t="s">
        <v>2344</v>
      </c>
      <c r="F1051" t="s">
        <v>2344</v>
      </c>
      <c r="G1051">
        <v>1</v>
      </c>
      <c r="H1051" t="s">
        <v>2344</v>
      </c>
      <c r="I1051" t="str">
        <f t="shared" si="33"/>
        <v>Over weight</v>
      </c>
      <c r="J1051" t="str">
        <f t="shared" si="34"/>
        <v>Normal</v>
      </c>
    </row>
    <row r="1052" spans="1:10" x14ac:dyDescent="0.35">
      <c r="A1052" t="s">
        <v>1052</v>
      </c>
      <c r="B1052">
        <v>29.1</v>
      </c>
      <c r="C1052">
        <v>5.64</v>
      </c>
      <c r="D1052" t="s">
        <v>2346</v>
      </c>
      <c r="E1052" t="s">
        <v>2344</v>
      </c>
      <c r="F1052" t="s">
        <v>2344</v>
      </c>
      <c r="G1052">
        <v>0</v>
      </c>
      <c r="H1052" t="s">
        <v>2344</v>
      </c>
      <c r="I1052" t="str">
        <f t="shared" si="33"/>
        <v>Over weight</v>
      </c>
      <c r="J1052" t="str">
        <f t="shared" si="34"/>
        <v>Normal</v>
      </c>
    </row>
    <row r="1053" spans="1:10" x14ac:dyDescent="0.35">
      <c r="A1053" t="s">
        <v>1053</v>
      </c>
      <c r="B1053">
        <v>30.22</v>
      </c>
      <c r="C1053">
        <v>4.6500000000000004</v>
      </c>
      <c r="D1053" t="s">
        <v>2344</v>
      </c>
      <c r="E1053" t="s">
        <v>2344</v>
      </c>
      <c r="F1053" t="s">
        <v>2344</v>
      </c>
      <c r="G1053">
        <v>0</v>
      </c>
      <c r="H1053" t="s">
        <v>2344</v>
      </c>
      <c r="I1053" t="str">
        <f t="shared" si="33"/>
        <v>Obesity</v>
      </c>
      <c r="J1053" t="str">
        <f t="shared" si="34"/>
        <v>Normal</v>
      </c>
    </row>
    <row r="1054" spans="1:10" x14ac:dyDescent="0.35">
      <c r="A1054" t="s">
        <v>1054</v>
      </c>
      <c r="B1054">
        <v>24.29</v>
      </c>
      <c r="C1054">
        <v>9.0500000000000007</v>
      </c>
      <c r="D1054" t="s">
        <v>2344</v>
      </c>
      <c r="E1054" t="s">
        <v>2344</v>
      </c>
      <c r="F1054" t="s">
        <v>2344</v>
      </c>
      <c r="G1054">
        <v>0</v>
      </c>
      <c r="H1054" t="s">
        <v>2344</v>
      </c>
      <c r="I1054" t="str">
        <f t="shared" si="33"/>
        <v>Normal Weight</v>
      </c>
      <c r="J1054" t="str">
        <f t="shared" si="34"/>
        <v>Diabetes</v>
      </c>
    </row>
    <row r="1055" spans="1:10" x14ac:dyDescent="0.35">
      <c r="A1055" t="s">
        <v>1055</v>
      </c>
      <c r="B1055">
        <v>29.39</v>
      </c>
      <c r="C1055">
        <v>4.5199999999999996</v>
      </c>
      <c r="D1055" t="s">
        <v>2346</v>
      </c>
      <c r="E1055" t="s">
        <v>2344</v>
      </c>
      <c r="F1055" t="s">
        <v>2344</v>
      </c>
      <c r="G1055">
        <v>0</v>
      </c>
      <c r="H1055" t="s">
        <v>2344</v>
      </c>
      <c r="I1055" t="str">
        <f t="shared" si="33"/>
        <v>Over weight</v>
      </c>
      <c r="J1055" t="str">
        <f t="shared" si="34"/>
        <v>Normal</v>
      </c>
    </row>
    <row r="1056" spans="1:10" x14ac:dyDescent="0.35">
      <c r="A1056" t="s">
        <v>1056</v>
      </c>
      <c r="B1056">
        <v>25.66</v>
      </c>
      <c r="C1056">
        <v>4.62</v>
      </c>
      <c r="D1056" t="s">
        <v>2346</v>
      </c>
      <c r="E1056" t="s">
        <v>2344</v>
      </c>
      <c r="F1056" t="s">
        <v>2344</v>
      </c>
      <c r="G1056">
        <v>1</v>
      </c>
      <c r="H1056" t="s">
        <v>2344</v>
      </c>
      <c r="I1056" t="str">
        <f t="shared" si="33"/>
        <v>Over weight</v>
      </c>
      <c r="J1056" t="str">
        <f t="shared" si="34"/>
        <v>Normal</v>
      </c>
    </row>
    <row r="1057" spans="1:10" x14ac:dyDescent="0.35">
      <c r="A1057" t="s">
        <v>1057</v>
      </c>
      <c r="B1057">
        <v>39.11</v>
      </c>
      <c r="C1057">
        <v>5.87</v>
      </c>
      <c r="D1057" t="s">
        <v>2344</v>
      </c>
      <c r="E1057" t="s">
        <v>2344</v>
      </c>
      <c r="F1057" t="s">
        <v>2344</v>
      </c>
      <c r="G1057">
        <v>0</v>
      </c>
      <c r="H1057" t="s">
        <v>2344</v>
      </c>
      <c r="I1057" t="str">
        <f t="shared" si="33"/>
        <v>Obesity</v>
      </c>
      <c r="J1057" t="str">
        <f t="shared" si="34"/>
        <v>Prediabetes</v>
      </c>
    </row>
    <row r="1058" spans="1:10" x14ac:dyDescent="0.35">
      <c r="A1058" t="s">
        <v>1058</v>
      </c>
      <c r="B1058">
        <v>43.78</v>
      </c>
      <c r="C1058">
        <v>5.71</v>
      </c>
      <c r="D1058" t="s">
        <v>2344</v>
      </c>
      <c r="E1058" t="s">
        <v>2344</v>
      </c>
      <c r="F1058" t="s">
        <v>2344</v>
      </c>
      <c r="G1058">
        <v>1</v>
      </c>
      <c r="H1058" t="s">
        <v>2344</v>
      </c>
      <c r="I1058" t="str">
        <f t="shared" si="33"/>
        <v>Obesity</v>
      </c>
      <c r="J1058" t="str">
        <f t="shared" si="34"/>
        <v>Prediabetes</v>
      </c>
    </row>
    <row r="1059" spans="1:10" x14ac:dyDescent="0.35">
      <c r="A1059" t="s">
        <v>1059</v>
      </c>
      <c r="B1059">
        <v>24.35</v>
      </c>
      <c r="C1059">
        <v>9.08</v>
      </c>
      <c r="D1059" t="s">
        <v>2344</v>
      </c>
      <c r="E1059" t="s">
        <v>2344</v>
      </c>
      <c r="F1059" t="s">
        <v>2344</v>
      </c>
      <c r="G1059">
        <v>0</v>
      </c>
      <c r="H1059" t="s">
        <v>2344</v>
      </c>
      <c r="I1059" t="str">
        <f t="shared" si="33"/>
        <v>Normal Weight</v>
      </c>
      <c r="J1059" t="str">
        <f t="shared" si="34"/>
        <v>Diabetes</v>
      </c>
    </row>
    <row r="1060" spans="1:10" x14ac:dyDescent="0.35">
      <c r="A1060" t="s">
        <v>1060</v>
      </c>
      <c r="B1060">
        <v>40.299999999999997</v>
      </c>
      <c r="C1060">
        <v>5.3</v>
      </c>
      <c r="D1060" t="s">
        <v>2346</v>
      </c>
      <c r="E1060" t="s">
        <v>2344</v>
      </c>
      <c r="F1060" t="s">
        <v>2344</v>
      </c>
      <c r="G1060">
        <v>1</v>
      </c>
      <c r="H1060" t="s">
        <v>2344</v>
      </c>
      <c r="I1060" t="str">
        <f t="shared" si="33"/>
        <v>Obesity</v>
      </c>
      <c r="J1060" t="str">
        <f t="shared" si="34"/>
        <v>Normal</v>
      </c>
    </row>
    <row r="1061" spans="1:10" x14ac:dyDescent="0.35">
      <c r="A1061" t="s">
        <v>1061</v>
      </c>
      <c r="B1061">
        <v>32.774999999999999</v>
      </c>
      <c r="C1061">
        <v>11.76</v>
      </c>
      <c r="D1061" t="s">
        <v>2346</v>
      </c>
      <c r="E1061" t="s">
        <v>2344</v>
      </c>
      <c r="F1061" t="s">
        <v>2344</v>
      </c>
      <c r="G1061">
        <v>0</v>
      </c>
      <c r="H1061" t="s">
        <v>2344</v>
      </c>
      <c r="I1061" t="str">
        <f t="shared" si="33"/>
        <v>Obesity</v>
      </c>
      <c r="J1061" t="str">
        <f t="shared" si="34"/>
        <v>Diabetes</v>
      </c>
    </row>
    <row r="1062" spans="1:10" x14ac:dyDescent="0.35">
      <c r="A1062" t="s">
        <v>1062</v>
      </c>
      <c r="B1062">
        <v>39.6</v>
      </c>
      <c r="C1062">
        <v>5.1100000000000003</v>
      </c>
      <c r="D1062" t="s">
        <v>2346</v>
      </c>
      <c r="E1062" t="s">
        <v>2344</v>
      </c>
      <c r="F1062" t="s">
        <v>2344</v>
      </c>
      <c r="G1062">
        <v>1</v>
      </c>
      <c r="H1062" t="s">
        <v>2344</v>
      </c>
      <c r="I1062" t="str">
        <f t="shared" si="33"/>
        <v>Obesity</v>
      </c>
      <c r="J1062" t="str">
        <f t="shared" si="34"/>
        <v>Normal</v>
      </c>
    </row>
    <row r="1063" spans="1:10" x14ac:dyDescent="0.35">
      <c r="A1063" t="s">
        <v>1063</v>
      </c>
      <c r="B1063">
        <v>30.97</v>
      </c>
      <c r="C1063">
        <v>5.54</v>
      </c>
      <c r="D1063" t="s">
        <v>2344</v>
      </c>
      <c r="E1063" t="s">
        <v>2344</v>
      </c>
      <c r="F1063" t="s">
        <v>2344</v>
      </c>
      <c r="G1063">
        <v>1</v>
      </c>
      <c r="H1063" t="s">
        <v>2344</v>
      </c>
      <c r="I1063" t="str">
        <f t="shared" si="33"/>
        <v>Obesity</v>
      </c>
      <c r="J1063" t="str">
        <f t="shared" si="34"/>
        <v>Normal</v>
      </c>
    </row>
    <row r="1064" spans="1:10" x14ac:dyDescent="0.35">
      <c r="A1064" t="s">
        <v>1064</v>
      </c>
      <c r="B1064">
        <v>27.645</v>
      </c>
      <c r="C1064">
        <v>8.8699999999999992</v>
      </c>
      <c r="D1064" t="s">
        <v>2346</v>
      </c>
      <c r="E1064" t="s">
        <v>2344</v>
      </c>
      <c r="F1064" t="s">
        <v>2344</v>
      </c>
      <c r="G1064">
        <v>0</v>
      </c>
      <c r="H1064" t="s">
        <v>2344</v>
      </c>
      <c r="I1064" t="str">
        <f t="shared" si="33"/>
        <v>Over weight</v>
      </c>
      <c r="J1064" t="str">
        <f t="shared" si="34"/>
        <v>Diabetes</v>
      </c>
    </row>
    <row r="1065" spans="1:10" x14ac:dyDescent="0.35">
      <c r="A1065" t="s">
        <v>1065</v>
      </c>
      <c r="B1065">
        <v>34.43</v>
      </c>
      <c r="C1065">
        <v>5.96</v>
      </c>
      <c r="D1065" t="s">
        <v>2346</v>
      </c>
      <c r="E1065" t="s">
        <v>2344</v>
      </c>
      <c r="F1065" t="s">
        <v>2344</v>
      </c>
      <c r="G1065">
        <v>1</v>
      </c>
      <c r="H1065" t="s">
        <v>2344</v>
      </c>
      <c r="I1065" t="str">
        <f t="shared" si="33"/>
        <v>Obesity</v>
      </c>
      <c r="J1065" t="str">
        <f t="shared" si="34"/>
        <v>Prediabetes</v>
      </c>
    </row>
    <row r="1066" spans="1:10" x14ac:dyDescent="0.35">
      <c r="A1066" t="s">
        <v>1066</v>
      </c>
      <c r="B1066">
        <v>39.6</v>
      </c>
      <c r="C1066">
        <v>4.4400000000000004</v>
      </c>
      <c r="D1066" t="s">
        <v>2346</v>
      </c>
      <c r="E1066" t="s">
        <v>2344</v>
      </c>
      <c r="F1066" t="s">
        <v>2346</v>
      </c>
      <c r="G1066">
        <v>1</v>
      </c>
      <c r="H1066" t="s">
        <v>2344</v>
      </c>
      <c r="I1066" t="str">
        <f t="shared" si="33"/>
        <v>Obesity</v>
      </c>
      <c r="J1066" t="str">
        <f t="shared" si="34"/>
        <v>Normal</v>
      </c>
    </row>
    <row r="1067" spans="1:10" x14ac:dyDescent="0.35">
      <c r="A1067" t="s">
        <v>1067</v>
      </c>
      <c r="B1067">
        <v>22.1</v>
      </c>
      <c r="C1067">
        <v>4.6500000000000004</v>
      </c>
      <c r="D1067" t="s">
        <v>2346</v>
      </c>
      <c r="E1067" t="s">
        <v>2344</v>
      </c>
      <c r="F1067" t="s">
        <v>2344</v>
      </c>
      <c r="G1067">
        <v>1</v>
      </c>
      <c r="H1067" t="s">
        <v>2344</v>
      </c>
      <c r="I1067" t="str">
        <f t="shared" si="33"/>
        <v>Normal Weight</v>
      </c>
      <c r="J1067" t="str">
        <f t="shared" si="34"/>
        <v>Normal</v>
      </c>
    </row>
    <row r="1068" spans="1:10" x14ac:dyDescent="0.35">
      <c r="A1068" t="s">
        <v>1068</v>
      </c>
      <c r="B1068">
        <v>33.25</v>
      </c>
      <c r="C1068">
        <v>5.64</v>
      </c>
      <c r="D1068" t="s">
        <v>2346</v>
      </c>
      <c r="E1068" t="s">
        <v>2344</v>
      </c>
      <c r="F1068" t="s">
        <v>2346</v>
      </c>
      <c r="G1068">
        <v>1</v>
      </c>
      <c r="H1068" t="s">
        <v>2344</v>
      </c>
      <c r="I1068" t="str">
        <f t="shared" si="33"/>
        <v>Obesity</v>
      </c>
      <c r="J1068" t="str">
        <f t="shared" si="34"/>
        <v>Normal</v>
      </c>
    </row>
    <row r="1069" spans="1:10" x14ac:dyDescent="0.35">
      <c r="A1069" t="s">
        <v>1069</v>
      </c>
      <c r="B1069">
        <v>33.33</v>
      </c>
      <c r="C1069">
        <v>10.19</v>
      </c>
      <c r="D1069" t="s">
        <v>2344</v>
      </c>
      <c r="E1069" t="s">
        <v>2344</v>
      </c>
      <c r="F1069" t="s">
        <v>2344</v>
      </c>
      <c r="G1069">
        <v>0</v>
      </c>
      <c r="H1069" t="s">
        <v>2344</v>
      </c>
      <c r="I1069" t="str">
        <f t="shared" si="33"/>
        <v>Obesity</v>
      </c>
      <c r="J1069" t="str">
        <f t="shared" si="34"/>
        <v>Diabetes</v>
      </c>
    </row>
    <row r="1070" spans="1:10" x14ac:dyDescent="0.35">
      <c r="A1070" t="s">
        <v>1070</v>
      </c>
      <c r="B1070">
        <v>30.5</v>
      </c>
      <c r="C1070">
        <v>10.79</v>
      </c>
      <c r="D1070" t="s">
        <v>2344</v>
      </c>
      <c r="E1070" t="s">
        <v>2344</v>
      </c>
      <c r="F1070" t="s">
        <v>2344</v>
      </c>
      <c r="G1070">
        <v>0</v>
      </c>
      <c r="H1070" t="s">
        <v>2344</v>
      </c>
      <c r="I1070" t="str">
        <f t="shared" si="33"/>
        <v>Obesity</v>
      </c>
      <c r="J1070" t="str">
        <f t="shared" si="34"/>
        <v>Diabetes</v>
      </c>
    </row>
    <row r="1071" spans="1:10" x14ac:dyDescent="0.35">
      <c r="A1071" t="s">
        <v>1071</v>
      </c>
      <c r="B1071">
        <v>30.3</v>
      </c>
      <c r="C1071">
        <v>4.24</v>
      </c>
      <c r="D1071" t="s">
        <v>2344</v>
      </c>
      <c r="E1071" t="s">
        <v>2344</v>
      </c>
      <c r="F1071" t="s">
        <v>2344</v>
      </c>
      <c r="G1071">
        <v>0</v>
      </c>
      <c r="H1071" t="s">
        <v>2344</v>
      </c>
      <c r="I1071" t="str">
        <f t="shared" si="33"/>
        <v>Obesity</v>
      </c>
      <c r="J1071" t="str">
        <f t="shared" si="34"/>
        <v>Normal</v>
      </c>
    </row>
    <row r="1072" spans="1:10" x14ac:dyDescent="0.35">
      <c r="A1072" t="s">
        <v>1072</v>
      </c>
      <c r="B1072">
        <v>26.22</v>
      </c>
      <c r="C1072">
        <v>5.83</v>
      </c>
      <c r="D1072" t="s">
        <v>2344</v>
      </c>
      <c r="E1072" t="s">
        <v>2344</v>
      </c>
      <c r="F1072" t="s">
        <v>2344</v>
      </c>
      <c r="G1072">
        <v>1</v>
      </c>
      <c r="H1072" t="s">
        <v>2344</v>
      </c>
      <c r="I1072" t="str">
        <f t="shared" si="33"/>
        <v>Over weight</v>
      </c>
      <c r="J1072" t="str">
        <f t="shared" si="34"/>
        <v>Prediabetes</v>
      </c>
    </row>
    <row r="1073" spans="1:10" x14ac:dyDescent="0.35">
      <c r="A1073" t="s">
        <v>1073</v>
      </c>
      <c r="B1073">
        <v>29.99</v>
      </c>
      <c r="C1073">
        <v>11.85</v>
      </c>
      <c r="D1073" t="s">
        <v>2344</v>
      </c>
      <c r="E1073" t="s">
        <v>2344</v>
      </c>
      <c r="F1073" t="s">
        <v>2344</v>
      </c>
      <c r="G1073">
        <v>0</v>
      </c>
      <c r="H1073" t="s">
        <v>2344</v>
      </c>
      <c r="I1073" t="str">
        <f t="shared" si="33"/>
        <v>Over weight</v>
      </c>
      <c r="J1073" t="str">
        <f t="shared" si="34"/>
        <v>Diabetes</v>
      </c>
    </row>
    <row r="1074" spans="1:10" x14ac:dyDescent="0.35">
      <c r="A1074" t="s">
        <v>1074</v>
      </c>
      <c r="B1074">
        <v>36.380000000000003</v>
      </c>
      <c r="C1074">
        <v>5.98</v>
      </c>
      <c r="D1074" t="s">
        <v>2344</v>
      </c>
      <c r="E1074" t="s">
        <v>2344</v>
      </c>
      <c r="F1074" t="s">
        <v>2344</v>
      </c>
      <c r="G1074">
        <v>1</v>
      </c>
      <c r="H1074" t="s">
        <v>2344</v>
      </c>
      <c r="I1074" t="str">
        <f t="shared" si="33"/>
        <v>Obesity</v>
      </c>
      <c r="J1074" t="str">
        <f t="shared" si="34"/>
        <v>Prediabetes</v>
      </c>
    </row>
    <row r="1075" spans="1:10" x14ac:dyDescent="0.35">
      <c r="A1075" t="s">
        <v>1075</v>
      </c>
      <c r="B1075">
        <v>31.16</v>
      </c>
      <c r="C1075">
        <v>4.26</v>
      </c>
      <c r="D1075" t="s">
        <v>2346</v>
      </c>
      <c r="E1075" t="s">
        <v>2344</v>
      </c>
      <c r="F1075" t="s">
        <v>2346</v>
      </c>
      <c r="G1075">
        <v>1</v>
      </c>
      <c r="H1075" t="s">
        <v>2344</v>
      </c>
      <c r="I1075" t="str">
        <f t="shared" si="33"/>
        <v>Obesity</v>
      </c>
      <c r="J1075" t="str">
        <f t="shared" si="34"/>
        <v>Normal</v>
      </c>
    </row>
    <row r="1076" spans="1:10" x14ac:dyDescent="0.35">
      <c r="A1076" t="s">
        <v>1076</v>
      </c>
      <c r="B1076">
        <v>25.55</v>
      </c>
      <c r="C1076">
        <v>4.96</v>
      </c>
      <c r="D1076" t="s">
        <v>2346</v>
      </c>
      <c r="E1076" t="s">
        <v>2344</v>
      </c>
      <c r="F1076" t="s">
        <v>2344</v>
      </c>
      <c r="G1076">
        <v>1</v>
      </c>
      <c r="H1076" t="s">
        <v>2344</v>
      </c>
      <c r="I1076" t="str">
        <f t="shared" si="33"/>
        <v>Over weight</v>
      </c>
      <c r="J1076" t="str">
        <f t="shared" si="34"/>
        <v>Normal</v>
      </c>
    </row>
    <row r="1077" spans="1:10" x14ac:dyDescent="0.35">
      <c r="A1077" t="s">
        <v>1077</v>
      </c>
      <c r="B1077">
        <v>28.77</v>
      </c>
      <c r="C1077" t="s">
        <v>2346</v>
      </c>
      <c r="D1077" t="s">
        <v>2346</v>
      </c>
      <c r="E1077" t="s">
        <v>2344</v>
      </c>
      <c r="F1077" t="s">
        <v>2344</v>
      </c>
      <c r="G1077">
        <v>0</v>
      </c>
      <c r="H1077" t="s">
        <v>2344</v>
      </c>
      <c r="I1077" t="str">
        <f t="shared" si="33"/>
        <v>Over weight</v>
      </c>
      <c r="J1077" t="str">
        <f t="shared" si="34"/>
        <v>Diabetes</v>
      </c>
    </row>
    <row r="1078" spans="1:10" x14ac:dyDescent="0.35">
      <c r="A1078" t="s">
        <v>1078</v>
      </c>
      <c r="B1078">
        <v>23.14</v>
      </c>
      <c r="C1078">
        <v>4.1500000000000004</v>
      </c>
      <c r="D1078" t="s">
        <v>2346</v>
      </c>
      <c r="E1078" t="s">
        <v>2344</v>
      </c>
      <c r="F1078" t="s">
        <v>2344</v>
      </c>
      <c r="G1078">
        <v>1</v>
      </c>
      <c r="H1078" t="s">
        <v>2344</v>
      </c>
      <c r="I1078" t="str">
        <f t="shared" si="33"/>
        <v>Normal Weight</v>
      </c>
      <c r="J1078" t="str">
        <f t="shared" si="34"/>
        <v>Normal</v>
      </c>
    </row>
    <row r="1079" spans="1:10" x14ac:dyDescent="0.35">
      <c r="A1079" t="s">
        <v>1079</v>
      </c>
      <c r="B1079">
        <v>39.6</v>
      </c>
      <c r="C1079">
        <v>11.36</v>
      </c>
      <c r="D1079" t="s">
        <v>2344</v>
      </c>
      <c r="E1079" t="s">
        <v>2344</v>
      </c>
      <c r="F1079" t="s">
        <v>2344</v>
      </c>
      <c r="G1079">
        <v>0</v>
      </c>
      <c r="H1079" t="s">
        <v>2344</v>
      </c>
      <c r="I1079" t="str">
        <f t="shared" si="33"/>
        <v>Obesity</v>
      </c>
      <c r="J1079" t="str">
        <f t="shared" si="34"/>
        <v>Diabetes</v>
      </c>
    </row>
    <row r="1080" spans="1:10" x14ac:dyDescent="0.35">
      <c r="A1080" t="s">
        <v>1080</v>
      </c>
      <c r="B1080">
        <v>29.2</v>
      </c>
      <c r="C1080">
        <v>7.53</v>
      </c>
      <c r="D1080" t="s">
        <v>2344</v>
      </c>
      <c r="E1080" t="s">
        <v>2344</v>
      </c>
      <c r="F1080" t="s">
        <v>2344</v>
      </c>
      <c r="G1080">
        <v>0</v>
      </c>
      <c r="H1080" t="s">
        <v>2344</v>
      </c>
      <c r="I1080" t="str">
        <f t="shared" si="33"/>
        <v>Over weight</v>
      </c>
      <c r="J1080" t="str">
        <f t="shared" si="34"/>
        <v>Diabetes</v>
      </c>
    </row>
    <row r="1081" spans="1:10" x14ac:dyDescent="0.35">
      <c r="A1081" t="s">
        <v>1081</v>
      </c>
      <c r="B1081">
        <v>32.774999999999999</v>
      </c>
      <c r="C1081">
        <v>7.95</v>
      </c>
      <c r="D1081" t="s">
        <v>2344</v>
      </c>
      <c r="E1081" t="s">
        <v>2344</v>
      </c>
      <c r="F1081" t="s">
        <v>2344</v>
      </c>
      <c r="G1081">
        <v>0</v>
      </c>
      <c r="H1081" t="s">
        <v>2344</v>
      </c>
      <c r="I1081" t="str">
        <f t="shared" si="33"/>
        <v>Obesity</v>
      </c>
      <c r="J1081" t="str">
        <f t="shared" si="34"/>
        <v>Diabetes</v>
      </c>
    </row>
    <row r="1082" spans="1:10" x14ac:dyDescent="0.35">
      <c r="A1082" t="s">
        <v>1082</v>
      </c>
      <c r="B1082">
        <v>24.035</v>
      </c>
      <c r="C1082">
        <v>8.5</v>
      </c>
      <c r="D1082" t="s">
        <v>2344</v>
      </c>
      <c r="E1082" t="s">
        <v>2344</v>
      </c>
      <c r="F1082" t="s">
        <v>2344</v>
      </c>
      <c r="G1082">
        <v>0</v>
      </c>
      <c r="H1082" t="s">
        <v>2344</v>
      </c>
      <c r="I1082" t="str">
        <f t="shared" si="33"/>
        <v>Normal Weight</v>
      </c>
      <c r="J1082" t="str">
        <f t="shared" si="34"/>
        <v>Diabetes</v>
      </c>
    </row>
    <row r="1083" spans="1:10" x14ac:dyDescent="0.35">
      <c r="A1083" t="s">
        <v>1083</v>
      </c>
      <c r="B1083">
        <v>30.55</v>
      </c>
      <c r="C1083">
        <v>5.89</v>
      </c>
      <c r="D1083" t="s">
        <v>2344</v>
      </c>
      <c r="E1083" t="s">
        <v>2344</v>
      </c>
      <c r="F1083" t="s">
        <v>2346</v>
      </c>
      <c r="G1083">
        <v>1</v>
      </c>
      <c r="H1083" t="s">
        <v>2344</v>
      </c>
      <c r="I1083" t="str">
        <f t="shared" si="33"/>
        <v>Obesity</v>
      </c>
      <c r="J1083" t="str">
        <f t="shared" si="34"/>
        <v>Prediabetes</v>
      </c>
    </row>
    <row r="1084" spans="1:10" x14ac:dyDescent="0.35">
      <c r="A1084" t="s">
        <v>1084</v>
      </c>
      <c r="B1084">
        <v>28.81</v>
      </c>
      <c r="C1084">
        <v>8.76</v>
      </c>
      <c r="D1084" t="s">
        <v>2344</v>
      </c>
      <c r="E1084" t="s">
        <v>2344</v>
      </c>
      <c r="F1084" t="s">
        <v>2344</v>
      </c>
      <c r="G1084">
        <v>1</v>
      </c>
      <c r="H1084" t="s">
        <v>2344</v>
      </c>
      <c r="I1084" t="str">
        <f t="shared" si="33"/>
        <v>Over weight</v>
      </c>
      <c r="J1084" t="str">
        <f t="shared" si="34"/>
        <v>Diabetes</v>
      </c>
    </row>
    <row r="1085" spans="1:10" x14ac:dyDescent="0.35">
      <c r="A1085" t="s">
        <v>1085</v>
      </c>
      <c r="B1085">
        <v>31.66</v>
      </c>
      <c r="C1085">
        <v>4.1100000000000003</v>
      </c>
      <c r="D1085" t="s">
        <v>2344</v>
      </c>
      <c r="E1085" t="s">
        <v>2344</v>
      </c>
      <c r="F1085" t="s">
        <v>2344</v>
      </c>
      <c r="G1085">
        <v>0</v>
      </c>
      <c r="H1085" t="s">
        <v>2344</v>
      </c>
      <c r="I1085" t="str">
        <f t="shared" si="33"/>
        <v>Obesity</v>
      </c>
      <c r="J1085" t="str">
        <f t="shared" si="34"/>
        <v>Normal</v>
      </c>
    </row>
    <row r="1086" spans="1:10" x14ac:dyDescent="0.35">
      <c r="A1086" t="s">
        <v>1086</v>
      </c>
      <c r="B1086">
        <v>28.215</v>
      </c>
      <c r="C1086">
        <v>7.56</v>
      </c>
      <c r="D1086" t="s">
        <v>2346</v>
      </c>
      <c r="E1086" t="s">
        <v>2344</v>
      </c>
      <c r="F1086" t="s">
        <v>2344</v>
      </c>
      <c r="G1086">
        <v>1</v>
      </c>
      <c r="H1086" t="s">
        <v>2344</v>
      </c>
      <c r="I1086" t="str">
        <f t="shared" si="33"/>
        <v>Over weight</v>
      </c>
      <c r="J1086" t="str">
        <f t="shared" si="34"/>
        <v>Diabetes</v>
      </c>
    </row>
    <row r="1087" spans="1:10" x14ac:dyDescent="0.35">
      <c r="A1087" t="s">
        <v>1087</v>
      </c>
      <c r="B1087">
        <v>26.12</v>
      </c>
      <c r="C1087">
        <v>4.17</v>
      </c>
      <c r="D1087" t="s">
        <v>2346</v>
      </c>
      <c r="E1087" t="s">
        <v>2344</v>
      </c>
      <c r="F1087" t="s">
        <v>2346</v>
      </c>
      <c r="G1087">
        <v>1</v>
      </c>
      <c r="H1087" t="s">
        <v>2344</v>
      </c>
      <c r="I1087" t="str">
        <f t="shared" si="33"/>
        <v>Over weight</v>
      </c>
      <c r="J1087" t="str">
        <f t="shared" si="34"/>
        <v>Normal</v>
      </c>
    </row>
    <row r="1088" spans="1:10" x14ac:dyDescent="0.35">
      <c r="A1088" t="s">
        <v>1088</v>
      </c>
      <c r="B1088">
        <v>36.630000000000003</v>
      </c>
      <c r="C1088">
        <v>11.42</v>
      </c>
      <c r="D1088" t="s">
        <v>2344</v>
      </c>
      <c r="E1088" t="s">
        <v>2344</v>
      </c>
      <c r="F1088" t="s">
        <v>2344</v>
      </c>
      <c r="G1088">
        <v>1</v>
      </c>
      <c r="H1088" t="s">
        <v>2344</v>
      </c>
      <c r="I1088" t="str">
        <f t="shared" si="33"/>
        <v>Obesity</v>
      </c>
      <c r="J1088" t="str">
        <f t="shared" si="34"/>
        <v>Diabetes</v>
      </c>
    </row>
    <row r="1089" spans="1:10" x14ac:dyDescent="0.35">
      <c r="A1089" t="s">
        <v>1089</v>
      </c>
      <c r="B1089">
        <v>33.344999999999999</v>
      </c>
      <c r="C1089">
        <v>7.33</v>
      </c>
      <c r="D1089" t="s">
        <v>2344</v>
      </c>
      <c r="E1089" t="s">
        <v>2344</v>
      </c>
      <c r="F1089" t="s">
        <v>2344</v>
      </c>
      <c r="G1089">
        <v>1</v>
      </c>
      <c r="H1089" t="s">
        <v>2344</v>
      </c>
      <c r="I1089" t="str">
        <f t="shared" si="33"/>
        <v>Obesity</v>
      </c>
      <c r="J1089" t="str">
        <f t="shared" si="34"/>
        <v>Diabetes</v>
      </c>
    </row>
    <row r="1090" spans="1:10" x14ac:dyDescent="0.35">
      <c r="A1090" t="s">
        <v>1090</v>
      </c>
      <c r="B1090">
        <v>27.11</v>
      </c>
      <c r="C1090">
        <v>6.7</v>
      </c>
      <c r="D1090" t="s">
        <v>2344</v>
      </c>
      <c r="E1090" t="s">
        <v>2344</v>
      </c>
      <c r="F1090" t="s">
        <v>2344</v>
      </c>
      <c r="G1090">
        <v>0</v>
      </c>
      <c r="H1090" t="s">
        <v>2344</v>
      </c>
      <c r="I1090" t="str">
        <f t="shared" si="33"/>
        <v>Over weight</v>
      </c>
      <c r="J1090" t="str">
        <f t="shared" si="34"/>
        <v>Diabetes</v>
      </c>
    </row>
    <row r="1091" spans="1:10" x14ac:dyDescent="0.35">
      <c r="A1091" t="s">
        <v>1091</v>
      </c>
      <c r="B1091">
        <v>26.6</v>
      </c>
      <c r="C1091">
        <v>5.27</v>
      </c>
      <c r="D1091" t="s">
        <v>2346</v>
      </c>
      <c r="E1091" t="s">
        <v>2344</v>
      </c>
      <c r="F1091" t="s">
        <v>2346</v>
      </c>
      <c r="G1091">
        <v>1</v>
      </c>
      <c r="H1091" t="s">
        <v>2344</v>
      </c>
      <c r="I1091" t="str">
        <f t="shared" ref="I1091:I1154" si="35">IF(B1091&lt;18.5,"Under Weight",IF(B1091&lt;25,"Normal Weight",IF(B1091&lt;30,"Over weight","Obesity")))</f>
        <v>Over weight</v>
      </c>
      <c r="J1091" t="str">
        <f t="shared" si="34"/>
        <v>Normal</v>
      </c>
    </row>
    <row r="1092" spans="1:10" x14ac:dyDescent="0.35">
      <c r="A1092" t="s">
        <v>1092</v>
      </c>
      <c r="B1092">
        <v>30.41</v>
      </c>
      <c r="C1092">
        <v>7.72</v>
      </c>
      <c r="D1092" t="s">
        <v>2344</v>
      </c>
      <c r="E1092" t="s">
        <v>2344</v>
      </c>
      <c r="F1092" t="s">
        <v>2344</v>
      </c>
      <c r="G1092">
        <v>0</v>
      </c>
      <c r="H1092" t="s">
        <v>2344</v>
      </c>
      <c r="I1092" t="str">
        <f t="shared" si="35"/>
        <v>Obesity</v>
      </c>
      <c r="J1092" t="str">
        <f t="shared" si="34"/>
        <v>Diabetes</v>
      </c>
    </row>
    <row r="1093" spans="1:10" x14ac:dyDescent="0.35">
      <c r="A1093" t="s">
        <v>1093</v>
      </c>
      <c r="B1093">
        <v>28.98</v>
      </c>
      <c r="C1093">
        <v>8.68</v>
      </c>
      <c r="D1093" t="s">
        <v>2344</v>
      </c>
      <c r="E1093" t="s">
        <v>2344</v>
      </c>
      <c r="F1093" t="s">
        <v>2344</v>
      </c>
      <c r="G1093">
        <v>1</v>
      </c>
      <c r="H1093" t="s">
        <v>2344</v>
      </c>
      <c r="I1093" t="str">
        <f t="shared" si="35"/>
        <v>Over weight</v>
      </c>
      <c r="J1093" t="str">
        <f t="shared" si="34"/>
        <v>Diabetes</v>
      </c>
    </row>
    <row r="1094" spans="1:10" x14ac:dyDescent="0.35">
      <c r="A1094" t="s">
        <v>1094</v>
      </c>
      <c r="B1094">
        <v>31.24</v>
      </c>
      <c r="C1094">
        <v>9.8000000000000007</v>
      </c>
      <c r="D1094" t="s">
        <v>2344</v>
      </c>
      <c r="E1094" t="s">
        <v>2344</v>
      </c>
      <c r="F1094" t="s">
        <v>2344</v>
      </c>
      <c r="G1094">
        <v>0</v>
      </c>
      <c r="H1094" t="s">
        <v>2344</v>
      </c>
      <c r="I1094" t="str">
        <f t="shared" si="35"/>
        <v>Obesity</v>
      </c>
      <c r="J1094" t="str">
        <f t="shared" si="34"/>
        <v>Diabetes</v>
      </c>
    </row>
    <row r="1095" spans="1:10" x14ac:dyDescent="0.35">
      <c r="A1095" t="s">
        <v>1095</v>
      </c>
      <c r="B1095">
        <v>31.54</v>
      </c>
      <c r="C1095">
        <v>4.4400000000000004</v>
      </c>
      <c r="D1095" t="s">
        <v>2344</v>
      </c>
      <c r="E1095" t="s">
        <v>2344</v>
      </c>
      <c r="F1095" t="s">
        <v>2344</v>
      </c>
      <c r="G1095">
        <v>0</v>
      </c>
      <c r="H1095" t="s">
        <v>2344</v>
      </c>
      <c r="I1095" t="str">
        <f t="shared" si="35"/>
        <v>Obesity</v>
      </c>
      <c r="J1095" t="str">
        <f t="shared" si="34"/>
        <v>Normal</v>
      </c>
    </row>
    <row r="1096" spans="1:10" x14ac:dyDescent="0.35">
      <c r="A1096" t="s">
        <v>1096</v>
      </c>
      <c r="B1096">
        <v>38.6</v>
      </c>
      <c r="C1096">
        <v>7.19</v>
      </c>
      <c r="D1096" t="s">
        <v>2346</v>
      </c>
      <c r="E1096" t="s">
        <v>2344</v>
      </c>
      <c r="F1096" t="s">
        <v>2344</v>
      </c>
      <c r="G1096">
        <v>1</v>
      </c>
      <c r="H1096" t="s">
        <v>2344</v>
      </c>
      <c r="I1096" t="str">
        <f t="shared" si="35"/>
        <v>Obesity</v>
      </c>
      <c r="J1096" t="str">
        <f t="shared" si="34"/>
        <v>Diabetes</v>
      </c>
    </row>
    <row r="1097" spans="1:10" x14ac:dyDescent="0.35">
      <c r="A1097" t="s">
        <v>1097</v>
      </c>
      <c r="B1097">
        <v>37.950000000000003</v>
      </c>
      <c r="C1097">
        <v>6.06</v>
      </c>
      <c r="D1097" t="s">
        <v>2344</v>
      </c>
      <c r="E1097" t="s">
        <v>2344</v>
      </c>
      <c r="F1097" t="s">
        <v>2344</v>
      </c>
      <c r="G1097">
        <v>0</v>
      </c>
      <c r="H1097" t="s">
        <v>2344</v>
      </c>
      <c r="I1097" t="str">
        <f t="shared" si="35"/>
        <v>Obesity</v>
      </c>
      <c r="J1097" t="str">
        <f t="shared" si="34"/>
        <v>Prediabetes</v>
      </c>
    </row>
    <row r="1098" spans="1:10" x14ac:dyDescent="0.35">
      <c r="A1098" t="s">
        <v>1098</v>
      </c>
      <c r="B1098">
        <v>38.97</v>
      </c>
      <c r="C1098">
        <v>5.12</v>
      </c>
      <c r="D1098" t="s">
        <v>2344</v>
      </c>
      <c r="E1098" t="s">
        <v>2344</v>
      </c>
      <c r="F1098" t="s">
        <v>2344</v>
      </c>
      <c r="G1098">
        <v>0</v>
      </c>
      <c r="H1098" t="s">
        <v>2344</v>
      </c>
      <c r="I1098" t="str">
        <f t="shared" si="35"/>
        <v>Obesity</v>
      </c>
      <c r="J1098" t="str">
        <f t="shared" si="34"/>
        <v>Normal</v>
      </c>
    </row>
    <row r="1099" spans="1:10" x14ac:dyDescent="0.35">
      <c r="A1099" t="s">
        <v>1099</v>
      </c>
      <c r="B1099">
        <v>21.2</v>
      </c>
      <c r="C1099">
        <v>10.72</v>
      </c>
      <c r="D1099" t="s">
        <v>2344</v>
      </c>
      <c r="E1099" t="s">
        <v>2344</v>
      </c>
      <c r="F1099" t="s">
        <v>2344</v>
      </c>
      <c r="G1099">
        <v>0</v>
      </c>
      <c r="H1099" t="s">
        <v>2344</v>
      </c>
      <c r="I1099" t="str">
        <f t="shared" si="35"/>
        <v>Normal Weight</v>
      </c>
      <c r="J1099" t="str">
        <f t="shared" si="34"/>
        <v>Diabetes</v>
      </c>
    </row>
    <row r="1100" spans="1:10" x14ac:dyDescent="0.35">
      <c r="A1100" t="s">
        <v>1100</v>
      </c>
      <c r="B1100">
        <v>23.96</v>
      </c>
      <c r="C1100">
        <v>9.58</v>
      </c>
      <c r="D1100" t="s">
        <v>2346</v>
      </c>
      <c r="E1100" t="s">
        <v>2344</v>
      </c>
      <c r="F1100" t="s">
        <v>2346</v>
      </c>
      <c r="G1100">
        <v>1</v>
      </c>
      <c r="H1100" t="s">
        <v>2344</v>
      </c>
      <c r="I1100" t="str">
        <f t="shared" si="35"/>
        <v>Normal Weight</v>
      </c>
      <c r="J1100" t="str">
        <f t="shared" ref="J1100:J1163" si="36">IF(C1100&lt;5.7,"Normal",IF(C1100&lt;6.5,"Prediabetes","Diabetes"))</f>
        <v>Diabetes</v>
      </c>
    </row>
    <row r="1101" spans="1:10" x14ac:dyDescent="0.35">
      <c r="A1101" t="s">
        <v>1101</v>
      </c>
      <c r="B1101">
        <v>35.93</v>
      </c>
      <c r="C1101">
        <v>6.4</v>
      </c>
      <c r="D1101" t="s">
        <v>2346</v>
      </c>
      <c r="E1101" t="s">
        <v>2344</v>
      </c>
      <c r="F1101" t="s">
        <v>2344</v>
      </c>
      <c r="G1101">
        <v>1</v>
      </c>
      <c r="H1101" t="s">
        <v>2344</v>
      </c>
      <c r="I1101" t="str">
        <f t="shared" si="35"/>
        <v>Obesity</v>
      </c>
      <c r="J1101" t="str">
        <f t="shared" si="36"/>
        <v>Prediabetes</v>
      </c>
    </row>
    <row r="1102" spans="1:10" x14ac:dyDescent="0.35">
      <c r="A1102" t="s">
        <v>1102</v>
      </c>
      <c r="B1102">
        <v>26.11</v>
      </c>
      <c r="C1102">
        <v>6.8</v>
      </c>
      <c r="D1102" t="s">
        <v>2346</v>
      </c>
      <c r="E1102" t="s">
        <v>2344</v>
      </c>
      <c r="F1102" t="s">
        <v>2344</v>
      </c>
      <c r="G1102">
        <v>1</v>
      </c>
      <c r="H1102" t="s">
        <v>2344</v>
      </c>
      <c r="I1102" t="str">
        <f t="shared" si="35"/>
        <v>Over weight</v>
      </c>
      <c r="J1102" t="str">
        <f t="shared" si="36"/>
        <v>Diabetes</v>
      </c>
    </row>
    <row r="1103" spans="1:10" x14ac:dyDescent="0.35">
      <c r="A1103" t="s">
        <v>1103</v>
      </c>
      <c r="B1103">
        <v>32.299999999999997</v>
      </c>
      <c r="C1103">
        <v>9.48</v>
      </c>
      <c r="D1103" t="s">
        <v>2344</v>
      </c>
      <c r="E1103" t="s">
        <v>2344</v>
      </c>
      <c r="F1103" t="s">
        <v>2344</v>
      </c>
      <c r="G1103">
        <v>1</v>
      </c>
      <c r="H1103" t="s">
        <v>2344</v>
      </c>
      <c r="I1103" t="str">
        <f t="shared" si="35"/>
        <v>Obesity</v>
      </c>
      <c r="J1103" t="str">
        <f t="shared" si="36"/>
        <v>Diabetes</v>
      </c>
    </row>
    <row r="1104" spans="1:10" x14ac:dyDescent="0.35">
      <c r="A1104" t="s">
        <v>1104</v>
      </c>
      <c r="B1104">
        <v>28.69</v>
      </c>
      <c r="C1104">
        <v>7.45</v>
      </c>
      <c r="D1104" t="s">
        <v>2344</v>
      </c>
      <c r="E1104" t="s">
        <v>2344</v>
      </c>
      <c r="F1104" t="s">
        <v>2344</v>
      </c>
      <c r="G1104">
        <v>1</v>
      </c>
      <c r="H1104" t="s">
        <v>2344</v>
      </c>
      <c r="I1104" t="str">
        <f t="shared" si="35"/>
        <v>Over weight</v>
      </c>
      <c r="J1104" t="str">
        <f t="shared" si="36"/>
        <v>Diabetes</v>
      </c>
    </row>
    <row r="1105" spans="1:10" x14ac:dyDescent="0.35">
      <c r="A1105" t="s">
        <v>1105</v>
      </c>
      <c r="B1105">
        <v>31.28</v>
      </c>
      <c r="C1105">
        <v>6.94</v>
      </c>
      <c r="D1105" t="s">
        <v>2346</v>
      </c>
      <c r="E1105" t="s">
        <v>2344</v>
      </c>
      <c r="F1105" t="s">
        <v>2344</v>
      </c>
      <c r="G1105">
        <v>1</v>
      </c>
      <c r="H1105" t="s">
        <v>2344</v>
      </c>
      <c r="I1105" t="str">
        <f t="shared" si="35"/>
        <v>Obesity</v>
      </c>
      <c r="J1105" t="str">
        <f t="shared" si="36"/>
        <v>Diabetes</v>
      </c>
    </row>
    <row r="1106" spans="1:10" x14ac:dyDescent="0.35">
      <c r="A1106" t="s">
        <v>1106</v>
      </c>
      <c r="B1106">
        <v>30.21</v>
      </c>
      <c r="C1106">
        <v>7.83</v>
      </c>
      <c r="D1106" t="s">
        <v>2344</v>
      </c>
      <c r="E1106" t="s">
        <v>2344</v>
      </c>
      <c r="F1106" t="s">
        <v>2344</v>
      </c>
      <c r="G1106">
        <v>0</v>
      </c>
      <c r="H1106" t="s">
        <v>2344</v>
      </c>
      <c r="I1106" t="str">
        <f t="shared" si="35"/>
        <v>Obesity</v>
      </c>
      <c r="J1106" t="str">
        <f t="shared" si="36"/>
        <v>Diabetes</v>
      </c>
    </row>
    <row r="1107" spans="1:10" x14ac:dyDescent="0.35">
      <c r="A1107" t="s">
        <v>1107</v>
      </c>
      <c r="B1107">
        <v>38.28</v>
      </c>
      <c r="C1107">
        <v>10.17</v>
      </c>
      <c r="D1107" t="s">
        <v>2346</v>
      </c>
      <c r="E1107" t="s">
        <v>2344</v>
      </c>
      <c r="F1107" t="s">
        <v>2344</v>
      </c>
      <c r="G1107">
        <v>0</v>
      </c>
      <c r="H1107" t="s">
        <v>2344</v>
      </c>
      <c r="I1107" t="str">
        <f t="shared" si="35"/>
        <v>Obesity</v>
      </c>
      <c r="J1107" t="str">
        <f t="shared" si="36"/>
        <v>Diabetes</v>
      </c>
    </row>
    <row r="1108" spans="1:10" x14ac:dyDescent="0.35">
      <c r="A1108" t="s">
        <v>1108</v>
      </c>
      <c r="B1108">
        <v>29.9</v>
      </c>
      <c r="C1108">
        <v>8.9600000000000009</v>
      </c>
      <c r="D1108" t="s">
        <v>2346</v>
      </c>
      <c r="E1108" t="s">
        <v>2344</v>
      </c>
      <c r="F1108" t="s">
        <v>2344</v>
      </c>
      <c r="G1108">
        <v>0</v>
      </c>
      <c r="H1108" t="s">
        <v>2344</v>
      </c>
      <c r="I1108" t="str">
        <f t="shared" si="35"/>
        <v>Over weight</v>
      </c>
      <c r="J1108" t="str">
        <f t="shared" si="36"/>
        <v>Diabetes</v>
      </c>
    </row>
    <row r="1109" spans="1:10" x14ac:dyDescent="0.35">
      <c r="A1109" t="s">
        <v>1109</v>
      </c>
      <c r="B1109">
        <v>23.18</v>
      </c>
      <c r="C1109">
        <v>6.96</v>
      </c>
      <c r="D1109" t="s">
        <v>2346</v>
      </c>
      <c r="E1109" t="s">
        <v>2344</v>
      </c>
      <c r="F1109" t="s">
        <v>2344</v>
      </c>
      <c r="G1109">
        <v>1</v>
      </c>
      <c r="H1109" t="s">
        <v>2344</v>
      </c>
      <c r="I1109" t="str">
        <f t="shared" si="35"/>
        <v>Normal Weight</v>
      </c>
      <c r="J1109" t="str">
        <f t="shared" si="36"/>
        <v>Diabetes</v>
      </c>
    </row>
    <row r="1110" spans="1:10" x14ac:dyDescent="0.35">
      <c r="A1110" t="s">
        <v>1110</v>
      </c>
      <c r="B1110">
        <v>33.020000000000003</v>
      </c>
      <c r="C1110">
        <v>5.07</v>
      </c>
      <c r="D1110" t="s">
        <v>2346</v>
      </c>
      <c r="E1110" t="s">
        <v>2344</v>
      </c>
      <c r="F1110" t="s">
        <v>2344</v>
      </c>
      <c r="G1110">
        <v>0</v>
      </c>
      <c r="H1110" t="s">
        <v>2344</v>
      </c>
      <c r="I1110" t="str">
        <f t="shared" si="35"/>
        <v>Obesity</v>
      </c>
      <c r="J1110" t="str">
        <f t="shared" si="36"/>
        <v>Normal</v>
      </c>
    </row>
    <row r="1111" spans="1:10" x14ac:dyDescent="0.35">
      <c r="A1111" t="s">
        <v>1111</v>
      </c>
      <c r="B1111">
        <v>27.29</v>
      </c>
      <c r="C1111">
        <v>5.85</v>
      </c>
      <c r="D1111" t="s">
        <v>2344</v>
      </c>
      <c r="E1111" t="s">
        <v>2344</v>
      </c>
      <c r="F1111" t="s">
        <v>2344</v>
      </c>
      <c r="G1111">
        <v>1</v>
      </c>
      <c r="H1111" t="s">
        <v>2344</v>
      </c>
      <c r="I1111" t="str">
        <f t="shared" si="35"/>
        <v>Over weight</v>
      </c>
      <c r="J1111" t="str">
        <f t="shared" si="36"/>
        <v>Prediabetes</v>
      </c>
    </row>
    <row r="1112" spans="1:10" x14ac:dyDescent="0.35">
      <c r="A1112" t="s">
        <v>1112</v>
      </c>
      <c r="B1112">
        <v>23.18</v>
      </c>
      <c r="C1112">
        <v>10.56</v>
      </c>
      <c r="D1112" t="s">
        <v>2344</v>
      </c>
      <c r="E1112" t="s">
        <v>2344</v>
      </c>
      <c r="F1112" t="s">
        <v>2344</v>
      </c>
      <c r="G1112">
        <v>1</v>
      </c>
      <c r="H1112" t="s">
        <v>2344</v>
      </c>
      <c r="I1112" t="str">
        <f t="shared" si="35"/>
        <v>Normal Weight</v>
      </c>
      <c r="J1112" t="str">
        <f t="shared" si="36"/>
        <v>Diabetes</v>
      </c>
    </row>
    <row r="1113" spans="1:10" x14ac:dyDescent="0.35">
      <c r="A1113" t="s">
        <v>1113</v>
      </c>
      <c r="B1113">
        <v>32.659999999999997</v>
      </c>
      <c r="C1113">
        <v>8.92</v>
      </c>
      <c r="D1113" t="s">
        <v>2346</v>
      </c>
      <c r="E1113" t="s">
        <v>2344</v>
      </c>
      <c r="F1113" t="s">
        <v>2344</v>
      </c>
      <c r="G1113">
        <v>0</v>
      </c>
      <c r="H1113" t="s">
        <v>2344</v>
      </c>
      <c r="I1113" t="str">
        <f t="shared" si="35"/>
        <v>Obesity</v>
      </c>
      <c r="J1113" t="str">
        <f t="shared" si="36"/>
        <v>Diabetes</v>
      </c>
    </row>
    <row r="1114" spans="1:10" x14ac:dyDescent="0.35">
      <c r="A1114" t="s">
        <v>1114</v>
      </c>
      <c r="B1114">
        <v>30.78</v>
      </c>
      <c r="C1114">
        <v>8.6300000000000008</v>
      </c>
      <c r="D1114" t="s">
        <v>2344</v>
      </c>
      <c r="E1114" t="s">
        <v>2344</v>
      </c>
      <c r="F1114" t="s">
        <v>2344</v>
      </c>
      <c r="G1114">
        <v>0</v>
      </c>
      <c r="H1114" t="s">
        <v>2344</v>
      </c>
      <c r="I1114" t="str">
        <f t="shared" si="35"/>
        <v>Obesity</v>
      </c>
      <c r="J1114" t="str">
        <f t="shared" si="36"/>
        <v>Diabetes</v>
      </c>
    </row>
    <row r="1115" spans="1:10" x14ac:dyDescent="0.35">
      <c r="A1115" t="s">
        <v>1115</v>
      </c>
      <c r="B1115">
        <v>47.2</v>
      </c>
      <c r="C1115">
        <v>6.29</v>
      </c>
      <c r="D1115" t="s">
        <v>2346</v>
      </c>
      <c r="E1115" t="s">
        <v>2344</v>
      </c>
      <c r="F1115" t="s">
        <v>2346</v>
      </c>
      <c r="G1115">
        <v>1</v>
      </c>
      <c r="H1115" t="s">
        <v>2344</v>
      </c>
      <c r="I1115" t="str">
        <f t="shared" si="35"/>
        <v>Obesity</v>
      </c>
      <c r="J1115" t="str">
        <f t="shared" si="36"/>
        <v>Prediabetes</v>
      </c>
    </row>
    <row r="1116" spans="1:10" x14ac:dyDescent="0.35">
      <c r="A1116" t="s">
        <v>1116</v>
      </c>
      <c r="B1116">
        <v>31.6</v>
      </c>
      <c r="C1116">
        <v>5.75</v>
      </c>
      <c r="D1116" t="s">
        <v>2344</v>
      </c>
      <c r="E1116" t="s">
        <v>2344</v>
      </c>
      <c r="F1116" t="s">
        <v>2344</v>
      </c>
      <c r="G1116">
        <v>1</v>
      </c>
      <c r="H1116" t="s">
        <v>2344</v>
      </c>
      <c r="I1116" t="str">
        <f t="shared" si="35"/>
        <v>Obesity</v>
      </c>
      <c r="J1116" t="str">
        <f t="shared" si="36"/>
        <v>Prediabetes</v>
      </c>
    </row>
    <row r="1117" spans="1:10" x14ac:dyDescent="0.35">
      <c r="A1117" t="s">
        <v>1117</v>
      </c>
      <c r="B1117">
        <v>33.914999999999999</v>
      </c>
      <c r="C1117">
        <v>6.66</v>
      </c>
      <c r="D1117" t="s">
        <v>2346</v>
      </c>
      <c r="E1117" t="s">
        <v>2344</v>
      </c>
      <c r="F1117" t="s">
        <v>2344</v>
      </c>
      <c r="G1117">
        <v>1</v>
      </c>
      <c r="H1117" t="s">
        <v>2344</v>
      </c>
      <c r="I1117" t="str">
        <f t="shared" si="35"/>
        <v>Obesity</v>
      </c>
      <c r="J1117" t="str">
        <f t="shared" si="36"/>
        <v>Diabetes</v>
      </c>
    </row>
    <row r="1118" spans="1:10" x14ac:dyDescent="0.35">
      <c r="A1118" t="s">
        <v>1118</v>
      </c>
      <c r="B1118">
        <v>23.54</v>
      </c>
      <c r="C1118">
        <v>5.0999999999999996</v>
      </c>
      <c r="D1118" t="s">
        <v>2344</v>
      </c>
      <c r="E1118" t="s">
        <v>2344</v>
      </c>
      <c r="F1118" t="s">
        <v>2344</v>
      </c>
      <c r="G1118">
        <v>1</v>
      </c>
      <c r="H1118" t="s">
        <v>2344</v>
      </c>
      <c r="I1118" t="str">
        <f t="shared" si="35"/>
        <v>Normal Weight</v>
      </c>
      <c r="J1118" t="str">
        <f t="shared" si="36"/>
        <v>Normal</v>
      </c>
    </row>
    <row r="1119" spans="1:10" x14ac:dyDescent="0.35">
      <c r="A1119" t="s">
        <v>1119</v>
      </c>
      <c r="B1119">
        <v>27.074999999999999</v>
      </c>
      <c r="C1119">
        <v>4.41</v>
      </c>
      <c r="D1119" t="s">
        <v>2344</v>
      </c>
      <c r="E1119" t="s">
        <v>2344</v>
      </c>
      <c r="F1119" t="s">
        <v>2344</v>
      </c>
      <c r="G1119">
        <v>1</v>
      </c>
      <c r="H1119" t="s">
        <v>2344</v>
      </c>
      <c r="I1119" t="str">
        <f t="shared" si="35"/>
        <v>Over weight</v>
      </c>
      <c r="J1119" t="str">
        <f t="shared" si="36"/>
        <v>Normal</v>
      </c>
    </row>
    <row r="1120" spans="1:10" x14ac:dyDescent="0.35">
      <c r="A1120" t="s">
        <v>1120</v>
      </c>
      <c r="B1120">
        <v>25.8</v>
      </c>
      <c r="C1120">
        <v>5.52</v>
      </c>
      <c r="D1120" t="s">
        <v>2346</v>
      </c>
      <c r="E1120" t="s">
        <v>2344</v>
      </c>
      <c r="F1120" t="s">
        <v>2344</v>
      </c>
      <c r="G1120">
        <v>0</v>
      </c>
      <c r="H1120" t="s">
        <v>2344</v>
      </c>
      <c r="I1120" t="str">
        <f t="shared" si="35"/>
        <v>Over weight</v>
      </c>
      <c r="J1120" t="str">
        <f t="shared" si="36"/>
        <v>Normal</v>
      </c>
    </row>
    <row r="1121" spans="1:10" x14ac:dyDescent="0.35">
      <c r="A1121" t="s">
        <v>1121</v>
      </c>
      <c r="B1121">
        <v>36.1</v>
      </c>
      <c r="C1121">
        <v>4.62</v>
      </c>
      <c r="D1121" t="s">
        <v>2346</v>
      </c>
      <c r="E1121" t="s">
        <v>2344</v>
      </c>
      <c r="F1121" t="s">
        <v>2346</v>
      </c>
      <c r="G1121">
        <v>1</v>
      </c>
      <c r="H1121" t="s">
        <v>2344</v>
      </c>
      <c r="I1121" t="str">
        <f t="shared" si="35"/>
        <v>Obesity</v>
      </c>
      <c r="J1121" t="str">
        <f t="shared" si="36"/>
        <v>Normal</v>
      </c>
    </row>
    <row r="1122" spans="1:10" x14ac:dyDescent="0.35">
      <c r="A1122" t="s">
        <v>1122</v>
      </c>
      <c r="B1122">
        <v>30.495000000000001</v>
      </c>
      <c r="C1122">
        <v>5.74</v>
      </c>
      <c r="D1122" t="s">
        <v>2346</v>
      </c>
      <c r="E1122" t="s">
        <v>2344</v>
      </c>
      <c r="F1122" t="s">
        <v>2346</v>
      </c>
      <c r="G1122">
        <v>1</v>
      </c>
      <c r="H1122" t="s">
        <v>2344</v>
      </c>
      <c r="I1122" t="str">
        <f t="shared" si="35"/>
        <v>Obesity</v>
      </c>
      <c r="J1122" t="str">
        <f t="shared" si="36"/>
        <v>Prediabetes</v>
      </c>
    </row>
    <row r="1123" spans="1:10" x14ac:dyDescent="0.35">
      <c r="A1123" t="s">
        <v>1123</v>
      </c>
      <c r="B1123">
        <v>21.4</v>
      </c>
      <c r="C1123">
        <v>6.3</v>
      </c>
      <c r="D1123" t="s">
        <v>2346</v>
      </c>
      <c r="E1123" t="s">
        <v>2344</v>
      </c>
      <c r="F1123" t="s">
        <v>2346</v>
      </c>
      <c r="G1123">
        <v>1</v>
      </c>
      <c r="H1123" t="s">
        <v>2344</v>
      </c>
      <c r="I1123" t="str">
        <f t="shared" si="35"/>
        <v>Normal Weight</v>
      </c>
      <c r="J1123" t="str">
        <f t="shared" si="36"/>
        <v>Prediabetes</v>
      </c>
    </row>
    <row r="1124" spans="1:10" x14ac:dyDescent="0.35">
      <c r="A1124" t="s">
        <v>1124</v>
      </c>
      <c r="B1124">
        <v>32.299999999999997</v>
      </c>
      <c r="C1124">
        <v>10.27</v>
      </c>
      <c r="D1124" t="s">
        <v>2344</v>
      </c>
      <c r="E1124" t="s">
        <v>2344</v>
      </c>
      <c r="F1124" t="s">
        <v>2344</v>
      </c>
      <c r="G1124">
        <v>0</v>
      </c>
      <c r="H1124" t="s">
        <v>2344</v>
      </c>
      <c r="I1124" t="str">
        <f t="shared" si="35"/>
        <v>Obesity</v>
      </c>
      <c r="J1124" t="str">
        <f t="shared" si="36"/>
        <v>Diabetes</v>
      </c>
    </row>
    <row r="1125" spans="1:10" x14ac:dyDescent="0.35">
      <c r="A1125" t="s">
        <v>1125</v>
      </c>
      <c r="B1125">
        <v>29.78</v>
      </c>
      <c r="C1125">
        <v>5.85</v>
      </c>
      <c r="D1125" t="s">
        <v>2344</v>
      </c>
      <c r="E1125" t="s">
        <v>2344</v>
      </c>
      <c r="F1125" t="s">
        <v>2346</v>
      </c>
      <c r="G1125">
        <v>1</v>
      </c>
      <c r="H1125" t="s">
        <v>2344</v>
      </c>
      <c r="I1125" t="str">
        <f t="shared" si="35"/>
        <v>Over weight</v>
      </c>
      <c r="J1125" t="str">
        <f t="shared" si="36"/>
        <v>Prediabetes</v>
      </c>
    </row>
    <row r="1126" spans="1:10" x14ac:dyDescent="0.35">
      <c r="A1126" t="s">
        <v>1126</v>
      </c>
      <c r="B1126">
        <v>34.76</v>
      </c>
      <c r="C1126">
        <v>5.92</v>
      </c>
      <c r="D1126" t="s">
        <v>2346</v>
      </c>
      <c r="E1126" t="s">
        <v>2344</v>
      </c>
      <c r="F1126" t="s">
        <v>2344</v>
      </c>
      <c r="G1126">
        <v>1</v>
      </c>
      <c r="H1126" t="s">
        <v>2344</v>
      </c>
      <c r="I1126" t="str">
        <f t="shared" si="35"/>
        <v>Obesity</v>
      </c>
      <c r="J1126" t="str">
        <f t="shared" si="36"/>
        <v>Prediabetes</v>
      </c>
    </row>
    <row r="1127" spans="1:10" x14ac:dyDescent="0.35">
      <c r="A1127" t="s">
        <v>1127</v>
      </c>
      <c r="B1127">
        <v>18.335000000000001</v>
      </c>
      <c r="C1127">
        <v>10.01</v>
      </c>
      <c r="D1127" t="s">
        <v>2346</v>
      </c>
      <c r="E1127" t="s">
        <v>2344</v>
      </c>
      <c r="F1127" t="s">
        <v>2344</v>
      </c>
      <c r="G1127">
        <v>1</v>
      </c>
      <c r="H1127" t="s">
        <v>2344</v>
      </c>
      <c r="I1127" t="str">
        <f t="shared" si="35"/>
        <v>Under Weight</v>
      </c>
      <c r="J1127" t="str">
        <f t="shared" si="36"/>
        <v>Diabetes</v>
      </c>
    </row>
    <row r="1128" spans="1:10" x14ac:dyDescent="0.35">
      <c r="A1128" t="s">
        <v>1128</v>
      </c>
      <c r="B1128">
        <v>32.299999999999997</v>
      </c>
      <c r="C1128">
        <v>9.59</v>
      </c>
      <c r="D1128" t="s">
        <v>2344</v>
      </c>
      <c r="E1128" t="s">
        <v>2344</v>
      </c>
      <c r="F1128" t="s">
        <v>2344</v>
      </c>
      <c r="G1128">
        <v>0</v>
      </c>
      <c r="H1128" t="s">
        <v>2344</v>
      </c>
      <c r="I1128" t="str">
        <f t="shared" si="35"/>
        <v>Obesity</v>
      </c>
      <c r="J1128" t="str">
        <f t="shared" si="36"/>
        <v>Diabetes</v>
      </c>
    </row>
    <row r="1129" spans="1:10" x14ac:dyDescent="0.35">
      <c r="A1129" t="s">
        <v>1129</v>
      </c>
      <c r="B1129">
        <v>27.74</v>
      </c>
      <c r="C1129">
        <v>10.37</v>
      </c>
      <c r="D1129" t="s">
        <v>2344</v>
      </c>
      <c r="E1129" t="s">
        <v>2344</v>
      </c>
      <c r="F1129" t="s">
        <v>2344</v>
      </c>
      <c r="G1129">
        <v>0</v>
      </c>
      <c r="H1129" t="s">
        <v>2344</v>
      </c>
      <c r="I1129" t="str">
        <f t="shared" si="35"/>
        <v>Over weight</v>
      </c>
      <c r="J1129" t="str">
        <f t="shared" si="36"/>
        <v>Diabetes</v>
      </c>
    </row>
    <row r="1130" spans="1:10" x14ac:dyDescent="0.35">
      <c r="A1130" t="s">
        <v>1130</v>
      </c>
      <c r="B1130">
        <v>24</v>
      </c>
      <c r="C1130">
        <v>4.01</v>
      </c>
      <c r="D1130" t="s">
        <v>2346</v>
      </c>
      <c r="E1130" t="s">
        <v>2344</v>
      </c>
      <c r="F1130" t="s">
        <v>2344</v>
      </c>
      <c r="G1130">
        <v>1</v>
      </c>
      <c r="H1130" t="s">
        <v>2344</v>
      </c>
      <c r="I1130" t="str">
        <f t="shared" si="35"/>
        <v>Normal Weight</v>
      </c>
      <c r="J1130" t="str">
        <f t="shared" si="36"/>
        <v>Normal</v>
      </c>
    </row>
    <row r="1131" spans="1:10" x14ac:dyDescent="0.35">
      <c r="A1131" t="s">
        <v>1131</v>
      </c>
      <c r="B1131">
        <v>31.78</v>
      </c>
      <c r="C1131">
        <v>4.24</v>
      </c>
      <c r="D1131" t="s">
        <v>2346</v>
      </c>
      <c r="E1131" t="s">
        <v>2344</v>
      </c>
      <c r="F1131" t="s">
        <v>2346</v>
      </c>
      <c r="G1131">
        <v>1</v>
      </c>
      <c r="H1131" t="s">
        <v>2344</v>
      </c>
      <c r="I1131" t="str">
        <f t="shared" si="35"/>
        <v>Obesity</v>
      </c>
      <c r="J1131" t="str">
        <f t="shared" si="36"/>
        <v>Normal</v>
      </c>
    </row>
    <row r="1132" spans="1:10" x14ac:dyDescent="0.35">
      <c r="A1132" t="s">
        <v>1132</v>
      </c>
      <c r="B1132">
        <v>32.25</v>
      </c>
      <c r="C1132">
        <v>5.36</v>
      </c>
      <c r="D1132" t="s">
        <v>2346</v>
      </c>
      <c r="E1132" t="s">
        <v>2344</v>
      </c>
      <c r="F1132" t="s">
        <v>2344</v>
      </c>
      <c r="G1132">
        <v>0</v>
      </c>
      <c r="H1132" t="s">
        <v>2344</v>
      </c>
      <c r="I1132" t="str">
        <f t="shared" si="35"/>
        <v>Obesity</v>
      </c>
      <c r="J1132" t="str">
        <f t="shared" si="36"/>
        <v>Normal</v>
      </c>
    </row>
    <row r="1133" spans="1:10" x14ac:dyDescent="0.35">
      <c r="A1133" t="s">
        <v>1133</v>
      </c>
      <c r="B1133">
        <v>30.114999999999998</v>
      </c>
      <c r="C1133">
        <v>4.99</v>
      </c>
      <c r="D1133" t="s">
        <v>2344</v>
      </c>
      <c r="E1133" t="s">
        <v>2344</v>
      </c>
      <c r="F1133" t="s">
        <v>2344</v>
      </c>
      <c r="G1133">
        <v>1</v>
      </c>
      <c r="H1133" t="s">
        <v>2344</v>
      </c>
      <c r="I1133" t="str">
        <f t="shared" si="35"/>
        <v>Obesity</v>
      </c>
      <c r="J1133" t="str">
        <f t="shared" si="36"/>
        <v>Normal</v>
      </c>
    </row>
    <row r="1134" spans="1:10" x14ac:dyDescent="0.35">
      <c r="A1134" t="s">
        <v>1134</v>
      </c>
      <c r="B1134">
        <v>22.41</v>
      </c>
      <c r="C1134">
        <v>8.68</v>
      </c>
      <c r="D1134" t="s">
        <v>2344</v>
      </c>
      <c r="E1134" t="s">
        <v>2344</v>
      </c>
      <c r="F1134" t="s">
        <v>2344</v>
      </c>
      <c r="G1134">
        <v>0</v>
      </c>
      <c r="H1134" t="s">
        <v>2344</v>
      </c>
      <c r="I1134" t="str">
        <f t="shared" si="35"/>
        <v>Normal Weight</v>
      </c>
      <c r="J1134" t="str">
        <f t="shared" si="36"/>
        <v>Diabetes</v>
      </c>
    </row>
    <row r="1135" spans="1:10" x14ac:dyDescent="0.35">
      <c r="A1135" t="s">
        <v>1135</v>
      </c>
      <c r="B1135">
        <v>45.72</v>
      </c>
      <c r="C1135">
        <v>4.2300000000000004</v>
      </c>
      <c r="D1135" t="s">
        <v>2346</v>
      </c>
      <c r="E1135" t="s">
        <v>2344</v>
      </c>
      <c r="F1135" t="s">
        <v>2344</v>
      </c>
      <c r="G1135">
        <v>0</v>
      </c>
      <c r="H1135" t="s">
        <v>2344</v>
      </c>
      <c r="I1135" t="str">
        <f t="shared" si="35"/>
        <v>Obesity</v>
      </c>
      <c r="J1135" t="str">
        <f t="shared" si="36"/>
        <v>Normal</v>
      </c>
    </row>
    <row r="1136" spans="1:10" x14ac:dyDescent="0.35">
      <c r="A1136" t="s">
        <v>1136</v>
      </c>
      <c r="B1136">
        <v>25</v>
      </c>
      <c r="C1136">
        <v>5.32</v>
      </c>
      <c r="D1136" t="s">
        <v>2346</v>
      </c>
      <c r="E1136" t="s">
        <v>2344</v>
      </c>
      <c r="F1136" t="s">
        <v>2344</v>
      </c>
      <c r="G1136">
        <v>1</v>
      </c>
      <c r="H1136" t="s">
        <v>2344</v>
      </c>
      <c r="I1136" t="str">
        <f t="shared" si="35"/>
        <v>Over weight</v>
      </c>
      <c r="J1136" t="str">
        <f t="shared" si="36"/>
        <v>Normal</v>
      </c>
    </row>
    <row r="1137" spans="1:10" x14ac:dyDescent="0.35">
      <c r="A1137" t="s">
        <v>1137</v>
      </c>
      <c r="B1137">
        <v>39.5</v>
      </c>
      <c r="C1137">
        <v>6.66</v>
      </c>
      <c r="D1137" t="s">
        <v>2344</v>
      </c>
      <c r="E1137" t="s">
        <v>2344</v>
      </c>
      <c r="F1137" t="s">
        <v>2344</v>
      </c>
      <c r="G1137">
        <v>0</v>
      </c>
      <c r="H1137" t="s">
        <v>2344</v>
      </c>
      <c r="I1137" t="str">
        <f t="shared" si="35"/>
        <v>Obesity</v>
      </c>
      <c r="J1137" t="str">
        <f t="shared" si="36"/>
        <v>Diabetes</v>
      </c>
    </row>
    <row r="1138" spans="1:10" x14ac:dyDescent="0.35">
      <c r="A1138" t="s">
        <v>1138</v>
      </c>
      <c r="B1138">
        <v>37.729999999999997</v>
      </c>
      <c r="C1138">
        <v>7.4</v>
      </c>
      <c r="D1138" t="s">
        <v>2344</v>
      </c>
      <c r="E1138" t="s">
        <v>2344</v>
      </c>
      <c r="F1138" t="s">
        <v>2344</v>
      </c>
      <c r="G1138">
        <v>0</v>
      </c>
      <c r="H1138" t="s">
        <v>2344</v>
      </c>
      <c r="I1138" t="str">
        <f t="shared" si="35"/>
        <v>Obesity</v>
      </c>
      <c r="J1138" t="str">
        <f t="shared" si="36"/>
        <v>Diabetes</v>
      </c>
    </row>
    <row r="1139" spans="1:10" x14ac:dyDescent="0.35">
      <c r="A1139" t="s">
        <v>1139</v>
      </c>
      <c r="B1139">
        <v>40.659999999999997</v>
      </c>
      <c r="C1139">
        <v>10.08</v>
      </c>
      <c r="D1139" t="s">
        <v>2344</v>
      </c>
      <c r="E1139" t="s">
        <v>2344</v>
      </c>
      <c r="F1139" t="s">
        <v>2344</v>
      </c>
      <c r="G1139">
        <v>0</v>
      </c>
      <c r="H1139" t="s">
        <v>2344</v>
      </c>
      <c r="I1139" t="str">
        <f t="shared" si="35"/>
        <v>Obesity</v>
      </c>
      <c r="J1139" t="str">
        <f t="shared" si="36"/>
        <v>Diabetes</v>
      </c>
    </row>
    <row r="1140" spans="1:10" x14ac:dyDescent="0.35">
      <c r="A1140" t="s">
        <v>1140</v>
      </c>
      <c r="B1140">
        <v>34.200000000000003</v>
      </c>
      <c r="C1140">
        <v>8.58</v>
      </c>
      <c r="D1140" t="s">
        <v>2344</v>
      </c>
      <c r="E1140" t="s">
        <v>2344</v>
      </c>
      <c r="F1140" t="s">
        <v>2344</v>
      </c>
      <c r="G1140">
        <v>0</v>
      </c>
      <c r="H1140" t="s">
        <v>2344</v>
      </c>
      <c r="I1140" t="str">
        <f t="shared" si="35"/>
        <v>Obesity</v>
      </c>
      <c r="J1140" t="str">
        <f t="shared" si="36"/>
        <v>Diabetes</v>
      </c>
    </row>
    <row r="1141" spans="1:10" x14ac:dyDescent="0.35">
      <c r="A1141" t="s">
        <v>1141</v>
      </c>
      <c r="B1141">
        <v>46.51</v>
      </c>
      <c r="C1141">
        <v>5.84</v>
      </c>
      <c r="D1141" t="s">
        <v>2344</v>
      </c>
      <c r="E1141" t="s">
        <v>2344</v>
      </c>
      <c r="F1141" t="s">
        <v>2344</v>
      </c>
      <c r="G1141">
        <v>1</v>
      </c>
      <c r="H1141" t="s">
        <v>2344</v>
      </c>
      <c r="I1141" t="str">
        <f t="shared" si="35"/>
        <v>Obesity</v>
      </c>
      <c r="J1141" t="str">
        <f t="shared" si="36"/>
        <v>Prediabetes</v>
      </c>
    </row>
    <row r="1142" spans="1:10" x14ac:dyDescent="0.35">
      <c r="A1142" t="s">
        <v>1142</v>
      </c>
      <c r="B1142">
        <v>28.88</v>
      </c>
      <c r="C1142">
        <v>4.8600000000000003</v>
      </c>
      <c r="D1142" t="s">
        <v>2346</v>
      </c>
      <c r="E1142" t="s">
        <v>2344</v>
      </c>
      <c r="F1142" t="s">
        <v>2346</v>
      </c>
      <c r="G1142">
        <v>1</v>
      </c>
      <c r="H1142" t="s">
        <v>2344</v>
      </c>
      <c r="I1142" t="str">
        <f t="shared" si="35"/>
        <v>Over weight</v>
      </c>
      <c r="J1142" t="str">
        <f t="shared" si="36"/>
        <v>Normal</v>
      </c>
    </row>
    <row r="1143" spans="1:10" x14ac:dyDescent="0.35">
      <c r="A1143" t="s">
        <v>1143</v>
      </c>
      <c r="B1143">
        <v>33.914999999999999</v>
      </c>
      <c r="C1143">
        <v>11.52</v>
      </c>
      <c r="D1143" t="s">
        <v>2344</v>
      </c>
      <c r="E1143" t="s">
        <v>2344</v>
      </c>
      <c r="F1143" t="s">
        <v>2344</v>
      </c>
      <c r="G1143">
        <v>0</v>
      </c>
      <c r="H1143" t="s">
        <v>2344</v>
      </c>
      <c r="I1143" t="str">
        <f t="shared" si="35"/>
        <v>Obesity</v>
      </c>
      <c r="J1143" t="str">
        <f t="shared" si="36"/>
        <v>Diabetes</v>
      </c>
    </row>
    <row r="1144" spans="1:10" x14ac:dyDescent="0.35">
      <c r="A1144" t="s">
        <v>1144</v>
      </c>
      <c r="B1144">
        <v>24.32</v>
      </c>
      <c r="C1144">
        <v>6.15</v>
      </c>
      <c r="D1144" t="s">
        <v>2346</v>
      </c>
      <c r="E1144" t="s">
        <v>2344</v>
      </c>
      <c r="F1144" t="s">
        <v>2346</v>
      </c>
      <c r="G1144">
        <v>1</v>
      </c>
      <c r="H1144" t="s">
        <v>2344</v>
      </c>
      <c r="I1144" t="str">
        <f t="shared" si="35"/>
        <v>Normal Weight</v>
      </c>
      <c r="J1144" t="str">
        <f t="shared" si="36"/>
        <v>Prediabetes</v>
      </c>
    </row>
    <row r="1145" spans="1:10" x14ac:dyDescent="0.35">
      <c r="A1145" t="s">
        <v>1145</v>
      </c>
      <c r="B1145">
        <v>25.8</v>
      </c>
      <c r="C1145">
        <v>9.94</v>
      </c>
      <c r="D1145" t="s">
        <v>2344</v>
      </c>
      <c r="E1145" t="s">
        <v>2344</v>
      </c>
      <c r="F1145" t="s">
        <v>2344</v>
      </c>
      <c r="G1145">
        <v>0</v>
      </c>
      <c r="H1145" t="s">
        <v>2344</v>
      </c>
      <c r="I1145" t="str">
        <f t="shared" si="35"/>
        <v>Over weight</v>
      </c>
      <c r="J1145" t="str">
        <f t="shared" si="36"/>
        <v>Diabetes</v>
      </c>
    </row>
    <row r="1146" spans="1:10" x14ac:dyDescent="0.35">
      <c r="A1146" t="s">
        <v>1146</v>
      </c>
      <c r="B1146">
        <v>21.56</v>
      </c>
      <c r="C1146">
        <v>10.56</v>
      </c>
      <c r="D1146" t="s">
        <v>2344</v>
      </c>
      <c r="E1146" t="s">
        <v>2344</v>
      </c>
      <c r="F1146" t="s">
        <v>2344</v>
      </c>
      <c r="G1146">
        <v>0</v>
      </c>
      <c r="H1146" t="s">
        <v>2344</v>
      </c>
      <c r="I1146" t="str">
        <f t="shared" si="35"/>
        <v>Normal Weight</v>
      </c>
      <c r="J1146" t="str">
        <f t="shared" si="36"/>
        <v>Diabetes</v>
      </c>
    </row>
    <row r="1147" spans="1:10" x14ac:dyDescent="0.35">
      <c r="A1147" t="s">
        <v>1147</v>
      </c>
      <c r="B1147">
        <v>31.6</v>
      </c>
      <c r="C1147">
        <v>6.79</v>
      </c>
      <c r="D1147" t="s">
        <v>2344</v>
      </c>
      <c r="E1147" t="s">
        <v>2344</v>
      </c>
      <c r="F1147" t="s">
        <v>2344</v>
      </c>
      <c r="G1147">
        <v>0</v>
      </c>
      <c r="H1147" t="s">
        <v>2344</v>
      </c>
      <c r="I1147" t="str">
        <f t="shared" si="35"/>
        <v>Obesity</v>
      </c>
      <c r="J1147" t="str">
        <f t="shared" si="36"/>
        <v>Diabetes</v>
      </c>
    </row>
    <row r="1148" spans="1:10" x14ac:dyDescent="0.35">
      <c r="A1148" t="s">
        <v>1148</v>
      </c>
      <c r="B1148">
        <v>42.93</v>
      </c>
      <c r="C1148">
        <v>4.8</v>
      </c>
      <c r="D1148" t="s">
        <v>2344</v>
      </c>
      <c r="E1148" t="s">
        <v>2344</v>
      </c>
      <c r="F1148" t="s">
        <v>2344</v>
      </c>
      <c r="G1148">
        <v>1</v>
      </c>
      <c r="H1148" t="s">
        <v>2344</v>
      </c>
      <c r="I1148" t="str">
        <f t="shared" si="35"/>
        <v>Obesity</v>
      </c>
      <c r="J1148" t="str">
        <f t="shared" si="36"/>
        <v>Normal</v>
      </c>
    </row>
    <row r="1149" spans="1:10" x14ac:dyDescent="0.35">
      <c r="A1149" t="s">
        <v>1149</v>
      </c>
      <c r="B1149">
        <v>26.72</v>
      </c>
      <c r="C1149">
        <v>5.75</v>
      </c>
      <c r="D1149" t="s">
        <v>2344</v>
      </c>
      <c r="E1149" t="s">
        <v>2344</v>
      </c>
      <c r="F1149" t="s">
        <v>2344</v>
      </c>
      <c r="G1149">
        <v>1</v>
      </c>
      <c r="H1149" t="s">
        <v>2344</v>
      </c>
      <c r="I1149" t="str">
        <f t="shared" si="35"/>
        <v>Over weight</v>
      </c>
      <c r="J1149" t="str">
        <f t="shared" si="36"/>
        <v>Prediabetes</v>
      </c>
    </row>
    <row r="1150" spans="1:10" x14ac:dyDescent="0.35">
      <c r="A1150" t="s">
        <v>1150</v>
      </c>
      <c r="B1150">
        <v>26.67</v>
      </c>
      <c r="C1150">
        <v>5.81</v>
      </c>
      <c r="D1150" t="s">
        <v>2344</v>
      </c>
      <c r="E1150" t="s">
        <v>2344</v>
      </c>
      <c r="F1150" t="s">
        <v>2344</v>
      </c>
      <c r="G1150">
        <v>1</v>
      </c>
      <c r="H1150" t="s">
        <v>2344</v>
      </c>
      <c r="I1150" t="str">
        <f t="shared" si="35"/>
        <v>Over weight</v>
      </c>
      <c r="J1150" t="str">
        <f t="shared" si="36"/>
        <v>Prediabetes</v>
      </c>
    </row>
    <row r="1151" spans="1:10" x14ac:dyDescent="0.35">
      <c r="A1151" t="s">
        <v>1151</v>
      </c>
      <c r="B1151">
        <v>42.68</v>
      </c>
      <c r="C1151">
        <v>9.2799999999999994</v>
      </c>
      <c r="D1151" t="s">
        <v>2344</v>
      </c>
      <c r="E1151" t="s">
        <v>2344</v>
      </c>
      <c r="F1151" t="s">
        <v>2344</v>
      </c>
      <c r="G1151">
        <v>1</v>
      </c>
      <c r="H1151" t="s">
        <v>2344</v>
      </c>
      <c r="I1151" t="str">
        <f t="shared" si="35"/>
        <v>Obesity</v>
      </c>
      <c r="J1151" t="str">
        <f t="shared" si="36"/>
        <v>Diabetes</v>
      </c>
    </row>
    <row r="1152" spans="1:10" x14ac:dyDescent="0.35">
      <c r="A1152" t="s">
        <v>1152</v>
      </c>
      <c r="B1152">
        <v>24.31</v>
      </c>
      <c r="C1152">
        <v>6.37</v>
      </c>
      <c r="D1152" t="s">
        <v>2344</v>
      </c>
      <c r="E1152" t="s">
        <v>2344</v>
      </c>
      <c r="F1152" t="s">
        <v>2344</v>
      </c>
      <c r="G1152">
        <v>0</v>
      </c>
      <c r="H1152" t="s">
        <v>2344</v>
      </c>
      <c r="I1152" t="str">
        <f t="shared" si="35"/>
        <v>Normal Weight</v>
      </c>
      <c r="J1152" t="str">
        <f t="shared" si="36"/>
        <v>Prediabetes</v>
      </c>
    </row>
    <row r="1153" spans="1:10" x14ac:dyDescent="0.35">
      <c r="A1153" t="s">
        <v>1153</v>
      </c>
      <c r="B1153">
        <v>44.75</v>
      </c>
      <c r="C1153">
        <v>5.09</v>
      </c>
      <c r="D1153" t="s">
        <v>2346</v>
      </c>
      <c r="E1153" t="s">
        <v>2344</v>
      </c>
      <c r="F1153" t="s">
        <v>2344</v>
      </c>
      <c r="G1153">
        <v>0</v>
      </c>
      <c r="H1153" t="s">
        <v>2344</v>
      </c>
      <c r="I1153" t="str">
        <f t="shared" si="35"/>
        <v>Obesity</v>
      </c>
      <c r="J1153" t="str">
        <f t="shared" si="36"/>
        <v>Normal</v>
      </c>
    </row>
    <row r="1154" spans="1:10" x14ac:dyDescent="0.35">
      <c r="A1154" t="s">
        <v>1154</v>
      </c>
      <c r="B1154">
        <v>30.78</v>
      </c>
      <c r="C1154">
        <v>7.94</v>
      </c>
      <c r="D1154" t="s">
        <v>2344</v>
      </c>
      <c r="E1154" t="s">
        <v>2344</v>
      </c>
      <c r="F1154" t="s">
        <v>2344</v>
      </c>
      <c r="G1154">
        <v>1</v>
      </c>
      <c r="H1154" t="s">
        <v>2344</v>
      </c>
      <c r="I1154" t="str">
        <f t="shared" si="35"/>
        <v>Obesity</v>
      </c>
      <c r="J1154" t="str">
        <f t="shared" si="36"/>
        <v>Diabetes</v>
      </c>
    </row>
    <row r="1155" spans="1:10" x14ac:dyDescent="0.35">
      <c r="A1155" t="s">
        <v>1155</v>
      </c>
      <c r="B1155">
        <v>21.86</v>
      </c>
      <c r="C1155">
        <v>10.95</v>
      </c>
      <c r="D1155" t="s">
        <v>2344</v>
      </c>
      <c r="E1155" t="s">
        <v>2344</v>
      </c>
      <c r="F1155" t="s">
        <v>2344</v>
      </c>
      <c r="G1155">
        <v>0</v>
      </c>
      <c r="H1155" t="s">
        <v>2344</v>
      </c>
      <c r="I1155" t="str">
        <f t="shared" ref="I1155:I1218" si="37">IF(B1155&lt;18.5,"Under Weight",IF(B1155&lt;25,"Normal Weight",IF(B1155&lt;30,"Over weight","Obesity")))</f>
        <v>Normal Weight</v>
      </c>
      <c r="J1155" t="str">
        <f t="shared" si="36"/>
        <v>Diabetes</v>
      </c>
    </row>
    <row r="1156" spans="1:10" x14ac:dyDescent="0.35">
      <c r="A1156" t="s">
        <v>1156</v>
      </c>
      <c r="B1156">
        <v>49.09</v>
      </c>
      <c r="C1156">
        <v>6.3</v>
      </c>
      <c r="D1156" t="s">
        <v>2346</v>
      </c>
      <c r="E1156" t="s">
        <v>2344</v>
      </c>
      <c r="F1156" t="s">
        <v>2344</v>
      </c>
      <c r="G1156">
        <v>0</v>
      </c>
      <c r="H1156" t="s">
        <v>2344</v>
      </c>
      <c r="I1156" t="str">
        <f t="shared" si="37"/>
        <v>Obesity</v>
      </c>
      <c r="J1156" t="str">
        <f t="shared" si="36"/>
        <v>Prediabetes</v>
      </c>
    </row>
    <row r="1157" spans="1:10" x14ac:dyDescent="0.35">
      <c r="A1157" t="s">
        <v>1157</v>
      </c>
      <c r="B1157">
        <v>47.74</v>
      </c>
      <c r="C1157">
        <v>8.0500000000000007</v>
      </c>
      <c r="D1157" t="s">
        <v>2346</v>
      </c>
      <c r="E1157" t="s">
        <v>2344</v>
      </c>
      <c r="F1157" t="s">
        <v>2344</v>
      </c>
      <c r="G1157">
        <v>1</v>
      </c>
      <c r="H1157" t="s">
        <v>2344</v>
      </c>
      <c r="I1157" t="str">
        <f t="shared" si="37"/>
        <v>Obesity</v>
      </c>
      <c r="J1157" t="str">
        <f t="shared" si="36"/>
        <v>Diabetes</v>
      </c>
    </row>
    <row r="1158" spans="1:10" x14ac:dyDescent="0.35">
      <c r="A1158" t="s">
        <v>1158</v>
      </c>
      <c r="B1158">
        <v>30.2</v>
      </c>
      <c r="C1158">
        <v>9.8800000000000008</v>
      </c>
      <c r="D1158" t="s">
        <v>2346</v>
      </c>
      <c r="E1158" t="s">
        <v>2344</v>
      </c>
      <c r="F1158" t="s">
        <v>2344</v>
      </c>
      <c r="G1158">
        <v>1</v>
      </c>
      <c r="H1158" t="s">
        <v>2344</v>
      </c>
      <c r="I1158" t="str">
        <f t="shared" si="37"/>
        <v>Obesity</v>
      </c>
      <c r="J1158" t="str">
        <f t="shared" si="36"/>
        <v>Diabetes</v>
      </c>
    </row>
    <row r="1159" spans="1:10" x14ac:dyDescent="0.35">
      <c r="A1159" t="s">
        <v>1159</v>
      </c>
      <c r="B1159">
        <v>33.25</v>
      </c>
      <c r="C1159">
        <v>7.42</v>
      </c>
      <c r="D1159" t="s">
        <v>2346</v>
      </c>
      <c r="E1159" t="s">
        <v>2344</v>
      </c>
      <c r="F1159" t="s">
        <v>2344</v>
      </c>
      <c r="G1159">
        <v>1</v>
      </c>
      <c r="H1159" t="s">
        <v>2344</v>
      </c>
      <c r="I1159" t="str">
        <f t="shared" si="37"/>
        <v>Obesity</v>
      </c>
      <c r="J1159" t="str">
        <f t="shared" si="36"/>
        <v>Diabetes</v>
      </c>
    </row>
    <row r="1160" spans="1:10" x14ac:dyDescent="0.35">
      <c r="A1160" t="s">
        <v>1160</v>
      </c>
      <c r="B1160">
        <v>26.6</v>
      </c>
      <c r="C1160">
        <v>8.4499999999999993</v>
      </c>
      <c r="D1160" t="s">
        <v>2346</v>
      </c>
      <c r="E1160" t="s">
        <v>2344</v>
      </c>
      <c r="F1160" t="s">
        <v>2344</v>
      </c>
      <c r="G1160">
        <v>1</v>
      </c>
      <c r="H1160" t="s">
        <v>2344</v>
      </c>
      <c r="I1160" t="str">
        <f t="shared" si="37"/>
        <v>Over weight</v>
      </c>
      <c r="J1160" t="str">
        <f t="shared" si="36"/>
        <v>Diabetes</v>
      </c>
    </row>
    <row r="1161" spans="1:10" x14ac:dyDescent="0.35">
      <c r="A1161" t="s">
        <v>1161</v>
      </c>
      <c r="B1161">
        <v>26.35</v>
      </c>
      <c r="C1161">
        <v>6.21</v>
      </c>
      <c r="D1161" t="s">
        <v>2344</v>
      </c>
      <c r="E1161" t="s">
        <v>2344</v>
      </c>
      <c r="F1161" t="s">
        <v>2344</v>
      </c>
      <c r="G1161">
        <v>1</v>
      </c>
      <c r="H1161" t="s">
        <v>2344</v>
      </c>
      <c r="I1161" t="str">
        <f t="shared" si="37"/>
        <v>Over weight</v>
      </c>
      <c r="J1161" t="str">
        <f t="shared" si="36"/>
        <v>Prediabetes</v>
      </c>
    </row>
    <row r="1162" spans="1:10" x14ac:dyDescent="0.35">
      <c r="A1162" t="s">
        <v>1162</v>
      </c>
      <c r="B1162">
        <v>39.994999999999997</v>
      </c>
      <c r="C1162">
        <v>4.6500000000000004</v>
      </c>
      <c r="D1162" t="s">
        <v>2344</v>
      </c>
      <c r="E1162" t="s">
        <v>2344</v>
      </c>
      <c r="F1162" t="s">
        <v>2344</v>
      </c>
      <c r="G1162">
        <v>0</v>
      </c>
      <c r="H1162" t="s">
        <v>2344</v>
      </c>
      <c r="I1162" t="str">
        <f t="shared" si="37"/>
        <v>Obesity</v>
      </c>
      <c r="J1162" t="str">
        <f t="shared" si="36"/>
        <v>Normal</v>
      </c>
    </row>
    <row r="1163" spans="1:10" x14ac:dyDescent="0.35">
      <c r="A1163" t="s">
        <v>1163</v>
      </c>
      <c r="B1163">
        <v>22.92</v>
      </c>
      <c r="C1163">
        <v>5.87</v>
      </c>
      <c r="D1163" t="s">
        <v>2346</v>
      </c>
      <c r="E1163" t="s">
        <v>2344</v>
      </c>
      <c r="F1163" t="s">
        <v>2344</v>
      </c>
      <c r="G1163">
        <v>1</v>
      </c>
      <c r="H1163" t="s">
        <v>2344</v>
      </c>
      <c r="I1163" t="str">
        <f t="shared" si="37"/>
        <v>Normal Weight</v>
      </c>
      <c r="J1163" t="str">
        <f t="shared" si="36"/>
        <v>Prediabetes</v>
      </c>
    </row>
    <row r="1164" spans="1:10" x14ac:dyDescent="0.35">
      <c r="A1164" t="s">
        <v>1164</v>
      </c>
      <c r="B1164">
        <v>24.78</v>
      </c>
      <c r="C1164">
        <v>4.24</v>
      </c>
      <c r="D1164" t="s">
        <v>2346</v>
      </c>
      <c r="E1164" t="s">
        <v>2344</v>
      </c>
      <c r="F1164" t="s">
        <v>2344</v>
      </c>
      <c r="G1164">
        <v>1</v>
      </c>
      <c r="H1164" t="s">
        <v>2344</v>
      </c>
      <c r="I1164" t="str">
        <f t="shared" si="37"/>
        <v>Normal Weight</v>
      </c>
      <c r="J1164" t="str">
        <f t="shared" ref="J1164:J1227" si="38">IF(C1164&lt;5.7,"Normal",IF(C1164&lt;6.5,"Prediabetes","Diabetes"))</f>
        <v>Normal</v>
      </c>
    </row>
    <row r="1165" spans="1:10" x14ac:dyDescent="0.35">
      <c r="A1165" t="s">
        <v>1165</v>
      </c>
      <c r="B1165">
        <v>34.07</v>
      </c>
      <c r="C1165">
        <v>7.81</v>
      </c>
      <c r="D1165" t="s">
        <v>2346</v>
      </c>
      <c r="E1165" t="s">
        <v>2344</v>
      </c>
      <c r="F1165" t="s">
        <v>2344</v>
      </c>
      <c r="G1165">
        <v>0</v>
      </c>
      <c r="H1165" t="s">
        <v>2344</v>
      </c>
      <c r="I1165" t="str">
        <f t="shared" si="37"/>
        <v>Obesity</v>
      </c>
      <c r="J1165" t="str">
        <f t="shared" si="38"/>
        <v>Diabetes</v>
      </c>
    </row>
    <row r="1166" spans="1:10" x14ac:dyDescent="0.35">
      <c r="A1166" t="s">
        <v>1166</v>
      </c>
      <c r="B1166">
        <v>30.14</v>
      </c>
      <c r="C1166">
        <v>9.85</v>
      </c>
      <c r="D1166" t="s">
        <v>2344</v>
      </c>
      <c r="E1166" t="s">
        <v>2344</v>
      </c>
      <c r="F1166" t="s">
        <v>2344</v>
      </c>
      <c r="G1166">
        <v>0</v>
      </c>
      <c r="H1166" t="s">
        <v>2344</v>
      </c>
      <c r="I1166" t="str">
        <f t="shared" si="37"/>
        <v>Obesity</v>
      </c>
      <c r="J1166" t="str">
        <f t="shared" si="38"/>
        <v>Diabetes</v>
      </c>
    </row>
    <row r="1167" spans="1:10" x14ac:dyDescent="0.35">
      <c r="A1167" t="s">
        <v>1167</v>
      </c>
      <c r="B1167">
        <v>18.05</v>
      </c>
      <c r="C1167">
        <v>6.94</v>
      </c>
      <c r="D1167" t="s">
        <v>2344</v>
      </c>
      <c r="E1167" t="s">
        <v>2344</v>
      </c>
      <c r="F1167" t="s">
        <v>2344</v>
      </c>
      <c r="G1167">
        <v>0</v>
      </c>
      <c r="H1167" t="s">
        <v>2344</v>
      </c>
      <c r="I1167" t="str">
        <f t="shared" si="37"/>
        <v>Under Weight</v>
      </c>
      <c r="J1167" t="str">
        <f t="shared" si="38"/>
        <v>Diabetes</v>
      </c>
    </row>
    <row r="1168" spans="1:10" x14ac:dyDescent="0.35">
      <c r="A1168" t="s">
        <v>1168</v>
      </c>
      <c r="B1168">
        <v>37.4</v>
      </c>
      <c r="C1168">
        <v>11.3</v>
      </c>
      <c r="D1168" t="s">
        <v>2346</v>
      </c>
      <c r="E1168" t="s">
        <v>2344</v>
      </c>
      <c r="F1168" t="s">
        <v>2344</v>
      </c>
      <c r="G1168">
        <v>1</v>
      </c>
      <c r="H1168" t="s">
        <v>2344</v>
      </c>
      <c r="I1168" t="str">
        <f t="shared" si="37"/>
        <v>Obesity</v>
      </c>
      <c r="J1168" t="str">
        <f t="shared" si="38"/>
        <v>Diabetes</v>
      </c>
    </row>
    <row r="1169" spans="1:10" x14ac:dyDescent="0.35">
      <c r="A1169" t="s">
        <v>1169</v>
      </c>
      <c r="B1169">
        <v>25.75</v>
      </c>
      <c r="C1169">
        <v>9.23</v>
      </c>
      <c r="D1169" t="s">
        <v>2344</v>
      </c>
      <c r="E1169" t="s">
        <v>2344</v>
      </c>
      <c r="F1169" t="s">
        <v>2344</v>
      </c>
      <c r="G1169">
        <v>0</v>
      </c>
      <c r="H1169" t="s">
        <v>2344</v>
      </c>
      <c r="I1169" t="str">
        <f t="shared" si="37"/>
        <v>Over weight</v>
      </c>
      <c r="J1169" t="str">
        <f t="shared" si="38"/>
        <v>Diabetes</v>
      </c>
    </row>
    <row r="1170" spans="1:10" x14ac:dyDescent="0.35">
      <c r="A1170" t="s">
        <v>1170</v>
      </c>
      <c r="B1170">
        <v>32.299999999999997</v>
      </c>
      <c r="C1170">
        <v>4.37</v>
      </c>
      <c r="D1170" t="s">
        <v>2344</v>
      </c>
      <c r="E1170" t="s">
        <v>2344</v>
      </c>
      <c r="F1170" t="s">
        <v>2344</v>
      </c>
      <c r="G1170">
        <v>1</v>
      </c>
      <c r="H1170" t="s">
        <v>2344</v>
      </c>
      <c r="I1170" t="str">
        <f t="shared" si="37"/>
        <v>Obesity</v>
      </c>
      <c r="J1170" t="str">
        <f t="shared" si="38"/>
        <v>Normal</v>
      </c>
    </row>
    <row r="1171" spans="1:10" x14ac:dyDescent="0.35">
      <c r="A1171" t="s">
        <v>1171</v>
      </c>
      <c r="B1171">
        <v>28.61</v>
      </c>
      <c r="C1171">
        <v>5.76</v>
      </c>
      <c r="D1171" t="s">
        <v>2344</v>
      </c>
      <c r="E1171" t="s">
        <v>2344</v>
      </c>
      <c r="F1171" t="s">
        <v>2346</v>
      </c>
      <c r="G1171">
        <v>1</v>
      </c>
      <c r="H1171" t="s">
        <v>2344</v>
      </c>
      <c r="I1171" t="str">
        <f t="shared" si="37"/>
        <v>Over weight</v>
      </c>
      <c r="J1171" t="str">
        <f t="shared" si="38"/>
        <v>Prediabetes</v>
      </c>
    </row>
    <row r="1172" spans="1:10" x14ac:dyDescent="0.35">
      <c r="A1172" t="s">
        <v>1172</v>
      </c>
      <c r="B1172">
        <v>45.41</v>
      </c>
      <c r="C1172">
        <v>4.96</v>
      </c>
      <c r="D1172" t="s">
        <v>2344</v>
      </c>
      <c r="E1172" t="s">
        <v>2344</v>
      </c>
      <c r="F1172" t="s">
        <v>2344</v>
      </c>
      <c r="G1172">
        <v>1</v>
      </c>
      <c r="H1172" t="s">
        <v>2344</v>
      </c>
      <c r="I1172" t="str">
        <f t="shared" si="37"/>
        <v>Obesity</v>
      </c>
      <c r="J1172" t="str">
        <f t="shared" si="38"/>
        <v>Normal</v>
      </c>
    </row>
    <row r="1173" spans="1:10" x14ac:dyDescent="0.35">
      <c r="A1173" t="s">
        <v>1173</v>
      </c>
      <c r="B1173">
        <v>31.2</v>
      </c>
      <c r="C1173">
        <v>11.04</v>
      </c>
      <c r="D1173" t="s">
        <v>2346</v>
      </c>
      <c r="E1173" t="s">
        <v>2344</v>
      </c>
      <c r="F1173" t="s">
        <v>2344</v>
      </c>
      <c r="G1173">
        <v>1</v>
      </c>
      <c r="H1173" t="s">
        <v>2344</v>
      </c>
      <c r="I1173" t="str">
        <f t="shared" si="37"/>
        <v>Obesity</v>
      </c>
      <c r="J1173" t="str">
        <f t="shared" si="38"/>
        <v>Diabetes</v>
      </c>
    </row>
    <row r="1174" spans="1:10" x14ac:dyDescent="0.35">
      <c r="A1174" t="s">
        <v>1174</v>
      </c>
      <c r="B1174">
        <v>29.83</v>
      </c>
      <c r="C1174">
        <v>7.81</v>
      </c>
      <c r="D1174" t="s">
        <v>2346</v>
      </c>
      <c r="E1174" t="s">
        <v>2344</v>
      </c>
      <c r="F1174" t="s">
        <v>2344</v>
      </c>
      <c r="G1174">
        <v>1</v>
      </c>
      <c r="H1174" t="s">
        <v>2344</v>
      </c>
      <c r="I1174" t="str">
        <f t="shared" si="37"/>
        <v>Over weight</v>
      </c>
      <c r="J1174" t="str">
        <f t="shared" si="38"/>
        <v>Diabetes</v>
      </c>
    </row>
    <row r="1175" spans="1:10" x14ac:dyDescent="0.35">
      <c r="A1175" t="s">
        <v>1175</v>
      </c>
      <c r="B1175">
        <v>29.06</v>
      </c>
      <c r="C1175">
        <v>4.55</v>
      </c>
      <c r="D1175" t="s">
        <v>2344</v>
      </c>
      <c r="E1175" t="s">
        <v>2344</v>
      </c>
      <c r="F1175" t="s">
        <v>2344</v>
      </c>
      <c r="G1175">
        <v>0</v>
      </c>
      <c r="H1175" t="s">
        <v>2344</v>
      </c>
      <c r="I1175" t="str">
        <f t="shared" si="37"/>
        <v>Over weight</v>
      </c>
      <c r="J1175" t="str">
        <f t="shared" si="38"/>
        <v>Normal</v>
      </c>
    </row>
    <row r="1176" spans="1:10" x14ac:dyDescent="0.35">
      <c r="A1176" t="s">
        <v>1176</v>
      </c>
      <c r="B1176">
        <v>27.454999999999998</v>
      </c>
      <c r="C1176">
        <v>6.13</v>
      </c>
      <c r="D1176" t="s">
        <v>2344</v>
      </c>
      <c r="E1176" t="s">
        <v>2344</v>
      </c>
      <c r="F1176" t="s">
        <v>2344</v>
      </c>
      <c r="G1176">
        <v>1</v>
      </c>
      <c r="H1176" t="s">
        <v>2344</v>
      </c>
      <c r="I1176" t="str">
        <f t="shared" si="37"/>
        <v>Over weight</v>
      </c>
      <c r="J1176" t="str">
        <f t="shared" si="38"/>
        <v>Prediabetes</v>
      </c>
    </row>
    <row r="1177" spans="1:10" x14ac:dyDescent="0.35">
      <c r="A1177" t="s">
        <v>1177</v>
      </c>
      <c r="B1177">
        <v>23.01</v>
      </c>
      <c r="C1177">
        <v>6.04</v>
      </c>
      <c r="D1177" t="s">
        <v>2346</v>
      </c>
      <c r="E1177" t="s">
        <v>2344</v>
      </c>
      <c r="F1177" t="s">
        <v>2344</v>
      </c>
      <c r="G1177">
        <v>1</v>
      </c>
      <c r="H1177" t="s">
        <v>2344</v>
      </c>
      <c r="I1177" t="str">
        <f t="shared" si="37"/>
        <v>Normal Weight</v>
      </c>
      <c r="J1177" t="str">
        <f t="shared" si="38"/>
        <v>Prediabetes</v>
      </c>
    </row>
    <row r="1178" spans="1:10" x14ac:dyDescent="0.35">
      <c r="A1178" t="s">
        <v>1178</v>
      </c>
      <c r="B1178">
        <v>31.39</v>
      </c>
      <c r="C1178">
        <v>8.85</v>
      </c>
      <c r="D1178" t="s">
        <v>2346</v>
      </c>
      <c r="E1178" t="s">
        <v>2344</v>
      </c>
      <c r="F1178" t="s">
        <v>2344</v>
      </c>
      <c r="G1178">
        <v>0</v>
      </c>
      <c r="H1178" t="s">
        <v>2344</v>
      </c>
      <c r="I1178" t="str">
        <f t="shared" si="37"/>
        <v>Obesity</v>
      </c>
      <c r="J1178" t="str">
        <f t="shared" si="38"/>
        <v>Diabetes</v>
      </c>
    </row>
    <row r="1179" spans="1:10" x14ac:dyDescent="0.35">
      <c r="A1179" t="s">
        <v>1179</v>
      </c>
      <c r="B1179">
        <v>34.770000000000003</v>
      </c>
      <c r="C1179">
        <v>10.54</v>
      </c>
      <c r="D1179" t="s">
        <v>2344</v>
      </c>
      <c r="E1179" t="s">
        <v>2344</v>
      </c>
      <c r="F1179" t="s">
        <v>2344</v>
      </c>
      <c r="G1179">
        <v>1</v>
      </c>
      <c r="H1179" t="s">
        <v>2344</v>
      </c>
      <c r="I1179" t="str">
        <f t="shared" si="37"/>
        <v>Obesity</v>
      </c>
      <c r="J1179" t="str">
        <f t="shared" si="38"/>
        <v>Diabetes</v>
      </c>
    </row>
    <row r="1180" spans="1:10" x14ac:dyDescent="0.35">
      <c r="A1180" t="s">
        <v>1180</v>
      </c>
      <c r="B1180">
        <v>24.48</v>
      </c>
      <c r="C1180">
        <v>4.37</v>
      </c>
      <c r="D1180" t="s">
        <v>2346</v>
      </c>
      <c r="E1180" t="s">
        <v>2344</v>
      </c>
      <c r="F1180" t="s">
        <v>2344</v>
      </c>
      <c r="G1180">
        <v>1</v>
      </c>
      <c r="H1180" t="s">
        <v>2344</v>
      </c>
      <c r="I1180" t="str">
        <f t="shared" si="37"/>
        <v>Normal Weight</v>
      </c>
      <c r="J1180" t="str">
        <f t="shared" si="38"/>
        <v>Normal</v>
      </c>
    </row>
    <row r="1181" spans="1:10" x14ac:dyDescent="0.35">
      <c r="A1181" t="s">
        <v>1181</v>
      </c>
      <c r="B1181">
        <v>22.61</v>
      </c>
      <c r="C1181">
        <v>9.6300000000000008</v>
      </c>
      <c r="D1181" t="s">
        <v>2344</v>
      </c>
      <c r="E1181" t="s">
        <v>2344</v>
      </c>
      <c r="F1181" t="s">
        <v>2344</v>
      </c>
      <c r="G1181">
        <v>1</v>
      </c>
      <c r="H1181" t="s">
        <v>2344</v>
      </c>
      <c r="I1181" t="str">
        <f t="shared" si="37"/>
        <v>Normal Weight</v>
      </c>
      <c r="J1181" t="str">
        <f t="shared" si="38"/>
        <v>Diabetes</v>
      </c>
    </row>
    <row r="1182" spans="1:10" x14ac:dyDescent="0.35">
      <c r="A1182" t="s">
        <v>1182</v>
      </c>
      <c r="B1182">
        <v>34.299999999999997</v>
      </c>
      <c r="C1182">
        <v>10.37</v>
      </c>
      <c r="D1182" t="s">
        <v>2344</v>
      </c>
      <c r="E1182" t="s">
        <v>2344</v>
      </c>
      <c r="F1182" t="s">
        <v>2344</v>
      </c>
      <c r="G1182">
        <v>0</v>
      </c>
      <c r="H1182" t="s">
        <v>2344</v>
      </c>
      <c r="I1182" t="str">
        <f t="shared" si="37"/>
        <v>Obesity</v>
      </c>
      <c r="J1182" t="str">
        <f t="shared" si="38"/>
        <v>Diabetes</v>
      </c>
    </row>
    <row r="1183" spans="1:10" x14ac:dyDescent="0.35">
      <c r="A1183" t="s">
        <v>1183</v>
      </c>
      <c r="B1183">
        <v>46.09</v>
      </c>
      <c r="C1183">
        <v>5.44</v>
      </c>
      <c r="D1183" t="s">
        <v>2344</v>
      </c>
      <c r="E1183" t="s">
        <v>2344</v>
      </c>
      <c r="F1183" t="s">
        <v>2344</v>
      </c>
      <c r="G1183">
        <v>1</v>
      </c>
      <c r="H1183" t="s">
        <v>2344</v>
      </c>
      <c r="I1183" t="str">
        <f t="shared" si="37"/>
        <v>Obesity</v>
      </c>
      <c r="J1183" t="str">
        <f t="shared" si="38"/>
        <v>Normal</v>
      </c>
    </row>
    <row r="1184" spans="1:10" x14ac:dyDescent="0.35">
      <c r="A1184" t="s">
        <v>1184</v>
      </c>
      <c r="B1184">
        <v>44.744999999999997</v>
      </c>
      <c r="C1184">
        <v>5.19</v>
      </c>
      <c r="D1184" t="s">
        <v>2344</v>
      </c>
      <c r="E1184" t="s">
        <v>2344</v>
      </c>
      <c r="F1184" t="s">
        <v>2344</v>
      </c>
      <c r="G1184">
        <v>1</v>
      </c>
      <c r="H1184" t="s">
        <v>2344</v>
      </c>
      <c r="I1184" t="str">
        <f t="shared" si="37"/>
        <v>Obesity</v>
      </c>
      <c r="J1184" t="str">
        <f t="shared" si="38"/>
        <v>Normal</v>
      </c>
    </row>
    <row r="1185" spans="1:10" x14ac:dyDescent="0.35">
      <c r="A1185" t="s">
        <v>1185</v>
      </c>
      <c r="B1185">
        <v>26.33</v>
      </c>
      <c r="C1185">
        <v>11.8</v>
      </c>
      <c r="D1185" t="s">
        <v>2346</v>
      </c>
      <c r="E1185" t="s">
        <v>2344</v>
      </c>
      <c r="F1185" t="s">
        <v>2344</v>
      </c>
      <c r="G1185">
        <v>1</v>
      </c>
      <c r="H1185" t="s">
        <v>2344</v>
      </c>
      <c r="I1185" t="str">
        <f t="shared" si="37"/>
        <v>Over weight</v>
      </c>
      <c r="J1185" t="str">
        <f t="shared" si="38"/>
        <v>Diabetes</v>
      </c>
    </row>
    <row r="1186" spans="1:10" x14ac:dyDescent="0.35">
      <c r="A1186" t="s">
        <v>1186</v>
      </c>
      <c r="B1186">
        <v>26.6</v>
      </c>
      <c r="C1186">
        <v>8.3800000000000008</v>
      </c>
      <c r="D1186" t="s">
        <v>2344</v>
      </c>
      <c r="E1186" t="s">
        <v>2344</v>
      </c>
      <c r="F1186" t="s">
        <v>2344</v>
      </c>
      <c r="G1186">
        <v>1</v>
      </c>
      <c r="H1186" t="s">
        <v>2344</v>
      </c>
      <c r="I1186" t="str">
        <f t="shared" si="37"/>
        <v>Over weight</v>
      </c>
      <c r="J1186" t="str">
        <f t="shared" si="38"/>
        <v>Diabetes</v>
      </c>
    </row>
    <row r="1187" spans="1:10" x14ac:dyDescent="0.35">
      <c r="A1187" t="s">
        <v>1187</v>
      </c>
      <c r="B1187">
        <v>27.5</v>
      </c>
      <c r="C1187">
        <v>7.58</v>
      </c>
      <c r="D1187" t="s">
        <v>2344</v>
      </c>
      <c r="E1187" t="s">
        <v>2344</v>
      </c>
      <c r="F1187" t="s">
        <v>2344</v>
      </c>
      <c r="G1187">
        <v>0</v>
      </c>
      <c r="H1187" t="s">
        <v>2344</v>
      </c>
      <c r="I1187" t="str">
        <f t="shared" si="37"/>
        <v>Over weight</v>
      </c>
      <c r="J1187" t="str">
        <f t="shared" si="38"/>
        <v>Diabetes</v>
      </c>
    </row>
    <row r="1188" spans="1:10" x14ac:dyDescent="0.35">
      <c r="A1188" t="s">
        <v>1188</v>
      </c>
      <c r="B1188">
        <v>41.55</v>
      </c>
      <c r="C1188">
        <v>4.6100000000000003</v>
      </c>
      <c r="D1188" t="s">
        <v>2344</v>
      </c>
      <c r="E1188" t="s">
        <v>2344</v>
      </c>
      <c r="F1188" t="s">
        <v>2344</v>
      </c>
      <c r="G1188">
        <v>1</v>
      </c>
      <c r="H1188" t="s">
        <v>2344</v>
      </c>
      <c r="I1188" t="str">
        <f t="shared" si="37"/>
        <v>Obesity</v>
      </c>
      <c r="J1188" t="str">
        <f t="shared" si="38"/>
        <v>Normal</v>
      </c>
    </row>
    <row r="1189" spans="1:10" x14ac:dyDescent="0.35">
      <c r="A1189" t="s">
        <v>1189</v>
      </c>
      <c r="B1189">
        <v>41.47</v>
      </c>
      <c r="C1189">
        <v>4.7</v>
      </c>
      <c r="D1189" t="s">
        <v>2346</v>
      </c>
      <c r="E1189" t="s">
        <v>2344</v>
      </c>
      <c r="F1189" t="s">
        <v>2346</v>
      </c>
      <c r="G1189">
        <v>1</v>
      </c>
      <c r="H1189" t="s">
        <v>2344</v>
      </c>
      <c r="I1189" t="str">
        <f t="shared" si="37"/>
        <v>Obesity</v>
      </c>
      <c r="J1189" t="str">
        <f t="shared" si="38"/>
        <v>Normal</v>
      </c>
    </row>
    <row r="1190" spans="1:10" x14ac:dyDescent="0.35">
      <c r="A1190" t="s">
        <v>1190</v>
      </c>
      <c r="B1190">
        <v>24.795000000000002</v>
      </c>
      <c r="C1190">
        <v>6.05</v>
      </c>
      <c r="D1190" t="s">
        <v>2346</v>
      </c>
      <c r="E1190" t="s">
        <v>2344</v>
      </c>
      <c r="F1190" t="s">
        <v>2344</v>
      </c>
      <c r="G1190">
        <v>0</v>
      </c>
      <c r="H1190" t="s">
        <v>2344</v>
      </c>
      <c r="I1190" t="str">
        <f t="shared" si="37"/>
        <v>Normal Weight</v>
      </c>
      <c r="J1190" t="str">
        <f t="shared" si="38"/>
        <v>Prediabetes</v>
      </c>
    </row>
    <row r="1191" spans="1:10" x14ac:dyDescent="0.35">
      <c r="A1191" t="s">
        <v>1191</v>
      </c>
      <c r="B1191">
        <v>29.48</v>
      </c>
      <c r="C1191">
        <v>5.63</v>
      </c>
      <c r="D1191" t="s">
        <v>2346</v>
      </c>
      <c r="E1191" t="s">
        <v>2344</v>
      </c>
      <c r="F1191" t="s">
        <v>2346</v>
      </c>
      <c r="G1191">
        <v>1</v>
      </c>
      <c r="H1191" t="s">
        <v>2344</v>
      </c>
      <c r="I1191" t="str">
        <f t="shared" si="37"/>
        <v>Over weight</v>
      </c>
      <c r="J1191" t="str">
        <f t="shared" si="38"/>
        <v>Normal</v>
      </c>
    </row>
    <row r="1192" spans="1:10" x14ac:dyDescent="0.35">
      <c r="A1192" t="s">
        <v>1192</v>
      </c>
      <c r="B1192">
        <v>28.09</v>
      </c>
      <c r="C1192">
        <v>6.06</v>
      </c>
      <c r="D1192" t="s">
        <v>2344</v>
      </c>
      <c r="E1192" t="s">
        <v>2344</v>
      </c>
      <c r="F1192" t="s">
        <v>2346</v>
      </c>
      <c r="G1192">
        <v>1</v>
      </c>
      <c r="H1192" t="s">
        <v>2344</v>
      </c>
      <c r="I1192" t="str">
        <f t="shared" si="37"/>
        <v>Over weight</v>
      </c>
      <c r="J1192" t="str">
        <f t="shared" si="38"/>
        <v>Prediabetes</v>
      </c>
    </row>
    <row r="1193" spans="1:10" x14ac:dyDescent="0.35">
      <c r="A1193" t="s">
        <v>1193</v>
      </c>
      <c r="B1193">
        <v>32.729999999999997</v>
      </c>
      <c r="C1193">
        <v>5.19</v>
      </c>
      <c r="D1193" t="s">
        <v>2344</v>
      </c>
      <c r="E1193" t="s">
        <v>2344</v>
      </c>
      <c r="F1193" t="s">
        <v>2344</v>
      </c>
      <c r="G1193">
        <v>1</v>
      </c>
      <c r="H1193" t="s">
        <v>2344</v>
      </c>
      <c r="I1193" t="str">
        <f t="shared" si="37"/>
        <v>Obesity</v>
      </c>
      <c r="J1193" t="str">
        <f t="shared" si="38"/>
        <v>Normal</v>
      </c>
    </row>
    <row r="1194" spans="1:10" x14ac:dyDescent="0.35">
      <c r="A1194" t="s">
        <v>1194</v>
      </c>
      <c r="B1194">
        <v>27.36</v>
      </c>
      <c r="C1194">
        <v>8.9600000000000009</v>
      </c>
      <c r="D1194" t="s">
        <v>2344</v>
      </c>
      <c r="E1194" t="s">
        <v>2344</v>
      </c>
      <c r="F1194" t="s">
        <v>2344</v>
      </c>
      <c r="G1194">
        <v>0</v>
      </c>
      <c r="H1194" t="s">
        <v>2344</v>
      </c>
      <c r="I1194" t="str">
        <f t="shared" si="37"/>
        <v>Over weight</v>
      </c>
      <c r="J1194" t="str">
        <f t="shared" si="38"/>
        <v>Diabetes</v>
      </c>
    </row>
    <row r="1195" spans="1:10" x14ac:dyDescent="0.35">
      <c r="A1195" t="s">
        <v>1195</v>
      </c>
      <c r="B1195">
        <v>27.265000000000001</v>
      </c>
      <c r="C1195">
        <v>11.39</v>
      </c>
      <c r="D1195" t="s">
        <v>2344</v>
      </c>
      <c r="E1195" t="s">
        <v>2344</v>
      </c>
      <c r="F1195" t="s">
        <v>2344</v>
      </c>
      <c r="G1195">
        <v>0</v>
      </c>
      <c r="H1195" t="s">
        <v>2344</v>
      </c>
      <c r="I1195" t="str">
        <f t="shared" si="37"/>
        <v>Over weight</v>
      </c>
      <c r="J1195" t="str">
        <f t="shared" si="38"/>
        <v>Diabetes</v>
      </c>
    </row>
    <row r="1196" spans="1:10" x14ac:dyDescent="0.35">
      <c r="A1196" t="s">
        <v>1196</v>
      </c>
      <c r="B1196">
        <v>48.07</v>
      </c>
      <c r="C1196">
        <v>4.0599999999999996</v>
      </c>
      <c r="D1196" t="s">
        <v>2346</v>
      </c>
      <c r="E1196" t="s">
        <v>2344</v>
      </c>
      <c r="F1196" t="s">
        <v>2344</v>
      </c>
      <c r="G1196">
        <v>0</v>
      </c>
      <c r="H1196" t="s">
        <v>2344</v>
      </c>
      <c r="I1196" t="str">
        <f t="shared" si="37"/>
        <v>Obesity</v>
      </c>
      <c r="J1196" t="str">
        <f t="shared" si="38"/>
        <v>Normal</v>
      </c>
    </row>
    <row r="1197" spans="1:10" x14ac:dyDescent="0.35">
      <c r="A1197" t="s">
        <v>1197</v>
      </c>
      <c r="B1197">
        <v>30.8</v>
      </c>
      <c r="C1197">
        <v>5.23</v>
      </c>
      <c r="D1197" t="s">
        <v>2346</v>
      </c>
      <c r="E1197" t="s">
        <v>2344</v>
      </c>
      <c r="F1197" t="s">
        <v>2344</v>
      </c>
      <c r="G1197">
        <v>0</v>
      </c>
      <c r="H1197" t="s">
        <v>2344</v>
      </c>
      <c r="I1197" t="str">
        <f t="shared" si="37"/>
        <v>Obesity</v>
      </c>
      <c r="J1197" t="str">
        <f t="shared" si="38"/>
        <v>Normal</v>
      </c>
    </row>
    <row r="1198" spans="1:10" x14ac:dyDescent="0.35">
      <c r="A1198" t="s">
        <v>1198</v>
      </c>
      <c r="B1198">
        <v>32.299999999999997</v>
      </c>
      <c r="C1198">
        <v>5.05</v>
      </c>
      <c r="D1198" t="s">
        <v>2346</v>
      </c>
      <c r="E1198" t="s">
        <v>2344</v>
      </c>
      <c r="F1198" t="s">
        <v>2344</v>
      </c>
      <c r="G1198">
        <v>0</v>
      </c>
      <c r="H1198" t="s">
        <v>2344</v>
      </c>
      <c r="I1198" t="str">
        <f t="shared" si="37"/>
        <v>Obesity</v>
      </c>
      <c r="J1198" t="str">
        <f t="shared" si="38"/>
        <v>Normal</v>
      </c>
    </row>
    <row r="1199" spans="1:10" x14ac:dyDescent="0.35">
      <c r="A1199" t="s">
        <v>1199</v>
      </c>
      <c r="B1199">
        <v>39.700000000000003</v>
      </c>
      <c r="C1199">
        <v>7.34</v>
      </c>
      <c r="D1199" t="s">
        <v>2344</v>
      </c>
      <c r="E1199" t="s">
        <v>2344</v>
      </c>
      <c r="F1199" t="s">
        <v>2344</v>
      </c>
      <c r="G1199">
        <v>0</v>
      </c>
      <c r="H1199" t="s">
        <v>2344</v>
      </c>
      <c r="I1199" t="str">
        <f t="shared" si="37"/>
        <v>Obesity</v>
      </c>
      <c r="J1199" t="str">
        <f t="shared" si="38"/>
        <v>Diabetes</v>
      </c>
    </row>
    <row r="1200" spans="1:10" x14ac:dyDescent="0.35">
      <c r="A1200" t="s">
        <v>1200</v>
      </c>
      <c r="B1200">
        <v>35.97</v>
      </c>
      <c r="C1200">
        <v>8.1300000000000008</v>
      </c>
      <c r="D1200" t="s">
        <v>2344</v>
      </c>
      <c r="E1200" t="s">
        <v>2344</v>
      </c>
      <c r="F1200" t="s">
        <v>2344</v>
      </c>
      <c r="G1200">
        <v>0</v>
      </c>
      <c r="H1200" t="s">
        <v>2344</v>
      </c>
      <c r="I1200" t="str">
        <f t="shared" si="37"/>
        <v>Obesity</v>
      </c>
      <c r="J1200" t="str">
        <f t="shared" si="38"/>
        <v>Diabetes</v>
      </c>
    </row>
    <row r="1201" spans="1:10" x14ac:dyDescent="0.35">
      <c r="A1201" t="s">
        <v>1201</v>
      </c>
      <c r="B1201">
        <v>25.86</v>
      </c>
      <c r="C1201">
        <v>6.68</v>
      </c>
      <c r="D1201" t="s">
        <v>2346</v>
      </c>
      <c r="E1201" t="s">
        <v>2344</v>
      </c>
      <c r="F1201" t="s">
        <v>2344</v>
      </c>
      <c r="G1201">
        <v>1</v>
      </c>
      <c r="H1201" t="s">
        <v>2344</v>
      </c>
      <c r="I1201" t="str">
        <f t="shared" si="37"/>
        <v>Over weight</v>
      </c>
      <c r="J1201" t="str">
        <f t="shared" si="38"/>
        <v>Diabetes</v>
      </c>
    </row>
    <row r="1202" spans="1:10" x14ac:dyDescent="0.35">
      <c r="A1202" t="s">
        <v>1202</v>
      </c>
      <c r="B1202">
        <v>30.03</v>
      </c>
      <c r="C1202">
        <v>11.51</v>
      </c>
      <c r="D1202" t="s">
        <v>2344</v>
      </c>
      <c r="E1202" t="s">
        <v>2344</v>
      </c>
      <c r="F1202" t="s">
        <v>2344</v>
      </c>
      <c r="G1202">
        <v>0</v>
      </c>
      <c r="H1202" t="s">
        <v>2344</v>
      </c>
      <c r="I1202" t="str">
        <f t="shared" si="37"/>
        <v>Obesity</v>
      </c>
      <c r="J1202" t="str">
        <f t="shared" si="38"/>
        <v>Diabetes</v>
      </c>
    </row>
    <row r="1203" spans="1:10" x14ac:dyDescent="0.35">
      <c r="A1203" t="s">
        <v>1203</v>
      </c>
      <c r="B1203">
        <v>25.76</v>
      </c>
      <c r="C1203">
        <v>6.02</v>
      </c>
      <c r="D1203" t="s">
        <v>2346</v>
      </c>
      <c r="E1203" t="s">
        <v>2344</v>
      </c>
      <c r="F1203" t="s">
        <v>2346</v>
      </c>
      <c r="G1203">
        <v>1</v>
      </c>
      <c r="H1203" t="s">
        <v>2344</v>
      </c>
      <c r="I1203" t="str">
        <f t="shared" si="37"/>
        <v>Over weight</v>
      </c>
      <c r="J1203" t="str">
        <f t="shared" si="38"/>
        <v>Prediabetes</v>
      </c>
    </row>
    <row r="1204" spans="1:10" x14ac:dyDescent="0.35">
      <c r="A1204" t="s">
        <v>1204</v>
      </c>
      <c r="B1204">
        <v>22.42</v>
      </c>
      <c r="C1204">
        <v>7.96</v>
      </c>
      <c r="D1204" t="s">
        <v>2344</v>
      </c>
      <c r="E1204" t="s">
        <v>2344</v>
      </c>
      <c r="F1204" t="s">
        <v>2344</v>
      </c>
      <c r="G1204">
        <v>0</v>
      </c>
      <c r="H1204" t="s">
        <v>2344</v>
      </c>
      <c r="I1204" t="str">
        <f t="shared" si="37"/>
        <v>Normal Weight</v>
      </c>
      <c r="J1204" t="str">
        <f t="shared" si="38"/>
        <v>Diabetes</v>
      </c>
    </row>
    <row r="1205" spans="1:10" x14ac:dyDescent="0.35">
      <c r="A1205" t="s">
        <v>1205</v>
      </c>
      <c r="B1205">
        <v>33.18</v>
      </c>
      <c r="C1205">
        <v>6.01</v>
      </c>
      <c r="D1205" t="s">
        <v>2346</v>
      </c>
      <c r="E1205" t="s">
        <v>2344</v>
      </c>
      <c r="F1205" t="s">
        <v>2344</v>
      </c>
      <c r="G1205">
        <v>1</v>
      </c>
      <c r="H1205" t="s">
        <v>2344</v>
      </c>
      <c r="I1205" t="str">
        <f t="shared" si="37"/>
        <v>Obesity</v>
      </c>
      <c r="J1205" t="str">
        <f t="shared" si="38"/>
        <v>Prediabetes</v>
      </c>
    </row>
    <row r="1206" spans="1:10" x14ac:dyDescent="0.35">
      <c r="A1206" t="s">
        <v>1206</v>
      </c>
      <c r="B1206">
        <v>43.04</v>
      </c>
      <c r="C1206">
        <v>5.9</v>
      </c>
      <c r="D1206" t="s">
        <v>2346</v>
      </c>
      <c r="E1206" t="s">
        <v>2344</v>
      </c>
      <c r="F1206" t="s">
        <v>2344</v>
      </c>
      <c r="G1206">
        <v>0</v>
      </c>
      <c r="H1206" t="s">
        <v>2344</v>
      </c>
      <c r="I1206" t="str">
        <f t="shared" si="37"/>
        <v>Obesity</v>
      </c>
      <c r="J1206" t="str">
        <f t="shared" si="38"/>
        <v>Prediabetes</v>
      </c>
    </row>
    <row r="1207" spans="1:10" x14ac:dyDescent="0.35">
      <c r="A1207" t="s">
        <v>1207</v>
      </c>
      <c r="B1207">
        <v>34.15</v>
      </c>
      <c r="C1207">
        <v>4.49</v>
      </c>
      <c r="D1207" t="s">
        <v>2346</v>
      </c>
      <c r="E1207" t="s">
        <v>2344</v>
      </c>
      <c r="F1207" t="s">
        <v>2344</v>
      </c>
      <c r="G1207">
        <v>1</v>
      </c>
      <c r="H1207" t="s">
        <v>2344</v>
      </c>
      <c r="I1207" t="str">
        <f t="shared" si="37"/>
        <v>Obesity</v>
      </c>
      <c r="J1207" t="str">
        <f t="shared" si="38"/>
        <v>Normal</v>
      </c>
    </row>
    <row r="1208" spans="1:10" x14ac:dyDescent="0.35">
      <c r="A1208" t="s">
        <v>1208</v>
      </c>
      <c r="B1208">
        <v>25.78</v>
      </c>
      <c r="C1208">
        <v>6.25</v>
      </c>
      <c r="D1208" t="s">
        <v>2344</v>
      </c>
      <c r="E1208" t="s">
        <v>2344</v>
      </c>
      <c r="F1208" t="s">
        <v>2344</v>
      </c>
      <c r="G1208">
        <v>0</v>
      </c>
      <c r="H1208" t="s">
        <v>2344</v>
      </c>
      <c r="I1208" t="str">
        <f t="shared" si="37"/>
        <v>Over weight</v>
      </c>
      <c r="J1208" t="str">
        <f t="shared" si="38"/>
        <v>Prediabetes</v>
      </c>
    </row>
    <row r="1209" spans="1:10" x14ac:dyDescent="0.35">
      <c r="A1209" t="s">
        <v>1209</v>
      </c>
      <c r="B1209">
        <v>21.02</v>
      </c>
      <c r="C1209">
        <v>9.6199999999999992</v>
      </c>
      <c r="D1209" t="s">
        <v>2346</v>
      </c>
      <c r="E1209" t="s">
        <v>2344</v>
      </c>
      <c r="F1209" t="s">
        <v>2346</v>
      </c>
      <c r="G1209">
        <v>1</v>
      </c>
      <c r="H1209" t="s">
        <v>2344</v>
      </c>
      <c r="I1209" t="str">
        <f t="shared" si="37"/>
        <v>Normal Weight</v>
      </c>
      <c r="J1209" t="str">
        <f t="shared" si="38"/>
        <v>Diabetes</v>
      </c>
    </row>
    <row r="1210" spans="1:10" x14ac:dyDescent="0.35">
      <c r="A1210" t="s">
        <v>1210</v>
      </c>
      <c r="B1210">
        <v>37.51</v>
      </c>
      <c r="C1210">
        <v>11.06</v>
      </c>
      <c r="D1210" t="s">
        <v>2344</v>
      </c>
      <c r="E1210" t="s">
        <v>2344</v>
      </c>
      <c r="F1210" t="s">
        <v>2344</v>
      </c>
      <c r="G1210">
        <v>1</v>
      </c>
      <c r="H1210" t="s">
        <v>2344</v>
      </c>
      <c r="I1210" t="str">
        <f t="shared" si="37"/>
        <v>Obesity</v>
      </c>
      <c r="J1210" t="str">
        <f t="shared" si="38"/>
        <v>Diabetes</v>
      </c>
    </row>
    <row r="1211" spans="1:10" x14ac:dyDescent="0.35">
      <c r="A1211" t="s">
        <v>1211</v>
      </c>
      <c r="B1211">
        <v>25.745000000000001</v>
      </c>
      <c r="C1211">
        <v>6.11</v>
      </c>
      <c r="D1211" t="s">
        <v>2346</v>
      </c>
      <c r="E1211" t="s">
        <v>2344</v>
      </c>
      <c r="F1211" t="s">
        <v>2344</v>
      </c>
      <c r="G1211">
        <v>0</v>
      </c>
      <c r="H1211" t="s">
        <v>2344</v>
      </c>
      <c r="I1211" t="str">
        <f t="shared" si="37"/>
        <v>Over weight</v>
      </c>
      <c r="J1211" t="str">
        <f t="shared" si="38"/>
        <v>Prediabetes</v>
      </c>
    </row>
    <row r="1212" spans="1:10" x14ac:dyDescent="0.35">
      <c r="A1212" t="s">
        <v>1212</v>
      </c>
      <c r="B1212">
        <v>31.35</v>
      </c>
      <c r="C1212">
        <v>11.49</v>
      </c>
      <c r="D1212" t="s">
        <v>2344</v>
      </c>
      <c r="E1212" t="s">
        <v>2344</v>
      </c>
      <c r="F1212" t="s">
        <v>2344</v>
      </c>
      <c r="G1212">
        <v>1</v>
      </c>
      <c r="H1212" t="s">
        <v>2344</v>
      </c>
      <c r="I1212" t="str">
        <f t="shared" si="37"/>
        <v>Obesity</v>
      </c>
      <c r="J1212" t="str">
        <f t="shared" si="38"/>
        <v>Diabetes</v>
      </c>
    </row>
    <row r="1213" spans="1:10" x14ac:dyDescent="0.35">
      <c r="A1213" t="s">
        <v>1213</v>
      </c>
      <c r="B1213">
        <v>29.83</v>
      </c>
      <c r="C1213">
        <v>8.68</v>
      </c>
      <c r="D1213" t="s">
        <v>2344</v>
      </c>
      <c r="E1213" t="s">
        <v>2344</v>
      </c>
      <c r="F1213" t="s">
        <v>2344</v>
      </c>
      <c r="G1213">
        <v>1</v>
      </c>
      <c r="H1213" t="s">
        <v>2344</v>
      </c>
      <c r="I1213" t="str">
        <f t="shared" si="37"/>
        <v>Over weight</v>
      </c>
      <c r="J1213" t="str">
        <f t="shared" si="38"/>
        <v>Diabetes</v>
      </c>
    </row>
    <row r="1214" spans="1:10" x14ac:dyDescent="0.35">
      <c r="A1214" t="s">
        <v>1214</v>
      </c>
      <c r="B1214">
        <v>25.49</v>
      </c>
      <c r="C1214">
        <v>5.68</v>
      </c>
      <c r="D1214" t="s">
        <v>2346</v>
      </c>
      <c r="E1214" t="s">
        <v>2344</v>
      </c>
      <c r="F1214" t="s">
        <v>2346</v>
      </c>
      <c r="G1214">
        <v>1</v>
      </c>
      <c r="H1214" t="s">
        <v>2344</v>
      </c>
      <c r="I1214" t="str">
        <f t="shared" si="37"/>
        <v>Over weight</v>
      </c>
      <c r="J1214" t="str">
        <f t="shared" si="38"/>
        <v>Normal</v>
      </c>
    </row>
    <row r="1215" spans="1:10" x14ac:dyDescent="0.35">
      <c r="A1215" t="s">
        <v>1215</v>
      </c>
      <c r="B1215">
        <v>34.1</v>
      </c>
      <c r="C1215">
        <v>8.4499999999999993</v>
      </c>
      <c r="D1215" t="s">
        <v>2344</v>
      </c>
      <c r="E1215" t="s">
        <v>2344</v>
      </c>
      <c r="F1215" t="s">
        <v>2344</v>
      </c>
      <c r="G1215">
        <v>0</v>
      </c>
      <c r="H1215" t="s">
        <v>2344</v>
      </c>
      <c r="I1215" t="str">
        <f t="shared" si="37"/>
        <v>Obesity</v>
      </c>
      <c r="J1215" t="str">
        <f t="shared" si="38"/>
        <v>Diabetes</v>
      </c>
    </row>
    <row r="1216" spans="1:10" x14ac:dyDescent="0.35">
      <c r="A1216" t="s">
        <v>1216</v>
      </c>
      <c r="B1216">
        <v>25.84</v>
      </c>
      <c r="C1216">
        <v>8.51</v>
      </c>
      <c r="D1216" t="s">
        <v>2344</v>
      </c>
      <c r="E1216" t="s">
        <v>2344</v>
      </c>
      <c r="F1216" t="s">
        <v>2344</v>
      </c>
      <c r="G1216">
        <v>1</v>
      </c>
      <c r="H1216" t="s">
        <v>2344</v>
      </c>
      <c r="I1216" t="str">
        <f t="shared" si="37"/>
        <v>Over weight</v>
      </c>
      <c r="J1216" t="str">
        <f t="shared" si="38"/>
        <v>Diabetes</v>
      </c>
    </row>
    <row r="1217" spans="1:10" x14ac:dyDescent="0.35">
      <c r="A1217" t="s">
        <v>1217</v>
      </c>
      <c r="B1217">
        <v>20.6</v>
      </c>
      <c r="C1217">
        <v>7.62</v>
      </c>
      <c r="D1217" t="s">
        <v>2344</v>
      </c>
      <c r="E1217" t="s">
        <v>2344</v>
      </c>
      <c r="F1217" t="s">
        <v>2344</v>
      </c>
      <c r="G1217">
        <v>0</v>
      </c>
      <c r="H1217" t="s">
        <v>2344</v>
      </c>
      <c r="I1217" t="str">
        <f t="shared" si="37"/>
        <v>Normal Weight</v>
      </c>
      <c r="J1217" t="str">
        <f t="shared" si="38"/>
        <v>Diabetes</v>
      </c>
    </row>
    <row r="1218" spans="1:10" x14ac:dyDescent="0.35">
      <c r="A1218" t="s">
        <v>1218</v>
      </c>
      <c r="B1218">
        <v>28.88</v>
      </c>
      <c r="C1218">
        <v>10.18</v>
      </c>
      <c r="D1218" t="s">
        <v>2344</v>
      </c>
      <c r="E1218" t="s">
        <v>2344</v>
      </c>
      <c r="F1218" t="s">
        <v>2344</v>
      </c>
      <c r="G1218">
        <v>0</v>
      </c>
      <c r="H1218" t="s">
        <v>2344</v>
      </c>
      <c r="I1218" t="str">
        <f t="shared" si="37"/>
        <v>Over weight</v>
      </c>
      <c r="J1218" t="str">
        <f t="shared" si="38"/>
        <v>Diabetes</v>
      </c>
    </row>
    <row r="1219" spans="1:10" x14ac:dyDescent="0.35">
      <c r="A1219" t="s">
        <v>1219</v>
      </c>
      <c r="B1219">
        <v>28.24</v>
      </c>
      <c r="C1219">
        <v>5.36</v>
      </c>
      <c r="D1219" t="s">
        <v>2344</v>
      </c>
      <c r="E1219" t="s">
        <v>2344</v>
      </c>
      <c r="F1219" t="s">
        <v>2344</v>
      </c>
      <c r="G1219">
        <v>0</v>
      </c>
      <c r="H1219" t="s">
        <v>2344</v>
      </c>
      <c r="I1219" t="str">
        <f t="shared" ref="I1219:I1282" si="39">IF(B1219&lt;18.5,"Under Weight",IF(B1219&lt;25,"Normal Weight",IF(B1219&lt;30,"Over weight","Obesity")))</f>
        <v>Over weight</v>
      </c>
      <c r="J1219" t="str">
        <f t="shared" si="38"/>
        <v>Normal</v>
      </c>
    </row>
    <row r="1220" spans="1:10" x14ac:dyDescent="0.35">
      <c r="A1220" t="s">
        <v>1220</v>
      </c>
      <c r="B1220">
        <v>25.46</v>
      </c>
      <c r="C1220">
        <v>11.78</v>
      </c>
      <c r="D1220" t="s">
        <v>2346</v>
      </c>
      <c r="E1220" t="s">
        <v>2344</v>
      </c>
      <c r="F1220" t="s">
        <v>2344</v>
      </c>
      <c r="G1220">
        <v>1</v>
      </c>
      <c r="H1220" t="s">
        <v>2344</v>
      </c>
      <c r="I1220" t="str">
        <f t="shared" si="39"/>
        <v>Over weight</v>
      </c>
      <c r="J1220" t="str">
        <f t="shared" si="38"/>
        <v>Diabetes</v>
      </c>
    </row>
    <row r="1221" spans="1:10" x14ac:dyDescent="0.35">
      <c r="A1221" t="s">
        <v>1221</v>
      </c>
      <c r="B1221">
        <v>29.64</v>
      </c>
      <c r="C1221">
        <v>10.82</v>
      </c>
      <c r="D1221" t="s">
        <v>2346</v>
      </c>
      <c r="E1221" t="s">
        <v>2344</v>
      </c>
      <c r="F1221" t="s">
        <v>2344</v>
      </c>
      <c r="G1221">
        <v>0</v>
      </c>
      <c r="H1221" t="s">
        <v>2344</v>
      </c>
      <c r="I1221" t="str">
        <f t="shared" si="39"/>
        <v>Over weight</v>
      </c>
      <c r="J1221" t="str">
        <f t="shared" si="38"/>
        <v>Diabetes</v>
      </c>
    </row>
    <row r="1222" spans="1:10" x14ac:dyDescent="0.35">
      <c r="A1222" t="s">
        <v>1222</v>
      </c>
      <c r="B1222">
        <v>31.27</v>
      </c>
      <c r="C1222">
        <v>7.73</v>
      </c>
      <c r="D1222" t="s">
        <v>2346</v>
      </c>
      <c r="E1222" t="s">
        <v>2344</v>
      </c>
      <c r="F1222" t="s">
        <v>2344</v>
      </c>
      <c r="G1222">
        <v>1</v>
      </c>
      <c r="H1222" t="s">
        <v>2344</v>
      </c>
      <c r="I1222" t="str">
        <f t="shared" si="39"/>
        <v>Obesity</v>
      </c>
      <c r="J1222" t="str">
        <f t="shared" si="38"/>
        <v>Diabetes</v>
      </c>
    </row>
    <row r="1223" spans="1:10" x14ac:dyDescent="0.35">
      <c r="A1223" t="s">
        <v>1223</v>
      </c>
      <c r="B1223">
        <v>19.95</v>
      </c>
      <c r="C1223">
        <v>6.24</v>
      </c>
      <c r="D1223" t="s">
        <v>2346</v>
      </c>
      <c r="E1223" t="s">
        <v>2344</v>
      </c>
      <c r="F1223" t="s">
        <v>2344</v>
      </c>
      <c r="G1223">
        <v>0</v>
      </c>
      <c r="H1223" t="s">
        <v>2344</v>
      </c>
      <c r="I1223" t="str">
        <f t="shared" si="39"/>
        <v>Normal Weight</v>
      </c>
      <c r="J1223" t="str">
        <f t="shared" si="38"/>
        <v>Prediabetes</v>
      </c>
    </row>
    <row r="1224" spans="1:10" x14ac:dyDescent="0.35">
      <c r="A1224" t="s">
        <v>1224</v>
      </c>
      <c r="B1224">
        <v>21.3</v>
      </c>
      <c r="C1224">
        <v>10.42</v>
      </c>
      <c r="D1224" t="s">
        <v>2344</v>
      </c>
      <c r="E1224" t="s">
        <v>2344</v>
      </c>
      <c r="F1224" t="s">
        <v>2344</v>
      </c>
      <c r="G1224">
        <v>1</v>
      </c>
      <c r="H1224" t="s">
        <v>2344</v>
      </c>
      <c r="I1224" t="str">
        <f t="shared" si="39"/>
        <v>Normal Weight</v>
      </c>
      <c r="J1224" t="str">
        <f t="shared" si="38"/>
        <v>Diabetes</v>
      </c>
    </row>
    <row r="1225" spans="1:10" x14ac:dyDescent="0.35">
      <c r="A1225" t="s">
        <v>1225</v>
      </c>
      <c r="B1225">
        <v>31.635000000000002</v>
      </c>
      <c r="C1225">
        <v>11.11</v>
      </c>
      <c r="D1225" t="s">
        <v>2344</v>
      </c>
      <c r="E1225" t="s">
        <v>2344</v>
      </c>
      <c r="F1225" t="s">
        <v>2344</v>
      </c>
      <c r="G1225">
        <v>0</v>
      </c>
      <c r="H1225" t="s">
        <v>2344</v>
      </c>
      <c r="I1225" t="str">
        <f t="shared" si="39"/>
        <v>Obesity</v>
      </c>
      <c r="J1225" t="str">
        <f t="shared" si="38"/>
        <v>Diabetes</v>
      </c>
    </row>
    <row r="1226" spans="1:10" x14ac:dyDescent="0.35">
      <c r="A1226" t="s">
        <v>1226</v>
      </c>
      <c r="B1226">
        <v>23.9</v>
      </c>
      <c r="C1226">
        <v>7.67</v>
      </c>
      <c r="D1226" t="s">
        <v>2346</v>
      </c>
      <c r="E1226" t="s">
        <v>2344</v>
      </c>
      <c r="F1226" t="s">
        <v>2344</v>
      </c>
      <c r="G1226">
        <v>1</v>
      </c>
      <c r="H1226" t="s">
        <v>2344</v>
      </c>
      <c r="I1226" t="str">
        <f t="shared" si="39"/>
        <v>Normal Weight</v>
      </c>
      <c r="J1226" t="str">
        <f t="shared" si="38"/>
        <v>Diabetes</v>
      </c>
    </row>
    <row r="1227" spans="1:10" x14ac:dyDescent="0.35">
      <c r="A1227" t="s">
        <v>1227</v>
      </c>
      <c r="B1227">
        <v>34.15</v>
      </c>
      <c r="C1227">
        <v>6.15</v>
      </c>
      <c r="D1227" t="s">
        <v>2344</v>
      </c>
      <c r="E1227" t="s">
        <v>2344</v>
      </c>
      <c r="F1227" t="s">
        <v>2344</v>
      </c>
      <c r="G1227">
        <v>0</v>
      </c>
      <c r="H1227" t="s">
        <v>2344</v>
      </c>
      <c r="I1227" t="str">
        <f t="shared" si="39"/>
        <v>Obesity</v>
      </c>
      <c r="J1227" t="str">
        <f t="shared" si="38"/>
        <v>Prediabetes</v>
      </c>
    </row>
    <row r="1228" spans="1:10" x14ac:dyDescent="0.35">
      <c r="A1228" t="s">
        <v>1228</v>
      </c>
      <c r="B1228">
        <v>28.71</v>
      </c>
      <c r="C1228">
        <v>5.71</v>
      </c>
      <c r="D1228" t="s">
        <v>2344</v>
      </c>
      <c r="E1228" t="s">
        <v>2344</v>
      </c>
      <c r="F1228" t="s">
        <v>2344</v>
      </c>
      <c r="G1228">
        <v>0</v>
      </c>
      <c r="H1228" t="s">
        <v>2344</v>
      </c>
      <c r="I1228" t="str">
        <f t="shared" si="39"/>
        <v>Over weight</v>
      </c>
      <c r="J1228" t="str">
        <f t="shared" ref="J1228:J1291" si="40">IF(C1228&lt;5.7,"Normal",IF(C1228&lt;6.5,"Prediabetes","Diabetes"))</f>
        <v>Prediabetes</v>
      </c>
    </row>
    <row r="1229" spans="1:10" x14ac:dyDescent="0.35">
      <c r="A1229" t="s">
        <v>1229</v>
      </c>
      <c r="B1229">
        <v>36.700000000000003</v>
      </c>
      <c r="C1229">
        <v>8.6999999999999993</v>
      </c>
      <c r="D1229" t="s">
        <v>2346</v>
      </c>
      <c r="E1229" t="s">
        <v>2344</v>
      </c>
      <c r="F1229" t="s">
        <v>2344</v>
      </c>
      <c r="G1229">
        <v>1</v>
      </c>
      <c r="H1229" t="s">
        <v>2344</v>
      </c>
      <c r="I1229" t="str">
        <f t="shared" si="39"/>
        <v>Obesity</v>
      </c>
      <c r="J1229" t="str">
        <f t="shared" si="40"/>
        <v>Diabetes</v>
      </c>
    </row>
    <row r="1230" spans="1:10" x14ac:dyDescent="0.35">
      <c r="A1230" t="s">
        <v>1230</v>
      </c>
      <c r="B1230">
        <v>34.1</v>
      </c>
      <c r="C1230">
        <v>9.0399999999999991</v>
      </c>
      <c r="D1230" t="s">
        <v>2346</v>
      </c>
      <c r="E1230" t="s">
        <v>2344</v>
      </c>
      <c r="F1230" t="s">
        <v>2344</v>
      </c>
      <c r="G1230">
        <v>1</v>
      </c>
      <c r="H1230" t="s">
        <v>2344</v>
      </c>
      <c r="I1230" t="str">
        <f t="shared" si="39"/>
        <v>Obesity</v>
      </c>
      <c r="J1230" t="str">
        <f t="shared" si="40"/>
        <v>Diabetes</v>
      </c>
    </row>
    <row r="1231" spans="1:10" x14ac:dyDescent="0.35">
      <c r="A1231" t="s">
        <v>1231</v>
      </c>
      <c r="B1231">
        <v>25.7</v>
      </c>
      <c r="C1231">
        <v>5.61</v>
      </c>
      <c r="D1231" t="s">
        <v>2344</v>
      </c>
      <c r="E1231" t="s">
        <v>2344</v>
      </c>
      <c r="F1231" t="s">
        <v>2344</v>
      </c>
      <c r="G1231">
        <v>0</v>
      </c>
      <c r="H1231" t="s">
        <v>2344</v>
      </c>
      <c r="I1231" t="str">
        <f t="shared" si="39"/>
        <v>Over weight</v>
      </c>
      <c r="J1231" t="str">
        <f t="shared" si="40"/>
        <v>Normal</v>
      </c>
    </row>
    <row r="1232" spans="1:10" x14ac:dyDescent="0.35">
      <c r="A1232" t="s">
        <v>1232</v>
      </c>
      <c r="B1232">
        <v>21.68</v>
      </c>
      <c r="C1232">
        <v>8.1199999999999992</v>
      </c>
      <c r="D1232" t="s">
        <v>2344</v>
      </c>
      <c r="E1232" t="s">
        <v>2344</v>
      </c>
      <c r="F1232" t="s">
        <v>2344</v>
      </c>
      <c r="G1232">
        <v>0</v>
      </c>
      <c r="H1232" t="s">
        <v>2344</v>
      </c>
      <c r="I1232" t="str">
        <f t="shared" si="39"/>
        <v>Normal Weight</v>
      </c>
      <c r="J1232" t="str">
        <f t="shared" si="40"/>
        <v>Diabetes</v>
      </c>
    </row>
    <row r="1233" spans="1:10" x14ac:dyDescent="0.35">
      <c r="A1233" t="s">
        <v>1233</v>
      </c>
      <c r="B1233">
        <v>25.175000000000001</v>
      </c>
      <c r="C1233">
        <v>4.74</v>
      </c>
      <c r="D1233" t="s">
        <v>2344</v>
      </c>
      <c r="E1233" t="s">
        <v>2344</v>
      </c>
      <c r="F1233" t="s">
        <v>2344</v>
      </c>
      <c r="G1233">
        <v>0</v>
      </c>
      <c r="H1233" t="s">
        <v>2344</v>
      </c>
      <c r="I1233" t="str">
        <f t="shared" si="39"/>
        <v>Over weight</v>
      </c>
      <c r="J1233" t="str">
        <f t="shared" si="40"/>
        <v>Normal</v>
      </c>
    </row>
    <row r="1234" spans="1:10" x14ac:dyDescent="0.35">
      <c r="A1234" t="s">
        <v>1234</v>
      </c>
      <c r="B1234">
        <v>44.77</v>
      </c>
      <c r="C1234">
        <v>4.0599999999999996</v>
      </c>
      <c r="D1234" t="s">
        <v>2344</v>
      </c>
      <c r="E1234" t="s">
        <v>2344</v>
      </c>
      <c r="F1234" t="s">
        <v>2344</v>
      </c>
      <c r="G1234">
        <v>1</v>
      </c>
      <c r="H1234" t="s">
        <v>2344</v>
      </c>
      <c r="I1234" t="str">
        <f t="shared" si="39"/>
        <v>Obesity</v>
      </c>
      <c r="J1234" t="str">
        <f t="shared" si="40"/>
        <v>Normal</v>
      </c>
    </row>
    <row r="1235" spans="1:10" x14ac:dyDescent="0.35">
      <c r="A1235" t="s">
        <v>1235</v>
      </c>
      <c r="B1235">
        <v>37.07</v>
      </c>
      <c r="C1235">
        <v>5.69</v>
      </c>
      <c r="D1235" t="s">
        <v>2344</v>
      </c>
      <c r="E1235" t="s">
        <v>2344</v>
      </c>
      <c r="F1235" t="s">
        <v>2344</v>
      </c>
      <c r="G1235">
        <v>1</v>
      </c>
      <c r="H1235" t="s">
        <v>2344</v>
      </c>
      <c r="I1235" t="str">
        <f t="shared" si="39"/>
        <v>Obesity</v>
      </c>
      <c r="J1235" t="str">
        <f t="shared" si="40"/>
        <v>Normal</v>
      </c>
    </row>
    <row r="1236" spans="1:10" x14ac:dyDescent="0.35">
      <c r="A1236" t="s">
        <v>1236</v>
      </c>
      <c r="B1236">
        <v>39.799999999999997</v>
      </c>
      <c r="C1236">
        <v>5.66</v>
      </c>
      <c r="D1236" t="s">
        <v>2344</v>
      </c>
      <c r="E1236" t="s">
        <v>2344</v>
      </c>
      <c r="F1236" t="s">
        <v>2346</v>
      </c>
      <c r="G1236">
        <v>1</v>
      </c>
      <c r="H1236" t="s">
        <v>2344</v>
      </c>
      <c r="I1236" t="str">
        <f t="shared" si="39"/>
        <v>Obesity</v>
      </c>
      <c r="J1236" t="str">
        <f t="shared" si="40"/>
        <v>Normal</v>
      </c>
    </row>
    <row r="1237" spans="1:10" x14ac:dyDescent="0.35">
      <c r="A1237" t="s">
        <v>1237</v>
      </c>
      <c r="B1237">
        <v>26.36</v>
      </c>
      <c r="C1237">
        <v>4.32</v>
      </c>
      <c r="D1237" t="s">
        <v>2344</v>
      </c>
      <c r="E1237" t="s">
        <v>2344</v>
      </c>
      <c r="F1237" t="s">
        <v>2346</v>
      </c>
      <c r="G1237">
        <v>1</v>
      </c>
      <c r="H1237" t="s">
        <v>2344</v>
      </c>
      <c r="I1237" t="str">
        <f t="shared" si="39"/>
        <v>Over weight</v>
      </c>
      <c r="J1237" t="str">
        <f t="shared" si="40"/>
        <v>Normal</v>
      </c>
    </row>
    <row r="1238" spans="1:10" x14ac:dyDescent="0.35">
      <c r="A1238" t="s">
        <v>1238</v>
      </c>
      <c r="B1238">
        <v>29.925000000000001</v>
      </c>
      <c r="C1238">
        <v>8.2899999999999991</v>
      </c>
      <c r="D1238" t="s">
        <v>2344</v>
      </c>
      <c r="E1238" t="s">
        <v>2344</v>
      </c>
      <c r="F1238" t="s">
        <v>2344</v>
      </c>
      <c r="G1238">
        <v>1</v>
      </c>
      <c r="H1238" t="s">
        <v>2344</v>
      </c>
      <c r="I1238" t="str">
        <f t="shared" si="39"/>
        <v>Over weight</v>
      </c>
      <c r="J1238" t="str">
        <f t="shared" si="40"/>
        <v>Diabetes</v>
      </c>
    </row>
    <row r="1239" spans="1:10" x14ac:dyDescent="0.35">
      <c r="A1239" t="s">
        <v>1239</v>
      </c>
      <c r="B1239">
        <v>37.29</v>
      </c>
      <c r="C1239">
        <v>10.46</v>
      </c>
      <c r="D1239" t="s">
        <v>2344</v>
      </c>
      <c r="E1239" t="s">
        <v>2344</v>
      </c>
      <c r="F1239" t="s">
        <v>2344</v>
      </c>
      <c r="G1239">
        <v>0</v>
      </c>
      <c r="H1239" t="s">
        <v>2344</v>
      </c>
      <c r="I1239" t="str">
        <f t="shared" si="39"/>
        <v>Obesity</v>
      </c>
      <c r="J1239" t="str">
        <f t="shared" si="40"/>
        <v>Diabetes</v>
      </c>
    </row>
    <row r="1240" spans="1:10" x14ac:dyDescent="0.35">
      <c r="A1240" t="s">
        <v>1240</v>
      </c>
      <c r="B1240">
        <v>30.2</v>
      </c>
      <c r="C1240">
        <v>11.96</v>
      </c>
      <c r="D1240" t="s">
        <v>2344</v>
      </c>
      <c r="E1240" t="s">
        <v>2344</v>
      </c>
      <c r="F1240" t="s">
        <v>2344</v>
      </c>
      <c r="G1240">
        <v>0</v>
      </c>
      <c r="H1240" t="s">
        <v>2344</v>
      </c>
      <c r="I1240" t="str">
        <f t="shared" si="39"/>
        <v>Obesity</v>
      </c>
      <c r="J1240" t="str">
        <f t="shared" si="40"/>
        <v>Diabetes</v>
      </c>
    </row>
    <row r="1241" spans="1:10" x14ac:dyDescent="0.35">
      <c r="A1241" t="s">
        <v>1241</v>
      </c>
      <c r="B1241">
        <v>24.225000000000001</v>
      </c>
      <c r="C1241">
        <v>4.25</v>
      </c>
      <c r="D1241" t="s">
        <v>2346</v>
      </c>
      <c r="E1241" t="s">
        <v>2344</v>
      </c>
      <c r="F1241" t="s">
        <v>2346</v>
      </c>
      <c r="G1241">
        <v>1</v>
      </c>
      <c r="H1241" t="s">
        <v>2344</v>
      </c>
      <c r="I1241" t="str">
        <f t="shared" si="39"/>
        <v>Normal Weight</v>
      </c>
      <c r="J1241" t="str">
        <f t="shared" si="40"/>
        <v>Normal</v>
      </c>
    </row>
    <row r="1242" spans="1:10" x14ac:dyDescent="0.35">
      <c r="A1242" t="s">
        <v>1242</v>
      </c>
      <c r="B1242">
        <v>31.445</v>
      </c>
      <c r="C1242">
        <v>8.33</v>
      </c>
      <c r="D1242" t="s">
        <v>2344</v>
      </c>
      <c r="E1242" t="s">
        <v>2344</v>
      </c>
      <c r="F1242" t="s">
        <v>2344</v>
      </c>
      <c r="G1242">
        <v>0</v>
      </c>
      <c r="H1242" t="s">
        <v>2344</v>
      </c>
      <c r="I1242" t="str">
        <f t="shared" si="39"/>
        <v>Obesity</v>
      </c>
      <c r="J1242" t="str">
        <f t="shared" si="40"/>
        <v>Diabetes</v>
      </c>
    </row>
    <row r="1243" spans="1:10" x14ac:dyDescent="0.35">
      <c r="A1243" t="s">
        <v>1243</v>
      </c>
      <c r="B1243">
        <v>38.880000000000003</v>
      </c>
      <c r="C1243">
        <v>4.29</v>
      </c>
      <c r="D1243" t="s">
        <v>2344</v>
      </c>
      <c r="E1243" t="s">
        <v>2344</v>
      </c>
      <c r="F1243" t="s">
        <v>2344</v>
      </c>
      <c r="G1243">
        <v>1</v>
      </c>
      <c r="H1243" t="s">
        <v>2344</v>
      </c>
      <c r="I1243" t="str">
        <f t="shared" si="39"/>
        <v>Obesity</v>
      </c>
      <c r="J1243" t="str">
        <f t="shared" si="40"/>
        <v>Normal</v>
      </c>
    </row>
    <row r="1244" spans="1:10" x14ac:dyDescent="0.35">
      <c r="A1244" t="s">
        <v>1244</v>
      </c>
      <c r="B1244">
        <v>43.89</v>
      </c>
      <c r="C1244">
        <v>6.32</v>
      </c>
      <c r="D1244" t="s">
        <v>2346</v>
      </c>
      <c r="E1244" t="s">
        <v>2344</v>
      </c>
      <c r="F1244" t="s">
        <v>2344</v>
      </c>
      <c r="G1244">
        <v>0</v>
      </c>
      <c r="H1244" t="s">
        <v>2344</v>
      </c>
      <c r="I1244" t="str">
        <f t="shared" si="39"/>
        <v>Obesity</v>
      </c>
      <c r="J1244" t="str">
        <f t="shared" si="40"/>
        <v>Prediabetes</v>
      </c>
    </row>
    <row r="1245" spans="1:10" x14ac:dyDescent="0.35">
      <c r="A1245" t="s">
        <v>1245</v>
      </c>
      <c r="B1245">
        <v>25.6</v>
      </c>
      <c r="C1245">
        <v>5.65</v>
      </c>
      <c r="D1245" t="s">
        <v>2344</v>
      </c>
      <c r="E1245" t="s">
        <v>2344</v>
      </c>
      <c r="F1245" t="s">
        <v>2344</v>
      </c>
      <c r="G1245">
        <v>1</v>
      </c>
      <c r="H1245" t="s">
        <v>2344</v>
      </c>
      <c r="I1245" t="str">
        <f t="shared" si="39"/>
        <v>Over weight</v>
      </c>
      <c r="J1245" t="str">
        <f t="shared" si="40"/>
        <v>Normal</v>
      </c>
    </row>
    <row r="1246" spans="1:10" x14ac:dyDescent="0.35">
      <c r="A1246" t="s">
        <v>1246</v>
      </c>
      <c r="B1246">
        <v>29.545000000000002</v>
      </c>
      <c r="C1246">
        <v>8.41</v>
      </c>
      <c r="D1246" t="s">
        <v>2346</v>
      </c>
      <c r="E1246" t="s">
        <v>2344</v>
      </c>
      <c r="F1246" t="s">
        <v>2344</v>
      </c>
      <c r="G1246">
        <v>1</v>
      </c>
      <c r="H1246" t="s">
        <v>2344</v>
      </c>
      <c r="I1246" t="str">
        <f t="shared" si="39"/>
        <v>Over weight</v>
      </c>
      <c r="J1246" t="str">
        <f t="shared" si="40"/>
        <v>Diabetes</v>
      </c>
    </row>
    <row r="1247" spans="1:10" x14ac:dyDescent="0.35">
      <c r="A1247" t="s">
        <v>1247</v>
      </c>
      <c r="B1247">
        <v>23.25</v>
      </c>
      <c r="C1247">
        <v>11.96</v>
      </c>
      <c r="D1247" t="s">
        <v>2346</v>
      </c>
      <c r="E1247" t="s">
        <v>2344</v>
      </c>
      <c r="F1247" t="s">
        <v>2344</v>
      </c>
      <c r="G1247">
        <v>0</v>
      </c>
      <c r="H1247" t="s">
        <v>2344</v>
      </c>
      <c r="I1247" t="str">
        <f t="shared" si="39"/>
        <v>Normal Weight</v>
      </c>
      <c r="J1247" t="str">
        <f t="shared" si="40"/>
        <v>Diabetes</v>
      </c>
    </row>
    <row r="1248" spans="1:10" x14ac:dyDescent="0.35">
      <c r="A1248" t="s">
        <v>1248</v>
      </c>
      <c r="B1248">
        <v>43.95</v>
      </c>
      <c r="C1248">
        <v>5.17</v>
      </c>
      <c r="D1248" t="s">
        <v>2346</v>
      </c>
      <c r="E1248" t="s">
        <v>2344</v>
      </c>
      <c r="F1248" t="s">
        <v>2346</v>
      </c>
      <c r="G1248">
        <v>1</v>
      </c>
      <c r="H1248" t="s">
        <v>2344</v>
      </c>
      <c r="I1248" t="str">
        <f t="shared" si="39"/>
        <v>Obesity</v>
      </c>
      <c r="J1248" t="str">
        <f t="shared" si="40"/>
        <v>Normal</v>
      </c>
    </row>
    <row r="1249" spans="1:10" x14ac:dyDescent="0.35">
      <c r="A1249" t="s">
        <v>1249</v>
      </c>
      <c r="B1249">
        <v>21.85</v>
      </c>
      <c r="C1249">
        <v>8.76</v>
      </c>
      <c r="D1249" t="s">
        <v>2344</v>
      </c>
      <c r="E1249" t="s">
        <v>2344</v>
      </c>
      <c r="F1249" t="s">
        <v>2344</v>
      </c>
      <c r="G1249">
        <v>0</v>
      </c>
      <c r="H1249" t="s">
        <v>2344</v>
      </c>
      <c r="I1249" t="str">
        <f t="shared" si="39"/>
        <v>Normal Weight</v>
      </c>
      <c r="J1249" t="str">
        <f t="shared" si="40"/>
        <v>Diabetes</v>
      </c>
    </row>
    <row r="1250" spans="1:10" x14ac:dyDescent="0.35">
      <c r="A1250" t="s">
        <v>1250</v>
      </c>
      <c r="B1250">
        <v>25.73</v>
      </c>
      <c r="C1250">
        <v>7.99</v>
      </c>
      <c r="D1250" t="s">
        <v>2344</v>
      </c>
      <c r="E1250" t="s">
        <v>2344</v>
      </c>
      <c r="F1250" t="s">
        <v>2344</v>
      </c>
      <c r="G1250">
        <v>1</v>
      </c>
      <c r="H1250" t="s">
        <v>2344</v>
      </c>
      <c r="I1250" t="str">
        <f t="shared" si="39"/>
        <v>Over weight</v>
      </c>
      <c r="J1250" t="str">
        <f t="shared" si="40"/>
        <v>Diabetes</v>
      </c>
    </row>
    <row r="1251" spans="1:10" x14ac:dyDescent="0.35">
      <c r="A1251" t="s">
        <v>1251</v>
      </c>
      <c r="B1251">
        <v>32.229999999999997</v>
      </c>
      <c r="C1251">
        <v>8.59</v>
      </c>
      <c r="D1251" t="s">
        <v>2344</v>
      </c>
      <c r="E1251" t="s">
        <v>2344</v>
      </c>
      <c r="F1251" t="s">
        <v>2344</v>
      </c>
      <c r="G1251">
        <v>0</v>
      </c>
      <c r="H1251" t="s">
        <v>2344</v>
      </c>
      <c r="I1251" t="str">
        <f t="shared" si="39"/>
        <v>Obesity</v>
      </c>
      <c r="J1251" t="str">
        <f t="shared" si="40"/>
        <v>Diabetes</v>
      </c>
    </row>
    <row r="1252" spans="1:10" x14ac:dyDescent="0.35">
      <c r="A1252" t="s">
        <v>1252</v>
      </c>
      <c r="B1252">
        <v>32.204999999999998</v>
      </c>
      <c r="C1252">
        <v>6.14</v>
      </c>
      <c r="D1252" t="s">
        <v>2344</v>
      </c>
      <c r="E1252" t="s">
        <v>2344</v>
      </c>
      <c r="F1252" t="s">
        <v>2344</v>
      </c>
      <c r="G1252">
        <v>1</v>
      </c>
      <c r="H1252" t="s">
        <v>2344</v>
      </c>
      <c r="I1252" t="str">
        <f t="shared" si="39"/>
        <v>Obesity</v>
      </c>
      <c r="J1252" t="str">
        <f t="shared" si="40"/>
        <v>Prediabetes</v>
      </c>
    </row>
    <row r="1253" spans="1:10" x14ac:dyDescent="0.35">
      <c r="A1253" t="s">
        <v>1253</v>
      </c>
      <c r="B1253">
        <v>26.41</v>
      </c>
      <c r="C1253">
        <v>4.08</v>
      </c>
      <c r="D1253" t="s">
        <v>2344</v>
      </c>
      <c r="E1253" t="s">
        <v>2344</v>
      </c>
      <c r="F1253" t="s">
        <v>2344</v>
      </c>
      <c r="G1253">
        <v>1</v>
      </c>
      <c r="H1253" t="s">
        <v>2344</v>
      </c>
      <c r="I1253" t="str">
        <f t="shared" si="39"/>
        <v>Over weight</v>
      </c>
      <c r="J1253" t="str">
        <f t="shared" si="40"/>
        <v>Normal</v>
      </c>
    </row>
    <row r="1254" spans="1:10" x14ac:dyDescent="0.35">
      <c r="A1254" t="s">
        <v>1254</v>
      </c>
      <c r="B1254">
        <v>30.2</v>
      </c>
      <c r="C1254">
        <v>6.25</v>
      </c>
      <c r="D1254" t="s">
        <v>2346</v>
      </c>
      <c r="E1254" t="s">
        <v>2344</v>
      </c>
      <c r="F1254" t="s">
        <v>2344</v>
      </c>
      <c r="G1254">
        <v>0</v>
      </c>
      <c r="H1254" t="s">
        <v>2344</v>
      </c>
      <c r="I1254" t="str">
        <f t="shared" si="39"/>
        <v>Obesity</v>
      </c>
      <c r="J1254" t="str">
        <f t="shared" si="40"/>
        <v>Prediabetes</v>
      </c>
    </row>
    <row r="1255" spans="1:10" x14ac:dyDescent="0.35">
      <c r="A1255" t="s">
        <v>1255</v>
      </c>
      <c r="B1255">
        <v>31.26</v>
      </c>
      <c r="C1255">
        <v>5.94</v>
      </c>
      <c r="D1255" t="s">
        <v>2346</v>
      </c>
      <c r="E1255" t="s">
        <v>2344</v>
      </c>
      <c r="F1255" t="s">
        <v>2344</v>
      </c>
      <c r="G1255">
        <v>1</v>
      </c>
      <c r="H1255" t="s">
        <v>2344</v>
      </c>
      <c r="I1255" t="str">
        <f t="shared" si="39"/>
        <v>Obesity</v>
      </c>
      <c r="J1255" t="str">
        <f t="shared" si="40"/>
        <v>Prediabetes</v>
      </c>
    </row>
    <row r="1256" spans="1:10" x14ac:dyDescent="0.35">
      <c r="A1256" t="s">
        <v>1256</v>
      </c>
      <c r="B1256">
        <v>33.725000000000001</v>
      </c>
      <c r="C1256">
        <v>6.45</v>
      </c>
      <c r="D1256" t="s">
        <v>2346</v>
      </c>
      <c r="E1256" t="s">
        <v>2344</v>
      </c>
      <c r="F1256" t="s">
        <v>2344</v>
      </c>
      <c r="G1256">
        <v>0</v>
      </c>
      <c r="H1256" t="s">
        <v>2344</v>
      </c>
      <c r="I1256" t="str">
        <f t="shared" si="39"/>
        <v>Obesity</v>
      </c>
      <c r="J1256" t="str">
        <f t="shared" si="40"/>
        <v>Prediabetes</v>
      </c>
    </row>
    <row r="1257" spans="1:10" x14ac:dyDescent="0.35">
      <c r="A1257" t="s">
        <v>1257</v>
      </c>
      <c r="B1257">
        <v>28.9</v>
      </c>
      <c r="C1257">
        <v>5.74</v>
      </c>
      <c r="D1257" t="s">
        <v>2346</v>
      </c>
      <c r="E1257" t="s">
        <v>2344</v>
      </c>
      <c r="F1257" t="s">
        <v>2344</v>
      </c>
      <c r="G1257">
        <v>0</v>
      </c>
      <c r="H1257" t="s">
        <v>2344</v>
      </c>
      <c r="I1257" t="str">
        <f t="shared" si="39"/>
        <v>Over weight</v>
      </c>
      <c r="J1257" t="str">
        <f t="shared" si="40"/>
        <v>Prediabetes</v>
      </c>
    </row>
    <row r="1258" spans="1:10" x14ac:dyDescent="0.35">
      <c r="A1258" t="s">
        <v>1258</v>
      </c>
      <c r="B1258">
        <v>45.69</v>
      </c>
      <c r="C1258">
        <v>4.43</v>
      </c>
      <c r="D1258" t="s">
        <v>2346</v>
      </c>
      <c r="E1258" t="s">
        <v>2344</v>
      </c>
      <c r="F1258" t="s">
        <v>2344</v>
      </c>
      <c r="G1258">
        <v>0</v>
      </c>
      <c r="H1258" t="s">
        <v>2344</v>
      </c>
      <c r="I1258" t="str">
        <f t="shared" si="39"/>
        <v>Obesity</v>
      </c>
      <c r="J1258" t="str">
        <f t="shared" si="40"/>
        <v>Normal</v>
      </c>
    </row>
    <row r="1259" spans="1:10" x14ac:dyDescent="0.35">
      <c r="A1259" t="s">
        <v>1259</v>
      </c>
      <c r="B1259">
        <v>21.03</v>
      </c>
      <c r="C1259">
        <v>6.5</v>
      </c>
      <c r="D1259" t="s">
        <v>2344</v>
      </c>
      <c r="E1259" t="s">
        <v>2344</v>
      </c>
      <c r="F1259" t="s">
        <v>2344</v>
      </c>
      <c r="G1259">
        <v>0</v>
      </c>
      <c r="H1259" t="s">
        <v>2344</v>
      </c>
      <c r="I1259" t="str">
        <f t="shared" si="39"/>
        <v>Normal Weight</v>
      </c>
      <c r="J1259" t="str">
        <f t="shared" si="40"/>
        <v>Diabetes</v>
      </c>
    </row>
    <row r="1260" spans="1:10" x14ac:dyDescent="0.35">
      <c r="A1260" t="s">
        <v>1260</v>
      </c>
      <c r="B1260">
        <v>37</v>
      </c>
      <c r="C1260">
        <v>8.75</v>
      </c>
      <c r="D1260" t="s">
        <v>2344</v>
      </c>
      <c r="E1260" t="s">
        <v>2344</v>
      </c>
      <c r="F1260" t="s">
        <v>2344</v>
      </c>
      <c r="G1260">
        <v>0</v>
      </c>
      <c r="H1260" t="s">
        <v>2344</v>
      </c>
      <c r="I1260" t="str">
        <f t="shared" si="39"/>
        <v>Obesity</v>
      </c>
      <c r="J1260" t="str">
        <f t="shared" si="40"/>
        <v>Diabetes</v>
      </c>
    </row>
    <row r="1261" spans="1:10" x14ac:dyDescent="0.35">
      <c r="A1261" t="s">
        <v>1261</v>
      </c>
      <c r="B1261">
        <v>25.4</v>
      </c>
      <c r="C1261">
        <v>11.96</v>
      </c>
      <c r="D1261" t="s">
        <v>2344</v>
      </c>
      <c r="E1261" t="s">
        <v>2344</v>
      </c>
      <c r="F1261" t="s">
        <v>2344</v>
      </c>
      <c r="G1261">
        <v>0</v>
      </c>
      <c r="H1261" t="s">
        <v>2344</v>
      </c>
      <c r="I1261" t="str">
        <f t="shared" si="39"/>
        <v>Over weight</v>
      </c>
      <c r="J1261" t="str">
        <f t="shared" si="40"/>
        <v>Diabetes</v>
      </c>
    </row>
    <row r="1262" spans="1:10" x14ac:dyDescent="0.35">
      <c r="A1262" t="s">
        <v>1262</v>
      </c>
      <c r="B1262">
        <v>32.299999999999997</v>
      </c>
      <c r="C1262">
        <v>10.54</v>
      </c>
      <c r="D1262" t="s">
        <v>2344</v>
      </c>
      <c r="E1262" t="s">
        <v>2344</v>
      </c>
      <c r="F1262" t="s">
        <v>2344</v>
      </c>
      <c r="G1262">
        <v>0</v>
      </c>
      <c r="H1262" t="s">
        <v>2344</v>
      </c>
      <c r="I1262" t="str">
        <f t="shared" si="39"/>
        <v>Obesity</v>
      </c>
      <c r="J1262" t="str">
        <f t="shared" si="40"/>
        <v>Diabetes</v>
      </c>
    </row>
    <row r="1263" spans="1:10" x14ac:dyDescent="0.35">
      <c r="A1263" t="s">
        <v>1263</v>
      </c>
      <c r="B1263">
        <v>23.94</v>
      </c>
      <c r="C1263">
        <v>4.54</v>
      </c>
      <c r="D1263" t="s">
        <v>2346</v>
      </c>
      <c r="E1263" t="s">
        <v>2344</v>
      </c>
      <c r="F1263" t="s">
        <v>2346</v>
      </c>
      <c r="G1263">
        <v>1</v>
      </c>
      <c r="H1263" t="s">
        <v>2344</v>
      </c>
      <c r="I1263" t="str">
        <f t="shared" si="39"/>
        <v>Normal Weight</v>
      </c>
      <c r="J1263" t="str">
        <f t="shared" si="40"/>
        <v>Normal</v>
      </c>
    </row>
    <row r="1264" spans="1:10" x14ac:dyDescent="0.35">
      <c r="A1264" t="s">
        <v>1264</v>
      </c>
      <c r="B1264">
        <v>46.4</v>
      </c>
      <c r="C1264">
        <v>5.71</v>
      </c>
      <c r="D1264" t="s">
        <v>2344</v>
      </c>
      <c r="E1264" t="s">
        <v>2344</v>
      </c>
      <c r="F1264" t="s">
        <v>2344</v>
      </c>
      <c r="G1264">
        <v>0</v>
      </c>
      <c r="H1264" t="s">
        <v>2344</v>
      </c>
      <c r="I1264" t="str">
        <f t="shared" si="39"/>
        <v>Obesity</v>
      </c>
      <c r="J1264" t="str">
        <f t="shared" si="40"/>
        <v>Prediabetes</v>
      </c>
    </row>
    <row r="1265" spans="1:10" x14ac:dyDescent="0.35">
      <c r="A1265" t="s">
        <v>1265</v>
      </c>
      <c r="B1265">
        <v>40.375</v>
      </c>
      <c r="C1265">
        <v>6.25</v>
      </c>
      <c r="D1265" t="s">
        <v>2346</v>
      </c>
      <c r="E1265" t="s">
        <v>2344</v>
      </c>
      <c r="F1265" t="s">
        <v>2344</v>
      </c>
      <c r="G1265">
        <v>0</v>
      </c>
      <c r="H1265" t="s">
        <v>2344</v>
      </c>
      <c r="I1265" t="str">
        <f t="shared" si="39"/>
        <v>Obesity</v>
      </c>
      <c r="J1265" t="str">
        <f t="shared" si="40"/>
        <v>Prediabetes</v>
      </c>
    </row>
    <row r="1266" spans="1:10" x14ac:dyDescent="0.35">
      <c r="A1266" t="s">
        <v>1266</v>
      </c>
      <c r="B1266">
        <v>28.7</v>
      </c>
      <c r="C1266">
        <v>9.4700000000000006</v>
      </c>
      <c r="D1266" t="s">
        <v>2344</v>
      </c>
      <c r="E1266" t="s">
        <v>2344</v>
      </c>
      <c r="F1266" t="s">
        <v>2344</v>
      </c>
      <c r="G1266">
        <v>1</v>
      </c>
      <c r="H1266" t="s">
        <v>2344</v>
      </c>
      <c r="I1266" t="str">
        <f t="shared" si="39"/>
        <v>Over weight</v>
      </c>
      <c r="J1266" t="str">
        <f t="shared" si="40"/>
        <v>Diabetes</v>
      </c>
    </row>
    <row r="1267" spans="1:10" x14ac:dyDescent="0.35">
      <c r="A1267" t="s">
        <v>1267</v>
      </c>
      <c r="B1267">
        <v>26.63</v>
      </c>
      <c r="C1267">
        <v>5.7</v>
      </c>
      <c r="D1267" t="s">
        <v>2344</v>
      </c>
      <c r="E1267" t="s">
        <v>2344</v>
      </c>
      <c r="F1267" t="s">
        <v>2344</v>
      </c>
      <c r="G1267">
        <v>0</v>
      </c>
      <c r="H1267" t="s">
        <v>2344</v>
      </c>
      <c r="I1267" t="str">
        <f t="shared" si="39"/>
        <v>Over weight</v>
      </c>
      <c r="J1267" t="str">
        <f t="shared" si="40"/>
        <v>Prediabetes</v>
      </c>
    </row>
    <row r="1268" spans="1:10" x14ac:dyDescent="0.35">
      <c r="A1268" t="s">
        <v>1268</v>
      </c>
      <c r="B1268">
        <v>22.515000000000001</v>
      </c>
      <c r="C1268">
        <v>11.18</v>
      </c>
      <c r="D1268" t="s">
        <v>2344</v>
      </c>
      <c r="E1268" t="s">
        <v>2344</v>
      </c>
      <c r="F1268" t="s">
        <v>2344</v>
      </c>
      <c r="G1268">
        <v>1</v>
      </c>
      <c r="H1268" t="s">
        <v>2344</v>
      </c>
      <c r="I1268" t="str">
        <f t="shared" si="39"/>
        <v>Normal Weight</v>
      </c>
      <c r="J1268" t="str">
        <f t="shared" si="40"/>
        <v>Diabetes</v>
      </c>
    </row>
    <row r="1269" spans="1:10" x14ac:dyDescent="0.35">
      <c r="A1269" t="s">
        <v>1269</v>
      </c>
      <c r="B1269">
        <v>36.575000000000003</v>
      </c>
      <c r="C1269">
        <v>10.98</v>
      </c>
      <c r="D1269" t="s">
        <v>2344</v>
      </c>
      <c r="E1269" t="s">
        <v>2344</v>
      </c>
      <c r="F1269" t="s">
        <v>2344</v>
      </c>
      <c r="G1269">
        <v>0</v>
      </c>
      <c r="H1269" t="s">
        <v>2344</v>
      </c>
      <c r="I1269" t="str">
        <f t="shared" si="39"/>
        <v>Obesity</v>
      </c>
      <c r="J1269" t="str">
        <f t="shared" si="40"/>
        <v>Diabetes</v>
      </c>
    </row>
    <row r="1270" spans="1:10" x14ac:dyDescent="0.35">
      <c r="A1270" t="s">
        <v>1270</v>
      </c>
      <c r="B1270">
        <v>23.66</v>
      </c>
      <c r="C1270">
        <v>5.1100000000000003</v>
      </c>
      <c r="D1270" t="s">
        <v>2346</v>
      </c>
      <c r="E1270" t="s">
        <v>2344</v>
      </c>
      <c r="F1270" t="s">
        <v>2346</v>
      </c>
      <c r="G1270">
        <v>1</v>
      </c>
      <c r="H1270" t="s">
        <v>2344</v>
      </c>
      <c r="I1270" t="str">
        <f t="shared" si="39"/>
        <v>Normal Weight</v>
      </c>
      <c r="J1270" t="str">
        <f t="shared" si="40"/>
        <v>Normal</v>
      </c>
    </row>
    <row r="1271" spans="1:10" x14ac:dyDescent="0.35">
      <c r="A1271" t="s">
        <v>1271</v>
      </c>
      <c r="B1271">
        <v>18.62</v>
      </c>
      <c r="C1271">
        <v>10.24</v>
      </c>
      <c r="D1271" t="s">
        <v>2344</v>
      </c>
      <c r="E1271" t="s">
        <v>2344</v>
      </c>
      <c r="F1271" t="s">
        <v>2344</v>
      </c>
      <c r="G1271">
        <v>0</v>
      </c>
      <c r="H1271" t="s">
        <v>2344</v>
      </c>
      <c r="I1271" t="str">
        <f t="shared" si="39"/>
        <v>Normal Weight</v>
      </c>
      <c r="J1271" t="str">
        <f t="shared" si="40"/>
        <v>Diabetes</v>
      </c>
    </row>
    <row r="1272" spans="1:10" x14ac:dyDescent="0.35">
      <c r="A1272" t="s">
        <v>1272</v>
      </c>
      <c r="B1272">
        <v>19.190000000000001</v>
      </c>
      <c r="C1272">
        <v>7.71</v>
      </c>
      <c r="D1272" t="s">
        <v>2346</v>
      </c>
      <c r="E1272" t="s">
        <v>2344</v>
      </c>
      <c r="F1272" t="s">
        <v>2344</v>
      </c>
      <c r="G1272">
        <v>1</v>
      </c>
      <c r="H1272" t="s">
        <v>2344</v>
      </c>
      <c r="I1272" t="str">
        <f t="shared" si="39"/>
        <v>Normal Weight</v>
      </c>
      <c r="J1272" t="str">
        <f t="shared" si="40"/>
        <v>Diabetes</v>
      </c>
    </row>
    <row r="1273" spans="1:10" x14ac:dyDescent="0.35">
      <c r="A1273" t="s">
        <v>1273</v>
      </c>
      <c r="B1273">
        <v>27.5</v>
      </c>
      <c r="C1273">
        <v>6.03</v>
      </c>
      <c r="D1273" t="s">
        <v>2344</v>
      </c>
      <c r="E1273" t="s">
        <v>2344</v>
      </c>
      <c r="F1273" t="s">
        <v>2344</v>
      </c>
      <c r="G1273">
        <v>0</v>
      </c>
      <c r="H1273" t="s">
        <v>2344</v>
      </c>
      <c r="I1273" t="str">
        <f t="shared" si="39"/>
        <v>Over weight</v>
      </c>
      <c r="J1273" t="str">
        <f t="shared" si="40"/>
        <v>Prediabetes</v>
      </c>
    </row>
    <row r="1274" spans="1:10" x14ac:dyDescent="0.35">
      <c r="A1274" t="s">
        <v>1274</v>
      </c>
      <c r="B1274">
        <v>27.36</v>
      </c>
      <c r="C1274">
        <v>5.96</v>
      </c>
      <c r="D1274" t="s">
        <v>2344</v>
      </c>
      <c r="E1274" t="s">
        <v>2344</v>
      </c>
      <c r="F1274" t="s">
        <v>2346</v>
      </c>
      <c r="G1274">
        <v>1</v>
      </c>
      <c r="H1274" t="s">
        <v>2344</v>
      </c>
      <c r="I1274" t="str">
        <f t="shared" si="39"/>
        <v>Over weight</v>
      </c>
      <c r="J1274" t="str">
        <f t="shared" si="40"/>
        <v>Prediabetes</v>
      </c>
    </row>
    <row r="1275" spans="1:10" x14ac:dyDescent="0.35">
      <c r="A1275" t="s">
        <v>1275</v>
      </c>
      <c r="B1275">
        <v>20.350000000000001</v>
      </c>
      <c r="C1275">
        <v>4.16</v>
      </c>
      <c r="D1275" t="s">
        <v>2344</v>
      </c>
      <c r="E1275" t="s">
        <v>2344</v>
      </c>
      <c r="F1275" t="s">
        <v>2344</v>
      </c>
      <c r="G1275">
        <v>0</v>
      </c>
      <c r="H1275" t="s">
        <v>2344</v>
      </c>
      <c r="I1275" t="str">
        <f t="shared" si="39"/>
        <v>Normal Weight</v>
      </c>
      <c r="J1275" t="str">
        <f t="shared" si="40"/>
        <v>Normal</v>
      </c>
    </row>
    <row r="1276" spans="1:10" x14ac:dyDescent="0.35">
      <c r="A1276" t="s">
        <v>1276</v>
      </c>
      <c r="B1276">
        <v>24.035</v>
      </c>
      <c r="C1276">
        <v>6.11</v>
      </c>
      <c r="D1276" t="s">
        <v>2344</v>
      </c>
      <c r="E1276" t="s">
        <v>2344</v>
      </c>
      <c r="F1276" t="s">
        <v>2344</v>
      </c>
      <c r="G1276">
        <v>0</v>
      </c>
      <c r="H1276" t="s">
        <v>2344</v>
      </c>
      <c r="I1276" t="str">
        <f t="shared" si="39"/>
        <v>Normal Weight</v>
      </c>
      <c r="J1276" t="str">
        <f t="shared" si="40"/>
        <v>Prediabetes</v>
      </c>
    </row>
    <row r="1277" spans="1:10" x14ac:dyDescent="0.35">
      <c r="A1277" t="s">
        <v>1277</v>
      </c>
      <c r="B1277">
        <v>23.56</v>
      </c>
      <c r="C1277">
        <v>5.97</v>
      </c>
      <c r="D1277" t="s">
        <v>2344</v>
      </c>
      <c r="E1277" t="s">
        <v>2344</v>
      </c>
      <c r="F1277" t="s">
        <v>2344</v>
      </c>
      <c r="G1277">
        <v>0</v>
      </c>
      <c r="H1277" t="s">
        <v>2344</v>
      </c>
      <c r="I1277" t="str">
        <f t="shared" si="39"/>
        <v>Normal Weight</v>
      </c>
      <c r="J1277" t="str">
        <f t="shared" si="40"/>
        <v>Prediabetes</v>
      </c>
    </row>
    <row r="1278" spans="1:10" x14ac:dyDescent="0.35">
      <c r="A1278" t="s">
        <v>1278</v>
      </c>
      <c r="B1278">
        <v>27.17</v>
      </c>
      <c r="C1278">
        <v>10.81</v>
      </c>
      <c r="D1278" t="s">
        <v>2344</v>
      </c>
      <c r="E1278" t="s">
        <v>2344</v>
      </c>
      <c r="F1278" t="s">
        <v>2344</v>
      </c>
      <c r="G1278">
        <v>1</v>
      </c>
      <c r="H1278" t="s">
        <v>2344</v>
      </c>
      <c r="I1278" t="str">
        <f t="shared" si="39"/>
        <v>Over weight</v>
      </c>
      <c r="J1278" t="str">
        <f t="shared" si="40"/>
        <v>Diabetes</v>
      </c>
    </row>
    <row r="1279" spans="1:10" x14ac:dyDescent="0.35">
      <c r="A1279" t="s">
        <v>1279</v>
      </c>
      <c r="B1279">
        <v>34.32</v>
      </c>
      <c r="C1279">
        <v>5.7</v>
      </c>
      <c r="D1279" t="s">
        <v>2346</v>
      </c>
      <c r="E1279" t="s">
        <v>2344</v>
      </c>
      <c r="F1279" t="s">
        <v>2346</v>
      </c>
      <c r="G1279">
        <v>1</v>
      </c>
      <c r="H1279" t="s">
        <v>2344</v>
      </c>
      <c r="I1279" t="str">
        <f t="shared" si="39"/>
        <v>Obesity</v>
      </c>
      <c r="J1279" t="str">
        <f t="shared" si="40"/>
        <v>Prediabetes</v>
      </c>
    </row>
    <row r="1280" spans="1:10" x14ac:dyDescent="0.35">
      <c r="A1280" t="s">
        <v>1280</v>
      </c>
      <c r="B1280">
        <v>23.87</v>
      </c>
      <c r="C1280">
        <v>4.7699999999999996</v>
      </c>
      <c r="D1280" t="s">
        <v>2346</v>
      </c>
      <c r="E1280" t="s">
        <v>2344</v>
      </c>
      <c r="F1280" t="s">
        <v>2346</v>
      </c>
      <c r="G1280">
        <v>1</v>
      </c>
      <c r="H1280" t="s">
        <v>2344</v>
      </c>
      <c r="I1280" t="str">
        <f t="shared" si="39"/>
        <v>Normal Weight</v>
      </c>
      <c r="J1280" t="str">
        <f t="shared" si="40"/>
        <v>Normal</v>
      </c>
    </row>
    <row r="1281" spans="1:10" x14ac:dyDescent="0.35">
      <c r="A1281" t="s">
        <v>1281</v>
      </c>
      <c r="B1281">
        <v>30.15</v>
      </c>
      <c r="C1281">
        <v>4.25</v>
      </c>
      <c r="D1281" t="s">
        <v>2344</v>
      </c>
      <c r="E1281" t="s">
        <v>2344</v>
      </c>
      <c r="F1281" t="s">
        <v>2344</v>
      </c>
      <c r="G1281">
        <v>1</v>
      </c>
      <c r="H1281" t="s">
        <v>2344</v>
      </c>
      <c r="I1281" t="str">
        <f t="shared" si="39"/>
        <v>Obesity</v>
      </c>
      <c r="J1281" t="str">
        <f t="shared" si="40"/>
        <v>Normal</v>
      </c>
    </row>
    <row r="1282" spans="1:10" x14ac:dyDescent="0.35">
      <c r="A1282" t="s">
        <v>1282</v>
      </c>
      <c r="B1282">
        <v>26.36</v>
      </c>
      <c r="C1282">
        <v>5.52</v>
      </c>
      <c r="D1282" t="s">
        <v>2344</v>
      </c>
      <c r="E1282" t="s">
        <v>2344</v>
      </c>
      <c r="F1282" t="s">
        <v>2344</v>
      </c>
      <c r="G1282">
        <v>0</v>
      </c>
      <c r="H1282" t="s">
        <v>2344</v>
      </c>
      <c r="I1282" t="str">
        <f t="shared" si="39"/>
        <v>Over weight</v>
      </c>
      <c r="J1282" t="str">
        <f t="shared" si="40"/>
        <v>Normal</v>
      </c>
    </row>
    <row r="1283" spans="1:10" x14ac:dyDescent="0.35">
      <c r="A1283" t="s">
        <v>1283</v>
      </c>
      <c r="B1283">
        <v>45.32</v>
      </c>
      <c r="C1283">
        <v>6.53</v>
      </c>
      <c r="D1283" t="s">
        <v>2346</v>
      </c>
      <c r="E1283" t="s">
        <v>2344</v>
      </c>
      <c r="F1283" t="s">
        <v>2344</v>
      </c>
      <c r="G1283">
        <v>1</v>
      </c>
      <c r="H1283" t="s">
        <v>2344</v>
      </c>
      <c r="I1283" t="str">
        <f t="shared" ref="I1283:I1346" si="41">IF(B1283&lt;18.5,"Under Weight",IF(B1283&lt;25,"Normal Weight",IF(B1283&lt;30,"Over weight","Obesity")))</f>
        <v>Obesity</v>
      </c>
      <c r="J1283" t="str">
        <f t="shared" si="40"/>
        <v>Diabetes</v>
      </c>
    </row>
    <row r="1284" spans="1:10" x14ac:dyDescent="0.35">
      <c r="A1284" t="s">
        <v>1284</v>
      </c>
      <c r="B1284">
        <v>31.93</v>
      </c>
      <c r="C1284">
        <v>4.82</v>
      </c>
      <c r="D1284" t="s">
        <v>2346</v>
      </c>
      <c r="E1284" t="s">
        <v>2344</v>
      </c>
      <c r="F1284" t="s">
        <v>2344</v>
      </c>
      <c r="G1284">
        <v>1</v>
      </c>
      <c r="H1284" t="s">
        <v>2344</v>
      </c>
      <c r="I1284" t="str">
        <f t="shared" si="41"/>
        <v>Obesity</v>
      </c>
      <c r="J1284" t="str">
        <f t="shared" si="40"/>
        <v>Normal</v>
      </c>
    </row>
    <row r="1285" spans="1:10" x14ac:dyDescent="0.35">
      <c r="A1285" t="s">
        <v>1285</v>
      </c>
      <c r="B1285">
        <v>36</v>
      </c>
      <c r="C1285">
        <v>11.94</v>
      </c>
      <c r="D1285" t="s">
        <v>2346</v>
      </c>
      <c r="E1285" t="s">
        <v>2344</v>
      </c>
      <c r="F1285" t="s">
        <v>2344</v>
      </c>
      <c r="G1285">
        <v>1</v>
      </c>
      <c r="H1285" t="s">
        <v>2344</v>
      </c>
      <c r="I1285" t="str">
        <f t="shared" si="41"/>
        <v>Obesity</v>
      </c>
      <c r="J1285" t="str">
        <f t="shared" si="40"/>
        <v>Diabetes</v>
      </c>
    </row>
    <row r="1286" spans="1:10" x14ac:dyDescent="0.35">
      <c r="A1286" t="s">
        <v>1286</v>
      </c>
      <c r="B1286">
        <v>32</v>
      </c>
      <c r="C1286">
        <v>7.85</v>
      </c>
      <c r="D1286" t="s">
        <v>2346</v>
      </c>
      <c r="E1286" t="s">
        <v>2344</v>
      </c>
      <c r="F1286" t="s">
        <v>2344</v>
      </c>
      <c r="G1286">
        <v>1</v>
      </c>
      <c r="H1286" t="s">
        <v>2344</v>
      </c>
      <c r="I1286" t="str">
        <f t="shared" si="41"/>
        <v>Obesity</v>
      </c>
      <c r="J1286" t="str">
        <f t="shared" si="40"/>
        <v>Diabetes</v>
      </c>
    </row>
    <row r="1287" spans="1:10" x14ac:dyDescent="0.35">
      <c r="A1287" t="s">
        <v>1287</v>
      </c>
      <c r="B1287">
        <v>29.37</v>
      </c>
      <c r="C1287">
        <v>8.01</v>
      </c>
      <c r="D1287" t="s">
        <v>2346</v>
      </c>
      <c r="E1287" t="s">
        <v>2344</v>
      </c>
      <c r="F1287" t="s">
        <v>2344</v>
      </c>
      <c r="G1287">
        <v>1</v>
      </c>
      <c r="H1287" t="s">
        <v>2344</v>
      </c>
      <c r="I1287" t="str">
        <f t="shared" si="41"/>
        <v>Over weight</v>
      </c>
      <c r="J1287" t="str">
        <f t="shared" si="40"/>
        <v>Diabetes</v>
      </c>
    </row>
    <row r="1288" spans="1:10" x14ac:dyDescent="0.35">
      <c r="A1288" t="s">
        <v>1288</v>
      </c>
      <c r="B1288">
        <v>23.6</v>
      </c>
      <c r="C1288">
        <v>7.4</v>
      </c>
      <c r="D1288" t="s">
        <v>2346</v>
      </c>
      <c r="E1288" t="s">
        <v>2344</v>
      </c>
      <c r="F1288" t="s">
        <v>2344</v>
      </c>
      <c r="G1288">
        <v>1</v>
      </c>
      <c r="H1288" t="s">
        <v>2344</v>
      </c>
      <c r="I1288" t="str">
        <f t="shared" si="41"/>
        <v>Normal Weight</v>
      </c>
      <c r="J1288" t="str">
        <f t="shared" si="40"/>
        <v>Diabetes</v>
      </c>
    </row>
    <row r="1289" spans="1:10" x14ac:dyDescent="0.35">
      <c r="A1289" t="s">
        <v>1289</v>
      </c>
      <c r="B1289">
        <v>33.155000000000001</v>
      </c>
      <c r="C1289">
        <v>8.3800000000000008</v>
      </c>
      <c r="D1289" t="s">
        <v>2346</v>
      </c>
      <c r="E1289" t="s">
        <v>2344</v>
      </c>
      <c r="F1289" t="s">
        <v>2344</v>
      </c>
      <c r="G1289">
        <v>0</v>
      </c>
      <c r="H1289" t="s">
        <v>2344</v>
      </c>
      <c r="I1289" t="str">
        <f t="shared" si="41"/>
        <v>Obesity</v>
      </c>
      <c r="J1289" t="str">
        <f t="shared" si="40"/>
        <v>Diabetes</v>
      </c>
    </row>
    <row r="1290" spans="1:10" x14ac:dyDescent="0.35">
      <c r="A1290" t="s">
        <v>1290</v>
      </c>
      <c r="B1290">
        <v>24.32</v>
      </c>
      <c r="C1290">
        <v>11.56</v>
      </c>
      <c r="D1290" t="s">
        <v>2346</v>
      </c>
      <c r="E1290" t="s">
        <v>2344</v>
      </c>
      <c r="F1290" t="s">
        <v>2344</v>
      </c>
      <c r="G1290">
        <v>1</v>
      </c>
      <c r="H1290" t="s">
        <v>2344</v>
      </c>
      <c r="I1290" t="str">
        <f t="shared" si="41"/>
        <v>Normal Weight</v>
      </c>
      <c r="J1290" t="str">
        <f t="shared" si="40"/>
        <v>Diabetes</v>
      </c>
    </row>
    <row r="1291" spans="1:10" x14ac:dyDescent="0.35">
      <c r="A1291" t="s">
        <v>1291</v>
      </c>
      <c r="B1291">
        <v>36.299999999999997</v>
      </c>
      <c r="C1291">
        <v>4.6100000000000003</v>
      </c>
      <c r="D1291" t="s">
        <v>2344</v>
      </c>
      <c r="E1291" t="s">
        <v>2344</v>
      </c>
      <c r="F1291" t="s">
        <v>2344</v>
      </c>
      <c r="G1291">
        <v>0</v>
      </c>
      <c r="H1291" t="s">
        <v>2344</v>
      </c>
      <c r="I1291" t="str">
        <f t="shared" si="41"/>
        <v>Obesity</v>
      </c>
      <c r="J1291" t="str">
        <f t="shared" si="40"/>
        <v>Normal</v>
      </c>
    </row>
    <row r="1292" spans="1:10" x14ac:dyDescent="0.35">
      <c r="A1292" t="s">
        <v>1292</v>
      </c>
      <c r="B1292">
        <v>34.4</v>
      </c>
      <c r="C1292">
        <v>4.95</v>
      </c>
      <c r="D1292" t="s">
        <v>2344</v>
      </c>
      <c r="E1292" t="s">
        <v>2344</v>
      </c>
      <c r="F1292" t="s">
        <v>2346</v>
      </c>
      <c r="G1292">
        <v>1</v>
      </c>
      <c r="H1292" t="s">
        <v>2344</v>
      </c>
      <c r="I1292" t="str">
        <f t="shared" si="41"/>
        <v>Obesity</v>
      </c>
      <c r="J1292" t="str">
        <f t="shared" ref="J1292:J1355" si="42">IF(C1292&lt;5.7,"Normal",IF(C1292&lt;6.5,"Prediabetes","Diabetes"))</f>
        <v>Normal</v>
      </c>
    </row>
    <row r="1293" spans="1:10" x14ac:dyDescent="0.35">
      <c r="A1293" t="s">
        <v>1293</v>
      </c>
      <c r="B1293">
        <v>30.9</v>
      </c>
      <c r="C1293">
        <v>5.04</v>
      </c>
      <c r="D1293" t="s">
        <v>2344</v>
      </c>
      <c r="E1293" t="s">
        <v>2344</v>
      </c>
      <c r="F1293" t="s">
        <v>2344</v>
      </c>
      <c r="G1293">
        <v>0</v>
      </c>
      <c r="H1293" t="s">
        <v>2344</v>
      </c>
      <c r="I1293" t="str">
        <f t="shared" si="41"/>
        <v>Obesity</v>
      </c>
      <c r="J1293" t="str">
        <f t="shared" si="42"/>
        <v>Normal</v>
      </c>
    </row>
    <row r="1294" spans="1:10" x14ac:dyDescent="0.35">
      <c r="A1294" t="s">
        <v>1294</v>
      </c>
      <c r="B1294">
        <v>28.6</v>
      </c>
      <c r="C1294">
        <v>5.42</v>
      </c>
      <c r="D1294" t="s">
        <v>2344</v>
      </c>
      <c r="E1294" t="s">
        <v>2344</v>
      </c>
      <c r="F1294" t="s">
        <v>2344</v>
      </c>
      <c r="G1294">
        <v>0</v>
      </c>
      <c r="H1294" t="s">
        <v>2344</v>
      </c>
      <c r="I1294" t="str">
        <f t="shared" si="41"/>
        <v>Over weight</v>
      </c>
      <c r="J1294" t="str">
        <f t="shared" si="42"/>
        <v>Normal</v>
      </c>
    </row>
    <row r="1295" spans="1:10" x14ac:dyDescent="0.35">
      <c r="A1295" t="s">
        <v>1295</v>
      </c>
      <c r="B1295">
        <v>27.83</v>
      </c>
      <c r="C1295">
        <v>5.39</v>
      </c>
      <c r="D1295" t="s">
        <v>2344</v>
      </c>
      <c r="E1295" t="s">
        <v>2344</v>
      </c>
      <c r="F1295" t="s">
        <v>2344</v>
      </c>
      <c r="G1295">
        <v>0</v>
      </c>
      <c r="H1295" t="s">
        <v>2344</v>
      </c>
      <c r="I1295" t="str">
        <f t="shared" si="41"/>
        <v>Over weight</v>
      </c>
      <c r="J1295" t="str">
        <f t="shared" si="42"/>
        <v>Normal</v>
      </c>
    </row>
    <row r="1296" spans="1:10" x14ac:dyDescent="0.35">
      <c r="A1296" t="s">
        <v>1296</v>
      </c>
      <c r="B1296">
        <v>39.64</v>
      </c>
      <c r="C1296" t="s">
        <v>2346</v>
      </c>
      <c r="D1296" t="s">
        <v>2344</v>
      </c>
      <c r="E1296" t="s">
        <v>2344</v>
      </c>
      <c r="F1296" t="s">
        <v>2346</v>
      </c>
      <c r="G1296">
        <v>1</v>
      </c>
      <c r="H1296" t="s">
        <v>2344</v>
      </c>
      <c r="I1296" t="str">
        <f t="shared" si="41"/>
        <v>Obesity</v>
      </c>
      <c r="J1296" t="str">
        <f t="shared" si="42"/>
        <v>Diabetes</v>
      </c>
    </row>
    <row r="1297" spans="1:10" x14ac:dyDescent="0.35">
      <c r="A1297" t="s">
        <v>1297</v>
      </c>
      <c r="B1297">
        <v>38.479999999999997</v>
      </c>
      <c r="C1297">
        <v>6.02</v>
      </c>
      <c r="D1297" t="s">
        <v>2344</v>
      </c>
      <c r="E1297" t="s">
        <v>2344</v>
      </c>
      <c r="F1297" t="s">
        <v>2344</v>
      </c>
      <c r="G1297">
        <v>1</v>
      </c>
      <c r="H1297" t="s">
        <v>2344</v>
      </c>
      <c r="I1297" t="str">
        <f t="shared" si="41"/>
        <v>Obesity</v>
      </c>
      <c r="J1297" t="str">
        <f t="shared" si="42"/>
        <v>Prediabetes</v>
      </c>
    </row>
    <row r="1298" spans="1:10" x14ac:dyDescent="0.35">
      <c r="A1298" t="s">
        <v>1298</v>
      </c>
      <c r="B1298">
        <v>36.200000000000003</v>
      </c>
      <c r="C1298">
        <v>4.62</v>
      </c>
      <c r="D1298" t="s">
        <v>2344</v>
      </c>
      <c r="E1298" t="s">
        <v>2344</v>
      </c>
      <c r="F1298" t="s">
        <v>2344</v>
      </c>
      <c r="G1298">
        <v>1</v>
      </c>
      <c r="H1298" t="s">
        <v>2344</v>
      </c>
      <c r="I1298" t="str">
        <f t="shared" si="41"/>
        <v>Obesity</v>
      </c>
      <c r="J1298" t="str">
        <f t="shared" si="42"/>
        <v>Normal</v>
      </c>
    </row>
    <row r="1299" spans="1:10" x14ac:dyDescent="0.35">
      <c r="A1299" t="s">
        <v>1299</v>
      </c>
      <c r="B1299">
        <v>27.13</v>
      </c>
      <c r="C1299">
        <v>5.59</v>
      </c>
      <c r="D1299" t="s">
        <v>2344</v>
      </c>
      <c r="E1299" t="s">
        <v>2344</v>
      </c>
      <c r="F1299" t="s">
        <v>2344</v>
      </c>
      <c r="G1299">
        <v>1</v>
      </c>
      <c r="H1299" t="s">
        <v>2344</v>
      </c>
      <c r="I1299" t="str">
        <f t="shared" si="41"/>
        <v>Over weight</v>
      </c>
      <c r="J1299" t="str">
        <f t="shared" si="42"/>
        <v>Normal</v>
      </c>
    </row>
    <row r="1300" spans="1:10" x14ac:dyDescent="0.35">
      <c r="A1300" t="s">
        <v>1300</v>
      </c>
      <c r="B1300">
        <v>20.75</v>
      </c>
      <c r="C1300">
        <v>5.18</v>
      </c>
      <c r="D1300" t="s">
        <v>2346</v>
      </c>
      <c r="E1300" t="s">
        <v>2344</v>
      </c>
      <c r="F1300" t="s">
        <v>2344</v>
      </c>
      <c r="G1300">
        <v>1</v>
      </c>
      <c r="H1300" t="s">
        <v>2344</v>
      </c>
      <c r="I1300" t="str">
        <f t="shared" si="41"/>
        <v>Normal Weight</v>
      </c>
      <c r="J1300" t="str">
        <f t="shared" si="42"/>
        <v>Normal</v>
      </c>
    </row>
    <row r="1301" spans="1:10" x14ac:dyDescent="0.35">
      <c r="A1301" t="s">
        <v>1301</v>
      </c>
      <c r="B1301">
        <v>26.6</v>
      </c>
      <c r="C1301">
        <v>6.29</v>
      </c>
      <c r="D1301" t="s">
        <v>2344</v>
      </c>
      <c r="E1301" t="s">
        <v>2344</v>
      </c>
      <c r="F1301" t="s">
        <v>2344</v>
      </c>
      <c r="G1301">
        <v>1</v>
      </c>
      <c r="H1301" t="s">
        <v>2344</v>
      </c>
      <c r="I1301" t="str">
        <f t="shared" si="41"/>
        <v>Over weight</v>
      </c>
      <c r="J1301" t="str">
        <f t="shared" si="42"/>
        <v>Prediabetes</v>
      </c>
    </row>
    <row r="1302" spans="1:10" x14ac:dyDescent="0.35">
      <c r="A1302" t="s">
        <v>1302</v>
      </c>
      <c r="B1302">
        <v>25.3</v>
      </c>
      <c r="C1302">
        <v>4.49</v>
      </c>
      <c r="D1302" t="s">
        <v>2344</v>
      </c>
      <c r="E1302" t="s">
        <v>2344</v>
      </c>
      <c r="F1302" t="s">
        <v>2344</v>
      </c>
      <c r="G1302">
        <v>1</v>
      </c>
      <c r="H1302" t="s">
        <v>2344</v>
      </c>
      <c r="I1302" t="str">
        <f t="shared" si="41"/>
        <v>Over weight</v>
      </c>
      <c r="J1302" t="str">
        <f t="shared" si="42"/>
        <v>Normal</v>
      </c>
    </row>
    <row r="1303" spans="1:10" x14ac:dyDescent="0.35">
      <c r="A1303" t="s">
        <v>1303</v>
      </c>
      <c r="B1303">
        <v>18.84</v>
      </c>
      <c r="C1303">
        <v>11.82</v>
      </c>
      <c r="D1303" t="s">
        <v>2346</v>
      </c>
      <c r="E1303" t="s">
        <v>2344</v>
      </c>
      <c r="F1303" t="s">
        <v>2346</v>
      </c>
      <c r="G1303">
        <v>1</v>
      </c>
      <c r="H1303" t="s">
        <v>2344</v>
      </c>
      <c r="I1303" t="str">
        <f t="shared" si="41"/>
        <v>Normal Weight</v>
      </c>
      <c r="J1303" t="str">
        <f t="shared" si="42"/>
        <v>Diabetes</v>
      </c>
    </row>
    <row r="1304" spans="1:10" x14ac:dyDescent="0.35">
      <c r="A1304" t="s">
        <v>1304</v>
      </c>
      <c r="B1304">
        <v>19.57</v>
      </c>
      <c r="C1304">
        <v>7.41</v>
      </c>
      <c r="D1304" t="s">
        <v>2346</v>
      </c>
      <c r="E1304" t="s">
        <v>2344</v>
      </c>
      <c r="F1304" t="s">
        <v>2344</v>
      </c>
      <c r="G1304">
        <v>1</v>
      </c>
      <c r="H1304" t="s">
        <v>2344</v>
      </c>
      <c r="I1304" t="str">
        <f t="shared" si="41"/>
        <v>Normal Weight</v>
      </c>
      <c r="J1304" t="str">
        <f t="shared" si="42"/>
        <v>Diabetes</v>
      </c>
    </row>
    <row r="1305" spans="1:10" x14ac:dyDescent="0.35">
      <c r="A1305" t="s">
        <v>1305</v>
      </c>
      <c r="B1305">
        <v>30.495000000000001</v>
      </c>
      <c r="C1305">
        <v>5.97</v>
      </c>
      <c r="D1305" t="s">
        <v>2344</v>
      </c>
      <c r="E1305" t="s">
        <v>2344</v>
      </c>
      <c r="F1305" t="s">
        <v>2344</v>
      </c>
      <c r="G1305">
        <v>0</v>
      </c>
      <c r="H1305" t="s">
        <v>2344</v>
      </c>
      <c r="I1305" t="str">
        <f t="shared" si="41"/>
        <v>Obesity</v>
      </c>
      <c r="J1305" t="str">
        <f t="shared" si="42"/>
        <v>Prediabetes</v>
      </c>
    </row>
    <row r="1306" spans="1:10" x14ac:dyDescent="0.35">
      <c r="A1306" t="s">
        <v>1306</v>
      </c>
      <c r="B1306">
        <v>30.114999999999998</v>
      </c>
      <c r="C1306">
        <v>5.74</v>
      </c>
      <c r="D1306" t="s">
        <v>2344</v>
      </c>
      <c r="E1306" t="s">
        <v>2344</v>
      </c>
      <c r="F1306" t="s">
        <v>2346</v>
      </c>
      <c r="G1306">
        <v>1</v>
      </c>
      <c r="H1306" t="s">
        <v>2344</v>
      </c>
      <c r="I1306" t="str">
        <f t="shared" si="41"/>
        <v>Obesity</v>
      </c>
      <c r="J1306" t="str">
        <f t="shared" si="42"/>
        <v>Prediabetes</v>
      </c>
    </row>
    <row r="1307" spans="1:10" x14ac:dyDescent="0.35">
      <c r="A1307" t="s">
        <v>1307</v>
      </c>
      <c r="B1307">
        <v>24.78</v>
      </c>
      <c r="C1307">
        <v>9.85</v>
      </c>
      <c r="D1307" t="s">
        <v>2344</v>
      </c>
      <c r="E1307" t="s">
        <v>2344</v>
      </c>
      <c r="F1307" t="s">
        <v>2344</v>
      </c>
      <c r="G1307">
        <v>0</v>
      </c>
      <c r="H1307" t="s">
        <v>2344</v>
      </c>
      <c r="I1307" t="str">
        <f t="shared" si="41"/>
        <v>Normal Weight</v>
      </c>
      <c r="J1307" t="str">
        <f t="shared" si="42"/>
        <v>Diabetes</v>
      </c>
    </row>
    <row r="1308" spans="1:10" x14ac:dyDescent="0.35">
      <c r="A1308" t="s">
        <v>1308</v>
      </c>
      <c r="B1308">
        <v>24.77</v>
      </c>
      <c r="C1308">
        <v>7.59</v>
      </c>
      <c r="D1308" t="s">
        <v>2344</v>
      </c>
      <c r="E1308" t="s">
        <v>2344</v>
      </c>
      <c r="F1308" t="s">
        <v>2344</v>
      </c>
      <c r="G1308">
        <v>0</v>
      </c>
      <c r="H1308" t="s">
        <v>2344</v>
      </c>
      <c r="I1308" t="str">
        <f t="shared" si="41"/>
        <v>Normal Weight</v>
      </c>
      <c r="J1308" t="str">
        <f t="shared" si="42"/>
        <v>Diabetes</v>
      </c>
    </row>
    <row r="1309" spans="1:10" x14ac:dyDescent="0.35">
      <c r="A1309" t="s">
        <v>1309</v>
      </c>
      <c r="B1309">
        <v>16.579999999999998</v>
      </c>
      <c r="C1309">
        <v>6.98</v>
      </c>
      <c r="D1309" t="s">
        <v>2346</v>
      </c>
      <c r="E1309" t="s">
        <v>2344</v>
      </c>
      <c r="F1309" t="s">
        <v>2346</v>
      </c>
      <c r="G1309">
        <v>1</v>
      </c>
      <c r="H1309" t="s">
        <v>2344</v>
      </c>
      <c r="I1309" t="str">
        <f t="shared" si="41"/>
        <v>Under Weight</v>
      </c>
      <c r="J1309" t="str">
        <f t="shared" si="42"/>
        <v>Diabetes</v>
      </c>
    </row>
    <row r="1310" spans="1:10" x14ac:dyDescent="0.35">
      <c r="A1310" t="s">
        <v>1310</v>
      </c>
      <c r="B1310">
        <v>38.17</v>
      </c>
      <c r="C1310">
        <v>4.7300000000000004</v>
      </c>
      <c r="D1310" t="s">
        <v>2346</v>
      </c>
      <c r="E1310" t="s">
        <v>2344</v>
      </c>
      <c r="F1310" t="s">
        <v>2344</v>
      </c>
      <c r="G1310">
        <v>0</v>
      </c>
      <c r="H1310" t="s">
        <v>2344</v>
      </c>
      <c r="I1310" t="str">
        <f t="shared" si="41"/>
        <v>Obesity</v>
      </c>
      <c r="J1310" t="str">
        <f t="shared" si="42"/>
        <v>Normal</v>
      </c>
    </row>
    <row r="1311" spans="1:10" x14ac:dyDescent="0.35">
      <c r="A1311" t="s">
        <v>1311</v>
      </c>
      <c r="B1311">
        <v>39.424999999999997</v>
      </c>
      <c r="C1311">
        <v>4.76</v>
      </c>
      <c r="D1311" t="s">
        <v>2346</v>
      </c>
      <c r="E1311" t="s">
        <v>2344</v>
      </c>
      <c r="F1311" t="s">
        <v>2344</v>
      </c>
      <c r="G1311">
        <v>0</v>
      </c>
      <c r="H1311" t="s">
        <v>2344</v>
      </c>
      <c r="I1311" t="str">
        <f t="shared" si="41"/>
        <v>Obesity</v>
      </c>
      <c r="J1311" t="str">
        <f t="shared" si="42"/>
        <v>Normal</v>
      </c>
    </row>
    <row r="1312" spans="1:10" x14ac:dyDescent="0.35">
      <c r="A1312" t="s">
        <v>1312</v>
      </c>
      <c r="B1312">
        <v>33.44</v>
      </c>
      <c r="C1312">
        <v>6.24</v>
      </c>
      <c r="D1312" t="s">
        <v>2346</v>
      </c>
      <c r="E1312" t="s">
        <v>2344</v>
      </c>
      <c r="F1312" t="s">
        <v>2344</v>
      </c>
      <c r="G1312">
        <v>0</v>
      </c>
      <c r="H1312" t="s">
        <v>2344</v>
      </c>
      <c r="I1312" t="str">
        <f t="shared" si="41"/>
        <v>Obesity</v>
      </c>
      <c r="J1312" t="str">
        <f t="shared" si="42"/>
        <v>Prediabetes</v>
      </c>
    </row>
    <row r="1313" spans="1:10" x14ac:dyDescent="0.35">
      <c r="A1313" t="s">
        <v>1313</v>
      </c>
      <c r="B1313">
        <v>33.344999999999999</v>
      </c>
      <c r="C1313">
        <v>5.44</v>
      </c>
      <c r="D1313" t="s">
        <v>2346</v>
      </c>
      <c r="E1313" t="s">
        <v>2344</v>
      </c>
      <c r="F1313" t="s">
        <v>2344</v>
      </c>
      <c r="G1313">
        <v>0</v>
      </c>
      <c r="H1313" t="s">
        <v>2344</v>
      </c>
      <c r="I1313" t="str">
        <f t="shared" si="41"/>
        <v>Obesity</v>
      </c>
      <c r="J1313" t="str">
        <f t="shared" si="42"/>
        <v>Normal</v>
      </c>
    </row>
    <row r="1314" spans="1:10" x14ac:dyDescent="0.35">
      <c r="A1314" t="s">
        <v>1314</v>
      </c>
      <c r="B1314">
        <v>38.79</v>
      </c>
      <c r="C1314">
        <v>5.08</v>
      </c>
      <c r="D1314" t="s">
        <v>2344</v>
      </c>
      <c r="E1314" t="s">
        <v>2344</v>
      </c>
      <c r="F1314" t="s">
        <v>2346</v>
      </c>
      <c r="G1314">
        <v>1</v>
      </c>
      <c r="H1314" t="s">
        <v>2344</v>
      </c>
      <c r="I1314" t="str">
        <f t="shared" si="41"/>
        <v>Obesity</v>
      </c>
      <c r="J1314" t="str">
        <f t="shared" si="42"/>
        <v>Normal</v>
      </c>
    </row>
    <row r="1315" spans="1:10" x14ac:dyDescent="0.35">
      <c r="A1315" t="s">
        <v>1315</v>
      </c>
      <c r="B1315">
        <v>30.684999999999999</v>
      </c>
      <c r="C1315">
        <v>4.87</v>
      </c>
      <c r="D1315" t="s">
        <v>2344</v>
      </c>
      <c r="E1315" t="s">
        <v>2344</v>
      </c>
      <c r="F1315" t="s">
        <v>2346</v>
      </c>
      <c r="G1315">
        <v>1</v>
      </c>
      <c r="H1315" t="s">
        <v>2344</v>
      </c>
      <c r="I1315" t="str">
        <f t="shared" si="41"/>
        <v>Obesity</v>
      </c>
      <c r="J1315" t="str">
        <f t="shared" si="42"/>
        <v>Normal</v>
      </c>
    </row>
    <row r="1316" spans="1:10" x14ac:dyDescent="0.35">
      <c r="A1316" t="s">
        <v>1316</v>
      </c>
      <c r="B1316">
        <v>22.135000000000002</v>
      </c>
      <c r="C1316">
        <v>8.17</v>
      </c>
      <c r="D1316" t="s">
        <v>2344</v>
      </c>
      <c r="E1316" t="s">
        <v>2344</v>
      </c>
      <c r="F1316" t="s">
        <v>2344</v>
      </c>
      <c r="G1316">
        <v>0</v>
      </c>
      <c r="H1316" t="s">
        <v>2344</v>
      </c>
      <c r="I1316" t="str">
        <f t="shared" si="41"/>
        <v>Normal Weight</v>
      </c>
      <c r="J1316" t="str">
        <f t="shared" si="42"/>
        <v>Diabetes</v>
      </c>
    </row>
    <row r="1317" spans="1:10" x14ac:dyDescent="0.35">
      <c r="A1317" t="s">
        <v>1317</v>
      </c>
      <c r="B1317">
        <v>33.33</v>
      </c>
      <c r="C1317">
        <v>7.61</v>
      </c>
      <c r="D1317" t="s">
        <v>2344</v>
      </c>
      <c r="E1317" t="s">
        <v>2344</v>
      </c>
      <c r="F1317" t="s">
        <v>2344</v>
      </c>
      <c r="G1317">
        <v>0</v>
      </c>
      <c r="H1317" t="s">
        <v>2344</v>
      </c>
      <c r="I1317" t="str">
        <f t="shared" si="41"/>
        <v>Obesity</v>
      </c>
      <c r="J1317" t="str">
        <f t="shared" si="42"/>
        <v>Diabetes</v>
      </c>
    </row>
    <row r="1318" spans="1:10" x14ac:dyDescent="0.35">
      <c r="A1318" t="s">
        <v>1318</v>
      </c>
      <c r="B1318">
        <v>31.13</v>
      </c>
      <c r="C1318">
        <v>10.1</v>
      </c>
      <c r="D1318" t="s">
        <v>2344</v>
      </c>
      <c r="E1318" t="s">
        <v>2344</v>
      </c>
      <c r="F1318" t="s">
        <v>2344</v>
      </c>
      <c r="G1318">
        <v>0</v>
      </c>
      <c r="H1318" t="s">
        <v>2344</v>
      </c>
      <c r="I1318" t="str">
        <f t="shared" si="41"/>
        <v>Obesity</v>
      </c>
      <c r="J1318" t="str">
        <f t="shared" si="42"/>
        <v>Diabetes</v>
      </c>
    </row>
    <row r="1319" spans="1:10" x14ac:dyDescent="0.35">
      <c r="A1319" t="s">
        <v>1319</v>
      </c>
      <c r="B1319">
        <v>28.9</v>
      </c>
      <c r="C1319">
        <v>11.24</v>
      </c>
      <c r="D1319" t="s">
        <v>2344</v>
      </c>
      <c r="E1319" t="s">
        <v>2344</v>
      </c>
      <c r="F1319" t="s">
        <v>2344</v>
      </c>
      <c r="G1319">
        <v>0</v>
      </c>
      <c r="H1319" t="s">
        <v>2344</v>
      </c>
      <c r="I1319" t="str">
        <f t="shared" si="41"/>
        <v>Over weight</v>
      </c>
      <c r="J1319" t="str">
        <f t="shared" si="42"/>
        <v>Diabetes</v>
      </c>
    </row>
    <row r="1320" spans="1:10" x14ac:dyDescent="0.35">
      <c r="A1320" t="s">
        <v>1320</v>
      </c>
      <c r="B1320">
        <v>43.31</v>
      </c>
      <c r="C1320">
        <v>6.1</v>
      </c>
      <c r="D1320" t="s">
        <v>2346</v>
      </c>
      <c r="E1320" t="s">
        <v>2345</v>
      </c>
      <c r="F1320" t="s">
        <v>2344</v>
      </c>
      <c r="G1320">
        <v>1</v>
      </c>
      <c r="H1320" t="s">
        <v>2344</v>
      </c>
      <c r="I1320" t="str">
        <f t="shared" si="41"/>
        <v>Obesity</v>
      </c>
      <c r="J1320" t="str">
        <f t="shared" si="42"/>
        <v>Prediabetes</v>
      </c>
    </row>
    <row r="1321" spans="1:10" x14ac:dyDescent="0.35">
      <c r="A1321" t="s">
        <v>1321</v>
      </c>
      <c r="B1321">
        <v>22.8</v>
      </c>
      <c r="C1321">
        <v>6.98</v>
      </c>
      <c r="D1321" t="s">
        <v>2344</v>
      </c>
      <c r="E1321" t="s">
        <v>2344</v>
      </c>
      <c r="F1321" t="s">
        <v>2344</v>
      </c>
      <c r="G1321">
        <v>0</v>
      </c>
      <c r="H1321" t="s">
        <v>2344</v>
      </c>
      <c r="I1321" t="str">
        <f t="shared" si="41"/>
        <v>Normal Weight</v>
      </c>
      <c r="J1321" t="str">
        <f t="shared" si="42"/>
        <v>Diabetes</v>
      </c>
    </row>
    <row r="1322" spans="1:10" x14ac:dyDescent="0.35">
      <c r="A1322" t="s">
        <v>1322</v>
      </c>
      <c r="B1322">
        <v>19.09</v>
      </c>
      <c r="C1322" t="s">
        <v>2346</v>
      </c>
      <c r="D1322" t="s">
        <v>2346</v>
      </c>
      <c r="E1322" t="s">
        <v>2344</v>
      </c>
      <c r="F1322" t="s">
        <v>2344</v>
      </c>
      <c r="G1322">
        <v>1</v>
      </c>
      <c r="H1322" t="s">
        <v>2344</v>
      </c>
      <c r="I1322" t="str">
        <f t="shared" si="41"/>
        <v>Normal Weight</v>
      </c>
      <c r="J1322" t="str">
        <f t="shared" si="42"/>
        <v>Diabetes</v>
      </c>
    </row>
    <row r="1323" spans="1:10" x14ac:dyDescent="0.35">
      <c r="A1323" t="s">
        <v>1323</v>
      </c>
      <c r="B1323">
        <v>23.37</v>
      </c>
      <c r="C1323">
        <v>4.2300000000000004</v>
      </c>
      <c r="D1323" t="s">
        <v>2344</v>
      </c>
      <c r="E1323" t="s">
        <v>2344</v>
      </c>
      <c r="F1323" t="s">
        <v>2344</v>
      </c>
      <c r="G1323">
        <v>0</v>
      </c>
      <c r="H1323" t="s">
        <v>2344</v>
      </c>
      <c r="I1323" t="str">
        <f t="shared" si="41"/>
        <v>Normal Weight</v>
      </c>
      <c r="J1323" t="str">
        <f t="shared" si="42"/>
        <v>Normal</v>
      </c>
    </row>
    <row r="1324" spans="1:10" x14ac:dyDescent="0.35">
      <c r="A1324" t="s">
        <v>1324</v>
      </c>
      <c r="B1324">
        <v>33.44</v>
      </c>
      <c r="C1324">
        <v>4.72</v>
      </c>
      <c r="D1324" t="s">
        <v>2346</v>
      </c>
      <c r="E1324" t="s">
        <v>2344</v>
      </c>
      <c r="F1324" t="s">
        <v>2344</v>
      </c>
      <c r="G1324">
        <v>0</v>
      </c>
      <c r="H1324" t="s">
        <v>2344</v>
      </c>
      <c r="I1324" t="str">
        <f t="shared" si="41"/>
        <v>Obesity</v>
      </c>
      <c r="J1324" t="str">
        <f t="shared" si="42"/>
        <v>Normal</v>
      </c>
    </row>
    <row r="1325" spans="1:10" x14ac:dyDescent="0.35">
      <c r="A1325" t="s">
        <v>1325</v>
      </c>
      <c r="B1325">
        <v>28.05</v>
      </c>
      <c r="C1325">
        <v>5.63</v>
      </c>
      <c r="D1325" t="s">
        <v>2346</v>
      </c>
      <c r="E1325" t="s">
        <v>2344</v>
      </c>
      <c r="F1325" t="s">
        <v>2344</v>
      </c>
      <c r="G1325">
        <v>0</v>
      </c>
      <c r="H1325" t="s">
        <v>2344</v>
      </c>
      <c r="I1325" t="str">
        <f t="shared" si="41"/>
        <v>Over weight</v>
      </c>
      <c r="J1325" t="str">
        <f t="shared" si="42"/>
        <v>Normal</v>
      </c>
    </row>
    <row r="1326" spans="1:10" x14ac:dyDescent="0.35">
      <c r="A1326" t="s">
        <v>1326</v>
      </c>
      <c r="B1326">
        <v>27.72</v>
      </c>
      <c r="C1326">
        <v>5.83</v>
      </c>
      <c r="D1326" t="s">
        <v>2346</v>
      </c>
      <c r="E1326" t="s">
        <v>2344</v>
      </c>
      <c r="F1326" t="s">
        <v>2344</v>
      </c>
      <c r="G1326">
        <v>0</v>
      </c>
      <c r="H1326" t="s">
        <v>2344</v>
      </c>
      <c r="I1326" t="str">
        <f t="shared" si="41"/>
        <v>Over weight</v>
      </c>
      <c r="J1326" t="str">
        <f t="shared" si="42"/>
        <v>Prediabetes</v>
      </c>
    </row>
    <row r="1327" spans="1:10" x14ac:dyDescent="0.35">
      <c r="A1327" t="s">
        <v>1327</v>
      </c>
      <c r="B1327">
        <v>29.81</v>
      </c>
      <c r="C1327">
        <v>9.23</v>
      </c>
      <c r="D1327" t="s">
        <v>2344</v>
      </c>
      <c r="E1327" t="s">
        <v>2344</v>
      </c>
      <c r="F1327" t="s">
        <v>2344</v>
      </c>
      <c r="G1327">
        <v>0</v>
      </c>
      <c r="H1327" t="s">
        <v>2344</v>
      </c>
      <c r="I1327" t="str">
        <f t="shared" si="41"/>
        <v>Over weight</v>
      </c>
      <c r="J1327" t="str">
        <f t="shared" si="42"/>
        <v>Diabetes</v>
      </c>
    </row>
    <row r="1328" spans="1:10" x14ac:dyDescent="0.35">
      <c r="A1328" t="s">
        <v>1328</v>
      </c>
      <c r="B1328">
        <v>23.98</v>
      </c>
      <c r="C1328">
        <v>9.89</v>
      </c>
      <c r="D1328" t="s">
        <v>2344</v>
      </c>
      <c r="E1328" t="s">
        <v>2344</v>
      </c>
      <c r="F1328" t="s">
        <v>2344</v>
      </c>
      <c r="G1328">
        <v>0</v>
      </c>
      <c r="H1328" t="s">
        <v>2344</v>
      </c>
      <c r="I1328" t="str">
        <f t="shared" si="41"/>
        <v>Normal Weight</v>
      </c>
      <c r="J1328" t="str">
        <f t="shared" si="42"/>
        <v>Diabetes</v>
      </c>
    </row>
    <row r="1329" spans="1:10" x14ac:dyDescent="0.35">
      <c r="A1329" t="s">
        <v>1329</v>
      </c>
      <c r="B1329">
        <v>17.34</v>
      </c>
      <c r="C1329">
        <v>12</v>
      </c>
      <c r="D1329" t="s">
        <v>2344</v>
      </c>
      <c r="E1329" t="s">
        <v>2344</v>
      </c>
      <c r="F1329" t="s">
        <v>2344</v>
      </c>
      <c r="G1329">
        <v>0</v>
      </c>
      <c r="H1329" t="s">
        <v>2344</v>
      </c>
      <c r="I1329" t="str">
        <f t="shared" si="41"/>
        <v>Under Weight</v>
      </c>
      <c r="J1329" t="str">
        <f t="shared" si="42"/>
        <v>Diabetes</v>
      </c>
    </row>
    <row r="1330" spans="1:10" x14ac:dyDescent="0.35">
      <c r="A1330" t="s">
        <v>1330</v>
      </c>
      <c r="B1330">
        <v>40.39</v>
      </c>
      <c r="C1330">
        <v>4.24</v>
      </c>
      <c r="D1330" t="s">
        <v>2346</v>
      </c>
      <c r="E1330" t="s">
        <v>2344</v>
      </c>
      <c r="F1330" t="s">
        <v>2346</v>
      </c>
      <c r="G1330">
        <v>1</v>
      </c>
      <c r="H1330" t="s">
        <v>2344</v>
      </c>
      <c r="I1330" t="str">
        <f t="shared" si="41"/>
        <v>Obesity</v>
      </c>
      <c r="J1330" t="str">
        <f t="shared" si="42"/>
        <v>Normal</v>
      </c>
    </row>
    <row r="1331" spans="1:10" x14ac:dyDescent="0.35">
      <c r="A1331" t="s">
        <v>1331</v>
      </c>
      <c r="B1331">
        <v>25.96</v>
      </c>
      <c r="C1331">
        <v>4.68</v>
      </c>
      <c r="D1331" t="s">
        <v>2346</v>
      </c>
      <c r="E1331" t="s">
        <v>2344</v>
      </c>
      <c r="F1331" t="s">
        <v>2346</v>
      </c>
      <c r="G1331">
        <v>1</v>
      </c>
      <c r="H1331" t="s">
        <v>2344</v>
      </c>
      <c r="I1331" t="str">
        <f t="shared" si="41"/>
        <v>Over weight</v>
      </c>
      <c r="J1331" t="str">
        <f t="shared" si="42"/>
        <v>Normal</v>
      </c>
    </row>
    <row r="1332" spans="1:10" x14ac:dyDescent="0.35">
      <c r="A1332" t="s">
        <v>1332</v>
      </c>
      <c r="B1332">
        <v>17.68</v>
      </c>
      <c r="C1332">
        <v>8.57</v>
      </c>
      <c r="D1332" t="s">
        <v>2346</v>
      </c>
      <c r="E1332" t="s">
        <v>2344</v>
      </c>
      <c r="F1332" t="s">
        <v>2346</v>
      </c>
      <c r="G1332">
        <v>1</v>
      </c>
      <c r="H1332" t="s">
        <v>2344</v>
      </c>
      <c r="I1332" t="str">
        <f t="shared" si="41"/>
        <v>Under Weight</v>
      </c>
      <c r="J1332" t="str">
        <f t="shared" si="42"/>
        <v>Diabetes</v>
      </c>
    </row>
    <row r="1333" spans="1:10" x14ac:dyDescent="0.35">
      <c r="A1333" t="s">
        <v>1333</v>
      </c>
      <c r="B1333">
        <v>30.875</v>
      </c>
      <c r="C1333">
        <v>4.0999999999999996</v>
      </c>
      <c r="D1333" t="s">
        <v>2344</v>
      </c>
      <c r="E1333" t="s">
        <v>2344</v>
      </c>
      <c r="F1333" t="s">
        <v>2344</v>
      </c>
      <c r="G1333">
        <v>0</v>
      </c>
      <c r="H1333" t="s">
        <v>2344</v>
      </c>
      <c r="I1333" t="str">
        <f t="shared" si="41"/>
        <v>Obesity</v>
      </c>
      <c r="J1333" t="str">
        <f t="shared" si="42"/>
        <v>Normal</v>
      </c>
    </row>
    <row r="1334" spans="1:10" x14ac:dyDescent="0.35">
      <c r="A1334" t="s">
        <v>1334</v>
      </c>
      <c r="B1334">
        <v>30.81</v>
      </c>
      <c r="C1334">
        <v>4.49</v>
      </c>
      <c r="D1334" t="s">
        <v>2344</v>
      </c>
      <c r="E1334" t="s">
        <v>2344</v>
      </c>
      <c r="F1334" t="s">
        <v>2344</v>
      </c>
      <c r="G1334">
        <v>0</v>
      </c>
      <c r="H1334" t="s">
        <v>2344</v>
      </c>
      <c r="I1334" t="str">
        <f t="shared" si="41"/>
        <v>Obesity</v>
      </c>
      <c r="J1334" t="str">
        <f t="shared" si="42"/>
        <v>Normal</v>
      </c>
    </row>
    <row r="1335" spans="1:10" x14ac:dyDescent="0.35">
      <c r="A1335" t="s">
        <v>1335</v>
      </c>
      <c r="B1335">
        <v>36.85</v>
      </c>
      <c r="C1335">
        <v>8.8000000000000007</v>
      </c>
      <c r="D1335" t="s">
        <v>2344</v>
      </c>
      <c r="E1335" t="s">
        <v>2344</v>
      </c>
      <c r="F1335" t="s">
        <v>2344</v>
      </c>
      <c r="G1335">
        <v>1</v>
      </c>
      <c r="H1335" t="s">
        <v>2344</v>
      </c>
      <c r="I1335" t="str">
        <f t="shared" si="41"/>
        <v>Obesity</v>
      </c>
      <c r="J1335" t="str">
        <f t="shared" si="42"/>
        <v>Diabetes</v>
      </c>
    </row>
    <row r="1336" spans="1:10" x14ac:dyDescent="0.35">
      <c r="A1336" t="s">
        <v>1336</v>
      </c>
      <c r="B1336">
        <v>35.86</v>
      </c>
      <c r="C1336">
        <v>7.93</v>
      </c>
      <c r="D1336" t="s">
        <v>2344</v>
      </c>
      <c r="E1336" t="s">
        <v>2344</v>
      </c>
      <c r="F1336" t="s">
        <v>2344</v>
      </c>
      <c r="G1336">
        <v>1</v>
      </c>
      <c r="H1336" t="s">
        <v>2344</v>
      </c>
      <c r="I1336" t="str">
        <f t="shared" si="41"/>
        <v>Obesity</v>
      </c>
      <c r="J1336" t="str">
        <f t="shared" si="42"/>
        <v>Diabetes</v>
      </c>
    </row>
    <row r="1337" spans="1:10" x14ac:dyDescent="0.35">
      <c r="A1337" t="s">
        <v>1337</v>
      </c>
      <c r="B1337">
        <v>30.3</v>
      </c>
      <c r="C1337">
        <v>9.4499999999999993</v>
      </c>
      <c r="D1337" t="s">
        <v>2344</v>
      </c>
      <c r="E1337" t="s">
        <v>2344</v>
      </c>
      <c r="F1337" t="s">
        <v>2344</v>
      </c>
      <c r="G1337">
        <v>1</v>
      </c>
      <c r="H1337" t="s">
        <v>2344</v>
      </c>
      <c r="I1337" t="str">
        <f t="shared" si="41"/>
        <v>Obesity</v>
      </c>
      <c r="J1337" t="str">
        <f t="shared" si="42"/>
        <v>Diabetes</v>
      </c>
    </row>
    <row r="1338" spans="1:10" x14ac:dyDescent="0.35">
      <c r="A1338" t="s">
        <v>1338</v>
      </c>
      <c r="B1338">
        <v>32.015000000000001</v>
      </c>
      <c r="C1338">
        <v>7.67</v>
      </c>
      <c r="D1338" t="s">
        <v>2344</v>
      </c>
      <c r="E1338" t="s">
        <v>2344</v>
      </c>
      <c r="F1338" t="s">
        <v>2344</v>
      </c>
      <c r="G1338">
        <v>0</v>
      </c>
      <c r="H1338" t="s">
        <v>2344</v>
      </c>
      <c r="I1338" t="str">
        <f t="shared" si="41"/>
        <v>Obesity</v>
      </c>
      <c r="J1338" t="str">
        <f t="shared" si="42"/>
        <v>Diabetes</v>
      </c>
    </row>
    <row r="1339" spans="1:10" x14ac:dyDescent="0.35">
      <c r="A1339" t="s">
        <v>1339</v>
      </c>
      <c r="B1339">
        <v>25.06</v>
      </c>
      <c r="C1339">
        <v>10.53</v>
      </c>
      <c r="D1339" t="s">
        <v>2344</v>
      </c>
      <c r="E1339" t="s">
        <v>2344</v>
      </c>
      <c r="F1339" t="s">
        <v>2344</v>
      </c>
      <c r="G1339">
        <v>1</v>
      </c>
      <c r="H1339" t="s">
        <v>2344</v>
      </c>
      <c r="I1339" t="str">
        <f t="shared" si="41"/>
        <v>Over weight</v>
      </c>
      <c r="J1339" t="str">
        <f t="shared" si="42"/>
        <v>Diabetes</v>
      </c>
    </row>
    <row r="1340" spans="1:10" x14ac:dyDescent="0.35">
      <c r="A1340" t="s">
        <v>1340</v>
      </c>
      <c r="B1340">
        <v>18.829999999999998</v>
      </c>
      <c r="C1340">
        <v>10.08</v>
      </c>
      <c r="D1340" t="s">
        <v>2346</v>
      </c>
      <c r="E1340" t="s">
        <v>2344</v>
      </c>
      <c r="F1340" t="s">
        <v>2344</v>
      </c>
      <c r="G1340">
        <v>0</v>
      </c>
      <c r="H1340" t="s">
        <v>2344</v>
      </c>
      <c r="I1340" t="str">
        <f t="shared" si="41"/>
        <v>Normal Weight</v>
      </c>
      <c r="J1340" t="str">
        <f t="shared" si="42"/>
        <v>Diabetes</v>
      </c>
    </row>
    <row r="1341" spans="1:10" x14ac:dyDescent="0.35">
      <c r="A1341" t="s">
        <v>1341</v>
      </c>
      <c r="B1341">
        <v>47.52</v>
      </c>
      <c r="C1341">
        <v>11.39</v>
      </c>
      <c r="D1341" t="s">
        <v>2346</v>
      </c>
      <c r="E1341" t="s">
        <v>2344</v>
      </c>
      <c r="F1341" t="s">
        <v>2344</v>
      </c>
      <c r="G1341">
        <v>1</v>
      </c>
      <c r="H1341" t="s">
        <v>2344</v>
      </c>
      <c r="I1341" t="str">
        <f t="shared" si="41"/>
        <v>Obesity</v>
      </c>
      <c r="J1341" t="str">
        <f t="shared" si="42"/>
        <v>Diabetes</v>
      </c>
    </row>
    <row r="1342" spans="1:10" x14ac:dyDescent="0.35">
      <c r="A1342" t="s">
        <v>1342</v>
      </c>
      <c r="B1342">
        <v>37.82</v>
      </c>
      <c r="C1342">
        <v>6.36</v>
      </c>
      <c r="D1342" t="s">
        <v>2344</v>
      </c>
      <c r="E1342" t="s">
        <v>2344</v>
      </c>
      <c r="F1342" t="s">
        <v>2344</v>
      </c>
      <c r="G1342">
        <v>0</v>
      </c>
      <c r="H1342" t="s">
        <v>2344</v>
      </c>
      <c r="I1342" t="str">
        <f t="shared" si="41"/>
        <v>Obesity</v>
      </c>
      <c r="J1342" t="str">
        <f t="shared" si="42"/>
        <v>Prediabetes</v>
      </c>
    </row>
    <row r="1343" spans="1:10" x14ac:dyDescent="0.35">
      <c r="A1343" t="s">
        <v>1343</v>
      </c>
      <c r="B1343">
        <v>44.16</v>
      </c>
      <c r="C1343">
        <v>5.31</v>
      </c>
      <c r="D1343" t="s">
        <v>2346</v>
      </c>
      <c r="E1343" t="s">
        <v>2344</v>
      </c>
      <c r="F1343" t="s">
        <v>2344</v>
      </c>
      <c r="G1343">
        <v>0</v>
      </c>
      <c r="H1343" t="s">
        <v>2344</v>
      </c>
      <c r="I1343" t="str">
        <f t="shared" si="41"/>
        <v>Obesity</v>
      </c>
      <c r="J1343" t="str">
        <f t="shared" si="42"/>
        <v>Normal</v>
      </c>
    </row>
    <row r="1344" spans="1:10" x14ac:dyDescent="0.35">
      <c r="A1344" t="s">
        <v>1344</v>
      </c>
      <c r="B1344">
        <v>37.049999999999997</v>
      </c>
      <c r="C1344">
        <v>4.74</v>
      </c>
      <c r="D1344" t="s">
        <v>2344</v>
      </c>
      <c r="E1344" t="s">
        <v>2344</v>
      </c>
      <c r="F1344" t="s">
        <v>2346</v>
      </c>
      <c r="G1344">
        <v>1</v>
      </c>
      <c r="H1344" t="s">
        <v>2344</v>
      </c>
      <c r="I1344" t="str">
        <f t="shared" si="41"/>
        <v>Obesity</v>
      </c>
      <c r="J1344" t="str">
        <f t="shared" si="42"/>
        <v>Normal</v>
      </c>
    </row>
    <row r="1345" spans="1:10" x14ac:dyDescent="0.35">
      <c r="A1345" t="s">
        <v>1345</v>
      </c>
      <c r="B1345">
        <v>18.66</v>
      </c>
      <c r="C1345">
        <v>11.35</v>
      </c>
      <c r="D1345" t="s">
        <v>2344</v>
      </c>
      <c r="E1345" t="s">
        <v>2344</v>
      </c>
      <c r="F1345" t="s">
        <v>2344</v>
      </c>
      <c r="G1345">
        <v>0</v>
      </c>
      <c r="H1345" t="s">
        <v>2344</v>
      </c>
      <c r="I1345" t="str">
        <f t="shared" si="41"/>
        <v>Normal Weight</v>
      </c>
      <c r="J1345" t="str">
        <f t="shared" si="42"/>
        <v>Diabetes</v>
      </c>
    </row>
    <row r="1346" spans="1:10" x14ac:dyDescent="0.35">
      <c r="A1346" t="s">
        <v>1346</v>
      </c>
      <c r="B1346">
        <v>36.200000000000003</v>
      </c>
      <c r="C1346">
        <v>6.81</v>
      </c>
      <c r="D1346" t="s">
        <v>2346</v>
      </c>
      <c r="E1346" t="s">
        <v>2344</v>
      </c>
      <c r="F1346" t="s">
        <v>2344</v>
      </c>
      <c r="G1346">
        <v>1</v>
      </c>
      <c r="H1346" t="s">
        <v>2344</v>
      </c>
      <c r="I1346" t="str">
        <f t="shared" si="41"/>
        <v>Obesity</v>
      </c>
      <c r="J1346" t="str">
        <f t="shared" si="42"/>
        <v>Diabetes</v>
      </c>
    </row>
    <row r="1347" spans="1:10" x14ac:dyDescent="0.35">
      <c r="A1347" t="s">
        <v>1347</v>
      </c>
      <c r="B1347">
        <v>18.87</v>
      </c>
      <c r="C1347">
        <v>8.06</v>
      </c>
      <c r="D1347" t="s">
        <v>2344</v>
      </c>
      <c r="E1347" t="s">
        <v>2344</v>
      </c>
      <c r="F1347" t="s">
        <v>2344</v>
      </c>
      <c r="G1347">
        <v>0</v>
      </c>
      <c r="H1347" t="s">
        <v>2344</v>
      </c>
      <c r="I1347" t="str">
        <f t="shared" ref="I1347:I1410" si="43">IF(B1347&lt;18.5,"Under Weight",IF(B1347&lt;25,"Normal Weight",IF(B1347&lt;30,"Over weight","Obesity")))</f>
        <v>Normal Weight</v>
      </c>
      <c r="J1347" t="str">
        <f t="shared" si="42"/>
        <v>Diabetes</v>
      </c>
    </row>
    <row r="1348" spans="1:10" x14ac:dyDescent="0.35">
      <c r="A1348" t="s">
        <v>1348</v>
      </c>
      <c r="B1348">
        <v>32.299999999999997</v>
      </c>
      <c r="C1348">
        <v>6.74</v>
      </c>
      <c r="D1348" t="s">
        <v>2346</v>
      </c>
      <c r="E1348" t="s">
        <v>2344</v>
      </c>
      <c r="F1348" t="s">
        <v>2344</v>
      </c>
      <c r="G1348">
        <v>1</v>
      </c>
      <c r="H1348" t="s">
        <v>2344</v>
      </c>
      <c r="I1348" t="str">
        <f t="shared" si="43"/>
        <v>Obesity</v>
      </c>
      <c r="J1348" t="str">
        <f t="shared" si="42"/>
        <v>Diabetes</v>
      </c>
    </row>
    <row r="1349" spans="1:10" x14ac:dyDescent="0.35">
      <c r="A1349" t="s">
        <v>1349</v>
      </c>
      <c r="B1349">
        <v>22.64</v>
      </c>
      <c r="C1349">
        <v>6.54</v>
      </c>
      <c r="D1349" t="s">
        <v>2346</v>
      </c>
      <c r="E1349" t="s">
        <v>2344</v>
      </c>
      <c r="F1349" t="s">
        <v>2344</v>
      </c>
      <c r="G1349">
        <v>1</v>
      </c>
      <c r="H1349" t="s">
        <v>2344</v>
      </c>
      <c r="I1349" t="str">
        <f t="shared" si="43"/>
        <v>Normal Weight</v>
      </c>
      <c r="J1349" t="str">
        <f t="shared" si="42"/>
        <v>Diabetes</v>
      </c>
    </row>
    <row r="1350" spans="1:10" x14ac:dyDescent="0.35">
      <c r="A1350" t="s">
        <v>1350</v>
      </c>
      <c r="B1350">
        <v>28.69</v>
      </c>
      <c r="C1350">
        <v>5.4</v>
      </c>
      <c r="D1350" t="s">
        <v>2344</v>
      </c>
      <c r="E1350" t="s">
        <v>2344</v>
      </c>
      <c r="F1350" t="s">
        <v>2344</v>
      </c>
      <c r="G1350">
        <v>0</v>
      </c>
      <c r="H1350" t="s">
        <v>2344</v>
      </c>
      <c r="I1350" t="str">
        <f t="shared" si="43"/>
        <v>Over weight</v>
      </c>
      <c r="J1350" t="str">
        <f t="shared" si="42"/>
        <v>Normal</v>
      </c>
    </row>
    <row r="1351" spans="1:10" x14ac:dyDescent="0.35">
      <c r="A1351" t="s">
        <v>1351</v>
      </c>
      <c r="B1351">
        <v>28.16</v>
      </c>
      <c r="C1351">
        <v>5.58</v>
      </c>
      <c r="D1351" t="s">
        <v>2346</v>
      </c>
      <c r="E1351" t="s">
        <v>2344</v>
      </c>
      <c r="F1351" t="s">
        <v>2344</v>
      </c>
      <c r="G1351">
        <v>0</v>
      </c>
      <c r="H1351" t="s">
        <v>2344</v>
      </c>
      <c r="I1351" t="str">
        <f t="shared" si="43"/>
        <v>Over weight</v>
      </c>
      <c r="J1351" t="str">
        <f t="shared" si="42"/>
        <v>Normal</v>
      </c>
    </row>
    <row r="1352" spans="1:10" x14ac:dyDescent="0.35">
      <c r="A1352" t="s">
        <v>1352</v>
      </c>
      <c r="B1352">
        <v>45.54</v>
      </c>
      <c r="C1352">
        <v>5.84</v>
      </c>
      <c r="D1352" t="s">
        <v>2344</v>
      </c>
      <c r="E1352" t="s">
        <v>2344</v>
      </c>
      <c r="F1352" t="s">
        <v>2346</v>
      </c>
      <c r="G1352">
        <v>1</v>
      </c>
      <c r="H1352" t="s">
        <v>2344</v>
      </c>
      <c r="I1352" t="str">
        <f t="shared" si="43"/>
        <v>Obesity</v>
      </c>
      <c r="J1352" t="str">
        <f t="shared" si="42"/>
        <v>Prediabetes</v>
      </c>
    </row>
    <row r="1353" spans="1:10" x14ac:dyDescent="0.35">
      <c r="A1353" t="s">
        <v>1353</v>
      </c>
      <c r="B1353">
        <v>28.7</v>
      </c>
      <c r="C1353">
        <v>4.2</v>
      </c>
      <c r="D1353" t="s">
        <v>2344</v>
      </c>
      <c r="E1353" t="s">
        <v>2344</v>
      </c>
      <c r="F1353" t="s">
        <v>2344</v>
      </c>
      <c r="G1353">
        <v>0</v>
      </c>
      <c r="H1353" t="s">
        <v>2344</v>
      </c>
      <c r="I1353" t="str">
        <f t="shared" si="43"/>
        <v>Over weight</v>
      </c>
      <c r="J1353" t="str">
        <f t="shared" si="42"/>
        <v>Normal</v>
      </c>
    </row>
    <row r="1354" spans="1:10" x14ac:dyDescent="0.35">
      <c r="A1354" t="s">
        <v>1354</v>
      </c>
      <c r="B1354">
        <v>27.74</v>
      </c>
      <c r="C1354">
        <v>6.06</v>
      </c>
      <c r="D1354" t="s">
        <v>2346</v>
      </c>
      <c r="E1354" t="s">
        <v>2344</v>
      </c>
      <c r="F1354" t="s">
        <v>2344</v>
      </c>
      <c r="G1354">
        <v>0</v>
      </c>
      <c r="H1354" t="s">
        <v>2344</v>
      </c>
      <c r="I1354" t="str">
        <f t="shared" si="43"/>
        <v>Over weight</v>
      </c>
      <c r="J1354" t="str">
        <f t="shared" si="42"/>
        <v>Prediabetes</v>
      </c>
    </row>
    <row r="1355" spans="1:10" x14ac:dyDescent="0.35">
      <c r="A1355" t="s">
        <v>1355</v>
      </c>
      <c r="B1355">
        <v>36.954999999999998</v>
      </c>
      <c r="C1355">
        <v>7.57</v>
      </c>
      <c r="D1355" t="s">
        <v>2344</v>
      </c>
      <c r="E1355" t="s">
        <v>2344</v>
      </c>
      <c r="F1355" t="s">
        <v>2344</v>
      </c>
      <c r="G1355">
        <v>0</v>
      </c>
      <c r="H1355" t="s">
        <v>2344</v>
      </c>
      <c r="I1355" t="str">
        <f t="shared" si="43"/>
        <v>Obesity</v>
      </c>
      <c r="J1355" t="str">
        <f t="shared" si="42"/>
        <v>Diabetes</v>
      </c>
    </row>
    <row r="1356" spans="1:10" x14ac:dyDescent="0.35">
      <c r="A1356" t="s">
        <v>1356</v>
      </c>
      <c r="B1356">
        <v>30.69</v>
      </c>
      <c r="C1356">
        <v>6.15</v>
      </c>
      <c r="D1356" t="s">
        <v>2344</v>
      </c>
      <c r="E1356" t="s">
        <v>2344</v>
      </c>
      <c r="F1356" t="s">
        <v>2344</v>
      </c>
      <c r="G1356">
        <v>0</v>
      </c>
      <c r="H1356" t="s">
        <v>2344</v>
      </c>
      <c r="I1356" t="str">
        <f t="shared" si="43"/>
        <v>Obesity</v>
      </c>
      <c r="J1356" t="str">
        <f t="shared" ref="J1356:J1419" si="44">IF(C1356&lt;5.7,"Normal",IF(C1356&lt;6.5,"Prediabetes","Diabetes"))</f>
        <v>Prediabetes</v>
      </c>
    </row>
    <row r="1357" spans="1:10" x14ac:dyDescent="0.35">
      <c r="A1357" t="s">
        <v>1357</v>
      </c>
      <c r="B1357">
        <v>24.984999999999999</v>
      </c>
      <c r="C1357">
        <v>4.5599999999999996</v>
      </c>
      <c r="D1357" t="s">
        <v>2344</v>
      </c>
      <c r="E1357" t="s">
        <v>2344</v>
      </c>
      <c r="F1357" t="s">
        <v>2344</v>
      </c>
      <c r="G1357">
        <v>0</v>
      </c>
      <c r="H1357" t="s">
        <v>2344</v>
      </c>
      <c r="I1357" t="str">
        <f t="shared" si="43"/>
        <v>Normal Weight</v>
      </c>
      <c r="J1357" t="str">
        <f t="shared" si="44"/>
        <v>Normal</v>
      </c>
    </row>
    <row r="1358" spans="1:10" x14ac:dyDescent="0.35">
      <c r="A1358" t="s">
        <v>1358</v>
      </c>
      <c r="B1358">
        <v>39.42</v>
      </c>
      <c r="C1358">
        <v>4.72</v>
      </c>
      <c r="D1358" t="s">
        <v>2346</v>
      </c>
      <c r="E1358" t="s">
        <v>2344</v>
      </c>
      <c r="F1358" t="s">
        <v>2344</v>
      </c>
      <c r="G1358">
        <v>1</v>
      </c>
      <c r="H1358" t="s">
        <v>2344</v>
      </c>
      <c r="I1358" t="str">
        <f t="shared" si="43"/>
        <v>Obesity</v>
      </c>
      <c r="J1358" t="str">
        <f t="shared" si="44"/>
        <v>Normal</v>
      </c>
    </row>
    <row r="1359" spans="1:10" x14ac:dyDescent="0.35">
      <c r="A1359" t="s">
        <v>1359</v>
      </c>
      <c r="B1359">
        <v>16.8</v>
      </c>
      <c r="C1359">
        <v>7.98</v>
      </c>
      <c r="D1359" t="s">
        <v>2344</v>
      </c>
      <c r="E1359" t="s">
        <v>2344</v>
      </c>
      <c r="F1359" t="s">
        <v>2344</v>
      </c>
      <c r="G1359">
        <v>0</v>
      </c>
      <c r="H1359" t="s">
        <v>2344</v>
      </c>
      <c r="I1359" t="str">
        <f t="shared" si="43"/>
        <v>Under Weight</v>
      </c>
      <c r="J1359" t="str">
        <f t="shared" si="44"/>
        <v>Diabetes</v>
      </c>
    </row>
    <row r="1360" spans="1:10" x14ac:dyDescent="0.35">
      <c r="A1360" t="s">
        <v>1360</v>
      </c>
      <c r="B1360">
        <v>23.274999999999999</v>
      </c>
      <c r="C1360">
        <v>6.26</v>
      </c>
      <c r="D1360" t="s">
        <v>2346</v>
      </c>
      <c r="E1360" t="s">
        <v>2344</v>
      </c>
      <c r="F1360" t="s">
        <v>2346</v>
      </c>
      <c r="G1360">
        <v>1</v>
      </c>
      <c r="H1360" t="s">
        <v>2344</v>
      </c>
      <c r="I1360" t="str">
        <f t="shared" si="43"/>
        <v>Normal Weight</v>
      </c>
      <c r="J1360" t="str">
        <f t="shared" si="44"/>
        <v>Prediabetes</v>
      </c>
    </row>
    <row r="1361" spans="1:10" x14ac:dyDescent="0.35">
      <c r="A1361" t="s">
        <v>1361</v>
      </c>
      <c r="B1361">
        <v>22.8</v>
      </c>
      <c r="C1361">
        <v>4.29</v>
      </c>
      <c r="D1361" t="s">
        <v>2346</v>
      </c>
      <c r="E1361" t="s">
        <v>2344</v>
      </c>
      <c r="F1361" t="s">
        <v>2346</v>
      </c>
      <c r="G1361">
        <v>1</v>
      </c>
      <c r="H1361" t="s">
        <v>2344</v>
      </c>
      <c r="I1361" t="str">
        <f t="shared" si="43"/>
        <v>Normal Weight</v>
      </c>
      <c r="J1361" t="str">
        <f t="shared" si="44"/>
        <v>Normal</v>
      </c>
    </row>
    <row r="1362" spans="1:10" x14ac:dyDescent="0.35">
      <c r="A1362" t="s">
        <v>1362</v>
      </c>
      <c r="B1362">
        <v>24.3</v>
      </c>
      <c r="C1362">
        <v>5.43</v>
      </c>
      <c r="D1362" t="s">
        <v>2344</v>
      </c>
      <c r="E1362" t="s">
        <v>2344</v>
      </c>
      <c r="F1362" t="s">
        <v>2344</v>
      </c>
      <c r="G1362">
        <v>1</v>
      </c>
      <c r="H1362" t="s">
        <v>2344</v>
      </c>
      <c r="I1362" t="str">
        <f t="shared" si="43"/>
        <v>Normal Weight</v>
      </c>
      <c r="J1362" t="str">
        <f t="shared" si="44"/>
        <v>Normal</v>
      </c>
    </row>
    <row r="1363" spans="1:10" x14ac:dyDescent="0.35">
      <c r="A1363" t="s">
        <v>1363</v>
      </c>
      <c r="B1363">
        <v>25.13</v>
      </c>
      <c r="C1363" t="s">
        <v>2346</v>
      </c>
      <c r="D1363" t="s">
        <v>2346</v>
      </c>
      <c r="E1363" t="s">
        <v>2344</v>
      </c>
      <c r="F1363" t="s">
        <v>2344</v>
      </c>
      <c r="G1363">
        <v>1</v>
      </c>
      <c r="H1363" t="s">
        <v>2344</v>
      </c>
      <c r="I1363" t="str">
        <f t="shared" si="43"/>
        <v>Over weight</v>
      </c>
      <c r="J1363" t="str">
        <f t="shared" si="44"/>
        <v>Diabetes</v>
      </c>
    </row>
    <row r="1364" spans="1:10" x14ac:dyDescent="0.35">
      <c r="A1364" t="s">
        <v>1364</v>
      </c>
      <c r="B1364">
        <v>22.72</v>
      </c>
      <c r="C1364">
        <v>9.9600000000000009</v>
      </c>
      <c r="D1364" t="s">
        <v>2346</v>
      </c>
      <c r="E1364" t="s">
        <v>2344</v>
      </c>
      <c r="F1364" t="s">
        <v>2344</v>
      </c>
      <c r="G1364">
        <v>1</v>
      </c>
      <c r="H1364" t="s">
        <v>2344</v>
      </c>
      <c r="I1364" t="str">
        <f t="shared" si="43"/>
        <v>Normal Weight</v>
      </c>
      <c r="J1364" t="str">
        <f t="shared" si="44"/>
        <v>Diabetes</v>
      </c>
    </row>
    <row r="1365" spans="1:10" x14ac:dyDescent="0.35">
      <c r="A1365" t="s">
        <v>1365</v>
      </c>
      <c r="B1365">
        <v>32.6</v>
      </c>
      <c r="C1365">
        <v>6.8</v>
      </c>
      <c r="D1365" t="s">
        <v>2346</v>
      </c>
      <c r="E1365" t="s">
        <v>2344</v>
      </c>
      <c r="F1365" t="s">
        <v>2344</v>
      </c>
      <c r="G1365">
        <v>0</v>
      </c>
      <c r="H1365" t="s">
        <v>2344</v>
      </c>
      <c r="I1365" t="str">
        <f t="shared" si="43"/>
        <v>Obesity</v>
      </c>
      <c r="J1365" t="str">
        <f t="shared" si="44"/>
        <v>Diabetes</v>
      </c>
    </row>
    <row r="1366" spans="1:10" x14ac:dyDescent="0.35">
      <c r="A1366" t="s">
        <v>1366</v>
      </c>
      <c r="B1366">
        <v>17.28</v>
      </c>
      <c r="C1366">
        <v>6.22</v>
      </c>
      <c r="D1366" t="s">
        <v>2346</v>
      </c>
      <c r="E1366" t="s">
        <v>2344</v>
      </c>
      <c r="F1366" t="s">
        <v>2344</v>
      </c>
      <c r="G1366">
        <v>1</v>
      </c>
      <c r="H1366" t="s">
        <v>2344</v>
      </c>
      <c r="I1366" t="str">
        <f t="shared" si="43"/>
        <v>Under Weight</v>
      </c>
      <c r="J1366" t="str">
        <f t="shared" si="44"/>
        <v>Prediabetes</v>
      </c>
    </row>
    <row r="1367" spans="1:10" x14ac:dyDescent="0.35">
      <c r="A1367" t="s">
        <v>1367</v>
      </c>
      <c r="B1367">
        <v>27.92</v>
      </c>
      <c r="C1367">
        <v>5.79</v>
      </c>
      <c r="D1367" t="s">
        <v>2344</v>
      </c>
      <c r="E1367" t="s">
        <v>2344</v>
      </c>
      <c r="F1367" t="s">
        <v>2344</v>
      </c>
      <c r="G1367">
        <v>1</v>
      </c>
      <c r="H1367" t="s">
        <v>2344</v>
      </c>
      <c r="I1367" t="str">
        <f t="shared" si="43"/>
        <v>Over weight</v>
      </c>
      <c r="J1367" t="str">
        <f t="shared" si="44"/>
        <v>Prediabetes</v>
      </c>
    </row>
    <row r="1368" spans="1:10" x14ac:dyDescent="0.35">
      <c r="A1368" t="s">
        <v>1368</v>
      </c>
      <c r="B1368">
        <v>38.284999999999997</v>
      </c>
      <c r="C1368">
        <v>5.41</v>
      </c>
      <c r="D1368" t="s">
        <v>2344</v>
      </c>
      <c r="E1368" t="s">
        <v>2344</v>
      </c>
      <c r="F1368" t="s">
        <v>2344</v>
      </c>
      <c r="G1368">
        <v>0</v>
      </c>
      <c r="H1368" t="s">
        <v>2344</v>
      </c>
      <c r="I1368" t="str">
        <f t="shared" si="43"/>
        <v>Obesity</v>
      </c>
      <c r="J1368" t="str">
        <f t="shared" si="44"/>
        <v>Normal</v>
      </c>
    </row>
    <row r="1369" spans="1:10" x14ac:dyDescent="0.35">
      <c r="A1369" t="s">
        <v>1369</v>
      </c>
      <c r="B1369">
        <v>16.48</v>
      </c>
      <c r="C1369">
        <v>11.05</v>
      </c>
      <c r="D1369" t="s">
        <v>2344</v>
      </c>
      <c r="E1369" t="s">
        <v>2344</v>
      </c>
      <c r="F1369" t="s">
        <v>2344</v>
      </c>
      <c r="G1369">
        <v>0</v>
      </c>
      <c r="H1369" t="s">
        <v>2344</v>
      </c>
      <c r="I1369" t="str">
        <f t="shared" si="43"/>
        <v>Under Weight</v>
      </c>
      <c r="J1369" t="str">
        <f t="shared" si="44"/>
        <v>Diabetes</v>
      </c>
    </row>
    <row r="1370" spans="1:10" x14ac:dyDescent="0.35">
      <c r="A1370" t="s">
        <v>1370</v>
      </c>
      <c r="B1370">
        <v>38.57</v>
      </c>
      <c r="C1370">
        <v>6.27</v>
      </c>
      <c r="D1370" t="s">
        <v>2344</v>
      </c>
      <c r="E1370" t="s">
        <v>2344</v>
      </c>
      <c r="F1370" t="s">
        <v>2344</v>
      </c>
      <c r="G1370">
        <v>0</v>
      </c>
      <c r="H1370" t="s">
        <v>2344</v>
      </c>
      <c r="I1370" t="str">
        <f t="shared" si="43"/>
        <v>Obesity</v>
      </c>
      <c r="J1370" t="str">
        <f t="shared" si="44"/>
        <v>Prediabetes</v>
      </c>
    </row>
    <row r="1371" spans="1:10" x14ac:dyDescent="0.35">
      <c r="A1371" t="s">
        <v>1371</v>
      </c>
      <c r="B1371">
        <v>43.85</v>
      </c>
      <c r="C1371">
        <v>4.7699999999999996</v>
      </c>
      <c r="D1371" t="s">
        <v>2346</v>
      </c>
      <c r="E1371" t="s">
        <v>2344</v>
      </c>
      <c r="F1371" t="s">
        <v>2344</v>
      </c>
      <c r="G1371">
        <v>0</v>
      </c>
      <c r="H1371" t="s">
        <v>2344</v>
      </c>
      <c r="I1371" t="str">
        <f t="shared" si="43"/>
        <v>Obesity</v>
      </c>
      <c r="J1371" t="str">
        <f t="shared" si="44"/>
        <v>Normal</v>
      </c>
    </row>
    <row r="1372" spans="1:10" x14ac:dyDescent="0.35">
      <c r="A1372" t="s">
        <v>1372</v>
      </c>
      <c r="B1372">
        <v>30.11</v>
      </c>
      <c r="C1372">
        <v>4.08</v>
      </c>
      <c r="D1372" t="s">
        <v>2344</v>
      </c>
      <c r="E1372" t="s">
        <v>2344</v>
      </c>
      <c r="F1372" t="s">
        <v>2344</v>
      </c>
      <c r="G1372">
        <v>0</v>
      </c>
      <c r="H1372" t="s">
        <v>2344</v>
      </c>
      <c r="I1372" t="str">
        <f t="shared" si="43"/>
        <v>Obesity</v>
      </c>
      <c r="J1372" t="str">
        <f t="shared" si="44"/>
        <v>Normal</v>
      </c>
    </row>
    <row r="1373" spans="1:10" x14ac:dyDescent="0.35">
      <c r="A1373" t="s">
        <v>1373</v>
      </c>
      <c r="B1373">
        <v>31.59</v>
      </c>
      <c r="C1373">
        <v>6.01</v>
      </c>
      <c r="D1373" t="s">
        <v>2344</v>
      </c>
      <c r="E1373" t="s">
        <v>2344</v>
      </c>
      <c r="F1373" t="s">
        <v>2344</v>
      </c>
      <c r="G1373">
        <v>0</v>
      </c>
      <c r="H1373" t="s">
        <v>2344</v>
      </c>
      <c r="I1373" t="str">
        <f t="shared" si="43"/>
        <v>Obesity</v>
      </c>
      <c r="J1373" t="str">
        <f t="shared" si="44"/>
        <v>Prediabetes</v>
      </c>
    </row>
    <row r="1374" spans="1:10" x14ac:dyDescent="0.35">
      <c r="A1374" t="s">
        <v>1374</v>
      </c>
      <c r="B1374">
        <v>40.15</v>
      </c>
      <c r="C1374">
        <v>11.84</v>
      </c>
      <c r="D1374" t="s">
        <v>2344</v>
      </c>
      <c r="E1374" t="s">
        <v>2344</v>
      </c>
      <c r="F1374" t="s">
        <v>2344</v>
      </c>
      <c r="G1374">
        <v>0</v>
      </c>
      <c r="H1374" t="s">
        <v>2344</v>
      </c>
      <c r="I1374" t="str">
        <f t="shared" si="43"/>
        <v>Obesity</v>
      </c>
      <c r="J1374" t="str">
        <f t="shared" si="44"/>
        <v>Diabetes</v>
      </c>
    </row>
    <row r="1375" spans="1:10" x14ac:dyDescent="0.35">
      <c r="A1375" t="s">
        <v>1375</v>
      </c>
      <c r="B1375">
        <v>40.700000000000003</v>
      </c>
      <c r="C1375">
        <v>6.27</v>
      </c>
      <c r="D1375" t="s">
        <v>2346</v>
      </c>
      <c r="E1375" t="s">
        <v>2344</v>
      </c>
      <c r="F1375" t="s">
        <v>2346</v>
      </c>
      <c r="G1375">
        <v>1</v>
      </c>
      <c r="H1375" t="s">
        <v>2344</v>
      </c>
      <c r="I1375" t="str">
        <f t="shared" si="43"/>
        <v>Obesity</v>
      </c>
      <c r="J1375" t="str">
        <f t="shared" si="44"/>
        <v>Prediabetes</v>
      </c>
    </row>
    <row r="1376" spans="1:10" x14ac:dyDescent="0.35">
      <c r="A1376" t="s">
        <v>1376</v>
      </c>
      <c r="B1376">
        <v>40.76</v>
      </c>
      <c r="C1376">
        <v>5.28</v>
      </c>
      <c r="D1376" t="s">
        <v>2344</v>
      </c>
      <c r="E1376" t="s">
        <v>2344</v>
      </c>
      <c r="F1376" t="s">
        <v>2344</v>
      </c>
      <c r="G1376">
        <v>0</v>
      </c>
      <c r="H1376" t="s">
        <v>2344</v>
      </c>
      <c r="I1376" t="str">
        <f t="shared" si="43"/>
        <v>Obesity</v>
      </c>
      <c r="J1376" t="str">
        <f t="shared" si="44"/>
        <v>Normal</v>
      </c>
    </row>
    <row r="1377" spans="1:10" x14ac:dyDescent="0.35">
      <c r="A1377" t="s">
        <v>1377</v>
      </c>
      <c r="B1377">
        <v>29.7</v>
      </c>
      <c r="C1377">
        <v>7.03</v>
      </c>
      <c r="D1377" t="s">
        <v>2344</v>
      </c>
      <c r="E1377" t="s">
        <v>2344</v>
      </c>
      <c r="F1377" t="s">
        <v>2344</v>
      </c>
      <c r="G1377">
        <v>0</v>
      </c>
      <c r="H1377" t="s">
        <v>2344</v>
      </c>
      <c r="I1377" t="str">
        <f t="shared" si="43"/>
        <v>Over weight</v>
      </c>
      <c r="J1377" t="str">
        <f t="shared" si="44"/>
        <v>Diabetes</v>
      </c>
    </row>
    <row r="1378" spans="1:10" x14ac:dyDescent="0.35">
      <c r="A1378" t="s">
        <v>1378</v>
      </c>
      <c r="B1378">
        <v>40.58</v>
      </c>
      <c r="C1378">
        <v>5.32</v>
      </c>
      <c r="D1378" t="s">
        <v>2346</v>
      </c>
      <c r="E1378" t="s">
        <v>2344</v>
      </c>
      <c r="F1378" t="s">
        <v>2346</v>
      </c>
      <c r="G1378">
        <v>1</v>
      </c>
      <c r="H1378" t="s">
        <v>2344</v>
      </c>
      <c r="I1378" t="str">
        <f t="shared" si="43"/>
        <v>Obesity</v>
      </c>
      <c r="J1378" t="str">
        <f t="shared" si="44"/>
        <v>Normal</v>
      </c>
    </row>
    <row r="1379" spans="1:10" x14ac:dyDescent="0.35">
      <c r="A1379" t="s">
        <v>1379</v>
      </c>
      <c r="B1379">
        <v>33.06</v>
      </c>
      <c r="C1379">
        <v>9.59</v>
      </c>
      <c r="D1379" t="s">
        <v>2346</v>
      </c>
      <c r="E1379" t="s">
        <v>2344</v>
      </c>
      <c r="F1379" t="s">
        <v>2344</v>
      </c>
      <c r="G1379">
        <v>0</v>
      </c>
      <c r="H1379" t="s">
        <v>2344</v>
      </c>
      <c r="I1379" t="str">
        <f t="shared" si="43"/>
        <v>Obesity</v>
      </c>
      <c r="J1379" t="str">
        <f t="shared" si="44"/>
        <v>Diabetes</v>
      </c>
    </row>
    <row r="1380" spans="1:10" x14ac:dyDescent="0.35">
      <c r="A1380" t="s">
        <v>1380</v>
      </c>
      <c r="B1380">
        <v>26.62</v>
      </c>
      <c r="C1380">
        <v>6.15</v>
      </c>
      <c r="D1380" t="s">
        <v>2346</v>
      </c>
      <c r="E1380" t="s">
        <v>2344</v>
      </c>
      <c r="F1380" t="s">
        <v>2344</v>
      </c>
      <c r="G1380">
        <v>0</v>
      </c>
      <c r="H1380" t="s">
        <v>2344</v>
      </c>
      <c r="I1380" t="str">
        <f t="shared" si="43"/>
        <v>Over weight</v>
      </c>
      <c r="J1380" t="str">
        <f t="shared" si="44"/>
        <v>Prediabetes</v>
      </c>
    </row>
    <row r="1381" spans="1:10" x14ac:dyDescent="0.35">
      <c r="A1381" t="s">
        <v>1381</v>
      </c>
      <c r="B1381">
        <v>37.1</v>
      </c>
      <c r="C1381">
        <v>11.08</v>
      </c>
      <c r="D1381" t="s">
        <v>2344</v>
      </c>
      <c r="E1381" t="s">
        <v>2344</v>
      </c>
      <c r="F1381" t="s">
        <v>2344</v>
      </c>
      <c r="G1381">
        <v>0</v>
      </c>
      <c r="H1381" t="s">
        <v>2344</v>
      </c>
      <c r="I1381" t="str">
        <f t="shared" si="43"/>
        <v>Obesity</v>
      </c>
      <c r="J1381" t="str">
        <f t="shared" si="44"/>
        <v>Diabetes</v>
      </c>
    </row>
    <row r="1382" spans="1:10" x14ac:dyDescent="0.35">
      <c r="A1382" t="s">
        <v>1382</v>
      </c>
      <c r="B1382">
        <v>18.28</v>
      </c>
      <c r="C1382">
        <v>7.95</v>
      </c>
      <c r="D1382" t="s">
        <v>2344</v>
      </c>
      <c r="E1382" t="s">
        <v>2344</v>
      </c>
      <c r="F1382" t="s">
        <v>2344</v>
      </c>
      <c r="G1382">
        <v>0</v>
      </c>
      <c r="H1382" t="s">
        <v>2344</v>
      </c>
      <c r="I1382" t="str">
        <f t="shared" si="43"/>
        <v>Under Weight</v>
      </c>
      <c r="J1382" t="str">
        <f t="shared" si="44"/>
        <v>Diabetes</v>
      </c>
    </row>
    <row r="1383" spans="1:10" x14ac:dyDescent="0.35">
      <c r="A1383" t="s">
        <v>1383</v>
      </c>
      <c r="B1383">
        <v>35.814999999999998</v>
      </c>
      <c r="C1383">
        <v>6.23</v>
      </c>
      <c r="D1383" t="s">
        <v>2344</v>
      </c>
      <c r="E1383" t="s">
        <v>2344</v>
      </c>
      <c r="F1383" t="s">
        <v>2344</v>
      </c>
      <c r="G1383">
        <v>0</v>
      </c>
      <c r="H1383" t="s">
        <v>2344</v>
      </c>
      <c r="I1383" t="str">
        <f t="shared" si="43"/>
        <v>Obesity</v>
      </c>
      <c r="J1383" t="str">
        <f t="shared" si="44"/>
        <v>Prediabetes</v>
      </c>
    </row>
    <row r="1384" spans="1:10" x14ac:dyDescent="0.35">
      <c r="A1384" t="s">
        <v>1384</v>
      </c>
      <c r="B1384">
        <v>30.69</v>
      </c>
      <c r="C1384">
        <v>6.5</v>
      </c>
      <c r="D1384" t="s">
        <v>2344</v>
      </c>
      <c r="E1384" t="s">
        <v>2344</v>
      </c>
      <c r="F1384" t="s">
        <v>2344</v>
      </c>
      <c r="G1384">
        <v>0</v>
      </c>
      <c r="H1384" t="s">
        <v>2344</v>
      </c>
      <c r="I1384" t="str">
        <f t="shared" si="43"/>
        <v>Obesity</v>
      </c>
      <c r="J1384" t="str">
        <f t="shared" si="44"/>
        <v>Diabetes</v>
      </c>
    </row>
    <row r="1385" spans="1:10" x14ac:dyDescent="0.35">
      <c r="A1385" t="s">
        <v>1385</v>
      </c>
      <c r="B1385">
        <v>26.125</v>
      </c>
      <c r="C1385">
        <v>5.22</v>
      </c>
      <c r="D1385" t="s">
        <v>2344</v>
      </c>
      <c r="E1385" t="s">
        <v>2344</v>
      </c>
      <c r="F1385" t="s">
        <v>2344</v>
      </c>
      <c r="G1385">
        <v>0</v>
      </c>
      <c r="H1385" t="s">
        <v>2344</v>
      </c>
      <c r="I1385" t="str">
        <f t="shared" si="43"/>
        <v>Over weight</v>
      </c>
      <c r="J1385" t="str">
        <f t="shared" si="44"/>
        <v>Normal</v>
      </c>
    </row>
    <row r="1386" spans="1:10" x14ac:dyDescent="0.35">
      <c r="A1386" t="s">
        <v>1386</v>
      </c>
      <c r="B1386">
        <v>34.58</v>
      </c>
      <c r="C1386">
        <v>6.3</v>
      </c>
      <c r="D1386" t="s">
        <v>2344</v>
      </c>
      <c r="E1386" t="s">
        <v>2344</v>
      </c>
      <c r="F1386" t="s">
        <v>2346</v>
      </c>
      <c r="G1386">
        <v>1</v>
      </c>
      <c r="H1386" t="s">
        <v>2344</v>
      </c>
      <c r="I1386" t="str">
        <f t="shared" si="43"/>
        <v>Obesity</v>
      </c>
      <c r="J1386" t="str">
        <f t="shared" si="44"/>
        <v>Prediabetes</v>
      </c>
    </row>
    <row r="1387" spans="1:10" x14ac:dyDescent="0.35">
      <c r="A1387" t="s">
        <v>1387</v>
      </c>
      <c r="B1387">
        <v>27.4</v>
      </c>
      <c r="C1387">
        <v>8.84</v>
      </c>
      <c r="D1387" t="s">
        <v>2344</v>
      </c>
      <c r="E1387" t="s">
        <v>2344</v>
      </c>
      <c r="F1387" t="s">
        <v>2344</v>
      </c>
      <c r="G1387">
        <v>0</v>
      </c>
      <c r="H1387" t="s">
        <v>2344</v>
      </c>
      <c r="I1387" t="str">
        <f t="shared" si="43"/>
        <v>Over weight</v>
      </c>
      <c r="J1387" t="str">
        <f t="shared" si="44"/>
        <v>Diabetes</v>
      </c>
    </row>
    <row r="1388" spans="1:10" x14ac:dyDescent="0.35">
      <c r="A1388" t="s">
        <v>1388</v>
      </c>
      <c r="B1388">
        <v>27.53</v>
      </c>
      <c r="C1388">
        <v>4.1100000000000003</v>
      </c>
      <c r="D1388" t="s">
        <v>2344</v>
      </c>
      <c r="E1388" t="s">
        <v>2344</v>
      </c>
      <c r="F1388" t="s">
        <v>2344</v>
      </c>
      <c r="G1388">
        <v>1</v>
      </c>
      <c r="H1388" t="s">
        <v>2344</v>
      </c>
      <c r="I1388" t="str">
        <f t="shared" si="43"/>
        <v>Over weight</v>
      </c>
      <c r="J1388" t="str">
        <f t="shared" si="44"/>
        <v>Normal</v>
      </c>
    </row>
    <row r="1389" spans="1:10" x14ac:dyDescent="0.35">
      <c r="A1389" t="s">
        <v>1389</v>
      </c>
      <c r="B1389">
        <v>33</v>
      </c>
      <c r="C1389">
        <v>4.57</v>
      </c>
      <c r="D1389" t="s">
        <v>2344</v>
      </c>
      <c r="E1389" t="s">
        <v>2344</v>
      </c>
      <c r="F1389" t="s">
        <v>2344</v>
      </c>
      <c r="G1389">
        <v>0</v>
      </c>
      <c r="H1389" t="s">
        <v>2344</v>
      </c>
      <c r="I1389" t="str">
        <f t="shared" si="43"/>
        <v>Obesity</v>
      </c>
      <c r="J1389" t="str">
        <f t="shared" si="44"/>
        <v>Normal</v>
      </c>
    </row>
    <row r="1390" spans="1:10" x14ac:dyDescent="0.35">
      <c r="A1390" t="s">
        <v>1390</v>
      </c>
      <c r="B1390">
        <v>25.78</v>
      </c>
      <c r="C1390">
        <v>11.06</v>
      </c>
      <c r="D1390" t="s">
        <v>2346</v>
      </c>
      <c r="E1390" t="s">
        <v>2344</v>
      </c>
      <c r="F1390" t="s">
        <v>2344</v>
      </c>
      <c r="G1390">
        <v>0</v>
      </c>
      <c r="H1390" t="s">
        <v>2344</v>
      </c>
      <c r="I1390" t="str">
        <f t="shared" si="43"/>
        <v>Over weight</v>
      </c>
      <c r="J1390" t="str">
        <f t="shared" si="44"/>
        <v>Diabetes</v>
      </c>
    </row>
    <row r="1391" spans="1:10" x14ac:dyDescent="0.35">
      <c r="A1391" t="s">
        <v>1391</v>
      </c>
      <c r="B1391">
        <v>22.66</v>
      </c>
      <c r="C1391">
        <v>10.68</v>
      </c>
      <c r="D1391" t="s">
        <v>2344</v>
      </c>
      <c r="E1391" t="s">
        <v>2344</v>
      </c>
      <c r="F1391" t="s">
        <v>2344</v>
      </c>
      <c r="G1391">
        <v>0</v>
      </c>
      <c r="H1391" t="s">
        <v>2344</v>
      </c>
      <c r="I1391" t="str">
        <f t="shared" si="43"/>
        <v>Normal Weight</v>
      </c>
      <c r="J1391" t="str">
        <f t="shared" si="44"/>
        <v>Diabetes</v>
      </c>
    </row>
    <row r="1392" spans="1:10" x14ac:dyDescent="0.35">
      <c r="A1392" t="s">
        <v>1392</v>
      </c>
      <c r="B1392">
        <v>38.81</v>
      </c>
      <c r="C1392">
        <v>6.14</v>
      </c>
      <c r="D1392" t="s">
        <v>2346</v>
      </c>
      <c r="E1392" t="s">
        <v>2344</v>
      </c>
      <c r="F1392" t="s">
        <v>2344</v>
      </c>
      <c r="G1392">
        <v>1</v>
      </c>
      <c r="H1392" t="s">
        <v>2344</v>
      </c>
      <c r="I1392" t="str">
        <f t="shared" si="43"/>
        <v>Obesity</v>
      </c>
      <c r="J1392" t="str">
        <f t="shared" si="44"/>
        <v>Prediabetes</v>
      </c>
    </row>
    <row r="1393" spans="1:10" x14ac:dyDescent="0.35">
      <c r="A1393" t="s">
        <v>1393</v>
      </c>
      <c r="B1393">
        <v>38.51</v>
      </c>
      <c r="C1393">
        <v>5.45</v>
      </c>
      <c r="D1393" t="s">
        <v>2346</v>
      </c>
      <c r="E1393" t="s">
        <v>2344</v>
      </c>
      <c r="F1393" t="s">
        <v>2344</v>
      </c>
      <c r="G1393">
        <v>0</v>
      </c>
      <c r="H1393" t="s">
        <v>2344</v>
      </c>
      <c r="I1393" t="str">
        <f t="shared" si="43"/>
        <v>Obesity</v>
      </c>
      <c r="J1393" t="str">
        <f t="shared" si="44"/>
        <v>Normal</v>
      </c>
    </row>
    <row r="1394" spans="1:10" x14ac:dyDescent="0.35">
      <c r="A1394" t="s">
        <v>1394</v>
      </c>
      <c r="B1394">
        <v>22.98</v>
      </c>
      <c r="C1394">
        <v>6.14</v>
      </c>
      <c r="D1394" t="s">
        <v>2346</v>
      </c>
      <c r="E1394" t="s">
        <v>2344</v>
      </c>
      <c r="F1394" t="s">
        <v>2344</v>
      </c>
      <c r="G1394">
        <v>0</v>
      </c>
      <c r="H1394" t="s">
        <v>2344</v>
      </c>
      <c r="I1394" t="str">
        <f t="shared" si="43"/>
        <v>Normal Weight</v>
      </c>
      <c r="J1394" t="str">
        <f t="shared" si="44"/>
        <v>Prediabetes</v>
      </c>
    </row>
    <row r="1395" spans="1:10" x14ac:dyDescent="0.35">
      <c r="A1395" t="s">
        <v>1395</v>
      </c>
      <c r="B1395">
        <v>15.65</v>
      </c>
      <c r="C1395">
        <v>7.85</v>
      </c>
      <c r="D1395" t="s">
        <v>2344</v>
      </c>
      <c r="E1395" t="s">
        <v>2344</v>
      </c>
      <c r="F1395" t="s">
        <v>2344</v>
      </c>
      <c r="G1395">
        <v>0</v>
      </c>
      <c r="H1395" t="s">
        <v>2344</v>
      </c>
      <c r="I1395" t="str">
        <f t="shared" si="43"/>
        <v>Under Weight</v>
      </c>
      <c r="J1395" t="str">
        <f t="shared" si="44"/>
        <v>Diabetes</v>
      </c>
    </row>
    <row r="1396" spans="1:10" x14ac:dyDescent="0.35">
      <c r="A1396" t="s">
        <v>1396</v>
      </c>
      <c r="B1396">
        <v>39.97</v>
      </c>
      <c r="C1396">
        <v>4.09</v>
      </c>
      <c r="D1396" t="s">
        <v>2344</v>
      </c>
      <c r="E1396" t="s">
        <v>2344</v>
      </c>
      <c r="F1396" t="s">
        <v>2344</v>
      </c>
      <c r="G1396">
        <v>1</v>
      </c>
      <c r="H1396" t="s">
        <v>2344</v>
      </c>
      <c r="I1396" t="str">
        <f t="shared" si="43"/>
        <v>Obesity</v>
      </c>
      <c r="J1396" t="str">
        <f t="shared" si="44"/>
        <v>Normal</v>
      </c>
    </row>
    <row r="1397" spans="1:10" x14ac:dyDescent="0.35">
      <c r="A1397" t="s">
        <v>1397</v>
      </c>
      <c r="B1397">
        <v>37.22</v>
      </c>
      <c r="C1397">
        <v>4.62</v>
      </c>
      <c r="D1397" t="s">
        <v>2344</v>
      </c>
      <c r="E1397" t="s">
        <v>2344</v>
      </c>
      <c r="F1397" t="s">
        <v>2346</v>
      </c>
      <c r="G1397">
        <v>1</v>
      </c>
      <c r="H1397" t="s">
        <v>2344</v>
      </c>
      <c r="I1397" t="str">
        <f t="shared" si="43"/>
        <v>Obesity</v>
      </c>
      <c r="J1397" t="str">
        <f t="shared" si="44"/>
        <v>Normal</v>
      </c>
    </row>
    <row r="1398" spans="1:10" x14ac:dyDescent="0.35">
      <c r="A1398" t="s">
        <v>1398</v>
      </c>
      <c r="B1398">
        <v>41.325000000000003</v>
      </c>
      <c r="C1398">
        <v>5.77</v>
      </c>
      <c r="D1398" t="s">
        <v>2344</v>
      </c>
      <c r="E1398" t="s">
        <v>2344</v>
      </c>
      <c r="F1398" t="s">
        <v>2344</v>
      </c>
      <c r="G1398">
        <v>0</v>
      </c>
      <c r="H1398" t="s">
        <v>2344</v>
      </c>
      <c r="I1398" t="str">
        <f t="shared" si="43"/>
        <v>Obesity</v>
      </c>
      <c r="J1398" t="str">
        <f t="shared" si="44"/>
        <v>Prediabetes</v>
      </c>
    </row>
    <row r="1399" spans="1:10" x14ac:dyDescent="0.35">
      <c r="A1399" t="s">
        <v>1399</v>
      </c>
      <c r="B1399">
        <v>40.31</v>
      </c>
      <c r="C1399">
        <v>5.84</v>
      </c>
      <c r="D1399" t="s">
        <v>2344</v>
      </c>
      <c r="E1399" t="s">
        <v>2344</v>
      </c>
      <c r="F1399" t="s">
        <v>2344</v>
      </c>
      <c r="G1399">
        <v>0</v>
      </c>
      <c r="H1399" t="s">
        <v>2344</v>
      </c>
      <c r="I1399" t="str">
        <f t="shared" si="43"/>
        <v>Obesity</v>
      </c>
      <c r="J1399" t="str">
        <f t="shared" si="44"/>
        <v>Prediabetes</v>
      </c>
    </row>
    <row r="1400" spans="1:10" x14ac:dyDescent="0.35">
      <c r="A1400" t="s">
        <v>1400</v>
      </c>
      <c r="B1400">
        <v>29.48</v>
      </c>
      <c r="C1400">
        <v>4.91</v>
      </c>
      <c r="D1400" t="s">
        <v>2344</v>
      </c>
      <c r="E1400" t="s">
        <v>2344</v>
      </c>
      <c r="F1400" t="s">
        <v>2344</v>
      </c>
      <c r="G1400">
        <v>0</v>
      </c>
      <c r="H1400" t="s">
        <v>2344</v>
      </c>
      <c r="I1400" t="str">
        <f t="shared" si="43"/>
        <v>Over weight</v>
      </c>
      <c r="J1400" t="str">
        <f t="shared" si="44"/>
        <v>Normal</v>
      </c>
    </row>
    <row r="1401" spans="1:10" x14ac:dyDescent="0.35">
      <c r="A1401" t="s">
        <v>1401</v>
      </c>
      <c r="B1401">
        <v>33.155000000000001</v>
      </c>
      <c r="C1401">
        <v>5.07</v>
      </c>
      <c r="D1401" t="s">
        <v>2344</v>
      </c>
      <c r="E1401" t="s">
        <v>2344</v>
      </c>
      <c r="F1401" t="s">
        <v>2344</v>
      </c>
      <c r="G1401">
        <v>0</v>
      </c>
      <c r="H1401" t="s">
        <v>2344</v>
      </c>
      <c r="I1401" t="str">
        <f t="shared" si="43"/>
        <v>Obesity</v>
      </c>
      <c r="J1401" t="str">
        <f t="shared" si="44"/>
        <v>Normal</v>
      </c>
    </row>
    <row r="1402" spans="1:10" x14ac:dyDescent="0.35">
      <c r="A1402" t="s">
        <v>1402</v>
      </c>
      <c r="B1402">
        <v>42.85</v>
      </c>
      <c r="C1402">
        <v>5.81</v>
      </c>
      <c r="D1402" t="s">
        <v>2346</v>
      </c>
      <c r="E1402" t="s">
        <v>2344</v>
      </c>
      <c r="F1402" t="s">
        <v>2344</v>
      </c>
      <c r="G1402">
        <v>0</v>
      </c>
      <c r="H1402" t="s">
        <v>2344</v>
      </c>
      <c r="I1402" t="str">
        <f t="shared" si="43"/>
        <v>Obesity</v>
      </c>
      <c r="J1402" t="str">
        <f t="shared" si="44"/>
        <v>Prediabetes</v>
      </c>
    </row>
    <row r="1403" spans="1:10" x14ac:dyDescent="0.35">
      <c r="A1403" t="s">
        <v>1403</v>
      </c>
      <c r="B1403">
        <v>32.340000000000003</v>
      </c>
      <c r="C1403">
        <v>11.2</v>
      </c>
      <c r="D1403" t="s">
        <v>2344</v>
      </c>
      <c r="E1403" t="s">
        <v>2344</v>
      </c>
      <c r="F1403" t="s">
        <v>2344</v>
      </c>
      <c r="G1403">
        <v>0</v>
      </c>
      <c r="H1403" t="s">
        <v>2344</v>
      </c>
      <c r="I1403" t="str">
        <f t="shared" si="43"/>
        <v>Obesity</v>
      </c>
      <c r="J1403" t="str">
        <f t="shared" si="44"/>
        <v>Diabetes</v>
      </c>
    </row>
    <row r="1404" spans="1:10" x14ac:dyDescent="0.35">
      <c r="A1404" t="s">
        <v>1404</v>
      </c>
      <c r="B1404">
        <v>27.5</v>
      </c>
      <c r="C1404">
        <v>10.75</v>
      </c>
      <c r="D1404" t="s">
        <v>2344</v>
      </c>
      <c r="E1404" t="s">
        <v>2344</v>
      </c>
      <c r="F1404" t="s">
        <v>2344</v>
      </c>
      <c r="G1404">
        <v>0</v>
      </c>
      <c r="H1404" t="s">
        <v>2344</v>
      </c>
      <c r="I1404" t="str">
        <f t="shared" si="43"/>
        <v>Over weight</v>
      </c>
      <c r="J1404" t="str">
        <f t="shared" si="44"/>
        <v>Diabetes</v>
      </c>
    </row>
    <row r="1405" spans="1:10" x14ac:dyDescent="0.35">
      <c r="A1405" t="s">
        <v>1405</v>
      </c>
      <c r="B1405">
        <v>25.8</v>
      </c>
      <c r="C1405">
        <v>7.8</v>
      </c>
      <c r="D1405" t="s">
        <v>2344</v>
      </c>
      <c r="E1405" t="s">
        <v>2344</v>
      </c>
      <c r="F1405" t="s">
        <v>2344</v>
      </c>
      <c r="G1405">
        <v>0</v>
      </c>
      <c r="H1405" t="s">
        <v>2344</v>
      </c>
      <c r="I1405" t="str">
        <f t="shared" si="43"/>
        <v>Over weight</v>
      </c>
      <c r="J1405" t="str">
        <f t="shared" si="44"/>
        <v>Diabetes</v>
      </c>
    </row>
    <row r="1406" spans="1:10" x14ac:dyDescent="0.35">
      <c r="A1406" t="s">
        <v>1406</v>
      </c>
      <c r="B1406">
        <v>25</v>
      </c>
      <c r="C1406">
        <v>7.04</v>
      </c>
      <c r="D1406" t="s">
        <v>2344</v>
      </c>
      <c r="E1406" t="s">
        <v>2344</v>
      </c>
      <c r="F1406" t="s">
        <v>2344</v>
      </c>
      <c r="G1406">
        <v>0</v>
      </c>
      <c r="H1406" t="s">
        <v>2344</v>
      </c>
      <c r="I1406" t="str">
        <f t="shared" si="43"/>
        <v>Over weight</v>
      </c>
      <c r="J1406" t="str">
        <f t="shared" si="44"/>
        <v>Diabetes</v>
      </c>
    </row>
    <row r="1407" spans="1:10" x14ac:dyDescent="0.35">
      <c r="A1407" t="s">
        <v>1407</v>
      </c>
      <c r="B1407">
        <v>41.2</v>
      </c>
      <c r="C1407">
        <v>4.18</v>
      </c>
      <c r="D1407" t="s">
        <v>2346</v>
      </c>
      <c r="E1407" t="s">
        <v>2344</v>
      </c>
      <c r="F1407" t="s">
        <v>2344</v>
      </c>
      <c r="G1407">
        <v>0</v>
      </c>
      <c r="H1407" t="s">
        <v>2344</v>
      </c>
      <c r="I1407" t="str">
        <f t="shared" si="43"/>
        <v>Obesity</v>
      </c>
      <c r="J1407" t="str">
        <f t="shared" si="44"/>
        <v>Normal</v>
      </c>
    </row>
    <row r="1408" spans="1:10" x14ac:dyDescent="0.35">
      <c r="A1408" t="s">
        <v>1408</v>
      </c>
      <c r="B1408">
        <v>17.78</v>
      </c>
      <c r="C1408">
        <v>8.19</v>
      </c>
      <c r="D1408" t="s">
        <v>2344</v>
      </c>
      <c r="E1408" t="s">
        <v>2344</v>
      </c>
      <c r="F1408" t="s">
        <v>2344</v>
      </c>
      <c r="G1408">
        <v>0</v>
      </c>
      <c r="H1408" t="s">
        <v>2344</v>
      </c>
      <c r="I1408" t="str">
        <f t="shared" si="43"/>
        <v>Under Weight</v>
      </c>
      <c r="J1408" t="str">
        <f t="shared" si="44"/>
        <v>Diabetes</v>
      </c>
    </row>
    <row r="1409" spans="1:10" x14ac:dyDescent="0.35">
      <c r="A1409" t="s">
        <v>1409</v>
      </c>
      <c r="B1409">
        <v>40.119999999999997</v>
      </c>
      <c r="C1409">
        <v>6.22</v>
      </c>
      <c r="D1409" t="s">
        <v>2346</v>
      </c>
      <c r="E1409" t="s">
        <v>2344</v>
      </c>
      <c r="F1409" t="s">
        <v>2346</v>
      </c>
      <c r="G1409">
        <v>1</v>
      </c>
      <c r="H1409" t="s">
        <v>2344</v>
      </c>
      <c r="I1409" t="str">
        <f t="shared" si="43"/>
        <v>Obesity</v>
      </c>
      <c r="J1409" t="str">
        <f t="shared" si="44"/>
        <v>Prediabetes</v>
      </c>
    </row>
    <row r="1410" spans="1:10" x14ac:dyDescent="0.35">
      <c r="A1410" t="s">
        <v>1410</v>
      </c>
      <c r="B1410">
        <v>19.350000000000001</v>
      </c>
      <c r="C1410">
        <v>8.2200000000000006</v>
      </c>
      <c r="D1410" t="s">
        <v>2346</v>
      </c>
      <c r="E1410" t="s">
        <v>2344</v>
      </c>
      <c r="F1410" t="s">
        <v>2344</v>
      </c>
      <c r="G1410">
        <v>0</v>
      </c>
      <c r="H1410" t="s">
        <v>2344</v>
      </c>
      <c r="I1410" t="str">
        <f t="shared" si="43"/>
        <v>Normal Weight</v>
      </c>
      <c r="J1410" t="str">
        <f t="shared" si="44"/>
        <v>Diabetes</v>
      </c>
    </row>
    <row r="1411" spans="1:10" x14ac:dyDescent="0.35">
      <c r="A1411" t="s">
        <v>1411</v>
      </c>
      <c r="B1411">
        <v>36.69</v>
      </c>
      <c r="C1411">
        <v>6.15</v>
      </c>
      <c r="D1411" t="s">
        <v>2344</v>
      </c>
      <c r="E1411" t="s">
        <v>2344</v>
      </c>
      <c r="F1411" t="s">
        <v>2344</v>
      </c>
      <c r="G1411">
        <v>0</v>
      </c>
      <c r="H1411" t="s">
        <v>2344</v>
      </c>
      <c r="I1411" t="str">
        <f t="shared" ref="I1411:I1474" si="45">IF(B1411&lt;18.5,"Under Weight",IF(B1411&lt;25,"Normal Weight",IF(B1411&lt;30,"Over weight","Obesity")))</f>
        <v>Obesity</v>
      </c>
      <c r="J1411" t="str">
        <f t="shared" si="44"/>
        <v>Prediabetes</v>
      </c>
    </row>
    <row r="1412" spans="1:10" x14ac:dyDescent="0.35">
      <c r="A1412" t="s">
        <v>1412</v>
      </c>
      <c r="B1412">
        <v>28.51</v>
      </c>
      <c r="C1412">
        <v>5.65</v>
      </c>
      <c r="D1412" t="s">
        <v>2346</v>
      </c>
      <c r="E1412" t="s">
        <v>2344</v>
      </c>
      <c r="F1412" t="s">
        <v>2344</v>
      </c>
      <c r="G1412">
        <v>1</v>
      </c>
      <c r="H1412" t="s">
        <v>2344</v>
      </c>
      <c r="I1412" t="str">
        <f t="shared" si="45"/>
        <v>Over weight</v>
      </c>
      <c r="J1412" t="str">
        <f t="shared" si="44"/>
        <v>Normal</v>
      </c>
    </row>
    <row r="1413" spans="1:10" x14ac:dyDescent="0.35">
      <c r="A1413" t="s">
        <v>1413</v>
      </c>
      <c r="B1413">
        <v>30.21</v>
      </c>
      <c r="C1413">
        <v>5.5</v>
      </c>
      <c r="D1413" t="s">
        <v>2344</v>
      </c>
      <c r="E1413" t="s">
        <v>2344</v>
      </c>
      <c r="F1413" t="s">
        <v>2344</v>
      </c>
      <c r="G1413">
        <v>1</v>
      </c>
      <c r="H1413" t="s">
        <v>2344</v>
      </c>
      <c r="I1413" t="str">
        <f t="shared" si="45"/>
        <v>Obesity</v>
      </c>
      <c r="J1413" t="str">
        <f t="shared" si="44"/>
        <v>Normal</v>
      </c>
    </row>
    <row r="1414" spans="1:10" x14ac:dyDescent="0.35">
      <c r="A1414" t="s">
        <v>1414</v>
      </c>
      <c r="B1414">
        <v>24.33</v>
      </c>
      <c r="C1414" t="s">
        <v>2346</v>
      </c>
      <c r="D1414" t="s">
        <v>2344</v>
      </c>
      <c r="E1414" t="s">
        <v>2344</v>
      </c>
      <c r="F1414" t="s">
        <v>2344</v>
      </c>
      <c r="G1414">
        <v>0</v>
      </c>
      <c r="H1414" t="s">
        <v>2344</v>
      </c>
      <c r="I1414" t="str">
        <f t="shared" si="45"/>
        <v>Normal Weight</v>
      </c>
      <c r="J1414" t="str">
        <f t="shared" si="44"/>
        <v>Diabetes</v>
      </c>
    </row>
    <row r="1415" spans="1:10" x14ac:dyDescent="0.35">
      <c r="A1415" t="s">
        <v>1415</v>
      </c>
      <c r="B1415">
        <v>19.855</v>
      </c>
      <c r="C1415">
        <v>5.71</v>
      </c>
      <c r="D1415" t="s">
        <v>2346</v>
      </c>
      <c r="E1415" t="s">
        <v>2344</v>
      </c>
      <c r="F1415" t="s">
        <v>2344</v>
      </c>
      <c r="G1415">
        <v>0</v>
      </c>
      <c r="H1415" t="s">
        <v>2344</v>
      </c>
      <c r="I1415" t="str">
        <f t="shared" si="45"/>
        <v>Normal Weight</v>
      </c>
      <c r="J1415" t="str">
        <f t="shared" si="44"/>
        <v>Prediabetes</v>
      </c>
    </row>
    <row r="1416" spans="1:10" x14ac:dyDescent="0.35">
      <c r="A1416" t="s">
        <v>1416</v>
      </c>
      <c r="B1416">
        <v>25.364999999999998</v>
      </c>
      <c r="C1416">
        <v>11.71</v>
      </c>
      <c r="D1416" t="s">
        <v>2344</v>
      </c>
      <c r="E1416" t="s">
        <v>2344</v>
      </c>
      <c r="F1416" t="s">
        <v>2344</v>
      </c>
      <c r="G1416">
        <v>0</v>
      </c>
      <c r="H1416" t="s">
        <v>2344</v>
      </c>
      <c r="I1416" t="str">
        <f t="shared" si="45"/>
        <v>Over weight</v>
      </c>
      <c r="J1416" t="str">
        <f t="shared" si="44"/>
        <v>Diabetes</v>
      </c>
    </row>
    <row r="1417" spans="1:10" x14ac:dyDescent="0.35">
      <c r="A1417" t="s">
        <v>1417</v>
      </c>
      <c r="B1417">
        <v>29.6</v>
      </c>
      <c r="C1417">
        <v>6.17</v>
      </c>
      <c r="D1417" t="s">
        <v>2346</v>
      </c>
      <c r="E1417" t="s">
        <v>2344</v>
      </c>
      <c r="F1417" t="s">
        <v>2346</v>
      </c>
      <c r="G1417">
        <v>1</v>
      </c>
      <c r="H1417" t="s">
        <v>2344</v>
      </c>
      <c r="I1417" t="str">
        <f t="shared" si="45"/>
        <v>Over weight</v>
      </c>
      <c r="J1417" t="str">
        <f t="shared" si="44"/>
        <v>Prediabetes</v>
      </c>
    </row>
    <row r="1418" spans="1:10" x14ac:dyDescent="0.35">
      <c r="A1418" t="s">
        <v>1418</v>
      </c>
      <c r="B1418">
        <v>39.43</v>
      </c>
      <c r="C1418">
        <v>6.1</v>
      </c>
      <c r="D1418" t="s">
        <v>2346</v>
      </c>
      <c r="E1418" t="s">
        <v>2344</v>
      </c>
      <c r="F1418" t="s">
        <v>2346</v>
      </c>
      <c r="G1418">
        <v>1</v>
      </c>
      <c r="H1418" t="s">
        <v>2344</v>
      </c>
      <c r="I1418" t="str">
        <f t="shared" si="45"/>
        <v>Obesity</v>
      </c>
      <c r="J1418" t="str">
        <f t="shared" si="44"/>
        <v>Prediabetes</v>
      </c>
    </row>
    <row r="1419" spans="1:10" x14ac:dyDescent="0.35">
      <c r="A1419" t="s">
        <v>1419</v>
      </c>
      <c r="B1419">
        <v>27.34</v>
      </c>
      <c r="C1419">
        <v>5.19</v>
      </c>
      <c r="D1419" t="s">
        <v>2346</v>
      </c>
      <c r="E1419" t="s">
        <v>2344</v>
      </c>
      <c r="F1419" t="s">
        <v>2344</v>
      </c>
      <c r="G1419">
        <v>1</v>
      </c>
      <c r="H1419" t="s">
        <v>2344</v>
      </c>
      <c r="I1419" t="str">
        <f t="shared" si="45"/>
        <v>Over weight</v>
      </c>
      <c r="J1419" t="str">
        <f t="shared" si="44"/>
        <v>Normal</v>
      </c>
    </row>
    <row r="1420" spans="1:10" x14ac:dyDescent="0.35">
      <c r="A1420" t="s">
        <v>1420</v>
      </c>
      <c r="B1420">
        <v>39.01</v>
      </c>
      <c r="C1420">
        <v>5.37</v>
      </c>
      <c r="D1420" t="s">
        <v>2346</v>
      </c>
      <c r="E1420" t="s">
        <v>2344</v>
      </c>
      <c r="F1420" t="s">
        <v>2344</v>
      </c>
      <c r="G1420">
        <v>0</v>
      </c>
      <c r="H1420" t="s">
        <v>2344</v>
      </c>
      <c r="I1420" t="str">
        <f t="shared" si="45"/>
        <v>Obesity</v>
      </c>
      <c r="J1420" t="str">
        <f t="shared" ref="J1420:J1483" si="46">IF(C1420&lt;5.7,"Normal",IF(C1420&lt;6.5,"Prediabetes","Diabetes"))</f>
        <v>Normal</v>
      </c>
    </row>
    <row r="1421" spans="1:10" x14ac:dyDescent="0.35">
      <c r="A1421" t="s">
        <v>1421</v>
      </c>
      <c r="B1421">
        <v>18.989999999999998</v>
      </c>
      <c r="C1421">
        <v>10.82</v>
      </c>
      <c r="D1421" t="s">
        <v>2346</v>
      </c>
      <c r="E1421" t="s">
        <v>2344</v>
      </c>
      <c r="F1421" t="s">
        <v>2344</v>
      </c>
      <c r="G1421">
        <v>0</v>
      </c>
      <c r="H1421" t="s">
        <v>2344</v>
      </c>
      <c r="I1421" t="str">
        <f t="shared" si="45"/>
        <v>Normal Weight</v>
      </c>
      <c r="J1421" t="str">
        <f t="shared" si="46"/>
        <v>Diabetes</v>
      </c>
    </row>
    <row r="1422" spans="1:10" x14ac:dyDescent="0.35">
      <c r="A1422" t="s">
        <v>1422</v>
      </c>
      <c r="B1422">
        <v>42.3</v>
      </c>
      <c r="C1422">
        <v>6.06</v>
      </c>
      <c r="D1422" t="s">
        <v>2346</v>
      </c>
      <c r="E1422" t="s">
        <v>2344</v>
      </c>
      <c r="F1422" t="s">
        <v>2344</v>
      </c>
      <c r="G1422">
        <v>0</v>
      </c>
      <c r="H1422" t="s">
        <v>2344</v>
      </c>
      <c r="I1422" t="str">
        <f t="shared" si="45"/>
        <v>Obesity</v>
      </c>
      <c r="J1422" t="str">
        <f t="shared" si="46"/>
        <v>Prediabetes</v>
      </c>
    </row>
    <row r="1423" spans="1:10" x14ac:dyDescent="0.35">
      <c r="A1423" t="s">
        <v>1423</v>
      </c>
      <c r="B1423">
        <v>39.805</v>
      </c>
      <c r="C1423">
        <v>5.91</v>
      </c>
      <c r="D1423" t="s">
        <v>2344</v>
      </c>
      <c r="E1423" t="s">
        <v>2344</v>
      </c>
      <c r="F1423" t="s">
        <v>2344</v>
      </c>
      <c r="G1423">
        <v>0</v>
      </c>
      <c r="H1423" t="s">
        <v>2344</v>
      </c>
      <c r="I1423" t="str">
        <f t="shared" si="45"/>
        <v>Obesity</v>
      </c>
      <c r="J1423" t="str">
        <f t="shared" si="46"/>
        <v>Prediabetes</v>
      </c>
    </row>
    <row r="1424" spans="1:10" x14ac:dyDescent="0.35">
      <c r="A1424" t="s">
        <v>1424</v>
      </c>
      <c r="B1424">
        <v>33.700000000000003</v>
      </c>
      <c r="C1424">
        <v>5.87</v>
      </c>
      <c r="D1424" t="s">
        <v>2344</v>
      </c>
      <c r="E1424" t="s">
        <v>2344</v>
      </c>
      <c r="F1424" t="s">
        <v>2344</v>
      </c>
      <c r="G1424">
        <v>0</v>
      </c>
      <c r="H1424" t="s">
        <v>2344</v>
      </c>
      <c r="I1424" t="str">
        <f t="shared" si="45"/>
        <v>Obesity</v>
      </c>
      <c r="J1424" t="str">
        <f t="shared" si="46"/>
        <v>Prediabetes</v>
      </c>
    </row>
    <row r="1425" spans="1:10" x14ac:dyDescent="0.35">
      <c r="A1425" t="s">
        <v>1425</v>
      </c>
      <c r="B1425">
        <v>36.195</v>
      </c>
      <c r="C1425">
        <v>6.22</v>
      </c>
      <c r="D1425" t="s">
        <v>2344</v>
      </c>
      <c r="E1425" t="s">
        <v>2344</v>
      </c>
      <c r="F1425" t="s">
        <v>2344</v>
      </c>
      <c r="G1425">
        <v>0</v>
      </c>
      <c r="H1425" t="s">
        <v>2344</v>
      </c>
      <c r="I1425" t="str">
        <f t="shared" si="45"/>
        <v>Obesity</v>
      </c>
      <c r="J1425" t="str">
        <f t="shared" si="46"/>
        <v>Prediabetes</v>
      </c>
    </row>
    <row r="1426" spans="1:10" x14ac:dyDescent="0.35">
      <c r="A1426" t="s">
        <v>1426</v>
      </c>
      <c r="B1426">
        <v>32.6</v>
      </c>
      <c r="C1426">
        <v>5.73</v>
      </c>
      <c r="D1426" t="s">
        <v>2344</v>
      </c>
      <c r="E1426" t="s">
        <v>2344</v>
      </c>
      <c r="F1426" t="s">
        <v>2346</v>
      </c>
      <c r="G1426">
        <v>1</v>
      </c>
      <c r="H1426" t="s">
        <v>2344</v>
      </c>
      <c r="I1426" t="str">
        <f t="shared" si="45"/>
        <v>Obesity</v>
      </c>
      <c r="J1426" t="str">
        <f t="shared" si="46"/>
        <v>Prediabetes</v>
      </c>
    </row>
    <row r="1427" spans="1:10" x14ac:dyDescent="0.35">
      <c r="A1427" t="s">
        <v>1427</v>
      </c>
      <c r="B1427">
        <v>30.2</v>
      </c>
      <c r="C1427">
        <v>5.7</v>
      </c>
      <c r="D1427" t="s">
        <v>2344</v>
      </c>
      <c r="E1427" t="s">
        <v>2344</v>
      </c>
      <c r="F1427" t="s">
        <v>2344</v>
      </c>
      <c r="G1427">
        <v>0</v>
      </c>
      <c r="H1427" t="s">
        <v>2344</v>
      </c>
      <c r="I1427" t="str">
        <f t="shared" si="45"/>
        <v>Obesity</v>
      </c>
      <c r="J1427" t="str">
        <f t="shared" si="46"/>
        <v>Prediabetes</v>
      </c>
    </row>
    <row r="1428" spans="1:10" x14ac:dyDescent="0.35">
      <c r="A1428" t="s">
        <v>1428</v>
      </c>
      <c r="B1428">
        <v>27.645</v>
      </c>
      <c r="C1428">
        <v>9.91</v>
      </c>
      <c r="D1428" t="s">
        <v>2344</v>
      </c>
      <c r="E1428" t="s">
        <v>2344</v>
      </c>
      <c r="F1428" t="s">
        <v>2344</v>
      </c>
      <c r="G1428">
        <v>0</v>
      </c>
      <c r="H1428" t="s">
        <v>2344</v>
      </c>
      <c r="I1428" t="str">
        <f t="shared" si="45"/>
        <v>Over weight</v>
      </c>
      <c r="J1428" t="str">
        <f t="shared" si="46"/>
        <v>Diabetes</v>
      </c>
    </row>
    <row r="1429" spans="1:10" x14ac:dyDescent="0.35">
      <c r="A1429" t="s">
        <v>1429</v>
      </c>
      <c r="B1429">
        <v>26.41</v>
      </c>
      <c r="C1429">
        <v>11.4</v>
      </c>
      <c r="D1429" t="s">
        <v>2344</v>
      </c>
      <c r="E1429" t="s">
        <v>2344</v>
      </c>
      <c r="F1429" t="s">
        <v>2344</v>
      </c>
      <c r="G1429">
        <v>0</v>
      </c>
      <c r="H1429" t="s">
        <v>2344</v>
      </c>
      <c r="I1429" t="str">
        <f t="shared" si="45"/>
        <v>Over weight</v>
      </c>
      <c r="J1429" t="str">
        <f t="shared" si="46"/>
        <v>Diabetes</v>
      </c>
    </row>
    <row r="1430" spans="1:10" x14ac:dyDescent="0.35">
      <c r="A1430" t="s">
        <v>1430</v>
      </c>
      <c r="B1430">
        <v>34.1</v>
      </c>
      <c r="C1430">
        <v>6.29</v>
      </c>
      <c r="D1430" t="s">
        <v>2346</v>
      </c>
      <c r="E1430" t="s">
        <v>2344</v>
      </c>
      <c r="F1430" t="s">
        <v>2346</v>
      </c>
      <c r="G1430">
        <v>1</v>
      </c>
      <c r="H1430" t="s">
        <v>2344</v>
      </c>
      <c r="I1430" t="str">
        <f t="shared" si="45"/>
        <v>Obesity</v>
      </c>
      <c r="J1430" t="str">
        <f t="shared" si="46"/>
        <v>Prediabetes</v>
      </c>
    </row>
    <row r="1431" spans="1:10" x14ac:dyDescent="0.35">
      <c r="A1431" t="s">
        <v>1431</v>
      </c>
      <c r="B1431">
        <v>17.3</v>
      </c>
      <c r="C1431">
        <v>9.2799999999999994</v>
      </c>
      <c r="D1431" t="s">
        <v>2344</v>
      </c>
      <c r="E1431" t="s">
        <v>2344</v>
      </c>
      <c r="F1431" t="s">
        <v>2344</v>
      </c>
      <c r="G1431">
        <v>0</v>
      </c>
      <c r="H1431" t="s">
        <v>2344</v>
      </c>
      <c r="I1431" t="str">
        <f t="shared" si="45"/>
        <v>Under Weight</v>
      </c>
      <c r="J1431" t="str">
        <f t="shared" si="46"/>
        <v>Diabetes</v>
      </c>
    </row>
    <row r="1432" spans="1:10" x14ac:dyDescent="0.35">
      <c r="A1432" t="s">
        <v>1432</v>
      </c>
      <c r="B1432">
        <v>35.020000000000003</v>
      </c>
      <c r="C1432">
        <v>4.78</v>
      </c>
      <c r="D1432" t="s">
        <v>2344</v>
      </c>
      <c r="E1432" t="s">
        <v>2344</v>
      </c>
      <c r="F1432" t="s">
        <v>2346</v>
      </c>
      <c r="G1432">
        <v>1</v>
      </c>
      <c r="H1432" t="s">
        <v>2344</v>
      </c>
      <c r="I1432" t="str">
        <f t="shared" si="45"/>
        <v>Obesity</v>
      </c>
      <c r="J1432" t="str">
        <f t="shared" si="46"/>
        <v>Normal</v>
      </c>
    </row>
    <row r="1433" spans="1:10" x14ac:dyDescent="0.35">
      <c r="A1433" t="s">
        <v>1433</v>
      </c>
      <c r="B1433">
        <v>37.1</v>
      </c>
      <c r="C1433">
        <v>8.8699999999999992</v>
      </c>
      <c r="D1433" t="s">
        <v>2346</v>
      </c>
      <c r="E1433" t="s">
        <v>2344</v>
      </c>
      <c r="F1433" t="s">
        <v>2344</v>
      </c>
      <c r="G1433">
        <v>0</v>
      </c>
      <c r="H1433" t="s">
        <v>2344</v>
      </c>
      <c r="I1433" t="str">
        <f t="shared" si="45"/>
        <v>Obesity</v>
      </c>
      <c r="J1433" t="str">
        <f t="shared" si="46"/>
        <v>Diabetes</v>
      </c>
    </row>
    <row r="1434" spans="1:10" x14ac:dyDescent="0.35">
      <c r="A1434" t="s">
        <v>1434</v>
      </c>
      <c r="B1434">
        <v>16.79</v>
      </c>
      <c r="C1434">
        <v>11.4</v>
      </c>
      <c r="D1434" t="s">
        <v>2344</v>
      </c>
      <c r="E1434" t="s">
        <v>2344</v>
      </c>
      <c r="F1434" t="s">
        <v>2344</v>
      </c>
      <c r="G1434">
        <v>0</v>
      </c>
      <c r="H1434" t="s">
        <v>2344</v>
      </c>
      <c r="I1434" t="str">
        <f t="shared" si="45"/>
        <v>Under Weight</v>
      </c>
      <c r="J1434" t="str">
        <f t="shared" si="46"/>
        <v>Diabetes</v>
      </c>
    </row>
    <row r="1435" spans="1:10" x14ac:dyDescent="0.35">
      <c r="A1435" t="s">
        <v>1435</v>
      </c>
      <c r="B1435">
        <v>31.635000000000002</v>
      </c>
      <c r="C1435">
        <v>9.1300000000000008</v>
      </c>
      <c r="D1435" t="s">
        <v>2346</v>
      </c>
      <c r="E1435" t="s">
        <v>2344</v>
      </c>
      <c r="F1435" t="s">
        <v>2344</v>
      </c>
      <c r="G1435">
        <v>0</v>
      </c>
      <c r="H1435" t="s">
        <v>2344</v>
      </c>
      <c r="I1435" t="str">
        <f t="shared" si="45"/>
        <v>Obesity</v>
      </c>
      <c r="J1435" t="str">
        <f t="shared" si="46"/>
        <v>Diabetes</v>
      </c>
    </row>
    <row r="1436" spans="1:10" x14ac:dyDescent="0.35">
      <c r="A1436" t="s">
        <v>1436</v>
      </c>
      <c r="B1436">
        <v>24.19</v>
      </c>
      <c r="C1436">
        <v>6.22</v>
      </c>
      <c r="D1436" t="s">
        <v>2346</v>
      </c>
      <c r="E1436" t="s">
        <v>2344</v>
      </c>
      <c r="F1436" t="s">
        <v>2346</v>
      </c>
      <c r="G1436">
        <v>1</v>
      </c>
      <c r="H1436" t="s">
        <v>2344</v>
      </c>
      <c r="I1436" t="str">
        <f t="shared" si="45"/>
        <v>Normal Weight</v>
      </c>
      <c r="J1436" t="str">
        <f t="shared" si="46"/>
        <v>Prediabetes</v>
      </c>
    </row>
    <row r="1437" spans="1:10" x14ac:dyDescent="0.35">
      <c r="A1437" t="s">
        <v>1437</v>
      </c>
      <c r="B1437">
        <v>35.29</v>
      </c>
      <c r="C1437">
        <v>5.9</v>
      </c>
      <c r="D1437" t="s">
        <v>2344</v>
      </c>
      <c r="E1437" t="s">
        <v>2344</v>
      </c>
      <c r="F1437" t="s">
        <v>2346</v>
      </c>
      <c r="G1437">
        <v>1</v>
      </c>
      <c r="H1437" t="s">
        <v>2344</v>
      </c>
      <c r="I1437" t="str">
        <f t="shared" si="45"/>
        <v>Obesity</v>
      </c>
      <c r="J1437" t="str">
        <f t="shared" si="46"/>
        <v>Prediabetes</v>
      </c>
    </row>
    <row r="1438" spans="1:10" x14ac:dyDescent="0.35">
      <c r="A1438" t="s">
        <v>1438</v>
      </c>
      <c r="B1438">
        <v>35.299999999999997</v>
      </c>
      <c r="C1438">
        <v>4.45</v>
      </c>
      <c r="D1438" t="s">
        <v>2344</v>
      </c>
      <c r="E1438" t="s">
        <v>2344</v>
      </c>
      <c r="F1438" t="s">
        <v>2344</v>
      </c>
      <c r="G1438">
        <v>0</v>
      </c>
      <c r="H1438" t="s">
        <v>2344</v>
      </c>
      <c r="I1438" t="str">
        <f t="shared" si="45"/>
        <v>Obesity</v>
      </c>
      <c r="J1438" t="str">
        <f t="shared" si="46"/>
        <v>Normal</v>
      </c>
    </row>
    <row r="1439" spans="1:10" x14ac:dyDescent="0.35">
      <c r="A1439" t="s">
        <v>1439</v>
      </c>
      <c r="B1439">
        <v>35.64</v>
      </c>
      <c r="C1439">
        <v>6.17</v>
      </c>
      <c r="D1439" t="s">
        <v>2344</v>
      </c>
      <c r="E1439" t="s">
        <v>2344</v>
      </c>
      <c r="F1439" t="s">
        <v>2346</v>
      </c>
      <c r="G1439">
        <v>1</v>
      </c>
      <c r="H1439" t="s">
        <v>2344</v>
      </c>
      <c r="I1439" t="str">
        <f t="shared" si="45"/>
        <v>Obesity</v>
      </c>
      <c r="J1439" t="str">
        <f t="shared" si="46"/>
        <v>Prediabetes</v>
      </c>
    </row>
    <row r="1440" spans="1:10" x14ac:dyDescent="0.35">
      <c r="A1440" t="s">
        <v>1440</v>
      </c>
      <c r="B1440">
        <v>33.1</v>
      </c>
      <c r="C1440">
        <v>4.93</v>
      </c>
      <c r="D1440" t="s">
        <v>2344</v>
      </c>
      <c r="E1440" t="s">
        <v>2344</v>
      </c>
      <c r="F1440" t="s">
        <v>2344</v>
      </c>
      <c r="G1440">
        <v>0</v>
      </c>
      <c r="H1440" t="s">
        <v>2344</v>
      </c>
      <c r="I1440" t="str">
        <f t="shared" si="45"/>
        <v>Obesity</v>
      </c>
      <c r="J1440" t="str">
        <f t="shared" si="46"/>
        <v>Normal</v>
      </c>
    </row>
    <row r="1441" spans="1:10" x14ac:dyDescent="0.35">
      <c r="A1441" t="s">
        <v>1441</v>
      </c>
      <c r="B1441">
        <v>26.41</v>
      </c>
      <c r="C1441">
        <v>7.32</v>
      </c>
      <c r="D1441" t="s">
        <v>2346</v>
      </c>
      <c r="E1441" t="s">
        <v>2344</v>
      </c>
      <c r="F1441" t="s">
        <v>2344</v>
      </c>
      <c r="G1441">
        <v>1</v>
      </c>
      <c r="H1441" t="s">
        <v>2344</v>
      </c>
      <c r="I1441" t="str">
        <f t="shared" si="45"/>
        <v>Over weight</v>
      </c>
      <c r="J1441" t="str">
        <f t="shared" si="46"/>
        <v>Diabetes</v>
      </c>
    </row>
    <row r="1442" spans="1:10" x14ac:dyDescent="0.35">
      <c r="A1442" t="s">
        <v>1442</v>
      </c>
      <c r="B1442">
        <v>29.9</v>
      </c>
      <c r="C1442">
        <v>5.27</v>
      </c>
      <c r="D1442" t="s">
        <v>2344</v>
      </c>
      <c r="E1442" t="s">
        <v>2344</v>
      </c>
      <c r="F1442" t="s">
        <v>2346</v>
      </c>
      <c r="G1442">
        <v>1</v>
      </c>
      <c r="H1442" t="s">
        <v>2344</v>
      </c>
      <c r="I1442" t="str">
        <f t="shared" si="45"/>
        <v>Over weight</v>
      </c>
      <c r="J1442" t="str">
        <f t="shared" si="46"/>
        <v>Normal</v>
      </c>
    </row>
    <row r="1443" spans="1:10" x14ac:dyDescent="0.35">
      <c r="A1443" t="s">
        <v>1443</v>
      </c>
      <c r="B1443">
        <v>25.24</v>
      </c>
      <c r="C1443">
        <v>5.82</v>
      </c>
      <c r="D1443" t="s">
        <v>2344</v>
      </c>
      <c r="E1443" t="s">
        <v>2344</v>
      </c>
      <c r="F1443" t="s">
        <v>2344</v>
      </c>
      <c r="G1443">
        <v>1</v>
      </c>
      <c r="H1443" t="s">
        <v>2344</v>
      </c>
      <c r="I1443" t="str">
        <f t="shared" si="45"/>
        <v>Over weight</v>
      </c>
      <c r="J1443" t="str">
        <f t="shared" si="46"/>
        <v>Prediabetes</v>
      </c>
    </row>
    <row r="1444" spans="1:10" x14ac:dyDescent="0.35">
      <c r="A1444" t="s">
        <v>1444</v>
      </c>
      <c r="B1444">
        <v>25.08</v>
      </c>
      <c r="C1444">
        <v>5.8</v>
      </c>
      <c r="D1444" t="s">
        <v>2344</v>
      </c>
      <c r="E1444" t="s">
        <v>2344</v>
      </c>
      <c r="F1444" t="s">
        <v>2346</v>
      </c>
      <c r="G1444">
        <v>1</v>
      </c>
      <c r="H1444" t="s">
        <v>2344</v>
      </c>
      <c r="I1444" t="str">
        <f t="shared" si="45"/>
        <v>Over weight</v>
      </c>
      <c r="J1444" t="str">
        <f t="shared" si="46"/>
        <v>Prediabetes</v>
      </c>
    </row>
    <row r="1445" spans="1:10" x14ac:dyDescent="0.35">
      <c r="A1445" t="s">
        <v>1445</v>
      </c>
      <c r="B1445">
        <v>29.164999999999999</v>
      </c>
      <c r="C1445">
        <v>4.87</v>
      </c>
      <c r="D1445" t="s">
        <v>2344</v>
      </c>
      <c r="E1445" t="s">
        <v>2345</v>
      </c>
      <c r="F1445" t="s">
        <v>2344</v>
      </c>
      <c r="G1445">
        <v>1</v>
      </c>
      <c r="H1445" t="s">
        <v>2344</v>
      </c>
      <c r="I1445" t="str">
        <f t="shared" si="45"/>
        <v>Over weight</v>
      </c>
      <c r="J1445" t="str">
        <f t="shared" si="46"/>
        <v>Normal</v>
      </c>
    </row>
    <row r="1446" spans="1:10" x14ac:dyDescent="0.35">
      <c r="A1446" t="s">
        <v>1446</v>
      </c>
      <c r="B1446">
        <v>15.05</v>
      </c>
      <c r="C1446">
        <v>8.1199999999999992</v>
      </c>
      <c r="D1446" t="s">
        <v>2344</v>
      </c>
      <c r="E1446" t="s">
        <v>2344</v>
      </c>
      <c r="F1446" t="s">
        <v>2344</v>
      </c>
      <c r="G1446">
        <v>0</v>
      </c>
      <c r="H1446" t="s">
        <v>2344</v>
      </c>
      <c r="I1446" t="str">
        <f t="shared" si="45"/>
        <v>Under Weight</v>
      </c>
      <c r="J1446" t="str">
        <f t="shared" si="46"/>
        <v>Diabetes</v>
      </c>
    </row>
    <row r="1447" spans="1:10" x14ac:dyDescent="0.35">
      <c r="A1447" t="s">
        <v>1447</v>
      </c>
      <c r="B1447">
        <v>19.95</v>
      </c>
      <c r="C1447">
        <v>4.3600000000000003</v>
      </c>
      <c r="D1447" t="s">
        <v>2344</v>
      </c>
      <c r="E1447" t="s">
        <v>2344</v>
      </c>
      <c r="F1447" t="s">
        <v>2344</v>
      </c>
      <c r="G1447">
        <v>1</v>
      </c>
      <c r="H1447" t="s">
        <v>2344</v>
      </c>
      <c r="I1447" t="str">
        <f t="shared" si="45"/>
        <v>Normal Weight</v>
      </c>
      <c r="J1447" t="str">
        <f t="shared" si="46"/>
        <v>Normal</v>
      </c>
    </row>
    <row r="1448" spans="1:10" x14ac:dyDescent="0.35">
      <c r="A1448" t="s">
        <v>1448</v>
      </c>
      <c r="B1448">
        <v>16.66</v>
      </c>
      <c r="C1448">
        <v>9.16</v>
      </c>
      <c r="D1448" t="s">
        <v>2344</v>
      </c>
      <c r="E1448" t="s">
        <v>2344</v>
      </c>
      <c r="F1448" t="s">
        <v>2344</v>
      </c>
      <c r="G1448">
        <v>0</v>
      </c>
      <c r="H1448" t="s">
        <v>2344</v>
      </c>
      <c r="I1448" t="str">
        <f t="shared" si="45"/>
        <v>Under Weight</v>
      </c>
      <c r="J1448" t="str">
        <f t="shared" si="46"/>
        <v>Diabetes</v>
      </c>
    </row>
    <row r="1449" spans="1:10" x14ac:dyDescent="0.35">
      <c r="A1449" t="s">
        <v>1449</v>
      </c>
      <c r="B1449">
        <v>16.62</v>
      </c>
      <c r="C1449">
        <v>9.14</v>
      </c>
      <c r="D1449" t="s">
        <v>2344</v>
      </c>
      <c r="E1449" t="s">
        <v>2344</v>
      </c>
      <c r="F1449" t="s">
        <v>2344</v>
      </c>
      <c r="G1449">
        <v>0</v>
      </c>
      <c r="H1449" t="s">
        <v>2344</v>
      </c>
      <c r="I1449" t="str">
        <f t="shared" si="45"/>
        <v>Under Weight</v>
      </c>
      <c r="J1449" t="str">
        <f t="shared" si="46"/>
        <v>Diabetes</v>
      </c>
    </row>
    <row r="1450" spans="1:10" x14ac:dyDescent="0.35">
      <c r="A1450" t="s">
        <v>1450</v>
      </c>
      <c r="B1450">
        <v>15.36</v>
      </c>
      <c r="C1450">
        <v>5.49</v>
      </c>
      <c r="D1450" t="s">
        <v>2346</v>
      </c>
      <c r="E1450" t="s">
        <v>2344</v>
      </c>
      <c r="F1450" t="s">
        <v>2344</v>
      </c>
      <c r="G1450">
        <v>1</v>
      </c>
      <c r="H1450" t="s">
        <v>2344</v>
      </c>
      <c r="I1450" t="str">
        <f t="shared" si="45"/>
        <v>Under Weight</v>
      </c>
      <c r="J1450" t="str">
        <f t="shared" si="46"/>
        <v>Normal</v>
      </c>
    </row>
    <row r="1451" spans="1:10" x14ac:dyDescent="0.35">
      <c r="A1451" t="s">
        <v>1451</v>
      </c>
      <c r="B1451">
        <v>27.74</v>
      </c>
      <c r="C1451">
        <v>5.96</v>
      </c>
      <c r="D1451" t="s">
        <v>2346</v>
      </c>
      <c r="E1451" t="s">
        <v>2344</v>
      </c>
      <c r="F1451" t="s">
        <v>2344</v>
      </c>
      <c r="G1451">
        <v>0</v>
      </c>
      <c r="H1451" t="s">
        <v>2344</v>
      </c>
      <c r="I1451" t="str">
        <f t="shared" si="45"/>
        <v>Over weight</v>
      </c>
      <c r="J1451" t="str">
        <f t="shared" si="46"/>
        <v>Prediabetes</v>
      </c>
    </row>
    <row r="1452" spans="1:10" x14ac:dyDescent="0.35">
      <c r="A1452" t="s">
        <v>1452</v>
      </c>
      <c r="B1452">
        <v>22.44</v>
      </c>
      <c r="C1452">
        <v>4.62</v>
      </c>
      <c r="D1452" t="s">
        <v>2346</v>
      </c>
      <c r="E1452" t="s">
        <v>2344</v>
      </c>
      <c r="F1452" t="s">
        <v>2344</v>
      </c>
      <c r="G1452">
        <v>0</v>
      </c>
      <c r="H1452" t="s">
        <v>2344</v>
      </c>
      <c r="I1452" t="str">
        <f t="shared" si="45"/>
        <v>Normal Weight</v>
      </c>
      <c r="J1452" t="str">
        <f t="shared" si="46"/>
        <v>Normal</v>
      </c>
    </row>
    <row r="1453" spans="1:10" x14ac:dyDescent="0.35">
      <c r="A1453" t="s">
        <v>1453</v>
      </c>
      <c r="B1453">
        <v>37.049999999999997</v>
      </c>
      <c r="C1453">
        <v>9.9600000000000009</v>
      </c>
      <c r="D1453" t="s">
        <v>2346</v>
      </c>
      <c r="E1453" t="s">
        <v>2344</v>
      </c>
      <c r="F1453" t="s">
        <v>2344</v>
      </c>
      <c r="G1453">
        <v>0</v>
      </c>
      <c r="H1453" t="s">
        <v>2344</v>
      </c>
      <c r="I1453" t="str">
        <f t="shared" si="45"/>
        <v>Obesity</v>
      </c>
      <c r="J1453" t="str">
        <f t="shared" si="46"/>
        <v>Diabetes</v>
      </c>
    </row>
    <row r="1454" spans="1:10" x14ac:dyDescent="0.35">
      <c r="A1454" t="s">
        <v>1454</v>
      </c>
      <c r="B1454">
        <v>22.95</v>
      </c>
      <c r="C1454">
        <v>10.53</v>
      </c>
      <c r="D1454" t="s">
        <v>2344</v>
      </c>
      <c r="E1454" t="s">
        <v>2344</v>
      </c>
      <c r="F1454" t="s">
        <v>2344</v>
      </c>
      <c r="G1454">
        <v>1</v>
      </c>
      <c r="H1454" t="s">
        <v>2344</v>
      </c>
      <c r="I1454" t="str">
        <f t="shared" si="45"/>
        <v>Normal Weight</v>
      </c>
      <c r="J1454" t="str">
        <f t="shared" si="46"/>
        <v>Diabetes</v>
      </c>
    </row>
    <row r="1455" spans="1:10" x14ac:dyDescent="0.35">
      <c r="A1455" t="s">
        <v>1455</v>
      </c>
      <c r="B1455">
        <v>34.200000000000003</v>
      </c>
      <c r="C1455">
        <v>6.69</v>
      </c>
      <c r="D1455" t="s">
        <v>2346</v>
      </c>
      <c r="E1455" t="s">
        <v>2344</v>
      </c>
      <c r="F1455" t="s">
        <v>2344</v>
      </c>
      <c r="G1455">
        <v>0</v>
      </c>
      <c r="H1455" t="s">
        <v>2344</v>
      </c>
      <c r="I1455" t="str">
        <f t="shared" si="45"/>
        <v>Obesity</v>
      </c>
      <c r="J1455" t="str">
        <f t="shared" si="46"/>
        <v>Diabetes</v>
      </c>
    </row>
    <row r="1456" spans="1:10" x14ac:dyDescent="0.35">
      <c r="A1456" t="s">
        <v>1456</v>
      </c>
      <c r="B1456">
        <v>30.59</v>
      </c>
      <c r="C1456">
        <v>9.5500000000000007</v>
      </c>
      <c r="D1456" t="s">
        <v>2346</v>
      </c>
      <c r="E1456" t="s">
        <v>2344</v>
      </c>
      <c r="F1456" t="s">
        <v>2344</v>
      </c>
      <c r="G1456">
        <v>0</v>
      </c>
      <c r="H1456" t="s">
        <v>2344</v>
      </c>
      <c r="I1456" t="str">
        <f t="shared" si="45"/>
        <v>Obesity</v>
      </c>
      <c r="J1456" t="str">
        <f t="shared" si="46"/>
        <v>Diabetes</v>
      </c>
    </row>
    <row r="1457" spans="1:10" x14ac:dyDescent="0.35">
      <c r="A1457" t="s">
        <v>1457</v>
      </c>
      <c r="B1457">
        <v>25.51</v>
      </c>
      <c r="C1457">
        <v>6.05</v>
      </c>
      <c r="D1457" t="s">
        <v>2344</v>
      </c>
      <c r="E1457" t="s">
        <v>2344</v>
      </c>
      <c r="F1457" t="s">
        <v>2344</v>
      </c>
      <c r="G1457">
        <v>0</v>
      </c>
      <c r="H1457" t="s">
        <v>2344</v>
      </c>
      <c r="I1457" t="str">
        <f t="shared" si="45"/>
        <v>Over weight</v>
      </c>
      <c r="J1457" t="str">
        <f t="shared" si="46"/>
        <v>Prediabetes</v>
      </c>
    </row>
    <row r="1458" spans="1:10" x14ac:dyDescent="0.35">
      <c r="A1458" t="s">
        <v>1458</v>
      </c>
      <c r="B1458">
        <v>29.04</v>
      </c>
      <c r="C1458">
        <v>10.56</v>
      </c>
      <c r="D1458" t="s">
        <v>2346</v>
      </c>
      <c r="E1458" t="s">
        <v>2344</v>
      </c>
      <c r="F1458" t="s">
        <v>2344</v>
      </c>
      <c r="G1458">
        <v>1</v>
      </c>
      <c r="H1458" t="s">
        <v>2344</v>
      </c>
      <c r="I1458" t="str">
        <f t="shared" si="45"/>
        <v>Over weight</v>
      </c>
      <c r="J1458" t="str">
        <f t="shared" si="46"/>
        <v>Diabetes</v>
      </c>
    </row>
    <row r="1459" spans="1:10" x14ac:dyDescent="0.35">
      <c r="A1459" t="s">
        <v>1459</v>
      </c>
      <c r="B1459">
        <v>22.135000000000002</v>
      </c>
      <c r="C1459">
        <v>10.81</v>
      </c>
      <c r="D1459" t="s">
        <v>2346</v>
      </c>
      <c r="E1459" t="s">
        <v>2344</v>
      </c>
      <c r="F1459" t="s">
        <v>2344</v>
      </c>
      <c r="G1459">
        <v>1</v>
      </c>
      <c r="H1459" t="s">
        <v>2344</v>
      </c>
      <c r="I1459" t="str">
        <f t="shared" si="45"/>
        <v>Normal Weight</v>
      </c>
      <c r="J1459" t="str">
        <f t="shared" si="46"/>
        <v>Diabetes</v>
      </c>
    </row>
    <row r="1460" spans="1:10" x14ac:dyDescent="0.35">
      <c r="A1460" t="s">
        <v>1460</v>
      </c>
      <c r="B1460">
        <v>21.375</v>
      </c>
      <c r="C1460">
        <v>4.32</v>
      </c>
      <c r="D1460" t="s">
        <v>2344</v>
      </c>
      <c r="E1460" t="s">
        <v>2344</v>
      </c>
      <c r="F1460" t="s">
        <v>2344</v>
      </c>
      <c r="G1460">
        <v>0</v>
      </c>
      <c r="H1460" t="s">
        <v>2344</v>
      </c>
      <c r="I1460" t="str">
        <f t="shared" si="45"/>
        <v>Normal Weight</v>
      </c>
      <c r="J1460" t="str">
        <f t="shared" si="46"/>
        <v>Normal</v>
      </c>
    </row>
    <row r="1461" spans="1:10" x14ac:dyDescent="0.35">
      <c r="A1461" t="s">
        <v>1461</v>
      </c>
      <c r="B1461">
        <v>29.19</v>
      </c>
      <c r="C1461">
        <v>4.37</v>
      </c>
      <c r="D1461" t="s">
        <v>2344</v>
      </c>
      <c r="E1461" t="s">
        <v>2344</v>
      </c>
      <c r="F1461" t="s">
        <v>2344</v>
      </c>
      <c r="G1461">
        <v>0</v>
      </c>
      <c r="H1461" t="s">
        <v>2344</v>
      </c>
      <c r="I1461" t="str">
        <f t="shared" si="45"/>
        <v>Over weight</v>
      </c>
      <c r="J1461" t="str">
        <f t="shared" si="46"/>
        <v>Normal</v>
      </c>
    </row>
    <row r="1462" spans="1:10" x14ac:dyDescent="0.35">
      <c r="A1462" t="s">
        <v>1462</v>
      </c>
      <c r="B1462">
        <v>31.92</v>
      </c>
      <c r="C1462">
        <v>4.8099999999999996</v>
      </c>
      <c r="D1462" t="s">
        <v>2346</v>
      </c>
      <c r="E1462" t="s">
        <v>2344</v>
      </c>
      <c r="F1462" t="s">
        <v>2346</v>
      </c>
      <c r="G1462">
        <v>1</v>
      </c>
      <c r="H1462" t="s">
        <v>2344</v>
      </c>
      <c r="I1462" t="str">
        <f t="shared" si="45"/>
        <v>Obesity</v>
      </c>
      <c r="J1462" t="str">
        <f t="shared" si="46"/>
        <v>Normal</v>
      </c>
    </row>
    <row r="1463" spans="1:10" x14ac:dyDescent="0.35">
      <c r="A1463" t="s">
        <v>1463</v>
      </c>
      <c r="B1463">
        <v>26.315000000000001</v>
      </c>
      <c r="C1463">
        <v>4.5599999999999996</v>
      </c>
      <c r="D1463" t="s">
        <v>2346</v>
      </c>
      <c r="E1463" t="s">
        <v>2344</v>
      </c>
      <c r="F1463" t="s">
        <v>2346</v>
      </c>
      <c r="G1463">
        <v>1</v>
      </c>
      <c r="H1463" t="s">
        <v>2344</v>
      </c>
      <c r="I1463" t="str">
        <f t="shared" si="45"/>
        <v>Over weight</v>
      </c>
      <c r="J1463" t="str">
        <f t="shared" si="46"/>
        <v>Normal</v>
      </c>
    </row>
    <row r="1464" spans="1:10" x14ac:dyDescent="0.35">
      <c r="A1464" t="s">
        <v>1464</v>
      </c>
      <c r="B1464">
        <v>35.299999999999997</v>
      </c>
      <c r="C1464">
        <v>4.3899999999999997</v>
      </c>
      <c r="D1464" t="s">
        <v>2344</v>
      </c>
      <c r="E1464" t="s">
        <v>2344</v>
      </c>
      <c r="F1464" t="s">
        <v>2344</v>
      </c>
      <c r="G1464">
        <v>0</v>
      </c>
      <c r="H1464" t="s">
        <v>2344</v>
      </c>
      <c r="I1464" t="str">
        <f t="shared" si="45"/>
        <v>Obesity</v>
      </c>
      <c r="J1464" t="str">
        <f t="shared" si="46"/>
        <v>Normal</v>
      </c>
    </row>
    <row r="1465" spans="1:10" x14ac:dyDescent="0.35">
      <c r="A1465" t="s">
        <v>1465</v>
      </c>
      <c r="B1465">
        <v>18.91</v>
      </c>
      <c r="C1465">
        <v>11.44</v>
      </c>
      <c r="D1465" t="s">
        <v>2344</v>
      </c>
      <c r="E1465" t="s">
        <v>2344</v>
      </c>
      <c r="F1465" t="s">
        <v>2344</v>
      </c>
      <c r="G1465">
        <v>0</v>
      </c>
      <c r="H1465" t="s">
        <v>2344</v>
      </c>
      <c r="I1465" t="str">
        <f t="shared" si="45"/>
        <v>Normal Weight</v>
      </c>
      <c r="J1465" t="str">
        <f t="shared" si="46"/>
        <v>Diabetes</v>
      </c>
    </row>
    <row r="1466" spans="1:10" x14ac:dyDescent="0.35">
      <c r="A1466" t="s">
        <v>1466</v>
      </c>
      <c r="B1466">
        <v>22.41</v>
      </c>
      <c r="C1466">
        <v>11.37</v>
      </c>
      <c r="D1466" t="s">
        <v>2346</v>
      </c>
      <c r="E1466" t="s">
        <v>2344</v>
      </c>
      <c r="F1466" t="s">
        <v>2344</v>
      </c>
      <c r="G1466">
        <v>1</v>
      </c>
      <c r="H1466" t="s">
        <v>2344</v>
      </c>
      <c r="I1466" t="str">
        <f t="shared" si="45"/>
        <v>Normal Weight</v>
      </c>
      <c r="J1466" t="str">
        <f t="shared" si="46"/>
        <v>Diabetes</v>
      </c>
    </row>
    <row r="1467" spans="1:10" x14ac:dyDescent="0.35">
      <c r="A1467" t="s">
        <v>1467</v>
      </c>
      <c r="B1467">
        <v>22.704999999999998</v>
      </c>
      <c r="C1467">
        <v>6.14</v>
      </c>
      <c r="D1467" t="s">
        <v>2344</v>
      </c>
      <c r="E1467" t="s">
        <v>2344</v>
      </c>
      <c r="F1467" t="s">
        <v>2344</v>
      </c>
      <c r="G1467">
        <v>0</v>
      </c>
      <c r="H1467" t="s">
        <v>2344</v>
      </c>
      <c r="I1467" t="str">
        <f t="shared" si="45"/>
        <v>Normal Weight</v>
      </c>
      <c r="J1467" t="str">
        <f t="shared" si="46"/>
        <v>Prediabetes</v>
      </c>
    </row>
    <row r="1468" spans="1:10" x14ac:dyDescent="0.35">
      <c r="A1468" t="s">
        <v>1468</v>
      </c>
      <c r="B1468">
        <v>37.18</v>
      </c>
      <c r="C1468">
        <v>4.8899999999999997</v>
      </c>
      <c r="D1468" t="s">
        <v>2344</v>
      </c>
      <c r="E1468" t="s">
        <v>2344</v>
      </c>
      <c r="F1468" t="s">
        <v>2344</v>
      </c>
      <c r="G1468">
        <v>0</v>
      </c>
      <c r="H1468" t="s">
        <v>2344</v>
      </c>
      <c r="I1468" t="str">
        <f t="shared" si="45"/>
        <v>Obesity</v>
      </c>
      <c r="J1468" t="str">
        <f t="shared" si="46"/>
        <v>Normal</v>
      </c>
    </row>
    <row r="1469" spans="1:10" x14ac:dyDescent="0.35">
      <c r="A1469" t="s">
        <v>1469</v>
      </c>
      <c r="B1469">
        <v>35.97</v>
      </c>
      <c r="C1469">
        <v>4.5999999999999996</v>
      </c>
      <c r="D1469" t="s">
        <v>2344</v>
      </c>
      <c r="E1469" t="s">
        <v>2344</v>
      </c>
      <c r="F1469" t="s">
        <v>2344</v>
      </c>
      <c r="G1469">
        <v>0</v>
      </c>
      <c r="H1469" t="s">
        <v>2344</v>
      </c>
      <c r="I1469" t="str">
        <f t="shared" si="45"/>
        <v>Obesity</v>
      </c>
      <c r="J1469" t="str">
        <f t="shared" si="46"/>
        <v>Normal</v>
      </c>
    </row>
    <row r="1470" spans="1:10" x14ac:dyDescent="0.35">
      <c r="A1470" t="s">
        <v>1470</v>
      </c>
      <c r="B1470">
        <v>35.799999999999997</v>
      </c>
      <c r="C1470">
        <v>4.42</v>
      </c>
      <c r="D1470" t="s">
        <v>2344</v>
      </c>
      <c r="E1470" t="s">
        <v>2344</v>
      </c>
      <c r="F1470" t="s">
        <v>2344</v>
      </c>
      <c r="G1470">
        <v>0</v>
      </c>
      <c r="H1470" t="s">
        <v>2344</v>
      </c>
      <c r="I1470" t="str">
        <f t="shared" si="45"/>
        <v>Obesity</v>
      </c>
      <c r="J1470" t="str">
        <f t="shared" si="46"/>
        <v>Normal</v>
      </c>
    </row>
    <row r="1471" spans="1:10" x14ac:dyDescent="0.35">
      <c r="A1471" t="s">
        <v>1471</v>
      </c>
      <c r="B1471">
        <v>28.31</v>
      </c>
      <c r="C1471">
        <v>7.48</v>
      </c>
      <c r="D1471" t="s">
        <v>2346</v>
      </c>
      <c r="E1471" t="s">
        <v>2344</v>
      </c>
      <c r="F1471" t="s">
        <v>2344</v>
      </c>
      <c r="G1471">
        <v>0</v>
      </c>
      <c r="H1471" t="s">
        <v>2344</v>
      </c>
      <c r="I1471" t="str">
        <f t="shared" si="45"/>
        <v>Over weight</v>
      </c>
      <c r="J1471" t="str">
        <f t="shared" si="46"/>
        <v>Diabetes</v>
      </c>
    </row>
    <row r="1472" spans="1:10" x14ac:dyDescent="0.35">
      <c r="A1472" t="s">
        <v>1472</v>
      </c>
      <c r="B1472">
        <v>38.06</v>
      </c>
      <c r="C1472">
        <v>10.74</v>
      </c>
      <c r="D1472" t="s">
        <v>2344</v>
      </c>
      <c r="E1472" t="s">
        <v>2344</v>
      </c>
      <c r="F1472" t="s">
        <v>2344</v>
      </c>
      <c r="G1472">
        <v>0</v>
      </c>
      <c r="H1472" t="s">
        <v>2344</v>
      </c>
      <c r="I1472" t="str">
        <f t="shared" si="45"/>
        <v>Obesity</v>
      </c>
      <c r="J1472" t="str">
        <f t="shared" si="46"/>
        <v>Diabetes</v>
      </c>
    </row>
    <row r="1473" spans="1:10" x14ac:dyDescent="0.35">
      <c r="A1473" t="s">
        <v>1473</v>
      </c>
      <c r="B1473">
        <v>28</v>
      </c>
      <c r="C1473">
        <v>5.19</v>
      </c>
      <c r="D1473" t="s">
        <v>2344</v>
      </c>
      <c r="E1473" t="s">
        <v>2344</v>
      </c>
      <c r="F1473" t="s">
        <v>2344</v>
      </c>
      <c r="G1473">
        <v>1</v>
      </c>
      <c r="H1473" t="s">
        <v>2344</v>
      </c>
      <c r="I1473" t="str">
        <f t="shared" si="45"/>
        <v>Over weight</v>
      </c>
      <c r="J1473" t="str">
        <f t="shared" si="46"/>
        <v>Normal</v>
      </c>
    </row>
    <row r="1474" spans="1:10" x14ac:dyDescent="0.35">
      <c r="A1474" t="s">
        <v>1474</v>
      </c>
      <c r="B1474">
        <v>34.32</v>
      </c>
      <c r="C1474">
        <v>9.17</v>
      </c>
      <c r="D1474" t="s">
        <v>2344</v>
      </c>
      <c r="E1474" t="s">
        <v>2344</v>
      </c>
      <c r="F1474" t="s">
        <v>2344</v>
      </c>
      <c r="G1474">
        <v>0</v>
      </c>
      <c r="H1474" t="s">
        <v>2344</v>
      </c>
      <c r="I1474" t="str">
        <f t="shared" si="45"/>
        <v>Obesity</v>
      </c>
      <c r="J1474" t="str">
        <f t="shared" si="46"/>
        <v>Diabetes</v>
      </c>
    </row>
    <row r="1475" spans="1:10" x14ac:dyDescent="0.35">
      <c r="A1475" t="s">
        <v>1475</v>
      </c>
      <c r="B1475">
        <v>22.3</v>
      </c>
      <c r="C1475">
        <v>4.95</v>
      </c>
      <c r="D1475" t="s">
        <v>2346</v>
      </c>
      <c r="E1475" t="s">
        <v>2344</v>
      </c>
      <c r="F1475" t="s">
        <v>2344</v>
      </c>
      <c r="G1475">
        <v>0</v>
      </c>
      <c r="H1475" t="s">
        <v>2344</v>
      </c>
      <c r="I1475" t="str">
        <f t="shared" ref="I1475:I1538" si="47">IF(B1475&lt;18.5,"Under Weight",IF(B1475&lt;25,"Normal Weight",IF(B1475&lt;30,"Over weight","Obesity")))</f>
        <v>Normal Weight</v>
      </c>
      <c r="J1475" t="str">
        <f t="shared" si="46"/>
        <v>Normal</v>
      </c>
    </row>
    <row r="1476" spans="1:10" x14ac:dyDescent="0.35">
      <c r="A1476" t="s">
        <v>1476</v>
      </c>
      <c r="B1476">
        <v>27.835000000000001</v>
      </c>
      <c r="C1476">
        <v>6.03</v>
      </c>
      <c r="D1476" t="s">
        <v>2344</v>
      </c>
      <c r="E1476" t="s">
        <v>2344</v>
      </c>
      <c r="F1476" t="s">
        <v>2344</v>
      </c>
      <c r="G1476">
        <v>1</v>
      </c>
      <c r="H1476" t="s">
        <v>2344</v>
      </c>
      <c r="I1476" t="str">
        <f t="shared" si="47"/>
        <v>Over weight</v>
      </c>
      <c r="J1476" t="str">
        <f t="shared" si="46"/>
        <v>Prediabetes</v>
      </c>
    </row>
    <row r="1477" spans="1:10" x14ac:dyDescent="0.35">
      <c r="A1477" t="s">
        <v>1477</v>
      </c>
      <c r="B1477">
        <v>39.229999999999997</v>
      </c>
      <c r="C1477">
        <v>5.36</v>
      </c>
      <c r="D1477" t="s">
        <v>2344</v>
      </c>
      <c r="E1477" t="s">
        <v>2344</v>
      </c>
      <c r="F1477" t="s">
        <v>2344</v>
      </c>
      <c r="G1477">
        <v>0</v>
      </c>
      <c r="H1477" t="s">
        <v>2344</v>
      </c>
      <c r="I1477" t="str">
        <f t="shared" si="47"/>
        <v>Obesity</v>
      </c>
      <c r="J1477" t="str">
        <f t="shared" si="46"/>
        <v>Normal</v>
      </c>
    </row>
    <row r="1478" spans="1:10" x14ac:dyDescent="0.35">
      <c r="A1478" t="s">
        <v>1478</v>
      </c>
      <c r="B1478">
        <v>19.95</v>
      </c>
      <c r="C1478">
        <v>6.11</v>
      </c>
      <c r="D1478" t="s">
        <v>2344</v>
      </c>
      <c r="E1478" t="s">
        <v>2344</v>
      </c>
      <c r="F1478" t="s">
        <v>2344</v>
      </c>
      <c r="G1478">
        <v>1</v>
      </c>
      <c r="H1478" t="s">
        <v>2344</v>
      </c>
      <c r="I1478" t="str">
        <f t="shared" si="47"/>
        <v>Normal Weight</v>
      </c>
      <c r="J1478" t="str">
        <f t="shared" si="46"/>
        <v>Prediabetes</v>
      </c>
    </row>
    <row r="1479" spans="1:10" x14ac:dyDescent="0.35">
      <c r="A1479" t="s">
        <v>1479</v>
      </c>
      <c r="B1479">
        <v>34.64</v>
      </c>
      <c r="C1479">
        <v>4.88</v>
      </c>
      <c r="D1479" t="s">
        <v>2344</v>
      </c>
      <c r="E1479" t="s">
        <v>2344</v>
      </c>
      <c r="F1479" t="s">
        <v>2346</v>
      </c>
      <c r="G1479">
        <v>1</v>
      </c>
      <c r="H1479" t="s">
        <v>2344</v>
      </c>
      <c r="I1479" t="str">
        <f t="shared" si="47"/>
        <v>Obesity</v>
      </c>
      <c r="J1479" t="str">
        <f t="shared" si="46"/>
        <v>Normal</v>
      </c>
    </row>
    <row r="1480" spans="1:10" x14ac:dyDescent="0.35">
      <c r="A1480" t="s">
        <v>1480</v>
      </c>
      <c r="B1480">
        <v>18.75</v>
      </c>
      <c r="C1480">
        <v>6.72</v>
      </c>
      <c r="D1480" t="s">
        <v>2344</v>
      </c>
      <c r="E1480" t="s">
        <v>2344</v>
      </c>
      <c r="F1480" t="s">
        <v>2344</v>
      </c>
      <c r="G1480">
        <v>0</v>
      </c>
      <c r="H1480" t="s">
        <v>2344</v>
      </c>
      <c r="I1480" t="str">
        <f t="shared" si="47"/>
        <v>Normal Weight</v>
      </c>
      <c r="J1480" t="str">
        <f t="shared" si="46"/>
        <v>Diabetes</v>
      </c>
    </row>
    <row r="1481" spans="1:10" x14ac:dyDescent="0.35">
      <c r="A1481" t="s">
        <v>1481</v>
      </c>
      <c r="B1481">
        <v>26.48</v>
      </c>
      <c r="C1481">
        <v>4.2</v>
      </c>
      <c r="D1481" t="s">
        <v>2344</v>
      </c>
      <c r="E1481" t="s">
        <v>2344</v>
      </c>
      <c r="F1481" t="s">
        <v>2344</v>
      </c>
      <c r="G1481">
        <v>1</v>
      </c>
      <c r="H1481" t="s">
        <v>2344</v>
      </c>
      <c r="I1481" t="str">
        <f t="shared" si="47"/>
        <v>Over weight</v>
      </c>
      <c r="J1481" t="str">
        <f t="shared" si="46"/>
        <v>Normal</v>
      </c>
    </row>
    <row r="1482" spans="1:10" x14ac:dyDescent="0.35">
      <c r="A1482" t="s">
        <v>1482</v>
      </c>
      <c r="B1482">
        <v>34.83</v>
      </c>
      <c r="C1482">
        <v>5.79</v>
      </c>
      <c r="D1482" t="s">
        <v>2344</v>
      </c>
      <c r="E1482" t="s">
        <v>2344</v>
      </c>
      <c r="F1482" t="s">
        <v>2344</v>
      </c>
      <c r="G1482">
        <v>1</v>
      </c>
      <c r="H1482" t="s">
        <v>2344</v>
      </c>
      <c r="I1482" t="str">
        <f t="shared" si="47"/>
        <v>Obesity</v>
      </c>
      <c r="J1482" t="str">
        <f t="shared" si="46"/>
        <v>Prediabetes</v>
      </c>
    </row>
    <row r="1483" spans="1:10" x14ac:dyDescent="0.35">
      <c r="A1483" t="s">
        <v>1483</v>
      </c>
      <c r="B1483">
        <v>25.46</v>
      </c>
      <c r="C1483">
        <v>4.29</v>
      </c>
      <c r="D1483" t="s">
        <v>2344</v>
      </c>
      <c r="E1483" t="s">
        <v>2344</v>
      </c>
      <c r="F1483" t="s">
        <v>2344</v>
      </c>
      <c r="G1483">
        <v>0</v>
      </c>
      <c r="H1483" t="s">
        <v>2344</v>
      </c>
      <c r="I1483" t="str">
        <f t="shared" si="47"/>
        <v>Over weight</v>
      </c>
      <c r="J1483" t="str">
        <f t="shared" si="46"/>
        <v>Normal</v>
      </c>
    </row>
    <row r="1484" spans="1:10" x14ac:dyDescent="0.35">
      <c r="A1484" t="s">
        <v>1484</v>
      </c>
      <c r="B1484">
        <v>23.31</v>
      </c>
      <c r="C1484">
        <v>8.27</v>
      </c>
      <c r="D1484" t="s">
        <v>2344</v>
      </c>
      <c r="E1484" t="s">
        <v>2344</v>
      </c>
      <c r="F1484" t="s">
        <v>2344</v>
      </c>
      <c r="G1484">
        <v>0</v>
      </c>
      <c r="H1484" t="s">
        <v>2344</v>
      </c>
      <c r="I1484" t="str">
        <f t="shared" si="47"/>
        <v>Normal Weight</v>
      </c>
      <c r="J1484" t="str">
        <f t="shared" ref="J1484:J1547" si="48">IF(C1484&lt;5.7,"Normal",IF(C1484&lt;6.5,"Prediabetes","Diabetes"))</f>
        <v>Diabetes</v>
      </c>
    </row>
    <row r="1485" spans="1:10" x14ac:dyDescent="0.35">
      <c r="A1485" t="s">
        <v>1485</v>
      </c>
      <c r="B1485">
        <v>29</v>
      </c>
      <c r="C1485">
        <v>4.5599999999999996</v>
      </c>
      <c r="D1485" t="s">
        <v>2344</v>
      </c>
      <c r="E1485" t="s">
        <v>2344</v>
      </c>
      <c r="F1485" t="s">
        <v>2344</v>
      </c>
      <c r="G1485">
        <v>0</v>
      </c>
      <c r="H1485" t="s">
        <v>2344</v>
      </c>
      <c r="I1485" t="str">
        <f t="shared" si="47"/>
        <v>Over weight</v>
      </c>
      <c r="J1485" t="str">
        <f t="shared" si="48"/>
        <v>Normal</v>
      </c>
    </row>
    <row r="1486" spans="1:10" x14ac:dyDescent="0.35">
      <c r="A1486" t="s">
        <v>1486</v>
      </c>
      <c r="B1486">
        <v>32.869999999999997</v>
      </c>
      <c r="C1486">
        <v>5.33</v>
      </c>
      <c r="D1486" t="s">
        <v>2344</v>
      </c>
      <c r="E1486" t="s">
        <v>2344</v>
      </c>
      <c r="F1486" t="s">
        <v>2344</v>
      </c>
      <c r="G1486">
        <v>0</v>
      </c>
      <c r="H1486" t="s">
        <v>2344</v>
      </c>
      <c r="I1486" t="str">
        <f t="shared" si="47"/>
        <v>Obesity</v>
      </c>
      <c r="J1486" t="str">
        <f t="shared" si="48"/>
        <v>Normal</v>
      </c>
    </row>
    <row r="1487" spans="1:10" x14ac:dyDescent="0.35">
      <c r="A1487" t="s">
        <v>1487</v>
      </c>
      <c r="B1487">
        <v>26.18</v>
      </c>
      <c r="C1487">
        <v>5.63</v>
      </c>
      <c r="D1487" t="s">
        <v>2344</v>
      </c>
      <c r="E1487" t="s">
        <v>2344</v>
      </c>
      <c r="F1487" t="s">
        <v>2344</v>
      </c>
      <c r="G1487">
        <v>0</v>
      </c>
      <c r="H1487" t="s">
        <v>2344</v>
      </c>
      <c r="I1487" t="str">
        <f t="shared" si="47"/>
        <v>Over weight</v>
      </c>
      <c r="J1487" t="str">
        <f t="shared" si="48"/>
        <v>Normal</v>
      </c>
    </row>
    <row r="1488" spans="1:10" x14ac:dyDescent="0.35">
      <c r="A1488" t="s">
        <v>1488</v>
      </c>
      <c r="B1488">
        <v>25.3</v>
      </c>
      <c r="C1488">
        <v>5.12</v>
      </c>
      <c r="D1488" t="s">
        <v>2344</v>
      </c>
      <c r="E1488" t="s">
        <v>2344</v>
      </c>
      <c r="F1488" t="s">
        <v>2344</v>
      </c>
      <c r="G1488">
        <v>0</v>
      </c>
      <c r="H1488" t="s">
        <v>2344</v>
      </c>
      <c r="I1488" t="str">
        <f t="shared" si="47"/>
        <v>Over weight</v>
      </c>
      <c r="J1488" t="str">
        <f t="shared" si="48"/>
        <v>Normal</v>
      </c>
    </row>
    <row r="1489" spans="1:10" x14ac:dyDescent="0.35">
      <c r="A1489" t="s">
        <v>1489</v>
      </c>
      <c r="B1489">
        <v>36.94</v>
      </c>
      <c r="C1489">
        <v>5.15</v>
      </c>
      <c r="D1489" t="s">
        <v>2346</v>
      </c>
      <c r="E1489" t="s">
        <v>2344</v>
      </c>
      <c r="F1489" t="s">
        <v>2344</v>
      </c>
      <c r="G1489">
        <v>1</v>
      </c>
      <c r="H1489" t="s">
        <v>2344</v>
      </c>
      <c r="I1489" t="str">
        <f t="shared" si="47"/>
        <v>Obesity</v>
      </c>
      <c r="J1489" t="str">
        <f t="shared" si="48"/>
        <v>Normal</v>
      </c>
    </row>
    <row r="1490" spans="1:10" x14ac:dyDescent="0.35">
      <c r="A1490" t="s">
        <v>1490</v>
      </c>
      <c r="B1490">
        <v>22.86</v>
      </c>
      <c r="C1490">
        <v>7.5</v>
      </c>
      <c r="D1490" t="s">
        <v>2344</v>
      </c>
      <c r="E1490" t="s">
        <v>2344</v>
      </c>
      <c r="F1490" t="s">
        <v>2344</v>
      </c>
      <c r="G1490">
        <v>0</v>
      </c>
      <c r="H1490" t="s">
        <v>2344</v>
      </c>
      <c r="I1490" t="str">
        <f t="shared" si="47"/>
        <v>Normal Weight</v>
      </c>
      <c r="J1490" t="str">
        <f t="shared" si="48"/>
        <v>Diabetes</v>
      </c>
    </row>
    <row r="1491" spans="1:10" x14ac:dyDescent="0.35">
      <c r="A1491" t="s">
        <v>1491</v>
      </c>
      <c r="B1491">
        <v>18.760000000000002</v>
      </c>
      <c r="C1491">
        <v>4.88</v>
      </c>
      <c r="D1491" t="s">
        <v>2346</v>
      </c>
      <c r="E1491" t="s">
        <v>2344</v>
      </c>
      <c r="F1491" t="s">
        <v>2346</v>
      </c>
      <c r="G1491">
        <v>1</v>
      </c>
      <c r="H1491" t="s">
        <v>2344</v>
      </c>
      <c r="I1491" t="str">
        <f t="shared" si="47"/>
        <v>Normal Weight</v>
      </c>
      <c r="J1491" t="str">
        <f t="shared" si="48"/>
        <v>Normal</v>
      </c>
    </row>
    <row r="1492" spans="1:10" x14ac:dyDescent="0.35">
      <c r="A1492" t="s">
        <v>1492</v>
      </c>
      <c r="B1492">
        <v>24.36</v>
      </c>
      <c r="C1492">
        <v>5.57</v>
      </c>
      <c r="D1492" t="s">
        <v>2344</v>
      </c>
      <c r="E1492" t="s">
        <v>2344</v>
      </c>
      <c r="F1492" t="s">
        <v>2344</v>
      </c>
      <c r="G1492">
        <v>0</v>
      </c>
      <c r="H1492" t="s">
        <v>2344</v>
      </c>
      <c r="I1492" t="str">
        <f t="shared" si="47"/>
        <v>Normal Weight</v>
      </c>
      <c r="J1492" t="str">
        <f t="shared" si="48"/>
        <v>Normal</v>
      </c>
    </row>
    <row r="1493" spans="1:10" x14ac:dyDescent="0.35">
      <c r="A1493" t="s">
        <v>1493</v>
      </c>
      <c r="B1493">
        <v>32.299999999999997</v>
      </c>
      <c r="C1493">
        <v>5.31</v>
      </c>
      <c r="D1493" t="s">
        <v>2344</v>
      </c>
      <c r="E1493" t="s">
        <v>2344</v>
      </c>
      <c r="F1493" t="s">
        <v>2344</v>
      </c>
      <c r="G1493">
        <v>0</v>
      </c>
      <c r="H1493" t="s">
        <v>2344</v>
      </c>
      <c r="I1493" t="str">
        <f t="shared" si="47"/>
        <v>Obesity</v>
      </c>
      <c r="J1493" t="str">
        <f t="shared" si="48"/>
        <v>Normal</v>
      </c>
    </row>
    <row r="1494" spans="1:10" x14ac:dyDescent="0.35">
      <c r="A1494" t="s">
        <v>1494</v>
      </c>
      <c r="B1494">
        <v>22.704999999999998</v>
      </c>
      <c r="C1494">
        <v>4.57</v>
      </c>
      <c r="D1494" t="s">
        <v>2346</v>
      </c>
      <c r="E1494" t="s">
        <v>2344</v>
      </c>
      <c r="F1494" t="s">
        <v>2344</v>
      </c>
      <c r="G1494">
        <v>0</v>
      </c>
      <c r="H1494" t="s">
        <v>2344</v>
      </c>
      <c r="I1494" t="str">
        <f t="shared" si="47"/>
        <v>Normal Weight</v>
      </c>
      <c r="J1494" t="str">
        <f t="shared" si="48"/>
        <v>Normal</v>
      </c>
    </row>
    <row r="1495" spans="1:10" x14ac:dyDescent="0.35">
      <c r="A1495" t="s">
        <v>1495</v>
      </c>
      <c r="B1495">
        <v>21.79</v>
      </c>
      <c r="C1495">
        <v>8.6999999999999993</v>
      </c>
      <c r="D1495" t="s">
        <v>2346</v>
      </c>
      <c r="E1495" t="s">
        <v>2344</v>
      </c>
      <c r="F1495" t="s">
        <v>2344</v>
      </c>
      <c r="G1495">
        <v>1</v>
      </c>
      <c r="H1495" t="s">
        <v>2344</v>
      </c>
      <c r="I1495" t="str">
        <f t="shared" si="47"/>
        <v>Normal Weight</v>
      </c>
      <c r="J1495" t="str">
        <f t="shared" si="48"/>
        <v>Diabetes</v>
      </c>
    </row>
    <row r="1496" spans="1:10" x14ac:dyDescent="0.35">
      <c r="A1496" t="s">
        <v>1496</v>
      </c>
      <c r="B1496">
        <v>24.52</v>
      </c>
      <c r="C1496">
        <v>4.76</v>
      </c>
      <c r="D1496" t="s">
        <v>2344</v>
      </c>
      <c r="E1496" t="s">
        <v>2344</v>
      </c>
      <c r="F1496" t="s">
        <v>2344</v>
      </c>
      <c r="G1496">
        <v>0</v>
      </c>
      <c r="H1496" t="s">
        <v>2344</v>
      </c>
      <c r="I1496" t="str">
        <f t="shared" si="47"/>
        <v>Normal Weight</v>
      </c>
      <c r="J1496" t="str">
        <f t="shared" si="48"/>
        <v>Normal</v>
      </c>
    </row>
    <row r="1497" spans="1:10" x14ac:dyDescent="0.35">
      <c r="A1497" t="s">
        <v>1497</v>
      </c>
      <c r="B1497">
        <v>39.520000000000003</v>
      </c>
      <c r="C1497">
        <v>11.81</v>
      </c>
      <c r="D1497" t="s">
        <v>2344</v>
      </c>
      <c r="E1497" t="s">
        <v>2344</v>
      </c>
      <c r="F1497" t="s">
        <v>2344</v>
      </c>
      <c r="G1497">
        <v>0</v>
      </c>
      <c r="H1497" t="s">
        <v>2344</v>
      </c>
      <c r="I1497" t="str">
        <f t="shared" si="47"/>
        <v>Obesity</v>
      </c>
      <c r="J1497" t="str">
        <f t="shared" si="48"/>
        <v>Diabetes</v>
      </c>
    </row>
    <row r="1498" spans="1:10" x14ac:dyDescent="0.35">
      <c r="A1498" t="s">
        <v>1498</v>
      </c>
      <c r="B1498">
        <v>24.49</v>
      </c>
      <c r="C1498">
        <v>4.67</v>
      </c>
      <c r="D1498" t="s">
        <v>2344</v>
      </c>
      <c r="E1498" t="s">
        <v>2344</v>
      </c>
      <c r="F1498" t="s">
        <v>2344</v>
      </c>
      <c r="G1498">
        <v>0</v>
      </c>
      <c r="H1498" t="s">
        <v>2344</v>
      </c>
      <c r="I1498" t="str">
        <f t="shared" si="47"/>
        <v>Normal Weight</v>
      </c>
      <c r="J1498" t="str">
        <f t="shared" si="48"/>
        <v>Normal</v>
      </c>
    </row>
    <row r="1499" spans="1:10" x14ac:dyDescent="0.35">
      <c r="A1499" t="s">
        <v>1499</v>
      </c>
      <c r="B1499">
        <v>26.315000000000001</v>
      </c>
      <c r="C1499">
        <v>6.02</v>
      </c>
      <c r="D1499" t="s">
        <v>2344</v>
      </c>
      <c r="E1499" t="s">
        <v>2344</v>
      </c>
      <c r="F1499" t="s">
        <v>2344</v>
      </c>
      <c r="G1499">
        <v>0</v>
      </c>
      <c r="H1499" t="s">
        <v>2344</v>
      </c>
      <c r="I1499" t="str">
        <f t="shared" si="47"/>
        <v>Over weight</v>
      </c>
      <c r="J1499" t="str">
        <f t="shared" si="48"/>
        <v>Prediabetes</v>
      </c>
    </row>
    <row r="1500" spans="1:10" x14ac:dyDescent="0.35">
      <c r="A1500" t="s">
        <v>1500</v>
      </c>
      <c r="B1500">
        <v>22.58</v>
      </c>
      <c r="C1500">
        <v>7.46</v>
      </c>
      <c r="D1500" t="s">
        <v>2344</v>
      </c>
      <c r="E1500" t="s">
        <v>2344</v>
      </c>
      <c r="F1500" t="s">
        <v>2344</v>
      </c>
      <c r="G1500">
        <v>0</v>
      </c>
      <c r="H1500" t="s">
        <v>2344</v>
      </c>
      <c r="I1500" t="str">
        <f t="shared" si="47"/>
        <v>Normal Weight</v>
      </c>
      <c r="J1500" t="str">
        <f t="shared" si="48"/>
        <v>Diabetes</v>
      </c>
    </row>
    <row r="1501" spans="1:10" x14ac:dyDescent="0.35">
      <c r="A1501" t="s">
        <v>1501</v>
      </c>
      <c r="B1501">
        <v>19.475000000000001</v>
      </c>
      <c r="C1501">
        <v>4.74</v>
      </c>
      <c r="D1501" t="s">
        <v>2344</v>
      </c>
      <c r="E1501" t="s">
        <v>2344</v>
      </c>
      <c r="F1501" t="s">
        <v>2344</v>
      </c>
      <c r="G1501">
        <v>1</v>
      </c>
      <c r="H1501" t="s">
        <v>2344</v>
      </c>
      <c r="I1501" t="str">
        <f t="shared" si="47"/>
        <v>Normal Weight</v>
      </c>
      <c r="J1501" t="str">
        <f t="shared" si="48"/>
        <v>Normal</v>
      </c>
    </row>
    <row r="1502" spans="1:10" x14ac:dyDescent="0.35">
      <c r="A1502" t="s">
        <v>1502</v>
      </c>
      <c r="B1502">
        <v>26.33</v>
      </c>
      <c r="C1502">
        <v>4.79</v>
      </c>
      <c r="D1502" t="s">
        <v>2344</v>
      </c>
      <c r="E1502" t="s">
        <v>2344</v>
      </c>
      <c r="F1502" t="s">
        <v>2344</v>
      </c>
      <c r="G1502">
        <v>0</v>
      </c>
      <c r="H1502" t="s">
        <v>2344</v>
      </c>
      <c r="I1502" t="str">
        <f t="shared" si="47"/>
        <v>Over weight</v>
      </c>
      <c r="J1502" t="str">
        <f t="shared" si="48"/>
        <v>Normal</v>
      </c>
    </row>
    <row r="1503" spans="1:10" x14ac:dyDescent="0.35">
      <c r="A1503" t="s">
        <v>1503</v>
      </c>
      <c r="B1503">
        <v>17.29</v>
      </c>
      <c r="C1503">
        <v>5.35</v>
      </c>
      <c r="D1503" t="s">
        <v>2346</v>
      </c>
      <c r="E1503" t="s">
        <v>2344</v>
      </c>
      <c r="F1503" t="s">
        <v>2344</v>
      </c>
      <c r="G1503">
        <v>0</v>
      </c>
      <c r="H1503" t="s">
        <v>2344</v>
      </c>
      <c r="I1503" t="str">
        <f t="shared" si="47"/>
        <v>Under Weight</v>
      </c>
      <c r="J1503" t="str">
        <f t="shared" si="48"/>
        <v>Normal</v>
      </c>
    </row>
    <row r="1504" spans="1:10" x14ac:dyDescent="0.35">
      <c r="A1504" t="s">
        <v>1504</v>
      </c>
      <c r="B1504">
        <v>42.88</v>
      </c>
      <c r="C1504">
        <v>4.87</v>
      </c>
      <c r="D1504" t="s">
        <v>2344</v>
      </c>
      <c r="E1504" t="s">
        <v>2345</v>
      </c>
      <c r="F1504" t="s">
        <v>2344</v>
      </c>
      <c r="G1504">
        <v>1</v>
      </c>
      <c r="H1504" t="s">
        <v>2344</v>
      </c>
      <c r="I1504" t="str">
        <f t="shared" si="47"/>
        <v>Obesity</v>
      </c>
      <c r="J1504" t="str">
        <f t="shared" si="48"/>
        <v>Normal</v>
      </c>
    </row>
    <row r="1505" spans="1:10" x14ac:dyDescent="0.35">
      <c r="A1505" t="s">
        <v>1505</v>
      </c>
      <c r="B1505">
        <v>32.200000000000003</v>
      </c>
      <c r="C1505">
        <v>10.09</v>
      </c>
      <c r="D1505" t="s">
        <v>2346</v>
      </c>
      <c r="E1505" t="s">
        <v>2344</v>
      </c>
      <c r="F1505" t="s">
        <v>2344</v>
      </c>
      <c r="G1505">
        <v>0</v>
      </c>
      <c r="H1505" t="s">
        <v>2344</v>
      </c>
      <c r="I1505" t="str">
        <f t="shared" si="47"/>
        <v>Obesity</v>
      </c>
      <c r="J1505" t="str">
        <f t="shared" si="48"/>
        <v>Diabetes</v>
      </c>
    </row>
    <row r="1506" spans="1:10" x14ac:dyDescent="0.35">
      <c r="A1506" t="s">
        <v>1506</v>
      </c>
      <c r="B1506">
        <v>18.75</v>
      </c>
      <c r="C1506">
        <v>5.47</v>
      </c>
      <c r="D1506" t="s">
        <v>2346</v>
      </c>
      <c r="E1506" t="s">
        <v>2344</v>
      </c>
      <c r="F1506" t="s">
        <v>2346</v>
      </c>
      <c r="G1506">
        <v>1</v>
      </c>
      <c r="H1506" t="s">
        <v>2344</v>
      </c>
      <c r="I1506" t="str">
        <f t="shared" si="47"/>
        <v>Normal Weight</v>
      </c>
      <c r="J1506" t="str">
        <f t="shared" si="48"/>
        <v>Normal</v>
      </c>
    </row>
    <row r="1507" spans="1:10" x14ac:dyDescent="0.35">
      <c r="A1507" t="s">
        <v>1507</v>
      </c>
      <c r="B1507">
        <v>22.36</v>
      </c>
      <c r="C1507">
        <v>8.6</v>
      </c>
      <c r="D1507" t="s">
        <v>2344</v>
      </c>
      <c r="E1507" t="s">
        <v>2344</v>
      </c>
      <c r="F1507" t="s">
        <v>2344</v>
      </c>
      <c r="G1507">
        <v>0</v>
      </c>
      <c r="H1507" t="s">
        <v>2344</v>
      </c>
      <c r="I1507" t="str">
        <f t="shared" si="47"/>
        <v>Normal Weight</v>
      </c>
      <c r="J1507" t="str">
        <f t="shared" si="48"/>
        <v>Diabetes</v>
      </c>
    </row>
    <row r="1508" spans="1:10" x14ac:dyDescent="0.35">
      <c r="A1508" t="s">
        <v>1508</v>
      </c>
      <c r="B1508">
        <v>23.94</v>
      </c>
      <c r="C1508">
        <v>10.74</v>
      </c>
      <c r="D1508" t="s">
        <v>2346</v>
      </c>
      <c r="E1508" t="s">
        <v>2344</v>
      </c>
      <c r="F1508" t="s">
        <v>2344</v>
      </c>
      <c r="G1508">
        <v>0</v>
      </c>
      <c r="H1508" t="s">
        <v>2344</v>
      </c>
      <c r="I1508" t="str">
        <f t="shared" si="47"/>
        <v>Normal Weight</v>
      </c>
      <c r="J1508" t="str">
        <f t="shared" si="48"/>
        <v>Diabetes</v>
      </c>
    </row>
    <row r="1509" spans="1:10" x14ac:dyDescent="0.35">
      <c r="A1509" t="s">
        <v>1509</v>
      </c>
      <c r="B1509">
        <v>30.1</v>
      </c>
      <c r="C1509">
        <v>4.3899999999999997</v>
      </c>
      <c r="D1509" t="s">
        <v>2344</v>
      </c>
      <c r="E1509" t="s">
        <v>2344</v>
      </c>
      <c r="F1509" t="s">
        <v>2346</v>
      </c>
      <c r="G1509">
        <v>1</v>
      </c>
      <c r="H1509" t="s">
        <v>2344</v>
      </c>
      <c r="I1509" t="str">
        <f t="shared" si="47"/>
        <v>Obesity</v>
      </c>
      <c r="J1509" t="str">
        <f t="shared" si="48"/>
        <v>Normal</v>
      </c>
    </row>
    <row r="1510" spans="1:10" x14ac:dyDescent="0.35">
      <c r="A1510" t="s">
        <v>1510</v>
      </c>
      <c r="B1510">
        <v>21.93</v>
      </c>
      <c r="C1510">
        <v>6.3</v>
      </c>
      <c r="D1510" t="s">
        <v>2344</v>
      </c>
      <c r="E1510" t="s">
        <v>2344</v>
      </c>
      <c r="F1510" t="s">
        <v>2344</v>
      </c>
      <c r="G1510">
        <v>0</v>
      </c>
      <c r="H1510" t="s">
        <v>2344</v>
      </c>
      <c r="I1510" t="str">
        <f t="shared" si="47"/>
        <v>Normal Weight</v>
      </c>
      <c r="J1510" t="str">
        <f t="shared" si="48"/>
        <v>Prediabetes</v>
      </c>
    </row>
    <row r="1511" spans="1:10" x14ac:dyDescent="0.35">
      <c r="A1511" t="s">
        <v>1511</v>
      </c>
      <c r="B1511">
        <v>39.75</v>
      </c>
      <c r="C1511">
        <v>5.41</v>
      </c>
      <c r="D1511" t="s">
        <v>2344</v>
      </c>
      <c r="E1511" t="s">
        <v>2345</v>
      </c>
      <c r="F1511" t="s">
        <v>2344</v>
      </c>
      <c r="G1511">
        <v>1</v>
      </c>
      <c r="H1511" t="s">
        <v>2344</v>
      </c>
      <c r="I1511" t="str">
        <f t="shared" si="47"/>
        <v>Obesity</v>
      </c>
      <c r="J1511" t="str">
        <f t="shared" si="48"/>
        <v>Normal</v>
      </c>
    </row>
    <row r="1512" spans="1:10" x14ac:dyDescent="0.35">
      <c r="A1512" t="s">
        <v>1512</v>
      </c>
      <c r="B1512">
        <v>26.03</v>
      </c>
      <c r="C1512">
        <v>4.47</v>
      </c>
      <c r="D1512" t="s">
        <v>2344</v>
      </c>
      <c r="E1512" t="s">
        <v>2344</v>
      </c>
      <c r="F1512" t="s">
        <v>2346</v>
      </c>
      <c r="G1512">
        <v>1</v>
      </c>
      <c r="H1512" t="s">
        <v>2344</v>
      </c>
      <c r="I1512" t="str">
        <f t="shared" si="47"/>
        <v>Over weight</v>
      </c>
      <c r="J1512" t="str">
        <f t="shared" si="48"/>
        <v>Normal</v>
      </c>
    </row>
    <row r="1513" spans="1:10" x14ac:dyDescent="0.35">
      <c r="A1513" t="s">
        <v>1513</v>
      </c>
      <c r="B1513">
        <v>34.51</v>
      </c>
      <c r="C1513">
        <v>6.26</v>
      </c>
      <c r="D1513" t="s">
        <v>2344</v>
      </c>
      <c r="E1513" t="s">
        <v>2344</v>
      </c>
      <c r="F1513" t="s">
        <v>2344</v>
      </c>
      <c r="G1513">
        <v>0</v>
      </c>
      <c r="H1513" t="s">
        <v>2344</v>
      </c>
      <c r="I1513" t="str">
        <f t="shared" si="47"/>
        <v>Obesity</v>
      </c>
      <c r="J1513" t="str">
        <f t="shared" si="48"/>
        <v>Prediabetes</v>
      </c>
    </row>
    <row r="1514" spans="1:10" x14ac:dyDescent="0.35">
      <c r="A1514" t="s">
        <v>1514</v>
      </c>
      <c r="B1514">
        <v>19.32</v>
      </c>
      <c r="C1514">
        <v>11.58</v>
      </c>
      <c r="D1514" t="s">
        <v>2346</v>
      </c>
      <c r="E1514" t="s">
        <v>2344</v>
      </c>
      <c r="F1514" t="s">
        <v>2344</v>
      </c>
      <c r="G1514">
        <v>1</v>
      </c>
      <c r="H1514" t="s">
        <v>2344</v>
      </c>
      <c r="I1514" t="str">
        <f t="shared" si="47"/>
        <v>Normal Weight</v>
      </c>
      <c r="J1514" t="str">
        <f t="shared" si="48"/>
        <v>Diabetes</v>
      </c>
    </row>
    <row r="1515" spans="1:10" x14ac:dyDescent="0.35">
      <c r="A1515" t="s">
        <v>1515</v>
      </c>
      <c r="B1515">
        <v>28.5</v>
      </c>
      <c r="C1515">
        <v>4.3600000000000003</v>
      </c>
      <c r="D1515" t="s">
        <v>2344</v>
      </c>
      <c r="E1515" t="s">
        <v>2344</v>
      </c>
      <c r="F1515" t="s">
        <v>2344</v>
      </c>
      <c r="G1515">
        <v>0</v>
      </c>
      <c r="H1515" t="s">
        <v>2344</v>
      </c>
      <c r="I1515" t="str">
        <f t="shared" si="47"/>
        <v>Over weight</v>
      </c>
      <c r="J1515" t="str">
        <f t="shared" si="48"/>
        <v>Normal</v>
      </c>
    </row>
    <row r="1516" spans="1:10" x14ac:dyDescent="0.35">
      <c r="A1516" t="s">
        <v>1516</v>
      </c>
      <c r="B1516">
        <v>30.875</v>
      </c>
      <c r="C1516">
        <v>4.1399999999999997</v>
      </c>
      <c r="D1516" t="s">
        <v>2346</v>
      </c>
      <c r="E1516" t="s">
        <v>2344</v>
      </c>
      <c r="F1516" t="s">
        <v>2344</v>
      </c>
      <c r="G1516">
        <v>0</v>
      </c>
      <c r="H1516" t="s">
        <v>2344</v>
      </c>
      <c r="I1516" t="str">
        <f t="shared" si="47"/>
        <v>Obesity</v>
      </c>
      <c r="J1516" t="str">
        <f t="shared" si="48"/>
        <v>Normal</v>
      </c>
    </row>
    <row r="1517" spans="1:10" x14ac:dyDescent="0.35">
      <c r="A1517" t="s">
        <v>1517</v>
      </c>
      <c r="B1517">
        <v>24.02</v>
      </c>
      <c r="C1517">
        <v>4.38</v>
      </c>
      <c r="D1517" t="s">
        <v>2344</v>
      </c>
      <c r="E1517" t="s">
        <v>2344</v>
      </c>
      <c r="F1517" t="s">
        <v>2344</v>
      </c>
      <c r="G1517">
        <v>0</v>
      </c>
      <c r="H1517" t="s">
        <v>2344</v>
      </c>
      <c r="I1517" t="str">
        <f t="shared" si="47"/>
        <v>Normal Weight</v>
      </c>
      <c r="J1517" t="str">
        <f t="shared" si="48"/>
        <v>Normal</v>
      </c>
    </row>
    <row r="1518" spans="1:10" x14ac:dyDescent="0.35">
      <c r="A1518" t="s">
        <v>1518</v>
      </c>
      <c r="B1518">
        <v>36.08</v>
      </c>
      <c r="C1518">
        <v>11.61</v>
      </c>
      <c r="D1518" t="s">
        <v>2346</v>
      </c>
      <c r="E1518" t="s">
        <v>2344</v>
      </c>
      <c r="F1518" t="s">
        <v>2344</v>
      </c>
      <c r="G1518">
        <v>0</v>
      </c>
      <c r="H1518" t="s">
        <v>2344</v>
      </c>
      <c r="I1518" t="str">
        <f t="shared" si="47"/>
        <v>Obesity</v>
      </c>
      <c r="J1518" t="str">
        <f t="shared" si="48"/>
        <v>Diabetes</v>
      </c>
    </row>
    <row r="1519" spans="1:10" x14ac:dyDescent="0.35">
      <c r="A1519" t="s">
        <v>1519</v>
      </c>
      <c r="B1519">
        <v>32.200000000000003</v>
      </c>
      <c r="C1519">
        <v>10.59</v>
      </c>
      <c r="D1519" t="s">
        <v>2346</v>
      </c>
      <c r="E1519" t="s">
        <v>2344</v>
      </c>
      <c r="F1519" t="s">
        <v>2344</v>
      </c>
      <c r="G1519">
        <v>0</v>
      </c>
      <c r="H1519" t="s">
        <v>2344</v>
      </c>
      <c r="I1519" t="str">
        <f t="shared" si="47"/>
        <v>Obesity</v>
      </c>
      <c r="J1519" t="str">
        <f t="shared" si="48"/>
        <v>Diabetes</v>
      </c>
    </row>
    <row r="1520" spans="1:10" x14ac:dyDescent="0.35">
      <c r="A1520" t="s">
        <v>1520</v>
      </c>
      <c r="B1520">
        <v>28.05</v>
      </c>
      <c r="C1520">
        <v>11.85</v>
      </c>
      <c r="D1520" t="s">
        <v>2346</v>
      </c>
      <c r="E1520" t="s">
        <v>2344</v>
      </c>
      <c r="F1520" t="s">
        <v>2344</v>
      </c>
      <c r="G1520">
        <v>0</v>
      </c>
      <c r="H1520" t="s">
        <v>2344</v>
      </c>
      <c r="I1520" t="str">
        <f t="shared" si="47"/>
        <v>Over weight</v>
      </c>
      <c r="J1520" t="str">
        <f t="shared" si="48"/>
        <v>Diabetes</v>
      </c>
    </row>
    <row r="1521" spans="1:10" x14ac:dyDescent="0.35">
      <c r="A1521" t="s">
        <v>1521</v>
      </c>
      <c r="B1521">
        <v>19</v>
      </c>
      <c r="C1521">
        <v>5.46</v>
      </c>
      <c r="D1521" t="s">
        <v>2346</v>
      </c>
      <c r="E1521" t="s">
        <v>2344</v>
      </c>
      <c r="F1521" t="s">
        <v>2344</v>
      </c>
      <c r="G1521">
        <v>1</v>
      </c>
      <c r="H1521" t="s">
        <v>2344</v>
      </c>
      <c r="I1521" t="str">
        <f t="shared" si="47"/>
        <v>Normal Weight</v>
      </c>
      <c r="J1521" t="str">
        <f t="shared" si="48"/>
        <v>Normal</v>
      </c>
    </row>
    <row r="1522" spans="1:10" x14ac:dyDescent="0.35">
      <c r="A1522" t="s">
        <v>1522</v>
      </c>
      <c r="B1522">
        <v>16.13</v>
      </c>
      <c r="C1522">
        <v>4.54</v>
      </c>
      <c r="D1522" t="s">
        <v>2346</v>
      </c>
      <c r="E1522" t="s">
        <v>2344</v>
      </c>
      <c r="F1522" t="s">
        <v>2344</v>
      </c>
      <c r="G1522">
        <v>1</v>
      </c>
      <c r="H1522" t="s">
        <v>2344</v>
      </c>
      <c r="I1522" t="str">
        <f t="shared" si="47"/>
        <v>Under Weight</v>
      </c>
      <c r="J1522" t="str">
        <f t="shared" si="48"/>
        <v>Normal</v>
      </c>
    </row>
    <row r="1523" spans="1:10" x14ac:dyDescent="0.35">
      <c r="A1523" t="s">
        <v>1523</v>
      </c>
      <c r="B1523">
        <v>18.77</v>
      </c>
      <c r="C1523">
        <v>11.98</v>
      </c>
      <c r="D1523" t="s">
        <v>2346</v>
      </c>
      <c r="E1523" t="s">
        <v>2344</v>
      </c>
      <c r="F1523" t="s">
        <v>2344</v>
      </c>
      <c r="G1523">
        <v>1</v>
      </c>
      <c r="H1523" t="s">
        <v>2344</v>
      </c>
      <c r="I1523" t="str">
        <f t="shared" si="47"/>
        <v>Normal Weight</v>
      </c>
      <c r="J1523" t="str">
        <f t="shared" si="48"/>
        <v>Diabetes</v>
      </c>
    </row>
    <row r="1524" spans="1:10" x14ac:dyDescent="0.35">
      <c r="A1524" t="s">
        <v>1524</v>
      </c>
      <c r="B1524">
        <v>28.88</v>
      </c>
      <c r="C1524">
        <v>6.59</v>
      </c>
      <c r="D1524" t="s">
        <v>2346</v>
      </c>
      <c r="E1524" t="s">
        <v>2344</v>
      </c>
      <c r="F1524" t="s">
        <v>2344</v>
      </c>
      <c r="G1524">
        <v>1</v>
      </c>
      <c r="H1524" t="s">
        <v>2344</v>
      </c>
      <c r="I1524" t="str">
        <f t="shared" si="47"/>
        <v>Over weight</v>
      </c>
      <c r="J1524" t="str">
        <f t="shared" si="48"/>
        <v>Diabetes</v>
      </c>
    </row>
    <row r="1525" spans="1:10" x14ac:dyDescent="0.35">
      <c r="A1525" t="s">
        <v>1525</v>
      </c>
      <c r="B1525">
        <v>27.55</v>
      </c>
      <c r="C1525">
        <v>10.83</v>
      </c>
      <c r="D1525" t="s">
        <v>2346</v>
      </c>
      <c r="E1525" t="s">
        <v>2344</v>
      </c>
      <c r="F1525" t="s">
        <v>2344</v>
      </c>
      <c r="G1525">
        <v>1</v>
      </c>
      <c r="H1525" t="s">
        <v>2344</v>
      </c>
      <c r="I1525" t="str">
        <f t="shared" si="47"/>
        <v>Over weight</v>
      </c>
      <c r="J1525" t="str">
        <f t="shared" si="48"/>
        <v>Diabetes</v>
      </c>
    </row>
    <row r="1526" spans="1:10" x14ac:dyDescent="0.35">
      <c r="A1526" t="s">
        <v>1526</v>
      </c>
      <c r="B1526">
        <v>15.6</v>
      </c>
      <c r="C1526">
        <v>8.6</v>
      </c>
      <c r="D1526" t="s">
        <v>2344</v>
      </c>
      <c r="E1526" t="s">
        <v>2344</v>
      </c>
      <c r="F1526" t="s">
        <v>2344</v>
      </c>
      <c r="G1526">
        <v>0</v>
      </c>
      <c r="H1526" t="s">
        <v>2344</v>
      </c>
      <c r="I1526" t="str">
        <f t="shared" si="47"/>
        <v>Under Weight</v>
      </c>
      <c r="J1526" t="str">
        <f t="shared" si="48"/>
        <v>Diabetes</v>
      </c>
    </row>
    <row r="1527" spans="1:10" x14ac:dyDescent="0.35">
      <c r="A1527" t="s">
        <v>1527</v>
      </c>
      <c r="B1527">
        <v>21.99</v>
      </c>
      <c r="C1527">
        <v>11.17</v>
      </c>
      <c r="D1527" t="s">
        <v>2344</v>
      </c>
      <c r="E1527" t="s">
        <v>2344</v>
      </c>
      <c r="F1527" t="s">
        <v>2344</v>
      </c>
      <c r="G1527">
        <v>0</v>
      </c>
      <c r="H1527" t="s">
        <v>2344</v>
      </c>
      <c r="I1527" t="str">
        <f t="shared" si="47"/>
        <v>Normal Weight</v>
      </c>
      <c r="J1527" t="str">
        <f t="shared" si="48"/>
        <v>Diabetes</v>
      </c>
    </row>
    <row r="1528" spans="1:10" x14ac:dyDescent="0.35">
      <c r="A1528" t="s">
        <v>1528</v>
      </c>
      <c r="B1528">
        <v>34.85</v>
      </c>
      <c r="C1528">
        <v>5.75</v>
      </c>
      <c r="D1528" t="s">
        <v>2344</v>
      </c>
      <c r="E1528" t="s">
        <v>2344</v>
      </c>
      <c r="F1528" t="s">
        <v>2344</v>
      </c>
      <c r="G1528">
        <v>0</v>
      </c>
      <c r="H1528" t="s">
        <v>2344</v>
      </c>
      <c r="I1528" t="str">
        <f t="shared" si="47"/>
        <v>Obesity</v>
      </c>
      <c r="J1528" t="str">
        <f t="shared" si="48"/>
        <v>Prediabetes</v>
      </c>
    </row>
    <row r="1529" spans="1:10" x14ac:dyDescent="0.35">
      <c r="A1529" t="s">
        <v>1529</v>
      </c>
      <c r="B1529">
        <v>24.51</v>
      </c>
      <c r="C1529">
        <v>4.83</v>
      </c>
      <c r="D1529" t="s">
        <v>2346</v>
      </c>
      <c r="E1529" t="s">
        <v>2344</v>
      </c>
      <c r="F1529" t="s">
        <v>2346</v>
      </c>
      <c r="G1529">
        <v>1</v>
      </c>
      <c r="H1529" t="s">
        <v>2344</v>
      </c>
      <c r="I1529" t="str">
        <f t="shared" si="47"/>
        <v>Normal Weight</v>
      </c>
      <c r="J1529" t="str">
        <f t="shared" si="48"/>
        <v>Normal</v>
      </c>
    </row>
    <row r="1530" spans="1:10" x14ac:dyDescent="0.35">
      <c r="A1530" t="s">
        <v>1530</v>
      </c>
      <c r="B1530">
        <v>19.399999999999999</v>
      </c>
      <c r="C1530">
        <v>11.93</v>
      </c>
      <c r="D1530" t="s">
        <v>2344</v>
      </c>
      <c r="E1530" t="s">
        <v>2344</v>
      </c>
      <c r="F1530" t="s">
        <v>2344</v>
      </c>
      <c r="G1530">
        <v>0</v>
      </c>
      <c r="H1530" t="s">
        <v>2344</v>
      </c>
      <c r="I1530" t="str">
        <f t="shared" si="47"/>
        <v>Normal Weight</v>
      </c>
      <c r="J1530" t="str">
        <f t="shared" si="48"/>
        <v>Diabetes</v>
      </c>
    </row>
    <row r="1531" spans="1:10" x14ac:dyDescent="0.35">
      <c r="A1531" t="s">
        <v>1531</v>
      </c>
      <c r="B1531">
        <v>15.1</v>
      </c>
      <c r="C1531">
        <v>8.41</v>
      </c>
      <c r="D1531" t="s">
        <v>2344</v>
      </c>
      <c r="E1531" t="s">
        <v>2344</v>
      </c>
      <c r="F1531" t="s">
        <v>2344</v>
      </c>
      <c r="G1531">
        <v>0</v>
      </c>
      <c r="H1531" t="s">
        <v>2344</v>
      </c>
      <c r="I1531" t="str">
        <f t="shared" si="47"/>
        <v>Under Weight</v>
      </c>
      <c r="J1531" t="str">
        <f t="shared" si="48"/>
        <v>Diabetes</v>
      </c>
    </row>
    <row r="1532" spans="1:10" x14ac:dyDescent="0.35">
      <c r="A1532" t="s">
        <v>1532</v>
      </c>
      <c r="B1532">
        <v>23.37</v>
      </c>
      <c r="C1532">
        <v>5.59</v>
      </c>
      <c r="D1532" t="s">
        <v>2346</v>
      </c>
      <c r="E1532" t="s">
        <v>2344</v>
      </c>
      <c r="F1532" t="s">
        <v>2344</v>
      </c>
      <c r="G1532">
        <v>0</v>
      </c>
      <c r="H1532" t="s">
        <v>2344</v>
      </c>
      <c r="I1532" t="str">
        <f t="shared" si="47"/>
        <v>Normal Weight</v>
      </c>
      <c r="J1532" t="str">
        <f t="shared" si="48"/>
        <v>Normal</v>
      </c>
    </row>
    <row r="1533" spans="1:10" x14ac:dyDescent="0.35">
      <c r="A1533" t="s">
        <v>1533</v>
      </c>
      <c r="B1533">
        <v>42.4</v>
      </c>
      <c r="C1533">
        <v>4.0599999999999996</v>
      </c>
      <c r="D1533" t="s">
        <v>2344</v>
      </c>
      <c r="E1533" t="s">
        <v>2344</v>
      </c>
      <c r="F1533" t="s">
        <v>2344</v>
      </c>
      <c r="G1533">
        <v>0</v>
      </c>
      <c r="H1533" t="s">
        <v>2344</v>
      </c>
      <c r="I1533" t="str">
        <f t="shared" si="47"/>
        <v>Obesity</v>
      </c>
      <c r="J1533" t="str">
        <f t="shared" si="48"/>
        <v>Normal</v>
      </c>
    </row>
    <row r="1534" spans="1:10" x14ac:dyDescent="0.35">
      <c r="A1534" t="s">
        <v>1534</v>
      </c>
      <c r="B1534">
        <v>28.405000000000001</v>
      </c>
      <c r="C1534">
        <v>7.02</v>
      </c>
      <c r="D1534" t="s">
        <v>2346</v>
      </c>
      <c r="E1534" t="s">
        <v>2344</v>
      </c>
      <c r="F1534" t="s">
        <v>2344</v>
      </c>
      <c r="G1534">
        <v>0</v>
      </c>
      <c r="H1534" t="s">
        <v>2344</v>
      </c>
      <c r="I1534" t="str">
        <f t="shared" si="47"/>
        <v>Over weight</v>
      </c>
      <c r="J1534" t="str">
        <f t="shared" si="48"/>
        <v>Diabetes</v>
      </c>
    </row>
    <row r="1535" spans="1:10" x14ac:dyDescent="0.35">
      <c r="A1535" t="s">
        <v>1535</v>
      </c>
      <c r="B1535">
        <v>23.4</v>
      </c>
      <c r="C1535">
        <v>4.47</v>
      </c>
      <c r="D1535" t="s">
        <v>2344</v>
      </c>
      <c r="E1535" t="s">
        <v>2344</v>
      </c>
      <c r="F1535" t="s">
        <v>2344</v>
      </c>
      <c r="G1535">
        <v>0</v>
      </c>
      <c r="H1535" t="s">
        <v>2344</v>
      </c>
      <c r="I1535" t="str">
        <f t="shared" si="47"/>
        <v>Normal Weight</v>
      </c>
      <c r="J1535" t="str">
        <f t="shared" si="48"/>
        <v>Normal</v>
      </c>
    </row>
    <row r="1536" spans="1:10" x14ac:dyDescent="0.35">
      <c r="A1536" t="s">
        <v>1536</v>
      </c>
      <c r="B1536">
        <v>33.44</v>
      </c>
      <c r="C1536">
        <v>4.54</v>
      </c>
      <c r="D1536" t="s">
        <v>2344</v>
      </c>
      <c r="E1536" t="s">
        <v>2344</v>
      </c>
      <c r="F1536" t="s">
        <v>2344</v>
      </c>
      <c r="G1536">
        <v>0</v>
      </c>
      <c r="H1536" t="s">
        <v>2344</v>
      </c>
      <c r="I1536" t="str">
        <f t="shared" si="47"/>
        <v>Obesity</v>
      </c>
      <c r="J1536" t="str">
        <f t="shared" si="48"/>
        <v>Normal</v>
      </c>
    </row>
    <row r="1537" spans="1:10" x14ac:dyDescent="0.35">
      <c r="A1537" t="s">
        <v>1537</v>
      </c>
      <c r="B1537">
        <v>21.12</v>
      </c>
      <c r="C1537">
        <v>4.99</v>
      </c>
      <c r="D1537" t="s">
        <v>2344</v>
      </c>
      <c r="E1537" t="s">
        <v>2344</v>
      </c>
      <c r="F1537" t="s">
        <v>2344</v>
      </c>
      <c r="G1537">
        <v>1</v>
      </c>
      <c r="H1537" t="s">
        <v>2344</v>
      </c>
      <c r="I1537" t="str">
        <f t="shared" si="47"/>
        <v>Normal Weight</v>
      </c>
      <c r="J1537" t="str">
        <f t="shared" si="48"/>
        <v>Normal</v>
      </c>
    </row>
    <row r="1538" spans="1:10" x14ac:dyDescent="0.35">
      <c r="A1538" t="s">
        <v>1538</v>
      </c>
      <c r="B1538">
        <v>18.48</v>
      </c>
      <c r="C1538">
        <v>10.84</v>
      </c>
      <c r="D1538" t="s">
        <v>2346</v>
      </c>
      <c r="E1538" t="s">
        <v>2344</v>
      </c>
      <c r="F1538" t="s">
        <v>2344</v>
      </c>
      <c r="G1538">
        <v>1</v>
      </c>
      <c r="H1538" t="s">
        <v>2344</v>
      </c>
      <c r="I1538" t="str">
        <f t="shared" si="47"/>
        <v>Under Weight</v>
      </c>
      <c r="J1538" t="str">
        <f t="shared" si="48"/>
        <v>Diabetes</v>
      </c>
    </row>
    <row r="1539" spans="1:10" x14ac:dyDescent="0.35">
      <c r="A1539" t="s">
        <v>1539</v>
      </c>
      <c r="B1539">
        <v>16.815000000000001</v>
      </c>
      <c r="C1539">
        <v>5.63</v>
      </c>
      <c r="D1539" t="s">
        <v>2344</v>
      </c>
      <c r="E1539" t="s">
        <v>2344</v>
      </c>
      <c r="F1539" t="s">
        <v>2344</v>
      </c>
      <c r="G1539">
        <v>1</v>
      </c>
      <c r="H1539" t="s">
        <v>2344</v>
      </c>
      <c r="I1539" t="str">
        <f t="shared" ref="I1539:I1602" si="49">IF(B1539&lt;18.5,"Under Weight",IF(B1539&lt;25,"Normal Weight",IF(B1539&lt;30,"Over weight","Obesity")))</f>
        <v>Under Weight</v>
      </c>
      <c r="J1539" t="str">
        <f t="shared" si="48"/>
        <v>Normal</v>
      </c>
    </row>
    <row r="1540" spans="1:10" x14ac:dyDescent="0.35">
      <c r="A1540" t="s">
        <v>1540</v>
      </c>
      <c r="B1540">
        <v>26.72</v>
      </c>
      <c r="C1540">
        <v>4.1399999999999997</v>
      </c>
      <c r="D1540" t="s">
        <v>2344</v>
      </c>
      <c r="E1540" t="s">
        <v>2344</v>
      </c>
      <c r="F1540" t="s">
        <v>2344</v>
      </c>
      <c r="G1540">
        <v>0</v>
      </c>
      <c r="H1540" t="s">
        <v>2344</v>
      </c>
      <c r="I1540" t="str">
        <f t="shared" si="49"/>
        <v>Over weight</v>
      </c>
      <c r="J1540" t="str">
        <f t="shared" si="48"/>
        <v>Normal</v>
      </c>
    </row>
    <row r="1541" spans="1:10" x14ac:dyDescent="0.35">
      <c r="A1541" t="s">
        <v>1541</v>
      </c>
      <c r="B1541">
        <v>41.42</v>
      </c>
      <c r="C1541">
        <v>5.17</v>
      </c>
      <c r="D1541" t="s">
        <v>2344</v>
      </c>
      <c r="E1541" t="s">
        <v>2344</v>
      </c>
      <c r="F1541" t="s">
        <v>2346</v>
      </c>
      <c r="G1541">
        <v>1</v>
      </c>
      <c r="H1541" t="s">
        <v>2344</v>
      </c>
      <c r="I1541" t="str">
        <f t="shared" si="49"/>
        <v>Obesity</v>
      </c>
      <c r="J1541" t="str">
        <f t="shared" si="48"/>
        <v>Normal</v>
      </c>
    </row>
    <row r="1542" spans="1:10" x14ac:dyDescent="0.35">
      <c r="A1542" t="s">
        <v>1542</v>
      </c>
      <c r="B1542">
        <v>20.69</v>
      </c>
      <c r="C1542">
        <v>6.93</v>
      </c>
      <c r="D1542" t="s">
        <v>2344</v>
      </c>
      <c r="E1542" t="s">
        <v>2344</v>
      </c>
      <c r="F1542" t="s">
        <v>2344</v>
      </c>
      <c r="G1542">
        <v>1</v>
      </c>
      <c r="H1542" t="s">
        <v>2344</v>
      </c>
      <c r="I1542" t="str">
        <f t="shared" si="49"/>
        <v>Normal Weight</v>
      </c>
      <c r="J1542" t="str">
        <f t="shared" si="48"/>
        <v>Diabetes</v>
      </c>
    </row>
    <row r="1543" spans="1:10" x14ac:dyDescent="0.35">
      <c r="A1543" t="s">
        <v>1543</v>
      </c>
      <c r="B1543">
        <v>41.23</v>
      </c>
      <c r="C1543">
        <v>4.24</v>
      </c>
      <c r="D1543" t="s">
        <v>2344</v>
      </c>
      <c r="E1543" t="s">
        <v>2344</v>
      </c>
      <c r="F1543" t="s">
        <v>2344</v>
      </c>
      <c r="G1543">
        <v>0</v>
      </c>
      <c r="H1543" t="s">
        <v>2344</v>
      </c>
      <c r="I1543" t="str">
        <f t="shared" si="49"/>
        <v>Obesity</v>
      </c>
      <c r="J1543" t="str">
        <f t="shared" si="48"/>
        <v>Normal</v>
      </c>
    </row>
    <row r="1544" spans="1:10" x14ac:dyDescent="0.35">
      <c r="A1544" t="s">
        <v>1544</v>
      </c>
      <c r="B1544">
        <v>29.9</v>
      </c>
      <c r="C1544">
        <v>5.91</v>
      </c>
      <c r="D1544" t="s">
        <v>2344</v>
      </c>
      <c r="E1544" t="s">
        <v>2344</v>
      </c>
      <c r="F1544" t="s">
        <v>2344</v>
      </c>
      <c r="G1544">
        <v>0</v>
      </c>
      <c r="H1544" t="s">
        <v>2344</v>
      </c>
      <c r="I1544" t="str">
        <f t="shared" si="49"/>
        <v>Over weight</v>
      </c>
      <c r="J1544" t="str">
        <f t="shared" si="48"/>
        <v>Prediabetes</v>
      </c>
    </row>
    <row r="1545" spans="1:10" x14ac:dyDescent="0.35">
      <c r="A1545" t="s">
        <v>1545</v>
      </c>
      <c r="B1545">
        <v>34.104999999999997</v>
      </c>
      <c r="C1545">
        <v>5.93</v>
      </c>
      <c r="D1545" t="s">
        <v>2344</v>
      </c>
      <c r="E1545" t="s">
        <v>2344</v>
      </c>
      <c r="F1545" t="s">
        <v>2344</v>
      </c>
      <c r="G1545">
        <v>0</v>
      </c>
      <c r="H1545" t="s">
        <v>2344</v>
      </c>
      <c r="I1545" t="str">
        <f t="shared" si="49"/>
        <v>Obesity</v>
      </c>
      <c r="J1545" t="str">
        <f t="shared" si="48"/>
        <v>Prediabetes</v>
      </c>
    </row>
    <row r="1546" spans="1:10" x14ac:dyDescent="0.35">
      <c r="A1546" t="s">
        <v>1546</v>
      </c>
      <c r="B1546">
        <v>24.97</v>
      </c>
      <c r="C1546">
        <v>5.66</v>
      </c>
      <c r="D1546" t="s">
        <v>2344</v>
      </c>
      <c r="E1546" t="s">
        <v>2344</v>
      </c>
      <c r="F1546" t="s">
        <v>2344</v>
      </c>
      <c r="G1546">
        <v>0</v>
      </c>
      <c r="H1546" t="s">
        <v>2344</v>
      </c>
      <c r="I1546" t="str">
        <f t="shared" si="49"/>
        <v>Normal Weight</v>
      </c>
      <c r="J1546" t="str">
        <f t="shared" si="48"/>
        <v>Normal</v>
      </c>
    </row>
    <row r="1547" spans="1:10" x14ac:dyDescent="0.35">
      <c r="A1547" t="s">
        <v>1547</v>
      </c>
      <c r="B1547">
        <v>34.799999999999997</v>
      </c>
      <c r="C1547">
        <v>4.1900000000000004</v>
      </c>
      <c r="D1547" t="s">
        <v>2344</v>
      </c>
      <c r="E1547" t="s">
        <v>2344</v>
      </c>
      <c r="F1547" t="s">
        <v>2344</v>
      </c>
      <c r="G1547">
        <v>1</v>
      </c>
      <c r="H1547" t="s">
        <v>2344</v>
      </c>
      <c r="I1547" t="str">
        <f t="shared" si="49"/>
        <v>Obesity</v>
      </c>
      <c r="J1547" t="str">
        <f t="shared" si="48"/>
        <v>Normal</v>
      </c>
    </row>
    <row r="1548" spans="1:10" x14ac:dyDescent="0.35">
      <c r="A1548" t="s">
        <v>1548</v>
      </c>
      <c r="B1548">
        <v>32.965000000000003</v>
      </c>
      <c r="C1548">
        <v>9.2100000000000009</v>
      </c>
      <c r="D1548" t="s">
        <v>2346</v>
      </c>
      <c r="E1548" t="s">
        <v>2344</v>
      </c>
      <c r="F1548" t="s">
        <v>2344</v>
      </c>
      <c r="G1548">
        <v>0</v>
      </c>
      <c r="H1548" t="s">
        <v>2344</v>
      </c>
      <c r="I1548" t="str">
        <f t="shared" si="49"/>
        <v>Obesity</v>
      </c>
      <c r="J1548" t="str">
        <f t="shared" ref="J1548:J1611" si="50">IF(C1548&lt;5.7,"Normal",IF(C1548&lt;6.5,"Prediabetes","Diabetes"))</f>
        <v>Diabetes</v>
      </c>
    </row>
    <row r="1549" spans="1:10" x14ac:dyDescent="0.35">
      <c r="A1549" t="s">
        <v>1549</v>
      </c>
      <c r="B1549">
        <v>27.265000000000001</v>
      </c>
      <c r="C1549">
        <v>5.51</v>
      </c>
      <c r="D1549" t="s">
        <v>2344</v>
      </c>
      <c r="E1549" t="s">
        <v>2344</v>
      </c>
      <c r="F1549" t="s">
        <v>2344</v>
      </c>
      <c r="G1549">
        <v>1</v>
      </c>
      <c r="H1549" t="s">
        <v>2344</v>
      </c>
      <c r="I1549" t="str">
        <f t="shared" si="49"/>
        <v>Over weight</v>
      </c>
      <c r="J1549" t="str">
        <f t="shared" si="50"/>
        <v>Normal</v>
      </c>
    </row>
    <row r="1550" spans="1:10" x14ac:dyDescent="0.35">
      <c r="A1550" t="s">
        <v>1550</v>
      </c>
      <c r="B1550">
        <v>17.059999999999999</v>
      </c>
      <c r="C1550">
        <v>8.5</v>
      </c>
      <c r="D1550" t="s">
        <v>2344</v>
      </c>
      <c r="E1550" t="s">
        <v>2344</v>
      </c>
      <c r="F1550" t="s">
        <v>2344</v>
      </c>
      <c r="G1550">
        <v>0</v>
      </c>
      <c r="H1550" t="s">
        <v>2344</v>
      </c>
      <c r="I1550" t="str">
        <f t="shared" si="49"/>
        <v>Under Weight</v>
      </c>
      <c r="J1550" t="str">
        <f t="shared" si="50"/>
        <v>Diabetes</v>
      </c>
    </row>
    <row r="1551" spans="1:10" x14ac:dyDescent="0.35">
      <c r="A1551" t="s">
        <v>1551</v>
      </c>
      <c r="B1551">
        <v>36.29</v>
      </c>
      <c r="C1551">
        <v>6.23</v>
      </c>
      <c r="D1551" t="s">
        <v>2344</v>
      </c>
      <c r="E1551" t="s">
        <v>2344</v>
      </c>
      <c r="F1551" t="s">
        <v>2344</v>
      </c>
      <c r="G1551">
        <v>0</v>
      </c>
      <c r="H1551" t="s">
        <v>2344</v>
      </c>
      <c r="I1551" t="str">
        <f t="shared" si="49"/>
        <v>Obesity</v>
      </c>
      <c r="J1551" t="str">
        <f t="shared" si="50"/>
        <v>Prediabetes</v>
      </c>
    </row>
    <row r="1552" spans="1:10" x14ac:dyDescent="0.35">
      <c r="A1552" t="s">
        <v>1552</v>
      </c>
      <c r="B1552">
        <v>28.594999999999999</v>
      </c>
      <c r="C1552">
        <v>8.5299999999999994</v>
      </c>
      <c r="D1552" t="s">
        <v>2346</v>
      </c>
      <c r="E1552" t="s">
        <v>2344</v>
      </c>
      <c r="F1552" t="s">
        <v>2344</v>
      </c>
      <c r="G1552">
        <v>1</v>
      </c>
      <c r="H1552" t="s">
        <v>2344</v>
      </c>
      <c r="I1552" t="str">
        <f t="shared" si="49"/>
        <v>Over weight</v>
      </c>
      <c r="J1552" t="str">
        <f t="shared" si="50"/>
        <v>Diabetes</v>
      </c>
    </row>
    <row r="1553" spans="1:10" x14ac:dyDescent="0.35">
      <c r="A1553" t="s">
        <v>1553</v>
      </c>
      <c r="B1553">
        <v>17.8</v>
      </c>
      <c r="C1553">
        <v>5.75</v>
      </c>
      <c r="D1553" t="s">
        <v>2346</v>
      </c>
      <c r="E1553" t="s">
        <v>2344</v>
      </c>
      <c r="F1553" t="s">
        <v>2346</v>
      </c>
      <c r="G1553">
        <v>1</v>
      </c>
      <c r="H1553" t="s">
        <v>2344</v>
      </c>
      <c r="I1553" t="str">
        <f t="shared" si="49"/>
        <v>Under Weight</v>
      </c>
      <c r="J1553" t="str">
        <f t="shared" si="50"/>
        <v>Prediabetes</v>
      </c>
    </row>
    <row r="1554" spans="1:10" x14ac:dyDescent="0.35">
      <c r="A1554" t="s">
        <v>1554</v>
      </c>
      <c r="B1554">
        <v>21.4</v>
      </c>
      <c r="C1554">
        <v>5.6</v>
      </c>
      <c r="D1554" t="s">
        <v>2344</v>
      </c>
      <c r="E1554" t="s">
        <v>2344</v>
      </c>
      <c r="F1554" t="s">
        <v>2344</v>
      </c>
      <c r="G1554">
        <v>0</v>
      </c>
      <c r="H1554" t="s">
        <v>2344</v>
      </c>
      <c r="I1554" t="str">
        <f t="shared" si="49"/>
        <v>Normal Weight</v>
      </c>
      <c r="J1554" t="str">
        <f t="shared" si="50"/>
        <v>Normal</v>
      </c>
    </row>
    <row r="1555" spans="1:10" x14ac:dyDescent="0.35">
      <c r="A1555" t="s">
        <v>1555</v>
      </c>
      <c r="B1555">
        <v>23.01</v>
      </c>
      <c r="C1555">
        <v>4.68</v>
      </c>
      <c r="D1555" t="s">
        <v>2344</v>
      </c>
      <c r="E1555" t="s">
        <v>2344</v>
      </c>
      <c r="F1555" t="s">
        <v>2344</v>
      </c>
      <c r="G1555">
        <v>0</v>
      </c>
      <c r="H1555" t="s">
        <v>2344</v>
      </c>
      <c r="I1555" t="str">
        <f t="shared" si="49"/>
        <v>Normal Weight</v>
      </c>
      <c r="J1555" t="str">
        <f t="shared" si="50"/>
        <v>Normal</v>
      </c>
    </row>
    <row r="1556" spans="1:10" x14ac:dyDescent="0.35">
      <c r="A1556" t="s">
        <v>1556</v>
      </c>
      <c r="B1556">
        <v>19.86</v>
      </c>
      <c r="C1556">
        <v>5.62</v>
      </c>
      <c r="D1556" t="s">
        <v>2346</v>
      </c>
      <c r="E1556" t="s">
        <v>2344</v>
      </c>
      <c r="F1556" t="s">
        <v>2344</v>
      </c>
      <c r="G1556">
        <v>0</v>
      </c>
      <c r="H1556" t="s">
        <v>2344</v>
      </c>
      <c r="I1556" t="str">
        <f t="shared" si="49"/>
        <v>Normal Weight</v>
      </c>
      <c r="J1556" t="str">
        <f t="shared" si="50"/>
        <v>Normal</v>
      </c>
    </row>
    <row r="1557" spans="1:10" x14ac:dyDescent="0.35">
      <c r="A1557" t="s">
        <v>1557</v>
      </c>
      <c r="B1557">
        <v>33.58</v>
      </c>
      <c r="C1557">
        <v>5.08</v>
      </c>
      <c r="D1557" t="s">
        <v>2344</v>
      </c>
      <c r="E1557" t="s">
        <v>2344</v>
      </c>
      <c r="F1557" t="s">
        <v>2344</v>
      </c>
      <c r="G1557">
        <v>0</v>
      </c>
      <c r="H1557" t="s">
        <v>2344</v>
      </c>
      <c r="I1557" t="str">
        <f t="shared" si="49"/>
        <v>Obesity</v>
      </c>
      <c r="J1557" t="str">
        <f t="shared" si="50"/>
        <v>Normal</v>
      </c>
    </row>
    <row r="1558" spans="1:10" x14ac:dyDescent="0.35">
      <c r="A1558" t="s">
        <v>1558</v>
      </c>
      <c r="B1558">
        <v>29.81</v>
      </c>
      <c r="C1558">
        <v>5.28</v>
      </c>
      <c r="D1558" t="s">
        <v>2344</v>
      </c>
      <c r="E1558" t="s">
        <v>2344</v>
      </c>
      <c r="F1558" t="s">
        <v>2344</v>
      </c>
      <c r="G1558">
        <v>0</v>
      </c>
      <c r="H1558" t="s">
        <v>2344</v>
      </c>
      <c r="I1558" t="str">
        <f t="shared" si="49"/>
        <v>Over weight</v>
      </c>
      <c r="J1558" t="str">
        <f t="shared" si="50"/>
        <v>Normal</v>
      </c>
    </row>
    <row r="1559" spans="1:10" x14ac:dyDescent="0.35">
      <c r="A1559" t="s">
        <v>1559</v>
      </c>
      <c r="B1559">
        <v>27.4</v>
      </c>
      <c r="C1559">
        <v>4.6100000000000003</v>
      </c>
      <c r="D1559" t="s">
        <v>2344</v>
      </c>
      <c r="E1559" t="s">
        <v>2344</v>
      </c>
      <c r="F1559" t="s">
        <v>2344</v>
      </c>
      <c r="G1559">
        <v>0</v>
      </c>
      <c r="H1559" t="s">
        <v>2344</v>
      </c>
      <c r="I1559" t="str">
        <f t="shared" si="49"/>
        <v>Over weight</v>
      </c>
      <c r="J1559" t="str">
        <f t="shared" si="50"/>
        <v>Normal</v>
      </c>
    </row>
    <row r="1560" spans="1:10" x14ac:dyDescent="0.35">
      <c r="A1560" t="s">
        <v>1560</v>
      </c>
      <c r="B1560">
        <v>17.98</v>
      </c>
      <c r="C1560">
        <v>6.57</v>
      </c>
      <c r="D1560" t="s">
        <v>2346</v>
      </c>
      <c r="E1560" t="s">
        <v>2344</v>
      </c>
      <c r="F1560" t="s">
        <v>2344</v>
      </c>
      <c r="G1560">
        <v>1</v>
      </c>
      <c r="H1560" t="s">
        <v>2344</v>
      </c>
      <c r="I1560" t="str">
        <f t="shared" si="49"/>
        <v>Under Weight</v>
      </c>
      <c r="J1560" t="str">
        <f t="shared" si="50"/>
        <v>Diabetes</v>
      </c>
    </row>
    <row r="1561" spans="1:10" x14ac:dyDescent="0.35">
      <c r="A1561" t="s">
        <v>1561</v>
      </c>
      <c r="B1561">
        <v>37.9</v>
      </c>
      <c r="C1561">
        <v>5.83</v>
      </c>
      <c r="D1561" t="s">
        <v>2344</v>
      </c>
      <c r="E1561" t="s">
        <v>2344</v>
      </c>
      <c r="F1561" t="s">
        <v>2344</v>
      </c>
      <c r="G1561">
        <v>0</v>
      </c>
      <c r="H1561" t="s">
        <v>2344</v>
      </c>
      <c r="I1561" t="str">
        <f t="shared" si="49"/>
        <v>Obesity</v>
      </c>
      <c r="J1561" t="str">
        <f t="shared" si="50"/>
        <v>Prediabetes</v>
      </c>
    </row>
    <row r="1562" spans="1:10" x14ac:dyDescent="0.35">
      <c r="A1562" t="s">
        <v>1562</v>
      </c>
      <c r="B1562">
        <v>25.27</v>
      </c>
      <c r="C1562">
        <v>6.98</v>
      </c>
      <c r="D1562" t="s">
        <v>2346</v>
      </c>
      <c r="E1562" t="s">
        <v>2344</v>
      </c>
      <c r="F1562" t="s">
        <v>2344</v>
      </c>
      <c r="G1562">
        <v>0</v>
      </c>
      <c r="H1562" t="s">
        <v>2344</v>
      </c>
      <c r="I1562" t="str">
        <f t="shared" si="49"/>
        <v>Over weight</v>
      </c>
      <c r="J1562" t="str">
        <f t="shared" si="50"/>
        <v>Diabetes</v>
      </c>
    </row>
    <row r="1563" spans="1:10" x14ac:dyDescent="0.35">
      <c r="A1563" t="s">
        <v>1563</v>
      </c>
      <c r="B1563">
        <v>29.26</v>
      </c>
      <c r="C1563">
        <v>4.03</v>
      </c>
      <c r="D1563" t="s">
        <v>2344</v>
      </c>
      <c r="E1563" t="s">
        <v>2344</v>
      </c>
      <c r="F1563" t="s">
        <v>2344</v>
      </c>
      <c r="G1563">
        <v>1</v>
      </c>
      <c r="H1563" t="s">
        <v>2344</v>
      </c>
      <c r="I1563" t="str">
        <f t="shared" si="49"/>
        <v>Over weight</v>
      </c>
      <c r="J1563" t="str">
        <f t="shared" si="50"/>
        <v>Normal</v>
      </c>
    </row>
    <row r="1564" spans="1:10" x14ac:dyDescent="0.35">
      <c r="A1564" t="s">
        <v>1564</v>
      </c>
      <c r="B1564">
        <v>27.835000000000001</v>
      </c>
      <c r="C1564">
        <v>4.5599999999999996</v>
      </c>
      <c r="D1564" t="s">
        <v>2344</v>
      </c>
      <c r="E1564" t="s">
        <v>2344</v>
      </c>
      <c r="F1564" t="s">
        <v>2344</v>
      </c>
      <c r="G1564">
        <v>1</v>
      </c>
      <c r="H1564" t="s">
        <v>2344</v>
      </c>
      <c r="I1564" t="str">
        <f t="shared" si="49"/>
        <v>Over weight</v>
      </c>
      <c r="J1564" t="str">
        <f t="shared" si="50"/>
        <v>Normal</v>
      </c>
    </row>
    <row r="1565" spans="1:10" x14ac:dyDescent="0.35">
      <c r="A1565" t="s">
        <v>1565</v>
      </c>
      <c r="B1565">
        <v>46.53</v>
      </c>
      <c r="C1565">
        <v>5.38</v>
      </c>
      <c r="D1565" t="s">
        <v>2346</v>
      </c>
      <c r="E1565" t="s">
        <v>2344</v>
      </c>
      <c r="F1565" t="s">
        <v>2344</v>
      </c>
      <c r="G1565">
        <v>0</v>
      </c>
      <c r="H1565" t="s">
        <v>2344</v>
      </c>
      <c r="I1565" t="str">
        <f t="shared" si="49"/>
        <v>Obesity</v>
      </c>
      <c r="J1565" t="str">
        <f t="shared" si="50"/>
        <v>Normal</v>
      </c>
    </row>
    <row r="1566" spans="1:10" x14ac:dyDescent="0.35">
      <c r="A1566" t="s">
        <v>1566</v>
      </c>
      <c r="B1566">
        <v>20.58</v>
      </c>
      <c r="C1566">
        <v>11.04</v>
      </c>
      <c r="D1566" t="s">
        <v>2346</v>
      </c>
      <c r="E1566" t="s">
        <v>2344</v>
      </c>
      <c r="F1566" t="s">
        <v>2344</v>
      </c>
      <c r="G1566">
        <v>1</v>
      </c>
      <c r="H1566" t="s">
        <v>2344</v>
      </c>
      <c r="I1566" t="str">
        <f t="shared" si="49"/>
        <v>Normal Weight</v>
      </c>
      <c r="J1566" t="str">
        <f t="shared" si="50"/>
        <v>Diabetes</v>
      </c>
    </row>
    <row r="1567" spans="1:10" x14ac:dyDescent="0.35">
      <c r="A1567" t="s">
        <v>1567</v>
      </c>
      <c r="B1567">
        <v>19.53</v>
      </c>
      <c r="C1567">
        <v>6.09</v>
      </c>
      <c r="D1567" t="s">
        <v>2346</v>
      </c>
      <c r="E1567" t="s">
        <v>2344</v>
      </c>
      <c r="F1567" t="s">
        <v>2344</v>
      </c>
      <c r="G1567">
        <v>0</v>
      </c>
      <c r="H1567" t="s">
        <v>2344</v>
      </c>
      <c r="I1567" t="str">
        <f t="shared" si="49"/>
        <v>Normal Weight</v>
      </c>
      <c r="J1567" t="str">
        <f t="shared" si="50"/>
        <v>Prediabetes</v>
      </c>
    </row>
    <row r="1568" spans="1:10" x14ac:dyDescent="0.35">
      <c r="A1568" t="s">
        <v>1568</v>
      </c>
      <c r="B1568">
        <v>27.7</v>
      </c>
      <c r="C1568">
        <v>4.71</v>
      </c>
      <c r="D1568" t="s">
        <v>2344</v>
      </c>
      <c r="E1568" t="s">
        <v>2344</v>
      </c>
      <c r="F1568" t="s">
        <v>2344</v>
      </c>
      <c r="G1568">
        <v>1</v>
      </c>
      <c r="H1568" t="s">
        <v>2344</v>
      </c>
      <c r="I1568" t="str">
        <f t="shared" si="49"/>
        <v>Over weight</v>
      </c>
      <c r="J1568" t="str">
        <f t="shared" si="50"/>
        <v>Normal</v>
      </c>
    </row>
    <row r="1569" spans="1:10" x14ac:dyDescent="0.35">
      <c r="A1569" t="s">
        <v>1569</v>
      </c>
      <c r="B1569">
        <v>18.920000000000002</v>
      </c>
      <c r="C1569">
        <v>8.18</v>
      </c>
      <c r="D1569" t="s">
        <v>2344</v>
      </c>
      <c r="E1569" t="s">
        <v>2344</v>
      </c>
      <c r="F1569" t="s">
        <v>2344</v>
      </c>
      <c r="G1569">
        <v>0</v>
      </c>
      <c r="H1569" t="s">
        <v>2344</v>
      </c>
      <c r="I1569" t="str">
        <f t="shared" si="49"/>
        <v>Normal Weight</v>
      </c>
      <c r="J1569" t="str">
        <f t="shared" si="50"/>
        <v>Diabetes</v>
      </c>
    </row>
    <row r="1570" spans="1:10" x14ac:dyDescent="0.35">
      <c r="A1570" t="s">
        <v>1570</v>
      </c>
      <c r="B1570">
        <v>17.760000000000002</v>
      </c>
      <c r="C1570">
        <v>11.18</v>
      </c>
      <c r="D1570" t="s">
        <v>2346</v>
      </c>
      <c r="E1570" t="s">
        <v>2344</v>
      </c>
      <c r="F1570" t="s">
        <v>2344</v>
      </c>
      <c r="G1570">
        <v>1</v>
      </c>
      <c r="H1570" t="s">
        <v>2344</v>
      </c>
      <c r="I1570" t="str">
        <f t="shared" si="49"/>
        <v>Under Weight</v>
      </c>
      <c r="J1570" t="str">
        <f t="shared" si="50"/>
        <v>Diabetes</v>
      </c>
    </row>
    <row r="1571" spans="1:10" x14ac:dyDescent="0.35">
      <c r="A1571" t="s">
        <v>1571</v>
      </c>
      <c r="B1571">
        <v>29.83</v>
      </c>
      <c r="C1571">
        <v>5.03</v>
      </c>
      <c r="D1571" t="s">
        <v>2346</v>
      </c>
      <c r="E1571" t="s">
        <v>2344</v>
      </c>
      <c r="F1571" t="s">
        <v>2344</v>
      </c>
      <c r="G1571">
        <v>0</v>
      </c>
      <c r="H1571" t="s">
        <v>2344</v>
      </c>
      <c r="I1571" t="str">
        <f t="shared" si="49"/>
        <v>Over weight</v>
      </c>
      <c r="J1571" t="str">
        <f t="shared" si="50"/>
        <v>Normal</v>
      </c>
    </row>
    <row r="1572" spans="1:10" x14ac:dyDescent="0.35">
      <c r="A1572" t="s">
        <v>1572</v>
      </c>
      <c r="B1572">
        <v>23.465</v>
      </c>
      <c r="C1572">
        <v>5.56</v>
      </c>
      <c r="D1572" t="s">
        <v>2344</v>
      </c>
      <c r="E1572" t="s">
        <v>2344</v>
      </c>
      <c r="F1572" t="s">
        <v>2344</v>
      </c>
      <c r="G1572">
        <v>1</v>
      </c>
      <c r="H1572" t="s">
        <v>2344</v>
      </c>
      <c r="I1572" t="str">
        <f t="shared" si="49"/>
        <v>Normal Weight</v>
      </c>
      <c r="J1572" t="str">
        <f t="shared" si="50"/>
        <v>Normal</v>
      </c>
    </row>
    <row r="1573" spans="1:10" x14ac:dyDescent="0.35">
      <c r="A1573" t="s">
        <v>1573</v>
      </c>
      <c r="B1573">
        <v>29.355</v>
      </c>
      <c r="C1573">
        <v>4.33</v>
      </c>
      <c r="D1573" t="s">
        <v>2344</v>
      </c>
      <c r="E1573" t="s">
        <v>2344</v>
      </c>
      <c r="F1573" t="s">
        <v>2344</v>
      </c>
      <c r="G1573">
        <v>0</v>
      </c>
      <c r="H1573" t="s">
        <v>2344</v>
      </c>
      <c r="I1573" t="str">
        <f t="shared" si="49"/>
        <v>Over weight</v>
      </c>
      <c r="J1573" t="str">
        <f t="shared" si="50"/>
        <v>Normal</v>
      </c>
    </row>
    <row r="1574" spans="1:10" x14ac:dyDescent="0.35">
      <c r="A1574" t="s">
        <v>1574</v>
      </c>
      <c r="B1574">
        <v>35.49</v>
      </c>
      <c r="C1574">
        <v>5.21</v>
      </c>
      <c r="D1574" t="s">
        <v>2346</v>
      </c>
      <c r="E1574" t="s">
        <v>2344</v>
      </c>
      <c r="F1574" t="s">
        <v>2346</v>
      </c>
      <c r="G1574">
        <v>1</v>
      </c>
      <c r="H1574" t="s">
        <v>2344</v>
      </c>
      <c r="I1574" t="str">
        <f t="shared" si="49"/>
        <v>Obesity</v>
      </c>
      <c r="J1574" t="str">
        <f t="shared" si="50"/>
        <v>Normal</v>
      </c>
    </row>
    <row r="1575" spans="1:10" x14ac:dyDescent="0.35">
      <c r="A1575" t="s">
        <v>1575</v>
      </c>
      <c r="B1575">
        <v>26.315000000000001</v>
      </c>
      <c r="C1575">
        <v>5.89</v>
      </c>
      <c r="D1575" t="s">
        <v>2344</v>
      </c>
      <c r="E1575" t="s">
        <v>2344</v>
      </c>
      <c r="F1575" t="s">
        <v>2344</v>
      </c>
      <c r="G1575">
        <v>0</v>
      </c>
      <c r="H1575" t="s">
        <v>2344</v>
      </c>
      <c r="I1575" t="str">
        <f t="shared" si="49"/>
        <v>Over weight</v>
      </c>
      <c r="J1575" t="str">
        <f t="shared" si="50"/>
        <v>Prediabetes</v>
      </c>
    </row>
    <row r="1576" spans="1:10" x14ac:dyDescent="0.35">
      <c r="A1576" t="s">
        <v>1576</v>
      </c>
      <c r="B1576">
        <v>19.79</v>
      </c>
      <c r="C1576">
        <v>4.8099999999999996</v>
      </c>
      <c r="D1576" t="s">
        <v>2346</v>
      </c>
      <c r="E1576" t="s">
        <v>2344</v>
      </c>
      <c r="F1576" t="s">
        <v>2344</v>
      </c>
      <c r="G1576">
        <v>0</v>
      </c>
      <c r="H1576" t="s">
        <v>2344</v>
      </c>
      <c r="I1576" t="str">
        <f t="shared" si="49"/>
        <v>Normal Weight</v>
      </c>
      <c r="J1576" t="str">
        <f t="shared" si="50"/>
        <v>Normal</v>
      </c>
    </row>
    <row r="1577" spans="1:10" x14ac:dyDescent="0.35">
      <c r="A1577" t="s">
        <v>1577</v>
      </c>
      <c r="B1577">
        <v>40.564999999999998</v>
      </c>
      <c r="C1577">
        <v>5.66</v>
      </c>
      <c r="D1577" t="s">
        <v>2344</v>
      </c>
      <c r="E1577" t="s">
        <v>2344</v>
      </c>
      <c r="F1577" t="s">
        <v>2344</v>
      </c>
      <c r="G1577">
        <v>1</v>
      </c>
      <c r="H1577" t="s">
        <v>2344</v>
      </c>
      <c r="I1577" t="str">
        <f t="shared" si="49"/>
        <v>Obesity</v>
      </c>
      <c r="J1577" t="str">
        <f t="shared" si="50"/>
        <v>Normal</v>
      </c>
    </row>
    <row r="1578" spans="1:10" x14ac:dyDescent="0.35">
      <c r="A1578" t="s">
        <v>1578</v>
      </c>
      <c r="B1578">
        <v>18.03</v>
      </c>
      <c r="C1578">
        <v>10.66</v>
      </c>
      <c r="D1578" t="s">
        <v>2346</v>
      </c>
      <c r="E1578" t="s">
        <v>2344</v>
      </c>
      <c r="F1578" t="s">
        <v>2344</v>
      </c>
      <c r="G1578">
        <v>1</v>
      </c>
      <c r="H1578" t="s">
        <v>2344</v>
      </c>
      <c r="I1578" t="str">
        <f t="shared" si="49"/>
        <v>Under Weight</v>
      </c>
      <c r="J1578" t="str">
        <f t="shared" si="50"/>
        <v>Diabetes</v>
      </c>
    </row>
    <row r="1579" spans="1:10" x14ac:dyDescent="0.35">
      <c r="A1579" t="s">
        <v>1579</v>
      </c>
      <c r="B1579">
        <v>34.65</v>
      </c>
      <c r="C1579">
        <v>5.98</v>
      </c>
      <c r="D1579" t="s">
        <v>2346</v>
      </c>
      <c r="E1579" t="s">
        <v>2344</v>
      </c>
      <c r="F1579" t="s">
        <v>2344</v>
      </c>
      <c r="G1579">
        <v>0</v>
      </c>
      <c r="H1579" t="s">
        <v>2344</v>
      </c>
      <c r="I1579" t="str">
        <f t="shared" si="49"/>
        <v>Obesity</v>
      </c>
      <c r="J1579" t="str">
        <f t="shared" si="50"/>
        <v>Prediabetes</v>
      </c>
    </row>
    <row r="1580" spans="1:10" x14ac:dyDescent="0.35">
      <c r="A1580" t="s">
        <v>1580</v>
      </c>
      <c r="B1580">
        <v>42.94</v>
      </c>
      <c r="C1580">
        <v>4.34</v>
      </c>
      <c r="D1580" t="s">
        <v>2344</v>
      </c>
      <c r="E1580" t="s">
        <v>2344</v>
      </c>
      <c r="F1580" t="s">
        <v>2344</v>
      </c>
      <c r="G1580">
        <v>0</v>
      </c>
      <c r="H1580" t="s">
        <v>2344</v>
      </c>
      <c r="I1580" t="str">
        <f t="shared" si="49"/>
        <v>Obesity</v>
      </c>
      <c r="J1580" t="str">
        <f t="shared" si="50"/>
        <v>Normal</v>
      </c>
    </row>
    <row r="1581" spans="1:10" x14ac:dyDescent="0.35">
      <c r="A1581" t="s">
        <v>1581</v>
      </c>
      <c r="B1581">
        <v>31.254999999999999</v>
      </c>
      <c r="C1581">
        <v>5.17</v>
      </c>
      <c r="D1581" t="s">
        <v>2344</v>
      </c>
      <c r="E1581" t="s">
        <v>2344</v>
      </c>
      <c r="F1581" t="s">
        <v>2344</v>
      </c>
      <c r="G1581">
        <v>0</v>
      </c>
      <c r="H1581" t="s">
        <v>2344</v>
      </c>
      <c r="I1581" t="str">
        <f t="shared" si="49"/>
        <v>Obesity</v>
      </c>
      <c r="J1581" t="str">
        <f t="shared" si="50"/>
        <v>Normal</v>
      </c>
    </row>
    <row r="1582" spans="1:10" x14ac:dyDescent="0.35">
      <c r="A1582" t="s">
        <v>1582</v>
      </c>
      <c r="B1582">
        <v>45.43</v>
      </c>
      <c r="C1582">
        <v>4.2300000000000004</v>
      </c>
      <c r="D1582" t="s">
        <v>2346</v>
      </c>
      <c r="E1582" t="s">
        <v>2344</v>
      </c>
      <c r="F1582" t="s">
        <v>2346</v>
      </c>
      <c r="G1582">
        <v>1</v>
      </c>
      <c r="H1582" t="s">
        <v>2344</v>
      </c>
      <c r="I1582" t="str">
        <f t="shared" si="49"/>
        <v>Obesity</v>
      </c>
      <c r="J1582" t="str">
        <f t="shared" si="50"/>
        <v>Normal</v>
      </c>
    </row>
    <row r="1583" spans="1:10" x14ac:dyDescent="0.35">
      <c r="A1583" t="s">
        <v>1583</v>
      </c>
      <c r="B1583">
        <v>32.340000000000003</v>
      </c>
      <c r="C1583">
        <v>4.88</v>
      </c>
      <c r="D1583" t="s">
        <v>2346</v>
      </c>
      <c r="E1583" t="s">
        <v>2344</v>
      </c>
      <c r="F1583" t="s">
        <v>2346</v>
      </c>
      <c r="G1583">
        <v>1</v>
      </c>
      <c r="H1583" t="s">
        <v>2344</v>
      </c>
      <c r="I1583" t="str">
        <f t="shared" si="49"/>
        <v>Obesity</v>
      </c>
      <c r="J1583" t="str">
        <f t="shared" si="50"/>
        <v>Normal</v>
      </c>
    </row>
    <row r="1584" spans="1:10" x14ac:dyDescent="0.35">
      <c r="A1584" t="s">
        <v>1584</v>
      </c>
      <c r="B1584">
        <v>25.46</v>
      </c>
      <c r="C1584">
        <v>9.7100000000000009</v>
      </c>
      <c r="D1584" t="s">
        <v>2346</v>
      </c>
      <c r="E1584" t="s">
        <v>2344</v>
      </c>
      <c r="F1584" t="s">
        <v>2344</v>
      </c>
      <c r="G1584">
        <v>1</v>
      </c>
      <c r="H1584" t="s">
        <v>2344</v>
      </c>
      <c r="I1584" t="str">
        <f t="shared" si="49"/>
        <v>Over weight</v>
      </c>
      <c r="J1584" t="str">
        <f t="shared" si="50"/>
        <v>Diabetes</v>
      </c>
    </row>
    <row r="1585" spans="1:10" x14ac:dyDescent="0.35">
      <c r="A1585" t="s">
        <v>1585</v>
      </c>
      <c r="B1585">
        <v>37.145000000000003</v>
      </c>
      <c r="C1585">
        <v>5.32</v>
      </c>
      <c r="D1585" t="s">
        <v>2344</v>
      </c>
      <c r="E1585" t="s">
        <v>2344</v>
      </c>
      <c r="F1585" t="s">
        <v>2344</v>
      </c>
      <c r="G1585">
        <v>0</v>
      </c>
      <c r="H1585" t="s">
        <v>2344</v>
      </c>
      <c r="I1585" t="str">
        <f t="shared" si="49"/>
        <v>Obesity</v>
      </c>
      <c r="J1585" t="str">
        <f t="shared" si="50"/>
        <v>Normal</v>
      </c>
    </row>
    <row r="1586" spans="1:10" x14ac:dyDescent="0.35">
      <c r="A1586" t="s">
        <v>1586</v>
      </c>
      <c r="B1586">
        <v>30.8</v>
      </c>
      <c r="C1586">
        <v>5.83</v>
      </c>
      <c r="D1586" t="s">
        <v>2346</v>
      </c>
      <c r="E1586" t="s">
        <v>2344</v>
      </c>
      <c r="F1586" t="s">
        <v>2344</v>
      </c>
      <c r="G1586">
        <v>0</v>
      </c>
      <c r="H1586" t="s">
        <v>2344</v>
      </c>
      <c r="I1586" t="str">
        <f t="shared" si="49"/>
        <v>Obesity</v>
      </c>
      <c r="J1586" t="str">
        <f t="shared" si="50"/>
        <v>Prediabetes</v>
      </c>
    </row>
    <row r="1587" spans="1:10" x14ac:dyDescent="0.35">
      <c r="A1587" t="s">
        <v>1587</v>
      </c>
      <c r="B1587">
        <v>29.5</v>
      </c>
      <c r="C1587">
        <v>5.54</v>
      </c>
      <c r="D1587" t="s">
        <v>2346</v>
      </c>
      <c r="E1587" t="s">
        <v>2344</v>
      </c>
      <c r="F1587" t="s">
        <v>2344</v>
      </c>
      <c r="G1587">
        <v>0</v>
      </c>
      <c r="H1587" t="s">
        <v>2344</v>
      </c>
      <c r="I1587" t="str">
        <f t="shared" si="49"/>
        <v>Over weight</v>
      </c>
      <c r="J1587" t="str">
        <f t="shared" si="50"/>
        <v>Normal</v>
      </c>
    </row>
    <row r="1588" spans="1:10" x14ac:dyDescent="0.35">
      <c r="A1588" t="s">
        <v>1588</v>
      </c>
      <c r="B1588">
        <v>43.39</v>
      </c>
      <c r="C1588">
        <v>5.85</v>
      </c>
      <c r="D1588" t="s">
        <v>2344</v>
      </c>
      <c r="E1588" t="s">
        <v>2345</v>
      </c>
      <c r="F1588" t="s">
        <v>2344</v>
      </c>
      <c r="G1588">
        <v>1</v>
      </c>
      <c r="H1588" t="s">
        <v>2344</v>
      </c>
      <c r="I1588" t="str">
        <f t="shared" si="49"/>
        <v>Obesity</v>
      </c>
      <c r="J1588" t="str">
        <f t="shared" si="50"/>
        <v>Prediabetes</v>
      </c>
    </row>
    <row r="1589" spans="1:10" x14ac:dyDescent="0.35">
      <c r="A1589" t="s">
        <v>1589</v>
      </c>
      <c r="B1589">
        <v>15.08</v>
      </c>
      <c r="C1589">
        <v>4.8499999999999996</v>
      </c>
      <c r="D1589" t="s">
        <v>2346</v>
      </c>
      <c r="E1589" t="s">
        <v>2344</v>
      </c>
      <c r="F1589" t="s">
        <v>2346</v>
      </c>
      <c r="G1589">
        <v>1</v>
      </c>
      <c r="H1589" t="s">
        <v>2344</v>
      </c>
      <c r="I1589" t="str">
        <f t="shared" si="49"/>
        <v>Under Weight</v>
      </c>
      <c r="J1589" t="str">
        <f t="shared" si="50"/>
        <v>Normal</v>
      </c>
    </row>
    <row r="1590" spans="1:10" x14ac:dyDescent="0.35">
      <c r="A1590" t="s">
        <v>1590</v>
      </c>
      <c r="B1590">
        <v>20.48</v>
      </c>
      <c r="C1590">
        <v>11.09</v>
      </c>
      <c r="D1590" t="s">
        <v>2344</v>
      </c>
      <c r="E1590" t="s">
        <v>2344</v>
      </c>
      <c r="F1590" t="s">
        <v>2344</v>
      </c>
      <c r="G1590">
        <v>0</v>
      </c>
      <c r="H1590" t="s">
        <v>2344</v>
      </c>
      <c r="I1590" t="str">
        <f t="shared" si="49"/>
        <v>Normal Weight</v>
      </c>
      <c r="J1590" t="str">
        <f t="shared" si="50"/>
        <v>Diabetes</v>
      </c>
    </row>
    <row r="1591" spans="1:10" x14ac:dyDescent="0.35">
      <c r="A1591" t="s">
        <v>1591</v>
      </c>
      <c r="B1591">
        <v>34.450000000000003</v>
      </c>
      <c r="C1591">
        <v>5.58</v>
      </c>
      <c r="D1591" t="s">
        <v>2346</v>
      </c>
      <c r="E1591" t="s">
        <v>2344</v>
      </c>
      <c r="F1591" t="s">
        <v>2344</v>
      </c>
      <c r="G1591">
        <v>0</v>
      </c>
      <c r="H1591" t="s">
        <v>2344</v>
      </c>
      <c r="I1591" t="str">
        <f t="shared" si="49"/>
        <v>Obesity</v>
      </c>
      <c r="J1591" t="str">
        <f t="shared" si="50"/>
        <v>Normal</v>
      </c>
    </row>
    <row r="1592" spans="1:10" x14ac:dyDescent="0.35">
      <c r="A1592" t="s">
        <v>1592</v>
      </c>
      <c r="B1592">
        <v>34.21</v>
      </c>
      <c r="C1592">
        <v>9.7200000000000006</v>
      </c>
      <c r="D1592" t="s">
        <v>2346</v>
      </c>
      <c r="E1592" t="s">
        <v>2344</v>
      </c>
      <c r="F1592" t="s">
        <v>2344</v>
      </c>
      <c r="G1592">
        <v>0</v>
      </c>
      <c r="H1592" t="s">
        <v>2344</v>
      </c>
      <c r="I1592" t="str">
        <f t="shared" si="49"/>
        <v>Obesity</v>
      </c>
      <c r="J1592" t="str">
        <f t="shared" si="50"/>
        <v>Diabetes</v>
      </c>
    </row>
    <row r="1593" spans="1:10" x14ac:dyDescent="0.35">
      <c r="A1593" t="s">
        <v>1593</v>
      </c>
      <c r="B1593">
        <v>28.8</v>
      </c>
      <c r="C1593">
        <v>11.41</v>
      </c>
      <c r="D1593" t="s">
        <v>2346</v>
      </c>
      <c r="E1593" t="s">
        <v>2344</v>
      </c>
      <c r="F1593" t="s">
        <v>2344</v>
      </c>
      <c r="G1593">
        <v>0</v>
      </c>
      <c r="H1593" t="s">
        <v>2344</v>
      </c>
      <c r="I1593" t="str">
        <f t="shared" si="49"/>
        <v>Over weight</v>
      </c>
      <c r="J1593" t="str">
        <f t="shared" si="50"/>
        <v>Diabetes</v>
      </c>
    </row>
    <row r="1594" spans="1:10" x14ac:dyDescent="0.35">
      <c r="A1594" t="s">
        <v>1594</v>
      </c>
      <c r="B1594">
        <v>31.74</v>
      </c>
      <c r="C1594">
        <v>4.46</v>
      </c>
      <c r="D1594" t="s">
        <v>2344</v>
      </c>
      <c r="E1594" t="s">
        <v>2344</v>
      </c>
      <c r="F1594" t="s">
        <v>2346</v>
      </c>
      <c r="G1594">
        <v>1</v>
      </c>
      <c r="H1594" t="s">
        <v>2344</v>
      </c>
      <c r="I1594" t="str">
        <f t="shared" si="49"/>
        <v>Obesity</v>
      </c>
      <c r="J1594" t="str">
        <f t="shared" si="50"/>
        <v>Normal</v>
      </c>
    </row>
    <row r="1595" spans="1:10" x14ac:dyDescent="0.35">
      <c r="A1595" t="s">
        <v>1595</v>
      </c>
      <c r="B1595">
        <v>21.78</v>
      </c>
      <c r="C1595">
        <v>9.31</v>
      </c>
      <c r="D1595" t="s">
        <v>2346</v>
      </c>
      <c r="E1595" t="s">
        <v>2344</v>
      </c>
      <c r="F1595" t="s">
        <v>2344</v>
      </c>
      <c r="G1595">
        <v>0</v>
      </c>
      <c r="H1595" t="s">
        <v>2344</v>
      </c>
      <c r="I1595" t="str">
        <f t="shared" si="49"/>
        <v>Normal Weight</v>
      </c>
      <c r="J1595" t="str">
        <f t="shared" si="50"/>
        <v>Diabetes</v>
      </c>
    </row>
    <row r="1596" spans="1:10" x14ac:dyDescent="0.35">
      <c r="A1596" t="s">
        <v>1596</v>
      </c>
      <c r="B1596">
        <v>23.75</v>
      </c>
      <c r="C1596">
        <v>5.03</v>
      </c>
      <c r="D1596" t="s">
        <v>2344</v>
      </c>
      <c r="E1596" t="s">
        <v>2344</v>
      </c>
      <c r="F1596" t="s">
        <v>2344</v>
      </c>
      <c r="G1596">
        <v>1</v>
      </c>
      <c r="H1596" t="s">
        <v>2344</v>
      </c>
      <c r="I1596" t="str">
        <f t="shared" si="49"/>
        <v>Normal Weight</v>
      </c>
      <c r="J1596" t="str">
        <f t="shared" si="50"/>
        <v>Normal</v>
      </c>
    </row>
    <row r="1597" spans="1:10" x14ac:dyDescent="0.35">
      <c r="A1597" t="s">
        <v>1597</v>
      </c>
      <c r="B1597">
        <v>33.21</v>
      </c>
      <c r="C1597">
        <v>5.07</v>
      </c>
      <c r="D1597" t="s">
        <v>2346</v>
      </c>
      <c r="E1597" t="s">
        <v>2344</v>
      </c>
      <c r="F1597" t="s">
        <v>2344</v>
      </c>
      <c r="G1597">
        <v>1</v>
      </c>
      <c r="H1597" t="s">
        <v>2344</v>
      </c>
      <c r="I1597" t="str">
        <f t="shared" si="49"/>
        <v>Obesity</v>
      </c>
      <c r="J1597" t="str">
        <f t="shared" si="50"/>
        <v>Normal</v>
      </c>
    </row>
    <row r="1598" spans="1:10" x14ac:dyDescent="0.35">
      <c r="A1598" t="s">
        <v>1598</v>
      </c>
      <c r="B1598">
        <v>17.7</v>
      </c>
      <c r="C1598">
        <v>10.42</v>
      </c>
      <c r="D1598" t="s">
        <v>2346</v>
      </c>
      <c r="E1598" t="s">
        <v>2344</v>
      </c>
      <c r="F1598" t="s">
        <v>2344</v>
      </c>
      <c r="G1598">
        <v>1</v>
      </c>
      <c r="H1598" t="s">
        <v>2344</v>
      </c>
      <c r="I1598" t="str">
        <f t="shared" si="49"/>
        <v>Under Weight</v>
      </c>
      <c r="J1598" t="str">
        <f t="shared" si="50"/>
        <v>Diabetes</v>
      </c>
    </row>
    <row r="1599" spans="1:10" x14ac:dyDescent="0.35">
      <c r="A1599" t="s">
        <v>1599</v>
      </c>
      <c r="B1599">
        <v>17.2</v>
      </c>
      <c r="C1599">
        <v>6.45</v>
      </c>
      <c r="D1599" t="s">
        <v>2344</v>
      </c>
      <c r="E1599" t="s">
        <v>2344</v>
      </c>
      <c r="F1599" t="s">
        <v>2344</v>
      </c>
      <c r="G1599">
        <v>1</v>
      </c>
      <c r="H1599" t="s">
        <v>2344</v>
      </c>
      <c r="I1599" t="str">
        <f t="shared" si="49"/>
        <v>Under Weight</v>
      </c>
      <c r="J1599" t="str">
        <f t="shared" si="50"/>
        <v>Prediabetes</v>
      </c>
    </row>
    <row r="1600" spans="1:10" x14ac:dyDescent="0.35">
      <c r="A1600" t="s">
        <v>1600</v>
      </c>
      <c r="B1600">
        <v>19.21</v>
      </c>
      <c r="C1600">
        <v>5.52</v>
      </c>
      <c r="D1600" t="s">
        <v>2344</v>
      </c>
      <c r="E1600" t="s">
        <v>2344</v>
      </c>
      <c r="F1600" t="s">
        <v>2344</v>
      </c>
      <c r="G1600">
        <v>1</v>
      </c>
      <c r="H1600" t="s">
        <v>2344</v>
      </c>
      <c r="I1600" t="str">
        <f t="shared" si="49"/>
        <v>Normal Weight</v>
      </c>
      <c r="J1600" t="str">
        <f t="shared" si="50"/>
        <v>Normal</v>
      </c>
    </row>
    <row r="1601" spans="1:10" x14ac:dyDescent="0.35">
      <c r="A1601" t="s">
        <v>1601</v>
      </c>
      <c r="B1601">
        <v>23.2</v>
      </c>
      <c r="C1601">
        <v>4.41</v>
      </c>
      <c r="D1601" t="s">
        <v>2344</v>
      </c>
      <c r="E1601" t="s">
        <v>2344</v>
      </c>
      <c r="F1601" t="s">
        <v>2346</v>
      </c>
      <c r="G1601">
        <v>1</v>
      </c>
      <c r="H1601" t="s">
        <v>2344</v>
      </c>
      <c r="I1601" t="str">
        <f t="shared" si="49"/>
        <v>Normal Weight</v>
      </c>
      <c r="J1601" t="str">
        <f t="shared" si="50"/>
        <v>Normal</v>
      </c>
    </row>
    <row r="1602" spans="1:10" x14ac:dyDescent="0.35">
      <c r="A1602" t="s">
        <v>1602</v>
      </c>
      <c r="B1602">
        <v>32.5</v>
      </c>
      <c r="C1602">
        <v>4.6900000000000004</v>
      </c>
      <c r="D1602" t="s">
        <v>2346</v>
      </c>
      <c r="E1602" t="s">
        <v>2344</v>
      </c>
      <c r="F1602" t="s">
        <v>2346</v>
      </c>
      <c r="G1602">
        <v>1</v>
      </c>
      <c r="H1602" t="s">
        <v>2344</v>
      </c>
      <c r="I1602" t="str">
        <f t="shared" si="49"/>
        <v>Obesity</v>
      </c>
      <c r="J1602" t="str">
        <f t="shared" si="50"/>
        <v>Normal</v>
      </c>
    </row>
    <row r="1603" spans="1:10" x14ac:dyDescent="0.35">
      <c r="A1603" t="s">
        <v>1603</v>
      </c>
      <c r="B1603">
        <v>20.9</v>
      </c>
      <c r="C1603">
        <v>6.94</v>
      </c>
      <c r="D1603" t="s">
        <v>2344</v>
      </c>
      <c r="E1603" t="s">
        <v>2344</v>
      </c>
      <c r="F1603" t="s">
        <v>2344</v>
      </c>
      <c r="G1603">
        <v>0</v>
      </c>
      <c r="H1603" t="s">
        <v>2344</v>
      </c>
      <c r="I1603" t="str">
        <f t="shared" ref="I1603:I1666" si="51">IF(B1603&lt;18.5,"Under Weight",IF(B1603&lt;25,"Normal Weight",IF(B1603&lt;30,"Over weight","Obesity")))</f>
        <v>Normal Weight</v>
      </c>
      <c r="J1603" t="str">
        <f t="shared" si="50"/>
        <v>Diabetes</v>
      </c>
    </row>
    <row r="1604" spans="1:10" x14ac:dyDescent="0.35">
      <c r="A1604" t="s">
        <v>1604</v>
      </c>
      <c r="B1604">
        <v>19.11</v>
      </c>
      <c r="C1604">
        <v>4.3499999999999996</v>
      </c>
      <c r="D1604" t="s">
        <v>2344</v>
      </c>
      <c r="E1604" t="s">
        <v>2344</v>
      </c>
      <c r="F1604" t="s">
        <v>2344</v>
      </c>
      <c r="G1604">
        <v>1</v>
      </c>
      <c r="H1604" t="s">
        <v>2344</v>
      </c>
      <c r="I1604" t="str">
        <f t="shared" si="51"/>
        <v>Normal Weight</v>
      </c>
      <c r="J1604" t="str">
        <f t="shared" si="50"/>
        <v>Normal</v>
      </c>
    </row>
    <row r="1605" spans="1:10" x14ac:dyDescent="0.35">
      <c r="A1605" t="s">
        <v>1605</v>
      </c>
      <c r="B1605">
        <v>31.17</v>
      </c>
      <c r="C1605">
        <v>5.28</v>
      </c>
      <c r="D1605" t="s">
        <v>2344</v>
      </c>
      <c r="E1605" t="s">
        <v>2344</v>
      </c>
      <c r="F1605" t="s">
        <v>2344</v>
      </c>
      <c r="G1605">
        <v>1</v>
      </c>
      <c r="H1605" t="s">
        <v>2344</v>
      </c>
      <c r="I1605" t="str">
        <f t="shared" si="51"/>
        <v>Obesity</v>
      </c>
      <c r="J1605" t="str">
        <f t="shared" si="50"/>
        <v>Normal</v>
      </c>
    </row>
    <row r="1606" spans="1:10" x14ac:dyDescent="0.35">
      <c r="A1606" t="s">
        <v>1606</v>
      </c>
      <c r="B1606">
        <v>36.08</v>
      </c>
      <c r="C1606">
        <v>4.29</v>
      </c>
      <c r="D1606" t="s">
        <v>2344</v>
      </c>
      <c r="E1606" t="s">
        <v>2344</v>
      </c>
      <c r="F1606" t="s">
        <v>2344</v>
      </c>
      <c r="G1606">
        <v>0</v>
      </c>
      <c r="H1606" t="s">
        <v>2344</v>
      </c>
      <c r="I1606" t="str">
        <f t="shared" si="51"/>
        <v>Obesity</v>
      </c>
      <c r="J1606" t="str">
        <f t="shared" si="50"/>
        <v>Normal</v>
      </c>
    </row>
    <row r="1607" spans="1:10" x14ac:dyDescent="0.35">
      <c r="A1607" t="s">
        <v>1607</v>
      </c>
      <c r="B1607">
        <v>28.024999999999999</v>
      </c>
      <c r="C1607">
        <v>5.69</v>
      </c>
      <c r="D1607" t="s">
        <v>2346</v>
      </c>
      <c r="E1607" t="s">
        <v>2344</v>
      </c>
      <c r="F1607" t="s">
        <v>2344</v>
      </c>
      <c r="G1607">
        <v>0</v>
      </c>
      <c r="H1607" t="s">
        <v>2344</v>
      </c>
      <c r="I1607" t="str">
        <f t="shared" si="51"/>
        <v>Over weight</v>
      </c>
      <c r="J1607" t="str">
        <f t="shared" si="50"/>
        <v>Normal</v>
      </c>
    </row>
    <row r="1608" spans="1:10" x14ac:dyDescent="0.35">
      <c r="A1608" t="s">
        <v>1608</v>
      </c>
      <c r="B1608">
        <v>24.32</v>
      </c>
      <c r="C1608">
        <v>5.56</v>
      </c>
      <c r="D1608" t="s">
        <v>2346</v>
      </c>
      <c r="E1608" t="s">
        <v>2344</v>
      </c>
      <c r="F1608" t="s">
        <v>2344</v>
      </c>
      <c r="G1608">
        <v>0</v>
      </c>
      <c r="H1608" t="s">
        <v>2344</v>
      </c>
      <c r="I1608" t="str">
        <f t="shared" si="51"/>
        <v>Normal Weight</v>
      </c>
      <c r="J1608" t="str">
        <f t="shared" si="50"/>
        <v>Normal</v>
      </c>
    </row>
    <row r="1609" spans="1:10" x14ac:dyDescent="0.35">
      <c r="A1609" t="s">
        <v>1609</v>
      </c>
      <c r="B1609">
        <v>38</v>
      </c>
      <c r="C1609">
        <v>5.41</v>
      </c>
      <c r="D1609" t="s">
        <v>2346</v>
      </c>
      <c r="E1609" t="s">
        <v>2344</v>
      </c>
      <c r="F1609" t="s">
        <v>2344</v>
      </c>
      <c r="G1609">
        <v>1</v>
      </c>
      <c r="H1609" t="s">
        <v>2344</v>
      </c>
      <c r="I1609" t="str">
        <f t="shared" si="51"/>
        <v>Obesity</v>
      </c>
      <c r="J1609" t="str">
        <f t="shared" si="50"/>
        <v>Normal</v>
      </c>
    </row>
    <row r="1610" spans="1:10" x14ac:dyDescent="0.35">
      <c r="A1610" t="s">
        <v>1610</v>
      </c>
      <c r="B1610">
        <v>31.6</v>
      </c>
      <c r="C1610">
        <v>10.85</v>
      </c>
      <c r="D1610" t="s">
        <v>2346</v>
      </c>
      <c r="E1610" t="s">
        <v>2344</v>
      </c>
      <c r="F1610" t="s">
        <v>2344</v>
      </c>
      <c r="G1610">
        <v>0</v>
      </c>
      <c r="H1610" t="s">
        <v>2344</v>
      </c>
      <c r="I1610" t="str">
        <f t="shared" si="51"/>
        <v>Obesity</v>
      </c>
      <c r="J1610" t="str">
        <f t="shared" si="50"/>
        <v>Diabetes</v>
      </c>
    </row>
    <row r="1611" spans="1:10" x14ac:dyDescent="0.35">
      <c r="A1611" t="s">
        <v>1611</v>
      </c>
      <c r="B1611">
        <v>31.02</v>
      </c>
      <c r="C1611">
        <v>11.63</v>
      </c>
      <c r="D1611" t="s">
        <v>2346</v>
      </c>
      <c r="E1611" t="s">
        <v>2344</v>
      </c>
      <c r="F1611" t="s">
        <v>2344</v>
      </c>
      <c r="G1611">
        <v>0</v>
      </c>
      <c r="H1611" t="s">
        <v>2344</v>
      </c>
      <c r="I1611" t="str">
        <f t="shared" si="51"/>
        <v>Obesity</v>
      </c>
      <c r="J1611" t="str">
        <f t="shared" si="50"/>
        <v>Diabetes</v>
      </c>
    </row>
    <row r="1612" spans="1:10" x14ac:dyDescent="0.35">
      <c r="A1612" t="s">
        <v>1612</v>
      </c>
      <c r="B1612">
        <v>29.26</v>
      </c>
      <c r="C1612">
        <v>5.68</v>
      </c>
      <c r="D1612" t="s">
        <v>2346</v>
      </c>
      <c r="E1612" t="s">
        <v>2344</v>
      </c>
      <c r="F1612" t="s">
        <v>2344</v>
      </c>
      <c r="G1612">
        <v>1</v>
      </c>
      <c r="H1612" t="s">
        <v>2344</v>
      </c>
      <c r="I1612" t="str">
        <f t="shared" si="51"/>
        <v>Over weight</v>
      </c>
      <c r="J1612" t="str">
        <f t="shared" ref="J1612:J1675" si="52">IF(C1612&lt;5.7,"Normal",IF(C1612&lt;6.5,"Prediabetes","Diabetes"))</f>
        <v>Normal</v>
      </c>
    </row>
    <row r="1613" spans="1:10" x14ac:dyDescent="0.35">
      <c r="A1613" t="s">
        <v>1613</v>
      </c>
      <c r="B1613">
        <v>15.09</v>
      </c>
      <c r="C1613">
        <v>7.59</v>
      </c>
      <c r="D1613" t="s">
        <v>2346</v>
      </c>
      <c r="E1613" t="s">
        <v>2344</v>
      </c>
      <c r="F1613" t="s">
        <v>2344</v>
      </c>
      <c r="G1613">
        <v>1</v>
      </c>
      <c r="H1613" t="s">
        <v>2344</v>
      </c>
      <c r="I1613" t="str">
        <f t="shared" si="51"/>
        <v>Under Weight</v>
      </c>
      <c r="J1613" t="str">
        <f t="shared" si="52"/>
        <v>Diabetes</v>
      </c>
    </row>
    <row r="1614" spans="1:10" x14ac:dyDescent="0.35">
      <c r="A1614" t="s">
        <v>1614</v>
      </c>
      <c r="B1614">
        <v>22.63</v>
      </c>
      <c r="C1614">
        <v>5.09</v>
      </c>
      <c r="D1614" t="s">
        <v>2346</v>
      </c>
      <c r="E1614" t="s">
        <v>2344</v>
      </c>
      <c r="F1614" t="s">
        <v>2344</v>
      </c>
      <c r="G1614">
        <v>0</v>
      </c>
      <c r="H1614" t="s">
        <v>2344</v>
      </c>
      <c r="I1614" t="str">
        <f t="shared" si="51"/>
        <v>Normal Weight</v>
      </c>
      <c r="J1614" t="str">
        <f t="shared" si="52"/>
        <v>Normal</v>
      </c>
    </row>
    <row r="1615" spans="1:10" x14ac:dyDescent="0.35">
      <c r="A1615" t="s">
        <v>1615</v>
      </c>
      <c r="B1615">
        <v>23.46</v>
      </c>
      <c r="C1615">
        <v>4.21</v>
      </c>
      <c r="D1615" t="s">
        <v>2344</v>
      </c>
      <c r="E1615" t="s">
        <v>2344</v>
      </c>
      <c r="F1615" t="s">
        <v>2344</v>
      </c>
      <c r="G1615">
        <v>1</v>
      </c>
      <c r="H1615" t="s">
        <v>2344</v>
      </c>
      <c r="I1615" t="str">
        <f t="shared" si="51"/>
        <v>Normal Weight</v>
      </c>
      <c r="J1615" t="str">
        <f t="shared" si="52"/>
        <v>Normal</v>
      </c>
    </row>
    <row r="1616" spans="1:10" x14ac:dyDescent="0.35">
      <c r="A1616" t="s">
        <v>1616</v>
      </c>
      <c r="B1616">
        <v>22.56</v>
      </c>
      <c r="C1616">
        <v>4.34</v>
      </c>
      <c r="D1616" t="s">
        <v>2346</v>
      </c>
      <c r="E1616" t="s">
        <v>2344</v>
      </c>
      <c r="F1616" t="s">
        <v>2344</v>
      </c>
      <c r="G1616">
        <v>0</v>
      </c>
      <c r="H1616" t="s">
        <v>2344</v>
      </c>
      <c r="I1616" t="str">
        <f t="shared" si="51"/>
        <v>Normal Weight</v>
      </c>
      <c r="J1616" t="str">
        <f t="shared" si="52"/>
        <v>Normal</v>
      </c>
    </row>
    <row r="1617" spans="1:10" x14ac:dyDescent="0.35">
      <c r="A1617" t="s">
        <v>1617</v>
      </c>
      <c r="B1617">
        <v>19.28</v>
      </c>
      <c r="C1617">
        <v>11.85</v>
      </c>
      <c r="D1617" t="s">
        <v>2344</v>
      </c>
      <c r="E1617" t="s">
        <v>2344</v>
      </c>
      <c r="F1617" t="s">
        <v>2344</v>
      </c>
      <c r="G1617">
        <v>1</v>
      </c>
      <c r="H1617" t="s">
        <v>2344</v>
      </c>
      <c r="I1617" t="str">
        <f t="shared" si="51"/>
        <v>Normal Weight</v>
      </c>
      <c r="J1617" t="str">
        <f t="shared" si="52"/>
        <v>Diabetes</v>
      </c>
    </row>
    <row r="1618" spans="1:10" x14ac:dyDescent="0.35">
      <c r="A1618" t="s">
        <v>1618</v>
      </c>
      <c r="B1618">
        <v>15.37</v>
      </c>
      <c r="C1618">
        <v>9.61</v>
      </c>
      <c r="D1618" t="s">
        <v>2346</v>
      </c>
      <c r="E1618" t="s">
        <v>2344</v>
      </c>
      <c r="F1618" t="s">
        <v>2344</v>
      </c>
      <c r="G1618">
        <v>1</v>
      </c>
      <c r="H1618" t="s">
        <v>2344</v>
      </c>
      <c r="I1618" t="str">
        <f t="shared" si="51"/>
        <v>Under Weight</v>
      </c>
      <c r="J1618" t="str">
        <f t="shared" si="52"/>
        <v>Diabetes</v>
      </c>
    </row>
    <row r="1619" spans="1:10" x14ac:dyDescent="0.35">
      <c r="A1619" t="s">
        <v>1619</v>
      </c>
      <c r="B1619">
        <v>18.71</v>
      </c>
      <c r="C1619">
        <v>5.29</v>
      </c>
      <c r="D1619" t="s">
        <v>2346</v>
      </c>
      <c r="E1619" t="s">
        <v>2344</v>
      </c>
      <c r="F1619" t="s">
        <v>2344</v>
      </c>
      <c r="G1619">
        <v>0</v>
      </c>
      <c r="H1619" t="s">
        <v>2344</v>
      </c>
      <c r="I1619" t="str">
        <f t="shared" si="51"/>
        <v>Normal Weight</v>
      </c>
      <c r="J1619" t="str">
        <f t="shared" si="52"/>
        <v>Normal</v>
      </c>
    </row>
    <row r="1620" spans="1:10" x14ac:dyDescent="0.35">
      <c r="A1620" t="s">
        <v>1620</v>
      </c>
      <c r="B1620">
        <v>20.61</v>
      </c>
      <c r="C1620">
        <v>6.89</v>
      </c>
      <c r="D1620" t="s">
        <v>2344</v>
      </c>
      <c r="E1620" t="s">
        <v>2344</v>
      </c>
      <c r="F1620" t="s">
        <v>2344</v>
      </c>
      <c r="G1620">
        <v>0</v>
      </c>
      <c r="H1620" t="s">
        <v>2344</v>
      </c>
      <c r="I1620" t="str">
        <f t="shared" si="51"/>
        <v>Normal Weight</v>
      </c>
      <c r="J1620" t="str">
        <f t="shared" si="52"/>
        <v>Diabetes</v>
      </c>
    </row>
    <row r="1621" spans="1:10" x14ac:dyDescent="0.35">
      <c r="A1621" t="s">
        <v>1621</v>
      </c>
      <c r="B1621">
        <v>15.99</v>
      </c>
      <c r="C1621">
        <v>4.57</v>
      </c>
      <c r="D1621" t="s">
        <v>2346</v>
      </c>
      <c r="E1621" t="s">
        <v>2344</v>
      </c>
      <c r="F1621" t="s">
        <v>2346</v>
      </c>
      <c r="G1621">
        <v>1</v>
      </c>
      <c r="H1621" t="s">
        <v>2344</v>
      </c>
      <c r="I1621" t="str">
        <f t="shared" si="51"/>
        <v>Under Weight</v>
      </c>
      <c r="J1621" t="str">
        <f t="shared" si="52"/>
        <v>Normal</v>
      </c>
    </row>
    <row r="1622" spans="1:10" x14ac:dyDescent="0.35">
      <c r="A1622" t="s">
        <v>1622</v>
      </c>
      <c r="B1622">
        <v>33.155000000000001</v>
      </c>
      <c r="C1622">
        <v>4.32</v>
      </c>
      <c r="D1622" t="s">
        <v>2344</v>
      </c>
      <c r="E1622" t="s">
        <v>2344</v>
      </c>
      <c r="F1622" t="s">
        <v>2344</v>
      </c>
      <c r="G1622">
        <v>0</v>
      </c>
      <c r="H1622" t="s">
        <v>2344</v>
      </c>
      <c r="I1622" t="str">
        <f t="shared" si="51"/>
        <v>Obesity</v>
      </c>
      <c r="J1622" t="str">
        <f t="shared" si="52"/>
        <v>Normal</v>
      </c>
    </row>
    <row r="1623" spans="1:10" x14ac:dyDescent="0.35">
      <c r="A1623" t="s">
        <v>1623</v>
      </c>
      <c r="B1623">
        <v>26.22</v>
      </c>
      <c r="C1623">
        <v>5.57</v>
      </c>
      <c r="D1623" t="s">
        <v>2346</v>
      </c>
      <c r="E1623" t="s">
        <v>2344</v>
      </c>
      <c r="F1623" t="s">
        <v>2346</v>
      </c>
      <c r="G1623">
        <v>1</v>
      </c>
      <c r="H1623" t="s">
        <v>2344</v>
      </c>
      <c r="I1623" t="str">
        <f t="shared" si="51"/>
        <v>Over weight</v>
      </c>
      <c r="J1623" t="str">
        <f t="shared" si="52"/>
        <v>Normal</v>
      </c>
    </row>
    <row r="1624" spans="1:10" x14ac:dyDescent="0.35">
      <c r="A1624" t="s">
        <v>1624</v>
      </c>
      <c r="B1624">
        <v>21.85</v>
      </c>
      <c r="C1624">
        <v>5.26</v>
      </c>
      <c r="D1624" t="s">
        <v>2346</v>
      </c>
      <c r="E1624" t="s">
        <v>2344</v>
      </c>
      <c r="F1624" t="s">
        <v>2346</v>
      </c>
      <c r="G1624">
        <v>1</v>
      </c>
      <c r="H1624" t="s">
        <v>2344</v>
      </c>
      <c r="I1624" t="str">
        <f t="shared" si="51"/>
        <v>Normal Weight</v>
      </c>
      <c r="J1624" t="str">
        <f t="shared" si="52"/>
        <v>Normal</v>
      </c>
    </row>
    <row r="1625" spans="1:10" x14ac:dyDescent="0.35">
      <c r="A1625" t="s">
        <v>1625</v>
      </c>
      <c r="B1625">
        <v>30.495000000000001</v>
      </c>
      <c r="C1625">
        <v>6.25</v>
      </c>
      <c r="D1625" t="s">
        <v>2344</v>
      </c>
      <c r="E1625" t="s">
        <v>2344</v>
      </c>
      <c r="F1625" t="s">
        <v>2344</v>
      </c>
      <c r="G1625">
        <v>0</v>
      </c>
      <c r="H1625" t="s">
        <v>2344</v>
      </c>
      <c r="I1625" t="str">
        <f t="shared" si="51"/>
        <v>Obesity</v>
      </c>
      <c r="J1625" t="str">
        <f t="shared" si="52"/>
        <v>Prediabetes</v>
      </c>
    </row>
    <row r="1626" spans="1:10" x14ac:dyDescent="0.35">
      <c r="A1626" t="s">
        <v>1626</v>
      </c>
      <c r="B1626">
        <v>34.104999999999997</v>
      </c>
      <c r="C1626">
        <v>5.67</v>
      </c>
      <c r="D1626" t="s">
        <v>2346</v>
      </c>
      <c r="E1626" t="s">
        <v>2344</v>
      </c>
      <c r="F1626" t="s">
        <v>2344</v>
      </c>
      <c r="G1626">
        <v>0</v>
      </c>
      <c r="H1626" t="s">
        <v>2344</v>
      </c>
      <c r="I1626" t="str">
        <f t="shared" si="51"/>
        <v>Obesity</v>
      </c>
      <c r="J1626" t="str">
        <f t="shared" si="52"/>
        <v>Normal</v>
      </c>
    </row>
    <row r="1627" spans="1:10" x14ac:dyDescent="0.35">
      <c r="A1627" t="s">
        <v>1627</v>
      </c>
      <c r="B1627">
        <v>32.770000000000003</v>
      </c>
      <c r="C1627">
        <v>4.42</v>
      </c>
      <c r="D1627" t="s">
        <v>2346</v>
      </c>
      <c r="E1627" t="s">
        <v>2344</v>
      </c>
      <c r="F1627" t="s">
        <v>2344</v>
      </c>
      <c r="G1627">
        <v>1</v>
      </c>
      <c r="H1627" t="s">
        <v>2344</v>
      </c>
      <c r="I1627" t="str">
        <f t="shared" si="51"/>
        <v>Obesity</v>
      </c>
      <c r="J1627" t="str">
        <f t="shared" si="52"/>
        <v>Normal</v>
      </c>
    </row>
    <row r="1628" spans="1:10" x14ac:dyDescent="0.35">
      <c r="A1628" t="s">
        <v>1628</v>
      </c>
      <c r="B1628">
        <v>16.850000000000001</v>
      </c>
      <c r="C1628">
        <v>11.75</v>
      </c>
      <c r="D1628" t="s">
        <v>2346</v>
      </c>
      <c r="E1628" t="s">
        <v>2344</v>
      </c>
      <c r="F1628" t="s">
        <v>2344</v>
      </c>
      <c r="G1628">
        <v>1</v>
      </c>
      <c r="H1628" t="s">
        <v>2344</v>
      </c>
      <c r="I1628" t="str">
        <f t="shared" si="51"/>
        <v>Under Weight</v>
      </c>
      <c r="J1628" t="str">
        <f t="shared" si="52"/>
        <v>Diabetes</v>
      </c>
    </row>
    <row r="1629" spans="1:10" x14ac:dyDescent="0.35">
      <c r="A1629" t="s">
        <v>1629</v>
      </c>
      <c r="B1629">
        <v>34.700000000000003</v>
      </c>
      <c r="C1629">
        <v>6.06</v>
      </c>
      <c r="D1629" t="s">
        <v>2344</v>
      </c>
      <c r="E1629" t="s">
        <v>2344</v>
      </c>
      <c r="F1629" t="s">
        <v>2344</v>
      </c>
      <c r="G1629">
        <v>1</v>
      </c>
      <c r="H1629" t="s">
        <v>2344</v>
      </c>
      <c r="I1629" t="str">
        <f t="shared" si="51"/>
        <v>Obesity</v>
      </c>
      <c r="J1629" t="str">
        <f t="shared" si="52"/>
        <v>Prediabetes</v>
      </c>
    </row>
    <row r="1630" spans="1:10" x14ac:dyDescent="0.35">
      <c r="A1630" t="s">
        <v>1630</v>
      </c>
      <c r="B1630">
        <v>37.049999999999997</v>
      </c>
      <c r="C1630">
        <v>5.48</v>
      </c>
      <c r="D1630" t="s">
        <v>2344</v>
      </c>
      <c r="E1630" t="s">
        <v>2344</v>
      </c>
      <c r="F1630" t="s">
        <v>2344</v>
      </c>
      <c r="G1630">
        <v>1</v>
      </c>
      <c r="H1630" t="s">
        <v>2344</v>
      </c>
      <c r="I1630" t="str">
        <f t="shared" si="51"/>
        <v>Obesity</v>
      </c>
      <c r="J1630" t="str">
        <f t="shared" si="52"/>
        <v>Normal</v>
      </c>
    </row>
    <row r="1631" spans="1:10" x14ac:dyDescent="0.35">
      <c r="A1631" t="s">
        <v>1631</v>
      </c>
      <c r="B1631">
        <v>18.78</v>
      </c>
      <c r="C1631">
        <v>4.45</v>
      </c>
      <c r="D1631" t="s">
        <v>2344</v>
      </c>
      <c r="E1631" t="s">
        <v>2344</v>
      </c>
      <c r="F1631" t="s">
        <v>2346</v>
      </c>
      <c r="G1631">
        <v>1</v>
      </c>
      <c r="H1631" t="s">
        <v>2344</v>
      </c>
      <c r="I1631" t="str">
        <f t="shared" si="51"/>
        <v>Normal Weight</v>
      </c>
      <c r="J1631" t="str">
        <f t="shared" si="52"/>
        <v>Normal</v>
      </c>
    </row>
    <row r="1632" spans="1:10" x14ac:dyDescent="0.35">
      <c r="A1632" t="s">
        <v>1632</v>
      </c>
      <c r="B1632">
        <v>28.024999999999999</v>
      </c>
      <c r="C1632" t="s">
        <v>2346</v>
      </c>
      <c r="D1632" t="s">
        <v>2344</v>
      </c>
      <c r="E1632" t="s">
        <v>2344</v>
      </c>
      <c r="F1632" t="s">
        <v>2344</v>
      </c>
      <c r="G1632">
        <v>1</v>
      </c>
      <c r="H1632" t="s">
        <v>2344</v>
      </c>
      <c r="I1632" t="str">
        <f t="shared" si="51"/>
        <v>Over weight</v>
      </c>
      <c r="J1632" t="str">
        <f t="shared" si="52"/>
        <v>Diabetes</v>
      </c>
    </row>
    <row r="1633" spans="1:10" x14ac:dyDescent="0.35">
      <c r="A1633" t="s">
        <v>1633</v>
      </c>
      <c r="B1633">
        <v>35.090000000000003</v>
      </c>
      <c r="C1633">
        <v>5.84</v>
      </c>
      <c r="D1633" t="s">
        <v>2344</v>
      </c>
      <c r="E1633" t="s">
        <v>2344</v>
      </c>
      <c r="F1633" t="s">
        <v>2344</v>
      </c>
      <c r="G1633">
        <v>0</v>
      </c>
      <c r="H1633" t="s">
        <v>2344</v>
      </c>
      <c r="I1633" t="str">
        <f t="shared" si="51"/>
        <v>Obesity</v>
      </c>
      <c r="J1633" t="str">
        <f t="shared" si="52"/>
        <v>Prediabetes</v>
      </c>
    </row>
    <row r="1634" spans="1:10" x14ac:dyDescent="0.35">
      <c r="A1634" t="s">
        <v>1634</v>
      </c>
      <c r="B1634">
        <v>34.42</v>
      </c>
      <c r="C1634">
        <v>5.21</v>
      </c>
      <c r="D1634" t="s">
        <v>2346</v>
      </c>
      <c r="E1634" t="s">
        <v>2344</v>
      </c>
      <c r="F1634" t="s">
        <v>2344</v>
      </c>
      <c r="G1634">
        <v>0</v>
      </c>
      <c r="H1634" t="s">
        <v>2344</v>
      </c>
      <c r="I1634" t="str">
        <f t="shared" si="51"/>
        <v>Obesity</v>
      </c>
      <c r="J1634" t="str">
        <f t="shared" si="52"/>
        <v>Normal</v>
      </c>
    </row>
    <row r="1635" spans="1:10" x14ac:dyDescent="0.35">
      <c r="A1635" t="s">
        <v>1635</v>
      </c>
      <c r="B1635">
        <v>29.4</v>
      </c>
      <c r="C1635">
        <v>4.26</v>
      </c>
      <c r="D1635" t="s">
        <v>2344</v>
      </c>
      <c r="E1635" t="s">
        <v>2344</v>
      </c>
      <c r="F1635" t="s">
        <v>2344</v>
      </c>
      <c r="G1635">
        <v>0</v>
      </c>
      <c r="H1635" t="s">
        <v>2344</v>
      </c>
      <c r="I1635" t="str">
        <f t="shared" si="51"/>
        <v>Over weight</v>
      </c>
      <c r="J1635" t="str">
        <f t="shared" si="52"/>
        <v>Normal</v>
      </c>
    </row>
    <row r="1636" spans="1:10" x14ac:dyDescent="0.35">
      <c r="A1636" t="s">
        <v>1636</v>
      </c>
      <c r="B1636">
        <v>21.31</v>
      </c>
      <c r="C1636">
        <v>4.17</v>
      </c>
      <c r="D1636" t="s">
        <v>2344</v>
      </c>
      <c r="E1636" t="s">
        <v>2344</v>
      </c>
      <c r="F1636" t="s">
        <v>2344</v>
      </c>
      <c r="G1636">
        <v>0</v>
      </c>
      <c r="H1636" t="s">
        <v>2344</v>
      </c>
      <c r="I1636" t="str">
        <f t="shared" si="51"/>
        <v>Normal Weight</v>
      </c>
      <c r="J1636" t="str">
        <f t="shared" si="52"/>
        <v>Normal</v>
      </c>
    </row>
    <row r="1637" spans="1:10" x14ac:dyDescent="0.35">
      <c r="A1637" t="s">
        <v>1637</v>
      </c>
      <c r="B1637">
        <v>19.559999999999999</v>
      </c>
      <c r="C1637">
        <v>11.96</v>
      </c>
      <c r="D1637" t="s">
        <v>2344</v>
      </c>
      <c r="E1637" t="s">
        <v>2344</v>
      </c>
      <c r="F1637" t="s">
        <v>2344</v>
      </c>
      <c r="G1637">
        <v>0</v>
      </c>
      <c r="H1637" t="s">
        <v>2344</v>
      </c>
      <c r="I1637" t="str">
        <f t="shared" si="51"/>
        <v>Normal Weight</v>
      </c>
      <c r="J1637" t="str">
        <f t="shared" si="52"/>
        <v>Diabetes</v>
      </c>
    </row>
    <row r="1638" spans="1:10" x14ac:dyDescent="0.35">
      <c r="A1638" t="s">
        <v>1638</v>
      </c>
      <c r="B1638">
        <v>37.335000000000001</v>
      </c>
      <c r="C1638">
        <v>6.26</v>
      </c>
      <c r="D1638" t="s">
        <v>2346</v>
      </c>
      <c r="E1638" t="s">
        <v>2344</v>
      </c>
      <c r="F1638" t="s">
        <v>2344</v>
      </c>
      <c r="G1638">
        <v>1</v>
      </c>
      <c r="H1638" t="s">
        <v>2344</v>
      </c>
      <c r="I1638" t="str">
        <f t="shared" si="51"/>
        <v>Obesity</v>
      </c>
      <c r="J1638" t="str">
        <f t="shared" si="52"/>
        <v>Prediabetes</v>
      </c>
    </row>
    <row r="1639" spans="1:10" x14ac:dyDescent="0.35">
      <c r="A1639" t="s">
        <v>1639</v>
      </c>
      <c r="B1639">
        <v>19.53</v>
      </c>
      <c r="C1639">
        <v>11.68</v>
      </c>
      <c r="D1639" t="s">
        <v>2344</v>
      </c>
      <c r="E1639" t="s">
        <v>2344</v>
      </c>
      <c r="F1639" t="s">
        <v>2344</v>
      </c>
      <c r="G1639">
        <v>0</v>
      </c>
      <c r="H1639" t="s">
        <v>2344</v>
      </c>
      <c r="I1639" t="str">
        <f t="shared" si="51"/>
        <v>Normal Weight</v>
      </c>
      <c r="J1639" t="str">
        <f t="shared" si="52"/>
        <v>Diabetes</v>
      </c>
    </row>
    <row r="1640" spans="1:10" x14ac:dyDescent="0.35">
      <c r="A1640" t="s">
        <v>1640</v>
      </c>
      <c r="B1640">
        <v>34.1</v>
      </c>
      <c r="C1640">
        <v>5.16</v>
      </c>
      <c r="D1640" t="s">
        <v>2344</v>
      </c>
      <c r="E1640" t="s">
        <v>2344</v>
      </c>
      <c r="F1640" t="s">
        <v>2344</v>
      </c>
      <c r="G1640">
        <v>0</v>
      </c>
      <c r="H1640" t="s">
        <v>2344</v>
      </c>
      <c r="I1640" t="str">
        <f t="shared" si="51"/>
        <v>Obesity</v>
      </c>
      <c r="J1640" t="str">
        <f t="shared" si="52"/>
        <v>Normal</v>
      </c>
    </row>
    <row r="1641" spans="1:10" x14ac:dyDescent="0.35">
      <c r="A1641" t="s">
        <v>1641</v>
      </c>
      <c r="B1641">
        <v>16.5</v>
      </c>
      <c r="C1641">
        <v>6.9</v>
      </c>
      <c r="D1641" t="s">
        <v>2346</v>
      </c>
      <c r="E1641" t="s">
        <v>2344</v>
      </c>
      <c r="F1641" t="s">
        <v>2344</v>
      </c>
      <c r="G1641">
        <v>1</v>
      </c>
      <c r="H1641" t="s">
        <v>2344</v>
      </c>
      <c r="I1641" t="str">
        <f t="shared" si="51"/>
        <v>Under Weight</v>
      </c>
      <c r="J1641" t="str">
        <f t="shared" si="52"/>
        <v>Diabetes</v>
      </c>
    </row>
    <row r="1642" spans="1:10" x14ac:dyDescent="0.35">
      <c r="A1642" t="s">
        <v>1642</v>
      </c>
      <c r="B1642">
        <v>30.69</v>
      </c>
      <c r="C1642">
        <v>4.83</v>
      </c>
      <c r="D1642" t="s">
        <v>2344</v>
      </c>
      <c r="E1642" t="s">
        <v>2344</v>
      </c>
      <c r="F1642" t="s">
        <v>2344</v>
      </c>
      <c r="G1642">
        <v>1</v>
      </c>
      <c r="H1642" t="s">
        <v>2344</v>
      </c>
      <c r="I1642" t="str">
        <f t="shared" si="51"/>
        <v>Obesity</v>
      </c>
      <c r="J1642" t="str">
        <f t="shared" si="52"/>
        <v>Normal</v>
      </c>
    </row>
    <row r="1643" spans="1:10" x14ac:dyDescent="0.35">
      <c r="A1643" t="s">
        <v>1643</v>
      </c>
      <c r="B1643">
        <v>28.93</v>
      </c>
      <c r="C1643">
        <v>4.87</v>
      </c>
      <c r="D1643" t="s">
        <v>2344</v>
      </c>
      <c r="E1643" t="s">
        <v>2344</v>
      </c>
      <c r="F1643" t="s">
        <v>2344</v>
      </c>
      <c r="G1643">
        <v>1</v>
      </c>
      <c r="H1643" t="s">
        <v>2344</v>
      </c>
      <c r="I1643" t="str">
        <f t="shared" si="51"/>
        <v>Over weight</v>
      </c>
      <c r="J1643" t="str">
        <f t="shared" si="52"/>
        <v>Normal</v>
      </c>
    </row>
    <row r="1644" spans="1:10" x14ac:dyDescent="0.35">
      <c r="A1644" t="s">
        <v>1644</v>
      </c>
      <c r="B1644">
        <v>38.9</v>
      </c>
      <c r="C1644">
        <v>4.28</v>
      </c>
      <c r="D1644" t="s">
        <v>2344</v>
      </c>
      <c r="E1644" t="s">
        <v>2344</v>
      </c>
      <c r="F1644" t="s">
        <v>2344</v>
      </c>
      <c r="G1644">
        <v>0</v>
      </c>
      <c r="H1644" t="s">
        <v>2344</v>
      </c>
      <c r="I1644" t="str">
        <f t="shared" si="51"/>
        <v>Obesity</v>
      </c>
      <c r="J1644" t="str">
        <f t="shared" si="52"/>
        <v>Normal</v>
      </c>
    </row>
    <row r="1645" spans="1:10" x14ac:dyDescent="0.35">
      <c r="A1645" t="s">
        <v>1645</v>
      </c>
      <c r="B1645">
        <v>26.9</v>
      </c>
      <c r="C1645">
        <v>4.07</v>
      </c>
      <c r="D1645" t="s">
        <v>2344</v>
      </c>
      <c r="E1645" t="s">
        <v>2344</v>
      </c>
      <c r="F1645" t="s">
        <v>2344</v>
      </c>
      <c r="G1645">
        <v>0</v>
      </c>
      <c r="H1645" t="s">
        <v>2344</v>
      </c>
      <c r="I1645" t="str">
        <f t="shared" si="51"/>
        <v>Over weight</v>
      </c>
      <c r="J1645" t="str">
        <f t="shared" si="52"/>
        <v>Normal</v>
      </c>
    </row>
    <row r="1646" spans="1:10" x14ac:dyDescent="0.35">
      <c r="A1646" t="s">
        <v>1646</v>
      </c>
      <c r="B1646">
        <v>24.86</v>
      </c>
      <c r="C1646">
        <v>6.23</v>
      </c>
      <c r="D1646" t="s">
        <v>2344</v>
      </c>
      <c r="E1646" t="s">
        <v>2344</v>
      </c>
      <c r="F1646" t="s">
        <v>2344</v>
      </c>
      <c r="G1646">
        <v>0</v>
      </c>
      <c r="H1646" t="s">
        <v>2344</v>
      </c>
      <c r="I1646" t="str">
        <f t="shared" si="51"/>
        <v>Normal Weight</v>
      </c>
      <c r="J1646" t="str">
        <f t="shared" si="52"/>
        <v>Prediabetes</v>
      </c>
    </row>
    <row r="1647" spans="1:10" x14ac:dyDescent="0.35">
      <c r="A1647" t="s">
        <v>1647</v>
      </c>
      <c r="B1647">
        <v>39.14</v>
      </c>
      <c r="C1647">
        <v>6.24</v>
      </c>
      <c r="D1647" t="s">
        <v>2344</v>
      </c>
      <c r="E1647" t="s">
        <v>2345</v>
      </c>
      <c r="F1647" t="s">
        <v>2344</v>
      </c>
      <c r="G1647">
        <v>1</v>
      </c>
      <c r="H1647" t="s">
        <v>2344</v>
      </c>
      <c r="I1647" t="str">
        <f t="shared" si="51"/>
        <v>Obesity</v>
      </c>
      <c r="J1647" t="str">
        <f t="shared" si="52"/>
        <v>Prediabetes</v>
      </c>
    </row>
    <row r="1648" spans="1:10" x14ac:dyDescent="0.35">
      <c r="A1648" t="s">
        <v>1648</v>
      </c>
      <c r="B1648">
        <v>39.799999999999997</v>
      </c>
      <c r="C1648">
        <v>6.17</v>
      </c>
      <c r="D1648" t="s">
        <v>2344</v>
      </c>
      <c r="E1648" t="s">
        <v>2344</v>
      </c>
      <c r="F1648" t="s">
        <v>2346</v>
      </c>
      <c r="G1648">
        <v>1</v>
      </c>
      <c r="H1648" t="s">
        <v>2344</v>
      </c>
      <c r="I1648" t="str">
        <f t="shared" si="51"/>
        <v>Obesity</v>
      </c>
      <c r="J1648" t="str">
        <f t="shared" si="52"/>
        <v>Prediabetes</v>
      </c>
    </row>
    <row r="1649" spans="1:10" x14ac:dyDescent="0.35">
      <c r="A1649" t="s">
        <v>1649</v>
      </c>
      <c r="B1649">
        <v>34.32</v>
      </c>
      <c r="C1649">
        <v>5.16</v>
      </c>
      <c r="D1649" t="s">
        <v>2344</v>
      </c>
      <c r="E1649" t="s">
        <v>2344</v>
      </c>
      <c r="F1649" t="s">
        <v>2344</v>
      </c>
      <c r="G1649">
        <v>1</v>
      </c>
      <c r="H1649" t="s">
        <v>2344</v>
      </c>
      <c r="I1649" t="str">
        <f t="shared" si="51"/>
        <v>Obesity</v>
      </c>
      <c r="J1649" t="str">
        <f t="shared" si="52"/>
        <v>Normal</v>
      </c>
    </row>
    <row r="1650" spans="1:10" x14ac:dyDescent="0.35">
      <c r="A1650" t="s">
        <v>1650</v>
      </c>
      <c r="B1650">
        <v>32.51</v>
      </c>
      <c r="C1650">
        <v>4.3</v>
      </c>
      <c r="D1650" t="s">
        <v>2344</v>
      </c>
      <c r="E1650" t="s">
        <v>2344</v>
      </c>
      <c r="F1650" t="s">
        <v>2344</v>
      </c>
      <c r="G1650">
        <v>0</v>
      </c>
      <c r="H1650" t="s">
        <v>2344</v>
      </c>
      <c r="I1650" t="str">
        <f t="shared" si="51"/>
        <v>Obesity</v>
      </c>
      <c r="J1650" t="str">
        <f t="shared" si="52"/>
        <v>Normal</v>
      </c>
    </row>
    <row r="1651" spans="1:10" x14ac:dyDescent="0.35">
      <c r="A1651" t="s">
        <v>1651</v>
      </c>
      <c r="B1651">
        <v>30.71</v>
      </c>
      <c r="C1651">
        <v>6.14</v>
      </c>
      <c r="D1651" t="s">
        <v>2344</v>
      </c>
      <c r="E1651" t="s">
        <v>2344</v>
      </c>
      <c r="F1651" t="s">
        <v>2346</v>
      </c>
      <c r="G1651">
        <v>1</v>
      </c>
      <c r="H1651" t="s">
        <v>2344</v>
      </c>
      <c r="I1651" t="str">
        <f t="shared" si="51"/>
        <v>Obesity</v>
      </c>
      <c r="J1651" t="str">
        <f t="shared" si="52"/>
        <v>Prediabetes</v>
      </c>
    </row>
    <row r="1652" spans="1:10" x14ac:dyDescent="0.35">
      <c r="A1652" t="s">
        <v>1652</v>
      </c>
      <c r="B1652">
        <v>28.9</v>
      </c>
      <c r="C1652">
        <v>5.36</v>
      </c>
      <c r="D1652" t="s">
        <v>2344</v>
      </c>
      <c r="E1652" t="s">
        <v>2344</v>
      </c>
      <c r="F1652" t="s">
        <v>2344</v>
      </c>
      <c r="G1652">
        <v>1</v>
      </c>
      <c r="H1652" t="s">
        <v>2344</v>
      </c>
      <c r="I1652" t="str">
        <f t="shared" si="51"/>
        <v>Over weight</v>
      </c>
      <c r="J1652" t="str">
        <f t="shared" si="52"/>
        <v>Normal</v>
      </c>
    </row>
    <row r="1653" spans="1:10" x14ac:dyDescent="0.35">
      <c r="A1653" t="s">
        <v>1653</v>
      </c>
      <c r="B1653">
        <v>36.19</v>
      </c>
      <c r="C1653">
        <v>4.3</v>
      </c>
      <c r="D1653" t="s">
        <v>2344</v>
      </c>
      <c r="E1653" t="s">
        <v>2344</v>
      </c>
      <c r="F1653" t="s">
        <v>2344</v>
      </c>
      <c r="G1653">
        <v>0</v>
      </c>
      <c r="H1653" t="s">
        <v>2344</v>
      </c>
      <c r="I1653" t="str">
        <f t="shared" si="51"/>
        <v>Obesity</v>
      </c>
      <c r="J1653" t="str">
        <f t="shared" si="52"/>
        <v>Normal</v>
      </c>
    </row>
    <row r="1654" spans="1:10" x14ac:dyDescent="0.35">
      <c r="A1654" t="s">
        <v>1654</v>
      </c>
      <c r="B1654">
        <v>29.6</v>
      </c>
      <c r="C1654">
        <v>4.09</v>
      </c>
      <c r="D1654" t="s">
        <v>2344</v>
      </c>
      <c r="E1654" t="s">
        <v>2344</v>
      </c>
      <c r="F1654" t="s">
        <v>2344</v>
      </c>
      <c r="G1654">
        <v>0</v>
      </c>
      <c r="H1654" t="s">
        <v>2344</v>
      </c>
      <c r="I1654" t="str">
        <f t="shared" si="51"/>
        <v>Over weight</v>
      </c>
      <c r="J1654" t="str">
        <f t="shared" si="52"/>
        <v>Normal</v>
      </c>
    </row>
    <row r="1655" spans="1:10" x14ac:dyDescent="0.35">
      <c r="A1655" t="s">
        <v>1655</v>
      </c>
      <c r="B1655">
        <v>30.95</v>
      </c>
      <c r="C1655">
        <v>6.27</v>
      </c>
      <c r="D1655" t="s">
        <v>2344</v>
      </c>
      <c r="E1655" t="s">
        <v>2344</v>
      </c>
      <c r="F1655" t="s">
        <v>2346</v>
      </c>
      <c r="G1655">
        <v>1</v>
      </c>
      <c r="H1655" t="s">
        <v>2344</v>
      </c>
      <c r="I1655" t="str">
        <f t="shared" si="51"/>
        <v>Obesity</v>
      </c>
      <c r="J1655" t="str">
        <f t="shared" si="52"/>
        <v>Prediabetes</v>
      </c>
    </row>
    <row r="1656" spans="1:10" x14ac:dyDescent="0.35">
      <c r="A1656" t="s">
        <v>1656</v>
      </c>
      <c r="B1656">
        <v>19.95</v>
      </c>
      <c r="C1656">
        <v>5.39</v>
      </c>
      <c r="D1656" t="s">
        <v>2344</v>
      </c>
      <c r="E1656" t="s">
        <v>2344</v>
      </c>
      <c r="F1656" t="s">
        <v>2344</v>
      </c>
      <c r="G1656">
        <v>1</v>
      </c>
      <c r="H1656" t="s">
        <v>2344</v>
      </c>
      <c r="I1656" t="str">
        <f t="shared" si="51"/>
        <v>Normal Weight</v>
      </c>
      <c r="J1656" t="str">
        <f t="shared" si="52"/>
        <v>Normal</v>
      </c>
    </row>
    <row r="1657" spans="1:10" x14ac:dyDescent="0.35">
      <c r="A1657" t="s">
        <v>1657</v>
      </c>
      <c r="B1657">
        <v>23.65</v>
      </c>
      <c r="C1657">
        <v>5.75</v>
      </c>
      <c r="D1657" t="s">
        <v>2346</v>
      </c>
      <c r="E1657" t="s">
        <v>2344</v>
      </c>
      <c r="F1657" t="s">
        <v>2344</v>
      </c>
      <c r="G1657">
        <v>0</v>
      </c>
      <c r="H1657" t="s">
        <v>2344</v>
      </c>
      <c r="I1657" t="str">
        <f t="shared" si="51"/>
        <v>Normal Weight</v>
      </c>
      <c r="J1657" t="str">
        <f t="shared" si="52"/>
        <v>Prediabetes</v>
      </c>
    </row>
    <row r="1658" spans="1:10" x14ac:dyDescent="0.35">
      <c r="A1658" t="s">
        <v>1658</v>
      </c>
      <c r="B1658">
        <v>43.34</v>
      </c>
      <c r="C1658">
        <v>4.91</v>
      </c>
      <c r="D1658" t="s">
        <v>2344</v>
      </c>
      <c r="E1658" t="s">
        <v>2344</v>
      </c>
      <c r="F1658" t="s">
        <v>2344</v>
      </c>
      <c r="G1658">
        <v>1</v>
      </c>
      <c r="H1658" t="s">
        <v>2344</v>
      </c>
      <c r="I1658" t="str">
        <f t="shared" si="51"/>
        <v>Obesity</v>
      </c>
      <c r="J1658" t="str">
        <f t="shared" si="52"/>
        <v>Normal</v>
      </c>
    </row>
    <row r="1659" spans="1:10" x14ac:dyDescent="0.35">
      <c r="A1659" t="s">
        <v>1659</v>
      </c>
      <c r="B1659">
        <v>31.98</v>
      </c>
      <c r="C1659">
        <v>4.46</v>
      </c>
      <c r="D1659" t="s">
        <v>2346</v>
      </c>
      <c r="E1659" t="s">
        <v>2344</v>
      </c>
      <c r="F1659" t="s">
        <v>2344</v>
      </c>
      <c r="G1659">
        <v>1</v>
      </c>
      <c r="H1659" t="s">
        <v>2344</v>
      </c>
      <c r="I1659" t="str">
        <f t="shared" si="51"/>
        <v>Obesity</v>
      </c>
      <c r="J1659" t="str">
        <f t="shared" si="52"/>
        <v>Normal</v>
      </c>
    </row>
    <row r="1660" spans="1:10" x14ac:dyDescent="0.35">
      <c r="A1660" t="s">
        <v>1660</v>
      </c>
      <c r="B1660">
        <v>35.86</v>
      </c>
      <c r="C1660">
        <v>6.22</v>
      </c>
      <c r="D1660" t="s">
        <v>2344</v>
      </c>
      <c r="E1660" t="s">
        <v>2344</v>
      </c>
      <c r="F1660" t="s">
        <v>2344</v>
      </c>
      <c r="G1660">
        <v>1</v>
      </c>
      <c r="H1660" t="s">
        <v>2344</v>
      </c>
      <c r="I1660" t="str">
        <f t="shared" si="51"/>
        <v>Obesity</v>
      </c>
      <c r="J1660" t="str">
        <f t="shared" si="52"/>
        <v>Prediabetes</v>
      </c>
    </row>
    <row r="1661" spans="1:10" x14ac:dyDescent="0.35">
      <c r="A1661" t="s">
        <v>1661</v>
      </c>
      <c r="B1661">
        <v>15.2</v>
      </c>
      <c r="C1661">
        <v>8.82</v>
      </c>
      <c r="D1661" t="s">
        <v>2344</v>
      </c>
      <c r="E1661" t="s">
        <v>2344</v>
      </c>
      <c r="F1661" t="s">
        <v>2344</v>
      </c>
      <c r="G1661">
        <v>0</v>
      </c>
      <c r="H1661" t="s">
        <v>2344</v>
      </c>
      <c r="I1661" t="str">
        <f t="shared" si="51"/>
        <v>Under Weight</v>
      </c>
      <c r="J1661" t="str">
        <f t="shared" si="52"/>
        <v>Diabetes</v>
      </c>
    </row>
    <row r="1662" spans="1:10" x14ac:dyDescent="0.35">
      <c r="A1662" t="s">
        <v>1662</v>
      </c>
      <c r="B1662">
        <v>37.200000000000003</v>
      </c>
      <c r="C1662">
        <v>10.14</v>
      </c>
      <c r="D1662" t="s">
        <v>2344</v>
      </c>
      <c r="E1662" t="s">
        <v>2344</v>
      </c>
      <c r="F1662" t="s">
        <v>2344</v>
      </c>
      <c r="G1662">
        <v>0</v>
      </c>
      <c r="H1662" t="s">
        <v>2344</v>
      </c>
      <c r="I1662" t="str">
        <f t="shared" si="51"/>
        <v>Obesity</v>
      </c>
      <c r="J1662" t="str">
        <f t="shared" si="52"/>
        <v>Diabetes</v>
      </c>
    </row>
    <row r="1663" spans="1:10" x14ac:dyDescent="0.35">
      <c r="A1663" t="s">
        <v>1663</v>
      </c>
      <c r="B1663">
        <v>17.91</v>
      </c>
      <c r="C1663">
        <v>4.66</v>
      </c>
      <c r="D1663" t="s">
        <v>2344</v>
      </c>
      <c r="E1663" t="s">
        <v>2344</v>
      </c>
      <c r="F1663" t="s">
        <v>2344</v>
      </c>
      <c r="G1663">
        <v>1</v>
      </c>
      <c r="H1663" t="s">
        <v>2344</v>
      </c>
      <c r="I1663" t="str">
        <f t="shared" si="51"/>
        <v>Under Weight</v>
      </c>
      <c r="J1663" t="str">
        <f t="shared" si="52"/>
        <v>Normal</v>
      </c>
    </row>
    <row r="1664" spans="1:10" x14ac:dyDescent="0.35">
      <c r="A1664" t="s">
        <v>1664</v>
      </c>
      <c r="B1664">
        <v>20.76</v>
      </c>
      <c r="C1664">
        <v>6.26</v>
      </c>
      <c r="D1664" t="s">
        <v>2344</v>
      </c>
      <c r="E1664" t="s">
        <v>2344</v>
      </c>
      <c r="F1664" t="s">
        <v>2344</v>
      </c>
      <c r="G1664">
        <v>0</v>
      </c>
      <c r="H1664" t="s">
        <v>2344</v>
      </c>
      <c r="I1664" t="str">
        <f t="shared" si="51"/>
        <v>Normal Weight</v>
      </c>
      <c r="J1664" t="str">
        <f t="shared" si="52"/>
        <v>Prediabetes</v>
      </c>
    </row>
    <row r="1665" spans="1:10" x14ac:dyDescent="0.35">
      <c r="A1665" t="s">
        <v>1665</v>
      </c>
      <c r="B1665">
        <v>38.99</v>
      </c>
      <c r="C1665">
        <v>5.21</v>
      </c>
      <c r="D1665" t="s">
        <v>2344</v>
      </c>
      <c r="E1665" t="s">
        <v>2345</v>
      </c>
      <c r="F1665" t="s">
        <v>2344</v>
      </c>
      <c r="G1665">
        <v>1</v>
      </c>
      <c r="H1665" t="s">
        <v>2344</v>
      </c>
      <c r="I1665" t="str">
        <f t="shared" si="51"/>
        <v>Obesity</v>
      </c>
      <c r="J1665" t="str">
        <f t="shared" si="52"/>
        <v>Normal</v>
      </c>
    </row>
    <row r="1666" spans="1:10" x14ac:dyDescent="0.35">
      <c r="A1666" t="s">
        <v>1666</v>
      </c>
      <c r="B1666">
        <v>42.655000000000001</v>
      </c>
      <c r="C1666">
        <v>5.94</v>
      </c>
      <c r="D1666" t="s">
        <v>2346</v>
      </c>
      <c r="E1666" t="s">
        <v>2344</v>
      </c>
      <c r="F1666" t="s">
        <v>2346</v>
      </c>
      <c r="G1666">
        <v>1</v>
      </c>
      <c r="H1666" t="s">
        <v>2344</v>
      </c>
      <c r="I1666" t="str">
        <f t="shared" si="51"/>
        <v>Obesity</v>
      </c>
      <c r="J1666" t="str">
        <f t="shared" si="52"/>
        <v>Prediabetes</v>
      </c>
    </row>
    <row r="1667" spans="1:10" x14ac:dyDescent="0.35">
      <c r="A1667" t="s">
        <v>1667</v>
      </c>
      <c r="B1667">
        <v>30.57</v>
      </c>
      <c r="C1667">
        <v>5.34</v>
      </c>
      <c r="D1667" t="s">
        <v>2344</v>
      </c>
      <c r="E1667" t="s">
        <v>2344</v>
      </c>
      <c r="F1667" t="s">
        <v>2346</v>
      </c>
      <c r="G1667">
        <v>1</v>
      </c>
      <c r="H1667" t="s">
        <v>2344</v>
      </c>
      <c r="I1667" t="str">
        <f t="shared" ref="I1667:I1730" si="53">IF(B1667&lt;18.5,"Under Weight",IF(B1667&lt;25,"Normal Weight",IF(B1667&lt;30,"Over weight","Obesity")))</f>
        <v>Obesity</v>
      </c>
      <c r="J1667" t="str">
        <f t="shared" si="52"/>
        <v>Normal</v>
      </c>
    </row>
    <row r="1668" spans="1:10" x14ac:dyDescent="0.35">
      <c r="A1668" t="s">
        <v>1668</v>
      </c>
      <c r="B1668">
        <v>17.7</v>
      </c>
      <c r="C1668">
        <v>6.38</v>
      </c>
      <c r="D1668" t="s">
        <v>2344</v>
      </c>
      <c r="E1668" t="s">
        <v>2344</v>
      </c>
      <c r="F1668" t="s">
        <v>2344</v>
      </c>
      <c r="G1668">
        <v>1</v>
      </c>
      <c r="H1668" t="s">
        <v>2344</v>
      </c>
      <c r="I1668" t="str">
        <f t="shared" si="53"/>
        <v>Under Weight</v>
      </c>
      <c r="J1668" t="str">
        <f t="shared" si="52"/>
        <v>Prediabetes</v>
      </c>
    </row>
    <row r="1669" spans="1:10" x14ac:dyDescent="0.35">
      <c r="A1669" t="s">
        <v>1669</v>
      </c>
      <c r="B1669">
        <v>34.770000000000003</v>
      </c>
      <c r="C1669">
        <v>4.47</v>
      </c>
      <c r="D1669" t="s">
        <v>2344</v>
      </c>
      <c r="E1669" t="s">
        <v>2344</v>
      </c>
      <c r="F1669" t="s">
        <v>2344</v>
      </c>
      <c r="G1669">
        <v>1</v>
      </c>
      <c r="H1669" t="s">
        <v>2344</v>
      </c>
      <c r="I1669" t="str">
        <f t="shared" si="53"/>
        <v>Obesity</v>
      </c>
      <c r="J1669" t="str">
        <f t="shared" si="52"/>
        <v>Normal</v>
      </c>
    </row>
    <row r="1670" spans="1:10" x14ac:dyDescent="0.35">
      <c r="A1670" t="s">
        <v>1670</v>
      </c>
      <c r="B1670">
        <v>16.88</v>
      </c>
      <c r="C1670">
        <v>9.9600000000000009</v>
      </c>
      <c r="D1670" t="s">
        <v>2344</v>
      </c>
      <c r="E1670" t="s">
        <v>2344</v>
      </c>
      <c r="F1670" t="s">
        <v>2344</v>
      </c>
      <c r="G1670">
        <v>0</v>
      </c>
      <c r="H1670" t="s">
        <v>2344</v>
      </c>
      <c r="I1670" t="str">
        <f t="shared" si="53"/>
        <v>Under Weight</v>
      </c>
      <c r="J1670" t="str">
        <f t="shared" si="52"/>
        <v>Diabetes</v>
      </c>
    </row>
    <row r="1671" spans="1:10" x14ac:dyDescent="0.35">
      <c r="A1671" t="s">
        <v>1671</v>
      </c>
      <c r="B1671">
        <v>40.26</v>
      </c>
      <c r="C1671">
        <v>9.92</v>
      </c>
      <c r="D1671" t="s">
        <v>2346</v>
      </c>
      <c r="E1671" t="s">
        <v>2344</v>
      </c>
      <c r="F1671" t="s">
        <v>2344</v>
      </c>
      <c r="G1671">
        <v>0</v>
      </c>
      <c r="H1671" t="s">
        <v>2344</v>
      </c>
      <c r="I1671" t="str">
        <f t="shared" si="53"/>
        <v>Obesity</v>
      </c>
      <c r="J1671" t="str">
        <f t="shared" si="52"/>
        <v>Diabetes</v>
      </c>
    </row>
    <row r="1672" spans="1:10" x14ac:dyDescent="0.35">
      <c r="A1672" t="s">
        <v>1672</v>
      </c>
      <c r="B1672">
        <v>25.6</v>
      </c>
      <c r="C1672">
        <v>6.03</v>
      </c>
      <c r="D1672" t="s">
        <v>2344</v>
      </c>
      <c r="E1672" t="s">
        <v>2344</v>
      </c>
      <c r="F1672" t="s">
        <v>2346</v>
      </c>
      <c r="G1672">
        <v>1</v>
      </c>
      <c r="H1672" t="s">
        <v>2344</v>
      </c>
      <c r="I1672" t="str">
        <f t="shared" si="53"/>
        <v>Over weight</v>
      </c>
      <c r="J1672" t="str">
        <f t="shared" si="52"/>
        <v>Prediabetes</v>
      </c>
    </row>
    <row r="1673" spans="1:10" x14ac:dyDescent="0.35">
      <c r="A1673" t="s">
        <v>1673</v>
      </c>
      <c r="B1673">
        <v>33.549999999999997</v>
      </c>
      <c r="C1673">
        <v>10.9</v>
      </c>
      <c r="D1673" t="s">
        <v>2346</v>
      </c>
      <c r="E1673" t="s">
        <v>2344</v>
      </c>
      <c r="F1673" t="s">
        <v>2344</v>
      </c>
      <c r="G1673">
        <v>0</v>
      </c>
      <c r="H1673" t="s">
        <v>2344</v>
      </c>
      <c r="I1673" t="str">
        <f t="shared" si="53"/>
        <v>Obesity</v>
      </c>
      <c r="J1673" t="str">
        <f t="shared" si="52"/>
        <v>Diabetes</v>
      </c>
    </row>
    <row r="1674" spans="1:10" x14ac:dyDescent="0.35">
      <c r="A1674" t="s">
        <v>1674</v>
      </c>
      <c r="B1674">
        <v>16.690000000000001</v>
      </c>
      <c r="C1674">
        <v>10.66</v>
      </c>
      <c r="D1674" t="s">
        <v>2344</v>
      </c>
      <c r="E1674" t="s">
        <v>2344</v>
      </c>
      <c r="F1674" t="s">
        <v>2344</v>
      </c>
      <c r="G1674">
        <v>0</v>
      </c>
      <c r="H1674" t="s">
        <v>2344</v>
      </c>
      <c r="I1674" t="str">
        <f t="shared" si="53"/>
        <v>Under Weight</v>
      </c>
      <c r="J1674" t="str">
        <f t="shared" si="52"/>
        <v>Diabetes</v>
      </c>
    </row>
    <row r="1675" spans="1:10" x14ac:dyDescent="0.35">
      <c r="A1675" t="s">
        <v>1675</v>
      </c>
      <c r="B1675">
        <v>19.95</v>
      </c>
      <c r="C1675">
        <v>4.05</v>
      </c>
      <c r="D1675" t="s">
        <v>2344</v>
      </c>
      <c r="E1675" t="s">
        <v>2344</v>
      </c>
      <c r="F1675" t="s">
        <v>2344</v>
      </c>
      <c r="G1675">
        <v>1</v>
      </c>
      <c r="H1675" t="s">
        <v>2344</v>
      </c>
      <c r="I1675" t="str">
        <f t="shared" si="53"/>
        <v>Normal Weight</v>
      </c>
      <c r="J1675" t="str">
        <f t="shared" si="52"/>
        <v>Normal</v>
      </c>
    </row>
    <row r="1676" spans="1:10" x14ac:dyDescent="0.35">
      <c r="A1676" t="s">
        <v>1676</v>
      </c>
      <c r="B1676">
        <v>17.55</v>
      </c>
      <c r="C1676">
        <v>4.2300000000000004</v>
      </c>
      <c r="D1676" t="s">
        <v>2344</v>
      </c>
      <c r="E1676" t="s">
        <v>2344</v>
      </c>
      <c r="F1676" t="s">
        <v>2344</v>
      </c>
      <c r="G1676">
        <v>1</v>
      </c>
      <c r="H1676" t="s">
        <v>2344</v>
      </c>
      <c r="I1676" t="str">
        <f t="shared" si="53"/>
        <v>Under Weight</v>
      </c>
      <c r="J1676" t="str">
        <f t="shared" ref="J1676:J1739" si="54">IF(C1676&lt;5.7,"Normal",IF(C1676&lt;6.5,"Prediabetes","Diabetes"))</f>
        <v>Normal</v>
      </c>
    </row>
    <row r="1677" spans="1:10" x14ac:dyDescent="0.35">
      <c r="A1677" t="s">
        <v>1677</v>
      </c>
      <c r="B1677">
        <v>22.01</v>
      </c>
      <c r="C1677">
        <v>5.01</v>
      </c>
      <c r="D1677" t="s">
        <v>2344</v>
      </c>
      <c r="E1677" t="s">
        <v>2344</v>
      </c>
      <c r="F1677" t="s">
        <v>2344</v>
      </c>
      <c r="G1677">
        <v>1</v>
      </c>
      <c r="H1677" t="s">
        <v>2344</v>
      </c>
      <c r="I1677" t="str">
        <f t="shared" si="53"/>
        <v>Normal Weight</v>
      </c>
      <c r="J1677" t="str">
        <f t="shared" si="54"/>
        <v>Normal</v>
      </c>
    </row>
    <row r="1678" spans="1:10" x14ac:dyDescent="0.35">
      <c r="A1678" t="s">
        <v>1678</v>
      </c>
      <c r="B1678">
        <v>41.8</v>
      </c>
      <c r="C1678">
        <v>5.82</v>
      </c>
      <c r="D1678" t="s">
        <v>2346</v>
      </c>
      <c r="E1678" t="s">
        <v>2344</v>
      </c>
      <c r="F1678" t="s">
        <v>2346</v>
      </c>
      <c r="G1678">
        <v>1</v>
      </c>
      <c r="H1678" t="s">
        <v>2344</v>
      </c>
      <c r="I1678" t="str">
        <f t="shared" si="53"/>
        <v>Obesity</v>
      </c>
      <c r="J1678" t="str">
        <f t="shared" si="54"/>
        <v>Prediabetes</v>
      </c>
    </row>
    <row r="1679" spans="1:10" x14ac:dyDescent="0.35">
      <c r="A1679" t="s">
        <v>1679</v>
      </c>
      <c r="B1679">
        <v>19.170000000000002</v>
      </c>
      <c r="C1679">
        <v>7.94</v>
      </c>
      <c r="D1679" t="s">
        <v>2344</v>
      </c>
      <c r="E1679" t="s">
        <v>2344</v>
      </c>
      <c r="F1679" t="s">
        <v>2344</v>
      </c>
      <c r="G1679">
        <v>0</v>
      </c>
      <c r="H1679" t="s">
        <v>2344</v>
      </c>
      <c r="I1679" t="str">
        <f t="shared" si="53"/>
        <v>Normal Weight</v>
      </c>
      <c r="J1679" t="str">
        <f t="shared" si="54"/>
        <v>Diabetes</v>
      </c>
    </row>
    <row r="1680" spans="1:10" x14ac:dyDescent="0.35">
      <c r="A1680" t="s">
        <v>1680</v>
      </c>
      <c r="B1680">
        <v>32.799999999999997</v>
      </c>
      <c r="C1680">
        <v>6.16</v>
      </c>
      <c r="D1680" t="s">
        <v>2346</v>
      </c>
      <c r="E1680" t="s">
        <v>2344</v>
      </c>
      <c r="F1680" t="s">
        <v>2346</v>
      </c>
      <c r="G1680">
        <v>1</v>
      </c>
      <c r="H1680" t="s">
        <v>2344</v>
      </c>
      <c r="I1680" t="str">
        <f t="shared" si="53"/>
        <v>Obesity</v>
      </c>
      <c r="J1680" t="str">
        <f t="shared" si="54"/>
        <v>Prediabetes</v>
      </c>
    </row>
    <row r="1681" spans="1:10" x14ac:dyDescent="0.35">
      <c r="A1681" t="s">
        <v>1681</v>
      </c>
      <c r="B1681">
        <v>35.814999999999998</v>
      </c>
      <c r="C1681">
        <v>4.1500000000000004</v>
      </c>
      <c r="D1681" t="s">
        <v>2344</v>
      </c>
      <c r="E1681" t="s">
        <v>2344</v>
      </c>
      <c r="F1681" t="s">
        <v>2344</v>
      </c>
      <c r="G1681">
        <v>1</v>
      </c>
      <c r="H1681" t="s">
        <v>2344</v>
      </c>
      <c r="I1681" t="str">
        <f t="shared" si="53"/>
        <v>Obesity</v>
      </c>
      <c r="J1681" t="str">
        <f t="shared" si="54"/>
        <v>Normal</v>
      </c>
    </row>
    <row r="1682" spans="1:10" x14ac:dyDescent="0.35">
      <c r="A1682" t="s">
        <v>1682</v>
      </c>
      <c r="B1682">
        <v>24.3</v>
      </c>
      <c r="C1682">
        <v>6.23</v>
      </c>
      <c r="D1682" t="s">
        <v>2344</v>
      </c>
      <c r="E1682" t="s">
        <v>2344</v>
      </c>
      <c r="F1682" t="s">
        <v>2344</v>
      </c>
      <c r="G1682">
        <v>0</v>
      </c>
      <c r="H1682" t="s">
        <v>2344</v>
      </c>
      <c r="I1682" t="str">
        <f t="shared" si="53"/>
        <v>Normal Weight</v>
      </c>
      <c r="J1682" t="str">
        <f t="shared" si="54"/>
        <v>Prediabetes</v>
      </c>
    </row>
    <row r="1683" spans="1:10" x14ac:dyDescent="0.35">
      <c r="A1683" t="s">
        <v>1683</v>
      </c>
      <c r="B1683">
        <v>19.059999999999999</v>
      </c>
      <c r="C1683">
        <v>7.41</v>
      </c>
      <c r="D1683" t="s">
        <v>2344</v>
      </c>
      <c r="E1683" t="s">
        <v>2344</v>
      </c>
      <c r="F1683" t="s">
        <v>2344</v>
      </c>
      <c r="G1683">
        <v>0</v>
      </c>
      <c r="H1683" t="s">
        <v>2344</v>
      </c>
      <c r="I1683" t="str">
        <f t="shared" si="53"/>
        <v>Normal Weight</v>
      </c>
      <c r="J1683" t="str">
        <f t="shared" si="54"/>
        <v>Diabetes</v>
      </c>
    </row>
    <row r="1684" spans="1:10" x14ac:dyDescent="0.35">
      <c r="A1684" t="s">
        <v>1684</v>
      </c>
      <c r="B1684">
        <v>33.25</v>
      </c>
      <c r="C1684">
        <v>5.62</v>
      </c>
      <c r="D1684" t="s">
        <v>2346</v>
      </c>
      <c r="E1684" t="s">
        <v>2344</v>
      </c>
      <c r="F1684" t="s">
        <v>2344</v>
      </c>
      <c r="G1684">
        <v>1</v>
      </c>
      <c r="H1684" t="s">
        <v>2344</v>
      </c>
      <c r="I1684" t="str">
        <f t="shared" si="53"/>
        <v>Obesity</v>
      </c>
      <c r="J1684" t="str">
        <f t="shared" si="54"/>
        <v>Normal</v>
      </c>
    </row>
    <row r="1685" spans="1:10" x14ac:dyDescent="0.35">
      <c r="A1685" t="s">
        <v>1685</v>
      </c>
      <c r="B1685">
        <v>21.37</v>
      </c>
      <c r="C1685">
        <v>4.54</v>
      </c>
      <c r="D1685" t="s">
        <v>2346</v>
      </c>
      <c r="E1685" t="s">
        <v>2344</v>
      </c>
      <c r="F1685" t="s">
        <v>2346</v>
      </c>
      <c r="G1685">
        <v>1</v>
      </c>
      <c r="H1685" t="s">
        <v>2344</v>
      </c>
      <c r="I1685" t="str">
        <f t="shared" si="53"/>
        <v>Normal Weight</v>
      </c>
      <c r="J1685" t="str">
        <f t="shared" si="54"/>
        <v>Normal</v>
      </c>
    </row>
    <row r="1686" spans="1:10" x14ac:dyDescent="0.35">
      <c r="A1686" t="s">
        <v>1686</v>
      </c>
      <c r="B1686">
        <v>34.43</v>
      </c>
      <c r="C1686">
        <v>8.6199999999999992</v>
      </c>
      <c r="D1686" t="s">
        <v>2346</v>
      </c>
      <c r="E1686" t="s">
        <v>2344</v>
      </c>
      <c r="F1686" t="s">
        <v>2344</v>
      </c>
      <c r="G1686">
        <v>1</v>
      </c>
      <c r="H1686" t="s">
        <v>2344</v>
      </c>
      <c r="I1686" t="str">
        <f t="shared" si="53"/>
        <v>Obesity</v>
      </c>
      <c r="J1686" t="str">
        <f t="shared" si="54"/>
        <v>Diabetes</v>
      </c>
    </row>
    <row r="1687" spans="1:10" x14ac:dyDescent="0.35">
      <c r="A1687" t="s">
        <v>1687</v>
      </c>
      <c r="B1687">
        <v>20.86</v>
      </c>
      <c r="C1687">
        <v>4.3600000000000003</v>
      </c>
      <c r="D1687" t="s">
        <v>2346</v>
      </c>
      <c r="E1687" t="s">
        <v>2344</v>
      </c>
      <c r="F1687" t="s">
        <v>2344</v>
      </c>
      <c r="G1687">
        <v>0</v>
      </c>
      <c r="H1687" t="s">
        <v>2344</v>
      </c>
      <c r="I1687" t="str">
        <f t="shared" si="53"/>
        <v>Normal Weight</v>
      </c>
      <c r="J1687" t="str">
        <f t="shared" si="54"/>
        <v>Normal</v>
      </c>
    </row>
    <row r="1688" spans="1:10" x14ac:dyDescent="0.35">
      <c r="A1688" t="s">
        <v>1688</v>
      </c>
      <c r="B1688">
        <v>18.34</v>
      </c>
      <c r="C1688">
        <v>10.01</v>
      </c>
      <c r="D1688" t="s">
        <v>2344</v>
      </c>
      <c r="E1688" t="s">
        <v>2344</v>
      </c>
      <c r="F1688" t="s">
        <v>2344</v>
      </c>
      <c r="G1688">
        <v>0</v>
      </c>
      <c r="H1688" t="s">
        <v>2344</v>
      </c>
      <c r="I1688" t="str">
        <f t="shared" si="53"/>
        <v>Under Weight</v>
      </c>
      <c r="J1688" t="str">
        <f t="shared" si="54"/>
        <v>Diabetes</v>
      </c>
    </row>
    <row r="1689" spans="1:10" x14ac:dyDescent="0.35">
      <c r="A1689" t="s">
        <v>1689</v>
      </c>
      <c r="B1689">
        <v>34.15</v>
      </c>
      <c r="C1689">
        <v>5.42</v>
      </c>
      <c r="D1689" t="s">
        <v>2344</v>
      </c>
      <c r="E1689" t="s">
        <v>2344</v>
      </c>
      <c r="F1689" t="s">
        <v>2344</v>
      </c>
      <c r="G1689">
        <v>0</v>
      </c>
      <c r="H1689" t="s">
        <v>2344</v>
      </c>
      <c r="I1689" t="str">
        <f t="shared" si="53"/>
        <v>Obesity</v>
      </c>
      <c r="J1689" t="str">
        <f t="shared" si="54"/>
        <v>Normal</v>
      </c>
    </row>
    <row r="1690" spans="1:10" x14ac:dyDescent="0.35">
      <c r="A1690" t="s">
        <v>1690</v>
      </c>
      <c r="B1690">
        <v>18.350000000000001</v>
      </c>
      <c r="C1690">
        <v>5.12</v>
      </c>
      <c r="D1690" t="s">
        <v>2344</v>
      </c>
      <c r="E1690" t="s">
        <v>2344</v>
      </c>
      <c r="F1690" t="s">
        <v>2344</v>
      </c>
      <c r="G1690">
        <v>0</v>
      </c>
      <c r="H1690" t="s">
        <v>2344</v>
      </c>
      <c r="I1690" t="str">
        <f t="shared" si="53"/>
        <v>Under Weight</v>
      </c>
      <c r="J1690" t="str">
        <f t="shared" si="54"/>
        <v>Normal</v>
      </c>
    </row>
    <row r="1691" spans="1:10" x14ac:dyDescent="0.35">
      <c r="A1691" t="s">
        <v>1691</v>
      </c>
      <c r="B1691">
        <v>22.13</v>
      </c>
      <c r="C1691">
        <v>9.1999999999999993</v>
      </c>
      <c r="D1691" t="s">
        <v>2346</v>
      </c>
      <c r="E1691" t="s">
        <v>2344</v>
      </c>
      <c r="F1691" t="s">
        <v>2344</v>
      </c>
      <c r="G1691">
        <v>0</v>
      </c>
      <c r="H1691" t="s">
        <v>2344</v>
      </c>
      <c r="I1691" t="str">
        <f t="shared" si="53"/>
        <v>Normal Weight</v>
      </c>
      <c r="J1691" t="str">
        <f t="shared" si="54"/>
        <v>Diabetes</v>
      </c>
    </row>
    <row r="1692" spans="1:10" x14ac:dyDescent="0.35">
      <c r="A1692" t="s">
        <v>1692</v>
      </c>
      <c r="B1692">
        <v>22.51</v>
      </c>
      <c r="C1692">
        <v>6.08</v>
      </c>
      <c r="D1692" t="s">
        <v>2346</v>
      </c>
      <c r="E1692" t="s">
        <v>2344</v>
      </c>
      <c r="F1692" t="s">
        <v>2344</v>
      </c>
      <c r="G1692">
        <v>1</v>
      </c>
      <c r="H1692" t="s">
        <v>2344</v>
      </c>
      <c r="I1692" t="str">
        <f t="shared" si="53"/>
        <v>Normal Weight</v>
      </c>
      <c r="J1692" t="str">
        <f t="shared" si="54"/>
        <v>Prediabetes</v>
      </c>
    </row>
    <row r="1693" spans="1:10" x14ac:dyDescent="0.35">
      <c r="A1693" t="s">
        <v>1693</v>
      </c>
      <c r="B1693">
        <v>31</v>
      </c>
      <c r="C1693">
        <v>4.7699999999999996</v>
      </c>
      <c r="D1693" t="s">
        <v>2344</v>
      </c>
      <c r="E1693" t="s">
        <v>2344</v>
      </c>
      <c r="F1693" t="s">
        <v>2344</v>
      </c>
      <c r="G1693">
        <v>1</v>
      </c>
      <c r="H1693" t="s">
        <v>2344</v>
      </c>
      <c r="I1693" t="str">
        <f t="shared" si="53"/>
        <v>Obesity</v>
      </c>
      <c r="J1693" t="str">
        <f t="shared" si="54"/>
        <v>Normal</v>
      </c>
    </row>
    <row r="1694" spans="1:10" x14ac:dyDescent="0.35">
      <c r="A1694" t="s">
        <v>1694</v>
      </c>
      <c r="B1694">
        <v>28.27</v>
      </c>
      <c r="C1694">
        <v>4.62</v>
      </c>
      <c r="D1694" t="s">
        <v>2344</v>
      </c>
      <c r="E1694" t="s">
        <v>2344</v>
      </c>
      <c r="F1694" t="s">
        <v>2344</v>
      </c>
      <c r="G1694">
        <v>1</v>
      </c>
      <c r="H1694" t="s">
        <v>2344</v>
      </c>
      <c r="I1694" t="str">
        <f t="shared" si="53"/>
        <v>Over weight</v>
      </c>
      <c r="J1694" t="str">
        <f t="shared" si="54"/>
        <v>Normal</v>
      </c>
    </row>
    <row r="1695" spans="1:10" x14ac:dyDescent="0.35">
      <c r="A1695" t="s">
        <v>1695</v>
      </c>
      <c r="B1695">
        <v>29.92</v>
      </c>
      <c r="C1695">
        <v>9.07</v>
      </c>
      <c r="D1695" t="s">
        <v>2346</v>
      </c>
      <c r="E1695" t="s">
        <v>2344</v>
      </c>
      <c r="F1695" t="s">
        <v>2344</v>
      </c>
      <c r="G1695">
        <v>1</v>
      </c>
      <c r="H1695" t="s">
        <v>2344</v>
      </c>
      <c r="I1695" t="str">
        <f t="shared" si="53"/>
        <v>Over weight</v>
      </c>
      <c r="J1695" t="str">
        <f t="shared" si="54"/>
        <v>Diabetes</v>
      </c>
    </row>
    <row r="1696" spans="1:10" x14ac:dyDescent="0.35">
      <c r="A1696" t="s">
        <v>1696</v>
      </c>
      <c r="B1696">
        <v>25.9</v>
      </c>
      <c r="C1696">
        <v>9.1199999999999992</v>
      </c>
      <c r="D1696" t="s">
        <v>2346</v>
      </c>
      <c r="E1696" t="s">
        <v>2344</v>
      </c>
      <c r="F1696" t="s">
        <v>2344</v>
      </c>
      <c r="G1696">
        <v>1</v>
      </c>
      <c r="H1696" t="s">
        <v>2344</v>
      </c>
      <c r="I1696" t="str">
        <f t="shared" si="53"/>
        <v>Over weight</v>
      </c>
      <c r="J1696" t="str">
        <f t="shared" si="54"/>
        <v>Diabetes</v>
      </c>
    </row>
    <row r="1697" spans="1:10" x14ac:dyDescent="0.35">
      <c r="A1697" t="s">
        <v>1697</v>
      </c>
      <c r="B1697">
        <v>27.74</v>
      </c>
      <c r="C1697">
        <v>7.32</v>
      </c>
      <c r="D1697" t="s">
        <v>2346</v>
      </c>
      <c r="E1697" t="s">
        <v>2344</v>
      </c>
      <c r="F1697" t="s">
        <v>2344</v>
      </c>
      <c r="G1697">
        <v>1</v>
      </c>
      <c r="H1697" t="s">
        <v>2344</v>
      </c>
      <c r="I1697" t="str">
        <f t="shared" si="53"/>
        <v>Over weight</v>
      </c>
      <c r="J1697" t="str">
        <f t="shared" si="54"/>
        <v>Diabetes</v>
      </c>
    </row>
    <row r="1698" spans="1:10" x14ac:dyDescent="0.35">
      <c r="A1698" t="s">
        <v>1698</v>
      </c>
      <c r="B1698">
        <v>17.260000000000002</v>
      </c>
      <c r="C1698">
        <v>11.73</v>
      </c>
      <c r="D1698" t="s">
        <v>2344</v>
      </c>
      <c r="E1698" t="s">
        <v>2344</v>
      </c>
      <c r="F1698" t="s">
        <v>2344</v>
      </c>
      <c r="G1698">
        <v>1</v>
      </c>
      <c r="H1698" t="s">
        <v>2344</v>
      </c>
      <c r="I1698" t="str">
        <f t="shared" si="53"/>
        <v>Under Weight</v>
      </c>
      <c r="J1698" t="str">
        <f t="shared" si="54"/>
        <v>Diabetes</v>
      </c>
    </row>
    <row r="1699" spans="1:10" x14ac:dyDescent="0.35">
      <c r="A1699" t="s">
        <v>1699</v>
      </c>
      <c r="B1699">
        <v>19.855</v>
      </c>
      <c r="C1699">
        <v>6.64</v>
      </c>
      <c r="D1699" t="s">
        <v>2346</v>
      </c>
      <c r="E1699" t="s">
        <v>2344</v>
      </c>
      <c r="F1699" t="s">
        <v>2344</v>
      </c>
      <c r="G1699">
        <v>1</v>
      </c>
      <c r="H1699" t="s">
        <v>2344</v>
      </c>
      <c r="I1699" t="str">
        <f t="shared" si="53"/>
        <v>Normal Weight</v>
      </c>
      <c r="J1699" t="str">
        <f t="shared" si="54"/>
        <v>Diabetes</v>
      </c>
    </row>
    <row r="1700" spans="1:10" x14ac:dyDescent="0.35">
      <c r="A1700" t="s">
        <v>1700</v>
      </c>
      <c r="B1700">
        <v>41.69</v>
      </c>
      <c r="C1700">
        <v>5.78</v>
      </c>
      <c r="D1700" t="s">
        <v>2344</v>
      </c>
      <c r="E1700" t="s">
        <v>2344</v>
      </c>
      <c r="F1700" t="s">
        <v>2344</v>
      </c>
      <c r="G1700">
        <v>0</v>
      </c>
      <c r="H1700" t="s">
        <v>2344</v>
      </c>
      <c r="I1700" t="str">
        <f t="shared" si="53"/>
        <v>Obesity</v>
      </c>
      <c r="J1700" t="str">
        <f t="shared" si="54"/>
        <v>Prediabetes</v>
      </c>
    </row>
    <row r="1701" spans="1:10" x14ac:dyDescent="0.35">
      <c r="A1701" t="s">
        <v>1701</v>
      </c>
      <c r="B1701">
        <v>16.12</v>
      </c>
      <c r="C1701">
        <v>10.45</v>
      </c>
      <c r="D1701" t="s">
        <v>2344</v>
      </c>
      <c r="E1701" t="s">
        <v>2344</v>
      </c>
      <c r="F1701" t="s">
        <v>2344</v>
      </c>
      <c r="G1701">
        <v>0</v>
      </c>
      <c r="H1701" t="s">
        <v>2344</v>
      </c>
      <c r="I1701" t="str">
        <f t="shared" si="53"/>
        <v>Under Weight</v>
      </c>
      <c r="J1701" t="str">
        <f t="shared" si="54"/>
        <v>Diabetes</v>
      </c>
    </row>
    <row r="1702" spans="1:10" x14ac:dyDescent="0.35">
      <c r="A1702" t="s">
        <v>1702</v>
      </c>
      <c r="B1702">
        <v>37.43</v>
      </c>
      <c r="C1702">
        <v>4.5199999999999996</v>
      </c>
      <c r="D1702" t="s">
        <v>2344</v>
      </c>
      <c r="E1702" t="s">
        <v>2344</v>
      </c>
      <c r="F1702" t="s">
        <v>2344</v>
      </c>
      <c r="G1702">
        <v>1</v>
      </c>
      <c r="H1702" t="s">
        <v>2344</v>
      </c>
      <c r="I1702" t="str">
        <f t="shared" si="53"/>
        <v>Obesity</v>
      </c>
      <c r="J1702" t="str">
        <f t="shared" si="54"/>
        <v>Normal</v>
      </c>
    </row>
    <row r="1703" spans="1:10" x14ac:dyDescent="0.35">
      <c r="A1703" t="s">
        <v>1703</v>
      </c>
      <c r="B1703">
        <v>31.065000000000001</v>
      </c>
      <c r="C1703">
        <v>5.71</v>
      </c>
      <c r="D1703" t="s">
        <v>2344</v>
      </c>
      <c r="E1703" t="s">
        <v>2344</v>
      </c>
      <c r="F1703" t="s">
        <v>2344</v>
      </c>
      <c r="G1703">
        <v>0</v>
      </c>
      <c r="H1703" t="s">
        <v>2344</v>
      </c>
      <c r="I1703" t="str">
        <f t="shared" si="53"/>
        <v>Obesity</v>
      </c>
      <c r="J1703" t="str">
        <f t="shared" si="54"/>
        <v>Prediabetes</v>
      </c>
    </row>
    <row r="1704" spans="1:10" x14ac:dyDescent="0.35">
      <c r="A1704" t="s">
        <v>1704</v>
      </c>
      <c r="B1704">
        <v>25.08</v>
      </c>
      <c r="C1704">
        <v>4.7699999999999996</v>
      </c>
      <c r="D1704" t="s">
        <v>2344</v>
      </c>
      <c r="E1704" t="s">
        <v>2344</v>
      </c>
      <c r="F1704" t="s">
        <v>2344</v>
      </c>
      <c r="G1704">
        <v>0</v>
      </c>
      <c r="H1704" t="s">
        <v>2344</v>
      </c>
      <c r="I1704" t="str">
        <f t="shared" si="53"/>
        <v>Over weight</v>
      </c>
      <c r="J1704" t="str">
        <f t="shared" si="54"/>
        <v>Normal</v>
      </c>
    </row>
    <row r="1705" spans="1:10" x14ac:dyDescent="0.35">
      <c r="A1705" t="s">
        <v>1705</v>
      </c>
      <c r="B1705">
        <v>15.2</v>
      </c>
      <c r="C1705">
        <v>7.81</v>
      </c>
      <c r="D1705" t="s">
        <v>2346</v>
      </c>
      <c r="E1705" t="s">
        <v>2344</v>
      </c>
      <c r="F1705" t="s">
        <v>2344</v>
      </c>
      <c r="G1705">
        <v>1</v>
      </c>
      <c r="H1705" t="s">
        <v>2344</v>
      </c>
      <c r="I1705" t="str">
        <f t="shared" si="53"/>
        <v>Under Weight</v>
      </c>
      <c r="J1705" t="str">
        <f t="shared" si="54"/>
        <v>Diabetes</v>
      </c>
    </row>
    <row r="1706" spans="1:10" x14ac:dyDescent="0.35">
      <c r="A1706" t="s">
        <v>1706</v>
      </c>
      <c r="B1706">
        <v>22.34</v>
      </c>
      <c r="C1706">
        <v>5.19</v>
      </c>
      <c r="D1706" t="s">
        <v>2346</v>
      </c>
      <c r="E1706" t="s">
        <v>2344</v>
      </c>
      <c r="F1706" t="s">
        <v>2344</v>
      </c>
      <c r="G1706">
        <v>0</v>
      </c>
      <c r="H1706" t="s">
        <v>2344</v>
      </c>
      <c r="I1706" t="str">
        <f t="shared" si="53"/>
        <v>Normal Weight</v>
      </c>
      <c r="J1706" t="str">
        <f t="shared" si="54"/>
        <v>Normal</v>
      </c>
    </row>
    <row r="1707" spans="1:10" x14ac:dyDescent="0.35">
      <c r="A1707" t="s">
        <v>1707</v>
      </c>
      <c r="B1707">
        <v>40.15</v>
      </c>
      <c r="C1707">
        <v>5.93</v>
      </c>
      <c r="D1707" t="s">
        <v>2344</v>
      </c>
      <c r="E1707" t="s">
        <v>2344</v>
      </c>
      <c r="F1707" t="s">
        <v>2344</v>
      </c>
      <c r="G1707">
        <v>1</v>
      </c>
      <c r="H1707" t="s">
        <v>2344</v>
      </c>
      <c r="I1707" t="str">
        <f t="shared" si="53"/>
        <v>Obesity</v>
      </c>
      <c r="J1707" t="str">
        <f t="shared" si="54"/>
        <v>Prediabetes</v>
      </c>
    </row>
    <row r="1708" spans="1:10" x14ac:dyDescent="0.35">
      <c r="A1708" t="s">
        <v>1708</v>
      </c>
      <c r="B1708">
        <v>37.729999999999997</v>
      </c>
      <c r="C1708">
        <v>6.29</v>
      </c>
      <c r="D1708" t="s">
        <v>2344</v>
      </c>
      <c r="E1708" t="s">
        <v>2344</v>
      </c>
      <c r="F1708" t="s">
        <v>2344</v>
      </c>
      <c r="G1708">
        <v>1</v>
      </c>
      <c r="H1708" t="s">
        <v>2344</v>
      </c>
      <c r="I1708" t="str">
        <f t="shared" si="53"/>
        <v>Obesity</v>
      </c>
      <c r="J1708" t="str">
        <f t="shared" si="54"/>
        <v>Prediabetes</v>
      </c>
    </row>
    <row r="1709" spans="1:10" x14ac:dyDescent="0.35">
      <c r="A1709" t="s">
        <v>1709</v>
      </c>
      <c r="B1709">
        <v>25.35</v>
      </c>
      <c r="C1709">
        <v>4.9000000000000004</v>
      </c>
      <c r="D1709" t="s">
        <v>2344</v>
      </c>
      <c r="E1709" t="s">
        <v>2344</v>
      </c>
      <c r="F1709" t="s">
        <v>2344</v>
      </c>
      <c r="G1709">
        <v>0</v>
      </c>
      <c r="H1709" t="s">
        <v>2344</v>
      </c>
      <c r="I1709" t="str">
        <f t="shared" si="53"/>
        <v>Over weight</v>
      </c>
      <c r="J1709" t="str">
        <f t="shared" si="54"/>
        <v>Normal</v>
      </c>
    </row>
    <row r="1710" spans="1:10" x14ac:dyDescent="0.35">
      <c r="A1710" t="s">
        <v>1710</v>
      </c>
      <c r="B1710">
        <v>26.41</v>
      </c>
      <c r="C1710">
        <v>5.07</v>
      </c>
      <c r="D1710" t="s">
        <v>2346</v>
      </c>
      <c r="E1710" t="s">
        <v>2344</v>
      </c>
      <c r="F1710" t="s">
        <v>2344</v>
      </c>
      <c r="G1710">
        <v>1</v>
      </c>
      <c r="H1710" t="s">
        <v>2344</v>
      </c>
      <c r="I1710" t="str">
        <f t="shared" si="53"/>
        <v>Over weight</v>
      </c>
      <c r="J1710" t="str">
        <f t="shared" si="54"/>
        <v>Normal</v>
      </c>
    </row>
    <row r="1711" spans="1:10" x14ac:dyDescent="0.35">
      <c r="A1711" t="s">
        <v>1711</v>
      </c>
      <c r="B1711">
        <v>27.6</v>
      </c>
      <c r="C1711">
        <v>5.33</v>
      </c>
      <c r="D1711" t="s">
        <v>2344</v>
      </c>
      <c r="E1711" t="s">
        <v>2344</v>
      </c>
      <c r="F1711" t="s">
        <v>2344</v>
      </c>
      <c r="G1711">
        <v>1</v>
      </c>
      <c r="H1711" t="s">
        <v>2344</v>
      </c>
      <c r="I1711" t="str">
        <f t="shared" si="53"/>
        <v>Over weight</v>
      </c>
      <c r="J1711" t="str">
        <f t="shared" si="54"/>
        <v>Normal</v>
      </c>
    </row>
    <row r="1712" spans="1:10" x14ac:dyDescent="0.35">
      <c r="A1712" t="s">
        <v>1712</v>
      </c>
      <c r="B1712">
        <v>33.82</v>
      </c>
      <c r="C1712">
        <v>8.93</v>
      </c>
      <c r="D1712" t="s">
        <v>2346</v>
      </c>
      <c r="E1712" t="s">
        <v>2344</v>
      </c>
      <c r="F1712" t="s">
        <v>2344</v>
      </c>
      <c r="G1712">
        <v>1</v>
      </c>
      <c r="H1712" t="s">
        <v>2344</v>
      </c>
      <c r="I1712" t="str">
        <f t="shared" si="53"/>
        <v>Obesity</v>
      </c>
      <c r="J1712" t="str">
        <f t="shared" si="54"/>
        <v>Diabetes</v>
      </c>
    </row>
    <row r="1713" spans="1:10" x14ac:dyDescent="0.35">
      <c r="A1713" t="s">
        <v>1713</v>
      </c>
      <c r="B1713">
        <v>32.9</v>
      </c>
      <c r="C1713">
        <v>4.3499999999999996</v>
      </c>
      <c r="D1713" t="s">
        <v>2344</v>
      </c>
      <c r="E1713" t="s">
        <v>2344</v>
      </c>
      <c r="F1713" t="s">
        <v>2344</v>
      </c>
      <c r="G1713">
        <v>0</v>
      </c>
      <c r="H1713" t="s">
        <v>2344</v>
      </c>
      <c r="I1713" t="str">
        <f t="shared" si="53"/>
        <v>Obesity</v>
      </c>
      <c r="J1713" t="str">
        <f t="shared" si="54"/>
        <v>Normal</v>
      </c>
    </row>
    <row r="1714" spans="1:10" x14ac:dyDescent="0.35">
      <c r="A1714" t="s">
        <v>1714</v>
      </c>
      <c r="B1714">
        <v>30.875</v>
      </c>
      <c r="C1714">
        <v>9.5399999999999991</v>
      </c>
      <c r="D1714" t="s">
        <v>2346</v>
      </c>
      <c r="E1714" t="s">
        <v>2344</v>
      </c>
      <c r="F1714" t="s">
        <v>2344</v>
      </c>
      <c r="G1714">
        <v>1</v>
      </c>
      <c r="H1714" t="s">
        <v>2344</v>
      </c>
      <c r="I1714" t="str">
        <f t="shared" si="53"/>
        <v>Obesity</v>
      </c>
      <c r="J1714" t="str">
        <f t="shared" si="54"/>
        <v>Diabetes</v>
      </c>
    </row>
    <row r="1715" spans="1:10" x14ac:dyDescent="0.35">
      <c r="A1715" t="s">
        <v>1715</v>
      </c>
      <c r="B1715">
        <v>32.64</v>
      </c>
      <c r="C1715">
        <v>5.91</v>
      </c>
      <c r="D1715" t="s">
        <v>2344</v>
      </c>
      <c r="E1715" t="s">
        <v>2344</v>
      </c>
      <c r="F1715" t="s">
        <v>2344</v>
      </c>
      <c r="G1715">
        <v>0</v>
      </c>
      <c r="H1715" t="s">
        <v>2344</v>
      </c>
      <c r="I1715" t="str">
        <f t="shared" si="53"/>
        <v>Obesity</v>
      </c>
      <c r="J1715" t="str">
        <f t="shared" si="54"/>
        <v>Prediabetes</v>
      </c>
    </row>
    <row r="1716" spans="1:10" x14ac:dyDescent="0.35">
      <c r="A1716" t="s">
        <v>1716</v>
      </c>
      <c r="B1716">
        <v>22.135000000000002</v>
      </c>
      <c r="C1716">
        <v>5.0999999999999996</v>
      </c>
      <c r="D1716" t="s">
        <v>2344</v>
      </c>
      <c r="E1716" t="s">
        <v>2344</v>
      </c>
      <c r="F1716" t="s">
        <v>2344</v>
      </c>
      <c r="G1716">
        <v>0</v>
      </c>
      <c r="H1716" t="s">
        <v>2344</v>
      </c>
      <c r="I1716" t="str">
        <f t="shared" si="53"/>
        <v>Normal Weight</v>
      </c>
      <c r="J1716" t="str">
        <f t="shared" si="54"/>
        <v>Normal</v>
      </c>
    </row>
    <row r="1717" spans="1:10" x14ac:dyDescent="0.35">
      <c r="A1717" t="s">
        <v>1717</v>
      </c>
      <c r="B1717">
        <v>16.53</v>
      </c>
      <c r="C1717">
        <v>5.08</v>
      </c>
      <c r="D1717" t="s">
        <v>2344</v>
      </c>
      <c r="E1717" t="s">
        <v>2344</v>
      </c>
      <c r="F1717" t="s">
        <v>2344</v>
      </c>
      <c r="G1717">
        <v>1</v>
      </c>
      <c r="H1717" t="s">
        <v>2344</v>
      </c>
      <c r="I1717" t="str">
        <f t="shared" si="53"/>
        <v>Under Weight</v>
      </c>
      <c r="J1717" t="str">
        <f t="shared" si="54"/>
        <v>Normal</v>
      </c>
    </row>
    <row r="1718" spans="1:10" x14ac:dyDescent="0.35">
      <c r="A1718" t="s">
        <v>1718</v>
      </c>
      <c r="B1718">
        <v>32.774999999999999</v>
      </c>
      <c r="C1718">
        <v>4.75</v>
      </c>
      <c r="D1718" t="s">
        <v>2344</v>
      </c>
      <c r="E1718" t="s">
        <v>2344</v>
      </c>
      <c r="F1718" t="s">
        <v>2344</v>
      </c>
      <c r="G1718">
        <v>0</v>
      </c>
      <c r="H1718" t="s">
        <v>2344</v>
      </c>
      <c r="I1718" t="str">
        <f t="shared" si="53"/>
        <v>Obesity</v>
      </c>
      <c r="J1718" t="str">
        <f t="shared" si="54"/>
        <v>Normal</v>
      </c>
    </row>
    <row r="1719" spans="1:10" x14ac:dyDescent="0.35">
      <c r="A1719" t="s">
        <v>1719</v>
      </c>
      <c r="B1719">
        <v>30.9</v>
      </c>
      <c r="C1719">
        <v>6.05</v>
      </c>
      <c r="D1719" t="s">
        <v>2344</v>
      </c>
      <c r="E1719" t="s">
        <v>2344</v>
      </c>
      <c r="F1719" t="s">
        <v>2344</v>
      </c>
      <c r="G1719">
        <v>1</v>
      </c>
      <c r="H1719" t="s">
        <v>2344</v>
      </c>
      <c r="I1719" t="str">
        <f t="shared" si="53"/>
        <v>Obesity</v>
      </c>
      <c r="J1719" t="str">
        <f t="shared" si="54"/>
        <v>Prediabetes</v>
      </c>
    </row>
    <row r="1720" spans="1:10" x14ac:dyDescent="0.35">
      <c r="A1720" t="s">
        <v>1720</v>
      </c>
      <c r="B1720">
        <v>15.58</v>
      </c>
      <c r="C1720">
        <v>11.56</v>
      </c>
      <c r="D1720" t="s">
        <v>2344</v>
      </c>
      <c r="E1720" t="s">
        <v>2344</v>
      </c>
      <c r="F1720" t="s">
        <v>2344</v>
      </c>
      <c r="G1720">
        <v>0</v>
      </c>
      <c r="H1720" t="s">
        <v>2344</v>
      </c>
      <c r="I1720" t="str">
        <f t="shared" si="53"/>
        <v>Under Weight</v>
      </c>
      <c r="J1720" t="str">
        <f t="shared" si="54"/>
        <v>Diabetes</v>
      </c>
    </row>
    <row r="1721" spans="1:10" x14ac:dyDescent="0.35">
      <c r="A1721" t="s">
        <v>1721</v>
      </c>
      <c r="B1721">
        <v>26.315000000000001</v>
      </c>
      <c r="C1721">
        <v>5.76</v>
      </c>
      <c r="D1721" t="s">
        <v>2344</v>
      </c>
      <c r="E1721" t="s">
        <v>2344</v>
      </c>
      <c r="F1721" t="s">
        <v>2344</v>
      </c>
      <c r="G1721">
        <v>0</v>
      </c>
      <c r="H1721" t="s">
        <v>2344</v>
      </c>
      <c r="I1721" t="str">
        <f t="shared" si="53"/>
        <v>Over weight</v>
      </c>
      <c r="J1721" t="str">
        <f t="shared" si="54"/>
        <v>Prediabetes</v>
      </c>
    </row>
    <row r="1722" spans="1:10" x14ac:dyDescent="0.35">
      <c r="A1722" t="s">
        <v>1722</v>
      </c>
      <c r="B1722">
        <v>35.61</v>
      </c>
      <c r="C1722">
        <v>5.65</v>
      </c>
      <c r="D1722" t="s">
        <v>2344</v>
      </c>
      <c r="E1722" t="s">
        <v>2345</v>
      </c>
      <c r="F1722" t="s">
        <v>2344</v>
      </c>
      <c r="G1722">
        <v>1</v>
      </c>
      <c r="H1722" t="s">
        <v>2344</v>
      </c>
      <c r="I1722" t="str">
        <f t="shared" si="53"/>
        <v>Obesity</v>
      </c>
      <c r="J1722" t="str">
        <f t="shared" si="54"/>
        <v>Normal</v>
      </c>
    </row>
    <row r="1723" spans="1:10" x14ac:dyDescent="0.35">
      <c r="A1723" t="s">
        <v>1723</v>
      </c>
      <c r="B1723">
        <v>37.56</v>
      </c>
      <c r="C1723">
        <v>5.88</v>
      </c>
      <c r="D1723" t="s">
        <v>2344</v>
      </c>
      <c r="E1723" t="s">
        <v>2345</v>
      </c>
      <c r="F1723" t="s">
        <v>2344</v>
      </c>
      <c r="G1723">
        <v>1</v>
      </c>
      <c r="H1723" t="s">
        <v>2344</v>
      </c>
      <c r="I1723" t="str">
        <f t="shared" si="53"/>
        <v>Obesity</v>
      </c>
      <c r="J1723" t="str">
        <f t="shared" si="54"/>
        <v>Prediabetes</v>
      </c>
    </row>
    <row r="1724" spans="1:10" x14ac:dyDescent="0.35">
      <c r="A1724" t="s">
        <v>1724</v>
      </c>
      <c r="B1724">
        <v>15.49</v>
      </c>
      <c r="C1724">
        <v>9.6</v>
      </c>
      <c r="D1724" t="s">
        <v>2344</v>
      </c>
      <c r="E1724" t="s">
        <v>2344</v>
      </c>
      <c r="F1724" t="s">
        <v>2344</v>
      </c>
      <c r="G1724">
        <v>0</v>
      </c>
      <c r="H1724" t="s">
        <v>2344</v>
      </c>
      <c r="I1724" t="str">
        <f t="shared" si="53"/>
        <v>Under Weight</v>
      </c>
      <c r="J1724" t="str">
        <f t="shared" si="54"/>
        <v>Diabetes</v>
      </c>
    </row>
    <row r="1725" spans="1:10" x14ac:dyDescent="0.35">
      <c r="A1725" t="s">
        <v>1725</v>
      </c>
      <c r="B1725">
        <v>23.48</v>
      </c>
      <c r="C1725">
        <v>6.24</v>
      </c>
      <c r="D1725" t="s">
        <v>2344</v>
      </c>
      <c r="E1725" t="s">
        <v>2344</v>
      </c>
      <c r="F1725" t="s">
        <v>2344</v>
      </c>
      <c r="G1725">
        <v>1</v>
      </c>
      <c r="H1725" t="s">
        <v>2344</v>
      </c>
      <c r="I1725" t="str">
        <f t="shared" si="53"/>
        <v>Normal Weight</v>
      </c>
      <c r="J1725" t="str">
        <f t="shared" si="54"/>
        <v>Prediabetes</v>
      </c>
    </row>
    <row r="1726" spans="1:10" x14ac:dyDescent="0.35">
      <c r="A1726" t="s">
        <v>1726</v>
      </c>
      <c r="B1726">
        <v>30.02</v>
      </c>
      <c r="C1726">
        <v>7.63</v>
      </c>
      <c r="D1726" t="s">
        <v>2346</v>
      </c>
      <c r="E1726" t="s">
        <v>2344</v>
      </c>
      <c r="F1726" t="s">
        <v>2344</v>
      </c>
      <c r="G1726">
        <v>1</v>
      </c>
      <c r="H1726" t="s">
        <v>2344</v>
      </c>
      <c r="I1726" t="str">
        <f t="shared" si="53"/>
        <v>Obesity</v>
      </c>
      <c r="J1726" t="str">
        <f t="shared" si="54"/>
        <v>Diabetes</v>
      </c>
    </row>
    <row r="1727" spans="1:10" x14ac:dyDescent="0.35">
      <c r="A1727" t="s">
        <v>1727</v>
      </c>
      <c r="B1727">
        <v>26.885000000000002</v>
      </c>
      <c r="C1727">
        <v>8.66</v>
      </c>
      <c r="D1727" t="s">
        <v>2346</v>
      </c>
      <c r="E1727" t="s">
        <v>2344</v>
      </c>
      <c r="F1727" t="s">
        <v>2344</v>
      </c>
      <c r="G1727">
        <v>1</v>
      </c>
      <c r="H1727" t="s">
        <v>2344</v>
      </c>
      <c r="I1727" t="str">
        <f t="shared" si="53"/>
        <v>Over weight</v>
      </c>
      <c r="J1727" t="str">
        <f t="shared" si="54"/>
        <v>Diabetes</v>
      </c>
    </row>
    <row r="1728" spans="1:10" x14ac:dyDescent="0.35">
      <c r="A1728" t="s">
        <v>1728</v>
      </c>
      <c r="B1728">
        <v>25.84</v>
      </c>
      <c r="C1728">
        <v>8.5500000000000007</v>
      </c>
      <c r="D1728" t="s">
        <v>2346</v>
      </c>
      <c r="E1728" t="s">
        <v>2344</v>
      </c>
      <c r="F1728" t="s">
        <v>2344</v>
      </c>
      <c r="G1728">
        <v>1</v>
      </c>
      <c r="H1728" t="s">
        <v>2344</v>
      </c>
      <c r="I1728" t="str">
        <f t="shared" si="53"/>
        <v>Over weight</v>
      </c>
      <c r="J1728" t="str">
        <f t="shared" si="54"/>
        <v>Diabetes</v>
      </c>
    </row>
    <row r="1729" spans="1:10" x14ac:dyDescent="0.35">
      <c r="A1729" t="s">
        <v>1729</v>
      </c>
      <c r="B1729">
        <v>27.454999999999998</v>
      </c>
      <c r="C1729">
        <v>4.54</v>
      </c>
      <c r="D1729" t="s">
        <v>2344</v>
      </c>
      <c r="E1729" t="s">
        <v>2344</v>
      </c>
      <c r="F1729" t="s">
        <v>2344</v>
      </c>
      <c r="G1729">
        <v>0</v>
      </c>
      <c r="H1729" t="s">
        <v>2344</v>
      </c>
      <c r="I1729" t="str">
        <f t="shared" si="53"/>
        <v>Over weight</v>
      </c>
      <c r="J1729" t="str">
        <f t="shared" si="54"/>
        <v>Normal</v>
      </c>
    </row>
    <row r="1730" spans="1:10" x14ac:dyDescent="0.35">
      <c r="A1730" t="s">
        <v>1730</v>
      </c>
      <c r="B1730">
        <v>24.605</v>
      </c>
      <c r="C1730">
        <v>5.7</v>
      </c>
      <c r="D1730" t="s">
        <v>2344</v>
      </c>
      <c r="E1730" t="s">
        <v>2344</v>
      </c>
      <c r="F1730" t="s">
        <v>2344</v>
      </c>
      <c r="G1730">
        <v>0</v>
      </c>
      <c r="H1730" t="s">
        <v>2344</v>
      </c>
      <c r="I1730" t="str">
        <f t="shared" si="53"/>
        <v>Normal Weight</v>
      </c>
      <c r="J1730" t="str">
        <f t="shared" si="54"/>
        <v>Prediabetes</v>
      </c>
    </row>
    <row r="1731" spans="1:10" x14ac:dyDescent="0.35">
      <c r="A1731" t="s">
        <v>1731</v>
      </c>
      <c r="B1731">
        <v>30.8</v>
      </c>
      <c r="C1731">
        <v>5.07</v>
      </c>
      <c r="D1731" t="s">
        <v>2344</v>
      </c>
      <c r="E1731" t="s">
        <v>2344</v>
      </c>
      <c r="F1731" t="s">
        <v>2344</v>
      </c>
      <c r="G1731">
        <v>0</v>
      </c>
      <c r="H1731" t="s">
        <v>2344</v>
      </c>
      <c r="I1731" t="str">
        <f t="shared" ref="I1731:I1794" si="55">IF(B1731&lt;18.5,"Under Weight",IF(B1731&lt;25,"Normal Weight",IF(B1731&lt;30,"Over weight","Obesity")))</f>
        <v>Obesity</v>
      </c>
      <c r="J1731" t="str">
        <f t="shared" si="54"/>
        <v>Normal</v>
      </c>
    </row>
    <row r="1732" spans="1:10" x14ac:dyDescent="0.35">
      <c r="A1732" t="s">
        <v>1732</v>
      </c>
      <c r="B1732">
        <v>34.799999999999997</v>
      </c>
      <c r="C1732">
        <v>4.38</v>
      </c>
      <c r="D1732" t="s">
        <v>2344</v>
      </c>
      <c r="E1732" t="s">
        <v>2344</v>
      </c>
      <c r="F1732" t="s">
        <v>2344</v>
      </c>
      <c r="G1732">
        <v>1</v>
      </c>
      <c r="H1732" t="s">
        <v>2344</v>
      </c>
      <c r="I1732" t="str">
        <f t="shared" si="55"/>
        <v>Obesity</v>
      </c>
      <c r="J1732" t="str">
        <f t="shared" si="54"/>
        <v>Normal</v>
      </c>
    </row>
    <row r="1733" spans="1:10" x14ac:dyDescent="0.35">
      <c r="A1733" t="s">
        <v>1733</v>
      </c>
      <c r="B1733">
        <v>34.21</v>
      </c>
      <c r="C1733">
        <v>4.54</v>
      </c>
      <c r="D1733" t="s">
        <v>2344</v>
      </c>
      <c r="E1733" t="s">
        <v>2344</v>
      </c>
      <c r="F1733" t="s">
        <v>2344</v>
      </c>
      <c r="G1733">
        <v>1</v>
      </c>
      <c r="H1733" t="s">
        <v>2344</v>
      </c>
      <c r="I1733" t="str">
        <f t="shared" si="55"/>
        <v>Obesity</v>
      </c>
      <c r="J1733" t="str">
        <f t="shared" si="54"/>
        <v>Normal</v>
      </c>
    </row>
    <row r="1734" spans="1:10" x14ac:dyDescent="0.35">
      <c r="A1734" t="s">
        <v>1734</v>
      </c>
      <c r="B1734">
        <v>31</v>
      </c>
      <c r="C1734">
        <v>5.38</v>
      </c>
      <c r="D1734" t="s">
        <v>2344</v>
      </c>
      <c r="E1734" t="s">
        <v>2344</v>
      </c>
      <c r="F1734" t="s">
        <v>2344</v>
      </c>
      <c r="G1734">
        <v>1</v>
      </c>
      <c r="H1734" t="s">
        <v>2344</v>
      </c>
      <c r="I1734" t="str">
        <f t="shared" si="55"/>
        <v>Obesity</v>
      </c>
      <c r="J1734" t="str">
        <f t="shared" si="54"/>
        <v>Normal</v>
      </c>
    </row>
    <row r="1735" spans="1:10" x14ac:dyDescent="0.35">
      <c r="A1735" t="s">
        <v>1735</v>
      </c>
      <c r="B1735">
        <v>26.125</v>
      </c>
      <c r="C1735">
        <v>5.55</v>
      </c>
      <c r="D1735" t="s">
        <v>2344</v>
      </c>
      <c r="E1735" t="s">
        <v>2344</v>
      </c>
      <c r="F1735" t="s">
        <v>2344</v>
      </c>
      <c r="G1735">
        <v>1</v>
      </c>
      <c r="H1735" t="s">
        <v>2344</v>
      </c>
      <c r="I1735" t="str">
        <f t="shared" si="55"/>
        <v>Over weight</v>
      </c>
      <c r="J1735" t="str">
        <f t="shared" si="54"/>
        <v>Normal</v>
      </c>
    </row>
    <row r="1736" spans="1:10" x14ac:dyDescent="0.35">
      <c r="A1736" t="s">
        <v>1736</v>
      </c>
      <c r="B1736">
        <v>30.13</v>
      </c>
      <c r="C1736">
        <v>4.03</v>
      </c>
      <c r="D1736" t="s">
        <v>2346</v>
      </c>
      <c r="E1736" t="s">
        <v>2344</v>
      </c>
      <c r="F1736" t="s">
        <v>2344</v>
      </c>
      <c r="G1736">
        <v>1</v>
      </c>
      <c r="H1736" t="s">
        <v>2344</v>
      </c>
      <c r="I1736" t="str">
        <f t="shared" si="55"/>
        <v>Obesity</v>
      </c>
      <c r="J1736" t="str">
        <f t="shared" si="54"/>
        <v>Normal</v>
      </c>
    </row>
    <row r="1737" spans="1:10" x14ac:dyDescent="0.35">
      <c r="A1737" t="s">
        <v>1737</v>
      </c>
      <c r="B1737">
        <v>34.19</v>
      </c>
      <c r="C1737">
        <v>4.1900000000000004</v>
      </c>
      <c r="D1737" t="s">
        <v>2344</v>
      </c>
      <c r="E1737" t="s">
        <v>2344</v>
      </c>
      <c r="F1737" t="s">
        <v>2344</v>
      </c>
      <c r="G1737">
        <v>0</v>
      </c>
      <c r="H1737" t="s">
        <v>2344</v>
      </c>
      <c r="I1737" t="str">
        <f t="shared" si="55"/>
        <v>Obesity</v>
      </c>
      <c r="J1737" t="str">
        <f t="shared" si="54"/>
        <v>Normal</v>
      </c>
    </row>
    <row r="1738" spans="1:10" x14ac:dyDescent="0.35">
      <c r="A1738" t="s">
        <v>1738</v>
      </c>
      <c r="B1738">
        <v>22.515000000000001</v>
      </c>
      <c r="C1738">
        <v>4.37</v>
      </c>
      <c r="D1738" t="s">
        <v>2344</v>
      </c>
      <c r="E1738" t="s">
        <v>2344</v>
      </c>
      <c r="F1738" t="s">
        <v>2346</v>
      </c>
      <c r="G1738">
        <v>1</v>
      </c>
      <c r="H1738" t="s">
        <v>2344</v>
      </c>
      <c r="I1738" t="str">
        <f t="shared" si="55"/>
        <v>Normal Weight</v>
      </c>
      <c r="J1738" t="str">
        <f t="shared" si="54"/>
        <v>Normal</v>
      </c>
    </row>
    <row r="1739" spans="1:10" x14ac:dyDescent="0.35">
      <c r="A1739" t="s">
        <v>1739</v>
      </c>
      <c r="B1739">
        <v>18.239999999999998</v>
      </c>
      <c r="C1739">
        <v>5.31</v>
      </c>
      <c r="D1739" t="s">
        <v>2346</v>
      </c>
      <c r="E1739" t="s">
        <v>2344</v>
      </c>
      <c r="F1739" t="s">
        <v>2346</v>
      </c>
      <c r="G1739">
        <v>1</v>
      </c>
      <c r="H1739" t="s">
        <v>2344</v>
      </c>
      <c r="I1739" t="str">
        <f t="shared" si="55"/>
        <v>Under Weight</v>
      </c>
      <c r="J1739" t="str">
        <f t="shared" si="54"/>
        <v>Normal</v>
      </c>
    </row>
    <row r="1740" spans="1:10" x14ac:dyDescent="0.35">
      <c r="A1740" t="s">
        <v>1740</v>
      </c>
      <c r="B1740">
        <v>37.28</v>
      </c>
      <c r="C1740">
        <v>4.66</v>
      </c>
      <c r="D1740" t="s">
        <v>2344</v>
      </c>
      <c r="E1740" t="s">
        <v>2345</v>
      </c>
      <c r="F1740" t="s">
        <v>2344</v>
      </c>
      <c r="G1740">
        <v>1</v>
      </c>
      <c r="H1740" t="s">
        <v>2344</v>
      </c>
      <c r="I1740" t="str">
        <f t="shared" si="55"/>
        <v>Obesity</v>
      </c>
      <c r="J1740" t="str">
        <f t="shared" ref="J1740:J1803" si="56">IF(C1740&lt;5.7,"Normal",IF(C1740&lt;6.5,"Prediabetes","Diabetes"))</f>
        <v>Normal</v>
      </c>
    </row>
    <row r="1741" spans="1:10" x14ac:dyDescent="0.35">
      <c r="A1741" t="s">
        <v>1741</v>
      </c>
      <c r="B1741">
        <v>18.2</v>
      </c>
      <c r="C1741">
        <v>6.19</v>
      </c>
      <c r="D1741" t="s">
        <v>2344</v>
      </c>
      <c r="E1741" t="s">
        <v>2344</v>
      </c>
      <c r="F1741" t="s">
        <v>2346</v>
      </c>
      <c r="G1741">
        <v>1</v>
      </c>
      <c r="H1741" t="s">
        <v>2344</v>
      </c>
      <c r="I1741" t="str">
        <f t="shared" si="55"/>
        <v>Under Weight</v>
      </c>
      <c r="J1741" t="str">
        <f t="shared" si="56"/>
        <v>Prediabetes</v>
      </c>
    </row>
    <row r="1742" spans="1:10" x14ac:dyDescent="0.35">
      <c r="A1742" t="s">
        <v>1742</v>
      </c>
      <c r="B1742">
        <v>20.53</v>
      </c>
      <c r="C1742">
        <v>4.8600000000000003</v>
      </c>
      <c r="D1742" t="s">
        <v>2344</v>
      </c>
      <c r="E1742" t="s">
        <v>2344</v>
      </c>
      <c r="F1742" t="s">
        <v>2344</v>
      </c>
      <c r="G1742">
        <v>1</v>
      </c>
      <c r="H1742" t="s">
        <v>2344</v>
      </c>
      <c r="I1742" t="str">
        <f t="shared" si="55"/>
        <v>Normal Weight</v>
      </c>
      <c r="J1742" t="str">
        <f t="shared" si="56"/>
        <v>Normal</v>
      </c>
    </row>
    <row r="1743" spans="1:10" x14ac:dyDescent="0.35">
      <c r="A1743" t="s">
        <v>1743</v>
      </c>
      <c r="B1743">
        <v>23.79</v>
      </c>
      <c r="C1743">
        <v>4.74</v>
      </c>
      <c r="D1743" t="s">
        <v>2344</v>
      </c>
      <c r="E1743" t="s">
        <v>2344</v>
      </c>
      <c r="F1743" t="s">
        <v>2344</v>
      </c>
      <c r="G1743">
        <v>0</v>
      </c>
      <c r="H1743" t="s">
        <v>2344</v>
      </c>
      <c r="I1743" t="str">
        <f t="shared" si="55"/>
        <v>Normal Weight</v>
      </c>
      <c r="J1743" t="str">
        <f t="shared" si="56"/>
        <v>Normal</v>
      </c>
    </row>
    <row r="1744" spans="1:10" x14ac:dyDescent="0.35">
      <c r="A1744" t="s">
        <v>1744</v>
      </c>
      <c r="B1744">
        <v>29.8</v>
      </c>
      <c r="C1744">
        <v>6.03</v>
      </c>
      <c r="D1744" t="s">
        <v>2344</v>
      </c>
      <c r="E1744" t="s">
        <v>2344</v>
      </c>
      <c r="F1744" t="s">
        <v>2344</v>
      </c>
      <c r="G1744">
        <v>0</v>
      </c>
      <c r="H1744" t="s">
        <v>2344</v>
      </c>
      <c r="I1744" t="str">
        <f t="shared" si="55"/>
        <v>Over weight</v>
      </c>
      <c r="J1744" t="str">
        <f t="shared" si="56"/>
        <v>Prediabetes</v>
      </c>
    </row>
    <row r="1745" spans="1:10" x14ac:dyDescent="0.35">
      <c r="A1745" t="s">
        <v>1745</v>
      </c>
      <c r="B1745">
        <v>31.54</v>
      </c>
      <c r="C1745">
        <v>4.71</v>
      </c>
      <c r="D1745" t="s">
        <v>2344</v>
      </c>
      <c r="E1745" t="s">
        <v>2344</v>
      </c>
      <c r="F1745" t="s">
        <v>2344</v>
      </c>
      <c r="G1745">
        <v>0</v>
      </c>
      <c r="H1745" t="s">
        <v>2344</v>
      </c>
      <c r="I1745" t="str">
        <f t="shared" si="55"/>
        <v>Obesity</v>
      </c>
      <c r="J1745" t="str">
        <f t="shared" si="56"/>
        <v>Normal</v>
      </c>
    </row>
    <row r="1746" spans="1:10" x14ac:dyDescent="0.35">
      <c r="A1746" t="s">
        <v>1746</v>
      </c>
      <c r="B1746">
        <v>20.82</v>
      </c>
      <c r="C1746">
        <v>5.55</v>
      </c>
      <c r="D1746" t="s">
        <v>2344</v>
      </c>
      <c r="E1746" t="s">
        <v>2344</v>
      </c>
      <c r="F1746" t="s">
        <v>2344</v>
      </c>
      <c r="G1746">
        <v>1</v>
      </c>
      <c r="H1746" t="s">
        <v>2344</v>
      </c>
      <c r="I1746" t="str">
        <f t="shared" si="55"/>
        <v>Normal Weight</v>
      </c>
      <c r="J1746" t="str">
        <f t="shared" si="56"/>
        <v>Normal</v>
      </c>
    </row>
    <row r="1747" spans="1:10" x14ac:dyDescent="0.35">
      <c r="A1747" t="s">
        <v>1747</v>
      </c>
      <c r="B1747">
        <v>38.83</v>
      </c>
      <c r="C1747">
        <v>4.78</v>
      </c>
      <c r="D1747" t="s">
        <v>2344</v>
      </c>
      <c r="E1747" t="s">
        <v>2344</v>
      </c>
      <c r="F1747" t="s">
        <v>2346</v>
      </c>
      <c r="G1747">
        <v>1</v>
      </c>
      <c r="H1747" t="s">
        <v>2344</v>
      </c>
      <c r="I1747" t="str">
        <f t="shared" si="55"/>
        <v>Obesity</v>
      </c>
      <c r="J1747" t="str">
        <f t="shared" si="56"/>
        <v>Normal</v>
      </c>
    </row>
    <row r="1748" spans="1:10" x14ac:dyDescent="0.35">
      <c r="A1748" t="s">
        <v>1748</v>
      </c>
      <c r="B1748">
        <v>23.44</v>
      </c>
      <c r="C1748">
        <v>4.6500000000000004</v>
      </c>
      <c r="D1748" t="s">
        <v>2346</v>
      </c>
      <c r="E1748" t="s">
        <v>2344</v>
      </c>
      <c r="F1748" t="s">
        <v>2344</v>
      </c>
      <c r="G1748">
        <v>1</v>
      </c>
      <c r="H1748" t="s">
        <v>2344</v>
      </c>
      <c r="I1748" t="str">
        <f t="shared" si="55"/>
        <v>Normal Weight</v>
      </c>
      <c r="J1748" t="str">
        <f t="shared" si="56"/>
        <v>Normal</v>
      </c>
    </row>
    <row r="1749" spans="1:10" x14ac:dyDescent="0.35">
      <c r="A1749" t="s">
        <v>1749</v>
      </c>
      <c r="B1749">
        <v>24.13</v>
      </c>
      <c r="C1749">
        <v>5.2</v>
      </c>
      <c r="D1749" t="s">
        <v>2344</v>
      </c>
      <c r="E1749" t="s">
        <v>2344</v>
      </c>
      <c r="F1749" t="s">
        <v>2344</v>
      </c>
      <c r="G1749">
        <v>1</v>
      </c>
      <c r="H1749" t="s">
        <v>2344</v>
      </c>
      <c r="I1749" t="str">
        <f t="shared" si="55"/>
        <v>Normal Weight</v>
      </c>
      <c r="J1749" t="str">
        <f t="shared" si="56"/>
        <v>Normal</v>
      </c>
    </row>
    <row r="1750" spans="1:10" x14ac:dyDescent="0.35">
      <c r="A1750" t="s">
        <v>1750</v>
      </c>
      <c r="B1750">
        <v>42.13</v>
      </c>
      <c r="C1750">
        <v>4.54</v>
      </c>
      <c r="D1750" t="s">
        <v>2346</v>
      </c>
      <c r="E1750" t="s">
        <v>2344</v>
      </c>
      <c r="F1750" t="s">
        <v>2344</v>
      </c>
      <c r="G1750">
        <v>1</v>
      </c>
      <c r="H1750" t="s">
        <v>2344</v>
      </c>
      <c r="I1750" t="str">
        <f t="shared" si="55"/>
        <v>Obesity</v>
      </c>
      <c r="J1750" t="str">
        <f t="shared" si="56"/>
        <v>Normal</v>
      </c>
    </row>
    <row r="1751" spans="1:10" x14ac:dyDescent="0.35">
      <c r="A1751" t="s">
        <v>1751</v>
      </c>
      <c r="B1751">
        <v>17.86</v>
      </c>
      <c r="C1751">
        <v>4.1100000000000003</v>
      </c>
      <c r="D1751" t="s">
        <v>2344</v>
      </c>
      <c r="E1751" t="s">
        <v>2344</v>
      </c>
      <c r="F1751" t="s">
        <v>2344</v>
      </c>
      <c r="G1751">
        <v>1</v>
      </c>
      <c r="H1751" t="s">
        <v>2344</v>
      </c>
      <c r="I1751" t="str">
        <f t="shared" si="55"/>
        <v>Under Weight</v>
      </c>
      <c r="J1751" t="str">
        <f t="shared" si="56"/>
        <v>Normal</v>
      </c>
    </row>
    <row r="1752" spans="1:10" x14ac:dyDescent="0.35">
      <c r="A1752" t="s">
        <v>1752</v>
      </c>
      <c r="B1752">
        <v>32.78</v>
      </c>
      <c r="C1752">
        <v>4.63</v>
      </c>
      <c r="D1752" t="s">
        <v>2344</v>
      </c>
      <c r="E1752" t="s">
        <v>2344</v>
      </c>
      <c r="F1752" t="s">
        <v>2344</v>
      </c>
      <c r="G1752">
        <v>0</v>
      </c>
      <c r="H1752" t="s">
        <v>2344</v>
      </c>
      <c r="I1752" t="str">
        <f t="shared" si="55"/>
        <v>Obesity</v>
      </c>
      <c r="J1752" t="str">
        <f t="shared" si="56"/>
        <v>Normal</v>
      </c>
    </row>
    <row r="1753" spans="1:10" x14ac:dyDescent="0.35">
      <c r="A1753" t="s">
        <v>1753</v>
      </c>
      <c r="B1753">
        <v>23.9</v>
      </c>
      <c r="C1753">
        <v>6.06</v>
      </c>
      <c r="D1753" t="s">
        <v>2346</v>
      </c>
      <c r="E1753" t="s">
        <v>2344</v>
      </c>
      <c r="F1753" t="s">
        <v>2346</v>
      </c>
      <c r="G1753">
        <v>1</v>
      </c>
      <c r="H1753" t="s">
        <v>2344</v>
      </c>
      <c r="I1753" t="str">
        <f t="shared" si="55"/>
        <v>Normal Weight</v>
      </c>
      <c r="J1753" t="str">
        <f t="shared" si="56"/>
        <v>Prediabetes</v>
      </c>
    </row>
    <row r="1754" spans="1:10" x14ac:dyDescent="0.35">
      <c r="A1754" t="s">
        <v>1754</v>
      </c>
      <c r="B1754">
        <v>15.47</v>
      </c>
      <c r="C1754">
        <v>8.43</v>
      </c>
      <c r="D1754" t="s">
        <v>2344</v>
      </c>
      <c r="E1754" t="s">
        <v>2344</v>
      </c>
      <c r="F1754" t="s">
        <v>2344</v>
      </c>
      <c r="G1754">
        <v>0</v>
      </c>
      <c r="H1754" t="s">
        <v>2344</v>
      </c>
      <c r="I1754" t="str">
        <f t="shared" si="55"/>
        <v>Under Weight</v>
      </c>
      <c r="J1754" t="str">
        <f t="shared" si="56"/>
        <v>Diabetes</v>
      </c>
    </row>
    <row r="1755" spans="1:10" x14ac:dyDescent="0.35">
      <c r="A1755" t="s">
        <v>1755</v>
      </c>
      <c r="B1755">
        <v>28.54</v>
      </c>
      <c r="C1755">
        <v>5.51</v>
      </c>
      <c r="D1755" t="s">
        <v>2344</v>
      </c>
      <c r="E1755" t="s">
        <v>2344</v>
      </c>
      <c r="F1755" t="s">
        <v>2346</v>
      </c>
      <c r="G1755">
        <v>1</v>
      </c>
      <c r="H1755" t="s">
        <v>2344</v>
      </c>
      <c r="I1755" t="str">
        <f t="shared" si="55"/>
        <v>Over weight</v>
      </c>
      <c r="J1755" t="str">
        <f t="shared" si="56"/>
        <v>Normal</v>
      </c>
    </row>
    <row r="1756" spans="1:10" x14ac:dyDescent="0.35">
      <c r="A1756" t="s">
        <v>1756</v>
      </c>
      <c r="B1756">
        <v>18.54</v>
      </c>
      <c r="C1756">
        <v>4.95</v>
      </c>
      <c r="D1756" t="s">
        <v>2344</v>
      </c>
      <c r="E1756" t="s">
        <v>2344</v>
      </c>
      <c r="F1756" t="s">
        <v>2344</v>
      </c>
      <c r="G1756">
        <v>0</v>
      </c>
      <c r="H1756" t="s">
        <v>2344</v>
      </c>
      <c r="I1756" t="str">
        <f t="shared" si="55"/>
        <v>Normal Weight</v>
      </c>
      <c r="J1756" t="str">
        <f t="shared" si="56"/>
        <v>Normal</v>
      </c>
    </row>
    <row r="1757" spans="1:10" x14ac:dyDescent="0.35">
      <c r="A1757" t="s">
        <v>1757</v>
      </c>
      <c r="B1757">
        <v>32.18</v>
      </c>
      <c r="C1757">
        <v>6.44</v>
      </c>
      <c r="D1757" t="s">
        <v>2346</v>
      </c>
      <c r="E1757" t="s">
        <v>2344</v>
      </c>
      <c r="F1757" t="s">
        <v>2346</v>
      </c>
      <c r="G1757">
        <v>1</v>
      </c>
      <c r="H1757" t="s">
        <v>2344</v>
      </c>
      <c r="I1757" t="str">
        <f t="shared" si="55"/>
        <v>Obesity</v>
      </c>
      <c r="J1757" t="str">
        <f t="shared" si="56"/>
        <v>Prediabetes</v>
      </c>
    </row>
    <row r="1758" spans="1:10" x14ac:dyDescent="0.35">
      <c r="A1758" t="s">
        <v>1758</v>
      </c>
      <c r="B1758">
        <v>37.380000000000003</v>
      </c>
      <c r="C1758">
        <v>6.05</v>
      </c>
      <c r="D1758" t="s">
        <v>2346</v>
      </c>
      <c r="E1758" t="s">
        <v>2344</v>
      </c>
      <c r="F1758" t="s">
        <v>2344</v>
      </c>
      <c r="G1758">
        <v>0</v>
      </c>
      <c r="H1758" t="s">
        <v>2344</v>
      </c>
      <c r="I1758" t="str">
        <f t="shared" si="55"/>
        <v>Obesity</v>
      </c>
      <c r="J1758" t="str">
        <f t="shared" si="56"/>
        <v>Prediabetes</v>
      </c>
    </row>
    <row r="1759" spans="1:10" x14ac:dyDescent="0.35">
      <c r="A1759" t="s">
        <v>1759</v>
      </c>
      <c r="B1759">
        <v>31.12</v>
      </c>
      <c r="C1759">
        <v>4.76</v>
      </c>
      <c r="D1759" t="s">
        <v>2346</v>
      </c>
      <c r="E1759" t="s">
        <v>2344</v>
      </c>
      <c r="F1759" t="s">
        <v>2346</v>
      </c>
      <c r="G1759">
        <v>1</v>
      </c>
      <c r="H1759" t="s">
        <v>2344</v>
      </c>
      <c r="I1759" t="str">
        <f t="shared" si="55"/>
        <v>Obesity</v>
      </c>
      <c r="J1759" t="str">
        <f t="shared" si="56"/>
        <v>Normal</v>
      </c>
    </row>
    <row r="1760" spans="1:10" x14ac:dyDescent="0.35">
      <c r="A1760" t="s">
        <v>1760</v>
      </c>
      <c r="B1760">
        <v>22.01</v>
      </c>
      <c r="C1760">
        <v>6.72</v>
      </c>
      <c r="D1760" t="s">
        <v>2346</v>
      </c>
      <c r="E1760" t="s">
        <v>2344</v>
      </c>
      <c r="F1760" t="s">
        <v>2344</v>
      </c>
      <c r="G1760">
        <v>1</v>
      </c>
      <c r="H1760" t="s">
        <v>2344</v>
      </c>
      <c r="I1760" t="str">
        <f t="shared" si="55"/>
        <v>Normal Weight</v>
      </c>
      <c r="J1760" t="str">
        <f t="shared" si="56"/>
        <v>Diabetes</v>
      </c>
    </row>
    <row r="1761" spans="1:10" x14ac:dyDescent="0.35">
      <c r="A1761" t="s">
        <v>1761</v>
      </c>
      <c r="B1761">
        <v>27.645</v>
      </c>
      <c r="C1761">
        <v>5.7</v>
      </c>
      <c r="D1761" t="s">
        <v>2344</v>
      </c>
      <c r="E1761" t="s">
        <v>2344</v>
      </c>
      <c r="F1761" t="s">
        <v>2344</v>
      </c>
      <c r="G1761">
        <v>0</v>
      </c>
      <c r="H1761" t="s">
        <v>2344</v>
      </c>
      <c r="I1761" t="str">
        <f t="shared" si="55"/>
        <v>Over weight</v>
      </c>
      <c r="J1761" t="str">
        <f t="shared" si="56"/>
        <v>Prediabetes</v>
      </c>
    </row>
    <row r="1762" spans="1:10" x14ac:dyDescent="0.35">
      <c r="A1762" t="s">
        <v>1762</v>
      </c>
      <c r="B1762">
        <v>29.64</v>
      </c>
      <c r="C1762">
        <v>5.31</v>
      </c>
      <c r="D1762" t="s">
        <v>2346</v>
      </c>
      <c r="E1762" t="s">
        <v>2344</v>
      </c>
      <c r="F1762" t="s">
        <v>2344</v>
      </c>
      <c r="G1762">
        <v>0</v>
      </c>
      <c r="H1762" t="s">
        <v>2344</v>
      </c>
      <c r="I1762" t="str">
        <f t="shared" si="55"/>
        <v>Over weight</v>
      </c>
      <c r="J1762" t="str">
        <f t="shared" si="56"/>
        <v>Normal</v>
      </c>
    </row>
    <row r="1763" spans="1:10" x14ac:dyDescent="0.35">
      <c r="A1763" t="s">
        <v>1763</v>
      </c>
      <c r="B1763">
        <v>33.700000000000003</v>
      </c>
      <c r="C1763">
        <v>4.32</v>
      </c>
      <c r="D1763" t="s">
        <v>2346</v>
      </c>
      <c r="E1763" t="s">
        <v>2344</v>
      </c>
      <c r="F1763" t="s">
        <v>2344</v>
      </c>
      <c r="G1763">
        <v>1</v>
      </c>
      <c r="H1763" t="s">
        <v>2344</v>
      </c>
      <c r="I1763" t="str">
        <f t="shared" si="55"/>
        <v>Obesity</v>
      </c>
      <c r="J1763" t="str">
        <f t="shared" si="56"/>
        <v>Normal</v>
      </c>
    </row>
    <row r="1764" spans="1:10" x14ac:dyDescent="0.35">
      <c r="A1764" t="s">
        <v>1764</v>
      </c>
      <c r="B1764">
        <v>27.5</v>
      </c>
      <c r="C1764">
        <v>4.2300000000000004</v>
      </c>
      <c r="D1764" t="s">
        <v>2346</v>
      </c>
      <c r="E1764" t="s">
        <v>2344</v>
      </c>
      <c r="F1764" t="s">
        <v>2344</v>
      </c>
      <c r="G1764">
        <v>1</v>
      </c>
      <c r="H1764" t="s">
        <v>2344</v>
      </c>
      <c r="I1764" t="str">
        <f t="shared" si="55"/>
        <v>Over weight</v>
      </c>
      <c r="J1764" t="str">
        <f t="shared" si="56"/>
        <v>Normal</v>
      </c>
    </row>
    <row r="1765" spans="1:10" x14ac:dyDescent="0.35">
      <c r="A1765" t="s">
        <v>1765</v>
      </c>
      <c r="B1765">
        <v>16.12</v>
      </c>
      <c r="C1765">
        <v>6.09</v>
      </c>
      <c r="D1765" t="s">
        <v>2344</v>
      </c>
      <c r="E1765" t="s">
        <v>2344</v>
      </c>
      <c r="F1765" t="s">
        <v>2344</v>
      </c>
      <c r="G1765">
        <v>0</v>
      </c>
      <c r="H1765" t="s">
        <v>2344</v>
      </c>
      <c r="I1765" t="str">
        <f t="shared" si="55"/>
        <v>Under Weight</v>
      </c>
      <c r="J1765" t="str">
        <f t="shared" si="56"/>
        <v>Prediabetes</v>
      </c>
    </row>
    <row r="1766" spans="1:10" x14ac:dyDescent="0.35">
      <c r="A1766" t="s">
        <v>1766</v>
      </c>
      <c r="B1766">
        <v>26.73</v>
      </c>
      <c r="C1766">
        <v>4.74</v>
      </c>
      <c r="D1766" t="s">
        <v>2346</v>
      </c>
      <c r="E1766" t="s">
        <v>2344</v>
      </c>
      <c r="F1766" t="s">
        <v>2344</v>
      </c>
      <c r="G1766">
        <v>1</v>
      </c>
      <c r="H1766" t="s">
        <v>2344</v>
      </c>
      <c r="I1766" t="str">
        <f t="shared" si="55"/>
        <v>Over weight</v>
      </c>
      <c r="J1766" t="str">
        <f t="shared" si="56"/>
        <v>Normal</v>
      </c>
    </row>
    <row r="1767" spans="1:10" x14ac:dyDescent="0.35">
      <c r="A1767" t="s">
        <v>1767</v>
      </c>
      <c r="B1767">
        <v>37.25</v>
      </c>
      <c r="C1767">
        <v>6.23</v>
      </c>
      <c r="D1767" t="s">
        <v>2346</v>
      </c>
      <c r="E1767" t="s">
        <v>2344</v>
      </c>
      <c r="F1767" t="s">
        <v>2344</v>
      </c>
      <c r="G1767">
        <v>0</v>
      </c>
      <c r="H1767" t="s">
        <v>2344</v>
      </c>
      <c r="I1767" t="str">
        <f t="shared" si="55"/>
        <v>Obesity</v>
      </c>
      <c r="J1767" t="str">
        <f t="shared" si="56"/>
        <v>Prediabetes</v>
      </c>
    </row>
    <row r="1768" spans="1:10" x14ac:dyDescent="0.35">
      <c r="A1768" t="s">
        <v>1768</v>
      </c>
      <c r="B1768">
        <v>23.56</v>
      </c>
      <c r="C1768">
        <v>5.45</v>
      </c>
      <c r="D1768" t="s">
        <v>2346</v>
      </c>
      <c r="E1768" t="s">
        <v>2344</v>
      </c>
      <c r="F1768" t="s">
        <v>2344</v>
      </c>
      <c r="G1768">
        <v>1</v>
      </c>
      <c r="H1768" t="s">
        <v>2344</v>
      </c>
      <c r="I1768" t="str">
        <f t="shared" si="55"/>
        <v>Normal Weight</v>
      </c>
      <c r="J1768" t="str">
        <f t="shared" si="56"/>
        <v>Normal</v>
      </c>
    </row>
    <row r="1769" spans="1:10" x14ac:dyDescent="0.35">
      <c r="A1769" t="s">
        <v>1769</v>
      </c>
      <c r="B1769">
        <v>15.84</v>
      </c>
      <c r="C1769">
        <v>10.34</v>
      </c>
      <c r="D1769" t="s">
        <v>2344</v>
      </c>
      <c r="E1769" t="s">
        <v>2344</v>
      </c>
      <c r="F1769" t="s">
        <v>2344</v>
      </c>
      <c r="G1769">
        <v>1</v>
      </c>
      <c r="H1769" t="s">
        <v>2344</v>
      </c>
      <c r="I1769" t="str">
        <f t="shared" si="55"/>
        <v>Under Weight</v>
      </c>
      <c r="J1769" t="str">
        <f t="shared" si="56"/>
        <v>Diabetes</v>
      </c>
    </row>
    <row r="1770" spans="1:10" x14ac:dyDescent="0.35">
      <c r="A1770" t="s">
        <v>1770</v>
      </c>
      <c r="B1770">
        <v>36.630000000000003</v>
      </c>
      <c r="C1770">
        <v>5.15</v>
      </c>
      <c r="D1770" t="s">
        <v>2344</v>
      </c>
      <c r="E1770" t="s">
        <v>2344</v>
      </c>
      <c r="F1770" t="s">
        <v>2344</v>
      </c>
      <c r="G1770">
        <v>0</v>
      </c>
      <c r="H1770" t="s">
        <v>2344</v>
      </c>
      <c r="I1770" t="str">
        <f t="shared" si="55"/>
        <v>Obesity</v>
      </c>
      <c r="J1770" t="str">
        <f t="shared" si="56"/>
        <v>Normal</v>
      </c>
    </row>
    <row r="1771" spans="1:10" x14ac:dyDescent="0.35">
      <c r="A1771" t="s">
        <v>1771</v>
      </c>
      <c r="B1771">
        <v>16.47</v>
      </c>
      <c r="C1771">
        <v>11.72</v>
      </c>
      <c r="D1771" t="s">
        <v>2344</v>
      </c>
      <c r="E1771" t="s">
        <v>2344</v>
      </c>
      <c r="F1771" t="s">
        <v>2344</v>
      </c>
      <c r="G1771">
        <v>0</v>
      </c>
      <c r="H1771" t="s">
        <v>2344</v>
      </c>
      <c r="I1771" t="str">
        <f t="shared" si="55"/>
        <v>Under Weight</v>
      </c>
      <c r="J1771" t="str">
        <f t="shared" si="56"/>
        <v>Diabetes</v>
      </c>
    </row>
    <row r="1772" spans="1:10" x14ac:dyDescent="0.35">
      <c r="A1772" t="s">
        <v>1772</v>
      </c>
      <c r="B1772">
        <v>25.8</v>
      </c>
      <c r="C1772">
        <v>5.29</v>
      </c>
      <c r="D1772" t="s">
        <v>2344</v>
      </c>
      <c r="E1772" t="s">
        <v>2344</v>
      </c>
      <c r="F1772" t="s">
        <v>2344</v>
      </c>
      <c r="G1772">
        <v>0</v>
      </c>
      <c r="H1772" t="s">
        <v>2344</v>
      </c>
      <c r="I1772" t="str">
        <f t="shared" si="55"/>
        <v>Over weight</v>
      </c>
      <c r="J1772" t="str">
        <f t="shared" si="56"/>
        <v>Normal</v>
      </c>
    </row>
    <row r="1773" spans="1:10" x14ac:dyDescent="0.35">
      <c r="A1773" t="s">
        <v>1773</v>
      </c>
      <c r="B1773">
        <v>23.6</v>
      </c>
      <c r="C1773">
        <v>4.33</v>
      </c>
      <c r="D1773" t="s">
        <v>2344</v>
      </c>
      <c r="E1773" t="s">
        <v>2344</v>
      </c>
      <c r="F1773" t="s">
        <v>2344</v>
      </c>
      <c r="G1773">
        <v>0</v>
      </c>
      <c r="H1773" t="s">
        <v>2344</v>
      </c>
      <c r="I1773" t="str">
        <f t="shared" si="55"/>
        <v>Normal Weight</v>
      </c>
      <c r="J1773" t="str">
        <f t="shared" si="56"/>
        <v>Normal</v>
      </c>
    </row>
    <row r="1774" spans="1:10" x14ac:dyDescent="0.35">
      <c r="A1774" t="s">
        <v>1774</v>
      </c>
      <c r="B1774">
        <v>32.11</v>
      </c>
      <c r="C1774">
        <v>6.24</v>
      </c>
      <c r="D1774" t="s">
        <v>2344</v>
      </c>
      <c r="E1774" t="s">
        <v>2344</v>
      </c>
      <c r="F1774" t="s">
        <v>2346</v>
      </c>
      <c r="G1774">
        <v>1</v>
      </c>
      <c r="H1774" t="s">
        <v>2344</v>
      </c>
      <c r="I1774" t="str">
        <f t="shared" si="55"/>
        <v>Obesity</v>
      </c>
      <c r="J1774" t="str">
        <f t="shared" si="56"/>
        <v>Prediabetes</v>
      </c>
    </row>
    <row r="1775" spans="1:10" x14ac:dyDescent="0.35">
      <c r="A1775" t="s">
        <v>1775</v>
      </c>
      <c r="B1775">
        <v>30.114999999999998</v>
      </c>
      <c r="C1775">
        <v>11.61</v>
      </c>
      <c r="D1775" t="s">
        <v>2344</v>
      </c>
      <c r="E1775" t="s">
        <v>2344</v>
      </c>
      <c r="F1775" t="s">
        <v>2344</v>
      </c>
      <c r="G1775">
        <v>0</v>
      </c>
      <c r="H1775" t="s">
        <v>2344</v>
      </c>
      <c r="I1775" t="str">
        <f t="shared" si="55"/>
        <v>Obesity</v>
      </c>
      <c r="J1775" t="str">
        <f t="shared" si="56"/>
        <v>Diabetes</v>
      </c>
    </row>
    <row r="1776" spans="1:10" x14ac:dyDescent="0.35">
      <c r="A1776" t="s">
        <v>1776</v>
      </c>
      <c r="B1776">
        <v>20.28</v>
      </c>
      <c r="C1776">
        <v>11.07</v>
      </c>
      <c r="D1776" t="s">
        <v>2346</v>
      </c>
      <c r="E1776" t="s">
        <v>2344</v>
      </c>
      <c r="F1776" t="s">
        <v>2344</v>
      </c>
      <c r="G1776">
        <v>0</v>
      </c>
      <c r="H1776" t="s">
        <v>2344</v>
      </c>
      <c r="I1776" t="str">
        <f t="shared" si="55"/>
        <v>Normal Weight</v>
      </c>
      <c r="J1776" t="str">
        <f t="shared" si="56"/>
        <v>Diabetes</v>
      </c>
    </row>
    <row r="1777" spans="1:10" x14ac:dyDescent="0.35">
      <c r="A1777" t="s">
        <v>1777</v>
      </c>
      <c r="B1777">
        <v>20.234999999999999</v>
      </c>
      <c r="C1777">
        <v>5.19</v>
      </c>
      <c r="D1777" t="s">
        <v>2344</v>
      </c>
      <c r="E1777" t="s">
        <v>2344</v>
      </c>
      <c r="F1777" t="s">
        <v>2346</v>
      </c>
      <c r="G1777">
        <v>1</v>
      </c>
      <c r="H1777" t="s">
        <v>2344</v>
      </c>
      <c r="I1777" t="str">
        <f t="shared" si="55"/>
        <v>Normal Weight</v>
      </c>
      <c r="J1777" t="str">
        <f t="shared" si="56"/>
        <v>Normal</v>
      </c>
    </row>
    <row r="1778" spans="1:10" x14ac:dyDescent="0.35">
      <c r="A1778" t="s">
        <v>1778</v>
      </c>
      <c r="B1778">
        <v>25.27</v>
      </c>
      <c r="C1778">
        <v>5.7</v>
      </c>
      <c r="D1778" t="s">
        <v>2346</v>
      </c>
      <c r="E1778" t="s">
        <v>2344</v>
      </c>
      <c r="F1778" t="s">
        <v>2344</v>
      </c>
      <c r="G1778">
        <v>1</v>
      </c>
      <c r="H1778" t="s">
        <v>2344</v>
      </c>
      <c r="I1778" t="str">
        <f t="shared" si="55"/>
        <v>Over weight</v>
      </c>
      <c r="J1778" t="str">
        <f t="shared" si="56"/>
        <v>Prediabetes</v>
      </c>
    </row>
    <row r="1779" spans="1:10" x14ac:dyDescent="0.35">
      <c r="A1779" t="s">
        <v>1779</v>
      </c>
      <c r="B1779">
        <v>24.24</v>
      </c>
      <c r="C1779">
        <v>6.15</v>
      </c>
      <c r="D1779" t="s">
        <v>2344</v>
      </c>
      <c r="E1779" t="s">
        <v>2344</v>
      </c>
      <c r="F1779" t="s">
        <v>2344</v>
      </c>
      <c r="G1779">
        <v>0</v>
      </c>
      <c r="H1779" t="s">
        <v>2344</v>
      </c>
      <c r="I1779" t="str">
        <f t="shared" si="55"/>
        <v>Normal Weight</v>
      </c>
      <c r="J1779" t="str">
        <f t="shared" si="56"/>
        <v>Prediabetes</v>
      </c>
    </row>
    <row r="1780" spans="1:10" x14ac:dyDescent="0.35">
      <c r="A1780" t="s">
        <v>1780</v>
      </c>
      <c r="B1780">
        <v>35.75</v>
      </c>
      <c r="C1780">
        <v>5.07</v>
      </c>
      <c r="D1780" t="s">
        <v>2344</v>
      </c>
      <c r="E1780" t="s">
        <v>2344</v>
      </c>
      <c r="F1780" t="s">
        <v>2344</v>
      </c>
      <c r="G1780">
        <v>0</v>
      </c>
      <c r="H1780" t="s">
        <v>2344</v>
      </c>
      <c r="I1780" t="str">
        <f t="shared" si="55"/>
        <v>Obesity</v>
      </c>
      <c r="J1780" t="str">
        <f t="shared" si="56"/>
        <v>Normal</v>
      </c>
    </row>
    <row r="1781" spans="1:10" x14ac:dyDescent="0.35">
      <c r="A1781" t="s">
        <v>1781</v>
      </c>
      <c r="B1781">
        <v>29.92</v>
      </c>
      <c r="C1781">
        <v>10.97</v>
      </c>
      <c r="D1781" t="s">
        <v>2346</v>
      </c>
      <c r="E1781" t="s">
        <v>2344</v>
      </c>
      <c r="F1781" t="s">
        <v>2344</v>
      </c>
      <c r="G1781">
        <v>1</v>
      </c>
      <c r="H1781" t="s">
        <v>2344</v>
      </c>
      <c r="I1781" t="str">
        <f t="shared" si="55"/>
        <v>Over weight</v>
      </c>
      <c r="J1781" t="str">
        <f t="shared" si="56"/>
        <v>Diabetes</v>
      </c>
    </row>
    <row r="1782" spans="1:10" x14ac:dyDescent="0.35">
      <c r="A1782" t="s">
        <v>1782</v>
      </c>
      <c r="B1782">
        <v>26.2</v>
      </c>
      <c r="C1782">
        <v>10.93</v>
      </c>
      <c r="D1782" t="s">
        <v>2346</v>
      </c>
      <c r="E1782" t="s">
        <v>2344</v>
      </c>
      <c r="F1782" t="s">
        <v>2344</v>
      </c>
      <c r="G1782">
        <v>1</v>
      </c>
      <c r="H1782" t="s">
        <v>2344</v>
      </c>
      <c r="I1782" t="str">
        <f t="shared" si="55"/>
        <v>Over weight</v>
      </c>
      <c r="J1782" t="str">
        <f t="shared" si="56"/>
        <v>Diabetes</v>
      </c>
    </row>
    <row r="1783" spans="1:10" x14ac:dyDescent="0.35">
      <c r="A1783" t="s">
        <v>1783</v>
      </c>
      <c r="B1783">
        <v>26.695</v>
      </c>
      <c r="C1783">
        <v>4.21</v>
      </c>
      <c r="D1783" t="s">
        <v>2346</v>
      </c>
      <c r="E1783" t="s">
        <v>2344</v>
      </c>
      <c r="F1783" t="s">
        <v>2346</v>
      </c>
      <c r="G1783">
        <v>1</v>
      </c>
      <c r="H1783" t="s">
        <v>2344</v>
      </c>
      <c r="I1783" t="str">
        <f t="shared" si="55"/>
        <v>Over weight</v>
      </c>
      <c r="J1783" t="str">
        <f t="shared" si="56"/>
        <v>Normal</v>
      </c>
    </row>
    <row r="1784" spans="1:10" x14ac:dyDescent="0.35">
      <c r="A1784" t="s">
        <v>1784</v>
      </c>
      <c r="B1784">
        <v>23.16</v>
      </c>
      <c r="C1784">
        <v>5.5</v>
      </c>
      <c r="D1784" t="s">
        <v>2344</v>
      </c>
      <c r="E1784" t="s">
        <v>2344</v>
      </c>
      <c r="F1784" t="s">
        <v>2344</v>
      </c>
      <c r="G1784">
        <v>0</v>
      </c>
      <c r="H1784" t="s">
        <v>2344</v>
      </c>
      <c r="I1784" t="str">
        <f t="shared" si="55"/>
        <v>Normal Weight</v>
      </c>
      <c r="J1784" t="str">
        <f t="shared" si="56"/>
        <v>Normal</v>
      </c>
    </row>
    <row r="1785" spans="1:10" x14ac:dyDescent="0.35">
      <c r="A1785" t="s">
        <v>1785</v>
      </c>
      <c r="B1785">
        <v>32.585000000000001</v>
      </c>
      <c r="C1785">
        <v>4.93</v>
      </c>
      <c r="D1785" t="s">
        <v>2346</v>
      </c>
      <c r="E1785" t="s">
        <v>2344</v>
      </c>
      <c r="F1785" t="s">
        <v>2344</v>
      </c>
      <c r="G1785">
        <v>1</v>
      </c>
      <c r="H1785" t="s">
        <v>2344</v>
      </c>
      <c r="I1785" t="str">
        <f t="shared" si="55"/>
        <v>Obesity</v>
      </c>
      <c r="J1785" t="str">
        <f t="shared" si="56"/>
        <v>Normal</v>
      </c>
    </row>
    <row r="1786" spans="1:10" x14ac:dyDescent="0.35">
      <c r="A1786" t="s">
        <v>1786</v>
      </c>
      <c r="B1786">
        <v>33.97</v>
      </c>
      <c r="C1786">
        <v>5.6</v>
      </c>
      <c r="D1786" t="s">
        <v>2346</v>
      </c>
      <c r="E1786" t="s">
        <v>2344</v>
      </c>
      <c r="F1786" t="s">
        <v>2344</v>
      </c>
      <c r="G1786">
        <v>0</v>
      </c>
      <c r="H1786" t="s">
        <v>2344</v>
      </c>
      <c r="I1786" t="str">
        <f t="shared" si="55"/>
        <v>Obesity</v>
      </c>
      <c r="J1786" t="str">
        <f t="shared" si="56"/>
        <v>Normal</v>
      </c>
    </row>
    <row r="1787" spans="1:10" x14ac:dyDescent="0.35">
      <c r="A1787" t="s">
        <v>1787</v>
      </c>
      <c r="B1787">
        <v>16.57</v>
      </c>
      <c r="C1787">
        <v>9.99</v>
      </c>
      <c r="D1787" t="s">
        <v>2344</v>
      </c>
      <c r="E1787" t="s">
        <v>2344</v>
      </c>
      <c r="F1787" t="s">
        <v>2344</v>
      </c>
      <c r="G1787">
        <v>0</v>
      </c>
      <c r="H1787" t="s">
        <v>2344</v>
      </c>
      <c r="I1787" t="str">
        <f t="shared" si="55"/>
        <v>Under Weight</v>
      </c>
      <c r="J1787" t="str">
        <f t="shared" si="56"/>
        <v>Diabetes</v>
      </c>
    </row>
    <row r="1788" spans="1:10" x14ac:dyDescent="0.35">
      <c r="A1788" t="s">
        <v>1788</v>
      </c>
      <c r="B1788">
        <v>17.55</v>
      </c>
      <c r="C1788">
        <v>5.93</v>
      </c>
      <c r="D1788" t="s">
        <v>2344</v>
      </c>
      <c r="E1788" t="s">
        <v>2344</v>
      </c>
      <c r="F1788" t="s">
        <v>2346</v>
      </c>
      <c r="G1788">
        <v>1</v>
      </c>
      <c r="H1788" t="s">
        <v>2344</v>
      </c>
      <c r="I1788" t="str">
        <f t="shared" si="55"/>
        <v>Under Weight</v>
      </c>
      <c r="J1788" t="str">
        <f t="shared" si="56"/>
        <v>Prediabetes</v>
      </c>
    </row>
    <row r="1789" spans="1:10" x14ac:dyDescent="0.35">
      <c r="A1789" t="s">
        <v>1789</v>
      </c>
      <c r="B1789">
        <v>29.41</v>
      </c>
      <c r="C1789">
        <v>6.29</v>
      </c>
      <c r="D1789" t="s">
        <v>2346</v>
      </c>
      <c r="E1789" t="s">
        <v>2344</v>
      </c>
      <c r="F1789" t="s">
        <v>2344</v>
      </c>
      <c r="G1789">
        <v>1</v>
      </c>
      <c r="H1789" t="s">
        <v>2344</v>
      </c>
      <c r="I1789" t="str">
        <f t="shared" si="55"/>
        <v>Over weight</v>
      </c>
      <c r="J1789" t="str">
        <f t="shared" si="56"/>
        <v>Prediabetes</v>
      </c>
    </row>
    <row r="1790" spans="1:10" x14ac:dyDescent="0.35">
      <c r="A1790" t="s">
        <v>1790</v>
      </c>
      <c r="B1790">
        <v>17.91</v>
      </c>
      <c r="C1790">
        <v>5.65</v>
      </c>
      <c r="D1790" t="s">
        <v>2344</v>
      </c>
      <c r="E1790" t="s">
        <v>2344</v>
      </c>
      <c r="F1790" t="s">
        <v>2344</v>
      </c>
      <c r="G1790">
        <v>1</v>
      </c>
      <c r="H1790" t="s">
        <v>2344</v>
      </c>
      <c r="I1790" t="str">
        <f t="shared" si="55"/>
        <v>Under Weight</v>
      </c>
      <c r="J1790" t="str">
        <f t="shared" si="56"/>
        <v>Normal</v>
      </c>
    </row>
    <row r="1791" spans="1:10" x14ac:dyDescent="0.35">
      <c r="A1791" t="s">
        <v>1791</v>
      </c>
      <c r="B1791">
        <v>31.57</v>
      </c>
      <c r="C1791">
        <v>6.15</v>
      </c>
      <c r="D1791" t="s">
        <v>2344</v>
      </c>
      <c r="E1791" t="s">
        <v>2344</v>
      </c>
      <c r="F1791" t="s">
        <v>2344</v>
      </c>
      <c r="G1791">
        <v>1</v>
      </c>
      <c r="H1791" t="s">
        <v>2344</v>
      </c>
      <c r="I1791" t="str">
        <f t="shared" si="55"/>
        <v>Obesity</v>
      </c>
      <c r="J1791" t="str">
        <f t="shared" si="56"/>
        <v>Prediabetes</v>
      </c>
    </row>
    <row r="1792" spans="1:10" x14ac:dyDescent="0.35">
      <c r="A1792" t="s">
        <v>1792</v>
      </c>
      <c r="B1792">
        <v>33.18</v>
      </c>
      <c r="C1792">
        <v>5.22</v>
      </c>
      <c r="D1792" t="s">
        <v>2344</v>
      </c>
      <c r="E1792" t="s">
        <v>2345</v>
      </c>
      <c r="F1792" t="s">
        <v>2344</v>
      </c>
      <c r="G1792">
        <v>1</v>
      </c>
      <c r="H1792" t="s">
        <v>2344</v>
      </c>
      <c r="I1792" t="str">
        <f t="shared" si="55"/>
        <v>Obesity</v>
      </c>
      <c r="J1792" t="str">
        <f t="shared" si="56"/>
        <v>Normal</v>
      </c>
    </row>
    <row r="1793" spans="1:10" x14ac:dyDescent="0.35">
      <c r="A1793" t="s">
        <v>1793</v>
      </c>
      <c r="B1793">
        <v>37</v>
      </c>
      <c r="C1793">
        <v>11.66</v>
      </c>
      <c r="D1793" t="s">
        <v>2344</v>
      </c>
      <c r="E1793" t="s">
        <v>2344</v>
      </c>
      <c r="F1793" t="s">
        <v>2344</v>
      </c>
      <c r="G1793">
        <v>0</v>
      </c>
      <c r="H1793" t="s">
        <v>2344</v>
      </c>
      <c r="I1793" t="str">
        <f t="shared" si="55"/>
        <v>Obesity</v>
      </c>
      <c r="J1793" t="str">
        <f t="shared" si="56"/>
        <v>Diabetes</v>
      </c>
    </row>
    <row r="1794" spans="1:10" x14ac:dyDescent="0.35">
      <c r="A1794" t="s">
        <v>1794</v>
      </c>
      <c r="B1794">
        <v>18.905000000000001</v>
      </c>
      <c r="C1794">
        <v>4.91</v>
      </c>
      <c r="D1794" t="s">
        <v>2346</v>
      </c>
      <c r="E1794" t="s">
        <v>2344</v>
      </c>
      <c r="F1794" t="s">
        <v>2344</v>
      </c>
      <c r="G1794">
        <v>1</v>
      </c>
      <c r="H1794" t="s">
        <v>2344</v>
      </c>
      <c r="I1794" t="str">
        <f t="shared" si="55"/>
        <v>Normal Weight</v>
      </c>
      <c r="J1794" t="str">
        <f t="shared" si="56"/>
        <v>Normal</v>
      </c>
    </row>
    <row r="1795" spans="1:10" x14ac:dyDescent="0.35">
      <c r="A1795" t="s">
        <v>1795</v>
      </c>
      <c r="B1795">
        <v>20.03</v>
      </c>
      <c r="C1795">
        <v>9.25</v>
      </c>
      <c r="D1795" t="s">
        <v>2346</v>
      </c>
      <c r="E1795" t="s">
        <v>2344</v>
      </c>
      <c r="F1795" t="s">
        <v>2344</v>
      </c>
      <c r="G1795">
        <v>0</v>
      </c>
      <c r="H1795" t="s">
        <v>2344</v>
      </c>
      <c r="I1795" t="str">
        <f t="shared" ref="I1795:I1858" si="57">IF(B1795&lt;18.5,"Under Weight",IF(B1795&lt;25,"Normal Weight",IF(B1795&lt;30,"Over weight","Obesity")))</f>
        <v>Normal Weight</v>
      </c>
      <c r="J1795" t="str">
        <f t="shared" si="56"/>
        <v>Diabetes</v>
      </c>
    </row>
    <row r="1796" spans="1:10" x14ac:dyDescent="0.35">
      <c r="A1796" t="s">
        <v>1796</v>
      </c>
      <c r="B1796">
        <v>16.7</v>
      </c>
      <c r="C1796">
        <v>11.48</v>
      </c>
      <c r="D1796" t="s">
        <v>2344</v>
      </c>
      <c r="E1796" t="s">
        <v>2344</v>
      </c>
      <c r="F1796" t="s">
        <v>2344</v>
      </c>
      <c r="G1796">
        <v>0</v>
      </c>
      <c r="H1796" t="s">
        <v>2344</v>
      </c>
      <c r="I1796" t="str">
        <f t="shared" si="57"/>
        <v>Under Weight</v>
      </c>
      <c r="J1796" t="str">
        <f t="shared" si="56"/>
        <v>Diabetes</v>
      </c>
    </row>
    <row r="1797" spans="1:10" x14ac:dyDescent="0.35">
      <c r="A1797" t="s">
        <v>1797</v>
      </c>
      <c r="B1797">
        <v>39.82</v>
      </c>
      <c r="C1797">
        <v>6.06</v>
      </c>
      <c r="D1797" t="s">
        <v>2344</v>
      </c>
      <c r="E1797" t="s">
        <v>2344</v>
      </c>
      <c r="F1797" t="s">
        <v>2344</v>
      </c>
      <c r="G1797">
        <v>0</v>
      </c>
      <c r="H1797" t="s">
        <v>2344</v>
      </c>
      <c r="I1797" t="str">
        <f t="shared" si="57"/>
        <v>Obesity</v>
      </c>
      <c r="J1797" t="str">
        <f t="shared" si="56"/>
        <v>Prediabetes</v>
      </c>
    </row>
    <row r="1798" spans="1:10" x14ac:dyDescent="0.35">
      <c r="A1798" t="s">
        <v>1798</v>
      </c>
      <c r="B1798">
        <v>22.04</v>
      </c>
      <c r="C1798">
        <v>5.86</v>
      </c>
      <c r="D1798" t="s">
        <v>2344</v>
      </c>
      <c r="E1798" t="s">
        <v>2344</v>
      </c>
      <c r="F1798" t="s">
        <v>2344</v>
      </c>
      <c r="G1798">
        <v>1</v>
      </c>
      <c r="H1798" t="s">
        <v>2344</v>
      </c>
      <c r="I1798" t="str">
        <f t="shared" si="57"/>
        <v>Normal Weight</v>
      </c>
      <c r="J1798" t="str">
        <f t="shared" si="56"/>
        <v>Prediabetes</v>
      </c>
    </row>
    <row r="1799" spans="1:10" x14ac:dyDescent="0.35">
      <c r="A1799" t="s">
        <v>1799</v>
      </c>
      <c r="B1799">
        <v>28.27</v>
      </c>
      <c r="C1799">
        <v>5.33</v>
      </c>
      <c r="D1799" t="s">
        <v>2344</v>
      </c>
      <c r="E1799" t="s">
        <v>2344</v>
      </c>
      <c r="F1799" t="s">
        <v>2344</v>
      </c>
      <c r="G1799">
        <v>0</v>
      </c>
      <c r="H1799" t="s">
        <v>2344</v>
      </c>
      <c r="I1799" t="str">
        <f t="shared" si="57"/>
        <v>Over weight</v>
      </c>
      <c r="J1799" t="str">
        <f t="shared" si="56"/>
        <v>Normal</v>
      </c>
    </row>
    <row r="1800" spans="1:10" x14ac:dyDescent="0.35">
      <c r="A1800" t="s">
        <v>1800</v>
      </c>
      <c r="B1800">
        <v>18.5</v>
      </c>
      <c r="C1800">
        <v>5.33</v>
      </c>
      <c r="D1800" t="s">
        <v>2344</v>
      </c>
      <c r="E1800" t="s">
        <v>2344</v>
      </c>
      <c r="F1800" t="s">
        <v>2344</v>
      </c>
      <c r="G1800">
        <v>0</v>
      </c>
      <c r="H1800" t="s">
        <v>2344</v>
      </c>
      <c r="I1800" t="str">
        <f t="shared" si="57"/>
        <v>Normal Weight</v>
      </c>
      <c r="J1800" t="str">
        <f t="shared" si="56"/>
        <v>Normal</v>
      </c>
    </row>
    <row r="1801" spans="1:10" x14ac:dyDescent="0.35">
      <c r="A1801" t="s">
        <v>1801</v>
      </c>
      <c r="B1801">
        <v>38.6</v>
      </c>
      <c r="C1801">
        <v>6.02</v>
      </c>
      <c r="D1801" t="s">
        <v>2344</v>
      </c>
      <c r="E1801" t="s">
        <v>2344</v>
      </c>
      <c r="F1801" t="s">
        <v>2344</v>
      </c>
      <c r="G1801">
        <v>1</v>
      </c>
      <c r="H1801" t="s">
        <v>2344</v>
      </c>
      <c r="I1801" t="str">
        <f t="shared" si="57"/>
        <v>Obesity</v>
      </c>
      <c r="J1801" t="str">
        <f t="shared" si="56"/>
        <v>Prediabetes</v>
      </c>
    </row>
    <row r="1802" spans="1:10" x14ac:dyDescent="0.35">
      <c r="A1802" t="s">
        <v>1802</v>
      </c>
      <c r="B1802">
        <v>43.12</v>
      </c>
      <c r="C1802">
        <v>6.25</v>
      </c>
      <c r="D1802" t="s">
        <v>2344</v>
      </c>
      <c r="E1802" t="s">
        <v>2344</v>
      </c>
      <c r="F1802" t="s">
        <v>2344</v>
      </c>
      <c r="G1802">
        <v>1</v>
      </c>
      <c r="H1802" t="s">
        <v>2344</v>
      </c>
      <c r="I1802" t="str">
        <f t="shared" si="57"/>
        <v>Obesity</v>
      </c>
      <c r="J1802" t="str">
        <f t="shared" si="56"/>
        <v>Prediabetes</v>
      </c>
    </row>
    <row r="1803" spans="1:10" x14ac:dyDescent="0.35">
      <c r="A1803" t="s">
        <v>1803</v>
      </c>
      <c r="B1803">
        <v>30.5</v>
      </c>
      <c r="C1803">
        <v>4.8099999999999996</v>
      </c>
      <c r="D1803" t="s">
        <v>2344</v>
      </c>
      <c r="E1803" t="s">
        <v>2344</v>
      </c>
      <c r="F1803" t="s">
        <v>2344</v>
      </c>
      <c r="G1803">
        <v>1</v>
      </c>
      <c r="H1803" t="s">
        <v>2344</v>
      </c>
      <c r="I1803" t="str">
        <f t="shared" si="57"/>
        <v>Obesity</v>
      </c>
      <c r="J1803" t="str">
        <f t="shared" si="56"/>
        <v>Normal</v>
      </c>
    </row>
    <row r="1804" spans="1:10" x14ac:dyDescent="0.35">
      <c r="A1804" t="s">
        <v>1804</v>
      </c>
      <c r="B1804">
        <v>27.61</v>
      </c>
      <c r="C1804">
        <v>4.5999999999999996</v>
      </c>
      <c r="D1804" t="s">
        <v>2344</v>
      </c>
      <c r="E1804" t="s">
        <v>2344</v>
      </c>
      <c r="F1804" t="s">
        <v>2344</v>
      </c>
      <c r="G1804">
        <v>1</v>
      </c>
      <c r="H1804" t="s">
        <v>2344</v>
      </c>
      <c r="I1804" t="str">
        <f t="shared" si="57"/>
        <v>Over weight</v>
      </c>
      <c r="J1804" t="str">
        <f t="shared" ref="J1804:J1867" si="58">IF(C1804&lt;5.7,"Normal",IF(C1804&lt;6.5,"Prediabetes","Diabetes"))</f>
        <v>Normal</v>
      </c>
    </row>
    <row r="1805" spans="1:10" x14ac:dyDescent="0.35">
      <c r="A1805" t="s">
        <v>1805</v>
      </c>
      <c r="B1805">
        <v>27.1</v>
      </c>
      <c r="C1805">
        <v>5.08</v>
      </c>
      <c r="D1805" t="s">
        <v>2344</v>
      </c>
      <c r="E1805" t="s">
        <v>2344</v>
      </c>
      <c r="F1805" t="s">
        <v>2344</v>
      </c>
      <c r="G1805">
        <v>1</v>
      </c>
      <c r="H1805" t="s">
        <v>2344</v>
      </c>
      <c r="I1805" t="str">
        <f t="shared" si="57"/>
        <v>Over weight</v>
      </c>
      <c r="J1805" t="str">
        <f t="shared" si="58"/>
        <v>Normal</v>
      </c>
    </row>
    <row r="1806" spans="1:10" x14ac:dyDescent="0.35">
      <c r="A1806" t="s">
        <v>1806</v>
      </c>
      <c r="B1806">
        <v>35.93</v>
      </c>
      <c r="C1806">
        <v>5.43</v>
      </c>
      <c r="D1806" t="s">
        <v>2344</v>
      </c>
      <c r="E1806" t="s">
        <v>2345</v>
      </c>
      <c r="F1806" t="s">
        <v>2344</v>
      </c>
      <c r="G1806">
        <v>1</v>
      </c>
      <c r="H1806" t="s">
        <v>2344</v>
      </c>
      <c r="I1806" t="str">
        <f t="shared" si="57"/>
        <v>Obesity</v>
      </c>
      <c r="J1806" t="str">
        <f t="shared" si="58"/>
        <v>Normal</v>
      </c>
    </row>
    <row r="1807" spans="1:10" x14ac:dyDescent="0.35">
      <c r="A1807" t="s">
        <v>1807</v>
      </c>
      <c r="B1807">
        <v>32.68</v>
      </c>
      <c r="C1807">
        <v>5.44</v>
      </c>
      <c r="D1807" t="s">
        <v>2344</v>
      </c>
      <c r="E1807" t="s">
        <v>2344</v>
      </c>
      <c r="F1807" t="s">
        <v>2344</v>
      </c>
      <c r="G1807">
        <v>0</v>
      </c>
      <c r="H1807" t="s">
        <v>2344</v>
      </c>
      <c r="I1807" t="str">
        <f t="shared" si="57"/>
        <v>Obesity</v>
      </c>
      <c r="J1807" t="str">
        <f t="shared" si="58"/>
        <v>Normal</v>
      </c>
    </row>
    <row r="1808" spans="1:10" x14ac:dyDescent="0.35">
      <c r="A1808" t="s">
        <v>1808</v>
      </c>
      <c r="B1808">
        <v>20.74</v>
      </c>
      <c r="C1808">
        <v>11.69</v>
      </c>
      <c r="D1808" t="s">
        <v>2346</v>
      </c>
      <c r="E1808" t="s">
        <v>2344</v>
      </c>
      <c r="F1808" t="s">
        <v>2344</v>
      </c>
      <c r="G1808">
        <v>1</v>
      </c>
      <c r="H1808" t="s">
        <v>2344</v>
      </c>
      <c r="I1808" t="str">
        <f t="shared" si="57"/>
        <v>Normal Weight</v>
      </c>
      <c r="J1808" t="str">
        <f t="shared" si="58"/>
        <v>Diabetes</v>
      </c>
    </row>
    <row r="1809" spans="1:10" x14ac:dyDescent="0.35">
      <c r="A1809" t="s">
        <v>1809</v>
      </c>
      <c r="B1809">
        <v>15.57</v>
      </c>
      <c r="C1809">
        <v>6.07</v>
      </c>
      <c r="D1809" t="s">
        <v>2344</v>
      </c>
      <c r="E1809" t="s">
        <v>2344</v>
      </c>
      <c r="F1809" t="s">
        <v>2344</v>
      </c>
      <c r="G1809">
        <v>0</v>
      </c>
      <c r="H1809" t="s">
        <v>2344</v>
      </c>
      <c r="I1809" t="str">
        <f t="shared" si="57"/>
        <v>Under Weight</v>
      </c>
      <c r="J1809" t="str">
        <f t="shared" si="58"/>
        <v>Prediabetes</v>
      </c>
    </row>
    <row r="1810" spans="1:10" x14ac:dyDescent="0.35">
      <c r="A1810" t="s">
        <v>1810</v>
      </c>
      <c r="B1810">
        <v>23.844999999999999</v>
      </c>
      <c r="C1810">
        <v>4.3600000000000003</v>
      </c>
      <c r="D1810" t="s">
        <v>2344</v>
      </c>
      <c r="E1810" t="s">
        <v>2344</v>
      </c>
      <c r="F1810" t="s">
        <v>2344</v>
      </c>
      <c r="G1810">
        <v>0</v>
      </c>
      <c r="H1810" t="s">
        <v>2344</v>
      </c>
      <c r="I1810" t="str">
        <f t="shared" si="57"/>
        <v>Normal Weight</v>
      </c>
      <c r="J1810" t="str">
        <f t="shared" si="58"/>
        <v>Normal</v>
      </c>
    </row>
    <row r="1811" spans="1:10" x14ac:dyDescent="0.35">
      <c r="A1811" t="s">
        <v>1811</v>
      </c>
      <c r="B1811">
        <v>22.895</v>
      </c>
      <c r="C1811">
        <v>5.24</v>
      </c>
      <c r="D1811" t="s">
        <v>2344</v>
      </c>
      <c r="E1811" t="s">
        <v>2344</v>
      </c>
      <c r="F1811" t="s">
        <v>2344</v>
      </c>
      <c r="G1811">
        <v>1</v>
      </c>
      <c r="H1811" t="s">
        <v>2344</v>
      </c>
      <c r="I1811" t="str">
        <f t="shared" si="57"/>
        <v>Normal Weight</v>
      </c>
      <c r="J1811" t="str">
        <f t="shared" si="58"/>
        <v>Normal</v>
      </c>
    </row>
    <row r="1812" spans="1:10" x14ac:dyDescent="0.35">
      <c r="A1812" t="s">
        <v>1812</v>
      </c>
      <c r="B1812">
        <v>21.945</v>
      </c>
      <c r="C1812">
        <v>5.37</v>
      </c>
      <c r="D1812" t="s">
        <v>2344</v>
      </c>
      <c r="E1812" t="s">
        <v>2344</v>
      </c>
      <c r="F1812" t="s">
        <v>2344</v>
      </c>
      <c r="G1812">
        <v>1</v>
      </c>
      <c r="H1812" t="s">
        <v>2344</v>
      </c>
      <c r="I1812" t="str">
        <f t="shared" si="57"/>
        <v>Normal Weight</v>
      </c>
      <c r="J1812" t="str">
        <f t="shared" si="58"/>
        <v>Normal</v>
      </c>
    </row>
    <row r="1813" spans="1:10" x14ac:dyDescent="0.35">
      <c r="A1813" t="s">
        <v>1813</v>
      </c>
      <c r="B1813">
        <v>19.47</v>
      </c>
      <c r="C1813">
        <v>6.6</v>
      </c>
      <c r="D1813" t="s">
        <v>2346</v>
      </c>
      <c r="E1813" t="s">
        <v>2344</v>
      </c>
      <c r="F1813" t="s">
        <v>2344</v>
      </c>
      <c r="G1813">
        <v>0</v>
      </c>
      <c r="H1813" t="s">
        <v>2344</v>
      </c>
      <c r="I1813" t="str">
        <f t="shared" si="57"/>
        <v>Normal Weight</v>
      </c>
      <c r="J1813" t="str">
        <f t="shared" si="58"/>
        <v>Diabetes</v>
      </c>
    </row>
    <row r="1814" spans="1:10" x14ac:dyDescent="0.35">
      <c r="A1814" t="s">
        <v>1814</v>
      </c>
      <c r="B1814">
        <v>15.61</v>
      </c>
      <c r="C1814">
        <v>5.77</v>
      </c>
      <c r="D1814" t="s">
        <v>2344</v>
      </c>
      <c r="E1814" t="s">
        <v>2344</v>
      </c>
      <c r="F1814" t="s">
        <v>2344</v>
      </c>
      <c r="G1814">
        <v>0</v>
      </c>
      <c r="H1814" t="s">
        <v>2344</v>
      </c>
      <c r="I1814" t="str">
        <f t="shared" si="57"/>
        <v>Under Weight</v>
      </c>
      <c r="J1814" t="str">
        <f t="shared" si="58"/>
        <v>Prediabetes</v>
      </c>
    </row>
    <row r="1815" spans="1:10" x14ac:dyDescent="0.35">
      <c r="A1815" t="s">
        <v>1815</v>
      </c>
      <c r="B1815">
        <v>28.6</v>
      </c>
      <c r="C1815">
        <v>6.08</v>
      </c>
      <c r="D1815" t="s">
        <v>2344</v>
      </c>
      <c r="E1815" t="s">
        <v>2344</v>
      </c>
      <c r="F1815" t="s">
        <v>2346</v>
      </c>
      <c r="G1815">
        <v>1</v>
      </c>
      <c r="H1815" t="s">
        <v>2344</v>
      </c>
      <c r="I1815" t="str">
        <f t="shared" si="57"/>
        <v>Over weight</v>
      </c>
      <c r="J1815" t="str">
        <f t="shared" si="58"/>
        <v>Prediabetes</v>
      </c>
    </row>
    <row r="1816" spans="1:10" x14ac:dyDescent="0.35">
      <c r="A1816" t="s">
        <v>1816</v>
      </c>
      <c r="B1816">
        <v>46.53</v>
      </c>
      <c r="C1816">
        <v>4.16</v>
      </c>
      <c r="D1816" t="s">
        <v>2344</v>
      </c>
      <c r="E1816" t="s">
        <v>2344</v>
      </c>
      <c r="F1816" t="s">
        <v>2344</v>
      </c>
      <c r="G1816">
        <v>0</v>
      </c>
      <c r="H1816" t="s">
        <v>2344</v>
      </c>
      <c r="I1816" t="str">
        <f t="shared" si="57"/>
        <v>Obesity</v>
      </c>
      <c r="J1816" t="str">
        <f t="shared" si="58"/>
        <v>Normal</v>
      </c>
    </row>
    <row r="1817" spans="1:10" x14ac:dyDescent="0.35">
      <c r="A1817" t="s">
        <v>1817</v>
      </c>
      <c r="B1817">
        <v>34.99</v>
      </c>
      <c r="C1817">
        <v>5.0999999999999996</v>
      </c>
      <c r="D1817" t="s">
        <v>2344</v>
      </c>
      <c r="E1817" t="s">
        <v>2344</v>
      </c>
      <c r="F1817" t="s">
        <v>2346</v>
      </c>
      <c r="G1817">
        <v>1</v>
      </c>
      <c r="H1817" t="s">
        <v>2344</v>
      </c>
      <c r="I1817" t="str">
        <f t="shared" si="57"/>
        <v>Obesity</v>
      </c>
      <c r="J1817" t="str">
        <f t="shared" si="58"/>
        <v>Normal</v>
      </c>
    </row>
    <row r="1818" spans="1:10" x14ac:dyDescent="0.35">
      <c r="A1818" t="s">
        <v>1818</v>
      </c>
      <c r="B1818">
        <v>17.05</v>
      </c>
      <c r="C1818">
        <v>5.3</v>
      </c>
      <c r="D1818" t="s">
        <v>2344</v>
      </c>
      <c r="E1818" t="s">
        <v>2344</v>
      </c>
      <c r="F1818" t="s">
        <v>2346</v>
      </c>
      <c r="G1818">
        <v>1</v>
      </c>
      <c r="H1818" t="s">
        <v>2344</v>
      </c>
      <c r="I1818" t="str">
        <f t="shared" si="57"/>
        <v>Under Weight</v>
      </c>
      <c r="J1818" t="str">
        <f t="shared" si="58"/>
        <v>Normal</v>
      </c>
    </row>
    <row r="1819" spans="1:10" x14ac:dyDescent="0.35">
      <c r="A1819" t="s">
        <v>1819</v>
      </c>
      <c r="B1819">
        <v>37.18</v>
      </c>
      <c r="C1819">
        <v>4.9000000000000004</v>
      </c>
      <c r="D1819" t="s">
        <v>2344</v>
      </c>
      <c r="E1819" t="s">
        <v>2344</v>
      </c>
      <c r="F1819" t="s">
        <v>2344</v>
      </c>
      <c r="G1819">
        <v>0</v>
      </c>
      <c r="H1819" t="s">
        <v>2344</v>
      </c>
      <c r="I1819" t="str">
        <f t="shared" si="57"/>
        <v>Obesity</v>
      </c>
      <c r="J1819" t="str">
        <f t="shared" si="58"/>
        <v>Normal</v>
      </c>
    </row>
    <row r="1820" spans="1:10" x14ac:dyDescent="0.35">
      <c r="A1820" t="s">
        <v>1820</v>
      </c>
      <c r="B1820">
        <v>35.200000000000003</v>
      </c>
      <c r="C1820">
        <v>5.55</v>
      </c>
      <c r="D1820" t="s">
        <v>2344</v>
      </c>
      <c r="E1820" t="s">
        <v>2344</v>
      </c>
      <c r="F1820" t="s">
        <v>2344</v>
      </c>
      <c r="G1820">
        <v>0</v>
      </c>
      <c r="H1820" t="s">
        <v>2344</v>
      </c>
      <c r="I1820" t="str">
        <f t="shared" si="57"/>
        <v>Obesity</v>
      </c>
      <c r="J1820" t="str">
        <f t="shared" si="58"/>
        <v>Normal</v>
      </c>
    </row>
    <row r="1821" spans="1:10" x14ac:dyDescent="0.35">
      <c r="A1821" t="s">
        <v>1821</v>
      </c>
      <c r="B1821">
        <v>37.335000000000001</v>
      </c>
      <c r="C1821">
        <v>4.95</v>
      </c>
      <c r="D1821" t="s">
        <v>2344</v>
      </c>
      <c r="E1821" t="s">
        <v>2344</v>
      </c>
      <c r="F1821" t="s">
        <v>2344</v>
      </c>
      <c r="G1821">
        <v>0</v>
      </c>
      <c r="H1821" t="s">
        <v>2344</v>
      </c>
      <c r="I1821" t="str">
        <f t="shared" si="57"/>
        <v>Obesity</v>
      </c>
      <c r="J1821" t="str">
        <f t="shared" si="58"/>
        <v>Normal</v>
      </c>
    </row>
    <row r="1822" spans="1:10" x14ac:dyDescent="0.35">
      <c r="A1822" t="s">
        <v>1822</v>
      </c>
      <c r="B1822">
        <v>27.265000000000001</v>
      </c>
      <c r="C1822">
        <v>6.46</v>
      </c>
      <c r="D1822" t="s">
        <v>2346</v>
      </c>
      <c r="E1822" t="s">
        <v>2344</v>
      </c>
      <c r="F1822" t="s">
        <v>2344</v>
      </c>
      <c r="G1822">
        <v>0</v>
      </c>
      <c r="H1822" t="s">
        <v>2344</v>
      </c>
      <c r="I1822" t="str">
        <f t="shared" si="57"/>
        <v>Over weight</v>
      </c>
      <c r="J1822" t="str">
        <f t="shared" si="58"/>
        <v>Prediabetes</v>
      </c>
    </row>
    <row r="1823" spans="1:10" x14ac:dyDescent="0.35">
      <c r="A1823" t="s">
        <v>1823</v>
      </c>
      <c r="B1823">
        <v>30.8</v>
      </c>
      <c r="C1823">
        <v>4.9000000000000004</v>
      </c>
      <c r="D1823" t="s">
        <v>2346</v>
      </c>
      <c r="E1823" t="s">
        <v>2344</v>
      </c>
      <c r="F1823" t="s">
        <v>2344</v>
      </c>
      <c r="G1823">
        <v>0</v>
      </c>
      <c r="H1823" t="s">
        <v>2344</v>
      </c>
      <c r="I1823" t="str">
        <f t="shared" si="57"/>
        <v>Obesity</v>
      </c>
      <c r="J1823" t="str">
        <f t="shared" si="58"/>
        <v>Normal</v>
      </c>
    </row>
    <row r="1824" spans="1:10" x14ac:dyDescent="0.35">
      <c r="A1824" t="s">
        <v>1824</v>
      </c>
      <c r="B1824">
        <v>30.21</v>
      </c>
      <c r="C1824">
        <v>5.21</v>
      </c>
      <c r="D1824" t="s">
        <v>2344</v>
      </c>
      <c r="E1824" t="s">
        <v>2344</v>
      </c>
      <c r="F1824" t="s">
        <v>2344</v>
      </c>
      <c r="G1824">
        <v>1</v>
      </c>
      <c r="H1824" t="s">
        <v>2344</v>
      </c>
      <c r="I1824" t="str">
        <f t="shared" si="57"/>
        <v>Obesity</v>
      </c>
      <c r="J1824" t="str">
        <f t="shared" si="58"/>
        <v>Normal</v>
      </c>
    </row>
    <row r="1825" spans="1:10" x14ac:dyDescent="0.35">
      <c r="A1825" t="s">
        <v>1825</v>
      </c>
      <c r="B1825">
        <v>35.340000000000003</v>
      </c>
      <c r="C1825">
        <v>4.13</v>
      </c>
      <c r="D1825" t="s">
        <v>2344</v>
      </c>
      <c r="E1825" t="s">
        <v>2345</v>
      </c>
      <c r="F1825" t="s">
        <v>2344</v>
      </c>
      <c r="G1825">
        <v>1</v>
      </c>
      <c r="H1825" t="s">
        <v>2344</v>
      </c>
      <c r="I1825" t="str">
        <f t="shared" si="57"/>
        <v>Obesity</v>
      </c>
      <c r="J1825" t="str">
        <f t="shared" si="58"/>
        <v>Normal</v>
      </c>
    </row>
    <row r="1826" spans="1:10" x14ac:dyDescent="0.35">
      <c r="A1826" t="s">
        <v>1826</v>
      </c>
      <c r="B1826">
        <v>26.695</v>
      </c>
      <c r="C1826">
        <v>5.28</v>
      </c>
      <c r="D1826" t="s">
        <v>2344</v>
      </c>
      <c r="E1826" t="s">
        <v>2344</v>
      </c>
      <c r="F1826" t="s">
        <v>2344</v>
      </c>
      <c r="G1826">
        <v>0</v>
      </c>
      <c r="H1826" t="s">
        <v>2344</v>
      </c>
      <c r="I1826" t="str">
        <f t="shared" si="57"/>
        <v>Over weight</v>
      </c>
      <c r="J1826" t="str">
        <f t="shared" si="58"/>
        <v>Normal</v>
      </c>
    </row>
    <row r="1827" spans="1:10" x14ac:dyDescent="0.35">
      <c r="A1827" t="s">
        <v>1827</v>
      </c>
      <c r="B1827">
        <v>29.355</v>
      </c>
      <c r="C1827">
        <v>4.68</v>
      </c>
      <c r="D1827" t="s">
        <v>2346</v>
      </c>
      <c r="E1827" t="s">
        <v>2344</v>
      </c>
      <c r="F1827" t="s">
        <v>2344</v>
      </c>
      <c r="G1827">
        <v>0</v>
      </c>
      <c r="H1827" t="s">
        <v>2344</v>
      </c>
      <c r="I1827" t="str">
        <f t="shared" si="57"/>
        <v>Over weight</v>
      </c>
      <c r="J1827" t="str">
        <f t="shared" si="58"/>
        <v>Normal</v>
      </c>
    </row>
    <row r="1828" spans="1:10" x14ac:dyDescent="0.35">
      <c r="A1828" t="s">
        <v>1828</v>
      </c>
      <c r="B1828">
        <v>29.59</v>
      </c>
      <c r="C1828">
        <v>4.0599999999999996</v>
      </c>
      <c r="D1828" t="s">
        <v>2344</v>
      </c>
      <c r="E1828" t="s">
        <v>2344</v>
      </c>
      <c r="F1828" t="s">
        <v>2344</v>
      </c>
      <c r="G1828">
        <v>0</v>
      </c>
      <c r="H1828" t="s">
        <v>2344</v>
      </c>
      <c r="I1828" t="str">
        <f t="shared" si="57"/>
        <v>Over weight</v>
      </c>
      <c r="J1828" t="str">
        <f t="shared" si="58"/>
        <v>Normal</v>
      </c>
    </row>
    <row r="1829" spans="1:10" x14ac:dyDescent="0.35">
      <c r="A1829" t="s">
        <v>1829</v>
      </c>
      <c r="B1829">
        <v>31.35</v>
      </c>
      <c r="C1829">
        <v>4.2</v>
      </c>
      <c r="D1829" t="s">
        <v>2344</v>
      </c>
      <c r="E1829" t="s">
        <v>2345</v>
      </c>
      <c r="F1829" t="s">
        <v>2344</v>
      </c>
      <c r="G1829">
        <v>1</v>
      </c>
      <c r="H1829" t="s">
        <v>2344</v>
      </c>
      <c r="I1829" t="str">
        <f t="shared" si="57"/>
        <v>Obesity</v>
      </c>
      <c r="J1829" t="str">
        <f t="shared" si="58"/>
        <v>Normal</v>
      </c>
    </row>
    <row r="1830" spans="1:10" x14ac:dyDescent="0.35">
      <c r="A1830" t="s">
        <v>1830</v>
      </c>
      <c r="B1830">
        <v>20.52</v>
      </c>
      <c r="C1830">
        <v>4.83</v>
      </c>
      <c r="D1830" t="s">
        <v>2344</v>
      </c>
      <c r="E1830" t="s">
        <v>2344</v>
      </c>
      <c r="F1830" t="s">
        <v>2344</v>
      </c>
      <c r="G1830">
        <v>0</v>
      </c>
      <c r="H1830" t="s">
        <v>2344</v>
      </c>
      <c r="I1830" t="str">
        <f t="shared" si="57"/>
        <v>Normal Weight</v>
      </c>
      <c r="J1830" t="str">
        <f t="shared" si="58"/>
        <v>Normal</v>
      </c>
    </row>
    <row r="1831" spans="1:10" x14ac:dyDescent="0.35">
      <c r="A1831" t="s">
        <v>1831</v>
      </c>
      <c r="B1831">
        <v>42.9</v>
      </c>
      <c r="C1831">
        <v>4.87</v>
      </c>
      <c r="D1831" t="s">
        <v>2346</v>
      </c>
      <c r="E1831" t="s">
        <v>2344</v>
      </c>
      <c r="F1831" t="s">
        <v>2344</v>
      </c>
      <c r="G1831">
        <v>1</v>
      </c>
      <c r="H1831" t="s">
        <v>2344</v>
      </c>
      <c r="I1831" t="str">
        <f t="shared" si="57"/>
        <v>Obesity</v>
      </c>
      <c r="J1831" t="str">
        <f t="shared" si="58"/>
        <v>Normal</v>
      </c>
    </row>
    <row r="1832" spans="1:10" x14ac:dyDescent="0.35">
      <c r="A1832" t="s">
        <v>1832</v>
      </c>
      <c r="B1832">
        <v>24.6</v>
      </c>
      <c r="C1832">
        <v>5.86</v>
      </c>
      <c r="D1832" t="s">
        <v>2344</v>
      </c>
      <c r="E1832" t="s">
        <v>2344</v>
      </c>
      <c r="F1832" t="s">
        <v>2346</v>
      </c>
      <c r="G1832">
        <v>1</v>
      </c>
      <c r="H1832" t="s">
        <v>2344</v>
      </c>
      <c r="I1832" t="str">
        <f t="shared" si="57"/>
        <v>Normal Weight</v>
      </c>
      <c r="J1832" t="str">
        <f t="shared" si="58"/>
        <v>Prediabetes</v>
      </c>
    </row>
    <row r="1833" spans="1:10" x14ac:dyDescent="0.35">
      <c r="A1833" t="s">
        <v>1833</v>
      </c>
      <c r="B1833">
        <v>28.405000000000001</v>
      </c>
      <c r="C1833">
        <v>4.12</v>
      </c>
      <c r="D1833" t="s">
        <v>2344</v>
      </c>
      <c r="E1833" t="s">
        <v>2344</v>
      </c>
      <c r="F1833" t="s">
        <v>2344</v>
      </c>
      <c r="G1833">
        <v>1</v>
      </c>
      <c r="H1833" t="s">
        <v>2344</v>
      </c>
      <c r="I1833" t="str">
        <f t="shared" si="57"/>
        <v>Over weight</v>
      </c>
      <c r="J1833" t="str">
        <f t="shared" si="58"/>
        <v>Normal</v>
      </c>
    </row>
    <row r="1834" spans="1:10" x14ac:dyDescent="0.35">
      <c r="A1834" t="s">
        <v>1834</v>
      </c>
      <c r="B1834">
        <v>34.674999999999997</v>
      </c>
      <c r="C1834">
        <v>5.71</v>
      </c>
      <c r="D1834" t="s">
        <v>2346</v>
      </c>
      <c r="E1834" t="s">
        <v>2344</v>
      </c>
      <c r="F1834" t="s">
        <v>2344</v>
      </c>
      <c r="G1834">
        <v>1</v>
      </c>
      <c r="H1834" t="s">
        <v>2344</v>
      </c>
      <c r="I1834" t="str">
        <f t="shared" si="57"/>
        <v>Obesity</v>
      </c>
      <c r="J1834" t="str">
        <f t="shared" si="58"/>
        <v>Prediabetes</v>
      </c>
    </row>
    <row r="1835" spans="1:10" x14ac:dyDescent="0.35">
      <c r="A1835" t="s">
        <v>1835</v>
      </c>
      <c r="B1835">
        <v>18.850000000000001</v>
      </c>
      <c r="C1835">
        <v>6.03</v>
      </c>
      <c r="D1835" t="s">
        <v>2344</v>
      </c>
      <c r="E1835" t="s">
        <v>2344</v>
      </c>
      <c r="F1835" t="s">
        <v>2344</v>
      </c>
      <c r="G1835">
        <v>1</v>
      </c>
      <c r="H1835" t="s">
        <v>2344</v>
      </c>
      <c r="I1835" t="str">
        <f t="shared" si="57"/>
        <v>Normal Weight</v>
      </c>
      <c r="J1835" t="str">
        <f t="shared" si="58"/>
        <v>Prediabetes</v>
      </c>
    </row>
    <row r="1836" spans="1:10" x14ac:dyDescent="0.35">
      <c r="A1836" t="s">
        <v>1836</v>
      </c>
      <c r="B1836">
        <v>34.130000000000003</v>
      </c>
      <c r="C1836">
        <v>5.65</v>
      </c>
      <c r="D1836" t="s">
        <v>2344</v>
      </c>
      <c r="E1836" t="s">
        <v>2344</v>
      </c>
      <c r="F1836" t="s">
        <v>2346</v>
      </c>
      <c r="G1836">
        <v>1</v>
      </c>
      <c r="H1836" t="s">
        <v>2344</v>
      </c>
      <c r="I1836" t="str">
        <f t="shared" si="57"/>
        <v>Obesity</v>
      </c>
      <c r="J1836" t="str">
        <f t="shared" si="58"/>
        <v>Normal</v>
      </c>
    </row>
    <row r="1837" spans="1:10" x14ac:dyDescent="0.35">
      <c r="A1837" t="s">
        <v>1837</v>
      </c>
      <c r="B1837">
        <v>17.34</v>
      </c>
      <c r="C1837">
        <v>5.05</v>
      </c>
      <c r="D1837" t="s">
        <v>2344</v>
      </c>
      <c r="E1837" t="s">
        <v>2344</v>
      </c>
      <c r="F1837" t="s">
        <v>2344</v>
      </c>
      <c r="G1837">
        <v>0</v>
      </c>
      <c r="H1837" t="s">
        <v>2344</v>
      </c>
      <c r="I1837" t="str">
        <f t="shared" si="57"/>
        <v>Under Weight</v>
      </c>
      <c r="J1837" t="str">
        <f t="shared" si="58"/>
        <v>Normal</v>
      </c>
    </row>
    <row r="1838" spans="1:10" x14ac:dyDescent="0.35">
      <c r="A1838" t="s">
        <v>1838</v>
      </c>
      <c r="B1838">
        <v>17.440000000000001</v>
      </c>
      <c r="C1838">
        <v>6.26</v>
      </c>
      <c r="D1838" t="s">
        <v>2344</v>
      </c>
      <c r="E1838" t="s">
        <v>2344</v>
      </c>
      <c r="F1838" t="s">
        <v>2344</v>
      </c>
      <c r="G1838">
        <v>0</v>
      </c>
      <c r="H1838" t="s">
        <v>2344</v>
      </c>
      <c r="I1838" t="str">
        <f t="shared" si="57"/>
        <v>Under Weight</v>
      </c>
      <c r="J1838" t="str">
        <f t="shared" si="58"/>
        <v>Prediabetes</v>
      </c>
    </row>
    <row r="1839" spans="1:10" x14ac:dyDescent="0.35">
      <c r="A1839" t="s">
        <v>1839</v>
      </c>
      <c r="B1839">
        <v>33.659999999999997</v>
      </c>
      <c r="C1839">
        <v>4.08</v>
      </c>
      <c r="D1839" t="s">
        <v>2346</v>
      </c>
      <c r="E1839" t="s">
        <v>2344</v>
      </c>
      <c r="F1839" t="s">
        <v>2346</v>
      </c>
      <c r="G1839">
        <v>1</v>
      </c>
      <c r="H1839" t="s">
        <v>2344</v>
      </c>
      <c r="I1839" t="str">
        <f t="shared" si="57"/>
        <v>Obesity</v>
      </c>
      <c r="J1839" t="str">
        <f t="shared" si="58"/>
        <v>Normal</v>
      </c>
    </row>
    <row r="1840" spans="1:10" x14ac:dyDescent="0.35">
      <c r="A1840" t="s">
        <v>1840</v>
      </c>
      <c r="B1840">
        <v>21.375</v>
      </c>
      <c r="C1840">
        <v>6.19</v>
      </c>
      <c r="D1840" t="s">
        <v>2346</v>
      </c>
      <c r="E1840" t="s">
        <v>2344</v>
      </c>
      <c r="F1840" t="s">
        <v>2344</v>
      </c>
      <c r="G1840">
        <v>1</v>
      </c>
      <c r="H1840" t="s">
        <v>2344</v>
      </c>
      <c r="I1840" t="str">
        <f t="shared" si="57"/>
        <v>Normal Weight</v>
      </c>
      <c r="J1840" t="str">
        <f t="shared" si="58"/>
        <v>Prediabetes</v>
      </c>
    </row>
    <row r="1841" spans="1:10" x14ac:dyDescent="0.35">
      <c r="A1841" t="s">
        <v>1841</v>
      </c>
      <c r="B1841">
        <v>27.14</v>
      </c>
      <c r="C1841">
        <v>6.01</v>
      </c>
      <c r="D1841" t="s">
        <v>2344</v>
      </c>
      <c r="E1841" t="s">
        <v>2344</v>
      </c>
      <c r="F1841" t="s">
        <v>2344</v>
      </c>
      <c r="G1841">
        <v>1</v>
      </c>
      <c r="H1841" t="s">
        <v>2344</v>
      </c>
      <c r="I1841" t="str">
        <f t="shared" si="57"/>
        <v>Over weight</v>
      </c>
      <c r="J1841" t="str">
        <f t="shared" si="58"/>
        <v>Prediabetes</v>
      </c>
    </row>
    <row r="1842" spans="1:10" x14ac:dyDescent="0.35">
      <c r="A1842" t="s">
        <v>1842</v>
      </c>
      <c r="B1842">
        <v>35.78</v>
      </c>
      <c r="C1842">
        <v>6.07</v>
      </c>
      <c r="D1842" t="s">
        <v>2344</v>
      </c>
      <c r="E1842" t="s">
        <v>2345</v>
      </c>
      <c r="F1842" t="s">
        <v>2344</v>
      </c>
      <c r="G1842">
        <v>1</v>
      </c>
      <c r="H1842" t="s">
        <v>2344</v>
      </c>
      <c r="I1842" t="str">
        <f t="shared" si="57"/>
        <v>Obesity</v>
      </c>
      <c r="J1842" t="str">
        <f t="shared" si="58"/>
        <v>Prediabetes</v>
      </c>
    </row>
    <row r="1843" spans="1:10" x14ac:dyDescent="0.35">
      <c r="A1843" t="s">
        <v>1843</v>
      </c>
      <c r="B1843">
        <v>34.96</v>
      </c>
      <c r="C1843">
        <v>5.63</v>
      </c>
      <c r="D1843" t="s">
        <v>2344</v>
      </c>
      <c r="E1843" t="s">
        <v>2344</v>
      </c>
      <c r="F1843" t="s">
        <v>2344</v>
      </c>
      <c r="G1843">
        <v>0</v>
      </c>
      <c r="H1843" t="s">
        <v>2344</v>
      </c>
      <c r="I1843" t="str">
        <f t="shared" si="57"/>
        <v>Obesity</v>
      </c>
      <c r="J1843" t="str">
        <f t="shared" si="58"/>
        <v>Normal</v>
      </c>
    </row>
    <row r="1844" spans="1:10" x14ac:dyDescent="0.35">
      <c r="A1844" t="s">
        <v>1844</v>
      </c>
      <c r="B1844">
        <v>38.39</v>
      </c>
      <c r="C1844">
        <v>6.05</v>
      </c>
      <c r="D1844" t="s">
        <v>2344</v>
      </c>
      <c r="E1844" t="s">
        <v>2344</v>
      </c>
      <c r="F1844" t="s">
        <v>2344</v>
      </c>
      <c r="G1844">
        <v>0</v>
      </c>
      <c r="H1844" t="s">
        <v>2344</v>
      </c>
      <c r="I1844" t="str">
        <f t="shared" si="57"/>
        <v>Obesity</v>
      </c>
      <c r="J1844" t="str">
        <f t="shared" si="58"/>
        <v>Prediabetes</v>
      </c>
    </row>
    <row r="1845" spans="1:10" x14ac:dyDescent="0.35">
      <c r="A1845" t="s">
        <v>1845</v>
      </c>
      <c r="B1845">
        <v>33.82</v>
      </c>
      <c r="C1845">
        <v>4.6500000000000004</v>
      </c>
      <c r="D1845" t="s">
        <v>2344</v>
      </c>
      <c r="E1845" t="s">
        <v>2344</v>
      </c>
      <c r="F1845" t="s">
        <v>2344</v>
      </c>
      <c r="G1845">
        <v>0</v>
      </c>
      <c r="H1845" t="s">
        <v>2344</v>
      </c>
      <c r="I1845" t="str">
        <f t="shared" si="57"/>
        <v>Obesity</v>
      </c>
      <c r="J1845" t="str">
        <f t="shared" si="58"/>
        <v>Normal</v>
      </c>
    </row>
    <row r="1846" spans="1:10" x14ac:dyDescent="0.35">
      <c r="A1846" t="s">
        <v>1846</v>
      </c>
      <c r="B1846">
        <v>27.835000000000001</v>
      </c>
      <c r="C1846">
        <v>5.37</v>
      </c>
      <c r="D1846" t="s">
        <v>2344</v>
      </c>
      <c r="E1846" t="s">
        <v>2344</v>
      </c>
      <c r="F1846" t="s">
        <v>2344</v>
      </c>
      <c r="G1846">
        <v>0</v>
      </c>
      <c r="H1846" t="s">
        <v>2344</v>
      </c>
      <c r="I1846" t="str">
        <f t="shared" si="57"/>
        <v>Over weight</v>
      </c>
      <c r="J1846" t="str">
        <f t="shared" si="58"/>
        <v>Normal</v>
      </c>
    </row>
    <row r="1847" spans="1:10" x14ac:dyDescent="0.35">
      <c r="A1847" t="s">
        <v>1847</v>
      </c>
      <c r="B1847">
        <v>33</v>
      </c>
      <c r="C1847">
        <v>5.39</v>
      </c>
      <c r="D1847" t="s">
        <v>2344</v>
      </c>
      <c r="E1847" t="s">
        <v>2344</v>
      </c>
      <c r="F1847" t="s">
        <v>2344</v>
      </c>
      <c r="G1847">
        <v>0</v>
      </c>
      <c r="H1847" t="s">
        <v>2344</v>
      </c>
      <c r="I1847" t="str">
        <f t="shared" si="57"/>
        <v>Obesity</v>
      </c>
      <c r="J1847" t="str">
        <f t="shared" si="58"/>
        <v>Normal</v>
      </c>
    </row>
    <row r="1848" spans="1:10" x14ac:dyDescent="0.35">
      <c r="A1848" t="s">
        <v>1848</v>
      </c>
      <c r="B1848">
        <v>26.885000000000002</v>
      </c>
      <c r="C1848">
        <v>5.86</v>
      </c>
      <c r="D1848" t="s">
        <v>2344</v>
      </c>
      <c r="E1848" t="s">
        <v>2344</v>
      </c>
      <c r="F1848" t="s">
        <v>2344</v>
      </c>
      <c r="G1848">
        <v>0</v>
      </c>
      <c r="H1848" t="s">
        <v>2344</v>
      </c>
      <c r="I1848" t="str">
        <f t="shared" si="57"/>
        <v>Over weight</v>
      </c>
      <c r="J1848" t="str">
        <f t="shared" si="58"/>
        <v>Prediabetes</v>
      </c>
    </row>
    <row r="1849" spans="1:10" x14ac:dyDescent="0.35">
      <c r="A1849" t="s">
        <v>1849</v>
      </c>
      <c r="B1849">
        <v>29.26</v>
      </c>
      <c r="C1849">
        <v>4.4400000000000004</v>
      </c>
      <c r="D1849" t="s">
        <v>2344</v>
      </c>
      <c r="E1849" t="s">
        <v>2344</v>
      </c>
      <c r="F1849" t="s">
        <v>2344</v>
      </c>
      <c r="G1849">
        <v>0</v>
      </c>
      <c r="H1849" t="s">
        <v>2344</v>
      </c>
      <c r="I1849" t="str">
        <f t="shared" si="57"/>
        <v>Over weight</v>
      </c>
      <c r="J1849" t="str">
        <f t="shared" si="58"/>
        <v>Normal</v>
      </c>
    </row>
    <row r="1850" spans="1:10" x14ac:dyDescent="0.35">
      <c r="A1850" t="s">
        <v>1850</v>
      </c>
      <c r="B1850">
        <v>26.98</v>
      </c>
      <c r="C1850">
        <v>4.41</v>
      </c>
      <c r="D1850" t="s">
        <v>2344</v>
      </c>
      <c r="E1850" t="s">
        <v>2344</v>
      </c>
      <c r="F1850" t="s">
        <v>2344</v>
      </c>
      <c r="G1850">
        <v>0</v>
      </c>
      <c r="H1850" t="s">
        <v>2344</v>
      </c>
      <c r="I1850" t="str">
        <f t="shared" si="57"/>
        <v>Over weight</v>
      </c>
      <c r="J1850" t="str">
        <f t="shared" si="58"/>
        <v>Normal</v>
      </c>
    </row>
    <row r="1851" spans="1:10" x14ac:dyDescent="0.35">
      <c r="A1851" t="s">
        <v>1851</v>
      </c>
      <c r="B1851">
        <v>32.11</v>
      </c>
      <c r="C1851">
        <v>5.19</v>
      </c>
      <c r="D1851" t="s">
        <v>2344</v>
      </c>
      <c r="E1851" t="s">
        <v>2344</v>
      </c>
      <c r="F1851" t="s">
        <v>2346</v>
      </c>
      <c r="G1851">
        <v>1</v>
      </c>
      <c r="H1851" t="s">
        <v>2344</v>
      </c>
      <c r="I1851" t="str">
        <f t="shared" si="57"/>
        <v>Obesity</v>
      </c>
      <c r="J1851" t="str">
        <f t="shared" si="58"/>
        <v>Normal</v>
      </c>
    </row>
    <row r="1852" spans="1:10" x14ac:dyDescent="0.35">
      <c r="A1852" t="s">
        <v>1852</v>
      </c>
      <c r="B1852">
        <v>31.73</v>
      </c>
      <c r="C1852">
        <v>5.16</v>
      </c>
      <c r="D1852" t="s">
        <v>2344</v>
      </c>
      <c r="E1852" t="s">
        <v>2344</v>
      </c>
      <c r="F1852" t="s">
        <v>2346</v>
      </c>
      <c r="G1852">
        <v>1</v>
      </c>
      <c r="H1852" t="s">
        <v>2344</v>
      </c>
      <c r="I1852" t="str">
        <f t="shared" si="57"/>
        <v>Obesity</v>
      </c>
      <c r="J1852" t="str">
        <f t="shared" si="58"/>
        <v>Normal</v>
      </c>
    </row>
    <row r="1853" spans="1:10" x14ac:dyDescent="0.35">
      <c r="A1853" t="s">
        <v>1853</v>
      </c>
      <c r="B1853">
        <v>22.515000000000001</v>
      </c>
      <c r="C1853">
        <v>4.24</v>
      </c>
      <c r="D1853" t="s">
        <v>2344</v>
      </c>
      <c r="E1853" t="s">
        <v>2344</v>
      </c>
      <c r="F1853" t="s">
        <v>2344</v>
      </c>
      <c r="G1853">
        <v>0</v>
      </c>
      <c r="H1853" t="s">
        <v>2344</v>
      </c>
      <c r="I1853" t="str">
        <f t="shared" si="57"/>
        <v>Normal Weight</v>
      </c>
      <c r="J1853" t="str">
        <f t="shared" si="58"/>
        <v>Normal</v>
      </c>
    </row>
    <row r="1854" spans="1:10" x14ac:dyDescent="0.35">
      <c r="A1854" t="s">
        <v>1854</v>
      </c>
      <c r="B1854">
        <v>25.9</v>
      </c>
      <c r="C1854">
        <v>5.45</v>
      </c>
      <c r="D1854" t="s">
        <v>2344</v>
      </c>
      <c r="E1854" t="s">
        <v>2344</v>
      </c>
      <c r="F1854" t="s">
        <v>2344</v>
      </c>
      <c r="G1854">
        <v>1</v>
      </c>
      <c r="H1854" t="s">
        <v>2344</v>
      </c>
      <c r="I1854" t="str">
        <f t="shared" si="57"/>
        <v>Over weight</v>
      </c>
      <c r="J1854" t="str">
        <f t="shared" si="58"/>
        <v>Normal</v>
      </c>
    </row>
    <row r="1855" spans="1:10" x14ac:dyDescent="0.35">
      <c r="A1855" t="s">
        <v>1855</v>
      </c>
      <c r="B1855">
        <v>27.72</v>
      </c>
      <c r="C1855">
        <v>5.03</v>
      </c>
      <c r="D1855" t="s">
        <v>2346</v>
      </c>
      <c r="E1855" t="s">
        <v>2344</v>
      </c>
      <c r="F1855" t="s">
        <v>2344</v>
      </c>
      <c r="G1855">
        <v>1</v>
      </c>
      <c r="H1855" t="s">
        <v>2344</v>
      </c>
      <c r="I1855" t="str">
        <f t="shared" si="57"/>
        <v>Over weight</v>
      </c>
      <c r="J1855" t="str">
        <f t="shared" si="58"/>
        <v>Normal</v>
      </c>
    </row>
    <row r="1856" spans="1:10" x14ac:dyDescent="0.35">
      <c r="A1856" t="s">
        <v>1856</v>
      </c>
      <c r="B1856">
        <v>31.5</v>
      </c>
      <c r="C1856">
        <v>9.6199999999999992</v>
      </c>
      <c r="D1856" t="s">
        <v>2346</v>
      </c>
      <c r="E1856" t="s">
        <v>2344</v>
      </c>
      <c r="F1856" t="s">
        <v>2344</v>
      </c>
      <c r="G1856">
        <v>1</v>
      </c>
      <c r="H1856" t="s">
        <v>2344</v>
      </c>
      <c r="I1856" t="str">
        <f t="shared" si="57"/>
        <v>Obesity</v>
      </c>
      <c r="J1856" t="str">
        <f t="shared" si="58"/>
        <v>Diabetes</v>
      </c>
    </row>
    <row r="1857" spans="1:10" x14ac:dyDescent="0.35">
      <c r="A1857" t="s">
        <v>1857</v>
      </c>
      <c r="B1857">
        <v>29.7</v>
      </c>
      <c r="C1857">
        <v>6.77</v>
      </c>
      <c r="D1857" t="s">
        <v>2346</v>
      </c>
      <c r="E1857" t="s">
        <v>2344</v>
      </c>
      <c r="F1857" t="s">
        <v>2344</v>
      </c>
      <c r="G1857">
        <v>1</v>
      </c>
      <c r="H1857" t="s">
        <v>2344</v>
      </c>
      <c r="I1857" t="str">
        <f t="shared" si="57"/>
        <v>Over weight</v>
      </c>
      <c r="J1857" t="str">
        <f t="shared" si="58"/>
        <v>Diabetes</v>
      </c>
    </row>
    <row r="1858" spans="1:10" x14ac:dyDescent="0.35">
      <c r="A1858" t="s">
        <v>1858</v>
      </c>
      <c r="B1858">
        <v>21.26</v>
      </c>
      <c r="C1858">
        <v>5.36</v>
      </c>
      <c r="D1858" t="s">
        <v>2346</v>
      </c>
      <c r="E1858" t="s">
        <v>2344</v>
      </c>
      <c r="F1858" t="s">
        <v>2344</v>
      </c>
      <c r="G1858">
        <v>1</v>
      </c>
      <c r="H1858" t="s">
        <v>2344</v>
      </c>
      <c r="I1858" t="str">
        <f t="shared" si="57"/>
        <v>Normal Weight</v>
      </c>
      <c r="J1858" t="str">
        <f t="shared" si="58"/>
        <v>Normal</v>
      </c>
    </row>
    <row r="1859" spans="1:10" x14ac:dyDescent="0.35">
      <c r="A1859" t="s">
        <v>1859</v>
      </c>
      <c r="B1859">
        <v>17.09</v>
      </c>
      <c r="C1859">
        <v>5.69</v>
      </c>
      <c r="D1859" t="s">
        <v>2344</v>
      </c>
      <c r="E1859" t="s">
        <v>2344</v>
      </c>
      <c r="F1859" t="s">
        <v>2344</v>
      </c>
      <c r="G1859">
        <v>0</v>
      </c>
      <c r="H1859" t="s">
        <v>2344</v>
      </c>
      <c r="I1859" t="str">
        <f t="shared" ref="I1859:I1922" si="59">IF(B1859&lt;18.5,"Under Weight",IF(B1859&lt;25,"Normal Weight",IF(B1859&lt;30,"Over weight","Obesity")))</f>
        <v>Under Weight</v>
      </c>
      <c r="J1859" t="str">
        <f t="shared" si="58"/>
        <v>Normal</v>
      </c>
    </row>
    <row r="1860" spans="1:10" x14ac:dyDescent="0.35">
      <c r="A1860" t="s">
        <v>1860</v>
      </c>
      <c r="B1860">
        <v>24.3</v>
      </c>
      <c r="C1860">
        <v>4.9000000000000004</v>
      </c>
      <c r="D1860" t="s">
        <v>2346</v>
      </c>
      <c r="E1860" t="s">
        <v>2344</v>
      </c>
      <c r="F1860" t="s">
        <v>2346</v>
      </c>
      <c r="G1860">
        <v>1</v>
      </c>
      <c r="H1860" t="s">
        <v>2344</v>
      </c>
      <c r="I1860" t="str">
        <f t="shared" si="59"/>
        <v>Normal Weight</v>
      </c>
      <c r="J1860" t="str">
        <f t="shared" si="58"/>
        <v>Normal</v>
      </c>
    </row>
    <row r="1861" spans="1:10" x14ac:dyDescent="0.35">
      <c r="A1861" t="s">
        <v>1861</v>
      </c>
      <c r="B1861">
        <v>29.734999999999999</v>
      </c>
      <c r="C1861">
        <v>5.78</v>
      </c>
      <c r="D1861" t="s">
        <v>2344</v>
      </c>
      <c r="E1861" t="s">
        <v>2344</v>
      </c>
      <c r="F1861" t="s">
        <v>2344</v>
      </c>
      <c r="G1861">
        <v>0</v>
      </c>
      <c r="H1861" t="s">
        <v>2344</v>
      </c>
      <c r="I1861" t="str">
        <f t="shared" si="59"/>
        <v>Over weight</v>
      </c>
      <c r="J1861" t="str">
        <f t="shared" si="58"/>
        <v>Prediabetes</v>
      </c>
    </row>
    <row r="1862" spans="1:10" x14ac:dyDescent="0.35">
      <c r="A1862" t="s">
        <v>1862</v>
      </c>
      <c r="B1862">
        <v>29.26</v>
      </c>
      <c r="C1862">
        <v>4.7</v>
      </c>
      <c r="D1862" t="s">
        <v>2344</v>
      </c>
      <c r="E1862" t="s">
        <v>2344</v>
      </c>
      <c r="F1862" t="s">
        <v>2344</v>
      </c>
      <c r="G1862">
        <v>0</v>
      </c>
      <c r="H1862" t="s">
        <v>2344</v>
      </c>
      <c r="I1862" t="str">
        <f t="shared" si="59"/>
        <v>Over weight</v>
      </c>
      <c r="J1862" t="str">
        <f t="shared" si="58"/>
        <v>Normal</v>
      </c>
    </row>
    <row r="1863" spans="1:10" x14ac:dyDescent="0.35">
      <c r="A1863" t="s">
        <v>1863</v>
      </c>
      <c r="B1863">
        <v>33</v>
      </c>
      <c r="C1863">
        <v>6.28</v>
      </c>
      <c r="D1863" t="s">
        <v>2344</v>
      </c>
      <c r="E1863" t="s">
        <v>2344</v>
      </c>
      <c r="F1863" t="s">
        <v>2344</v>
      </c>
      <c r="G1863">
        <v>0</v>
      </c>
      <c r="H1863" t="s">
        <v>2344</v>
      </c>
      <c r="I1863" t="str">
        <f t="shared" si="59"/>
        <v>Obesity</v>
      </c>
      <c r="J1863" t="str">
        <f t="shared" si="58"/>
        <v>Prediabetes</v>
      </c>
    </row>
    <row r="1864" spans="1:10" x14ac:dyDescent="0.35">
      <c r="A1864" t="s">
        <v>1864</v>
      </c>
      <c r="B1864">
        <v>31.065000000000001</v>
      </c>
      <c r="C1864">
        <v>4.2300000000000004</v>
      </c>
      <c r="D1864" t="s">
        <v>2344</v>
      </c>
      <c r="E1864" t="s">
        <v>2344</v>
      </c>
      <c r="F1864" t="s">
        <v>2344</v>
      </c>
      <c r="G1864">
        <v>0</v>
      </c>
      <c r="H1864" t="s">
        <v>2344</v>
      </c>
      <c r="I1864" t="str">
        <f t="shared" si="59"/>
        <v>Obesity</v>
      </c>
      <c r="J1864" t="str">
        <f t="shared" si="58"/>
        <v>Normal</v>
      </c>
    </row>
    <row r="1865" spans="1:10" x14ac:dyDescent="0.35">
      <c r="A1865" t="s">
        <v>1865</v>
      </c>
      <c r="B1865">
        <v>26.51</v>
      </c>
      <c r="C1865">
        <v>6.17</v>
      </c>
      <c r="D1865" t="s">
        <v>2344</v>
      </c>
      <c r="E1865" t="s">
        <v>2344</v>
      </c>
      <c r="F1865" t="s">
        <v>2344</v>
      </c>
      <c r="G1865">
        <v>0</v>
      </c>
      <c r="H1865" t="s">
        <v>2344</v>
      </c>
      <c r="I1865" t="str">
        <f t="shared" si="59"/>
        <v>Over weight</v>
      </c>
      <c r="J1865" t="str">
        <f t="shared" si="58"/>
        <v>Prediabetes</v>
      </c>
    </row>
    <row r="1866" spans="1:10" x14ac:dyDescent="0.35">
      <c r="A1866" t="s">
        <v>1866</v>
      </c>
      <c r="B1866">
        <v>28.88</v>
      </c>
      <c r="C1866">
        <v>4.96</v>
      </c>
      <c r="D1866" t="s">
        <v>2344</v>
      </c>
      <c r="E1866" t="s">
        <v>2344</v>
      </c>
      <c r="F1866" t="s">
        <v>2344</v>
      </c>
      <c r="G1866">
        <v>0</v>
      </c>
      <c r="H1866" t="s">
        <v>2344</v>
      </c>
      <c r="I1866" t="str">
        <f t="shared" si="59"/>
        <v>Over weight</v>
      </c>
      <c r="J1866" t="str">
        <f t="shared" si="58"/>
        <v>Normal</v>
      </c>
    </row>
    <row r="1867" spans="1:10" x14ac:dyDescent="0.35">
      <c r="A1867" t="s">
        <v>1867</v>
      </c>
      <c r="B1867">
        <v>35.814999999999998</v>
      </c>
      <c r="C1867">
        <v>5.1100000000000003</v>
      </c>
      <c r="D1867" t="s">
        <v>2346</v>
      </c>
      <c r="E1867" t="s">
        <v>2344</v>
      </c>
      <c r="F1867" t="s">
        <v>2344</v>
      </c>
      <c r="G1867">
        <v>1</v>
      </c>
      <c r="H1867" t="s">
        <v>2344</v>
      </c>
      <c r="I1867" t="str">
        <f t="shared" si="59"/>
        <v>Obesity</v>
      </c>
      <c r="J1867" t="str">
        <f t="shared" si="58"/>
        <v>Normal</v>
      </c>
    </row>
    <row r="1868" spans="1:10" x14ac:dyDescent="0.35">
      <c r="A1868" t="s">
        <v>1868</v>
      </c>
      <c r="B1868">
        <v>21.28</v>
      </c>
      <c r="C1868">
        <v>4.05</v>
      </c>
      <c r="D1868" t="s">
        <v>2344</v>
      </c>
      <c r="E1868" t="s">
        <v>2345</v>
      </c>
      <c r="F1868" t="s">
        <v>2344</v>
      </c>
      <c r="G1868">
        <v>1</v>
      </c>
      <c r="H1868" t="s">
        <v>2344</v>
      </c>
      <c r="I1868" t="str">
        <f t="shared" si="59"/>
        <v>Normal Weight</v>
      </c>
      <c r="J1868" t="str">
        <f t="shared" ref="J1868:J1931" si="60">IF(C1868&lt;5.7,"Normal",IF(C1868&lt;6.5,"Prediabetes","Diabetes"))</f>
        <v>Normal</v>
      </c>
    </row>
    <row r="1869" spans="1:10" x14ac:dyDescent="0.35">
      <c r="A1869" t="s">
        <v>1869</v>
      </c>
      <c r="B1869">
        <v>33.81</v>
      </c>
      <c r="C1869">
        <v>6.49</v>
      </c>
      <c r="D1869" t="s">
        <v>2344</v>
      </c>
      <c r="E1869" t="s">
        <v>2344</v>
      </c>
      <c r="F1869" t="s">
        <v>2346</v>
      </c>
      <c r="G1869">
        <v>1</v>
      </c>
      <c r="H1869" t="s">
        <v>2344</v>
      </c>
      <c r="I1869" t="str">
        <f t="shared" si="59"/>
        <v>Obesity</v>
      </c>
      <c r="J1869" t="str">
        <f t="shared" si="60"/>
        <v>Prediabetes</v>
      </c>
    </row>
    <row r="1870" spans="1:10" x14ac:dyDescent="0.35">
      <c r="A1870" t="s">
        <v>1870</v>
      </c>
      <c r="B1870">
        <v>44.22</v>
      </c>
      <c r="C1870">
        <v>4.1900000000000004</v>
      </c>
      <c r="D1870" t="s">
        <v>2344</v>
      </c>
      <c r="E1870" t="s">
        <v>2344</v>
      </c>
      <c r="F1870" t="s">
        <v>2344</v>
      </c>
      <c r="G1870">
        <v>1</v>
      </c>
      <c r="H1870" t="s">
        <v>2344</v>
      </c>
      <c r="I1870" t="str">
        <f t="shared" si="59"/>
        <v>Obesity</v>
      </c>
      <c r="J1870" t="str">
        <f t="shared" si="60"/>
        <v>Normal</v>
      </c>
    </row>
    <row r="1871" spans="1:10" x14ac:dyDescent="0.35">
      <c r="A1871" t="s">
        <v>1871</v>
      </c>
      <c r="B1871">
        <v>15.46</v>
      </c>
      <c r="C1871">
        <v>4.99</v>
      </c>
      <c r="D1871" t="s">
        <v>2346</v>
      </c>
      <c r="E1871" t="s">
        <v>2344</v>
      </c>
      <c r="F1871" t="s">
        <v>2346</v>
      </c>
      <c r="G1871">
        <v>1</v>
      </c>
      <c r="H1871" t="s">
        <v>2344</v>
      </c>
      <c r="I1871" t="str">
        <f t="shared" si="59"/>
        <v>Under Weight</v>
      </c>
      <c r="J1871" t="str">
        <f t="shared" si="60"/>
        <v>Normal</v>
      </c>
    </row>
    <row r="1872" spans="1:10" x14ac:dyDescent="0.35">
      <c r="A1872" t="s">
        <v>1872</v>
      </c>
      <c r="B1872">
        <v>30.3</v>
      </c>
      <c r="C1872">
        <v>4.7699999999999996</v>
      </c>
      <c r="D1872" t="s">
        <v>2346</v>
      </c>
      <c r="E1872" t="s">
        <v>2344</v>
      </c>
      <c r="F1872" t="s">
        <v>2344</v>
      </c>
      <c r="G1872">
        <v>1</v>
      </c>
      <c r="H1872" t="s">
        <v>2344</v>
      </c>
      <c r="I1872" t="str">
        <f t="shared" si="59"/>
        <v>Obesity</v>
      </c>
      <c r="J1872" t="str">
        <f t="shared" si="60"/>
        <v>Normal</v>
      </c>
    </row>
    <row r="1873" spans="1:10" x14ac:dyDescent="0.35">
      <c r="A1873" t="s">
        <v>1873</v>
      </c>
      <c r="B1873">
        <v>16.670000000000002</v>
      </c>
      <c r="C1873">
        <v>5.46</v>
      </c>
      <c r="D1873" t="s">
        <v>2344</v>
      </c>
      <c r="E1873" t="s">
        <v>2344</v>
      </c>
      <c r="F1873" t="s">
        <v>2344</v>
      </c>
      <c r="G1873">
        <v>0</v>
      </c>
      <c r="H1873" t="s">
        <v>2344</v>
      </c>
      <c r="I1873" t="str">
        <f t="shared" si="59"/>
        <v>Under Weight</v>
      </c>
      <c r="J1873" t="str">
        <f t="shared" si="60"/>
        <v>Normal</v>
      </c>
    </row>
    <row r="1874" spans="1:10" x14ac:dyDescent="0.35">
      <c r="A1874" t="s">
        <v>1874</v>
      </c>
      <c r="B1874">
        <v>28.594999999999999</v>
      </c>
      <c r="C1874">
        <v>5.43</v>
      </c>
      <c r="D1874" t="s">
        <v>2344</v>
      </c>
      <c r="E1874" t="s">
        <v>2344</v>
      </c>
      <c r="F1874" t="s">
        <v>2344</v>
      </c>
      <c r="G1874">
        <v>0</v>
      </c>
      <c r="H1874" t="s">
        <v>2344</v>
      </c>
      <c r="I1874" t="str">
        <f t="shared" si="59"/>
        <v>Over weight</v>
      </c>
      <c r="J1874" t="str">
        <f t="shared" si="60"/>
        <v>Normal</v>
      </c>
    </row>
    <row r="1875" spans="1:10" x14ac:dyDescent="0.35">
      <c r="A1875" t="s">
        <v>1875</v>
      </c>
      <c r="B1875">
        <v>25.934999999999999</v>
      </c>
      <c r="C1875">
        <v>4.29</v>
      </c>
      <c r="D1875" t="s">
        <v>2344</v>
      </c>
      <c r="E1875" t="s">
        <v>2344</v>
      </c>
      <c r="F1875" t="s">
        <v>2344</v>
      </c>
      <c r="G1875">
        <v>0</v>
      </c>
      <c r="H1875" t="s">
        <v>2344</v>
      </c>
      <c r="I1875" t="str">
        <f t="shared" si="59"/>
        <v>Over weight</v>
      </c>
      <c r="J1875" t="str">
        <f t="shared" si="60"/>
        <v>Normal</v>
      </c>
    </row>
    <row r="1876" spans="1:10" x14ac:dyDescent="0.35">
      <c r="A1876" t="s">
        <v>1876</v>
      </c>
      <c r="B1876">
        <v>27.645</v>
      </c>
      <c r="C1876">
        <v>5.25</v>
      </c>
      <c r="D1876" t="s">
        <v>2344</v>
      </c>
      <c r="E1876" t="s">
        <v>2344</v>
      </c>
      <c r="F1876" t="s">
        <v>2344</v>
      </c>
      <c r="G1876">
        <v>1</v>
      </c>
      <c r="H1876" t="s">
        <v>2344</v>
      </c>
      <c r="I1876" t="str">
        <f t="shared" si="59"/>
        <v>Over weight</v>
      </c>
      <c r="J1876" t="str">
        <f t="shared" si="60"/>
        <v>Normal</v>
      </c>
    </row>
    <row r="1877" spans="1:10" x14ac:dyDescent="0.35">
      <c r="A1877" t="s">
        <v>1877</v>
      </c>
      <c r="B1877">
        <v>30.1</v>
      </c>
      <c r="C1877">
        <v>4.04</v>
      </c>
      <c r="D1877" t="s">
        <v>2344</v>
      </c>
      <c r="E1877" t="s">
        <v>2344</v>
      </c>
      <c r="F1877" t="s">
        <v>2344</v>
      </c>
      <c r="G1877">
        <v>1</v>
      </c>
      <c r="H1877" t="s">
        <v>2344</v>
      </c>
      <c r="I1877" t="str">
        <f t="shared" si="59"/>
        <v>Obesity</v>
      </c>
      <c r="J1877" t="str">
        <f t="shared" si="60"/>
        <v>Normal</v>
      </c>
    </row>
    <row r="1878" spans="1:10" x14ac:dyDescent="0.35">
      <c r="A1878" t="s">
        <v>1878</v>
      </c>
      <c r="B1878">
        <v>26.79</v>
      </c>
      <c r="C1878" t="s">
        <v>2346</v>
      </c>
      <c r="D1878" t="s">
        <v>2346</v>
      </c>
      <c r="E1878" t="s">
        <v>2344</v>
      </c>
      <c r="F1878" t="s">
        <v>2346</v>
      </c>
      <c r="G1878">
        <v>1</v>
      </c>
      <c r="H1878" t="s">
        <v>2344</v>
      </c>
      <c r="I1878" t="str">
        <f t="shared" si="59"/>
        <v>Over weight</v>
      </c>
      <c r="J1878" t="str">
        <f t="shared" si="60"/>
        <v>Diabetes</v>
      </c>
    </row>
    <row r="1879" spans="1:10" x14ac:dyDescent="0.35">
      <c r="A1879" t="s">
        <v>1879</v>
      </c>
      <c r="B1879">
        <v>27.1</v>
      </c>
      <c r="C1879">
        <v>4.01</v>
      </c>
      <c r="D1879" t="s">
        <v>2346</v>
      </c>
      <c r="E1879" t="s">
        <v>2344</v>
      </c>
      <c r="F1879" t="s">
        <v>2344</v>
      </c>
      <c r="G1879">
        <v>1</v>
      </c>
      <c r="H1879" t="s">
        <v>2344</v>
      </c>
      <c r="I1879" t="str">
        <f t="shared" si="59"/>
        <v>Over weight</v>
      </c>
      <c r="J1879" t="str">
        <f t="shared" si="60"/>
        <v>Normal</v>
      </c>
    </row>
    <row r="1880" spans="1:10" x14ac:dyDescent="0.35">
      <c r="A1880" t="s">
        <v>1880</v>
      </c>
      <c r="B1880">
        <v>24.31</v>
      </c>
      <c r="C1880">
        <v>5.4</v>
      </c>
      <c r="D1880" t="s">
        <v>2344</v>
      </c>
      <c r="E1880" t="s">
        <v>2344</v>
      </c>
      <c r="F1880" t="s">
        <v>2344</v>
      </c>
      <c r="G1880">
        <v>0</v>
      </c>
      <c r="H1880" t="s">
        <v>2344</v>
      </c>
      <c r="I1880" t="str">
        <f t="shared" si="59"/>
        <v>Normal Weight</v>
      </c>
      <c r="J1880" t="str">
        <f t="shared" si="60"/>
        <v>Normal</v>
      </c>
    </row>
    <row r="1881" spans="1:10" x14ac:dyDescent="0.35">
      <c r="A1881" t="s">
        <v>1881</v>
      </c>
      <c r="B1881">
        <v>15.53</v>
      </c>
      <c r="C1881">
        <v>5.81</v>
      </c>
      <c r="D1881" t="s">
        <v>2344</v>
      </c>
      <c r="E1881" t="s">
        <v>2344</v>
      </c>
      <c r="F1881" t="s">
        <v>2344</v>
      </c>
      <c r="G1881">
        <v>1</v>
      </c>
      <c r="H1881" t="s">
        <v>2344</v>
      </c>
      <c r="I1881" t="str">
        <f t="shared" si="59"/>
        <v>Under Weight</v>
      </c>
      <c r="J1881" t="str">
        <f t="shared" si="60"/>
        <v>Prediabetes</v>
      </c>
    </row>
    <row r="1882" spans="1:10" x14ac:dyDescent="0.35">
      <c r="A1882" t="s">
        <v>1882</v>
      </c>
      <c r="B1882">
        <v>30.7</v>
      </c>
      <c r="C1882">
        <v>5.82</v>
      </c>
      <c r="D1882" t="s">
        <v>2344</v>
      </c>
      <c r="E1882" t="s">
        <v>2344</v>
      </c>
      <c r="F1882" t="s">
        <v>2344</v>
      </c>
      <c r="G1882">
        <v>1</v>
      </c>
      <c r="H1882" t="s">
        <v>2344</v>
      </c>
      <c r="I1882" t="str">
        <f t="shared" si="59"/>
        <v>Obesity</v>
      </c>
      <c r="J1882" t="str">
        <f t="shared" si="60"/>
        <v>Prediabetes</v>
      </c>
    </row>
    <row r="1883" spans="1:10" x14ac:dyDescent="0.35">
      <c r="A1883" t="s">
        <v>1883</v>
      </c>
      <c r="B1883">
        <v>33.33</v>
      </c>
      <c r="C1883">
        <v>4.82</v>
      </c>
      <c r="D1883" t="s">
        <v>2344</v>
      </c>
      <c r="E1883" t="s">
        <v>2344</v>
      </c>
      <c r="F1883" t="s">
        <v>2344</v>
      </c>
      <c r="G1883">
        <v>1</v>
      </c>
      <c r="H1883" t="s">
        <v>2344</v>
      </c>
      <c r="I1883" t="str">
        <f t="shared" si="59"/>
        <v>Obesity</v>
      </c>
      <c r="J1883" t="str">
        <f t="shared" si="60"/>
        <v>Normal</v>
      </c>
    </row>
    <row r="1884" spans="1:10" x14ac:dyDescent="0.35">
      <c r="A1884" t="s">
        <v>1884</v>
      </c>
      <c r="B1884">
        <v>32.4</v>
      </c>
      <c r="C1884">
        <v>5.08</v>
      </c>
      <c r="D1884" t="s">
        <v>2344</v>
      </c>
      <c r="E1884" t="s">
        <v>2344</v>
      </c>
      <c r="F1884" t="s">
        <v>2344</v>
      </c>
      <c r="G1884">
        <v>1</v>
      </c>
      <c r="H1884" t="s">
        <v>2344</v>
      </c>
      <c r="I1884" t="str">
        <f t="shared" si="59"/>
        <v>Obesity</v>
      </c>
      <c r="J1884" t="str">
        <f t="shared" si="60"/>
        <v>Normal</v>
      </c>
    </row>
    <row r="1885" spans="1:10" x14ac:dyDescent="0.35">
      <c r="A1885" t="s">
        <v>1885</v>
      </c>
      <c r="B1885">
        <v>27.93</v>
      </c>
      <c r="C1885">
        <v>5.59</v>
      </c>
      <c r="D1885" t="s">
        <v>2344</v>
      </c>
      <c r="E1885" t="s">
        <v>2344</v>
      </c>
      <c r="F1885" t="s">
        <v>2344</v>
      </c>
      <c r="G1885">
        <v>1</v>
      </c>
      <c r="H1885" t="s">
        <v>2344</v>
      </c>
      <c r="I1885" t="str">
        <f t="shared" si="59"/>
        <v>Over weight</v>
      </c>
      <c r="J1885" t="str">
        <f t="shared" si="60"/>
        <v>Normal</v>
      </c>
    </row>
    <row r="1886" spans="1:10" x14ac:dyDescent="0.35">
      <c r="A1886" t="s">
        <v>1886</v>
      </c>
      <c r="B1886">
        <v>21.754999999999999</v>
      </c>
      <c r="C1886">
        <v>5.12</v>
      </c>
      <c r="D1886" t="s">
        <v>2344</v>
      </c>
      <c r="E1886" t="s">
        <v>2344</v>
      </c>
      <c r="F1886" t="s">
        <v>2344</v>
      </c>
      <c r="G1886">
        <v>0</v>
      </c>
      <c r="H1886" t="s">
        <v>2344</v>
      </c>
      <c r="I1886" t="str">
        <f t="shared" si="59"/>
        <v>Normal Weight</v>
      </c>
      <c r="J1886" t="str">
        <f t="shared" si="60"/>
        <v>Normal</v>
      </c>
    </row>
    <row r="1887" spans="1:10" x14ac:dyDescent="0.35">
      <c r="A1887" t="s">
        <v>1887</v>
      </c>
      <c r="B1887">
        <v>25.934999999999999</v>
      </c>
      <c r="C1887">
        <v>4.95</v>
      </c>
      <c r="D1887" t="s">
        <v>2344</v>
      </c>
      <c r="E1887" t="s">
        <v>2344</v>
      </c>
      <c r="F1887" t="s">
        <v>2344</v>
      </c>
      <c r="G1887">
        <v>0</v>
      </c>
      <c r="H1887" t="s">
        <v>2344</v>
      </c>
      <c r="I1887" t="str">
        <f t="shared" si="59"/>
        <v>Over weight</v>
      </c>
      <c r="J1887" t="str">
        <f t="shared" si="60"/>
        <v>Normal</v>
      </c>
    </row>
    <row r="1888" spans="1:10" x14ac:dyDescent="0.35">
      <c r="A1888" t="s">
        <v>1888</v>
      </c>
      <c r="B1888">
        <v>31.5</v>
      </c>
      <c r="C1888">
        <v>6.16</v>
      </c>
      <c r="D1888" t="s">
        <v>2344</v>
      </c>
      <c r="E1888" t="s">
        <v>2344</v>
      </c>
      <c r="F1888" t="s">
        <v>2344</v>
      </c>
      <c r="G1888">
        <v>0</v>
      </c>
      <c r="H1888" t="s">
        <v>2344</v>
      </c>
      <c r="I1888" t="str">
        <f t="shared" si="59"/>
        <v>Obesity</v>
      </c>
      <c r="J1888" t="str">
        <f t="shared" si="60"/>
        <v>Prediabetes</v>
      </c>
    </row>
    <row r="1889" spans="1:10" x14ac:dyDescent="0.35">
      <c r="A1889" t="s">
        <v>1889</v>
      </c>
      <c r="B1889">
        <v>30.03</v>
      </c>
      <c r="C1889">
        <v>6.41</v>
      </c>
      <c r="D1889" t="s">
        <v>2344</v>
      </c>
      <c r="E1889" t="s">
        <v>2344</v>
      </c>
      <c r="F1889" t="s">
        <v>2344</v>
      </c>
      <c r="G1889">
        <v>0</v>
      </c>
      <c r="H1889" t="s">
        <v>2344</v>
      </c>
      <c r="I1889" t="str">
        <f t="shared" si="59"/>
        <v>Obesity</v>
      </c>
      <c r="J1889" t="str">
        <f t="shared" si="60"/>
        <v>Prediabetes</v>
      </c>
    </row>
    <row r="1890" spans="1:10" x14ac:dyDescent="0.35">
      <c r="A1890" t="s">
        <v>1890</v>
      </c>
      <c r="B1890">
        <v>33.479999999999997</v>
      </c>
      <c r="C1890">
        <v>8.94</v>
      </c>
      <c r="D1890" t="s">
        <v>2344</v>
      </c>
      <c r="E1890" t="s">
        <v>2344</v>
      </c>
      <c r="F1890" t="s">
        <v>2344</v>
      </c>
      <c r="G1890">
        <v>0</v>
      </c>
      <c r="H1890" t="s">
        <v>2344</v>
      </c>
      <c r="I1890" t="str">
        <f t="shared" si="59"/>
        <v>Obesity</v>
      </c>
      <c r="J1890" t="str">
        <f t="shared" si="60"/>
        <v>Diabetes</v>
      </c>
    </row>
    <row r="1891" spans="1:10" x14ac:dyDescent="0.35">
      <c r="A1891" t="s">
        <v>1891</v>
      </c>
      <c r="B1891">
        <v>16.510000000000002</v>
      </c>
      <c r="C1891">
        <v>4.42</v>
      </c>
      <c r="D1891" t="s">
        <v>2346</v>
      </c>
      <c r="E1891" t="s">
        <v>2344</v>
      </c>
      <c r="F1891" t="s">
        <v>2346</v>
      </c>
      <c r="G1891">
        <v>1</v>
      </c>
      <c r="H1891" t="s">
        <v>2344</v>
      </c>
      <c r="I1891" t="str">
        <f t="shared" si="59"/>
        <v>Under Weight</v>
      </c>
      <c r="J1891" t="str">
        <f t="shared" si="60"/>
        <v>Normal</v>
      </c>
    </row>
    <row r="1892" spans="1:10" x14ac:dyDescent="0.35">
      <c r="A1892" t="s">
        <v>1892</v>
      </c>
      <c r="B1892">
        <v>33.155000000000001</v>
      </c>
      <c r="C1892">
        <v>5.3</v>
      </c>
      <c r="D1892" t="s">
        <v>2346</v>
      </c>
      <c r="E1892" t="s">
        <v>2344</v>
      </c>
      <c r="F1892" t="s">
        <v>2344</v>
      </c>
      <c r="G1892">
        <v>1</v>
      </c>
      <c r="H1892" t="s">
        <v>2344</v>
      </c>
      <c r="I1892" t="str">
        <f t="shared" si="59"/>
        <v>Obesity</v>
      </c>
      <c r="J1892" t="str">
        <f t="shared" si="60"/>
        <v>Normal</v>
      </c>
    </row>
    <row r="1893" spans="1:10" x14ac:dyDescent="0.35">
      <c r="A1893" t="s">
        <v>1893</v>
      </c>
      <c r="B1893">
        <v>37.29</v>
      </c>
      <c r="C1893">
        <v>4.6399999999999997</v>
      </c>
      <c r="D1893" t="s">
        <v>2344</v>
      </c>
      <c r="E1893" t="s">
        <v>2344</v>
      </c>
      <c r="F1893" t="s">
        <v>2346</v>
      </c>
      <c r="G1893">
        <v>1</v>
      </c>
      <c r="H1893" t="s">
        <v>2344</v>
      </c>
      <c r="I1893" t="str">
        <f t="shared" si="59"/>
        <v>Obesity</v>
      </c>
      <c r="J1893" t="str">
        <f t="shared" si="60"/>
        <v>Normal</v>
      </c>
    </row>
    <row r="1894" spans="1:10" x14ac:dyDescent="0.35">
      <c r="A1894" t="s">
        <v>1894</v>
      </c>
      <c r="B1894">
        <v>20.23</v>
      </c>
      <c r="C1894">
        <v>6.16</v>
      </c>
      <c r="D1894" t="s">
        <v>2346</v>
      </c>
      <c r="E1894" t="s">
        <v>2344</v>
      </c>
      <c r="F1894" t="s">
        <v>2344</v>
      </c>
      <c r="G1894">
        <v>1</v>
      </c>
      <c r="H1894" t="s">
        <v>2344</v>
      </c>
      <c r="I1894" t="str">
        <f t="shared" si="59"/>
        <v>Normal Weight</v>
      </c>
      <c r="J1894" t="str">
        <f t="shared" si="60"/>
        <v>Prediabetes</v>
      </c>
    </row>
    <row r="1895" spans="1:10" x14ac:dyDescent="0.35">
      <c r="A1895" t="s">
        <v>1895</v>
      </c>
      <c r="B1895">
        <v>28.975000000000001</v>
      </c>
      <c r="C1895">
        <v>4.12</v>
      </c>
      <c r="D1895" t="s">
        <v>2344</v>
      </c>
      <c r="E1895" t="s">
        <v>2344</v>
      </c>
      <c r="F1895" t="s">
        <v>2346</v>
      </c>
      <c r="G1895">
        <v>1</v>
      </c>
      <c r="H1895" t="s">
        <v>2344</v>
      </c>
      <c r="I1895" t="str">
        <f t="shared" si="59"/>
        <v>Over weight</v>
      </c>
      <c r="J1895" t="str">
        <f t="shared" si="60"/>
        <v>Normal</v>
      </c>
    </row>
    <row r="1896" spans="1:10" x14ac:dyDescent="0.35">
      <c r="A1896" t="s">
        <v>1896</v>
      </c>
      <c r="B1896">
        <v>16.420000000000002</v>
      </c>
      <c r="C1896">
        <v>5.77</v>
      </c>
      <c r="D1896" t="s">
        <v>2346</v>
      </c>
      <c r="E1896" t="s">
        <v>2344</v>
      </c>
      <c r="F1896" t="s">
        <v>2346</v>
      </c>
      <c r="G1896">
        <v>1</v>
      </c>
      <c r="H1896" t="s">
        <v>2344</v>
      </c>
      <c r="I1896" t="str">
        <f t="shared" si="59"/>
        <v>Under Weight</v>
      </c>
      <c r="J1896" t="str">
        <f t="shared" si="60"/>
        <v>Prediabetes</v>
      </c>
    </row>
    <row r="1897" spans="1:10" x14ac:dyDescent="0.35">
      <c r="A1897" t="s">
        <v>1897</v>
      </c>
      <c r="B1897">
        <v>17.559999999999999</v>
      </c>
      <c r="C1897">
        <v>6.2</v>
      </c>
      <c r="D1897" t="s">
        <v>2344</v>
      </c>
      <c r="E1897" t="s">
        <v>2344</v>
      </c>
      <c r="F1897" t="s">
        <v>2344</v>
      </c>
      <c r="G1897">
        <v>1</v>
      </c>
      <c r="H1897" t="s">
        <v>2344</v>
      </c>
      <c r="I1897" t="str">
        <f t="shared" si="59"/>
        <v>Under Weight</v>
      </c>
      <c r="J1897" t="str">
        <f t="shared" si="60"/>
        <v>Prediabetes</v>
      </c>
    </row>
    <row r="1898" spans="1:10" x14ac:dyDescent="0.35">
      <c r="A1898" t="s">
        <v>1898</v>
      </c>
      <c r="B1898">
        <v>24.13</v>
      </c>
      <c r="C1898">
        <v>4.3899999999999997</v>
      </c>
      <c r="D1898" t="s">
        <v>2344</v>
      </c>
      <c r="E1898" t="s">
        <v>2344</v>
      </c>
      <c r="F1898" t="s">
        <v>2344</v>
      </c>
      <c r="G1898">
        <v>1</v>
      </c>
      <c r="H1898" t="s">
        <v>2344</v>
      </c>
      <c r="I1898" t="str">
        <f t="shared" si="59"/>
        <v>Normal Weight</v>
      </c>
      <c r="J1898" t="str">
        <f t="shared" si="60"/>
        <v>Normal</v>
      </c>
    </row>
    <row r="1899" spans="1:10" x14ac:dyDescent="0.35">
      <c r="A1899" t="s">
        <v>1899</v>
      </c>
      <c r="B1899">
        <v>19.95</v>
      </c>
      <c r="C1899">
        <v>5.13</v>
      </c>
      <c r="D1899" t="s">
        <v>2344</v>
      </c>
      <c r="E1899" t="s">
        <v>2345</v>
      </c>
      <c r="F1899" t="s">
        <v>2344</v>
      </c>
      <c r="G1899">
        <v>1</v>
      </c>
      <c r="H1899" t="s">
        <v>2344</v>
      </c>
      <c r="I1899" t="str">
        <f t="shared" si="59"/>
        <v>Normal Weight</v>
      </c>
      <c r="J1899" t="str">
        <f t="shared" si="60"/>
        <v>Normal</v>
      </c>
    </row>
    <row r="1900" spans="1:10" x14ac:dyDescent="0.35">
      <c r="A1900" t="s">
        <v>1900</v>
      </c>
      <c r="B1900">
        <v>21.24</v>
      </c>
      <c r="C1900">
        <v>4.49</v>
      </c>
      <c r="D1900" t="s">
        <v>2344</v>
      </c>
      <c r="E1900" t="s">
        <v>2344</v>
      </c>
      <c r="F1900" t="s">
        <v>2344</v>
      </c>
      <c r="G1900">
        <v>0</v>
      </c>
      <c r="H1900" t="s">
        <v>2344</v>
      </c>
      <c r="I1900" t="str">
        <f t="shared" si="59"/>
        <v>Normal Weight</v>
      </c>
      <c r="J1900" t="str">
        <f t="shared" si="60"/>
        <v>Normal</v>
      </c>
    </row>
    <row r="1901" spans="1:10" x14ac:dyDescent="0.35">
      <c r="A1901" t="s">
        <v>1901</v>
      </c>
      <c r="B1901">
        <v>44.22</v>
      </c>
      <c r="C1901">
        <v>6.35</v>
      </c>
      <c r="D1901" t="s">
        <v>2344</v>
      </c>
      <c r="E1901" t="s">
        <v>2344</v>
      </c>
      <c r="F1901" t="s">
        <v>2344</v>
      </c>
      <c r="G1901">
        <v>0</v>
      </c>
      <c r="H1901" t="s">
        <v>2344</v>
      </c>
      <c r="I1901" t="str">
        <f t="shared" si="59"/>
        <v>Obesity</v>
      </c>
      <c r="J1901" t="str">
        <f t="shared" si="60"/>
        <v>Prediabetes</v>
      </c>
    </row>
    <row r="1902" spans="1:10" x14ac:dyDescent="0.35">
      <c r="A1902" t="s">
        <v>1902</v>
      </c>
      <c r="B1902">
        <v>41.1</v>
      </c>
      <c r="C1902">
        <v>5.79</v>
      </c>
      <c r="D1902" t="s">
        <v>2344</v>
      </c>
      <c r="E1902" t="s">
        <v>2344</v>
      </c>
      <c r="F1902" t="s">
        <v>2344</v>
      </c>
      <c r="G1902">
        <v>0</v>
      </c>
      <c r="H1902" t="s">
        <v>2344</v>
      </c>
      <c r="I1902" t="str">
        <f t="shared" si="59"/>
        <v>Obesity</v>
      </c>
      <c r="J1902" t="str">
        <f t="shared" si="60"/>
        <v>Prediabetes</v>
      </c>
    </row>
    <row r="1903" spans="1:10" x14ac:dyDescent="0.35">
      <c r="A1903" t="s">
        <v>1903</v>
      </c>
      <c r="B1903">
        <v>34.200000000000003</v>
      </c>
      <c r="C1903">
        <v>4.78</v>
      </c>
      <c r="D1903" t="s">
        <v>2346</v>
      </c>
      <c r="E1903" t="s">
        <v>2344</v>
      </c>
      <c r="F1903" t="s">
        <v>2344</v>
      </c>
      <c r="G1903">
        <v>0</v>
      </c>
      <c r="H1903" t="s">
        <v>2344</v>
      </c>
      <c r="I1903" t="str">
        <f t="shared" si="59"/>
        <v>Obesity</v>
      </c>
      <c r="J1903" t="str">
        <f t="shared" si="60"/>
        <v>Normal</v>
      </c>
    </row>
    <row r="1904" spans="1:10" x14ac:dyDescent="0.35">
      <c r="A1904" t="s">
        <v>1904</v>
      </c>
      <c r="B1904">
        <v>29.92</v>
      </c>
      <c r="C1904">
        <v>6.02</v>
      </c>
      <c r="D1904" t="s">
        <v>2346</v>
      </c>
      <c r="E1904" t="s">
        <v>2344</v>
      </c>
      <c r="F1904" t="s">
        <v>2344</v>
      </c>
      <c r="G1904">
        <v>0</v>
      </c>
      <c r="H1904" t="s">
        <v>2344</v>
      </c>
      <c r="I1904" t="str">
        <f t="shared" si="59"/>
        <v>Over weight</v>
      </c>
      <c r="J1904" t="str">
        <f t="shared" si="60"/>
        <v>Prediabetes</v>
      </c>
    </row>
    <row r="1905" spans="1:10" x14ac:dyDescent="0.35">
      <c r="A1905" t="s">
        <v>1905</v>
      </c>
      <c r="B1905">
        <v>28.93</v>
      </c>
      <c r="C1905">
        <v>4.4400000000000004</v>
      </c>
      <c r="D1905" t="s">
        <v>2344</v>
      </c>
      <c r="E1905" t="s">
        <v>2344</v>
      </c>
      <c r="F1905" t="s">
        <v>2344</v>
      </c>
      <c r="G1905">
        <v>0</v>
      </c>
      <c r="H1905" t="s">
        <v>2344</v>
      </c>
      <c r="I1905" t="str">
        <f t="shared" si="59"/>
        <v>Over weight</v>
      </c>
      <c r="J1905" t="str">
        <f t="shared" si="60"/>
        <v>Normal</v>
      </c>
    </row>
    <row r="1906" spans="1:10" x14ac:dyDescent="0.35">
      <c r="A1906" t="s">
        <v>1906</v>
      </c>
      <c r="B1906">
        <v>31.254999999999999</v>
      </c>
      <c r="C1906">
        <v>5.84</v>
      </c>
      <c r="D1906" t="s">
        <v>2346</v>
      </c>
      <c r="E1906" t="s">
        <v>2344</v>
      </c>
      <c r="F1906" t="s">
        <v>2344</v>
      </c>
      <c r="G1906">
        <v>1</v>
      </c>
      <c r="H1906" t="s">
        <v>2344</v>
      </c>
      <c r="I1906" t="str">
        <f t="shared" si="59"/>
        <v>Obesity</v>
      </c>
      <c r="J1906" t="str">
        <f t="shared" si="60"/>
        <v>Prediabetes</v>
      </c>
    </row>
    <row r="1907" spans="1:10" x14ac:dyDescent="0.35">
      <c r="A1907" t="s">
        <v>1907</v>
      </c>
      <c r="B1907">
        <v>29.83</v>
      </c>
      <c r="C1907">
        <v>5.39</v>
      </c>
      <c r="D1907" t="s">
        <v>2344</v>
      </c>
      <c r="E1907" t="s">
        <v>2344</v>
      </c>
      <c r="F1907" t="s">
        <v>2344</v>
      </c>
      <c r="G1907">
        <v>0</v>
      </c>
      <c r="H1907" t="s">
        <v>2344</v>
      </c>
      <c r="I1907" t="str">
        <f t="shared" si="59"/>
        <v>Over weight</v>
      </c>
      <c r="J1907" t="str">
        <f t="shared" si="60"/>
        <v>Normal</v>
      </c>
    </row>
    <row r="1908" spans="1:10" x14ac:dyDescent="0.35">
      <c r="A1908" t="s">
        <v>1908</v>
      </c>
      <c r="B1908">
        <v>29.59</v>
      </c>
      <c r="C1908">
        <v>6.16</v>
      </c>
      <c r="D1908" t="s">
        <v>2344</v>
      </c>
      <c r="E1908" t="s">
        <v>2344</v>
      </c>
      <c r="F1908" t="s">
        <v>2346</v>
      </c>
      <c r="G1908">
        <v>1</v>
      </c>
      <c r="H1908" t="s">
        <v>2344</v>
      </c>
      <c r="I1908" t="str">
        <f t="shared" si="59"/>
        <v>Over weight</v>
      </c>
      <c r="J1908" t="str">
        <f t="shared" si="60"/>
        <v>Prediabetes</v>
      </c>
    </row>
    <row r="1909" spans="1:10" x14ac:dyDescent="0.35">
      <c r="A1909" t="s">
        <v>1909</v>
      </c>
      <c r="B1909">
        <v>31.16</v>
      </c>
      <c r="C1909">
        <v>4.49</v>
      </c>
      <c r="D1909" t="s">
        <v>2344</v>
      </c>
      <c r="E1909" t="s">
        <v>2344</v>
      </c>
      <c r="F1909" t="s">
        <v>2346</v>
      </c>
      <c r="G1909">
        <v>1</v>
      </c>
      <c r="H1909" t="s">
        <v>2344</v>
      </c>
      <c r="I1909" t="str">
        <f t="shared" si="59"/>
        <v>Obesity</v>
      </c>
      <c r="J1909" t="str">
        <f t="shared" si="60"/>
        <v>Normal</v>
      </c>
    </row>
    <row r="1910" spans="1:10" x14ac:dyDescent="0.35">
      <c r="A1910" t="s">
        <v>1910</v>
      </c>
      <c r="B1910">
        <v>34.21</v>
      </c>
      <c r="C1910">
        <v>4.4800000000000004</v>
      </c>
      <c r="D1910" t="s">
        <v>2346</v>
      </c>
      <c r="E1910" t="s">
        <v>2344</v>
      </c>
      <c r="F1910" t="s">
        <v>2344</v>
      </c>
      <c r="G1910">
        <v>1</v>
      </c>
      <c r="H1910" t="s">
        <v>2344</v>
      </c>
      <c r="I1910" t="str">
        <f t="shared" si="59"/>
        <v>Obesity</v>
      </c>
      <c r="J1910" t="str">
        <f t="shared" si="60"/>
        <v>Normal</v>
      </c>
    </row>
    <row r="1911" spans="1:10" x14ac:dyDescent="0.35">
      <c r="A1911" t="s">
        <v>1911</v>
      </c>
      <c r="B1911">
        <v>34.86</v>
      </c>
      <c r="C1911">
        <v>10.97</v>
      </c>
      <c r="D1911" t="s">
        <v>2344</v>
      </c>
      <c r="E1911" t="s">
        <v>2344</v>
      </c>
      <c r="F1911" t="s">
        <v>2344</v>
      </c>
      <c r="G1911">
        <v>0</v>
      </c>
      <c r="H1911" t="s">
        <v>2344</v>
      </c>
      <c r="I1911" t="str">
        <f t="shared" si="59"/>
        <v>Obesity</v>
      </c>
      <c r="J1911" t="str">
        <f t="shared" si="60"/>
        <v>Diabetes</v>
      </c>
    </row>
    <row r="1912" spans="1:10" x14ac:dyDescent="0.35">
      <c r="A1912" t="s">
        <v>1912</v>
      </c>
      <c r="B1912">
        <v>34.58</v>
      </c>
      <c r="C1912">
        <v>5.14</v>
      </c>
      <c r="D1912" t="s">
        <v>2344</v>
      </c>
      <c r="E1912" t="s">
        <v>2345</v>
      </c>
      <c r="F1912" t="s">
        <v>2344</v>
      </c>
      <c r="G1912">
        <v>1</v>
      </c>
      <c r="H1912" t="s">
        <v>2344</v>
      </c>
      <c r="I1912" t="str">
        <f t="shared" si="59"/>
        <v>Obesity</v>
      </c>
      <c r="J1912" t="str">
        <f t="shared" si="60"/>
        <v>Normal</v>
      </c>
    </row>
    <row r="1913" spans="1:10" x14ac:dyDescent="0.35">
      <c r="A1913" t="s">
        <v>1913</v>
      </c>
      <c r="B1913">
        <v>17.940000000000001</v>
      </c>
      <c r="C1913">
        <v>5.17</v>
      </c>
      <c r="D1913" t="s">
        <v>2346</v>
      </c>
      <c r="E1913" t="s">
        <v>2344</v>
      </c>
      <c r="F1913" t="s">
        <v>2344</v>
      </c>
      <c r="G1913">
        <v>0</v>
      </c>
      <c r="H1913" t="s">
        <v>2344</v>
      </c>
      <c r="I1913" t="str">
        <f t="shared" si="59"/>
        <v>Under Weight</v>
      </c>
      <c r="J1913" t="str">
        <f t="shared" si="60"/>
        <v>Normal</v>
      </c>
    </row>
    <row r="1914" spans="1:10" x14ac:dyDescent="0.35">
      <c r="A1914" t="s">
        <v>1914</v>
      </c>
      <c r="B1914">
        <v>26.8</v>
      </c>
      <c r="C1914">
        <v>6.18</v>
      </c>
      <c r="D1914" t="s">
        <v>2346</v>
      </c>
      <c r="E1914" t="s">
        <v>2344</v>
      </c>
      <c r="F1914" t="s">
        <v>2346</v>
      </c>
      <c r="G1914">
        <v>1</v>
      </c>
      <c r="H1914" t="s">
        <v>2344</v>
      </c>
      <c r="I1914" t="str">
        <f t="shared" si="59"/>
        <v>Over weight</v>
      </c>
      <c r="J1914" t="str">
        <f t="shared" si="60"/>
        <v>Prediabetes</v>
      </c>
    </row>
    <row r="1915" spans="1:10" x14ac:dyDescent="0.35">
      <c r="A1915" t="s">
        <v>1915</v>
      </c>
      <c r="B1915">
        <v>17.690000000000001</v>
      </c>
      <c r="C1915">
        <v>9.07</v>
      </c>
      <c r="D1915" t="s">
        <v>2346</v>
      </c>
      <c r="E1915" t="s">
        <v>2344</v>
      </c>
      <c r="F1915" t="s">
        <v>2344</v>
      </c>
      <c r="G1915">
        <v>0</v>
      </c>
      <c r="H1915" t="s">
        <v>2344</v>
      </c>
      <c r="I1915" t="str">
        <f t="shared" si="59"/>
        <v>Under Weight</v>
      </c>
      <c r="J1915" t="str">
        <f t="shared" si="60"/>
        <v>Diabetes</v>
      </c>
    </row>
    <row r="1916" spans="1:10" x14ac:dyDescent="0.35">
      <c r="A1916" t="s">
        <v>1916</v>
      </c>
      <c r="B1916">
        <v>25.77</v>
      </c>
      <c r="C1916">
        <v>4.43</v>
      </c>
      <c r="D1916" t="s">
        <v>2344</v>
      </c>
      <c r="E1916" t="s">
        <v>2344</v>
      </c>
      <c r="F1916" t="s">
        <v>2346</v>
      </c>
      <c r="G1916">
        <v>1</v>
      </c>
      <c r="H1916" t="s">
        <v>2344</v>
      </c>
      <c r="I1916" t="str">
        <f t="shared" si="59"/>
        <v>Over weight</v>
      </c>
      <c r="J1916" t="str">
        <f t="shared" si="60"/>
        <v>Normal</v>
      </c>
    </row>
    <row r="1917" spans="1:10" x14ac:dyDescent="0.35">
      <c r="A1917" t="s">
        <v>1917</v>
      </c>
      <c r="B1917">
        <v>34.46</v>
      </c>
      <c r="C1917">
        <v>4.17</v>
      </c>
      <c r="D1917" t="s">
        <v>2344</v>
      </c>
      <c r="E1917" t="s">
        <v>2345</v>
      </c>
      <c r="F1917" t="s">
        <v>2344</v>
      </c>
      <c r="G1917">
        <v>1</v>
      </c>
      <c r="H1917" t="s">
        <v>2344</v>
      </c>
      <c r="I1917" t="str">
        <f t="shared" si="59"/>
        <v>Obesity</v>
      </c>
      <c r="J1917" t="str">
        <f t="shared" si="60"/>
        <v>Normal</v>
      </c>
    </row>
    <row r="1918" spans="1:10" x14ac:dyDescent="0.35">
      <c r="A1918" t="s">
        <v>1918</v>
      </c>
      <c r="B1918">
        <v>30.875</v>
      </c>
      <c r="C1918">
        <v>4.95</v>
      </c>
      <c r="D1918" t="s">
        <v>2346</v>
      </c>
      <c r="E1918" t="s">
        <v>2344</v>
      </c>
      <c r="F1918" t="s">
        <v>2344</v>
      </c>
      <c r="G1918">
        <v>0</v>
      </c>
      <c r="H1918" t="s">
        <v>2344</v>
      </c>
      <c r="I1918" t="str">
        <f t="shared" si="59"/>
        <v>Obesity</v>
      </c>
      <c r="J1918" t="str">
        <f t="shared" si="60"/>
        <v>Normal</v>
      </c>
    </row>
    <row r="1919" spans="1:10" x14ac:dyDescent="0.35">
      <c r="A1919" t="s">
        <v>1919</v>
      </c>
      <c r="B1919">
        <v>39.49</v>
      </c>
      <c r="C1919">
        <v>5.13</v>
      </c>
      <c r="D1919" t="s">
        <v>2344</v>
      </c>
      <c r="E1919" t="s">
        <v>2344</v>
      </c>
      <c r="F1919" t="s">
        <v>2344</v>
      </c>
      <c r="G1919">
        <v>0</v>
      </c>
      <c r="H1919" t="s">
        <v>2344</v>
      </c>
      <c r="I1919" t="str">
        <f t="shared" si="59"/>
        <v>Obesity</v>
      </c>
      <c r="J1919" t="str">
        <f t="shared" si="60"/>
        <v>Normal</v>
      </c>
    </row>
    <row r="1920" spans="1:10" x14ac:dyDescent="0.35">
      <c r="A1920" t="s">
        <v>1920</v>
      </c>
      <c r="B1920">
        <v>28.88</v>
      </c>
      <c r="C1920">
        <v>4.0999999999999996</v>
      </c>
      <c r="D1920" t="s">
        <v>2344</v>
      </c>
      <c r="E1920" t="s">
        <v>2344</v>
      </c>
      <c r="F1920" t="s">
        <v>2344</v>
      </c>
      <c r="G1920">
        <v>0</v>
      </c>
      <c r="H1920" t="s">
        <v>2344</v>
      </c>
      <c r="I1920" t="str">
        <f t="shared" si="59"/>
        <v>Over weight</v>
      </c>
      <c r="J1920" t="str">
        <f t="shared" si="60"/>
        <v>Normal</v>
      </c>
    </row>
    <row r="1921" spans="1:10" x14ac:dyDescent="0.35">
      <c r="A1921" t="s">
        <v>1921</v>
      </c>
      <c r="B1921">
        <v>20.234999999999999</v>
      </c>
      <c r="C1921">
        <v>5.01</v>
      </c>
      <c r="D1921" t="s">
        <v>2346</v>
      </c>
      <c r="E1921" t="s">
        <v>2344</v>
      </c>
      <c r="F1921" t="s">
        <v>2344</v>
      </c>
      <c r="G1921">
        <v>0</v>
      </c>
      <c r="H1921" t="s">
        <v>2344</v>
      </c>
      <c r="I1921" t="str">
        <f t="shared" si="59"/>
        <v>Normal Weight</v>
      </c>
      <c r="J1921" t="str">
        <f t="shared" si="60"/>
        <v>Normal</v>
      </c>
    </row>
    <row r="1922" spans="1:10" x14ac:dyDescent="0.35">
      <c r="A1922" t="s">
        <v>1922</v>
      </c>
      <c r="B1922">
        <v>30.67</v>
      </c>
      <c r="C1922">
        <v>5.09</v>
      </c>
      <c r="D1922" t="s">
        <v>2346</v>
      </c>
      <c r="E1922" t="s">
        <v>2344</v>
      </c>
      <c r="F1922" t="s">
        <v>2344</v>
      </c>
      <c r="G1922">
        <v>0</v>
      </c>
      <c r="H1922" t="s">
        <v>2344</v>
      </c>
      <c r="I1922" t="str">
        <f t="shared" si="59"/>
        <v>Obesity</v>
      </c>
      <c r="J1922" t="str">
        <f t="shared" si="60"/>
        <v>Normal</v>
      </c>
    </row>
    <row r="1923" spans="1:10" x14ac:dyDescent="0.35">
      <c r="A1923" t="s">
        <v>1923</v>
      </c>
      <c r="B1923">
        <v>30.875</v>
      </c>
      <c r="C1923">
        <v>6.49</v>
      </c>
      <c r="D1923" t="s">
        <v>2344</v>
      </c>
      <c r="E1923" t="s">
        <v>2344</v>
      </c>
      <c r="F1923" t="s">
        <v>2344</v>
      </c>
      <c r="G1923">
        <v>0</v>
      </c>
      <c r="H1923" t="s">
        <v>2344</v>
      </c>
      <c r="I1923" t="str">
        <f t="shared" ref="I1923:I1986" si="61">IF(B1923&lt;18.5,"Under Weight",IF(B1923&lt;25,"Normal Weight",IF(B1923&lt;30,"Over weight","Obesity")))</f>
        <v>Obesity</v>
      </c>
      <c r="J1923" t="str">
        <f t="shared" si="60"/>
        <v>Prediabetes</v>
      </c>
    </row>
    <row r="1924" spans="1:10" x14ac:dyDescent="0.35">
      <c r="A1924" t="s">
        <v>1924</v>
      </c>
      <c r="B1924">
        <v>23.8</v>
      </c>
      <c r="C1924">
        <v>4.08</v>
      </c>
      <c r="D1924" t="s">
        <v>2344</v>
      </c>
      <c r="E1924" t="s">
        <v>2344</v>
      </c>
      <c r="F1924" t="s">
        <v>2344</v>
      </c>
      <c r="G1924">
        <v>0</v>
      </c>
      <c r="H1924" t="s">
        <v>2344</v>
      </c>
      <c r="I1924" t="str">
        <f t="shared" si="61"/>
        <v>Normal Weight</v>
      </c>
      <c r="J1924" t="str">
        <f t="shared" si="60"/>
        <v>Normal</v>
      </c>
    </row>
    <row r="1925" spans="1:10" x14ac:dyDescent="0.35">
      <c r="A1925" t="s">
        <v>1925</v>
      </c>
      <c r="B1925">
        <v>15.37</v>
      </c>
      <c r="C1925">
        <v>8.6300000000000008</v>
      </c>
      <c r="D1925" t="s">
        <v>2346</v>
      </c>
      <c r="E1925" t="s">
        <v>2344</v>
      </c>
      <c r="F1925" t="s">
        <v>2344</v>
      </c>
      <c r="G1925">
        <v>0</v>
      </c>
      <c r="H1925" t="s">
        <v>2344</v>
      </c>
      <c r="I1925" t="str">
        <f t="shared" si="61"/>
        <v>Under Weight</v>
      </c>
      <c r="J1925" t="str">
        <f t="shared" si="60"/>
        <v>Diabetes</v>
      </c>
    </row>
    <row r="1926" spans="1:10" x14ac:dyDescent="0.35">
      <c r="A1926" t="s">
        <v>1926</v>
      </c>
      <c r="B1926">
        <v>30.4</v>
      </c>
      <c r="C1926">
        <v>5.28</v>
      </c>
      <c r="D1926" t="s">
        <v>2344</v>
      </c>
      <c r="E1926" t="s">
        <v>2344</v>
      </c>
      <c r="F1926" t="s">
        <v>2344</v>
      </c>
      <c r="G1926">
        <v>0</v>
      </c>
      <c r="H1926" t="s">
        <v>2344</v>
      </c>
      <c r="I1926" t="str">
        <f t="shared" si="61"/>
        <v>Obesity</v>
      </c>
      <c r="J1926" t="str">
        <f t="shared" si="60"/>
        <v>Normal</v>
      </c>
    </row>
    <row r="1927" spans="1:10" x14ac:dyDescent="0.35">
      <c r="A1927" t="s">
        <v>1927</v>
      </c>
      <c r="B1927">
        <v>19.48</v>
      </c>
      <c r="C1927">
        <v>5.63</v>
      </c>
      <c r="D1927" t="s">
        <v>2346</v>
      </c>
      <c r="E1927" t="s">
        <v>2344</v>
      </c>
      <c r="F1927" t="s">
        <v>2344</v>
      </c>
      <c r="G1927">
        <v>1</v>
      </c>
      <c r="H1927" t="s">
        <v>2344</v>
      </c>
      <c r="I1927" t="str">
        <f t="shared" si="61"/>
        <v>Normal Weight</v>
      </c>
      <c r="J1927" t="str">
        <f t="shared" si="60"/>
        <v>Normal</v>
      </c>
    </row>
    <row r="1928" spans="1:10" x14ac:dyDescent="0.35">
      <c r="A1928" t="s">
        <v>1928</v>
      </c>
      <c r="B1928">
        <v>16.96</v>
      </c>
      <c r="C1928">
        <v>11.47</v>
      </c>
      <c r="D1928" t="s">
        <v>2346</v>
      </c>
      <c r="E1928" t="s">
        <v>2344</v>
      </c>
      <c r="F1928" t="s">
        <v>2344</v>
      </c>
      <c r="G1928">
        <v>0</v>
      </c>
      <c r="H1928" t="s">
        <v>2344</v>
      </c>
      <c r="I1928" t="str">
        <f t="shared" si="61"/>
        <v>Under Weight</v>
      </c>
      <c r="J1928" t="str">
        <f t="shared" si="60"/>
        <v>Diabetes</v>
      </c>
    </row>
    <row r="1929" spans="1:10" x14ac:dyDescent="0.35">
      <c r="A1929" t="s">
        <v>1929</v>
      </c>
      <c r="B1929">
        <v>19.05</v>
      </c>
      <c r="C1929">
        <v>4.92</v>
      </c>
      <c r="D1929" t="s">
        <v>2344</v>
      </c>
      <c r="E1929" t="s">
        <v>2344</v>
      </c>
      <c r="F1929" t="s">
        <v>2344</v>
      </c>
      <c r="G1929">
        <v>1</v>
      </c>
      <c r="H1929" t="s">
        <v>2344</v>
      </c>
      <c r="I1929" t="str">
        <f t="shared" si="61"/>
        <v>Normal Weight</v>
      </c>
      <c r="J1929" t="str">
        <f t="shared" si="60"/>
        <v>Normal</v>
      </c>
    </row>
    <row r="1930" spans="1:10" x14ac:dyDescent="0.35">
      <c r="A1930" t="s">
        <v>1930</v>
      </c>
      <c r="B1930">
        <v>37.619999999999997</v>
      </c>
      <c r="C1930">
        <v>4.18</v>
      </c>
      <c r="D1930" t="s">
        <v>2344</v>
      </c>
      <c r="E1930" t="s">
        <v>2344</v>
      </c>
      <c r="F1930" t="s">
        <v>2344</v>
      </c>
      <c r="G1930">
        <v>0</v>
      </c>
      <c r="H1930" t="s">
        <v>2344</v>
      </c>
      <c r="I1930" t="str">
        <f t="shared" si="61"/>
        <v>Obesity</v>
      </c>
      <c r="J1930" t="str">
        <f t="shared" si="60"/>
        <v>Normal</v>
      </c>
    </row>
    <row r="1931" spans="1:10" x14ac:dyDescent="0.35">
      <c r="A1931" t="s">
        <v>1931</v>
      </c>
      <c r="B1931">
        <v>29.1</v>
      </c>
      <c r="C1931">
        <v>4.67</v>
      </c>
      <c r="D1931" t="s">
        <v>2344</v>
      </c>
      <c r="E1931" t="s">
        <v>2344</v>
      </c>
      <c r="F1931" t="s">
        <v>2344</v>
      </c>
      <c r="G1931">
        <v>0</v>
      </c>
      <c r="H1931" t="s">
        <v>2344</v>
      </c>
      <c r="I1931" t="str">
        <f t="shared" si="61"/>
        <v>Over weight</v>
      </c>
      <c r="J1931" t="str">
        <f t="shared" si="60"/>
        <v>Normal</v>
      </c>
    </row>
    <row r="1932" spans="1:10" x14ac:dyDescent="0.35">
      <c r="A1932" t="s">
        <v>1932</v>
      </c>
      <c r="B1932">
        <v>26.62</v>
      </c>
      <c r="C1932">
        <v>6.24</v>
      </c>
      <c r="D1932" t="s">
        <v>2344</v>
      </c>
      <c r="E1932" t="s">
        <v>2344</v>
      </c>
      <c r="F1932" t="s">
        <v>2344</v>
      </c>
      <c r="G1932">
        <v>0</v>
      </c>
      <c r="H1932" t="s">
        <v>2344</v>
      </c>
      <c r="I1932" t="str">
        <f t="shared" si="61"/>
        <v>Over weight</v>
      </c>
      <c r="J1932" t="str">
        <f t="shared" ref="J1932:J1995" si="62">IF(C1932&lt;5.7,"Normal",IF(C1932&lt;6.5,"Prediabetes","Diabetes"))</f>
        <v>Prediabetes</v>
      </c>
    </row>
    <row r="1933" spans="1:10" x14ac:dyDescent="0.35">
      <c r="A1933" t="s">
        <v>1933</v>
      </c>
      <c r="B1933">
        <v>25.74</v>
      </c>
      <c r="C1933">
        <v>5.99</v>
      </c>
      <c r="D1933" t="s">
        <v>2344</v>
      </c>
      <c r="E1933" t="s">
        <v>2344</v>
      </c>
      <c r="F1933" t="s">
        <v>2344</v>
      </c>
      <c r="G1933">
        <v>0</v>
      </c>
      <c r="H1933" t="s">
        <v>2344</v>
      </c>
      <c r="I1933" t="str">
        <f t="shared" si="61"/>
        <v>Over weight</v>
      </c>
      <c r="J1933" t="str">
        <f t="shared" si="62"/>
        <v>Prediabetes</v>
      </c>
    </row>
    <row r="1934" spans="1:10" x14ac:dyDescent="0.35">
      <c r="A1934" t="s">
        <v>1934</v>
      </c>
      <c r="B1934">
        <v>18.22</v>
      </c>
      <c r="C1934">
        <v>10.27</v>
      </c>
      <c r="D1934" t="s">
        <v>2346</v>
      </c>
      <c r="E1934" t="s">
        <v>2344</v>
      </c>
      <c r="F1934" t="s">
        <v>2344</v>
      </c>
      <c r="G1934">
        <v>1</v>
      </c>
      <c r="H1934" t="s">
        <v>2344</v>
      </c>
      <c r="I1934" t="str">
        <f t="shared" si="61"/>
        <v>Under Weight</v>
      </c>
      <c r="J1934" t="str">
        <f t="shared" si="62"/>
        <v>Diabetes</v>
      </c>
    </row>
    <row r="1935" spans="1:10" x14ac:dyDescent="0.35">
      <c r="A1935" t="s">
        <v>1935</v>
      </c>
      <c r="B1935">
        <v>26.03</v>
      </c>
      <c r="C1935">
        <v>5.97</v>
      </c>
      <c r="D1935" t="s">
        <v>2344</v>
      </c>
      <c r="E1935" t="s">
        <v>2344</v>
      </c>
      <c r="F1935" t="s">
        <v>2346</v>
      </c>
      <c r="G1935">
        <v>1</v>
      </c>
      <c r="H1935" t="s">
        <v>2344</v>
      </c>
      <c r="I1935" t="str">
        <f t="shared" si="61"/>
        <v>Over weight</v>
      </c>
      <c r="J1935" t="str">
        <f t="shared" si="62"/>
        <v>Prediabetes</v>
      </c>
    </row>
    <row r="1936" spans="1:10" x14ac:dyDescent="0.35">
      <c r="A1936" t="s">
        <v>1936</v>
      </c>
      <c r="B1936">
        <v>17.29</v>
      </c>
      <c r="C1936">
        <v>4.9800000000000004</v>
      </c>
      <c r="D1936" t="s">
        <v>2344</v>
      </c>
      <c r="E1936" t="s">
        <v>2344</v>
      </c>
      <c r="F1936" t="s">
        <v>2344</v>
      </c>
      <c r="G1936">
        <v>0</v>
      </c>
      <c r="H1936" t="s">
        <v>2344</v>
      </c>
      <c r="I1936" t="str">
        <f t="shared" si="61"/>
        <v>Under Weight</v>
      </c>
      <c r="J1936" t="str">
        <f t="shared" si="62"/>
        <v>Normal</v>
      </c>
    </row>
    <row r="1937" spans="1:10" x14ac:dyDescent="0.35">
      <c r="A1937" t="s">
        <v>1937</v>
      </c>
      <c r="B1937">
        <v>18.170000000000002</v>
      </c>
      <c r="C1937">
        <v>6.91</v>
      </c>
      <c r="D1937" t="s">
        <v>2346</v>
      </c>
      <c r="E1937" t="s">
        <v>2344</v>
      </c>
      <c r="F1937" t="s">
        <v>2344</v>
      </c>
      <c r="G1937">
        <v>1</v>
      </c>
      <c r="H1937" t="s">
        <v>2344</v>
      </c>
      <c r="I1937" t="str">
        <f t="shared" si="61"/>
        <v>Under Weight</v>
      </c>
      <c r="J1937" t="str">
        <f t="shared" si="62"/>
        <v>Diabetes</v>
      </c>
    </row>
    <row r="1938" spans="1:10" x14ac:dyDescent="0.35">
      <c r="A1938" t="s">
        <v>1938</v>
      </c>
      <c r="B1938">
        <v>32.54</v>
      </c>
      <c r="C1938">
        <v>6.38</v>
      </c>
      <c r="D1938" t="s">
        <v>2344</v>
      </c>
      <c r="E1938" t="s">
        <v>2345</v>
      </c>
      <c r="F1938" t="s">
        <v>2344</v>
      </c>
      <c r="G1938">
        <v>1</v>
      </c>
      <c r="H1938" t="s">
        <v>2344</v>
      </c>
      <c r="I1938" t="str">
        <f t="shared" si="61"/>
        <v>Obesity</v>
      </c>
      <c r="J1938" t="str">
        <f t="shared" si="62"/>
        <v>Prediabetes</v>
      </c>
    </row>
    <row r="1939" spans="1:10" x14ac:dyDescent="0.35">
      <c r="A1939" t="s">
        <v>1939</v>
      </c>
      <c r="B1939">
        <v>30.25</v>
      </c>
      <c r="C1939">
        <v>4.7699999999999996</v>
      </c>
      <c r="D1939" t="s">
        <v>2344</v>
      </c>
      <c r="E1939" t="s">
        <v>2344</v>
      </c>
      <c r="F1939" t="s">
        <v>2344</v>
      </c>
      <c r="G1939">
        <v>0</v>
      </c>
      <c r="H1939" t="s">
        <v>2344</v>
      </c>
      <c r="I1939" t="str">
        <f t="shared" si="61"/>
        <v>Obesity</v>
      </c>
      <c r="J1939" t="str">
        <f t="shared" si="62"/>
        <v>Normal</v>
      </c>
    </row>
    <row r="1940" spans="1:10" x14ac:dyDescent="0.35">
      <c r="A1940" t="s">
        <v>1940</v>
      </c>
      <c r="B1940">
        <v>19.59</v>
      </c>
      <c r="C1940">
        <v>6.04</v>
      </c>
      <c r="D1940" t="s">
        <v>2346</v>
      </c>
      <c r="E1940" t="s">
        <v>2344</v>
      </c>
      <c r="F1940" t="s">
        <v>2344</v>
      </c>
      <c r="G1940">
        <v>1</v>
      </c>
      <c r="H1940" t="s">
        <v>2344</v>
      </c>
      <c r="I1940" t="str">
        <f t="shared" si="61"/>
        <v>Normal Weight</v>
      </c>
      <c r="J1940" t="str">
        <f t="shared" si="62"/>
        <v>Prediabetes</v>
      </c>
    </row>
    <row r="1941" spans="1:10" x14ac:dyDescent="0.35">
      <c r="A1941" t="s">
        <v>1941</v>
      </c>
      <c r="B1941">
        <v>45.9</v>
      </c>
      <c r="C1941">
        <v>4.3</v>
      </c>
      <c r="D1941" t="s">
        <v>2346</v>
      </c>
      <c r="E1941" t="s">
        <v>2344</v>
      </c>
      <c r="F1941" t="s">
        <v>2344</v>
      </c>
      <c r="G1941">
        <v>1</v>
      </c>
      <c r="H1941" t="s">
        <v>2344</v>
      </c>
      <c r="I1941" t="str">
        <f t="shared" si="61"/>
        <v>Obesity</v>
      </c>
      <c r="J1941" t="str">
        <f t="shared" si="62"/>
        <v>Normal</v>
      </c>
    </row>
    <row r="1942" spans="1:10" x14ac:dyDescent="0.35">
      <c r="A1942" t="s">
        <v>1942</v>
      </c>
      <c r="B1942">
        <v>17.059999999999999</v>
      </c>
      <c r="C1942">
        <v>8.75</v>
      </c>
      <c r="D1942" t="s">
        <v>2346</v>
      </c>
      <c r="E1942" t="s">
        <v>2344</v>
      </c>
      <c r="F1942" t="s">
        <v>2344</v>
      </c>
      <c r="G1942">
        <v>0</v>
      </c>
      <c r="H1942" t="s">
        <v>2344</v>
      </c>
      <c r="I1942" t="str">
        <f t="shared" si="61"/>
        <v>Under Weight</v>
      </c>
      <c r="J1942" t="str">
        <f t="shared" si="62"/>
        <v>Diabetes</v>
      </c>
    </row>
    <row r="1943" spans="1:10" x14ac:dyDescent="0.35">
      <c r="A1943" t="s">
        <v>1943</v>
      </c>
      <c r="B1943">
        <v>32.07</v>
      </c>
      <c r="C1943">
        <v>5.25</v>
      </c>
      <c r="D1943" t="s">
        <v>2344</v>
      </c>
      <c r="E1943" t="s">
        <v>2344</v>
      </c>
      <c r="F1943" t="s">
        <v>2346</v>
      </c>
      <c r="G1943">
        <v>1</v>
      </c>
      <c r="H1943" t="s">
        <v>2344</v>
      </c>
      <c r="I1943" t="str">
        <f t="shared" si="61"/>
        <v>Obesity</v>
      </c>
      <c r="J1943" t="str">
        <f t="shared" si="62"/>
        <v>Normal</v>
      </c>
    </row>
    <row r="1944" spans="1:10" x14ac:dyDescent="0.35">
      <c r="A1944" t="s">
        <v>1944</v>
      </c>
      <c r="B1944">
        <v>16.5</v>
      </c>
      <c r="C1944">
        <v>5.03</v>
      </c>
      <c r="D1944" t="s">
        <v>2344</v>
      </c>
      <c r="E1944" t="s">
        <v>2344</v>
      </c>
      <c r="F1944" t="s">
        <v>2344</v>
      </c>
      <c r="G1944">
        <v>1</v>
      </c>
      <c r="H1944" t="s">
        <v>2344</v>
      </c>
      <c r="I1944" t="str">
        <f t="shared" si="61"/>
        <v>Under Weight</v>
      </c>
      <c r="J1944" t="str">
        <f t="shared" si="62"/>
        <v>Normal</v>
      </c>
    </row>
    <row r="1945" spans="1:10" x14ac:dyDescent="0.35">
      <c r="A1945" t="s">
        <v>1945</v>
      </c>
      <c r="B1945">
        <v>31.4</v>
      </c>
      <c r="C1945">
        <v>5.88</v>
      </c>
      <c r="D1945" t="s">
        <v>2344</v>
      </c>
      <c r="E1945" t="s">
        <v>2344</v>
      </c>
      <c r="F1945" t="s">
        <v>2344</v>
      </c>
      <c r="G1945">
        <v>1</v>
      </c>
      <c r="H1945" t="s">
        <v>2344</v>
      </c>
      <c r="I1945" t="str">
        <f t="shared" si="61"/>
        <v>Obesity</v>
      </c>
      <c r="J1945" t="str">
        <f t="shared" si="62"/>
        <v>Prediabetes</v>
      </c>
    </row>
    <row r="1946" spans="1:10" x14ac:dyDescent="0.35">
      <c r="A1946" t="s">
        <v>1946</v>
      </c>
      <c r="B1946">
        <v>20.36</v>
      </c>
      <c r="C1946">
        <v>4.49</v>
      </c>
      <c r="D1946" t="s">
        <v>2344</v>
      </c>
      <c r="E1946" t="s">
        <v>2344</v>
      </c>
      <c r="F1946" t="s">
        <v>2344</v>
      </c>
      <c r="G1946">
        <v>0</v>
      </c>
      <c r="H1946" t="s">
        <v>2344</v>
      </c>
      <c r="I1946" t="str">
        <f t="shared" si="61"/>
        <v>Normal Weight</v>
      </c>
      <c r="J1946" t="str">
        <f t="shared" si="62"/>
        <v>Normal</v>
      </c>
    </row>
    <row r="1947" spans="1:10" x14ac:dyDescent="0.35">
      <c r="A1947" t="s">
        <v>1947</v>
      </c>
      <c r="B1947">
        <v>25.46</v>
      </c>
      <c r="C1947">
        <v>4.1399999999999997</v>
      </c>
      <c r="D1947" t="s">
        <v>2344</v>
      </c>
      <c r="E1947" t="s">
        <v>2344</v>
      </c>
      <c r="F1947" t="s">
        <v>2344</v>
      </c>
      <c r="G1947">
        <v>1</v>
      </c>
      <c r="H1947" t="s">
        <v>2344</v>
      </c>
      <c r="I1947" t="str">
        <f t="shared" si="61"/>
        <v>Over weight</v>
      </c>
      <c r="J1947" t="str">
        <f t="shared" si="62"/>
        <v>Normal</v>
      </c>
    </row>
    <row r="1948" spans="1:10" x14ac:dyDescent="0.35">
      <c r="A1948" t="s">
        <v>1948</v>
      </c>
      <c r="B1948">
        <v>17.09</v>
      </c>
      <c r="C1948">
        <v>5.8</v>
      </c>
      <c r="D1948" t="s">
        <v>2346</v>
      </c>
      <c r="E1948" t="s">
        <v>2344</v>
      </c>
      <c r="F1948" t="s">
        <v>2344</v>
      </c>
      <c r="G1948">
        <v>0</v>
      </c>
      <c r="H1948" t="s">
        <v>2344</v>
      </c>
      <c r="I1948" t="str">
        <f t="shared" si="61"/>
        <v>Under Weight</v>
      </c>
      <c r="J1948" t="str">
        <f t="shared" si="62"/>
        <v>Prediabetes</v>
      </c>
    </row>
    <row r="1949" spans="1:10" x14ac:dyDescent="0.35">
      <c r="A1949" t="s">
        <v>1949</v>
      </c>
      <c r="B1949">
        <v>20.83</v>
      </c>
      <c r="C1949">
        <v>5.12</v>
      </c>
      <c r="D1949" t="s">
        <v>2344</v>
      </c>
      <c r="E1949" t="s">
        <v>2344</v>
      </c>
      <c r="F1949" t="s">
        <v>2344</v>
      </c>
      <c r="G1949">
        <v>0</v>
      </c>
      <c r="H1949" t="s">
        <v>2344</v>
      </c>
      <c r="I1949" t="str">
        <f t="shared" si="61"/>
        <v>Normal Weight</v>
      </c>
      <c r="J1949" t="str">
        <f t="shared" si="62"/>
        <v>Normal</v>
      </c>
    </row>
    <row r="1950" spans="1:10" x14ac:dyDescent="0.35">
      <c r="A1950" t="s">
        <v>1950</v>
      </c>
      <c r="B1950">
        <v>18.920000000000002</v>
      </c>
      <c r="C1950">
        <v>5.98</v>
      </c>
      <c r="D1950" t="s">
        <v>2346</v>
      </c>
      <c r="E1950" t="s">
        <v>2344</v>
      </c>
      <c r="F1950" t="s">
        <v>2344</v>
      </c>
      <c r="G1950">
        <v>1</v>
      </c>
      <c r="H1950" t="s">
        <v>2344</v>
      </c>
      <c r="I1950" t="str">
        <f t="shared" si="61"/>
        <v>Normal Weight</v>
      </c>
      <c r="J1950" t="str">
        <f t="shared" si="62"/>
        <v>Prediabetes</v>
      </c>
    </row>
    <row r="1951" spans="1:10" x14ac:dyDescent="0.35">
      <c r="A1951" t="s">
        <v>1951</v>
      </c>
      <c r="B1951">
        <v>37.1</v>
      </c>
      <c r="C1951">
        <v>5.46</v>
      </c>
      <c r="D1951" t="s">
        <v>2344</v>
      </c>
      <c r="E1951" t="s">
        <v>2344</v>
      </c>
      <c r="F1951" t="s">
        <v>2344</v>
      </c>
      <c r="G1951">
        <v>0</v>
      </c>
      <c r="H1951" t="s">
        <v>2344</v>
      </c>
      <c r="I1951" t="str">
        <f t="shared" si="61"/>
        <v>Obesity</v>
      </c>
      <c r="J1951" t="str">
        <f t="shared" si="62"/>
        <v>Normal</v>
      </c>
    </row>
    <row r="1952" spans="1:10" x14ac:dyDescent="0.35">
      <c r="A1952" t="s">
        <v>1952</v>
      </c>
      <c r="B1952">
        <v>22.515000000000001</v>
      </c>
      <c r="C1952">
        <v>4.91</v>
      </c>
      <c r="D1952" t="s">
        <v>2346</v>
      </c>
      <c r="E1952" t="s">
        <v>2344</v>
      </c>
      <c r="F1952" t="s">
        <v>2346</v>
      </c>
      <c r="G1952">
        <v>1</v>
      </c>
      <c r="H1952" t="s">
        <v>2344</v>
      </c>
      <c r="I1952" t="str">
        <f t="shared" si="61"/>
        <v>Normal Weight</v>
      </c>
      <c r="J1952" t="str">
        <f t="shared" si="62"/>
        <v>Normal</v>
      </c>
    </row>
    <row r="1953" spans="1:10" x14ac:dyDescent="0.35">
      <c r="A1953" t="s">
        <v>1953</v>
      </c>
      <c r="B1953">
        <v>32.700000000000003</v>
      </c>
      <c r="C1953">
        <v>4.66</v>
      </c>
      <c r="D1953" t="s">
        <v>2344</v>
      </c>
      <c r="E1953" t="s">
        <v>2344</v>
      </c>
      <c r="F1953" t="s">
        <v>2344</v>
      </c>
      <c r="G1953">
        <v>0</v>
      </c>
      <c r="H1953" t="s">
        <v>2344</v>
      </c>
      <c r="I1953" t="str">
        <f t="shared" si="61"/>
        <v>Obesity</v>
      </c>
      <c r="J1953" t="str">
        <f t="shared" si="62"/>
        <v>Normal</v>
      </c>
    </row>
    <row r="1954" spans="1:10" x14ac:dyDescent="0.35">
      <c r="A1954" t="s">
        <v>1954</v>
      </c>
      <c r="B1954">
        <v>17.75</v>
      </c>
      <c r="C1954">
        <v>6.8</v>
      </c>
      <c r="D1954" t="s">
        <v>2346</v>
      </c>
      <c r="E1954" t="s">
        <v>2344</v>
      </c>
      <c r="F1954" t="s">
        <v>2344</v>
      </c>
      <c r="G1954">
        <v>1</v>
      </c>
      <c r="H1954" t="s">
        <v>2344</v>
      </c>
      <c r="I1954" t="str">
        <f t="shared" si="61"/>
        <v>Under Weight</v>
      </c>
      <c r="J1954" t="str">
        <f t="shared" si="62"/>
        <v>Diabetes</v>
      </c>
    </row>
    <row r="1955" spans="1:10" x14ac:dyDescent="0.35">
      <c r="A1955" t="s">
        <v>1955</v>
      </c>
      <c r="B1955">
        <v>33.630000000000003</v>
      </c>
      <c r="C1955">
        <v>4.47</v>
      </c>
      <c r="D1955" t="s">
        <v>2346</v>
      </c>
      <c r="E1955" t="s">
        <v>2344</v>
      </c>
      <c r="F1955" t="s">
        <v>2344</v>
      </c>
      <c r="G1955">
        <v>0</v>
      </c>
      <c r="H1955" t="s">
        <v>2344</v>
      </c>
      <c r="I1955" t="str">
        <f t="shared" si="61"/>
        <v>Obesity</v>
      </c>
      <c r="J1955" t="str">
        <f t="shared" si="62"/>
        <v>Normal</v>
      </c>
    </row>
    <row r="1956" spans="1:10" x14ac:dyDescent="0.35">
      <c r="A1956" t="s">
        <v>1956</v>
      </c>
      <c r="B1956">
        <v>34.799999999999997</v>
      </c>
      <c r="C1956">
        <v>4.08</v>
      </c>
      <c r="D1956" t="s">
        <v>2346</v>
      </c>
      <c r="E1956" t="s">
        <v>2344</v>
      </c>
      <c r="F1956" t="s">
        <v>2344</v>
      </c>
      <c r="G1956">
        <v>1</v>
      </c>
      <c r="H1956" t="s">
        <v>2344</v>
      </c>
      <c r="I1956" t="str">
        <f t="shared" si="61"/>
        <v>Obesity</v>
      </c>
      <c r="J1956" t="str">
        <f t="shared" si="62"/>
        <v>Normal</v>
      </c>
    </row>
    <row r="1957" spans="1:10" x14ac:dyDescent="0.35">
      <c r="A1957" t="s">
        <v>1957</v>
      </c>
      <c r="B1957">
        <v>16.809999999999999</v>
      </c>
      <c r="C1957">
        <v>5.51</v>
      </c>
      <c r="D1957" t="s">
        <v>2346</v>
      </c>
      <c r="E1957" t="s">
        <v>2344</v>
      </c>
      <c r="F1957" t="s">
        <v>2344</v>
      </c>
      <c r="G1957">
        <v>1</v>
      </c>
      <c r="H1957" t="s">
        <v>2344</v>
      </c>
      <c r="I1957" t="str">
        <f t="shared" si="61"/>
        <v>Under Weight</v>
      </c>
      <c r="J1957" t="str">
        <f t="shared" si="62"/>
        <v>Normal</v>
      </c>
    </row>
    <row r="1958" spans="1:10" x14ac:dyDescent="0.35">
      <c r="A1958" t="s">
        <v>1958</v>
      </c>
      <c r="B1958">
        <v>16.690000000000001</v>
      </c>
      <c r="C1958">
        <v>8.4</v>
      </c>
      <c r="D1958" t="s">
        <v>2346</v>
      </c>
      <c r="E1958" t="s">
        <v>2344</v>
      </c>
      <c r="F1958" t="s">
        <v>2344</v>
      </c>
      <c r="G1958">
        <v>0</v>
      </c>
      <c r="H1958" t="s">
        <v>2344</v>
      </c>
      <c r="I1958" t="str">
        <f t="shared" si="61"/>
        <v>Under Weight</v>
      </c>
      <c r="J1958" t="str">
        <f t="shared" si="62"/>
        <v>Diabetes</v>
      </c>
    </row>
    <row r="1959" spans="1:10" x14ac:dyDescent="0.35">
      <c r="A1959" t="s">
        <v>1959</v>
      </c>
      <c r="B1959">
        <v>23.21</v>
      </c>
      <c r="C1959">
        <v>5.14</v>
      </c>
      <c r="D1959" t="s">
        <v>2346</v>
      </c>
      <c r="E1959" t="s">
        <v>2344</v>
      </c>
      <c r="F1959" t="s">
        <v>2344</v>
      </c>
      <c r="G1959">
        <v>1</v>
      </c>
      <c r="H1959" t="s">
        <v>2344</v>
      </c>
      <c r="I1959" t="str">
        <f t="shared" si="61"/>
        <v>Normal Weight</v>
      </c>
      <c r="J1959" t="str">
        <f t="shared" si="62"/>
        <v>Normal</v>
      </c>
    </row>
    <row r="1960" spans="1:10" x14ac:dyDescent="0.35">
      <c r="A1960" t="s">
        <v>1960</v>
      </c>
      <c r="B1960">
        <v>25.175000000000001</v>
      </c>
      <c r="C1960">
        <v>5.21</v>
      </c>
      <c r="D1960" t="s">
        <v>2346</v>
      </c>
      <c r="E1960" t="s">
        <v>2344</v>
      </c>
      <c r="F1960" t="s">
        <v>2344</v>
      </c>
      <c r="G1960">
        <v>1</v>
      </c>
      <c r="H1960" t="s">
        <v>2344</v>
      </c>
      <c r="I1960" t="str">
        <f t="shared" si="61"/>
        <v>Over weight</v>
      </c>
      <c r="J1960" t="str">
        <f t="shared" si="62"/>
        <v>Normal</v>
      </c>
    </row>
    <row r="1961" spans="1:10" x14ac:dyDescent="0.35">
      <c r="A1961" t="s">
        <v>1961</v>
      </c>
      <c r="B1961">
        <v>34.770000000000003</v>
      </c>
      <c r="C1961">
        <v>6.23</v>
      </c>
      <c r="D1961" t="s">
        <v>2344</v>
      </c>
      <c r="E1961" t="s">
        <v>2344</v>
      </c>
      <c r="F1961" t="s">
        <v>2344</v>
      </c>
      <c r="G1961">
        <v>0</v>
      </c>
      <c r="H1961" t="s">
        <v>2344</v>
      </c>
      <c r="I1961" t="str">
        <f t="shared" si="61"/>
        <v>Obesity</v>
      </c>
      <c r="J1961" t="str">
        <f t="shared" si="62"/>
        <v>Prediabetes</v>
      </c>
    </row>
    <row r="1962" spans="1:10" x14ac:dyDescent="0.35">
      <c r="A1962" t="s">
        <v>1962</v>
      </c>
      <c r="B1962">
        <v>27.7</v>
      </c>
      <c r="C1962">
        <v>5.6</v>
      </c>
      <c r="D1962" t="s">
        <v>2344</v>
      </c>
      <c r="E1962" t="s">
        <v>2344</v>
      </c>
      <c r="F1962" t="s">
        <v>2344</v>
      </c>
      <c r="G1962">
        <v>1</v>
      </c>
      <c r="H1962" t="s">
        <v>2344</v>
      </c>
      <c r="I1962" t="str">
        <f t="shared" si="61"/>
        <v>Over weight</v>
      </c>
      <c r="J1962" t="str">
        <f t="shared" si="62"/>
        <v>Normal</v>
      </c>
    </row>
    <row r="1963" spans="1:10" x14ac:dyDescent="0.35">
      <c r="A1963" t="s">
        <v>1963</v>
      </c>
      <c r="B1963">
        <v>19.12</v>
      </c>
      <c r="C1963">
        <v>4.72</v>
      </c>
      <c r="D1963" t="s">
        <v>2346</v>
      </c>
      <c r="E1963" t="s">
        <v>2344</v>
      </c>
      <c r="F1963" t="s">
        <v>2344</v>
      </c>
      <c r="G1963">
        <v>1</v>
      </c>
      <c r="H1963" t="s">
        <v>2344</v>
      </c>
      <c r="I1963" t="str">
        <f t="shared" si="61"/>
        <v>Normal Weight</v>
      </c>
      <c r="J1963" t="str">
        <f t="shared" si="62"/>
        <v>Normal</v>
      </c>
    </row>
    <row r="1964" spans="1:10" x14ac:dyDescent="0.35">
      <c r="A1964" t="s">
        <v>1964</v>
      </c>
      <c r="B1964">
        <v>32.67</v>
      </c>
      <c r="C1964">
        <v>4.67</v>
      </c>
      <c r="D1964" t="s">
        <v>2344</v>
      </c>
      <c r="E1964" t="s">
        <v>2344</v>
      </c>
      <c r="F1964" t="s">
        <v>2346</v>
      </c>
      <c r="G1964">
        <v>1</v>
      </c>
      <c r="H1964" t="s">
        <v>2344</v>
      </c>
      <c r="I1964" t="str">
        <f t="shared" si="61"/>
        <v>Obesity</v>
      </c>
      <c r="J1964" t="str">
        <f t="shared" si="62"/>
        <v>Normal</v>
      </c>
    </row>
    <row r="1965" spans="1:10" x14ac:dyDescent="0.35">
      <c r="A1965" t="s">
        <v>1965</v>
      </c>
      <c r="B1965">
        <v>28.5</v>
      </c>
      <c r="C1965">
        <v>6.11</v>
      </c>
      <c r="D1965" t="s">
        <v>2344</v>
      </c>
      <c r="E1965" t="s">
        <v>2344</v>
      </c>
      <c r="F1965" t="s">
        <v>2344</v>
      </c>
      <c r="G1965">
        <v>1</v>
      </c>
      <c r="H1965" t="s">
        <v>2344</v>
      </c>
      <c r="I1965" t="str">
        <f t="shared" si="61"/>
        <v>Over weight</v>
      </c>
      <c r="J1965" t="str">
        <f t="shared" si="62"/>
        <v>Prediabetes</v>
      </c>
    </row>
    <row r="1966" spans="1:10" x14ac:dyDescent="0.35">
      <c r="A1966" t="s">
        <v>1966</v>
      </c>
      <c r="B1966">
        <v>39.270000000000003</v>
      </c>
      <c r="C1966">
        <v>6.25</v>
      </c>
      <c r="D1966" t="s">
        <v>2344</v>
      </c>
      <c r="E1966" t="s">
        <v>2344</v>
      </c>
      <c r="F1966" t="s">
        <v>2344</v>
      </c>
      <c r="G1966">
        <v>0</v>
      </c>
      <c r="H1966" t="s">
        <v>2344</v>
      </c>
      <c r="I1966" t="str">
        <f t="shared" si="61"/>
        <v>Obesity</v>
      </c>
      <c r="J1966" t="str">
        <f t="shared" si="62"/>
        <v>Prediabetes</v>
      </c>
    </row>
    <row r="1967" spans="1:10" x14ac:dyDescent="0.35">
      <c r="A1967" t="s">
        <v>1967</v>
      </c>
      <c r="B1967">
        <v>32.49</v>
      </c>
      <c r="C1967" t="s">
        <v>2346</v>
      </c>
      <c r="D1967" t="s">
        <v>2346</v>
      </c>
      <c r="E1967" t="s">
        <v>2344</v>
      </c>
      <c r="F1967" t="s">
        <v>2344</v>
      </c>
      <c r="G1967">
        <v>0</v>
      </c>
      <c r="H1967" t="s">
        <v>2344</v>
      </c>
      <c r="I1967" t="str">
        <f t="shared" si="61"/>
        <v>Obesity</v>
      </c>
      <c r="J1967" t="str">
        <f t="shared" si="62"/>
        <v>Diabetes</v>
      </c>
    </row>
    <row r="1968" spans="1:10" x14ac:dyDescent="0.35">
      <c r="A1968" t="s">
        <v>1968</v>
      </c>
      <c r="B1968">
        <v>23.7</v>
      </c>
      <c r="C1968">
        <v>5.55</v>
      </c>
      <c r="D1968" t="s">
        <v>2346</v>
      </c>
      <c r="E1968" t="s">
        <v>2344</v>
      </c>
      <c r="F1968" t="s">
        <v>2344</v>
      </c>
      <c r="G1968">
        <v>0</v>
      </c>
      <c r="H1968" t="s">
        <v>2344</v>
      </c>
      <c r="I1968" t="str">
        <f t="shared" si="61"/>
        <v>Normal Weight</v>
      </c>
      <c r="J1968" t="str">
        <f t="shared" si="62"/>
        <v>Normal</v>
      </c>
    </row>
    <row r="1969" spans="1:10" x14ac:dyDescent="0.35">
      <c r="A1969" t="s">
        <v>1969</v>
      </c>
      <c r="B1969">
        <v>30.4</v>
      </c>
      <c r="C1969">
        <v>5.95</v>
      </c>
      <c r="D1969" t="s">
        <v>2344</v>
      </c>
      <c r="E1969" t="s">
        <v>2345</v>
      </c>
      <c r="F1969" t="s">
        <v>2344</v>
      </c>
      <c r="G1969">
        <v>1</v>
      </c>
      <c r="H1969" t="s">
        <v>2344</v>
      </c>
      <c r="I1969" t="str">
        <f t="shared" si="61"/>
        <v>Obesity</v>
      </c>
      <c r="J1969" t="str">
        <f t="shared" si="62"/>
        <v>Prediabetes</v>
      </c>
    </row>
    <row r="1970" spans="1:10" x14ac:dyDescent="0.35">
      <c r="A1970" t="s">
        <v>1970</v>
      </c>
      <c r="B1970">
        <v>38.94</v>
      </c>
      <c r="C1970">
        <v>4.3600000000000003</v>
      </c>
      <c r="D1970" t="s">
        <v>2344</v>
      </c>
      <c r="E1970" t="s">
        <v>2344</v>
      </c>
      <c r="F1970" t="s">
        <v>2346</v>
      </c>
      <c r="G1970">
        <v>1</v>
      </c>
      <c r="H1970" t="s">
        <v>2344</v>
      </c>
      <c r="I1970" t="str">
        <f t="shared" si="61"/>
        <v>Obesity</v>
      </c>
      <c r="J1970" t="str">
        <f t="shared" si="62"/>
        <v>Normal</v>
      </c>
    </row>
    <row r="1971" spans="1:10" x14ac:dyDescent="0.35">
      <c r="A1971" t="s">
        <v>1971</v>
      </c>
      <c r="B1971">
        <v>31.02</v>
      </c>
      <c r="C1971">
        <v>4.84</v>
      </c>
      <c r="D1971" t="s">
        <v>2344</v>
      </c>
      <c r="E1971" t="s">
        <v>2344</v>
      </c>
      <c r="F1971" t="s">
        <v>2346</v>
      </c>
      <c r="G1971">
        <v>1</v>
      </c>
      <c r="H1971" t="s">
        <v>2344</v>
      </c>
      <c r="I1971" t="str">
        <f t="shared" si="61"/>
        <v>Obesity</v>
      </c>
      <c r="J1971" t="str">
        <f t="shared" si="62"/>
        <v>Normal</v>
      </c>
    </row>
    <row r="1972" spans="1:10" x14ac:dyDescent="0.35">
      <c r="A1972" t="s">
        <v>1972</v>
      </c>
      <c r="B1972">
        <v>17.5</v>
      </c>
      <c r="C1972">
        <v>4.5599999999999996</v>
      </c>
      <c r="D1972" t="s">
        <v>2344</v>
      </c>
      <c r="E1972" t="s">
        <v>2344</v>
      </c>
      <c r="F1972" t="s">
        <v>2344</v>
      </c>
      <c r="G1972">
        <v>1</v>
      </c>
      <c r="H1972" t="s">
        <v>2344</v>
      </c>
      <c r="I1972" t="str">
        <f t="shared" si="61"/>
        <v>Under Weight</v>
      </c>
      <c r="J1972" t="str">
        <f t="shared" si="62"/>
        <v>Normal</v>
      </c>
    </row>
    <row r="1973" spans="1:10" x14ac:dyDescent="0.35">
      <c r="A1973" t="s">
        <v>1973</v>
      </c>
      <c r="B1973">
        <v>34.799999999999997</v>
      </c>
      <c r="C1973">
        <v>4.42</v>
      </c>
      <c r="D1973" t="s">
        <v>2346</v>
      </c>
      <c r="E1973" t="s">
        <v>2345</v>
      </c>
      <c r="F1973" t="s">
        <v>2344</v>
      </c>
      <c r="G1973">
        <v>1</v>
      </c>
      <c r="H1973" t="s">
        <v>2344</v>
      </c>
      <c r="I1973" t="str">
        <f t="shared" si="61"/>
        <v>Obesity</v>
      </c>
      <c r="J1973" t="str">
        <f t="shared" si="62"/>
        <v>Normal</v>
      </c>
    </row>
    <row r="1974" spans="1:10" x14ac:dyDescent="0.35">
      <c r="A1974" t="s">
        <v>1974</v>
      </c>
      <c r="B1974">
        <v>17.3</v>
      </c>
      <c r="C1974">
        <v>7.66</v>
      </c>
      <c r="D1974" t="s">
        <v>2346</v>
      </c>
      <c r="E1974" t="s">
        <v>2344</v>
      </c>
      <c r="F1974" t="s">
        <v>2344</v>
      </c>
      <c r="G1974">
        <v>1</v>
      </c>
      <c r="H1974" t="s">
        <v>2344</v>
      </c>
      <c r="I1974" t="str">
        <f t="shared" si="61"/>
        <v>Under Weight</v>
      </c>
      <c r="J1974" t="str">
        <f t="shared" si="62"/>
        <v>Diabetes</v>
      </c>
    </row>
    <row r="1975" spans="1:10" x14ac:dyDescent="0.35">
      <c r="A1975" t="s">
        <v>1975</v>
      </c>
      <c r="B1975">
        <v>32.25</v>
      </c>
      <c r="C1975">
        <v>5.2</v>
      </c>
      <c r="D1975" t="s">
        <v>2346</v>
      </c>
      <c r="E1975" t="s">
        <v>2344</v>
      </c>
      <c r="F1975" t="s">
        <v>2344</v>
      </c>
      <c r="G1975">
        <v>0</v>
      </c>
      <c r="H1975" t="s">
        <v>2344</v>
      </c>
      <c r="I1975" t="str">
        <f t="shared" si="61"/>
        <v>Obesity</v>
      </c>
      <c r="J1975" t="str">
        <f t="shared" si="62"/>
        <v>Normal</v>
      </c>
    </row>
    <row r="1976" spans="1:10" x14ac:dyDescent="0.35">
      <c r="A1976" t="s">
        <v>1976</v>
      </c>
      <c r="B1976">
        <v>42.4</v>
      </c>
      <c r="C1976">
        <v>5.53</v>
      </c>
      <c r="D1976" t="s">
        <v>2346</v>
      </c>
      <c r="E1976" t="s">
        <v>2344</v>
      </c>
      <c r="F1976" t="s">
        <v>2344</v>
      </c>
      <c r="G1976">
        <v>0</v>
      </c>
      <c r="H1976" t="s">
        <v>2344</v>
      </c>
      <c r="I1976" t="str">
        <f t="shared" si="61"/>
        <v>Obesity</v>
      </c>
      <c r="J1976" t="str">
        <f t="shared" si="62"/>
        <v>Normal</v>
      </c>
    </row>
    <row r="1977" spans="1:10" x14ac:dyDescent="0.35">
      <c r="A1977" t="s">
        <v>1977</v>
      </c>
      <c r="B1977">
        <v>38.664999999999999</v>
      </c>
      <c r="C1977">
        <v>4.8600000000000003</v>
      </c>
      <c r="D1977" t="s">
        <v>2344</v>
      </c>
      <c r="E1977" t="s">
        <v>2345</v>
      </c>
      <c r="F1977" t="s">
        <v>2344</v>
      </c>
      <c r="G1977">
        <v>1</v>
      </c>
      <c r="H1977" t="s">
        <v>2344</v>
      </c>
      <c r="I1977" t="str">
        <f t="shared" si="61"/>
        <v>Obesity</v>
      </c>
      <c r="J1977" t="str">
        <f t="shared" si="62"/>
        <v>Normal</v>
      </c>
    </row>
    <row r="1978" spans="1:10" x14ac:dyDescent="0.35">
      <c r="A1978" t="s">
        <v>1978</v>
      </c>
      <c r="B1978">
        <v>29.92</v>
      </c>
      <c r="C1978">
        <v>5.49</v>
      </c>
      <c r="D1978" t="s">
        <v>2346</v>
      </c>
      <c r="E1978" t="s">
        <v>2344</v>
      </c>
      <c r="F1978" t="s">
        <v>2344</v>
      </c>
      <c r="G1978">
        <v>0</v>
      </c>
      <c r="H1978" t="s">
        <v>2344</v>
      </c>
      <c r="I1978" t="str">
        <f t="shared" si="61"/>
        <v>Over weight</v>
      </c>
      <c r="J1978" t="str">
        <f t="shared" si="62"/>
        <v>Normal</v>
      </c>
    </row>
    <row r="1979" spans="1:10" x14ac:dyDescent="0.35">
      <c r="A1979" t="s">
        <v>1979</v>
      </c>
      <c r="B1979">
        <v>29.48</v>
      </c>
      <c r="C1979">
        <v>4.09</v>
      </c>
      <c r="D1979" t="s">
        <v>2346</v>
      </c>
      <c r="E1979" t="s">
        <v>2344</v>
      </c>
      <c r="F1979" t="s">
        <v>2344</v>
      </c>
      <c r="G1979">
        <v>0</v>
      </c>
      <c r="H1979" t="s">
        <v>2344</v>
      </c>
      <c r="I1979" t="str">
        <f t="shared" si="61"/>
        <v>Over weight</v>
      </c>
      <c r="J1979" t="str">
        <f t="shared" si="62"/>
        <v>Normal</v>
      </c>
    </row>
    <row r="1980" spans="1:10" x14ac:dyDescent="0.35">
      <c r="A1980" t="s">
        <v>1980</v>
      </c>
      <c r="B1980">
        <v>28.785</v>
      </c>
      <c r="C1980">
        <v>4.3099999999999996</v>
      </c>
      <c r="D1980" t="s">
        <v>2346</v>
      </c>
      <c r="E1980" t="s">
        <v>2344</v>
      </c>
      <c r="F1980" t="s">
        <v>2344</v>
      </c>
      <c r="G1980">
        <v>0</v>
      </c>
      <c r="H1980" t="s">
        <v>2344</v>
      </c>
      <c r="I1980" t="str">
        <f t="shared" si="61"/>
        <v>Over weight</v>
      </c>
      <c r="J1980" t="str">
        <f t="shared" si="62"/>
        <v>Normal</v>
      </c>
    </row>
    <row r="1981" spans="1:10" x14ac:dyDescent="0.35">
      <c r="A1981" t="s">
        <v>1981</v>
      </c>
      <c r="B1981">
        <v>19.8</v>
      </c>
      <c r="C1981" t="s">
        <v>2346</v>
      </c>
      <c r="D1981" t="s">
        <v>2346</v>
      </c>
      <c r="E1981" t="s">
        <v>2344</v>
      </c>
      <c r="F1981" t="s">
        <v>2344</v>
      </c>
      <c r="G1981">
        <v>0</v>
      </c>
      <c r="H1981" t="s">
        <v>2344</v>
      </c>
      <c r="I1981" t="str">
        <f t="shared" si="61"/>
        <v>Normal Weight</v>
      </c>
      <c r="J1981" t="str">
        <f t="shared" si="62"/>
        <v>Diabetes</v>
      </c>
    </row>
    <row r="1982" spans="1:10" x14ac:dyDescent="0.35">
      <c r="A1982" t="s">
        <v>1982</v>
      </c>
      <c r="B1982">
        <v>35.53</v>
      </c>
      <c r="C1982">
        <v>4.68</v>
      </c>
      <c r="D1982" t="s">
        <v>2344</v>
      </c>
      <c r="E1982" t="s">
        <v>2344</v>
      </c>
      <c r="F1982" t="s">
        <v>2346</v>
      </c>
      <c r="G1982">
        <v>1</v>
      </c>
      <c r="H1982" t="s">
        <v>2344</v>
      </c>
      <c r="I1982" t="str">
        <f t="shared" si="61"/>
        <v>Obesity</v>
      </c>
      <c r="J1982" t="str">
        <f t="shared" si="62"/>
        <v>Normal</v>
      </c>
    </row>
    <row r="1983" spans="1:10" x14ac:dyDescent="0.35">
      <c r="A1983" t="s">
        <v>1983</v>
      </c>
      <c r="B1983">
        <v>21.47</v>
      </c>
      <c r="C1983">
        <v>4.0199999999999996</v>
      </c>
      <c r="D1983" t="s">
        <v>2346</v>
      </c>
      <c r="E1983" t="s">
        <v>2344</v>
      </c>
      <c r="F1983" t="s">
        <v>2344</v>
      </c>
      <c r="G1983">
        <v>1</v>
      </c>
      <c r="H1983" t="s">
        <v>2344</v>
      </c>
      <c r="I1983" t="str">
        <f t="shared" si="61"/>
        <v>Normal Weight</v>
      </c>
      <c r="J1983" t="str">
        <f t="shared" si="62"/>
        <v>Normal</v>
      </c>
    </row>
    <row r="1984" spans="1:10" x14ac:dyDescent="0.35">
      <c r="A1984" t="s">
        <v>1984</v>
      </c>
      <c r="B1984">
        <v>25.9</v>
      </c>
      <c r="C1984">
        <v>5.12</v>
      </c>
      <c r="D1984" t="s">
        <v>2344</v>
      </c>
      <c r="E1984" t="s">
        <v>2344</v>
      </c>
      <c r="F1984" t="s">
        <v>2346</v>
      </c>
      <c r="G1984">
        <v>1</v>
      </c>
      <c r="H1984" t="s">
        <v>2344</v>
      </c>
      <c r="I1984" t="str">
        <f t="shared" si="61"/>
        <v>Over weight</v>
      </c>
      <c r="J1984" t="str">
        <f t="shared" si="62"/>
        <v>Normal</v>
      </c>
    </row>
    <row r="1985" spans="1:10" x14ac:dyDescent="0.35">
      <c r="A1985" t="s">
        <v>1985</v>
      </c>
      <c r="B1985">
        <v>20.81</v>
      </c>
      <c r="C1985">
        <v>5.52</v>
      </c>
      <c r="D1985" t="s">
        <v>2344</v>
      </c>
      <c r="E1985" t="s">
        <v>2344</v>
      </c>
      <c r="F1985" t="s">
        <v>2344</v>
      </c>
      <c r="G1985">
        <v>0</v>
      </c>
      <c r="H1985" t="s">
        <v>2344</v>
      </c>
      <c r="I1985" t="str">
        <f t="shared" si="61"/>
        <v>Normal Weight</v>
      </c>
      <c r="J1985" t="str">
        <f t="shared" si="62"/>
        <v>Normal</v>
      </c>
    </row>
    <row r="1986" spans="1:10" x14ac:dyDescent="0.35">
      <c r="A1986" t="s">
        <v>1986</v>
      </c>
      <c r="B1986">
        <v>25.84</v>
      </c>
      <c r="C1986">
        <v>5.81</v>
      </c>
      <c r="D1986" t="s">
        <v>2346</v>
      </c>
      <c r="E1986" t="s">
        <v>2344</v>
      </c>
      <c r="F1986" t="s">
        <v>2346</v>
      </c>
      <c r="G1986">
        <v>1</v>
      </c>
      <c r="H1986" t="s">
        <v>2344</v>
      </c>
      <c r="I1986" t="str">
        <f t="shared" si="61"/>
        <v>Over weight</v>
      </c>
      <c r="J1986" t="str">
        <f t="shared" si="62"/>
        <v>Prediabetes</v>
      </c>
    </row>
    <row r="1987" spans="1:10" x14ac:dyDescent="0.35">
      <c r="A1987" t="s">
        <v>1987</v>
      </c>
      <c r="B1987">
        <v>30.95</v>
      </c>
      <c r="C1987">
        <v>5.16</v>
      </c>
      <c r="D1987" t="s">
        <v>2344</v>
      </c>
      <c r="E1987" t="s">
        <v>2344</v>
      </c>
      <c r="F1987" t="s">
        <v>2346</v>
      </c>
      <c r="G1987">
        <v>1</v>
      </c>
      <c r="H1987" t="s">
        <v>2344</v>
      </c>
      <c r="I1987" t="str">
        <f t="shared" ref="I1987:I2050" si="63">IF(B1987&lt;18.5,"Under Weight",IF(B1987&lt;25,"Normal Weight",IF(B1987&lt;30,"Over weight","Obesity")))</f>
        <v>Obesity</v>
      </c>
      <c r="J1987" t="str">
        <f t="shared" si="62"/>
        <v>Normal</v>
      </c>
    </row>
    <row r="1988" spans="1:10" x14ac:dyDescent="0.35">
      <c r="A1988" t="s">
        <v>1988</v>
      </c>
      <c r="B1988">
        <v>30.54</v>
      </c>
      <c r="C1988" t="s">
        <v>2346</v>
      </c>
      <c r="D1988" t="s">
        <v>2344</v>
      </c>
      <c r="E1988" t="s">
        <v>2344</v>
      </c>
      <c r="F1988" t="s">
        <v>2346</v>
      </c>
      <c r="G1988">
        <v>1</v>
      </c>
      <c r="H1988" t="s">
        <v>2344</v>
      </c>
      <c r="I1988" t="str">
        <f t="shared" si="63"/>
        <v>Obesity</v>
      </c>
      <c r="J1988" t="str">
        <f t="shared" si="62"/>
        <v>Diabetes</v>
      </c>
    </row>
    <row r="1989" spans="1:10" x14ac:dyDescent="0.35">
      <c r="A1989" t="s">
        <v>1989</v>
      </c>
      <c r="B1989">
        <v>33.914999999999999</v>
      </c>
      <c r="C1989">
        <v>5.84</v>
      </c>
      <c r="D1989" t="s">
        <v>2346</v>
      </c>
      <c r="E1989" t="s">
        <v>2344</v>
      </c>
      <c r="F1989" t="s">
        <v>2344</v>
      </c>
      <c r="G1989">
        <v>0</v>
      </c>
      <c r="H1989" t="s">
        <v>2344</v>
      </c>
      <c r="I1989" t="str">
        <f t="shared" si="63"/>
        <v>Obesity</v>
      </c>
      <c r="J1989" t="str">
        <f t="shared" si="62"/>
        <v>Prediabetes</v>
      </c>
    </row>
    <row r="1990" spans="1:10" x14ac:dyDescent="0.35">
      <c r="A1990" t="s">
        <v>1990</v>
      </c>
      <c r="B1990">
        <v>33.31</v>
      </c>
      <c r="C1990">
        <v>4.1900000000000004</v>
      </c>
      <c r="D1990" t="s">
        <v>2344</v>
      </c>
      <c r="E1990" t="s">
        <v>2344</v>
      </c>
      <c r="F1990" t="s">
        <v>2346</v>
      </c>
      <c r="G1990">
        <v>1</v>
      </c>
      <c r="H1990" t="s">
        <v>2344</v>
      </c>
      <c r="I1990" t="str">
        <f t="shared" si="63"/>
        <v>Obesity</v>
      </c>
      <c r="J1990" t="str">
        <f t="shared" si="62"/>
        <v>Normal</v>
      </c>
    </row>
    <row r="1991" spans="1:10" x14ac:dyDescent="0.35">
      <c r="A1991" t="s">
        <v>1991</v>
      </c>
      <c r="B1991">
        <v>25.745000000000001</v>
      </c>
      <c r="C1991">
        <v>4.62</v>
      </c>
      <c r="D1991" t="s">
        <v>2346</v>
      </c>
      <c r="E1991" t="s">
        <v>2344</v>
      </c>
      <c r="F1991" t="s">
        <v>2344</v>
      </c>
      <c r="G1991">
        <v>0</v>
      </c>
      <c r="H1991" t="s">
        <v>2344</v>
      </c>
      <c r="I1991" t="str">
        <f t="shared" si="63"/>
        <v>Over weight</v>
      </c>
      <c r="J1991" t="str">
        <f t="shared" si="62"/>
        <v>Normal</v>
      </c>
    </row>
    <row r="1992" spans="1:10" x14ac:dyDescent="0.35">
      <c r="A1992" t="s">
        <v>1992</v>
      </c>
      <c r="B1992">
        <v>37.1</v>
      </c>
      <c r="C1992">
        <v>6.24</v>
      </c>
      <c r="D1992" t="s">
        <v>2344</v>
      </c>
      <c r="E1992" t="s">
        <v>2344</v>
      </c>
      <c r="F1992" t="s">
        <v>2344</v>
      </c>
      <c r="G1992">
        <v>0</v>
      </c>
      <c r="H1992" t="s">
        <v>2344</v>
      </c>
      <c r="I1992" t="str">
        <f t="shared" si="63"/>
        <v>Obesity</v>
      </c>
      <c r="J1992" t="str">
        <f t="shared" si="62"/>
        <v>Prediabetes</v>
      </c>
    </row>
    <row r="1993" spans="1:10" x14ac:dyDescent="0.35">
      <c r="A1993" t="s">
        <v>1993</v>
      </c>
      <c r="B1993">
        <v>35.435000000000002</v>
      </c>
      <c r="C1993">
        <v>5.81</v>
      </c>
      <c r="D1993" t="s">
        <v>2344</v>
      </c>
      <c r="E1993" t="s">
        <v>2344</v>
      </c>
      <c r="F1993" t="s">
        <v>2344</v>
      </c>
      <c r="G1993">
        <v>0</v>
      </c>
      <c r="H1993" t="s">
        <v>2344</v>
      </c>
      <c r="I1993" t="str">
        <f t="shared" si="63"/>
        <v>Obesity</v>
      </c>
      <c r="J1993" t="str">
        <f t="shared" si="62"/>
        <v>Prediabetes</v>
      </c>
    </row>
    <row r="1994" spans="1:10" x14ac:dyDescent="0.35">
      <c r="A1994" t="s">
        <v>1994</v>
      </c>
      <c r="B1994">
        <v>20.399999999999999</v>
      </c>
      <c r="C1994">
        <v>4.83</v>
      </c>
      <c r="D1994" t="s">
        <v>2344</v>
      </c>
      <c r="E1994" t="s">
        <v>2344</v>
      </c>
      <c r="F1994" t="s">
        <v>2344</v>
      </c>
      <c r="G1994">
        <v>0</v>
      </c>
      <c r="H1994" t="s">
        <v>2344</v>
      </c>
      <c r="I1994" t="str">
        <f t="shared" si="63"/>
        <v>Normal Weight</v>
      </c>
      <c r="J1994" t="str">
        <f t="shared" si="62"/>
        <v>Normal</v>
      </c>
    </row>
    <row r="1995" spans="1:10" x14ac:dyDescent="0.35">
      <c r="A1995" t="s">
        <v>1995</v>
      </c>
      <c r="B1995">
        <v>42.13</v>
      </c>
      <c r="C1995">
        <v>5.72</v>
      </c>
      <c r="D1995" t="s">
        <v>2346</v>
      </c>
      <c r="E1995" t="s">
        <v>2344</v>
      </c>
      <c r="F1995" t="s">
        <v>2346</v>
      </c>
      <c r="G1995">
        <v>1</v>
      </c>
      <c r="H1995" t="s">
        <v>2344</v>
      </c>
      <c r="I1995" t="str">
        <f t="shared" si="63"/>
        <v>Obesity</v>
      </c>
      <c r="J1995" t="str">
        <f t="shared" si="62"/>
        <v>Prediabetes</v>
      </c>
    </row>
    <row r="1996" spans="1:10" x14ac:dyDescent="0.35">
      <c r="A1996" t="s">
        <v>1996</v>
      </c>
      <c r="B1996">
        <v>33.99</v>
      </c>
      <c r="C1996">
        <v>4.83</v>
      </c>
      <c r="D1996" t="s">
        <v>2346</v>
      </c>
      <c r="E1996" t="s">
        <v>2344</v>
      </c>
      <c r="F1996" t="s">
        <v>2346</v>
      </c>
      <c r="G1996">
        <v>1</v>
      </c>
      <c r="H1996" t="s">
        <v>2344</v>
      </c>
      <c r="I1996" t="str">
        <f t="shared" si="63"/>
        <v>Obesity</v>
      </c>
      <c r="J1996" t="str">
        <f t="shared" ref="J1996:J2059" si="64">IF(C1996&lt;5.7,"Normal",IF(C1996&lt;6.5,"Prediabetes","Diabetes"))</f>
        <v>Normal</v>
      </c>
    </row>
    <row r="1997" spans="1:10" x14ac:dyDescent="0.35">
      <c r="A1997" t="s">
        <v>1997</v>
      </c>
      <c r="B1997">
        <v>28.594999999999999</v>
      </c>
      <c r="C1997">
        <v>4.1399999999999997</v>
      </c>
      <c r="D1997" t="s">
        <v>2346</v>
      </c>
      <c r="E1997" t="s">
        <v>2344</v>
      </c>
      <c r="F1997" t="s">
        <v>2346</v>
      </c>
      <c r="G1997">
        <v>1</v>
      </c>
      <c r="H1997" t="s">
        <v>2344</v>
      </c>
      <c r="I1997" t="str">
        <f t="shared" si="63"/>
        <v>Over weight</v>
      </c>
      <c r="J1997" t="str">
        <f t="shared" si="64"/>
        <v>Normal</v>
      </c>
    </row>
    <row r="1998" spans="1:10" x14ac:dyDescent="0.35">
      <c r="A1998" t="s">
        <v>1998</v>
      </c>
      <c r="B1998">
        <v>20.8</v>
      </c>
      <c r="C1998">
        <v>4.07</v>
      </c>
      <c r="D1998" t="s">
        <v>2346</v>
      </c>
      <c r="E1998" t="s">
        <v>2344</v>
      </c>
      <c r="F1998" t="s">
        <v>2346</v>
      </c>
      <c r="G1998">
        <v>1</v>
      </c>
      <c r="H1998" t="s">
        <v>2344</v>
      </c>
      <c r="I1998" t="str">
        <f t="shared" si="63"/>
        <v>Normal Weight</v>
      </c>
      <c r="J1998" t="str">
        <f t="shared" si="64"/>
        <v>Normal</v>
      </c>
    </row>
    <row r="1999" spans="1:10" x14ac:dyDescent="0.35">
      <c r="A1999" t="s">
        <v>1999</v>
      </c>
      <c r="B1999">
        <v>23.465</v>
      </c>
      <c r="C1999">
        <v>6.26</v>
      </c>
      <c r="D1999" t="s">
        <v>2346</v>
      </c>
      <c r="E1999" t="s">
        <v>2344</v>
      </c>
      <c r="F1999" t="s">
        <v>2346</v>
      </c>
      <c r="G1999">
        <v>1</v>
      </c>
      <c r="H1999" t="s">
        <v>2344</v>
      </c>
      <c r="I1999" t="str">
        <f t="shared" si="63"/>
        <v>Normal Weight</v>
      </c>
      <c r="J1999" t="str">
        <f t="shared" si="64"/>
        <v>Prediabetes</v>
      </c>
    </row>
    <row r="2000" spans="1:10" x14ac:dyDescent="0.35">
      <c r="A2000" t="s">
        <v>2000</v>
      </c>
      <c r="B2000">
        <v>40.185000000000002</v>
      </c>
      <c r="C2000">
        <v>5.88</v>
      </c>
      <c r="D2000" t="s">
        <v>2346</v>
      </c>
      <c r="E2000" t="s">
        <v>2344</v>
      </c>
      <c r="F2000" t="s">
        <v>2344</v>
      </c>
      <c r="G2000">
        <v>0</v>
      </c>
      <c r="H2000" t="s">
        <v>2344</v>
      </c>
      <c r="I2000" t="str">
        <f t="shared" si="63"/>
        <v>Obesity</v>
      </c>
      <c r="J2000" t="str">
        <f t="shared" si="64"/>
        <v>Prediabetes</v>
      </c>
    </row>
    <row r="2001" spans="1:10" x14ac:dyDescent="0.35">
      <c r="A2001" t="s">
        <v>2001</v>
      </c>
      <c r="B2001">
        <v>21.89</v>
      </c>
      <c r="C2001">
        <v>5.72</v>
      </c>
      <c r="D2001" t="s">
        <v>2346</v>
      </c>
      <c r="E2001" t="s">
        <v>2344</v>
      </c>
      <c r="F2001" t="s">
        <v>2344</v>
      </c>
      <c r="G2001">
        <v>0</v>
      </c>
      <c r="H2001" t="s">
        <v>2344</v>
      </c>
      <c r="I2001" t="str">
        <f t="shared" si="63"/>
        <v>Normal Weight</v>
      </c>
      <c r="J2001" t="str">
        <f t="shared" si="64"/>
        <v>Prediabetes</v>
      </c>
    </row>
    <row r="2002" spans="1:10" x14ac:dyDescent="0.35">
      <c r="A2002" t="s">
        <v>2002</v>
      </c>
      <c r="B2002">
        <v>29.34</v>
      </c>
      <c r="C2002">
        <v>6.09</v>
      </c>
      <c r="D2002" t="s">
        <v>2346</v>
      </c>
      <c r="E2002" t="s">
        <v>2345</v>
      </c>
      <c r="F2002" t="s">
        <v>2344</v>
      </c>
      <c r="G2002">
        <v>1</v>
      </c>
      <c r="H2002" t="s">
        <v>2344</v>
      </c>
      <c r="I2002" t="str">
        <f t="shared" si="63"/>
        <v>Over weight</v>
      </c>
      <c r="J2002" t="str">
        <f t="shared" si="64"/>
        <v>Prediabetes</v>
      </c>
    </row>
    <row r="2003" spans="1:10" x14ac:dyDescent="0.35">
      <c r="A2003" t="s">
        <v>2003</v>
      </c>
      <c r="B2003">
        <v>22.61</v>
      </c>
      <c r="C2003">
        <v>4.25</v>
      </c>
      <c r="D2003" t="s">
        <v>2346</v>
      </c>
      <c r="E2003" t="s">
        <v>2344</v>
      </c>
      <c r="F2003" t="s">
        <v>2344</v>
      </c>
      <c r="G2003">
        <v>0</v>
      </c>
      <c r="H2003" t="s">
        <v>2344</v>
      </c>
      <c r="I2003" t="str">
        <f t="shared" si="63"/>
        <v>Normal Weight</v>
      </c>
      <c r="J2003" t="str">
        <f t="shared" si="64"/>
        <v>Normal</v>
      </c>
    </row>
    <row r="2004" spans="1:10" x14ac:dyDescent="0.35">
      <c r="A2004" t="s">
        <v>2004</v>
      </c>
      <c r="B2004">
        <v>22.23</v>
      </c>
      <c r="C2004">
        <v>6.09</v>
      </c>
      <c r="D2004" t="s">
        <v>2346</v>
      </c>
      <c r="E2004" t="s">
        <v>2344</v>
      </c>
      <c r="F2004" t="s">
        <v>2344</v>
      </c>
      <c r="G2004">
        <v>0</v>
      </c>
      <c r="H2004" t="s">
        <v>2344</v>
      </c>
      <c r="I2004" t="str">
        <f t="shared" si="63"/>
        <v>Normal Weight</v>
      </c>
      <c r="J2004" t="str">
        <f t="shared" si="64"/>
        <v>Prediabetes</v>
      </c>
    </row>
    <row r="2005" spans="1:10" x14ac:dyDescent="0.35">
      <c r="A2005" t="s">
        <v>2005</v>
      </c>
      <c r="B2005">
        <v>33.4</v>
      </c>
      <c r="C2005">
        <v>5.51</v>
      </c>
      <c r="D2005" t="s">
        <v>2344</v>
      </c>
      <c r="E2005" t="s">
        <v>2344</v>
      </c>
      <c r="F2005" t="s">
        <v>2344</v>
      </c>
      <c r="G2005">
        <v>0</v>
      </c>
      <c r="H2005" t="s">
        <v>2344</v>
      </c>
      <c r="I2005" t="str">
        <f t="shared" si="63"/>
        <v>Obesity</v>
      </c>
      <c r="J2005" t="str">
        <f t="shared" si="64"/>
        <v>Normal</v>
      </c>
    </row>
    <row r="2006" spans="1:10" x14ac:dyDescent="0.35">
      <c r="A2006" t="s">
        <v>2006</v>
      </c>
      <c r="B2006">
        <v>33.11</v>
      </c>
      <c r="C2006">
        <v>5.63</v>
      </c>
      <c r="D2006" t="s">
        <v>2344</v>
      </c>
      <c r="E2006" t="s">
        <v>2344</v>
      </c>
      <c r="F2006" t="s">
        <v>2344</v>
      </c>
      <c r="G2006">
        <v>0</v>
      </c>
      <c r="H2006" t="s">
        <v>2344</v>
      </c>
      <c r="I2006" t="str">
        <f t="shared" si="63"/>
        <v>Obesity</v>
      </c>
      <c r="J2006" t="str">
        <f t="shared" si="64"/>
        <v>Normal</v>
      </c>
    </row>
    <row r="2007" spans="1:10" x14ac:dyDescent="0.35">
      <c r="A2007" t="s">
        <v>2007</v>
      </c>
      <c r="B2007">
        <v>16.815000000000001</v>
      </c>
      <c r="C2007">
        <v>5.29</v>
      </c>
      <c r="D2007" t="s">
        <v>2346</v>
      </c>
      <c r="E2007" t="s">
        <v>2344</v>
      </c>
      <c r="F2007" t="s">
        <v>2344</v>
      </c>
      <c r="G2007">
        <v>0</v>
      </c>
      <c r="H2007" t="s">
        <v>2344</v>
      </c>
      <c r="I2007" t="str">
        <f t="shared" si="63"/>
        <v>Under Weight</v>
      </c>
      <c r="J2007" t="str">
        <f t="shared" si="64"/>
        <v>Normal</v>
      </c>
    </row>
    <row r="2008" spans="1:10" x14ac:dyDescent="0.35">
      <c r="A2008" t="s">
        <v>2008</v>
      </c>
      <c r="B2008">
        <v>25.61</v>
      </c>
      <c r="C2008" t="s">
        <v>2346</v>
      </c>
      <c r="D2008" t="s">
        <v>2344</v>
      </c>
      <c r="E2008" t="s">
        <v>2344</v>
      </c>
      <c r="F2008" t="s">
        <v>2346</v>
      </c>
      <c r="G2008">
        <v>1</v>
      </c>
      <c r="H2008" t="s">
        <v>2344</v>
      </c>
      <c r="I2008" t="str">
        <f t="shared" si="63"/>
        <v>Over weight</v>
      </c>
      <c r="J2008" t="str">
        <f t="shared" si="64"/>
        <v>Diabetes</v>
      </c>
    </row>
    <row r="2009" spans="1:10" x14ac:dyDescent="0.35">
      <c r="A2009" t="s">
        <v>2009</v>
      </c>
      <c r="B2009">
        <v>25.8</v>
      </c>
      <c r="C2009">
        <v>5.49</v>
      </c>
      <c r="D2009" t="s">
        <v>2344</v>
      </c>
      <c r="E2009" t="s">
        <v>2344</v>
      </c>
      <c r="F2009" t="s">
        <v>2344</v>
      </c>
      <c r="G2009">
        <v>0</v>
      </c>
      <c r="H2009" t="s">
        <v>2344</v>
      </c>
      <c r="I2009" t="str">
        <f t="shared" si="63"/>
        <v>Over weight</v>
      </c>
      <c r="J2009" t="str">
        <f t="shared" si="64"/>
        <v>Normal</v>
      </c>
    </row>
    <row r="2010" spans="1:10" x14ac:dyDescent="0.35">
      <c r="A2010" t="s">
        <v>2010</v>
      </c>
      <c r="B2010">
        <v>27.39</v>
      </c>
      <c r="C2010">
        <v>5.34</v>
      </c>
      <c r="D2010" t="s">
        <v>2344</v>
      </c>
      <c r="E2010" t="s">
        <v>2344</v>
      </c>
      <c r="F2010" t="s">
        <v>2344</v>
      </c>
      <c r="G2010">
        <v>0</v>
      </c>
      <c r="H2010" t="s">
        <v>2344</v>
      </c>
      <c r="I2010" t="str">
        <f t="shared" si="63"/>
        <v>Over weight</v>
      </c>
      <c r="J2010" t="str">
        <f t="shared" si="64"/>
        <v>Normal</v>
      </c>
    </row>
    <row r="2011" spans="1:10" x14ac:dyDescent="0.35">
      <c r="A2011" t="s">
        <v>2011</v>
      </c>
      <c r="B2011">
        <v>17.03</v>
      </c>
      <c r="C2011">
        <v>4.12</v>
      </c>
      <c r="D2011" t="s">
        <v>2344</v>
      </c>
      <c r="E2011" t="s">
        <v>2344</v>
      </c>
      <c r="F2011" t="s">
        <v>2344</v>
      </c>
      <c r="G2011">
        <v>1</v>
      </c>
      <c r="H2011" t="s">
        <v>2344</v>
      </c>
      <c r="I2011" t="str">
        <f t="shared" si="63"/>
        <v>Under Weight</v>
      </c>
      <c r="J2011" t="str">
        <f t="shared" si="64"/>
        <v>Normal</v>
      </c>
    </row>
    <row r="2012" spans="1:10" x14ac:dyDescent="0.35">
      <c r="A2012" t="s">
        <v>2012</v>
      </c>
      <c r="B2012">
        <v>23.75</v>
      </c>
      <c r="C2012">
        <v>5.49</v>
      </c>
      <c r="D2012" t="s">
        <v>2346</v>
      </c>
      <c r="E2012" t="s">
        <v>2344</v>
      </c>
      <c r="F2012" t="s">
        <v>2344</v>
      </c>
      <c r="G2012">
        <v>0</v>
      </c>
      <c r="H2012" t="s">
        <v>2344</v>
      </c>
      <c r="I2012" t="str">
        <f t="shared" si="63"/>
        <v>Normal Weight</v>
      </c>
      <c r="J2012" t="str">
        <f t="shared" si="64"/>
        <v>Normal</v>
      </c>
    </row>
    <row r="2013" spans="1:10" x14ac:dyDescent="0.35">
      <c r="A2013" t="s">
        <v>2013</v>
      </c>
      <c r="B2013">
        <v>26.03</v>
      </c>
      <c r="C2013">
        <v>5.1100000000000003</v>
      </c>
      <c r="D2013" t="s">
        <v>2346</v>
      </c>
      <c r="E2013" t="s">
        <v>2344</v>
      </c>
      <c r="F2013" t="s">
        <v>2344</v>
      </c>
      <c r="G2013">
        <v>1</v>
      </c>
      <c r="H2013" t="s">
        <v>2344</v>
      </c>
      <c r="I2013" t="str">
        <f t="shared" si="63"/>
        <v>Over weight</v>
      </c>
      <c r="J2013" t="str">
        <f t="shared" si="64"/>
        <v>Normal</v>
      </c>
    </row>
    <row r="2014" spans="1:10" x14ac:dyDescent="0.35">
      <c r="A2014" t="s">
        <v>2014</v>
      </c>
      <c r="B2014">
        <v>16.079999999999998</v>
      </c>
      <c r="C2014">
        <v>5.94</v>
      </c>
      <c r="D2014" t="s">
        <v>2344</v>
      </c>
      <c r="E2014" t="s">
        <v>2344</v>
      </c>
      <c r="F2014" t="s">
        <v>2344</v>
      </c>
      <c r="G2014">
        <v>0</v>
      </c>
      <c r="H2014" t="s">
        <v>2344</v>
      </c>
      <c r="I2014" t="str">
        <f t="shared" si="63"/>
        <v>Under Weight</v>
      </c>
      <c r="J2014" t="str">
        <f t="shared" si="64"/>
        <v>Prediabetes</v>
      </c>
    </row>
    <row r="2015" spans="1:10" x14ac:dyDescent="0.35">
      <c r="A2015" t="s">
        <v>2015</v>
      </c>
      <c r="B2015">
        <v>30.875</v>
      </c>
      <c r="C2015">
        <v>5.54</v>
      </c>
      <c r="D2015" t="s">
        <v>2344</v>
      </c>
      <c r="E2015" t="s">
        <v>2344</v>
      </c>
      <c r="F2015" t="s">
        <v>2344</v>
      </c>
      <c r="G2015">
        <v>0</v>
      </c>
      <c r="H2015" t="s">
        <v>2344</v>
      </c>
      <c r="I2015" t="str">
        <f t="shared" si="63"/>
        <v>Obesity</v>
      </c>
      <c r="J2015" t="str">
        <f t="shared" si="64"/>
        <v>Normal</v>
      </c>
    </row>
    <row r="2016" spans="1:10" x14ac:dyDescent="0.35">
      <c r="A2016" t="s">
        <v>2016</v>
      </c>
      <c r="B2016">
        <v>31.79</v>
      </c>
      <c r="C2016">
        <v>7.09</v>
      </c>
      <c r="D2016" t="s">
        <v>2344</v>
      </c>
      <c r="E2016" t="s">
        <v>2344</v>
      </c>
      <c r="F2016" t="s">
        <v>2344</v>
      </c>
      <c r="G2016">
        <v>0</v>
      </c>
      <c r="H2016" t="s">
        <v>2344</v>
      </c>
      <c r="I2016" t="str">
        <f t="shared" si="63"/>
        <v>Obesity</v>
      </c>
      <c r="J2016" t="str">
        <f t="shared" si="64"/>
        <v>Diabetes</v>
      </c>
    </row>
    <row r="2017" spans="1:10" x14ac:dyDescent="0.35">
      <c r="A2017" t="s">
        <v>2017</v>
      </c>
      <c r="B2017">
        <v>28.48</v>
      </c>
      <c r="C2017">
        <v>6.22</v>
      </c>
      <c r="D2017" t="s">
        <v>2346</v>
      </c>
      <c r="E2017" t="s">
        <v>2344</v>
      </c>
      <c r="F2017" t="s">
        <v>2346</v>
      </c>
      <c r="G2017">
        <v>1</v>
      </c>
      <c r="H2017" t="s">
        <v>2344</v>
      </c>
      <c r="I2017" t="str">
        <f t="shared" si="63"/>
        <v>Over weight</v>
      </c>
      <c r="J2017" t="str">
        <f t="shared" si="64"/>
        <v>Prediabetes</v>
      </c>
    </row>
    <row r="2018" spans="1:10" x14ac:dyDescent="0.35">
      <c r="A2018" t="s">
        <v>2018</v>
      </c>
      <c r="B2018">
        <v>26.6</v>
      </c>
      <c r="C2018">
        <v>4.33</v>
      </c>
      <c r="D2018" t="s">
        <v>2344</v>
      </c>
      <c r="E2018" t="s">
        <v>2344</v>
      </c>
      <c r="F2018" t="s">
        <v>2344</v>
      </c>
      <c r="G2018">
        <v>1</v>
      </c>
      <c r="H2018" t="s">
        <v>2344</v>
      </c>
      <c r="I2018" t="str">
        <f t="shared" si="63"/>
        <v>Over weight</v>
      </c>
      <c r="J2018" t="str">
        <f t="shared" si="64"/>
        <v>Normal</v>
      </c>
    </row>
    <row r="2019" spans="1:10" x14ac:dyDescent="0.35">
      <c r="A2019" t="s">
        <v>2019</v>
      </c>
      <c r="B2019">
        <v>25.27</v>
      </c>
      <c r="C2019">
        <v>5.83</v>
      </c>
      <c r="D2019" t="s">
        <v>2344</v>
      </c>
      <c r="E2019" t="s">
        <v>2344</v>
      </c>
      <c r="F2019" t="s">
        <v>2344</v>
      </c>
      <c r="G2019">
        <v>1</v>
      </c>
      <c r="H2019" t="s">
        <v>2344</v>
      </c>
      <c r="I2019" t="str">
        <f t="shared" si="63"/>
        <v>Over weight</v>
      </c>
      <c r="J2019" t="str">
        <f t="shared" si="64"/>
        <v>Prediabetes</v>
      </c>
    </row>
    <row r="2020" spans="1:10" x14ac:dyDescent="0.35">
      <c r="A2020" t="s">
        <v>2020</v>
      </c>
      <c r="B2020">
        <v>34.484999999999999</v>
      </c>
      <c r="C2020">
        <v>4.7</v>
      </c>
      <c r="D2020" t="s">
        <v>2346</v>
      </c>
      <c r="E2020" t="s">
        <v>2344</v>
      </c>
      <c r="F2020" t="s">
        <v>2346</v>
      </c>
      <c r="G2020">
        <v>1</v>
      </c>
      <c r="H2020" t="s">
        <v>2344</v>
      </c>
      <c r="I2020" t="str">
        <f t="shared" si="63"/>
        <v>Obesity</v>
      </c>
      <c r="J2020" t="str">
        <f t="shared" si="64"/>
        <v>Normal</v>
      </c>
    </row>
    <row r="2021" spans="1:10" x14ac:dyDescent="0.35">
      <c r="A2021" t="s">
        <v>2021</v>
      </c>
      <c r="B2021">
        <v>15.57</v>
      </c>
      <c r="C2021">
        <v>4.07</v>
      </c>
      <c r="D2021" t="s">
        <v>2346</v>
      </c>
      <c r="E2021" t="s">
        <v>2344</v>
      </c>
      <c r="F2021" t="s">
        <v>2344</v>
      </c>
      <c r="G2021">
        <v>1</v>
      </c>
      <c r="H2021" t="s">
        <v>2344</v>
      </c>
      <c r="I2021" t="str">
        <f t="shared" si="63"/>
        <v>Under Weight</v>
      </c>
      <c r="J2021" t="str">
        <f t="shared" si="64"/>
        <v>Normal</v>
      </c>
    </row>
    <row r="2022" spans="1:10" x14ac:dyDescent="0.35">
      <c r="A2022" t="s">
        <v>2022</v>
      </c>
      <c r="B2022">
        <v>30.36</v>
      </c>
      <c r="C2022">
        <v>9.39</v>
      </c>
      <c r="D2022" t="s">
        <v>2344</v>
      </c>
      <c r="E2022" t="s">
        <v>2344</v>
      </c>
      <c r="F2022" t="s">
        <v>2344</v>
      </c>
      <c r="G2022">
        <v>0</v>
      </c>
      <c r="H2022" t="s">
        <v>2344</v>
      </c>
      <c r="I2022" t="str">
        <f t="shared" si="63"/>
        <v>Obesity</v>
      </c>
      <c r="J2022" t="str">
        <f t="shared" si="64"/>
        <v>Diabetes</v>
      </c>
    </row>
    <row r="2023" spans="1:10" x14ac:dyDescent="0.35">
      <c r="A2023" t="s">
        <v>2023</v>
      </c>
      <c r="B2023">
        <v>19.37</v>
      </c>
      <c r="C2023">
        <v>4.18</v>
      </c>
      <c r="D2023" t="s">
        <v>2344</v>
      </c>
      <c r="E2023" t="s">
        <v>2344</v>
      </c>
      <c r="F2023" t="s">
        <v>2344</v>
      </c>
      <c r="G2023">
        <v>0</v>
      </c>
      <c r="H2023" t="s">
        <v>2344</v>
      </c>
      <c r="I2023" t="str">
        <f t="shared" si="63"/>
        <v>Normal Weight</v>
      </c>
      <c r="J2023" t="str">
        <f t="shared" si="64"/>
        <v>Normal</v>
      </c>
    </row>
    <row r="2024" spans="1:10" x14ac:dyDescent="0.35">
      <c r="A2024" t="s">
        <v>2024</v>
      </c>
      <c r="B2024">
        <v>16.71</v>
      </c>
      <c r="C2024">
        <v>4.18</v>
      </c>
      <c r="D2024" t="s">
        <v>2344</v>
      </c>
      <c r="E2024" t="s">
        <v>2344</v>
      </c>
      <c r="F2024" t="s">
        <v>2344</v>
      </c>
      <c r="G2024">
        <v>1</v>
      </c>
      <c r="H2024" t="s">
        <v>2344</v>
      </c>
      <c r="I2024" t="str">
        <f t="shared" si="63"/>
        <v>Under Weight</v>
      </c>
      <c r="J2024" t="str">
        <f t="shared" si="64"/>
        <v>Normal</v>
      </c>
    </row>
    <row r="2025" spans="1:10" x14ac:dyDescent="0.35">
      <c r="A2025" t="s">
        <v>2025</v>
      </c>
      <c r="B2025">
        <v>24.1</v>
      </c>
      <c r="C2025">
        <v>4.4000000000000004</v>
      </c>
      <c r="D2025" t="s">
        <v>2346</v>
      </c>
      <c r="E2025" t="s">
        <v>2344</v>
      </c>
      <c r="F2025" t="s">
        <v>2344</v>
      </c>
      <c r="G2025">
        <v>1</v>
      </c>
      <c r="H2025" t="s">
        <v>2344</v>
      </c>
      <c r="I2025" t="str">
        <f t="shared" si="63"/>
        <v>Normal Weight</v>
      </c>
      <c r="J2025" t="str">
        <f t="shared" si="64"/>
        <v>Normal</v>
      </c>
    </row>
    <row r="2026" spans="1:10" x14ac:dyDescent="0.35">
      <c r="A2026" t="s">
        <v>2026</v>
      </c>
      <c r="B2026">
        <v>29.77</v>
      </c>
      <c r="C2026">
        <v>9.9</v>
      </c>
      <c r="D2026" t="s">
        <v>2344</v>
      </c>
      <c r="E2026" t="s">
        <v>2344</v>
      </c>
      <c r="F2026" t="s">
        <v>2344</v>
      </c>
      <c r="G2026">
        <v>0</v>
      </c>
      <c r="H2026" t="s">
        <v>2344</v>
      </c>
      <c r="I2026" t="str">
        <f t="shared" si="63"/>
        <v>Over weight</v>
      </c>
      <c r="J2026" t="str">
        <f t="shared" si="64"/>
        <v>Diabetes</v>
      </c>
    </row>
    <row r="2027" spans="1:10" x14ac:dyDescent="0.35">
      <c r="A2027" t="s">
        <v>2027</v>
      </c>
      <c r="B2027">
        <v>46.53</v>
      </c>
      <c r="C2027">
        <v>4.84</v>
      </c>
      <c r="D2027" t="s">
        <v>2346</v>
      </c>
      <c r="E2027" t="s">
        <v>2344</v>
      </c>
      <c r="F2027" t="s">
        <v>2344</v>
      </c>
      <c r="G2027">
        <v>0</v>
      </c>
      <c r="H2027" t="s">
        <v>2344</v>
      </c>
      <c r="I2027" t="str">
        <f t="shared" si="63"/>
        <v>Obesity</v>
      </c>
      <c r="J2027" t="str">
        <f t="shared" si="64"/>
        <v>Normal</v>
      </c>
    </row>
    <row r="2028" spans="1:10" x14ac:dyDescent="0.35">
      <c r="A2028" t="s">
        <v>2028</v>
      </c>
      <c r="B2028">
        <v>23.4</v>
      </c>
      <c r="C2028">
        <v>5.53</v>
      </c>
      <c r="D2028" t="s">
        <v>2344</v>
      </c>
      <c r="E2028" t="s">
        <v>2344</v>
      </c>
      <c r="F2028" t="s">
        <v>2346</v>
      </c>
      <c r="G2028">
        <v>1</v>
      </c>
      <c r="H2028" t="s">
        <v>2344</v>
      </c>
      <c r="I2028" t="str">
        <f t="shared" si="63"/>
        <v>Normal Weight</v>
      </c>
      <c r="J2028" t="str">
        <f t="shared" si="64"/>
        <v>Normal</v>
      </c>
    </row>
    <row r="2029" spans="1:10" x14ac:dyDescent="0.35">
      <c r="A2029" t="s">
        <v>2029</v>
      </c>
      <c r="B2029">
        <v>30</v>
      </c>
      <c r="C2029">
        <v>4.33</v>
      </c>
      <c r="D2029" t="s">
        <v>2346</v>
      </c>
      <c r="E2029" t="s">
        <v>2344</v>
      </c>
      <c r="F2029" t="s">
        <v>2344</v>
      </c>
      <c r="G2029">
        <v>0</v>
      </c>
      <c r="H2029" t="s">
        <v>2344</v>
      </c>
      <c r="I2029" t="str">
        <f t="shared" si="63"/>
        <v>Obesity</v>
      </c>
      <c r="J2029" t="str">
        <f t="shared" si="64"/>
        <v>Normal</v>
      </c>
    </row>
    <row r="2030" spans="1:10" x14ac:dyDescent="0.35">
      <c r="A2030" t="s">
        <v>2030</v>
      </c>
      <c r="B2030">
        <v>29.15</v>
      </c>
      <c r="C2030">
        <v>4.91</v>
      </c>
      <c r="D2030" t="s">
        <v>2346</v>
      </c>
      <c r="E2030" t="s">
        <v>2344</v>
      </c>
      <c r="F2030" t="s">
        <v>2344</v>
      </c>
      <c r="G2030">
        <v>0</v>
      </c>
      <c r="H2030" t="s">
        <v>2344</v>
      </c>
      <c r="I2030" t="str">
        <f t="shared" si="63"/>
        <v>Over weight</v>
      </c>
      <c r="J2030" t="str">
        <f t="shared" si="64"/>
        <v>Normal</v>
      </c>
    </row>
    <row r="2031" spans="1:10" x14ac:dyDescent="0.35">
      <c r="A2031" t="s">
        <v>2031</v>
      </c>
      <c r="B2031">
        <v>34.865000000000002</v>
      </c>
      <c r="C2031">
        <v>4.8</v>
      </c>
      <c r="D2031" t="s">
        <v>2344</v>
      </c>
      <c r="E2031" t="s">
        <v>2344</v>
      </c>
      <c r="F2031" t="s">
        <v>2344</v>
      </c>
      <c r="G2031">
        <v>0</v>
      </c>
      <c r="H2031" t="s">
        <v>2344</v>
      </c>
      <c r="I2031" t="str">
        <f t="shared" si="63"/>
        <v>Obesity</v>
      </c>
      <c r="J2031" t="str">
        <f t="shared" si="64"/>
        <v>Normal</v>
      </c>
    </row>
    <row r="2032" spans="1:10" x14ac:dyDescent="0.35">
      <c r="A2032" t="s">
        <v>2032</v>
      </c>
      <c r="B2032">
        <v>28.12</v>
      </c>
      <c r="C2032">
        <v>5.55</v>
      </c>
      <c r="D2032" t="s">
        <v>2346</v>
      </c>
      <c r="E2032" t="s">
        <v>2345</v>
      </c>
      <c r="F2032" t="s">
        <v>2344</v>
      </c>
      <c r="G2032">
        <v>1</v>
      </c>
      <c r="H2032" t="s">
        <v>2344</v>
      </c>
      <c r="I2032" t="str">
        <f t="shared" si="63"/>
        <v>Over weight</v>
      </c>
      <c r="J2032" t="str">
        <f t="shared" si="64"/>
        <v>Normal</v>
      </c>
    </row>
    <row r="2033" spans="1:10" x14ac:dyDescent="0.35">
      <c r="A2033" t="s">
        <v>2033</v>
      </c>
      <c r="B2033">
        <v>29.45</v>
      </c>
      <c r="C2033">
        <v>5.24</v>
      </c>
      <c r="D2033" t="s">
        <v>2346</v>
      </c>
      <c r="E2033" t="s">
        <v>2344</v>
      </c>
      <c r="F2033" t="s">
        <v>2344</v>
      </c>
      <c r="G2033">
        <v>0</v>
      </c>
      <c r="H2033" t="s">
        <v>2344</v>
      </c>
      <c r="I2033" t="str">
        <f t="shared" si="63"/>
        <v>Over weight</v>
      </c>
      <c r="J2033" t="str">
        <f t="shared" si="64"/>
        <v>Normal</v>
      </c>
    </row>
    <row r="2034" spans="1:10" x14ac:dyDescent="0.35">
      <c r="A2034" t="s">
        <v>2034</v>
      </c>
      <c r="B2034">
        <v>27.94</v>
      </c>
      <c r="C2034">
        <v>6.08</v>
      </c>
      <c r="D2034" t="s">
        <v>2344</v>
      </c>
      <c r="E2034" t="s">
        <v>2344</v>
      </c>
      <c r="F2034" t="s">
        <v>2346</v>
      </c>
      <c r="G2034">
        <v>1</v>
      </c>
      <c r="H2034" t="s">
        <v>2344</v>
      </c>
      <c r="I2034" t="str">
        <f t="shared" si="63"/>
        <v>Over weight</v>
      </c>
      <c r="J2034" t="str">
        <f t="shared" si="64"/>
        <v>Prediabetes</v>
      </c>
    </row>
    <row r="2035" spans="1:10" x14ac:dyDescent="0.35">
      <c r="A2035" t="s">
        <v>2035</v>
      </c>
      <c r="B2035">
        <v>27.2</v>
      </c>
      <c r="C2035">
        <v>5.83</v>
      </c>
      <c r="D2035" t="s">
        <v>2344</v>
      </c>
      <c r="E2035" t="s">
        <v>2344</v>
      </c>
      <c r="F2035" t="s">
        <v>2346</v>
      </c>
      <c r="G2035">
        <v>1</v>
      </c>
      <c r="H2035" t="s">
        <v>2344</v>
      </c>
      <c r="I2035" t="str">
        <f t="shared" si="63"/>
        <v>Over weight</v>
      </c>
      <c r="J2035" t="str">
        <f t="shared" si="64"/>
        <v>Prediabetes</v>
      </c>
    </row>
    <row r="2036" spans="1:10" x14ac:dyDescent="0.35">
      <c r="A2036" t="s">
        <v>2036</v>
      </c>
      <c r="B2036">
        <v>33.344999999999999</v>
      </c>
      <c r="C2036">
        <v>4.29</v>
      </c>
      <c r="D2036" t="s">
        <v>2344</v>
      </c>
      <c r="E2036" t="s">
        <v>2344</v>
      </c>
      <c r="F2036" t="s">
        <v>2344</v>
      </c>
      <c r="G2036">
        <v>1</v>
      </c>
      <c r="H2036" t="s">
        <v>2344</v>
      </c>
      <c r="I2036" t="str">
        <f t="shared" si="63"/>
        <v>Obesity</v>
      </c>
      <c r="J2036" t="str">
        <f t="shared" si="64"/>
        <v>Normal</v>
      </c>
    </row>
    <row r="2037" spans="1:10" x14ac:dyDescent="0.35">
      <c r="A2037" t="s">
        <v>2037</v>
      </c>
      <c r="B2037">
        <v>29.925000000000001</v>
      </c>
      <c r="C2037">
        <v>5.3</v>
      </c>
      <c r="D2037" t="s">
        <v>2344</v>
      </c>
      <c r="E2037" t="s">
        <v>2344</v>
      </c>
      <c r="F2037" t="s">
        <v>2344</v>
      </c>
      <c r="G2037">
        <v>1</v>
      </c>
      <c r="H2037" t="s">
        <v>2344</v>
      </c>
      <c r="I2037" t="str">
        <f t="shared" si="63"/>
        <v>Over weight</v>
      </c>
      <c r="J2037" t="str">
        <f t="shared" si="64"/>
        <v>Normal</v>
      </c>
    </row>
    <row r="2038" spans="1:10" x14ac:dyDescent="0.35">
      <c r="A2038" t="s">
        <v>2038</v>
      </c>
      <c r="B2038">
        <v>24.225000000000001</v>
      </c>
      <c r="C2038">
        <v>4.42</v>
      </c>
      <c r="D2038" t="s">
        <v>2344</v>
      </c>
      <c r="E2038" t="s">
        <v>2344</v>
      </c>
      <c r="F2038" t="s">
        <v>2344</v>
      </c>
      <c r="G2038">
        <v>1</v>
      </c>
      <c r="H2038" t="s">
        <v>2344</v>
      </c>
      <c r="I2038" t="str">
        <f t="shared" si="63"/>
        <v>Normal Weight</v>
      </c>
      <c r="J2038" t="str">
        <f t="shared" si="64"/>
        <v>Normal</v>
      </c>
    </row>
    <row r="2039" spans="1:10" x14ac:dyDescent="0.35">
      <c r="A2039" t="s">
        <v>2039</v>
      </c>
      <c r="B2039">
        <v>29.68</v>
      </c>
      <c r="C2039">
        <v>5.68</v>
      </c>
      <c r="D2039" t="s">
        <v>2344</v>
      </c>
      <c r="E2039" t="s">
        <v>2345</v>
      </c>
      <c r="F2039" t="s">
        <v>2344</v>
      </c>
      <c r="G2039">
        <v>1</v>
      </c>
      <c r="H2039" t="s">
        <v>2344</v>
      </c>
      <c r="I2039" t="str">
        <f t="shared" si="63"/>
        <v>Over weight</v>
      </c>
      <c r="J2039" t="str">
        <f t="shared" si="64"/>
        <v>Normal</v>
      </c>
    </row>
    <row r="2040" spans="1:10" x14ac:dyDescent="0.35">
      <c r="A2040" t="s">
        <v>2040</v>
      </c>
      <c r="B2040">
        <v>20.614999999999998</v>
      </c>
      <c r="C2040">
        <v>6.05</v>
      </c>
      <c r="D2040" t="s">
        <v>2344</v>
      </c>
      <c r="E2040" t="s">
        <v>2344</v>
      </c>
      <c r="F2040" t="s">
        <v>2346</v>
      </c>
      <c r="G2040">
        <v>1</v>
      </c>
      <c r="H2040" t="s">
        <v>2344</v>
      </c>
      <c r="I2040" t="str">
        <f t="shared" si="63"/>
        <v>Normal Weight</v>
      </c>
      <c r="J2040" t="str">
        <f t="shared" si="64"/>
        <v>Prediabetes</v>
      </c>
    </row>
    <row r="2041" spans="1:10" x14ac:dyDescent="0.35">
      <c r="A2041" t="s">
        <v>2041</v>
      </c>
      <c r="B2041">
        <v>32.119999999999997</v>
      </c>
      <c r="C2041">
        <v>5.33</v>
      </c>
      <c r="D2041" t="s">
        <v>2344</v>
      </c>
      <c r="E2041" t="s">
        <v>2345</v>
      </c>
      <c r="F2041" t="s">
        <v>2344</v>
      </c>
      <c r="G2041">
        <v>1</v>
      </c>
      <c r="H2041" t="s">
        <v>2344</v>
      </c>
      <c r="I2041" t="str">
        <f t="shared" si="63"/>
        <v>Obesity</v>
      </c>
      <c r="J2041" t="str">
        <f t="shared" si="64"/>
        <v>Normal</v>
      </c>
    </row>
    <row r="2042" spans="1:10" x14ac:dyDescent="0.35">
      <c r="A2042" t="s">
        <v>2042</v>
      </c>
      <c r="B2042">
        <v>27.36</v>
      </c>
      <c r="C2042">
        <v>6.22</v>
      </c>
      <c r="D2042" t="s">
        <v>2344</v>
      </c>
      <c r="E2042" t="s">
        <v>2344</v>
      </c>
      <c r="F2042" t="s">
        <v>2344</v>
      </c>
      <c r="G2042">
        <v>0</v>
      </c>
      <c r="H2042" t="s">
        <v>2344</v>
      </c>
      <c r="I2042" t="str">
        <f t="shared" si="63"/>
        <v>Over weight</v>
      </c>
      <c r="J2042" t="str">
        <f t="shared" si="64"/>
        <v>Prediabetes</v>
      </c>
    </row>
    <row r="2043" spans="1:10" x14ac:dyDescent="0.35">
      <c r="A2043" t="s">
        <v>2043</v>
      </c>
      <c r="B2043">
        <v>17.385000000000002</v>
      </c>
      <c r="C2043">
        <v>5.84</v>
      </c>
      <c r="D2043" t="s">
        <v>2344</v>
      </c>
      <c r="E2043" t="s">
        <v>2344</v>
      </c>
      <c r="F2043" t="s">
        <v>2344</v>
      </c>
      <c r="G2043">
        <v>0</v>
      </c>
      <c r="H2043" t="s">
        <v>2344</v>
      </c>
      <c r="I2043" t="str">
        <f t="shared" si="63"/>
        <v>Under Weight</v>
      </c>
      <c r="J2043" t="str">
        <f t="shared" si="64"/>
        <v>Prediabetes</v>
      </c>
    </row>
    <row r="2044" spans="1:10" x14ac:dyDescent="0.35">
      <c r="A2044" t="s">
        <v>2044</v>
      </c>
      <c r="B2044">
        <v>30.13</v>
      </c>
      <c r="C2044">
        <v>5.71</v>
      </c>
      <c r="D2044" t="s">
        <v>2344</v>
      </c>
      <c r="E2044" t="s">
        <v>2345</v>
      </c>
      <c r="F2044" t="s">
        <v>2344</v>
      </c>
      <c r="G2044">
        <v>1</v>
      </c>
      <c r="H2044" t="s">
        <v>2344</v>
      </c>
      <c r="I2044" t="str">
        <f t="shared" si="63"/>
        <v>Obesity</v>
      </c>
      <c r="J2044" t="str">
        <f t="shared" si="64"/>
        <v>Prediabetes</v>
      </c>
    </row>
    <row r="2045" spans="1:10" x14ac:dyDescent="0.35">
      <c r="A2045" t="s">
        <v>2045</v>
      </c>
      <c r="B2045">
        <v>25.44</v>
      </c>
      <c r="C2045">
        <v>6.04</v>
      </c>
      <c r="D2045" t="s">
        <v>2346</v>
      </c>
      <c r="E2045" t="s">
        <v>2344</v>
      </c>
      <c r="F2045" t="s">
        <v>2346</v>
      </c>
      <c r="G2045">
        <v>1</v>
      </c>
      <c r="H2045" t="s">
        <v>2344</v>
      </c>
      <c r="I2045" t="str">
        <f t="shared" si="63"/>
        <v>Over weight</v>
      </c>
      <c r="J2045" t="str">
        <f t="shared" si="64"/>
        <v>Prediabetes</v>
      </c>
    </row>
    <row r="2046" spans="1:10" x14ac:dyDescent="0.35">
      <c r="A2046" t="s">
        <v>2046</v>
      </c>
      <c r="B2046">
        <v>39.805</v>
      </c>
      <c r="C2046">
        <v>4.38</v>
      </c>
      <c r="D2046" t="s">
        <v>2344</v>
      </c>
      <c r="E2046" t="s">
        <v>2345</v>
      </c>
      <c r="F2046" t="s">
        <v>2344</v>
      </c>
      <c r="G2046">
        <v>1</v>
      </c>
      <c r="H2046" t="s">
        <v>2344</v>
      </c>
      <c r="I2046" t="str">
        <f t="shared" si="63"/>
        <v>Obesity</v>
      </c>
      <c r="J2046" t="str">
        <f t="shared" si="64"/>
        <v>Normal</v>
      </c>
    </row>
    <row r="2047" spans="1:10" x14ac:dyDescent="0.35">
      <c r="A2047" t="s">
        <v>2047</v>
      </c>
      <c r="B2047">
        <v>30.4</v>
      </c>
      <c r="C2047">
        <v>5.56</v>
      </c>
      <c r="D2047" t="s">
        <v>2346</v>
      </c>
      <c r="E2047" t="s">
        <v>2345</v>
      </c>
      <c r="F2047" t="s">
        <v>2344</v>
      </c>
      <c r="G2047">
        <v>1</v>
      </c>
      <c r="H2047" t="s">
        <v>2344</v>
      </c>
      <c r="I2047" t="str">
        <f t="shared" si="63"/>
        <v>Obesity</v>
      </c>
      <c r="J2047" t="str">
        <f t="shared" si="64"/>
        <v>Normal</v>
      </c>
    </row>
    <row r="2048" spans="1:10" x14ac:dyDescent="0.35">
      <c r="A2048" t="s">
        <v>2048</v>
      </c>
      <c r="B2048">
        <v>23.18</v>
      </c>
      <c r="C2048">
        <v>4.24</v>
      </c>
      <c r="D2048" t="s">
        <v>2344</v>
      </c>
      <c r="E2048" t="s">
        <v>2345</v>
      </c>
      <c r="F2048" t="s">
        <v>2344</v>
      </c>
      <c r="G2048">
        <v>1</v>
      </c>
      <c r="H2048" t="s">
        <v>2344</v>
      </c>
      <c r="I2048" t="str">
        <f t="shared" si="63"/>
        <v>Normal Weight</v>
      </c>
      <c r="J2048" t="str">
        <f t="shared" si="64"/>
        <v>Normal</v>
      </c>
    </row>
    <row r="2049" spans="1:10" x14ac:dyDescent="0.35">
      <c r="A2049" t="s">
        <v>2049</v>
      </c>
      <c r="B2049">
        <v>39.615000000000002</v>
      </c>
      <c r="C2049">
        <v>6.32</v>
      </c>
      <c r="D2049" t="s">
        <v>2344</v>
      </c>
      <c r="E2049" t="s">
        <v>2344</v>
      </c>
      <c r="F2049" t="s">
        <v>2346</v>
      </c>
      <c r="G2049">
        <v>1</v>
      </c>
      <c r="H2049" t="s">
        <v>2344</v>
      </c>
      <c r="I2049" t="str">
        <f t="shared" si="63"/>
        <v>Obesity</v>
      </c>
      <c r="J2049" t="str">
        <f t="shared" si="64"/>
        <v>Prediabetes</v>
      </c>
    </row>
    <row r="2050" spans="1:10" x14ac:dyDescent="0.35">
      <c r="A2050" t="s">
        <v>2050</v>
      </c>
      <c r="B2050">
        <v>30.59</v>
      </c>
      <c r="C2050">
        <v>6.3</v>
      </c>
      <c r="D2050" t="s">
        <v>2346</v>
      </c>
      <c r="E2050" t="s">
        <v>2344</v>
      </c>
      <c r="F2050" t="s">
        <v>2346</v>
      </c>
      <c r="G2050">
        <v>1</v>
      </c>
      <c r="H2050" t="s">
        <v>2344</v>
      </c>
      <c r="I2050" t="str">
        <f t="shared" si="63"/>
        <v>Obesity</v>
      </c>
      <c r="J2050" t="str">
        <f t="shared" si="64"/>
        <v>Prediabetes</v>
      </c>
    </row>
    <row r="2051" spans="1:10" x14ac:dyDescent="0.35">
      <c r="A2051" t="s">
        <v>2051</v>
      </c>
      <c r="B2051">
        <v>16.72</v>
      </c>
      <c r="C2051">
        <v>4.38</v>
      </c>
      <c r="D2051" t="s">
        <v>2346</v>
      </c>
      <c r="E2051" t="s">
        <v>2344</v>
      </c>
      <c r="F2051" t="s">
        <v>2344</v>
      </c>
      <c r="G2051">
        <v>1</v>
      </c>
      <c r="H2051" t="s">
        <v>2344</v>
      </c>
      <c r="I2051" t="str">
        <f t="shared" ref="I2051:I2114" si="65">IF(B2051&lt;18.5,"Under Weight",IF(B2051&lt;25,"Normal Weight",IF(B2051&lt;30,"Over weight","Obesity")))</f>
        <v>Under Weight</v>
      </c>
      <c r="J2051" t="str">
        <f t="shared" si="64"/>
        <v>Normal</v>
      </c>
    </row>
    <row r="2052" spans="1:10" x14ac:dyDescent="0.35">
      <c r="A2052" t="s">
        <v>2052</v>
      </c>
      <c r="B2052">
        <v>26.22</v>
      </c>
      <c r="C2052">
        <v>4.6500000000000004</v>
      </c>
      <c r="D2052" t="s">
        <v>2346</v>
      </c>
      <c r="E2052" t="s">
        <v>2344</v>
      </c>
      <c r="F2052" t="s">
        <v>2346</v>
      </c>
      <c r="G2052">
        <v>1</v>
      </c>
      <c r="H2052" t="s">
        <v>2344</v>
      </c>
      <c r="I2052" t="str">
        <f t="shared" si="65"/>
        <v>Over weight</v>
      </c>
      <c r="J2052" t="str">
        <f t="shared" si="64"/>
        <v>Normal</v>
      </c>
    </row>
    <row r="2053" spans="1:10" x14ac:dyDescent="0.35">
      <c r="A2053" t="s">
        <v>2053</v>
      </c>
      <c r="B2053">
        <v>31.824999999999999</v>
      </c>
      <c r="C2053">
        <v>4.7</v>
      </c>
      <c r="D2053" t="s">
        <v>2344</v>
      </c>
      <c r="E2053" t="s">
        <v>2344</v>
      </c>
      <c r="F2053" t="s">
        <v>2346</v>
      </c>
      <c r="G2053">
        <v>1</v>
      </c>
      <c r="H2053" t="s">
        <v>2344</v>
      </c>
      <c r="I2053" t="str">
        <f t="shared" si="65"/>
        <v>Obesity</v>
      </c>
      <c r="J2053" t="str">
        <f t="shared" si="64"/>
        <v>Normal</v>
      </c>
    </row>
    <row r="2054" spans="1:10" x14ac:dyDescent="0.35">
      <c r="A2054" t="s">
        <v>2054</v>
      </c>
      <c r="B2054">
        <v>25.745000000000001</v>
      </c>
      <c r="C2054">
        <v>4.34</v>
      </c>
      <c r="D2054" t="s">
        <v>2344</v>
      </c>
      <c r="E2054" t="s">
        <v>2344</v>
      </c>
      <c r="F2054" t="s">
        <v>2346</v>
      </c>
      <c r="G2054">
        <v>1</v>
      </c>
      <c r="H2054" t="s">
        <v>2344</v>
      </c>
      <c r="I2054" t="str">
        <f t="shared" si="65"/>
        <v>Over weight</v>
      </c>
      <c r="J2054" t="str">
        <f t="shared" si="64"/>
        <v>Normal</v>
      </c>
    </row>
    <row r="2055" spans="1:10" x14ac:dyDescent="0.35">
      <c r="A2055" t="s">
        <v>2055</v>
      </c>
      <c r="B2055">
        <v>24.605</v>
      </c>
      <c r="C2055">
        <v>5.62</v>
      </c>
      <c r="D2055" t="s">
        <v>2344</v>
      </c>
      <c r="E2055" t="s">
        <v>2344</v>
      </c>
      <c r="F2055" t="s">
        <v>2346</v>
      </c>
      <c r="G2055">
        <v>1</v>
      </c>
      <c r="H2055" t="s">
        <v>2344</v>
      </c>
      <c r="I2055" t="str">
        <f t="shared" si="65"/>
        <v>Normal Weight</v>
      </c>
      <c r="J2055" t="str">
        <f t="shared" si="64"/>
        <v>Normal</v>
      </c>
    </row>
    <row r="2056" spans="1:10" x14ac:dyDescent="0.35">
      <c r="A2056" t="s">
        <v>2056</v>
      </c>
      <c r="B2056">
        <v>24.51</v>
      </c>
      <c r="C2056">
        <v>4.24</v>
      </c>
      <c r="D2056" t="s">
        <v>2344</v>
      </c>
      <c r="E2056" t="s">
        <v>2344</v>
      </c>
      <c r="F2056" t="s">
        <v>2346</v>
      </c>
      <c r="G2056">
        <v>1</v>
      </c>
      <c r="H2056" t="s">
        <v>2344</v>
      </c>
      <c r="I2056" t="str">
        <f t="shared" si="65"/>
        <v>Normal Weight</v>
      </c>
      <c r="J2056" t="str">
        <f t="shared" si="64"/>
        <v>Normal</v>
      </c>
    </row>
    <row r="2057" spans="1:10" x14ac:dyDescent="0.35">
      <c r="A2057" t="s">
        <v>2057</v>
      </c>
      <c r="B2057">
        <v>31.065000000000001</v>
      </c>
      <c r="C2057">
        <v>4.57</v>
      </c>
      <c r="D2057" t="s">
        <v>2346</v>
      </c>
      <c r="E2057" t="s">
        <v>2344</v>
      </c>
      <c r="F2057" t="s">
        <v>2344</v>
      </c>
      <c r="G2057">
        <v>0</v>
      </c>
      <c r="H2057" t="s">
        <v>2344</v>
      </c>
      <c r="I2057" t="str">
        <f t="shared" si="65"/>
        <v>Obesity</v>
      </c>
      <c r="J2057" t="str">
        <f t="shared" si="64"/>
        <v>Normal</v>
      </c>
    </row>
    <row r="2058" spans="1:10" x14ac:dyDescent="0.35">
      <c r="A2058" t="s">
        <v>2058</v>
      </c>
      <c r="B2058">
        <v>28.12</v>
      </c>
      <c r="C2058">
        <v>5.05</v>
      </c>
      <c r="D2058" t="s">
        <v>2344</v>
      </c>
      <c r="E2058" t="s">
        <v>2344</v>
      </c>
      <c r="F2058" t="s">
        <v>2344</v>
      </c>
      <c r="G2058">
        <v>0</v>
      </c>
      <c r="H2058" t="s">
        <v>2344</v>
      </c>
      <c r="I2058" t="str">
        <f t="shared" si="65"/>
        <v>Over weight</v>
      </c>
      <c r="J2058" t="str">
        <f t="shared" si="64"/>
        <v>Normal</v>
      </c>
    </row>
    <row r="2059" spans="1:10" x14ac:dyDescent="0.35">
      <c r="A2059" t="s">
        <v>2059</v>
      </c>
      <c r="B2059">
        <v>38.06</v>
      </c>
      <c r="C2059">
        <v>6.16</v>
      </c>
      <c r="D2059" t="s">
        <v>2344</v>
      </c>
      <c r="E2059" t="s">
        <v>2344</v>
      </c>
      <c r="F2059" t="s">
        <v>2344</v>
      </c>
      <c r="G2059">
        <v>0</v>
      </c>
      <c r="H2059" t="s">
        <v>2344</v>
      </c>
      <c r="I2059" t="str">
        <f t="shared" si="65"/>
        <v>Obesity</v>
      </c>
      <c r="J2059" t="str">
        <f t="shared" si="64"/>
        <v>Prediabetes</v>
      </c>
    </row>
    <row r="2060" spans="1:10" x14ac:dyDescent="0.35">
      <c r="A2060" t="s">
        <v>2060</v>
      </c>
      <c r="B2060">
        <v>24.96</v>
      </c>
      <c r="C2060">
        <v>4.57</v>
      </c>
      <c r="D2060" t="s">
        <v>2344</v>
      </c>
      <c r="E2060" t="s">
        <v>2344</v>
      </c>
      <c r="F2060" t="s">
        <v>2344</v>
      </c>
      <c r="G2060">
        <v>0</v>
      </c>
      <c r="H2060" t="s">
        <v>2344</v>
      </c>
      <c r="I2060" t="str">
        <f t="shared" si="65"/>
        <v>Normal Weight</v>
      </c>
      <c r="J2060" t="str">
        <f t="shared" ref="J2060:J2123" si="66">IF(C2060&lt;5.7,"Normal",IF(C2060&lt;6.5,"Prediabetes","Diabetes"))</f>
        <v>Normal</v>
      </c>
    </row>
    <row r="2061" spans="1:10" x14ac:dyDescent="0.35">
      <c r="A2061" t="s">
        <v>2061</v>
      </c>
      <c r="B2061">
        <v>17.670000000000002</v>
      </c>
      <c r="C2061">
        <v>5.53</v>
      </c>
      <c r="D2061" t="s">
        <v>2346</v>
      </c>
      <c r="E2061" t="s">
        <v>2344</v>
      </c>
      <c r="F2061" t="s">
        <v>2344</v>
      </c>
      <c r="G2061">
        <v>0</v>
      </c>
      <c r="H2061" t="s">
        <v>2344</v>
      </c>
      <c r="I2061" t="str">
        <f t="shared" si="65"/>
        <v>Under Weight</v>
      </c>
      <c r="J2061" t="str">
        <f t="shared" si="66"/>
        <v>Normal</v>
      </c>
    </row>
    <row r="2062" spans="1:10" x14ac:dyDescent="0.35">
      <c r="A2062" t="s">
        <v>2062</v>
      </c>
      <c r="B2062">
        <v>31.35</v>
      </c>
      <c r="C2062">
        <v>5.84</v>
      </c>
      <c r="D2062" t="s">
        <v>2344</v>
      </c>
      <c r="E2062" t="s">
        <v>2345</v>
      </c>
      <c r="F2062" t="s">
        <v>2344</v>
      </c>
      <c r="G2062">
        <v>1</v>
      </c>
      <c r="H2062" t="s">
        <v>2344</v>
      </c>
      <c r="I2062" t="str">
        <f t="shared" si="65"/>
        <v>Obesity</v>
      </c>
      <c r="J2062" t="str">
        <f t="shared" si="66"/>
        <v>Prediabetes</v>
      </c>
    </row>
    <row r="2063" spans="1:10" x14ac:dyDescent="0.35">
      <c r="A2063" t="s">
        <v>2063</v>
      </c>
      <c r="B2063">
        <v>28.31</v>
      </c>
      <c r="C2063">
        <v>6.41</v>
      </c>
      <c r="D2063" t="s">
        <v>2344</v>
      </c>
      <c r="E2063" t="s">
        <v>2345</v>
      </c>
      <c r="F2063" t="s">
        <v>2344</v>
      </c>
      <c r="G2063">
        <v>1</v>
      </c>
      <c r="H2063" t="s">
        <v>2344</v>
      </c>
      <c r="I2063" t="str">
        <f t="shared" si="65"/>
        <v>Over weight</v>
      </c>
      <c r="J2063" t="str">
        <f t="shared" si="66"/>
        <v>Prediabetes</v>
      </c>
    </row>
    <row r="2064" spans="1:10" x14ac:dyDescent="0.35">
      <c r="A2064" t="s">
        <v>2064</v>
      </c>
      <c r="B2064">
        <v>30.3</v>
      </c>
      <c r="C2064">
        <v>4.7300000000000004</v>
      </c>
      <c r="D2064" t="s">
        <v>2346</v>
      </c>
      <c r="E2064" t="s">
        <v>2344</v>
      </c>
      <c r="F2064" t="s">
        <v>2346</v>
      </c>
      <c r="G2064">
        <v>1</v>
      </c>
      <c r="H2064" t="s">
        <v>2344</v>
      </c>
      <c r="I2064" t="str">
        <f t="shared" si="65"/>
        <v>Obesity</v>
      </c>
      <c r="J2064" t="str">
        <f t="shared" si="66"/>
        <v>Normal</v>
      </c>
    </row>
    <row r="2065" spans="1:10" x14ac:dyDescent="0.35">
      <c r="A2065" t="s">
        <v>2065</v>
      </c>
      <c r="B2065">
        <v>26.4</v>
      </c>
      <c r="C2065">
        <v>6.22</v>
      </c>
      <c r="D2065" t="s">
        <v>2346</v>
      </c>
      <c r="E2065" t="s">
        <v>2344</v>
      </c>
      <c r="F2065" t="s">
        <v>2344</v>
      </c>
      <c r="G2065">
        <v>0</v>
      </c>
      <c r="H2065" t="s">
        <v>2344</v>
      </c>
      <c r="I2065" t="str">
        <f t="shared" si="65"/>
        <v>Over weight</v>
      </c>
      <c r="J2065" t="str">
        <f t="shared" si="66"/>
        <v>Prediabetes</v>
      </c>
    </row>
    <row r="2066" spans="1:10" x14ac:dyDescent="0.35">
      <c r="A2066" t="s">
        <v>2066</v>
      </c>
      <c r="B2066">
        <v>22.135000000000002</v>
      </c>
      <c r="C2066">
        <v>4.46</v>
      </c>
      <c r="D2066" t="s">
        <v>2346</v>
      </c>
      <c r="E2066" t="s">
        <v>2344</v>
      </c>
      <c r="F2066" t="s">
        <v>2344</v>
      </c>
      <c r="G2066">
        <v>0</v>
      </c>
      <c r="H2066" t="s">
        <v>2344</v>
      </c>
      <c r="I2066" t="str">
        <f t="shared" si="65"/>
        <v>Normal Weight</v>
      </c>
      <c r="J2066" t="str">
        <f t="shared" si="66"/>
        <v>Normal</v>
      </c>
    </row>
    <row r="2067" spans="1:10" x14ac:dyDescent="0.35">
      <c r="A2067" t="s">
        <v>2067</v>
      </c>
      <c r="B2067">
        <v>17.399999999999999</v>
      </c>
      <c r="C2067">
        <v>4.5</v>
      </c>
      <c r="D2067" t="s">
        <v>2346</v>
      </c>
      <c r="E2067" t="s">
        <v>2344</v>
      </c>
      <c r="F2067" t="s">
        <v>2344</v>
      </c>
      <c r="G2067">
        <v>0</v>
      </c>
      <c r="H2067" t="s">
        <v>2344</v>
      </c>
      <c r="I2067" t="str">
        <f t="shared" si="65"/>
        <v>Under Weight</v>
      </c>
      <c r="J2067" t="str">
        <f t="shared" si="66"/>
        <v>Normal</v>
      </c>
    </row>
    <row r="2068" spans="1:10" x14ac:dyDescent="0.35">
      <c r="A2068" t="s">
        <v>2068</v>
      </c>
      <c r="B2068">
        <v>28.06</v>
      </c>
      <c r="C2068">
        <v>8.93</v>
      </c>
      <c r="D2068" t="s">
        <v>2344</v>
      </c>
      <c r="E2068" t="s">
        <v>2344</v>
      </c>
      <c r="F2068" t="s">
        <v>2344</v>
      </c>
      <c r="G2068">
        <v>0</v>
      </c>
      <c r="H2068" t="s">
        <v>2344</v>
      </c>
      <c r="I2068" t="str">
        <f t="shared" si="65"/>
        <v>Over weight</v>
      </c>
      <c r="J2068" t="str">
        <f t="shared" si="66"/>
        <v>Diabetes</v>
      </c>
    </row>
    <row r="2069" spans="1:10" x14ac:dyDescent="0.35">
      <c r="A2069" t="s">
        <v>2069</v>
      </c>
      <c r="B2069">
        <v>31.13</v>
      </c>
      <c r="C2069">
        <v>11.02</v>
      </c>
      <c r="D2069" t="s">
        <v>2344</v>
      </c>
      <c r="E2069" t="s">
        <v>2344</v>
      </c>
      <c r="F2069" t="s">
        <v>2344</v>
      </c>
      <c r="G2069">
        <v>0</v>
      </c>
      <c r="H2069" t="s">
        <v>2344</v>
      </c>
      <c r="I2069" t="str">
        <f t="shared" si="65"/>
        <v>Obesity</v>
      </c>
      <c r="J2069" t="str">
        <f t="shared" si="66"/>
        <v>Diabetes</v>
      </c>
    </row>
    <row r="2070" spans="1:10" x14ac:dyDescent="0.35">
      <c r="A2070" t="s">
        <v>2070</v>
      </c>
      <c r="B2070">
        <v>18.46</v>
      </c>
      <c r="C2070">
        <v>5.25</v>
      </c>
      <c r="D2070" t="s">
        <v>2344</v>
      </c>
      <c r="E2070" t="s">
        <v>2344</v>
      </c>
      <c r="F2070" t="s">
        <v>2344</v>
      </c>
      <c r="G2070">
        <v>0</v>
      </c>
      <c r="H2070" t="s">
        <v>2344</v>
      </c>
      <c r="I2070" t="str">
        <f t="shared" si="65"/>
        <v>Under Weight</v>
      </c>
      <c r="J2070" t="str">
        <f t="shared" si="66"/>
        <v>Normal</v>
      </c>
    </row>
    <row r="2071" spans="1:10" x14ac:dyDescent="0.35">
      <c r="A2071" t="s">
        <v>2071</v>
      </c>
      <c r="B2071">
        <v>17.3</v>
      </c>
      <c r="C2071">
        <v>4.75</v>
      </c>
      <c r="D2071" t="s">
        <v>2344</v>
      </c>
      <c r="E2071" t="s">
        <v>2344</v>
      </c>
      <c r="F2071" t="s">
        <v>2344</v>
      </c>
      <c r="G2071">
        <v>0</v>
      </c>
      <c r="H2071" t="s">
        <v>2344</v>
      </c>
      <c r="I2071" t="str">
        <f t="shared" si="65"/>
        <v>Under Weight</v>
      </c>
      <c r="J2071" t="str">
        <f t="shared" si="66"/>
        <v>Normal</v>
      </c>
    </row>
    <row r="2072" spans="1:10" x14ac:dyDescent="0.35">
      <c r="A2072" t="s">
        <v>2072</v>
      </c>
      <c r="B2072">
        <v>35.625</v>
      </c>
      <c r="C2072">
        <v>4.68</v>
      </c>
      <c r="D2072" t="s">
        <v>2346</v>
      </c>
      <c r="E2072" t="s">
        <v>2344</v>
      </c>
      <c r="F2072" t="s">
        <v>2346</v>
      </c>
      <c r="G2072">
        <v>1</v>
      </c>
      <c r="H2072" t="s">
        <v>2344</v>
      </c>
      <c r="I2072" t="str">
        <f t="shared" si="65"/>
        <v>Obesity</v>
      </c>
      <c r="J2072" t="str">
        <f t="shared" si="66"/>
        <v>Normal</v>
      </c>
    </row>
    <row r="2073" spans="1:10" x14ac:dyDescent="0.35">
      <c r="A2073" t="s">
        <v>2073</v>
      </c>
      <c r="B2073">
        <v>20.234999999999999</v>
      </c>
      <c r="C2073">
        <v>6.17</v>
      </c>
      <c r="D2073" t="s">
        <v>2346</v>
      </c>
      <c r="E2073" t="s">
        <v>2345</v>
      </c>
      <c r="F2073" t="s">
        <v>2344</v>
      </c>
      <c r="G2073">
        <v>1</v>
      </c>
      <c r="H2073" t="s">
        <v>2344</v>
      </c>
      <c r="I2073" t="str">
        <f t="shared" si="65"/>
        <v>Normal Weight</v>
      </c>
      <c r="J2073" t="str">
        <f t="shared" si="66"/>
        <v>Prediabetes</v>
      </c>
    </row>
    <row r="2074" spans="1:10" x14ac:dyDescent="0.35">
      <c r="A2074" t="s">
        <v>2074</v>
      </c>
      <c r="B2074">
        <v>27.55</v>
      </c>
      <c r="C2074">
        <v>4.5599999999999996</v>
      </c>
      <c r="D2074" t="s">
        <v>2346</v>
      </c>
      <c r="E2074" t="s">
        <v>2344</v>
      </c>
      <c r="F2074" t="s">
        <v>2346</v>
      </c>
      <c r="G2074">
        <v>1</v>
      </c>
      <c r="H2074" t="s">
        <v>2344</v>
      </c>
      <c r="I2074" t="str">
        <f t="shared" si="65"/>
        <v>Over weight</v>
      </c>
      <c r="J2074" t="str">
        <f t="shared" si="66"/>
        <v>Normal</v>
      </c>
    </row>
    <row r="2075" spans="1:10" x14ac:dyDescent="0.35">
      <c r="A2075" t="s">
        <v>2075</v>
      </c>
      <c r="B2075">
        <v>17.97</v>
      </c>
      <c r="C2075">
        <v>6.3</v>
      </c>
      <c r="D2075" t="s">
        <v>2344</v>
      </c>
      <c r="E2075" t="s">
        <v>2344</v>
      </c>
      <c r="F2075" t="s">
        <v>2344</v>
      </c>
      <c r="G2075">
        <v>0</v>
      </c>
      <c r="H2075" t="s">
        <v>2344</v>
      </c>
      <c r="I2075" t="str">
        <f t="shared" si="65"/>
        <v>Under Weight</v>
      </c>
      <c r="J2075" t="str">
        <f t="shared" si="66"/>
        <v>Prediabetes</v>
      </c>
    </row>
    <row r="2076" spans="1:10" x14ac:dyDescent="0.35">
      <c r="A2076" t="s">
        <v>2076</v>
      </c>
      <c r="B2076">
        <v>29.98</v>
      </c>
      <c r="C2076">
        <v>6.03</v>
      </c>
      <c r="D2076" t="s">
        <v>2344</v>
      </c>
      <c r="E2076" t="s">
        <v>2345</v>
      </c>
      <c r="F2076" t="s">
        <v>2344</v>
      </c>
      <c r="G2076">
        <v>1</v>
      </c>
      <c r="H2076" t="s">
        <v>2344</v>
      </c>
      <c r="I2076" t="str">
        <f t="shared" si="65"/>
        <v>Over weight</v>
      </c>
      <c r="J2076" t="str">
        <f t="shared" si="66"/>
        <v>Prediabetes</v>
      </c>
    </row>
    <row r="2077" spans="1:10" x14ac:dyDescent="0.35">
      <c r="A2077" t="s">
        <v>2077</v>
      </c>
      <c r="B2077">
        <v>33.659999999999997</v>
      </c>
      <c r="C2077">
        <v>4.2</v>
      </c>
      <c r="D2077" t="s">
        <v>2346</v>
      </c>
      <c r="E2077" t="s">
        <v>2344</v>
      </c>
      <c r="F2077" t="s">
        <v>2344</v>
      </c>
      <c r="G2077">
        <v>1</v>
      </c>
      <c r="H2077" t="s">
        <v>2344</v>
      </c>
      <c r="I2077" t="str">
        <f t="shared" si="65"/>
        <v>Obesity</v>
      </c>
      <c r="J2077" t="str">
        <f t="shared" si="66"/>
        <v>Normal</v>
      </c>
    </row>
    <row r="2078" spans="1:10" x14ac:dyDescent="0.35">
      <c r="A2078" t="s">
        <v>2078</v>
      </c>
      <c r="B2078">
        <v>32.67</v>
      </c>
      <c r="C2078">
        <v>5.61</v>
      </c>
      <c r="D2078" t="s">
        <v>2346</v>
      </c>
      <c r="E2078" t="s">
        <v>2344</v>
      </c>
      <c r="F2078" t="s">
        <v>2344</v>
      </c>
      <c r="G2078">
        <v>1</v>
      </c>
      <c r="H2078" t="s">
        <v>2344</v>
      </c>
      <c r="I2078" t="str">
        <f t="shared" si="65"/>
        <v>Obesity</v>
      </c>
      <c r="J2078" t="str">
        <f t="shared" si="66"/>
        <v>Normal</v>
      </c>
    </row>
    <row r="2079" spans="1:10" x14ac:dyDescent="0.35">
      <c r="A2079" t="s">
        <v>2079</v>
      </c>
      <c r="B2079">
        <v>30.5</v>
      </c>
      <c r="C2079">
        <v>5.88</v>
      </c>
      <c r="D2079" t="s">
        <v>2346</v>
      </c>
      <c r="E2079" t="s">
        <v>2344</v>
      </c>
      <c r="F2079" t="s">
        <v>2344</v>
      </c>
      <c r="G2079">
        <v>1</v>
      </c>
      <c r="H2079" t="s">
        <v>2344</v>
      </c>
      <c r="I2079" t="str">
        <f t="shared" si="65"/>
        <v>Obesity</v>
      </c>
      <c r="J2079" t="str">
        <f t="shared" si="66"/>
        <v>Prediabetes</v>
      </c>
    </row>
    <row r="2080" spans="1:10" x14ac:dyDescent="0.35">
      <c r="A2080" t="s">
        <v>2080</v>
      </c>
      <c r="B2080">
        <v>23.1</v>
      </c>
      <c r="C2080">
        <v>5.92</v>
      </c>
      <c r="D2080" t="s">
        <v>2346</v>
      </c>
      <c r="E2080" t="s">
        <v>2344</v>
      </c>
      <c r="F2080" t="s">
        <v>2344</v>
      </c>
      <c r="G2080">
        <v>1</v>
      </c>
      <c r="H2080" t="s">
        <v>2344</v>
      </c>
      <c r="I2080" t="str">
        <f t="shared" si="65"/>
        <v>Normal Weight</v>
      </c>
      <c r="J2080" t="str">
        <f t="shared" si="66"/>
        <v>Prediabetes</v>
      </c>
    </row>
    <row r="2081" spans="1:10" x14ac:dyDescent="0.35">
      <c r="A2081" t="s">
        <v>2081</v>
      </c>
      <c r="B2081">
        <v>39.49</v>
      </c>
      <c r="C2081">
        <v>4.8099999999999996</v>
      </c>
      <c r="D2081" t="s">
        <v>2344</v>
      </c>
      <c r="E2081" t="s">
        <v>2344</v>
      </c>
      <c r="F2081" t="s">
        <v>2344</v>
      </c>
      <c r="G2081">
        <v>1</v>
      </c>
      <c r="H2081" t="s">
        <v>2344</v>
      </c>
      <c r="I2081" t="str">
        <f t="shared" si="65"/>
        <v>Obesity</v>
      </c>
      <c r="J2081" t="str">
        <f t="shared" si="66"/>
        <v>Normal</v>
      </c>
    </row>
    <row r="2082" spans="1:10" x14ac:dyDescent="0.35">
      <c r="A2082" t="s">
        <v>2082</v>
      </c>
      <c r="B2082">
        <v>33.99</v>
      </c>
      <c r="C2082">
        <v>4.55</v>
      </c>
      <c r="D2082" t="s">
        <v>2344</v>
      </c>
      <c r="E2082" t="s">
        <v>2344</v>
      </c>
      <c r="F2082" t="s">
        <v>2344</v>
      </c>
      <c r="G2082">
        <v>1</v>
      </c>
      <c r="H2082" t="s">
        <v>2344</v>
      </c>
      <c r="I2082" t="str">
        <f t="shared" si="65"/>
        <v>Obesity</v>
      </c>
      <c r="J2082" t="str">
        <f t="shared" si="66"/>
        <v>Normal</v>
      </c>
    </row>
    <row r="2083" spans="1:10" x14ac:dyDescent="0.35">
      <c r="A2083" t="s">
        <v>2083</v>
      </c>
      <c r="B2083">
        <v>27.72</v>
      </c>
      <c r="C2083">
        <v>6.43</v>
      </c>
      <c r="D2083" t="s">
        <v>2344</v>
      </c>
      <c r="E2083" t="s">
        <v>2344</v>
      </c>
      <c r="F2083" t="s">
        <v>2344</v>
      </c>
      <c r="G2083">
        <v>1</v>
      </c>
      <c r="H2083" t="s">
        <v>2344</v>
      </c>
      <c r="I2083" t="str">
        <f t="shared" si="65"/>
        <v>Over weight</v>
      </c>
      <c r="J2083" t="str">
        <f t="shared" si="66"/>
        <v>Prediabetes</v>
      </c>
    </row>
    <row r="2084" spans="1:10" x14ac:dyDescent="0.35">
      <c r="A2084" t="s">
        <v>2084</v>
      </c>
      <c r="B2084">
        <v>30.59</v>
      </c>
      <c r="C2084">
        <v>11.62</v>
      </c>
      <c r="D2084" t="s">
        <v>2344</v>
      </c>
      <c r="E2084" t="s">
        <v>2344</v>
      </c>
      <c r="F2084" t="s">
        <v>2344</v>
      </c>
      <c r="G2084">
        <v>0</v>
      </c>
      <c r="H2084" t="s">
        <v>2344</v>
      </c>
      <c r="I2084" t="str">
        <f t="shared" si="65"/>
        <v>Obesity</v>
      </c>
      <c r="J2084" t="str">
        <f t="shared" si="66"/>
        <v>Diabetes</v>
      </c>
    </row>
    <row r="2085" spans="1:10" x14ac:dyDescent="0.35">
      <c r="A2085" t="s">
        <v>2085</v>
      </c>
      <c r="B2085">
        <v>22.6</v>
      </c>
      <c r="C2085">
        <v>6.04</v>
      </c>
      <c r="D2085" t="s">
        <v>2344</v>
      </c>
      <c r="E2085" t="s">
        <v>2344</v>
      </c>
      <c r="F2085" t="s">
        <v>2344</v>
      </c>
      <c r="G2085">
        <v>1</v>
      </c>
      <c r="H2085" t="s">
        <v>2344</v>
      </c>
      <c r="I2085" t="str">
        <f t="shared" si="65"/>
        <v>Normal Weight</v>
      </c>
      <c r="J2085" t="str">
        <f t="shared" si="66"/>
        <v>Prediabetes</v>
      </c>
    </row>
    <row r="2086" spans="1:10" x14ac:dyDescent="0.35">
      <c r="A2086" t="s">
        <v>2086</v>
      </c>
      <c r="B2086">
        <v>28.785</v>
      </c>
      <c r="C2086">
        <v>8.82</v>
      </c>
      <c r="D2086" t="s">
        <v>2344</v>
      </c>
      <c r="E2086" t="s">
        <v>2344</v>
      </c>
      <c r="F2086" t="s">
        <v>2344</v>
      </c>
      <c r="G2086">
        <v>0</v>
      </c>
      <c r="H2086" t="s">
        <v>2344</v>
      </c>
      <c r="I2086" t="str">
        <f t="shared" si="65"/>
        <v>Over weight</v>
      </c>
      <c r="J2086" t="str">
        <f t="shared" si="66"/>
        <v>Diabetes</v>
      </c>
    </row>
    <row r="2087" spans="1:10" x14ac:dyDescent="0.35">
      <c r="A2087" t="s">
        <v>2087</v>
      </c>
      <c r="B2087">
        <v>50.38</v>
      </c>
      <c r="C2087">
        <v>5.8</v>
      </c>
      <c r="D2087" t="s">
        <v>2344</v>
      </c>
      <c r="E2087" t="s">
        <v>2344</v>
      </c>
      <c r="F2087" t="s">
        <v>2344</v>
      </c>
      <c r="G2087">
        <v>0</v>
      </c>
      <c r="H2087" t="s">
        <v>2344</v>
      </c>
      <c r="I2087" t="str">
        <f t="shared" si="65"/>
        <v>Obesity</v>
      </c>
      <c r="J2087" t="str">
        <f t="shared" si="66"/>
        <v>Prediabetes</v>
      </c>
    </row>
    <row r="2088" spans="1:10" x14ac:dyDescent="0.35">
      <c r="A2088" t="s">
        <v>2088</v>
      </c>
      <c r="B2088">
        <v>35.200000000000003</v>
      </c>
      <c r="C2088">
        <v>4.28</v>
      </c>
      <c r="D2088" t="s">
        <v>2344</v>
      </c>
      <c r="E2088" t="s">
        <v>2344</v>
      </c>
      <c r="F2088" t="s">
        <v>2344</v>
      </c>
      <c r="G2088">
        <v>0</v>
      </c>
      <c r="H2088" t="s">
        <v>2344</v>
      </c>
      <c r="I2088" t="str">
        <f t="shared" si="65"/>
        <v>Obesity</v>
      </c>
      <c r="J2088" t="str">
        <f t="shared" si="66"/>
        <v>Normal</v>
      </c>
    </row>
    <row r="2089" spans="1:10" x14ac:dyDescent="0.35">
      <c r="A2089" t="s">
        <v>2089</v>
      </c>
      <c r="B2089">
        <v>35.72</v>
      </c>
      <c r="C2089">
        <v>5.5</v>
      </c>
      <c r="D2089" t="s">
        <v>2346</v>
      </c>
      <c r="E2089" t="s">
        <v>2344</v>
      </c>
      <c r="F2089" t="s">
        <v>2344</v>
      </c>
      <c r="G2089">
        <v>0</v>
      </c>
      <c r="H2089" t="s">
        <v>2344</v>
      </c>
      <c r="I2089" t="str">
        <f t="shared" si="65"/>
        <v>Obesity</v>
      </c>
      <c r="J2089" t="str">
        <f t="shared" si="66"/>
        <v>Normal</v>
      </c>
    </row>
    <row r="2090" spans="1:10" x14ac:dyDescent="0.35">
      <c r="A2090" t="s">
        <v>2090</v>
      </c>
      <c r="B2090">
        <v>24.51</v>
      </c>
      <c r="C2090">
        <v>4.6900000000000004</v>
      </c>
      <c r="D2090" t="s">
        <v>2344</v>
      </c>
      <c r="E2090" t="s">
        <v>2344</v>
      </c>
      <c r="F2090" t="s">
        <v>2344</v>
      </c>
      <c r="G2090">
        <v>0</v>
      </c>
      <c r="H2090" t="s">
        <v>2344</v>
      </c>
      <c r="I2090" t="str">
        <f t="shared" si="65"/>
        <v>Normal Weight</v>
      </c>
      <c r="J2090" t="str">
        <f t="shared" si="66"/>
        <v>Normal</v>
      </c>
    </row>
    <row r="2091" spans="1:10" x14ac:dyDescent="0.35">
      <c r="A2091" t="s">
        <v>2091</v>
      </c>
      <c r="B2091">
        <v>23.844999999999999</v>
      </c>
      <c r="C2091">
        <v>4.43</v>
      </c>
      <c r="D2091" t="s">
        <v>2344</v>
      </c>
      <c r="E2091" t="s">
        <v>2344</v>
      </c>
      <c r="F2091" t="s">
        <v>2344</v>
      </c>
      <c r="G2091">
        <v>0</v>
      </c>
      <c r="H2091" t="s">
        <v>2344</v>
      </c>
      <c r="I2091" t="str">
        <f t="shared" si="65"/>
        <v>Normal Weight</v>
      </c>
      <c r="J2091" t="str">
        <f t="shared" si="66"/>
        <v>Normal</v>
      </c>
    </row>
    <row r="2092" spans="1:10" x14ac:dyDescent="0.35">
      <c r="A2092" t="s">
        <v>2092</v>
      </c>
      <c r="B2092">
        <v>15.68</v>
      </c>
      <c r="C2092">
        <v>6.16</v>
      </c>
      <c r="D2092" t="s">
        <v>2346</v>
      </c>
      <c r="E2092" t="s">
        <v>2344</v>
      </c>
      <c r="F2092" t="s">
        <v>2344</v>
      </c>
      <c r="G2092">
        <v>1</v>
      </c>
      <c r="H2092" t="s">
        <v>2344</v>
      </c>
      <c r="I2092" t="str">
        <f t="shared" si="65"/>
        <v>Under Weight</v>
      </c>
      <c r="J2092" t="str">
        <f t="shared" si="66"/>
        <v>Prediabetes</v>
      </c>
    </row>
    <row r="2093" spans="1:10" x14ac:dyDescent="0.35">
      <c r="A2093" t="s">
        <v>2093</v>
      </c>
      <c r="B2093">
        <v>32.395000000000003</v>
      </c>
      <c r="C2093">
        <v>6.66</v>
      </c>
      <c r="D2093" t="s">
        <v>2344</v>
      </c>
      <c r="E2093" t="s">
        <v>2344</v>
      </c>
      <c r="F2093" t="s">
        <v>2344</v>
      </c>
      <c r="G2093">
        <v>0</v>
      </c>
      <c r="H2093" t="s">
        <v>2344</v>
      </c>
      <c r="I2093" t="str">
        <f t="shared" si="65"/>
        <v>Obesity</v>
      </c>
      <c r="J2093" t="str">
        <f t="shared" si="66"/>
        <v>Diabetes</v>
      </c>
    </row>
    <row r="2094" spans="1:10" x14ac:dyDescent="0.35">
      <c r="A2094" t="s">
        <v>2094</v>
      </c>
      <c r="B2094">
        <v>23.655000000000001</v>
      </c>
      <c r="C2094">
        <v>5.92</v>
      </c>
      <c r="D2094" t="s">
        <v>2344</v>
      </c>
      <c r="E2094" t="s">
        <v>2344</v>
      </c>
      <c r="F2094" t="s">
        <v>2344</v>
      </c>
      <c r="G2094">
        <v>1</v>
      </c>
      <c r="H2094" t="s">
        <v>2344</v>
      </c>
      <c r="I2094" t="str">
        <f t="shared" si="65"/>
        <v>Normal Weight</v>
      </c>
      <c r="J2094" t="str">
        <f t="shared" si="66"/>
        <v>Prediabetes</v>
      </c>
    </row>
    <row r="2095" spans="1:10" x14ac:dyDescent="0.35">
      <c r="A2095" t="s">
        <v>2095</v>
      </c>
      <c r="B2095">
        <v>28.4</v>
      </c>
      <c r="C2095">
        <v>5.97</v>
      </c>
      <c r="D2095" t="s">
        <v>2344</v>
      </c>
      <c r="E2095" t="s">
        <v>2344</v>
      </c>
      <c r="F2095" t="s">
        <v>2346</v>
      </c>
      <c r="G2095">
        <v>1</v>
      </c>
      <c r="H2095" t="s">
        <v>2344</v>
      </c>
      <c r="I2095" t="str">
        <f t="shared" si="65"/>
        <v>Over weight</v>
      </c>
      <c r="J2095" t="str">
        <f t="shared" si="66"/>
        <v>Prediabetes</v>
      </c>
    </row>
    <row r="2096" spans="1:10" x14ac:dyDescent="0.35">
      <c r="A2096" t="s">
        <v>2096</v>
      </c>
      <c r="B2096">
        <v>35.42</v>
      </c>
      <c r="C2096">
        <v>4.6399999999999997</v>
      </c>
      <c r="D2096" t="s">
        <v>2346</v>
      </c>
      <c r="E2096" t="s">
        <v>2344</v>
      </c>
      <c r="F2096" t="s">
        <v>2344</v>
      </c>
      <c r="G2096">
        <v>0</v>
      </c>
      <c r="H2096" t="s">
        <v>2344</v>
      </c>
      <c r="I2096" t="str">
        <f t="shared" si="65"/>
        <v>Obesity</v>
      </c>
      <c r="J2096" t="str">
        <f t="shared" si="66"/>
        <v>Normal</v>
      </c>
    </row>
    <row r="2097" spans="1:10" x14ac:dyDescent="0.35">
      <c r="A2097" t="s">
        <v>2097</v>
      </c>
      <c r="B2097">
        <v>26.18</v>
      </c>
      <c r="C2097">
        <v>6.12</v>
      </c>
      <c r="D2097" t="s">
        <v>2344</v>
      </c>
      <c r="E2097" t="s">
        <v>2345</v>
      </c>
      <c r="F2097" t="s">
        <v>2344</v>
      </c>
      <c r="G2097">
        <v>1</v>
      </c>
      <c r="H2097" t="s">
        <v>2344</v>
      </c>
      <c r="I2097" t="str">
        <f t="shared" si="65"/>
        <v>Over weight</v>
      </c>
      <c r="J2097" t="str">
        <f t="shared" si="66"/>
        <v>Prediabetes</v>
      </c>
    </row>
    <row r="2098" spans="1:10" x14ac:dyDescent="0.35">
      <c r="A2098" t="s">
        <v>2098</v>
      </c>
      <c r="B2098">
        <v>20.8</v>
      </c>
      <c r="C2098">
        <v>4.87</v>
      </c>
      <c r="D2098" t="s">
        <v>2346</v>
      </c>
      <c r="E2098" t="s">
        <v>2344</v>
      </c>
      <c r="F2098" t="s">
        <v>2344</v>
      </c>
      <c r="G2098">
        <v>0</v>
      </c>
      <c r="H2098" t="s">
        <v>2344</v>
      </c>
      <c r="I2098" t="str">
        <f t="shared" si="65"/>
        <v>Normal Weight</v>
      </c>
      <c r="J2098" t="str">
        <f t="shared" si="66"/>
        <v>Normal</v>
      </c>
    </row>
    <row r="2099" spans="1:10" x14ac:dyDescent="0.35">
      <c r="A2099" t="s">
        <v>2099</v>
      </c>
      <c r="B2099">
        <v>15.82</v>
      </c>
      <c r="C2099">
        <v>4.5999999999999996</v>
      </c>
      <c r="D2099" t="s">
        <v>2344</v>
      </c>
      <c r="E2099" t="s">
        <v>2344</v>
      </c>
      <c r="F2099" t="s">
        <v>2344</v>
      </c>
      <c r="G2099">
        <v>0</v>
      </c>
      <c r="H2099" t="s">
        <v>2344</v>
      </c>
      <c r="I2099" t="str">
        <f t="shared" si="65"/>
        <v>Under Weight</v>
      </c>
      <c r="J2099" t="str">
        <f t="shared" si="66"/>
        <v>Normal</v>
      </c>
    </row>
    <row r="2100" spans="1:10" x14ac:dyDescent="0.35">
      <c r="A2100" t="s">
        <v>2100</v>
      </c>
      <c r="B2100">
        <v>17.670000000000002</v>
      </c>
      <c r="C2100">
        <v>4.78</v>
      </c>
      <c r="D2100" t="s">
        <v>2344</v>
      </c>
      <c r="E2100" t="s">
        <v>2344</v>
      </c>
      <c r="F2100" t="s">
        <v>2344</v>
      </c>
      <c r="G2100">
        <v>0</v>
      </c>
      <c r="H2100" t="s">
        <v>2344</v>
      </c>
      <c r="I2100" t="str">
        <f t="shared" si="65"/>
        <v>Under Weight</v>
      </c>
      <c r="J2100" t="str">
        <f t="shared" si="66"/>
        <v>Normal</v>
      </c>
    </row>
    <row r="2101" spans="1:10" x14ac:dyDescent="0.35">
      <c r="A2101" t="s">
        <v>2101</v>
      </c>
      <c r="B2101">
        <v>31.92</v>
      </c>
      <c r="C2101">
        <v>11.05</v>
      </c>
      <c r="D2101" t="s">
        <v>2344</v>
      </c>
      <c r="E2101" t="s">
        <v>2344</v>
      </c>
      <c r="F2101" t="s">
        <v>2344</v>
      </c>
      <c r="G2101">
        <v>0</v>
      </c>
      <c r="H2101" t="s">
        <v>2344</v>
      </c>
      <c r="I2101" t="str">
        <f t="shared" si="65"/>
        <v>Obesity</v>
      </c>
      <c r="J2101" t="str">
        <f t="shared" si="66"/>
        <v>Diabetes</v>
      </c>
    </row>
    <row r="2102" spans="1:10" x14ac:dyDescent="0.35">
      <c r="A2102" t="s">
        <v>2102</v>
      </c>
      <c r="B2102">
        <v>28.975000000000001</v>
      </c>
      <c r="C2102">
        <v>7.62</v>
      </c>
      <c r="D2102" t="s">
        <v>2344</v>
      </c>
      <c r="E2102" t="s">
        <v>2344</v>
      </c>
      <c r="F2102" t="s">
        <v>2344</v>
      </c>
      <c r="G2102">
        <v>0</v>
      </c>
      <c r="H2102" t="s">
        <v>2344</v>
      </c>
      <c r="I2102" t="str">
        <f t="shared" si="65"/>
        <v>Over weight</v>
      </c>
      <c r="J2102" t="str">
        <f t="shared" si="66"/>
        <v>Diabetes</v>
      </c>
    </row>
    <row r="2103" spans="1:10" x14ac:dyDescent="0.35">
      <c r="A2103" t="s">
        <v>2103</v>
      </c>
      <c r="B2103">
        <v>31.73</v>
      </c>
      <c r="C2103">
        <v>4.78</v>
      </c>
      <c r="D2103" t="s">
        <v>2346</v>
      </c>
      <c r="E2103" t="s">
        <v>2345</v>
      </c>
      <c r="F2103" t="s">
        <v>2344</v>
      </c>
      <c r="G2103">
        <v>1</v>
      </c>
      <c r="H2103" t="s">
        <v>2344</v>
      </c>
      <c r="I2103" t="str">
        <f t="shared" si="65"/>
        <v>Obesity</v>
      </c>
      <c r="J2103" t="str">
        <f t="shared" si="66"/>
        <v>Normal</v>
      </c>
    </row>
    <row r="2104" spans="1:10" x14ac:dyDescent="0.35">
      <c r="A2104" t="s">
        <v>2104</v>
      </c>
      <c r="B2104">
        <v>28.88</v>
      </c>
      <c r="C2104">
        <v>6.09</v>
      </c>
      <c r="D2104" t="s">
        <v>2346</v>
      </c>
      <c r="E2104" t="s">
        <v>2345</v>
      </c>
      <c r="F2104" t="s">
        <v>2344</v>
      </c>
      <c r="G2104">
        <v>1</v>
      </c>
      <c r="H2104" t="s">
        <v>2344</v>
      </c>
      <c r="I2104" t="str">
        <f t="shared" si="65"/>
        <v>Over weight</v>
      </c>
      <c r="J2104" t="str">
        <f t="shared" si="66"/>
        <v>Prediabetes</v>
      </c>
    </row>
    <row r="2105" spans="1:10" x14ac:dyDescent="0.35">
      <c r="A2105" t="s">
        <v>2105</v>
      </c>
      <c r="B2105">
        <v>25.555</v>
      </c>
      <c r="C2105">
        <v>5.1100000000000003</v>
      </c>
      <c r="D2105" t="s">
        <v>2344</v>
      </c>
      <c r="E2105" t="s">
        <v>2344</v>
      </c>
      <c r="F2105" t="s">
        <v>2346</v>
      </c>
      <c r="G2105">
        <v>1</v>
      </c>
      <c r="H2105" t="s">
        <v>2344</v>
      </c>
      <c r="I2105" t="str">
        <f t="shared" si="65"/>
        <v>Over weight</v>
      </c>
      <c r="J2105" t="str">
        <f t="shared" si="66"/>
        <v>Normal</v>
      </c>
    </row>
    <row r="2106" spans="1:10" x14ac:dyDescent="0.35">
      <c r="A2106" t="s">
        <v>2106</v>
      </c>
      <c r="B2106">
        <v>37.29</v>
      </c>
      <c r="C2106">
        <v>4.46</v>
      </c>
      <c r="D2106" t="s">
        <v>2344</v>
      </c>
      <c r="E2106" t="s">
        <v>2345</v>
      </c>
      <c r="F2106" t="s">
        <v>2344</v>
      </c>
      <c r="G2106">
        <v>1</v>
      </c>
      <c r="H2106" t="s">
        <v>2344</v>
      </c>
      <c r="I2106" t="str">
        <f t="shared" si="65"/>
        <v>Obesity</v>
      </c>
      <c r="J2106" t="str">
        <f t="shared" si="66"/>
        <v>Normal</v>
      </c>
    </row>
    <row r="2107" spans="1:10" x14ac:dyDescent="0.35">
      <c r="A2107" t="s">
        <v>2107</v>
      </c>
      <c r="B2107">
        <v>40.28</v>
      </c>
      <c r="C2107">
        <v>6.11</v>
      </c>
      <c r="D2107" t="s">
        <v>2344</v>
      </c>
      <c r="E2107" t="s">
        <v>2345</v>
      </c>
      <c r="F2107" t="s">
        <v>2344</v>
      </c>
      <c r="G2107">
        <v>1</v>
      </c>
      <c r="H2107" t="s">
        <v>2344</v>
      </c>
      <c r="I2107" t="str">
        <f t="shared" si="65"/>
        <v>Obesity</v>
      </c>
      <c r="J2107" t="str">
        <f t="shared" si="66"/>
        <v>Prediabetes</v>
      </c>
    </row>
    <row r="2108" spans="1:10" x14ac:dyDescent="0.35">
      <c r="A2108" t="s">
        <v>2108</v>
      </c>
      <c r="B2108">
        <v>40.185000000000002</v>
      </c>
      <c r="C2108">
        <v>4.66</v>
      </c>
      <c r="D2108" t="s">
        <v>2344</v>
      </c>
      <c r="E2108" t="s">
        <v>2345</v>
      </c>
      <c r="F2108" t="s">
        <v>2344</v>
      </c>
      <c r="G2108">
        <v>1</v>
      </c>
      <c r="H2108" t="s">
        <v>2344</v>
      </c>
      <c r="I2108" t="str">
        <f t="shared" si="65"/>
        <v>Obesity</v>
      </c>
      <c r="J2108" t="str">
        <f t="shared" si="66"/>
        <v>Normal</v>
      </c>
    </row>
    <row r="2109" spans="1:10" x14ac:dyDescent="0.35">
      <c r="A2109" t="s">
        <v>2109</v>
      </c>
      <c r="B2109">
        <v>23.57</v>
      </c>
      <c r="C2109">
        <v>6.14</v>
      </c>
      <c r="D2109" t="s">
        <v>2344</v>
      </c>
      <c r="E2109" t="s">
        <v>2344</v>
      </c>
      <c r="F2109" t="s">
        <v>2344</v>
      </c>
      <c r="G2109">
        <v>0</v>
      </c>
      <c r="H2109" t="s">
        <v>2344</v>
      </c>
      <c r="I2109" t="str">
        <f t="shared" si="65"/>
        <v>Normal Weight</v>
      </c>
      <c r="J2109" t="str">
        <f t="shared" si="66"/>
        <v>Prediabetes</v>
      </c>
    </row>
    <row r="2110" spans="1:10" x14ac:dyDescent="0.35">
      <c r="A2110" t="s">
        <v>2110</v>
      </c>
      <c r="B2110">
        <v>35.625</v>
      </c>
      <c r="C2110">
        <v>6.21</v>
      </c>
      <c r="D2110" t="s">
        <v>2344</v>
      </c>
      <c r="E2110" t="s">
        <v>2345</v>
      </c>
      <c r="F2110" t="s">
        <v>2344</v>
      </c>
      <c r="G2110">
        <v>1</v>
      </c>
      <c r="H2110" t="s">
        <v>2344</v>
      </c>
      <c r="I2110" t="str">
        <f t="shared" si="65"/>
        <v>Obesity</v>
      </c>
      <c r="J2110" t="str">
        <f t="shared" si="66"/>
        <v>Prediabetes</v>
      </c>
    </row>
    <row r="2111" spans="1:10" x14ac:dyDescent="0.35">
      <c r="A2111" t="s">
        <v>2111</v>
      </c>
      <c r="B2111">
        <v>33.155000000000001</v>
      </c>
      <c r="C2111">
        <v>4.5999999999999996</v>
      </c>
      <c r="D2111" t="s">
        <v>2344</v>
      </c>
      <c r="E2111" t="s">
        <v>2345</v>
      </c>
      <c r="F2111" t="s">
        <v>2344</v>
      </c>
      <c r="G2111">
        <v>1</v>
      </c>
      <c r="H2111" t="s">
        <v>2344</v>
      </c>
      <c r="I2111" t="str">
        <f t="shared" si="65"/>
        <v>Obesity</v>
      </c>
      <c r="J2111" t="str">
        <f t="shared" si="66"/>
        <v>Normal</v>
      </c>
    </row>
    <row r="2112" spans="1:10" x14ac:dyDescent="0.35">
      <c r="A2112" t="s">
        <v>2112</v>
      </c>
      <c r="B2112">
        <v>31.92</v>
      </c>
      <c r="C2112">
        <v>5.04</v>
      </c>
      <c r="D2112" t="s">
        <v>2344</v>
      </c>
      <c r="E2112" t="s">
        <v>2345</v>
      </c>
      <c r="F2112" t="s">
        <v>2344</v>
      </c>
      <c r="G2112">
        <v>1</v>
      </c>
      <c r="H2112" t="s">
        <v>2344</v>
      </c>
      <c r="I2112" t="str">
        <f t="shared" si="65"/>
        <v>Obesity</v>
      </c>
      <c r="J2112" t="str">
        <f t="shared" si="66"/>
        <v>Normal</v>
      </c>
    </row>
    <row r="2113" spans="1:10" x14ac:dyDescent="0.35">
      <c r="A2113" t="s">
        <v>2113</v>
      </c>
      <c r="B2113">
        <v>30.305</v>
      </c>
      <c r="C2113">
        <v>5.08</v>
      </c>
      <c r="D2113" t="s">
        <v>2344</v>
      </c>
      <c r="E2113" t="s">
        <v>2345</v>
      </c>
      <c r="F2113" t="s">
        <v>2344</v>
      </c>
      <c r="G2113">
        <v>1</v>
      </c>
      <c r="H2113" t="s">
        <v>2344</v>
      </c>
      <c r="I2113" t="str">
        <f t="shared" si="65"/>
        <v>Obesity</v>
      </c>
      <c r="J2113" t="str">
        <f t="shared" si="66"/>
        <v>Normal</v>
      </c>
    </row>
    <row r="2114" spans="1:10" x14ac:dyDescent="0.35">
      <c r="A2114" t="s">
        <v>2114</v>
      </c>
      <c r="B2114">
        <v>30.114999999999998</v>
      </c>
      <c r="C2114">
        <v>4.38</v>
      </c>
      <c r="D2114" t="s">
        <v>2344</v>
      </c>
      <c r="E2114" t="s">
        <v>2345</v>
      </c>
      <c r="F2114" t="s">
        <v>2344</v>
      </c>
      <c r="G2114">
        <v>1</v>
      </c>
      <c r="H2114" t="s">
        <v>2344</v>
      </c>
      <c r="I2114" t="str">
        <f t="shared" si="65"/>
        <v>Obesity</v>
      </c>
      <c r="J2114" t="str">
        <f t="shared" si="66"/>
        <v>Normal</v>
      </c>
    </row>
    <row r="2115" spans="1:10" x14ac:dyDescent="0.35">
      <c r="A2115" t="s">
        <v>2115</v>
      </c>
      <c r="B2115">
        <v>24.09</v>
      </c>
      <c r="C2115">
        <v>4.79</v>
      </c>
      <c r="D2115" t="s">
        <v>2344</v>
      </c>
      <c r="E2115" t="s">
        <v>2345</v>
      </c>
      <c r="F2115" t="s">
        <v>2344</v>
      </c>
      <c r="G2115">
        <v>1</v>
      </c>
      <c r="H2115" t="s">
        <v>2344</v>
      </c>
      <c r="I2115" t="str">
        <f t="shared" ref="I2115:I2178" si="67">IF(B2115&lt;18.5,"Under Weight",IF(B2115&lt;25,"Normal Weight",IF(B2115&lt;30,"Over weight","Obesity")))</f>
        <v>Normal Weight</v>
      </c>
      <c r="J2115" t="str">
        <f t="shared" si="66"/>
        <v>Normal</v>
      </c>
    </row>
    <row r="2116" spans="1:10" x14ac:dyDescent="0.35">
      <c r="A2116" t="s">
        <v>2116</v>
      </c>
      <c r="B2116">
        <v>28.215</v>
      </c>
      <c r="C2116">
        <v>4.21</v>
      </c>
      <c r="D2116" t="s">
        <v>2344</v>
      </c>
      <c r="E2116" t="s">
        <v>2345</v>
      </c>
      <c r="F2116" t="s">
        <v>2344</v>
      </c>
      <c r="G2116">
        <v>1</v>
      </c>
      <c r="H2116" t="s">
        <v>2344</v>
      </c>
      <c r="I2116" t="str">
        <f t="shared" si="67"/>
        <v>Over weight</v>
      </c>
      <c r="J2116" t="str">
        <f t="shared" si="66"/>
        <v>Normal</v>
      </c>
    </row>
    <row r="2117" spans="1:10" x14ac:dyDescent="0.35">
      <c r="A2117" t="s">
        <v>2117</v>
      </c>
      <c r="B2117">
        <v>26.315000000000001</v>
      </c>
      <c r="C2117">
        <v>5.47</v>
      </c>
      <c r="D2117" t="s">
        <v>2344</v>
      </c>
      <c r="E2117" t="s">
        <v>2345</v>
      </c>
      <c r="F2117" t="s">
        <v>2344</v>
      </c>
      <c r="G2117">
        <v>1</v>
      </c>
      <c r="H2117" t="s">
        <v>2344</v>
      </c>
      <c r="I2117" t="str">
        <f t="shared" si="67"/>
        <v>Over weight</v>
      </c>
      <c r="J2117" t="str">
        <f t="shared" si="66"/>
        <v>Normal</v>
      </c>
    </row>
    <row r="2118" spans="1:10" x14ac:dyDescent="0.35">
      <c r="A2118" t="s">
        <v>2118</v>
      </c>
      <c r="B2118">
        <v>25.08</v>
      </c>
      <c r="C2118">
        <v>5.09</v>
      </c>
      <c r="D2118" t="s">
        <v>2344</v>
      </c>
      <c r="E2118" t="s">
        <v>2345</v>
      </c>
      <c r="F2118" t="s">
        <v>2344</v>
      </c>
      <c r="G2118">
        <v>1</v>
      </c>
      <c r="H2118" t="s">
        <v>2344</v>
      </c>
      <c r="I2118" t="str">
        <f t="shared" si="67"/>
        <v>Over weight</v>
      </c>
      <c r="J2118" t="str">
        <f t="shared" si="66"/>
        <v>Normal</v>
      </c>
    </row>
    <row r="2119" spans="1:10" x14ac:dyDescent="0.35">
      <c r="A2119" t="s">
        <v>2119</v>
      </c>
      <c r="B2119">
        <v>15.41</v>
      </c>
      <c r="C2119">
        <v>5.08</v>
      </c>
      <c r="D2119" t="s">
        <v>2344</v>
      </c>
      <c r="E2119" t="s">
        <v>2344</v>
      </c>
      <c r="F2119" t="s">
        <v>2344</v>
      </c>
      <c r="G2119">
        <v>0</v>
      </c>
      <c r="H2119" t="s">
        <v>2344</v>
      </c>
      <c r="I2119" t="str">
        <f t="shared" si="67"/>
        <v>Under Weight</v>
      </c>
      <c r="J2119" t="str">
        <f t="shared" si="66"/>
        <v>Normal</v>
      </c>
    </row>
    <row r="2120" spans="1:10" x14ac:dyDescent="0.35">
      <c r="A2120" t="s">
        <v>2120</v>
      </c>
      <c r="B2120">
        <v>23.83</v>
      </c>
      <c r="C2120">
        <v>5.68</v>
      </c>
      <c r="D2120" t="s">
        <v>2344</v>
      </c>
      <c r="E2120" t="s">
        <v>2344</v>
      </c>
      <c r="F2120" t="s">
        <v>2344</v>
      </c>
      <c r="G2120">
        <v>0</v>
      </c>
      <c r="H2120" t="s">
        <v>2344</v>
      </c>
      <c r="I2120" t="str">
        <f t="shared" si="67"/>
        <v>Normal Weight</v>
      </c>
      <c r="J2120" t="str">
        <f t="shared" si="66"/>
        <v>Normal</v>
      </c>
    </row>
    <row r="2121" spans="1:10" x14ac:dyDescent="0.35">
      <c r="A2121" t="s">
        <v>2121</v>
      </c>
      <c r="B2121">
        <v>36</v>
      </c>
      <c r="C2121">
        <v>4.66</v>
      </c>
      <c r="D2121" t="s">
        <v>2344</v>
      </c>
      <c r="E2121" t="s">
        <v>2345</v>
      </c>
      <c r="F2121" t="s">
        <v>2344</v>
      </c>
      <c r="G2121">
        <v>1</v>
      </c>
      <c r="H2121" t="s">
        <v>2344</v>
      </c>
      <c r="I2121" t="str">
        <f t="shared" si="67"/>
        <v>Obesity</v>
      </c>
      <c r="J2121" t="str">
        <f t="shared" si="66"/>
        <v>Normal</v>
      </c>
    </row>
    <row r="2122" spans="1:10" x14ac:dyDescent="0.35">
      <c r="A2122" t="s">
        <v>2122</v>
      </c>
      <c r="B2122">
        <v>28.82</v>
      </c>
      <c r="C2122">
        <v>5.59</v>
      </c>
      <c r="D2122" t="s">
        <v>2344</v>
      </c>
      <c r="E2122" t="s">
        <v>2345</v>
      </c>
      <c r="F2122" t="s">
        <v>2344</v>
      </c>
      <c r="G2122">
        <v>1</v>
      </c>
      <c r="H2122" t="s">
        <v>2344</v>
      </c>
      <c r="I2122" t="str">
        <f t="shared" si="67"/>
        <v>Over weight</v>
      </c>
      <c r="J2122" t="str">
        <f t="shared" si="66"/>
        <v>Normal</v>
      </c>
    </row>
    <row r="2123" spans="1:10" x14ac:dyDescent="0.35">
      <c r="A2123" t="s">
        <v>2123</v>
      </c>
      <c r="B2123">
        <v>28.05</v>
      </c>
      <c r="C2123">
        <v>6.2</v>
      </c>
      <c r="D2123" t="s">
        <v>2344</v>
      </c>
      <c r="E2123" t="s">
        <v>2345</v>
      </c>
      <c r="F2123" t="s">
        <v>2344</v>
      </c>
      <c r="G2123">
        <v>1</v>
      </c>
      <c r="H2123" t="s">
        <v>2344</v>
      </c>
      <c r="I2123" t="str">
        <f t="shared" si="67"/>
        <v>Over weight</v>
      </c>
      <c r="J2123" t="str">
        <f t="shared" si="66"/>
        <v>Prediabetes</v>
      </c>
    </row>
    <row r="2124" spans="1:10" x14ac:dyDescent="0.35">
      <c r="A2124" t="s">
        <v>2124</v>
      </c>
      <c r="B2124">
        <v>27.1</v>
      </c>
      <c r="C2124">
        <v>4.45</v>
      </c>
      <c r="D2124" t="s">
        <v>2344</v>
      </c>
      <c r="E2124" t="s">
        <v>2345</v>
      </c>
      <c r="F2124" t="s">
        <v>2344</v>
      </c>
      <c r="G2124">
        <v>1</v>
      </c>
      <c r="H2124" t="s">
        <v>2344</v>
      </c>
      <c r="I2124" t="str">
        <f t="shared" si="67"/>
        <v>Over weight</v>
      </c>
      <c r="J2124" t="str">
        <f t="shared" ref="J2124:J2187" si="68">IF(C2124&lt;5.7,"Normal",IF(C2124&lt;6.5,"Prediabetes","Diabetes"))</f>
        <v>Normal</v>
      </c>
    </row>
    <row r="2125" spans="1:10" x14ac:dyDescent="0.35">
      <c r="A2125" t="s">
        <v>2125</v>
      </c>
      <c r="B2125">
        <v>24.3</v>
      </c>
      <c r="C2125">
        <v>6.1</v>
      </c>
      <c r="D2125" t="s">
        <v>2346</v>
      </c>
      <c r="E2125" t="s">
        <v>2345</v>
      </c>
      <c r="F2125" t="s">
        <v>2344</v>
      </c>
      <c r="G2125">
        <v>1</v>
      </c>
      <c r="H2125" t="s">
        <v>2344</v>
      </c>
      <c r="I2125" t="str">
        <f t="shared" si="67"/>
        <v>Normal Weight</v>
      </c>
      <c r="J2125" t="str">
        <f t="shared" si="68"/>
        <v>Prediabetes</v>
      </c>
    </row>
    <row r="2126" spans="1:10" x14ac:dyDescent="0.35">
      <c r="A2126" t="s">
        <v>2126</v>
      </c>
      <c r="B2126">
        <v>30.72</v>
      </c>
      <c r="C2126">
        <v>6.06</v>
      </c>
      <c r="D2126" t="s">
        <v>2344</v>
      </c>
      <c r="E2126" t="s">
        <v>2345</v>
      </c>
      <c r="F2126" t="s">
        <v>2344</v>
      </c>
      <c r="G2126">
        <v>1</v>
      </c>
      <c r="H2126" t="s">
        <v>2344</v>
      </c>
      <c r="I2126" t="str">
        <f t="shared" si="67"/>
        <v>Obesity</v>
      </c>
      <c r="J2126" t="str">
        <f t="shared" si="68"/>
        <v>Prediabetes</v>
      </c>
    </row>
    <row r="2127" spans="1:10" x14ac:dyDescent="0.35">
      <c r="A2127" t="s">
        <v>2127</v>
      </c>
      <c r="B2127">
        <v>37.43</v>
      </c>
      <c r="C2127">
        <v>4.5599999999999996</v>
      </c>
      <c r="D2127" t="s">
        <v>2344</v>
      </c>
      <c r="E2127" t="s">
        <v>2344</v>
      </c>
      <c r="F2127" t="s">
        <v>2346</v>
      </c>
      <c r="G2127">
        <v>1</v>
      </c>
      <c r="H2127" t="s">
        <v>2344</v>
      </c>
      <c r="I2127" t="str">
        <f t="shared" si="67"/>
        <v>Obesity</v>
      </c>
      <c r="J2127" t="str">
        <f t="shared" si="68"/>
        <v>Normal</v>
      </c>
    </row>
    <row r="2128" spans="1:10" x14ac:dyDescent="0.35">
      <c r="A2128" t="s">
        <v>2128</v>
      </c>
      <c r="B2128">
        <v>25.74</v>
      </c>
      <c r="C2128">
        <v>6.41</v>
      </c>
      <c r="D2128" t="s">
        <v>2346</v>
      </c>
      <c r="E2128" t="s">
        <v>2344</v>
      </c>
      <c r="F2128" t="s">
        <v>2346</v>
      </c>
      <c r="G2128">
        <v>1</v>
      </c>
      <c r="H2128" t="s">
        <v>2344</v>
      </c>
      <c r="I2128" t="str">
        <f t="shared" si="67"/>
        <v>Over weight</v>
      </c>
      <c r="J2128" t="str">
        <f t="shared" si="68"/>
        <v>Prediabetes</v>
      </c>
    </row>
    <row r="2129" spans="1:10" x14ac:dyDescent="0.35">
      <c r="A2129" t="s">
        <v>2129</v>
      </c>
      <c r="B2129">
        <v>36.575000000000003</v>
      </c>
      <c r="C2129">
        <v>5.57</v>
      </c>
      <c r="D2129" t="s">
        <v>2344</v>
      </c>
      <c r="E2129" t="s">
        <v>2344</v>
      </c>
      <c r="F2129" t="s">
        <v>2346</v>
      </c>
      <c r="G2129">
        <v>1</v>
      </c>
      <c r="H2129" t="s">
        <v>2344</v>
      </c>
      <c r="I2129" t="str">
        <f t="shared" si="67"/>
        <v>Obesity</v>
      </c>
      <c r="J2129" t="str">
        <f t="shared" si="68"/>
        <v>Normal</v>
      </c>
    </row>
    <row r="2130" spans="1:10" x14ac:dyDescent="0.35">
      <c r="A2130" t="s">
        <v>2130</v>
      </c>
      <c r="B2130">
        <v>35.15</v>
      </c>
      <c r="C2130">
        <v>5.47</v>
      </c>
      <c r="D2130" t="s">
        <v>2344</v>
      </c>
      <c r="E2130" t="s">
        <v>2344</v>
      </c>
      <c r="F2130" t="s">
        <v>2346</v>
      </c>
      <c r="G2130">
        <v>1</v>
      </c>
      <c r="H2130" t="s">
        <v>2344</v>
      </c>
      <c r="I2130" t="str">
        <f t="shared" si="67"/>
        <v>Obesity</v>
      </c>
      <c r="J2130" t="str">
        <f t="shared" si="68"/>
        <v>Normal</v>
      </c>
    </row>
    <row r="2131" spans="1:10" x14ac:dyDescent="0.35">
      <c r="A2131" t="s">
        <v>2131</v>
      </c>
      <c r="B2131">
        <v>32.11</v>
      </c>
      <c r="C2131">
        <v>4.43</v>
      </c>
      <c r="D2131" t="s">
        <v>2344</v>
      </c>
      <c r="E2131" t="s">
        <v>2344</v>
      </c>
      <c r="F2131" t="s">
        <v>2346</v>
      </c>
      <c r="G2131">
        <v>1</v>
      </c>
      <c r="H2131" t="s">
        <v>2344</v>
      </c>
      <c r="I2131" t="str">
        <f t="shared" si="67"/>
        <v>Obesity</v>
      </c>
      <c r="J2131" t="str">
        <f t="shared" si="68"/>
        <v>Normal</v>
      </c>
    </row>
    <row r="2132" spans="1:10" x14ac:dyDescent="0.35">
      <c r="A2132" t="s">
        <v>2132</v>
      </c>
      <c r="B2132">
        <v>30.495000000000001</v>
      </c>
      <c r="C2132">
        <v>4.95</v>
      </c>
      <c r="D2132" t="s">
        <v>2344</v>
      </c>
      <c r="E2132" t="s">
        <v>2344</v>
      </c>
      <c r="F2132" t="s">
        <v>2346</v>
      </c>
      <c r="G2132">
        <v>1</v>
      </c>
      <c r="H2132" t="s">
        <v>2344</v>
      </c>
      <c r="I2132" t="str">
        <f t="shared" si="67"/>
        <v>Obesity</v>
      </c>
      <c r="J2132" t="str">
        <f t="shared" si="68"/>
        <v>Normal</v>
      </c>
    </row>
    <row r="2133" spans="1:10" x14ac:dyDescent="0.35">
      <c r="A2133" t="s">
        <v>2133</v>
      </c>
      <c r="B2133">
        <v>29.24</v>
      </c>
      <c r="C2133">
        <v>4.04</v>
      </c>
      <c r="D2133" t="s">
        <v>2344</v>
      </c>
      <c r="E2133" t="s">
        <v>2345</v>
      </c>
      <c r="F2133" t="s">
        <v>2344</v>
      </c>
      <c r="G2133">
        <v>1</v>
      </c>
      <c r="H2133" t="s">
        <v>2344</v>
      </c>
      <c r="I2133" t="str">
        <f t="shared" si="67"/>
        <v>Over weight</v>
      </c>
      <c r="J2133" t="str">
        <f t="shared" si="68"/>
        <v>Normal</v>
      </c>
    </row>
    <row r="2134" spans="1:10" x14ac:dyDescent="0.35">
      <c r="A2134" t="s">
        <v>2134</v>
      </c>
      <c r="B2134">
        <v>22.515000000000001</v>
      </c>
      <c r="C2134">
        <v>5.93</v>
      </c>
      <c r="D2134" t="s">
        <v>2344</v>
      </c>
      <c r="E2134" t="s">
        <v>2344</v>
      </c>
      <c r="F2134" t="s">
        <v>2346</v>
      </c>
      <c r="G2134">
        <v>1</v>
      </c>
      <c r="H2134" t="s">
        <v>2344</v>
      </c>
      <c r="I2134" t="str">
        <f t="shared" si="67"/>
        <v>Normal Weight</v>
      </c>
      <c r="J2134" t="str">
        <f t="shared" si="68"/>
        <v>Prediabetes</v>
      </c>
    </row>
    <row r="2135" spans="1:10" x14ac:dyDescent="0.35">
      <c r="A2135" t="s">
        <v>2135</v>
      </c>
      <c r="B2135">
        <v>15.65</v>
      </c>
      <c r="C2135">
        <v>4.2300000000000004</v>
      </c>
      <c r="D2135" t="s">
        <v>2344</v>
      </c>
      <c r="E2135" t="s">
        <v>2344</v>
      </c>
      <c r="F2135" t="s">
        <v>2344</v>
      </c>
      <c r="G2135">
        <v>0</v>
      </c>
      <c r="H2135" t="s">
        <v>2344</v>
      </c>
      <c r="I2135" t="str">
        <f t="shared" si="67"/>
        <v>Under Weight</v>
      </c>
      <c r="J2135" t="str">
        <f t="shared" si="68"/>
        <v>Normal</v>
      </c>
    </row>
    <row r="2136" spans="1:10" x14ac:dyDescent="0.35">
      <c r="A2136" t="s">
        <v>2136</v>
      </c>
      <c r="B2136">
        <v>27.36</v>
      </c>
      <c r="C2136">
        <v>5.59</v>
      </c>
      <c r="D2136" t="s">
        <v>2346</v>
      </c>
      <c r="E2136" t="s">
        <v>2344</v>
      </c>
      <c r="F2136" t="s">
        <v>2344</v>
      </c>
      <c r="G2136">
        <v>0</v>
      </c>
      <c r="H2136" t="s">
        <v>2344</v>
      </c>
      <c r="I2136" t="str">
        <f t="shared" si="67"/>
        <v>Over weight</v>
      </c>
      <c r="J2136" t="str">
        <f t="shared" si="68"/>
        <v>Normal</v>
      </c>
    </row>
    <row r="2137" spans="1:10" x14ac:dyDescent="0.35">
      <c r="A2137" t="s">
        <v>2137</v>
      </c>
      <c r="B2137">
        <v>22.3</v>
      </c>
      <c r="C2137">
        <v>4.8899999999999997</v>
      </c>
      <c r="D2137" t="s">
        <v>2346</v>
      </c>
      <c r="E2137" t="s">
        <v>2344</v>
      </c>
      <c r="F2137" t="s">
        <v>2344</v>
      </c>
      <c r="G2137">
        <v>0</v>
      </c>
      <c r="H2137" t="s">
        <v>2344</v>
      </c>
      <c r="I2137" t="str">
        <f t="shared" si="67"/>
        <v>Normal Weight</v>
      </c>
      <c r="J2137" t="str">
        <f t="shared" si="68"/>
        <v>Normal</v>
      </c>
    </row>
    <row r="2138" spans="1:10" x14ac:dyDescent="0.35">
      <c r="A2138" t="s">
        <v>2138</v>
      </c>
      <c r="B2138">
        <v>26.03</v>
      </c>
      <c r="C2138">
        <v>5.81</v>
      </c>
      <c r="D2138" t="s">
        <v>2346</v>
      </c>
      <c r="E2138" t="s">
        <v>2344</v>
      </c>
      <c r="F2138" t="s">
        <v>2344</v>
      </c>
      <c r="G2138">
        <v>0</v>
      </c>
      <c r="H2138" t="s">
        <v>2344</v>
      </c>
      <c r="I2138" t="str">
        <f t="shared" si="67"/>
        <v>Over weight</v>
      </c>
      <c r="J2138" t="str">
        <f t="shared" si="68"/>
        <v>Prediabetes</v>
      </c>
    </row>
    <row r="2139" spans="1:10" x14ac:dyDescent="0.35">
      <c r="A2139" t="s">
        <v>2139</v>
      </c>
      <c r="B2139">
        <v>27.74</v>
      </c>
      <c r="C2139">
        <v>4.29</v>
      </c>
      <c r="D2139" t="s">
        <v>2344</v>
      </c>
      <c r="E2139" t="s">
        <v>2345</v>
      </c>
      <c r="F2139" t="s">
        <v>2344</v>
      </c>
      <c r="G2139">
        <v>1</v>
      </c>
      <c r="H2139" t="s">
        <v>2344</v>
      </c>
      <c r="I2139" t="str">
        <f t="shared" si="67"/>
        <v>Over weight</v>
      </c>
      <c r="J2139" t="str">
        <f t="shared" si="68"/>
        <v>Normal</v>
      </c>
    </row>
    <row r="2140" spans="1:10" x14ac:dyDescent="0.35">
      <c r="A2140" t="s">
        <v>2140</v>
      </c>
      <c r="B2140">
        <v>32.11</v>
      </c>
      <c r="C2140">
        <v>4.03</v>
      </c>
      <c r="D2140" t="s">
        <v>2346</v>
      </c>
      <c r="E2140" t="s">
        <v>2345</v>
      </c>
      <c r="F2140" t="s">
        <v>2344</v>
      </c>
      <c r="G2140">
        <v>1</v>
      </c>
      <c r="H2140" t="s">
        <v>2344</v>
      </c>
      <c r="I2140" t="str">
        <f t="shared" si="67"/>
        <v>Obesity</v>
      </c>
      <c r="J2140" t="str">
        <f t="shared" si="68"/>
        <v>Normal</v>
      </c>
    </row>
    <row r="2141" spans="1:10" x14ac:dyDescent="0.35">
      <c r="A2141" t="s">
        <v>2141</v>
      </c>
      <c r="B2141">
        <v>25.175000000000001</v>
      </c>
      <c r="C2141">
        <v>6.29</v>
      </c>
      <c r="D2141" t="s">
        <v>2346</v>
      </c>
      <c r="E2141" t="s">
        <v>2345</v>
      </c>
      <c r="F2141" t="s">
        <v>2344</v>
      </c>
      <c r="G2141">
        <v>1</v>
      </c>
      <c r="H2141" t="s">
        <v>2344</v>
      </c>
      <c r="I2141" t="str">
        <f t="shared" si="67"/>
        <v>Over weight</v>
      </c>
      <c r="J2141" t="str">
        <f t="shared" si="68"/>
        <v>Prediabetes</v>
      </c>
    </row>
    <row r="2142" spans="1:10" x14ac:dyDescent="0.35">
      <c r="A2142" t="s">
        <v>2142</v>
      </c>
      <c r="B2142">
        <v>39.49</v>
      </c>
      <c r="C2142">
        <v>4.4800000000000004</v>
      </c>
      <c r="D2142" t="s">
        <v>2346</v>
      </c>
      <c r="E2142" t="s">
        <v>2344</v>
      </c>
      <c r="F2142" t="s">
        <v>2344</v>
      </c>
      <c r="G2142">
        <v>0</v>
      </c>
      <c r="H2142" t="s">
        <v>2344</v>
      </c>
      <c r="I2142" t="str">
        <f t="shared" si="67"/>
        <v>Obesity</v>
      </c>
      <c r="J2142" t="str">
        <f t="shared" si="68"/>
        <v>Normal</v>
      </c>
    </row>
    <row r="2143" spans="1:10" x14ac:dyDescent="0.35">
      <c r="A2143" t="s">
        <v>2143</v>
      </c>
      <c r="B2143">
        <v>34.869999999999997</v>
      </c>
      <c r="C2143">
        <v>5.51</v>
      </c>
      <c r="D2143" t="s">
        <v>2346</v>
      </c>
      <c r="E2143" t="s">
        <v>2344</v>
      </c>
      <c r="F2143" t="s">
        <v>2344</v>
      </c>
      <c r="G2143">
        <v>0</v>
      </c>
      <c r="H2143" t="s">
        <v>2344</v>
      </c>
      <c r="I2143" t="str">
        <f t="shared" si="67"/>
        <v>Obesity</v>
      </c>
      <c r="J2143" t="str">
        <f t="shared" si="68"/>
        <v>Normal</v>
      </c>
    </row>
    <row r="2144" spans="1:10" x14ac:dyDescent="0.35">
      <c r="A2144" t="s">
        <v>2144</v>
      </c>
      <c r="B2144">
        <v>34.6</v>
      </c>
      <c r="C2144">
        <v>4.5</v>
      </c>
      <c r="D2144" t="s">
        <v>2346</v>
      </c>
      <c r="E2144" t="s">
        <v>2344</v>
      </c>
      <c r="F2144" t="s">
        <v>2344</v>
      </c>
      <c r="G2144">
        <v>0</v>
      </c>
      <c r="H2144" t="s">
        <v>2344</v>
      </c>
      <c r="I2144" t="str">
        <f t="shared" si="67"/>
        <v>Obesity</v>
      </c>
      <c r="J2144" t="str">
        <f t="shared" si="68"/>
        <v>Normal</v>
      </c>
    </row>
    <row r="2145" spans="1:10" x14ac:dyDescent="0.35">
      <c r="A2145" t="s">
        <v>2145</v>
      </c>
      <c r="B2145">
        <v>25.8</v>
      </c>
      <c r="C2145">
        <v>6.29</v>
      </c>
      <c r="D2145" t="s">
        <v>2346</v>
      </c>
      <c r="E2145" t="s">
        <v>2344</v>
      </c>
      <c r="F2145" t="s">
        <v>2344</v>
      </c>
      <c r="G2145">
        <v>0</v>
      </c>
      <c r="H2145" t="s">
        <v>2344</v>
      </c>
      <c r="I2145" t="str">
        <f t="shared" si="67"/>
        <v>Over weight</v>
      </c>
      <c r="J2145" t="str">
        <f t="shared" si="68"/>
        <v>Prediabetes</v>
      </c>
    </row>
    <row r="2146" spans="1:10" x14ac:dyDescent="0.35">
      <c r="A2146" t="s">
        <v>2146</v>
      </c>
      <c r="B2146">
        <v>35.86</v>
      </c>
      <c r="C2146">
        <v>4.33</v>
      </c>
      <c r="D2146" t="s">
        <v>2344</v>
      </c>
      <c r="E2146" t="s">
        <v>2344</v>
      </c>
      <c r="F2146" t="s">
        <v>2344</v>
      </c>
      <c r="G2146">
        <v>1</v>
      </c>
      <c r="H2146" t="s">
        <v>2344</v>
      </c>
      <c r="I2146" t="str">
        <f t="shared" si="67"/>
        <v>Obesity</v>
      </c>
      <c r="J2146" t="str">
        <f t="shared" si="68"/>
        <v>Normal</v>
      </c>
    </row>
    <row r="2147" spans="1:10" x14ac:dyDescent="0.35">
      <c r="A2147" t="s">
        <v>2147</v>
      </c>
      <c r="B2147">
        <v>40.47</v>
      </c>
      <c r="C2147">
        <v>11.15</v>
      </c>
      <c r="D2147" t="s">
        <v>2344</v>
      </c>
      <c r="E2147" t="s">
        <v>2344</v>
      </c>
      <c r="F2147" t="s">
        <v>2344</v>
      </c>
      <c r="G2147">
        <v>0</v>
      </c>
      <c r="H2147" t="s">
        <v>2344</v>
      </c>
      <c r="I2147" t="str">
        <f t="shared" si="67"/>
        <v>Obesity</v>
      </c>
      <c r="J2147" t="str">
        <f t="shared" si="68"/>
        <v>Diabetes</v>
      </c>
    </row>
    <row r="2148" spans="1:10" x14ac:dyDescent="0.35">
      <c r="A2148" t="s">
        <v>2148</v>
      </c>
      <c r="B2148">
        <v>32.01</v>
      </c>
      <c r="C2148">
        <v>6.45</v>
      </c>
      <c r="D2148" t="s">
        <v>2344</v>
      </c>
      <c r="E2148" t="s">
        <v>2344</v>
      </c>
      <c r="F2148" t="s">
        <v>2344</v>
      </c>
      <c r="G2148">
        <v>1</v>
      </c>
      <c r="H2148" t="s">
        <v>2344</v>
      </c>
      <c r="I2148" t="str">
        <f t="shared" si="67"/>
        <v>Obesity</v>
      </c>
      <c r="J2148" t="str">
        <f t="shared" si="68"/>
        <v>Prediabetes</v>
      </c>
    </row>
    <row r="2149" spans="1:10" x14ac:dyDescent="0.35">
      <c r="A2149" t="s">
        <v>2149</v>
      </c>
      <c r="B2149">
        <v>33</v>
      </c>
      <c r="C2149">
        <v>9.27</v>
      </c>
      <c r="D2149" t="s">
        <v>2344</v>
      </c>
      <c r="E2149" t="s">
        <v>2344</v>
      </c>
      <c r="F2149" t="s">
        <v>2344</v>
      </c>
      <c r="G2149">
        <v>0</v>
      </c>
      <c r="H2149" t="s">
        <v>2344</v>
      </c>
      <c r="I2149" t="str">
        <f t="shared" si="67"/>
        <v>Obesity</v>
      </c>
      <c r="J2149" t="str">
        <f t="shared" si="68"/>
        <v>Diabetes</v>
      </c>
    </row>
    <row r="2150" spans="1:10" x14ac:dyDescent="0.35">
      <c r="A2150" t="s">
        <v>2150</v>
      </c>
      <c r="B2150">
        <v>29.3</v>
      </c>
      <c r="C2150">
        <v>6.15</v>
      </c>
      <c r="D2150" t="s">
        <v>2344</v>
      </c>
      <c r="E2150" t="s">
        <v>2344</v>
      </c>
      <c r="F2150" t="s">
        <v>2344</v>
      </c>
      <c r="G2150">
        <v>1</v>
      </c>
      <c r="H2150" t="s">
        <v>2344</v>
      </c>
      <c r="I2150" t="str">
        <f t="shared" si="67"/>
        <v>Over weight</v>
      </c>
      <c r="J2150" t="str">
        <f t="shared" si="68"/>
        <v>Prediabetes</v>
      </c>
    </row>
    <row r="2151" spans="1:10" x14ac:dyDescent="0.35">
      <c r="A2151" t="s">
        <v>2151</v>
      </c>
      <c r="B2151">
        <v>25.8</v>
      </c>
      <c r="C2151">
        <v>4.13</v>
      </c>
      <c r="D2151" t="s">
        <v>2344</v>
      </c>
      <c r="E2151" t="s">
        <v>2344</v>
      </c>
      <c r="F2151" t="s">
        <v>2344</v>
      </c>
      <c r="G2151">
        <v>1</v>
      </c>
      <c r="H2151" t="s">
        <v>2344</v>
      </c>
      <c r="I2151" t="str">
        <f t="shared" si="67"/>
        <v>Over weight</v>
      </c>
      <c r="J2151" t="str">
        <f t="shared" si="68"/>
        <v>Normal</v>
      </c>
    </row>
    <row r="2152" spans="1:10" x14ac:dyDescent="0.35">
      <c r="A2152" t="s">
        <v>2152</v>
      </c>
      <c r="B2152">
        <v>23.4</v>
      </c>
      <c r="C2152">
        <v>4.24</v>
      </c>
      <c r="D2152" t="s">
        <v>2344</v>
      </c>
      <c r="E2152" t="s">
        <v>2344</v>
      </c>
      <c r="F2152" t="s">
        <v>2344</v>
      </c>
      <c r="G2152">
        <v>1</v>
      </c>
      <c r="H2152" t="s">
        <v>2344</v>
      </c>
      <c r="I2152" t="str">
        <f t="shared" si="67"/>
        <v>Normal Weight</v>
      </c>
      <c r="J2152" t="str">
        <f t="shared" si="68"/>
        <v>Normal</v>
      </c>
    </row>
    <row r="2153" spans="1:10" x14ac:dyDescent="0.35">
      <c r="A2153" t="s">
        <v>2153</v>
      </c>
      <c r="B2153">
        <v>27.93</v>
      </c>
      <c r="C2153">
        <v>9.8800000000000008</v>
      </c>
      <c r="D2153" t="s">
        <v>2344</v>
      </c>
      <c r="E2153" t="s">
        <v>2344</v>
      </c>
      <c r="F2153" t="s">
        <v>2344</v>
      </c>
      <c r="G2153">
        <v>0</v>
      </c>
      <c r="H2153" t="s">
        <v>2344</v>
      </c>
      <c r="I2153" t="str">
        <f t="shared" si="67"/>
        <v>Over weight</v>
      </c>
      <c r="J2153" t="str">
        <f t="shared" si="68"/>
        <v>Diabetes</v>
      </c>
    </row>
    <row r="2154" spans="1:10" x14ac:dyDescent="0.35">
      <c r="A2154" t="s">
        <v>2154</v>
      </c>
      <c r="B2154">
        <v>22</v>
      </c>
      <c r="C2154">
        <v>9.5</v>
      </c>
      <c r="D2154" t="s">
        <v>2344</v>
      </c>
      <c r="E2154" t="s">
        <v>2344</v>
      </c>
      <c r="F2154" t="s">
        <v>2344</v>
      </c>
      <c r="G2154">
        <v>0</v>
      </c>
      <c r="H2154" t="s">
        <v>2344</v>
      </c>
      <c r="I2154" t="str">
        <f t="shared" si="67"/>
        <v>Normal Weight</v>
      </c>
      <c r="J2154" t="str">
        <f t="shared" si="68"/>
        <v>Diabetes</v>
      </c>
    </row>
    <row r="2155" spans="1:10" x14ac:dyDescent="0.35">
      <c r="A2155" t="s">
        <v>2155</v>
      </c>
      <c r="B2155">
        <v>36.86</v>
      </c>
      <c r="C2155">
        <v>4.97</v>
      </c>
      <c r="D2155" t="s">
        <v>2346</v>
      </c>
      <c r="E2155" t="s">
        <v>2344</v>
      </c>
      <c r="F2155" t="s">
        <v>2344</v>
      </c>
      <c r="G2155">
        <v>0</v>
      </c>
      <c r="H2155" t="s">
        <v>2344</v>
      </c>
      <c r="I2155" t="str">
        <f t="shared" si="67"/>
        <v>Obesity</v>
      </c>
      <c r="J2155" t="str">
        <f t="shared" si="68"/>
        <v>Normal</v>
      </c>
    </row>
    <row r="2156" spans="1:10" x14ac:dyDescent="0.35">
      <c r="A2156" t="s">
        <v>2156</v>
      </c>
      <c r="B2156">
        <v>31.254999999999999</v>
      </c>
      <c r="C2156">
        <v>5.49</v>
      </c>
      <c r="D2156" t="s">
        <v>2346</v>
      </c>
      <c r="E2156" t="s">
        <v>2344</v>
      </c>
      <c r="F2156" t="s">
        <v>2344</v>
      </c>
      <c r="G2156">
        <v>0</v>
      </c>
      <c r="H2156" t="s">
        <v>2344</v>
      </c>
      <c r="I2156" t="str">
        <f t="shared" si="67"/>
        <v>Obesity</v>
      </c>
      <c r="J2156" t="str">
        <f t="shared" si="68"/>
        <v>Normal</v>
      </c>
    </row>
    <row r="2157" spans="1:10" x14ac:dyDescent="0.35">
      <c r="A2157" t="s">
        <v>2157</v>
      </c>
      <c r="B2157">
        <v>23.06</v>
      </c>
      <c r="C2157">
        <v>4.47</v>
      </c>
      <c r="D2157" t="s">
        <v>2344</v>
      </c>
      <c r="E2157" t="s">
        <v>2344</v>
      </c>
      <c r="F2157" t="s">
        <v>2344</v>
      </c>
      <c r="G2157">
        <v>0</v>
      </c>
      <c r="H2157" t="s">
        <v>2344</v>
      </c>
      <c r="I2157" t="str">
        <f t="shared" si="67"/>
        <v>Normal Weight</v>
      </c>
      <c r="J2157" t="str">
        <f t="shared" si="68"/>
        <v>Normal</v>
      </c>
    </row>
    <row r="2158" spans="1:10" x14ac:dyDescent="0.35">
      <c r="A2158" t="s">
        <v>2158</v>
      </c>
      <c r="B2158">
        <v>28.975000000000001</v>
      </c>
      <c r="C2158">
        <v>4.34</v>
      </c>
      <c r="D2158" t="s">
        <v>2346</v>
      </c>
      <c r="E2158" t="s">
        <v>2344</v>
      </c>
      <c r="F2158" t="s">
        <v>2344</v>
      </c>
      <c r="G2158">
        <v>0</v>
      </c>
      <c r="H2158" t="s">
        <v>2344</v>
      </c>
      <c r="I2158" t="str">
        <f t="shared" si="67"/>
        <v>Over weight</v>
      </c>
      <c r="J2158" t="str">
        <f t="shared" si="68"/>
        <v>Normal</v>
      </c>
    </row>
    <row r="2159" spans="1:10" x14ac:dyDescent="0.35">
      <c r="A2159" t="s">
        <v>2159</v>
      </c>
      <c r="B2159">
        <v>33.299999999999997</v>
      </c>
      <c r="C2159">
        <v>9.49</v>
      </c>
      <c r="D2159" t="s">
        <v>2344</v>
      </c>
      <c r="E2159" t="s">
        <v>2344</v>
      </c>
      <c r="F2159" t="s">
        <v>2344</v>
      </c>
      <c r="G2159">
        <v>0</v>
      </c>
      <c r="H2159" t="s">
        <v>2344</v>
      </c>
      <c r="I2159" t="str">
        <f t="shared" si="67"/>
        <v>Obesity</v>
      </c>
      <c r="J2159" t="str">
        <f t="shared" si="68"/>
        <v>Diabetes</v>
      </c>
    </row>
    <row r="2160" spans="1:10" x14ac:dyDescent="0.35">
      <c r="A2160" t="s">
        <v>2160</v>
      </c>
      <c r="B2160">
        <v>33</v>
      </c>
      <c r="C2160">
        <v>10.16</v>
      </c>
      <c r="D2160" t="s">
        <v>2344</v>
      </c>
      <c r="E2160" t="s">
        <v>2344</v>
      </c>
      <c r="F2160" t="s">
        <v>2344</v>
      </c>
      <c r="G2160">
        <v>0</v>
      </c>
      <c r="H2160" t="s">
        <v>2344</v>
      </c>
      <c r="I2160" t="str">
        <f t="shared" si="67"/>
        <v>Obesity</v>
      </c>
      <c r="J2160" t="str">
        <f t="shared" si="68"/>
        <v>Diabetes</v>
      </c>
    </row>
    <row r="2161" spans="1:10" x14ac:dyDescent="0.35">
      <c r="A2161" t="s">
        <v>2161</v>
      </c>
      <c r="B2161">
        <v>31.46</v>
      </c>
      <c r="C2161">
        <v>11.19</v>
      </c>
      <c r="D2161" t="s">
        <v>2344</v>
      </c>
      <c r="E2161" t="s">
        <v>2344</v>
      </c>
      <c r="F2161" t="s">
        <v>2344</v>
      </c>
      <c r="G2161">
        <v>0</v>
      </c>
      <c r="H2161" t="s">
        <v>2344</v>
      </c>
      <c r="I2161" t="str">
        <f t="shared" si="67"/>
        <v>Obesity</v>
      </c>
      <c r="J2161" t="str">
        <f t="shared" si="68"/>
        <v>Diabetes</v>
      </c>
    </row>
    <row r="2162" spans="1:10" x14ac:dyDescent="0.35">
      <c r="A2162" t="s">
        <v>2162</v>
      </c>
      <c r="B2162">
        <v>29.6</v>
      </c>
      <c r="C2162">
        <v>11.03</v>
      </c>
      <c r="D2162" t="s">
        <v>2344</v>
      </c>
      <c r="E2162" t="s">
        <v>2344</v>
      </c>
      <c r="F2162" t="s">
        <v>2344</v>
      </c>
      <c r="G2162">
        <v>0</v>
      </c>
      <c r="H2162" t="s">
        <v>2344</v>
      </c>
      <c r="I2162" t="str">
        <f t="shared" si="67"/>
        <v>Over weight</v>
      </c>
      <c r="J2162" t="str">
        <f t="shared" si="68"/>
        <v>Diabetes</v>
      </c>
    </row>
    <row r="2163" spans="1:10" x14ac:dyDescent="0.35">
      <c r="A2163" t="s">
        <v>2163</v>
      </c>
      <c r="B2163">
        <v>22.05</v>
      </c>
      <c r="C2163">
        <v>4.43</v>
      </c>
      <c r="D2163" t="s">
        <v>2346</v>
      </c>
      <c r="E2163" t="s">
        <v>2344</v>
      </c>
      <c r="F2163" t="s">
        <v>2344</v>
      </c>
      <c r="G2163">
        <v>0</v>
      </c>
      <c r="H2163" t="s">
        <v>2344</v>
      </c>
      <c r="I2163" t="str">
        <f t="shared" si="67"/>
        <v>Normal Weight</v>
      </c>
      <c r="J2163" t="str">
        <f t="shared" si="68"/>
        <v>Normal</v>
      </c>
    </row>
    <row r="2164" spans="1:10" x14ac:dyDescent="0.35">
      <c r="A2164" t="s">
        <v>2164</v>
      </c>
      <c r="B2164">
        <v>27.06</v>
      </c>
      <c r="C2164">
        <v>6.14</v>
      </c>
      <c r="D2164" t="s">
        <v>2344</v>
      </c>
      <c r="E2164" t="s">
        <v>2345</v>
      </c>
      <c r="F2164" t="s">
        <v>2344</v>
      </c>
      <c r="G2164">
        <v>1</v>
      </c>
      <c r="H2164" t="s">
        <v>2344</v>
      </c>
      <c r="I2164" t="str">
        <f t="shared" si="67"/>
        <v>Over weight</v>
      </c>
      <c r="J2164" t="str">
        <f t="shared" si="68"/>
        <v>Prediabetes</v>
      </c>
    </row>
    <row r="2165" spans="1:10" x14ac:dyDescent="0.35">
      <c r="A2165" t="s">
        <v>2165</v>
      </c>
      <c r="B2165">
        <v>20.49</v>
      </c>
      <c r="C2165">
        <v>4.87</v>
      </c>
      <c r="D2165" t="s">
        <v>2344</v>
      </c>
      <c r="E2165" t="s">
        <v>2344</v>
      </c>
      <c r="F2165" t="s">
        <v>2344</v>
      </c>
      <c r="G2165">
        <v>0</v>
      </c>
      <c r="H2165" t="s">
        <v>2344</v>
      </c>
      <c r="I2165" t="str">
        <f t="shared" si="67"/>
        <v>Normal Weight</v>
      </c>
      <c r="J2165" t="str">
        <f t="shared" si="68"/>
        <v>Normal</v>
      </c>
    </row>
    <row r="2166" spans="1:10" x14ac:dyDescent="0.35">
      <c r="A2166" t="s">
        <v>2166</v>
      </c>
      <c r="B2166">
        <v>28.4</v>
      </c>
      <c r="C2166">
        <v>4.3</v>
      </c>
      <c r="D2166" t="s">
        <v>2344</v>
      </c>
      <c r="E2166" t="s">
        <v>2344</v>
      </c>
      <c r="F2166" t="s">
        <v>2346</v>
      </c>
      <c r="G2166">
        <v>1</v>
      </c>
      <c r="H2166" t="s">
        <v>2344</v>
      </c>
      <c r="I2166" t="str">
        <f t="shared" si="67"/>
        <v>Over weight</v>
      </c>
      <c r="J2166" t="str">
        <f t="shared" si="68"/>
        <v>Normal</v>
      </c>
    </row>
    <row r="2167" spans="1:10" x14ac:dyDescent="0.35">
      <c r="A2167" t="s">
        <v>2167</v>
      </c>
      <c r="B2167">
        <v>41.91</v>
      </c>
      <c r="C2167">
        <v>6.19</v>
      </c>
      <c r="D2167" t="s">
        <v>2344</v>
      </c>
      <c r="E2167" t="s">
        <v>2344</v>
      </c>
      <c r="F2167" t="s">
        <v>2344</v>
      </c>
      <c r="G2167">
        <v>0</v>
      </c>
      <c r="H2167" t="s">
        <v>2344</v>
      </c>
      <c r="I2167" t="str">
        <f t="shared" si="67"/>
        <v>Obesity</v>
      </c>
      <c r="J2167" t="str">
        <f t="shared" si="68"/>
        <v>Prediabetes</v>
      </c>
    </row>
    <row r="2168" spans="1:10" x14ac:dyDescent="0.35">
      <c r="A2168" t="s">
        <v>2168</v>
      </c>
      <c r="B2168">
        <v>24.6</v>
      </c>
      <c r="C2168">
        <v>6.19</v>
      </c>
      <c r="D2168" t="s">
        <v>2344</v>
      </c>
      <c r="E2168" t="s">
        <v>2344</v>
      </c>
      <c r="F2168" t="s">
        <v>2346</v>
      </c>
      <c r="G2168">
        <v>1</v>
      </c>
      <c r="H2168" t="s">
        <v>2344</v>
      </c>
      <c r="I2168" t="str">
        <f t="shared" si="67"/>
        <v>Normal Weight</v>
      </c>
      <c r="J2168" t="str">
        <f t="shared" si="68"/>
        <v>Prediabetes</v>
      </c>
    </row>
    <row r="2169" spans="1:10" x14ac:dyDescent="0.35">
      <c r="A2169" t="s">
        <v>2169</v>
      </c>
      <c r="B2169">
        <v>20.9</v>
      </c>
      <c r="C2169">
        <v>5.12</v>
      </c>
      <c r="D2169" t="s">
        <v>2344</v>
      </c>
      <c r="E2169" t="s">
        <v>2344</v>
      </c>
      <c r="F2169" t="s">
        <v>2346</v>
      </c>
      <c r="G2169">
        <v>1</v>
      </c>
      <c r="H2169" t="s">
        <v>2344</v>
      </c>
      <c r="I2169" t="str">
        <f t="shared" si="67"/>
        <v>Normal Weight</v>
      </c>
      <c r="J2169" t="str">
        <f t="shared" si="68"/>
        <v>Normal</v>
      </c>
    </row>
    <row r="2170" spans="1:10" x14ac:dyDescent="0.35">
      <c r="A2170" t="s">
        <v>2170</v>
      </c>
      <c r="B2170">
        <v>34.4</v>
      </c>
      <c r="C2170">
        <v>4.04</v>
      </c>
      <c r="D2170" t="s">
        <v>2344</v>
      </c>
      <c r="E2170" t="s">
        <v>2344</v>
      </c>
      <c r="F2170" t="s">
        <v>2344</v>
      </c>
      <c r="G2170">
        <v>0</v>
      </c>
      <c r="H2170" t="s">
        <v>2344</v>
      </c>
      <c r="I2170" t="str">
        <f t="shared" si="67"/>
        <v>Obesity</v>
      </c>
      <c r="J2170" t="str">
        <f t="shared" si="68"/>
        <v>Normal</v>
      </c>
    </row>
    <row r="2171" spans="1:10" x14ac:dyDescent="0.35">
      <c r="A2171" t="s">
        <v>2171</v>
      </c>
      <c r="B2171">
        <v>32.56</v>
      </c>
      <c r="C2171">
        <v>5.36</v>
      </c>
      <c r="D2171" t="s">
        <v>2344</v>
      </c>
      <c r="E2171" t="s">
        <v>2344</v>
      </c>
      <c r="F2171" t="s">
        <v>2344</v>
      </c>
      <c r="G2171">
        <v>0</v>
      </c>
      <c r="H2171" t="s">
        <v>2344</v>
      </c>
      <c r="I2171" t="str">
        <f t="shared" si="67"/>
        <v>Obesity</v>
      </c>
      <c r="J2171" t="str">
        <f t="shared" si="68"/>
        <v>Normal</v>
      </c>
    </row>
    <row r="2172" spans="1:10" x14ac:dyDescent="0.35">
      <c r="A2172" t="s">
        <v>2172</v>
      </c>
      <c r="B2172">
        <v>27.98</v>
      </c>
      <c r="C2172">
        <v>4.38</v>
      </c>
      <c r="D2172" t="s">
        <v>2344</v>
      </c>
      <c r="E2172" t="s">
        <v>2345</v>
      </c>
      <c r="F2172" t="s">
        <v>2344</v>
      </c>
      <c r="G2172">
        <v>1</v>
      </c>
      <c r="H2172" t="s">
        <v>2344</v>
      </c>
      <c r="I2172" t="str">
        <f t="shared" si="67"/>
        <v>Over weight</v>
      </c>
      <c r="J2172" t="str">
        <f t="shared" si="68"/>
        <v>Normal</v>
      </c>
    </row>
    <row r="2173" spans="1:10" x14ac:dyDescent="0.35">
      <c r="A2173" t="s">
        <v>2173</v>
      </c>
      <c r="B2173">
        <v>26.51</v>
      </c>
      <c r="C2173">
        <v>4.58</v>
      </c>
      <c r="D2173" t="s">
        <v>2344</v>
      </c>
      <c r="E2173" t="s">
        <v>2344</v>
      </c>
      <c r="F2173" t="s">
        <v>2344</v>
      </c>
      <c r="G2173">
        <v>0</v>
      </c>
      <c r="H2173" t="s">
        <v>2344</v>
      </c>
      <c r="I2173" t="str">
        <f t="shared" si="67"/>
        <v>Over weight</v>
      </c>
      <c r="J2173" t="str">
        <f t="shared" si="68"/>
        <v>Normal</v>
      </c>
    </row>
    <row r="2174" spans="1:10" x14ac:dyDescent="0.35">
      <c r="A2174" t="s">
        <v>2174</v>
      </c>
      <c r="B2174">
        <v>29.734999999999999</v>
      </c>
      <c r="C2174">
        <v>11.92</v>
      </c>
      <c r="D2174" t="s">
        <v>2344</v>
      </c>
      <c r="E2174" t="s">
        <v>2344</v>
      </c>
      <c r="F2174" t="s">
        <v>2344</v>
      </c>
      <c r="G2174">
        <v>0</v>
      </c>
      <c r="H2174" t="s">
        <v>2344</v>
      </c>
      <c r="I2174" t="str">
        <f t="shared" si="67"/>
        <v>Over weight</v>
      </c>
      <c r="J2174" t="str">
        <f t="shared" si="68"/>
        <v>Diabetes</v>
      </c>
    </row>
    <row r="2175" spans="1:10" x14ac:dyDescent="0.35">
      <c r="A2175" t="s">
        <v>2175</v>
      </c>
      <c r="B2175">
        <v>40.5</v>
      </c>
      <c r="C2175">
        <v>5.4</v>
      </c>
      <c r="D2175" t="s">
        <v>2344</v>
      </c>
      <c r="E2175" t="s">
        <v>2344</v>
      </c>
      <c r="F2175" t="s">
        <v>2346</v>
      </c>
      <c r="G2175">
        <v>1</v>
      </c>
      <c r="H2175" t="s">
        <v>2344</v>
      </c>
      <c r="I2175" t="str">
        <f t="shared" si="67"/>
        <v>Obesity</v>
      </c>
      <c r="J2175" t="str">
        <f t="shared" si="68"/>
        <v>Normal</v>
      </c>
    </row>
    <row r="2176" spans="1:10" x14ac:dyDescent="0.35">
      <c r="A2176" t="s">
        <v>2176</v>
      </c>
      <c r="B2176">
        <v>25.64</v>
      </c>
      <c r="C2176">
        <v>4.76</v>
      </c>
      <c r="D2176" t="s">
        <v>2344</v>
      </c>
      <c r="E2176" t="s">
        <v>2344</v>
      </c>
      <c r="F2176" t="s">
        <v>2344</v>
      </c>
      <c r="G2176">
        <v>1</v>
      </c>
      <c r="H2176" t="s">
        <v>2344</v>
      </c>
      <c r="I2176" t="str">
        <f t="shared" si="67"/>
        <v>Over weight</v>
      </c>
      <c r="J2176" t="str">
        <f t="shared" si="68"/>
        <v>Normal</v>
      </c>
    </row>
    <row r="2177" spans="1:10" x14ac:dyDescent="0.35">
      <c r="A2177" t="s">
        <v>2177</v>
      </c>
      <c r="B2177">
        <v>32.9</v>
      </c>
      <c r="C2177">
        <v>4.78</v>
      </c>
      <c r="D2177" t="s">
        <v>2344</v>
      </c>
      <c r="E2177" t="s">
        <v>2344</v>
      </c>
      <c r="F2177" t="s">
        <v>2346</v>
      </c>
      <c r="G2177">
        <v>1</v>
      </c>
      <c r="H2177" t="s">
        <v>2344</v>
      </c>
      <c r="I2177" t="str">
        <f t="shared" si="67"/>
        <v>Obesity</v>
      </c>
      <c r="J2177" t="str">
        <f t="shared" si="68"/>
        <v>Normal</v>
      </c>
    </row>
    <row r="2178" spans="1:10" x14ac:dyDescent="0.35">
      <c r="A2178" t="s">
        <v>2178</v>
      </c>
      <c r="B2178">
        <v>29.8</v>
      </c>
      <c r="C2178">
        <v>4.26</v>
      </c>
      <c r="D2178" t="s">
        <v>2344</v>
      </c>
      <c r="E2178" t="s">
        <v>2344</v>
      </c>
      <c r="F2178" t="s">
        <v>2346</v>
      </c>
      <c r="G2178">
        <v>1</v>
      </c>
      <c r="H2178" t="s">
        <v>2344</v>
      </c>
      <c r="I2178" t="str">
        <f t="shared" si="67"/>
        <v>Over weight</v>
      </c>
      <c r="J2178" t="str">
        <f t="shared" si="68"/>
        <v>Normal</v>
      </c>
    </row>
    <row r="2179" spans="1:10" x14ac:dyDescent="0.35">
      <c r="A2179" t="s">
        <v>2179</v>
      </c>
      <c r="B2179">
        <v>28.9</v>
      </c>
      <c r="C2179">
        <v>5.85</v>
      </c>
      <c r="D2179" t="s">
        <v>2344</v>
      </c>
      <c r="E2179" t="s">
        <v>2344</v>
      </c>
      <c r="F2179" t="s">
        <v>2346</v>
      </c>
      <c r="G2179">
        <v>1</v>
      </c>
      <c r="H2179" t="s">
        <v>2344</v>
      </c>
      <c r="I2179" t="str">
        <f t="shared" ref="I2179:I2242" si="69">IF(B2179&lt;18.5,"Under Weight",IF(B2179&lt;25,"Normal Weight",IF(B2179&lt;30,"Over weight","Obesity")))</f>
        <v>Over weight</v>
      </c>
      <c r="J2179" t="str">
        <f t="shared" si="68"/>
        <v>Prediabetes</v>
      </c>
    </row>
    <row r="2180" spans="1:10" x14ac:dyDescent="0.35">
      <c r="A2180" t="s">
        <v>2180</v>
      </c>
      <c r="B2180">
        <v>24.7</v>
      </c>
      <c r="C2180">
        <v>5.32</v>
      </c>
      <c r="D2180" t="s">
        <v>2344</v>
      </c>
      <c r="E2180" t="s">
        <v>2344</v>
      </c>
      <c r="F2180" t="s">
        <v>2346</v>
      </c>
      <c r="G2180">
        <v>1</v>
      </c>
      <c r="H2180" t="s">
        <v>2344</v>
      </c>
      <c r="I2180" t="str">
        <f t="shared" si="69"/>
        <v>Normal Weight</v>
      </c>
      <c r="J2180" t="str">
        <f t="shared" si="68"/>
        <v>Normal</v>
      </c>
    </row>
    <row r="2181" spans="1:10" x14ac:dyDescent="0.35">
      <c r="A2181" t="s">
        <v>2181</v>
      </c>
      <c r="B2181">
        <v>20.6</v>
      </c>
      <c r="C2181">
        <v>5.14</v>
      </c>
      <c r="D2181" t="s">
        <v>2344</v>
      </c>
      <c r="E2181" t="s">
        <v>2344</v>
      </c>
      <c r="F2181" t="s">
        <v>2346</v>
      </c>
      <c r="G2181">
        <v>1</v>
      </c>
      <c r="H2181" t="s">
        <v>2344</v>
      </c>
      <c r="I2181" t="str">
        <f t="shared" si="69"/>
        <v>Normal Weight</v>
      </c>
      <c r="J2181" t="str">
        <f t="shared" si="68"/>
        <v>Normal</v>
      </c>
    </row>
    <row r="2182" spans="1:10" x14ac:dyDescent="0.35">
      <c r="A2182" t="s">
        <v>2182</v>
      </c>
      <c r="B2182">
        <v>18.600000000000001</v>
      </c>
      <c r="C2182" t="s">
        <v>2346</v>
      </c>
      <c r="D2182" t="s">
        <v>2344</v>
      </c>
      <c r="E2182" t="s">
        <v>2344</v>
      </c>
      <c r="F2182" t="s">
        <v>2346</v>
      </c>
      <c r="G2182">
        <v>1</v>
      </c>
      <c r="H2182" t="s">
        <v>2344</v>
      </c>
      <c r="I2182" t="str">
        <f t="shared" si="69"/>
        <v>Normal Weight</v>
      </c>
      <c r="J2182" t="str">
        <f t="shared" si="68"/>
        <v>Diabetes</v>
      </c>
    </row>
    <row r="2183" spans="1:10" x14ac:dyDescent="0.35">
      <c r="A2183" t="s">
        <v>2183</v>
      </c>
      <c r="B2183">
        <v>17.8</v>
      </c>
      <c r="C2183">
        <v>4.55</v>
      </c>
      <c r="D2183" t="s">
        <v>2344</v>
      </c>
      <c r="E2183" t="s">
        <v>2344</v>
      </c>
      <c r="F2183" t="s">
        <v>2346</v>
      </c>
      <c r="G2183">
        <v>1</v>
      </c>
      <c r="H2183" t="s">
        <v>2344</v>
      </c>
      <c r="I2183" t="str">
        <f t="shared" si="69"/>
        <v>Under Weight</v>
      </c>
      <c r="J2183" t="str">
        <f t="shared" si="68"/>
        <v>Normal</v>
      </c>
    </row>
    <row r="2184" spans="1:10" x14ac:dyDescent="0.35">
      <c r="A2184" t="s">
        <v>2184</v>
      </c>
      <c r="B2184">
        <v>35.200000000000003</v>
      </c>
      <c r="C2184">
        <v>5.97</v>
      </c>
      <c r="D2184" t="s">
        <v>2344</v>
      </c>
      <c r="E2184" t="s">
        <v>2345</v>
      </c>
      <c r="F2184" t="s">
        <v>2344</v>
      </c>
      <c r="G2184">
        <v>1</v>
      </c>
      <c r="H2184" t="s">
        <v>2344</v>
      </c>
      <c r="I2184" t="str">
        <f t="shared" si="69"/>
        <v>Obesity</v>
      </c>
      <c r="J2184" t="str">
        <f t="shared" si="68"/>
        <v>Prediabetes</v>
      </c>
    </row>
    <row r="2185" spans="1:10" x14ac:dyDescent="0.35">
      <c r="A2185" t="s">
        <v>2185</v>
      </c>
      <c r="B2185">
        <v>33.770000000000003</v>
      </c>
      <c r="C2185">
        <v>4.0199999999999996</v>
      </c>
      <c r="D2185" t="s">
        <v>2344</v>
      </c>
      <c r="E2185" t="s">
        <v>2345</v>
      </c>
      <c r="F2185" t="s">
        <v>2344</v>
      </c>
      <c r="G2185">
        <v>1</v>
      </c>
      <c r="H2185" t="s">
        <v>2344</v>
      </c>
      <c r="I2185" t="str">
        <f t="shared" si="69"/>
        <v>Obesity</v>
      </c>
      <c r="J2185" t="str">
        <f t="shared" si="68"/>
        <v>Normal</v>
      </c>
    </row>
    <row r="2186" spans="1:10" x14ac:dyDescent="0.35">
      <c r="A2186" t="s">
        <v>2186</v>
      </c>
      <c r="B2186">
        <v>30.03</v>
      </c>
      <c r="C2186">
        <v>4.04</v>
      </c>
      <c r="D2186" t="s">
        <v>2344</v>
      </c>
      <c r="E2186" t="s">
        <v>2345</v>
      </c>
      <c r="F2186" t="s">
        <v>2344</v>
      </c>
      <c r="G2186">
        <v>1</v>
      </c>
      <c r="H2186" t="s">
        <v>2344</v>
      </c>
      <c r="I2186" t="str">
        <f t="shared" si="69"/>
        <v>Obesity</v>
      </c>
      <c r="J2186" t="str">
        <f t="shared" si="68"/>
        <v>Normal</v>
      </c>
    </row>
    <row r="2187" spans="1:10" x14ac:dyDescent="0.35">
      <c r="A2187" t="s">
        <v>2187</v>
      </c>
      <c r="B2187">
        <v>29.37</v>
      </c>
      <c r="C2187">
        <v>5.54</v>
      </c>
      <c r="D2187" t="s">
        <v>2344</v>
      </c>
      <c r="E2187" t="s">
        <v>2345</v>
      </c>
      <c r="F2187" t="s">
        <v>2344</v>
      </c>
      <c r="G2187">
        <v>1</v>
      </c>
      <c r="H2187" t="s">
        <v>2344</v>
      </c>
      <c r="I2187" t="str">
        <f t="shared" si="69"/>
        <v>Over weight</v>
      </c>
      <c r="J2187" t="str">
        <f t="shared" si="68"/>
        <v>Normal</v>
      </c>
    </row>
    <row r="2188" spans="1:10" x14ac:dyDescent="0.35">
      <c r="A2188" t="s">
        <v>2188</v>
      </c>
      <c r="B2188">
        <v>28.5</v>
      </c>
      <c r="C2188">
        <v>4.03</v>
      </c>
      <c r="D2188" t="s">
        <v>2344</v>
      </c>
      <c r="E2188" t="s">
        <v>2345</v>
      </c>
      <c r="F2188" t="s">
        <v>2344</v>
      </c>
      <c r="G2188">
        <v>1</v>
      </c>
      <c r="H2188" t="s">
        <v>2344</v>
      </c>
      <c r="I2188" t="str">
        <f t="shared" si="69"/>
        <v>Over weight</v>
      </c>
      <c r="J2188" t="str">
        <f t="shared" ref="J2188:J2251" si="70">IF(C2188&lt;5.7,"Normal",IF(C2188&lt;6.5,"Prediabetes","Diabetes"))</f>
        <v>Normal</v>
      </c>
    </row>
    <row r="2189" spans="1:10" x14ac:dyDescent="0.35">
      <c r="A2189" t="s">
        <v>2189</v>
      </c>
      <c r="B2189">
        <v>23.32</v>
      </c>
      <c r="C2189">
        <v>5.62</v>
      </c>
      <c r="D2189" t="s">
        <v>2344</v>
      </c>
      <c r="E2189" t="s">
        <v>2345</v>
      </c>
      <c r="F2189" t="s">
        <v>2344</v>
      </c>
      <c r="G2189">
        <v>1</v>
      </c>
      <c r="H2189" t="s">
        <v>2344</v>
      </c>
      <c r="I2189" t="str">
        <f t="shared" si="69"/>
        <v>Normal Weight</v>
      </c>
      <c r="J2189" t="str">
        <f t="shared" si="70"/>
        <v>Normal</v>
      </c>
    </row>
    <row r="2190" spans="1:10" x14ac:dyDescent="0.35">
      <c r="A2190" t="s">
        <v>2190</v>
      </c>
      <c r="B2190">
        <v>26.125</v>
      </c>
      <c r="C2190">
        <v>5.27</v>
      </c>
      <c r="D2190" t="s">
        <v>2344</v>
      </c>
      <c r="E2190" t="s">
        <v>2345</v>
      </c>
      <c r="F2190" t="s">
        <v>2344</v>
      </c>
      <c r="G2190">
        <v>1</v>
      </c>
      <c r="H2190" t="s">
        <v>2344</v>
      </c>
      <c r="I2190" t="str">
        <f t="shared" si="69"/>
        <v>Over weight</v>
      </c>
      <c r="J2190" t="str">
        <f t="shared" si="70"/>
        <v>Normal</v>
      </c>
    </row>
    <row r="2191" spans="1:10" x14ac:dyDescent="0.35">
      <c r="A2191" t="s">
        <v>2191</v>
      </c>
      <c r="B2191">
        <v>25.46</v>
      </c>
      <c r="C2191">
        <v>5.18</v>
      </c>
      <c r="D2191" t="s">
        <v>2344</v>
      </c>
      <c r="E2191" t="s">
        <v>2345</v>
      </c>
      <c r="F2191" t="s">
        <v>2344</v>
      </c>
      <c r="G2191">
        <v>1</v>
      </c>
      <c r="H2191" t="s">
        <v>2344</v>
      </c>
      <c r="I2191" t="str">
        <f t="shared" si="69"/>
        <v>Over weight</v>
      </c>
      <c r="J2191" t="str">
        <f t="shared" si="70"/>
        <v>Normal</v>
      </c>
    </row>
    <row r="2192" spans="1:10" x14ac:dyDescent="0.35">
      <c r="A2192" t="s">
        <v>2192</v>
      </c>
      <c r="B2192">
        <v>23.75</v>
      </c>
      <c r="C2192">
        <v>5.27</v>
      </c>
      <c r="D2192" t="s">
        <v>2344</v>
      </c>
      <c r="E2192" t="s">
        <v>2345</v>
      </c>
      <c r="F2192" t="s">
        <v>2344</v>
      </c>
      <c r="G2192">
        <v>1</v>
      </c>
      <c r="H2192" t="s">
        <v>2344</v>
      </c>
      <c r="I2192" t="str">
        <f t="shared" si="69"/>
        <v>Normal Weight</v>
      </c>
      <c r="J2192" t="str">
        <f t="shared" si="70"/>
        <v>Normal</v>
      </c>
    </row>
    <row r="2193" spans="1:10" x14ac:dyDescent="0.35">
      <c r="A2193" t="s">
        <v>2193</v>
      </c>
      <c r="B2193">
        <v>23.085000000000001</v>
      </c>
      <c r="C2193">
        <v>5.62</v>
      </c>
      <c r="D2193" t="s">
        <v>2344</v>
      </c>
      <c r="E2193" t="s">
        <v>2345</v>
      </c>
      <c r="F2193" t="s">
        <v>2344</v>
      </c>
      <c r="G2193">
        <v>1</v>
      </c>
      <c r="H2193" t="s">
        <v>2344</v>
      </c>
      <c r="I2193" t="str">
        <f t="shared" si="69"/>
        <v>Normal Weight</v>
      </c>
      <c r="J2193" t="str">
        <f t="shared" si="70"/>
        <v>Normal</v>
      </c>
    </row>
    <row r="2194" spans="1:10" x14ac:dyDescent="0.35">
      <c r="A2194" t="s">
        <v>2194</v>
      </c>
      <c r="B2194">
        <v>22.99</v>
      </c>
      <c r="C2194">
        <v>5.0599999999999996</v>
      </c>
      <c r="D2194" t="s">
        <v>2344</v>
      </c>
      <c r="E2194" t="s">
        <v>2345</v>
      </c>
      <c r="F2194" t="s">
        <v>2344</v>
      </c>
      <c r="G2194">
        <v>1</v>
      </c>
      <c r="H2194" t="s">
        <v>2344</v>
      </c>
      <c r="I2194" t="str">
        <f t="shared" si="69"/>
        <v>Normal Weight</v>
      </c>
      <c r="J2194" t="str">
        <f t="shared" si="70"/>
        <v>Normal</v>
      </c>
    </row>
    <row r="2195" spans="1:10" x14ac:dyDescent="0.35">
      <c r="A2195" t="s">
        <v>2195</v>
      </c>
      <c r="B2195">
        <v>21.47</v>
      </c>
      <c r="C2195">
        <v>4.6900000000000004</v>
      </c>
      <c r="D2195" t="s">
        <v>2344</v>
      </c>
      <c r="E2195" t="s">
        <v>2345</v>
      </c>
      <c r="F2195" t="s">
        <v>2344</v>
      </c>
      <c r="G2195">
        <v>1</v>
      </c>
      <c r="H2195" t="s">
        <v>2344</v>
      </c>
      <c r="I2195" t="str">
        <f t="shared" si="69"/>
        <v>Normal Weight</v>
      </c>
      <c r="J2195" t="str">
        <f t="shared" si="70"/>
        <v>Normal</v>
      </c>
    </row>
    <row r="2196" spans="1:10" x14ac:dyDescent="0.35">
      <c r="A2196" t="s">
        <v>2196</v>
      </c>
      <c r="B2196">
        <v>15.96</v>
      </c>
      <c r="C2196">
        <v>5.44</v>
      </c>
      <c r="D2196" t="s">
        <v>2344</v>
      </c>
      <c r="E2196" t="s">
        <v>2345</v>
      </c>
      <c r="F2196" t="s">
        <v>2344</v>
      </c>
      <c r="G2196">
        <v>1</v>
      </c>
      <c r="H2196" t="s">
        <v>2344</v>
      </c>
      <c r="I2196" t="str">
        <f t="shared" si="69"/>
        <v>Under Weight</v>
      </c>
      <c r="J2196" t="str">
        <f t="shared" si="70"/>
        <v>Normal</v>
      </c>
    </row>
    <row r="2197" spans="1:10" x14ac:dyDescent="0.35">
      <c r="A2197" t="s">
        <v>2197</v>
      </c>
      <c r="B2197">
        <v>39.5</v>
      </c>
      <c r="C2197">
        <v>5.05</v>
      </c>
      <c r="D2197" t="s">
        <v>2344</v>
      </c>
      <c r="E2197" t="s">
        <v>2345</v>
      </c>
      <c r="F2197" t="s">
        <v>2344</v>
      </c>
      <c r="G2197">
        <v>1</v>
      </c>
      <c r="H2197" t="s">
        <v>2344</v>
      </c>
      <c r="I2197" t="str">
        <f t="shared" si="69"/>
        <v>Obesity</v>
      </c>
      <c r="J2197" t="str">
        <f t="shared" si="70"/>
        <v>Normal</v>
      </c>
    </row>
    <row r="2198" spans="1:10" x14ac:dyDescent="0.35">
      <c r="A2198" t="s">
        <v>2198</v>
      </c>
      <c r="B2198">
        <v>33.770000000000003</v>
      </c>
      <c r="C2198" t="s">
        <v>2346</v>
      </c>
      <c r="D2198" t="s">
        <v>2344</v>
      </c>
      <c r="E2198" t="s">
        <v>2345</v>
      </c>
      <c r="F2198" t="s">
        <v>2344</v>
      </c>
      <c r="G2198">
        <v>1</v>
      </c>
      <c r="H2198" t="s">
        <v>2344</v>
      </c>
      <c r="I2198" t="str">
        <f t="shared" si="69"/>
        <v>Obesity</v>
      </c>
      <c r="J2198" t="str">
        <f t="shared" si="70"/>
        <v>Diabetes</v>
      </c>
    </row>
    <row r="2199" spans="1:10" x14ac:dyDescent="0.35">
      <c r="A2199" t="s">
        <v>2199</v>
      </c>
      <c r="B2199">
        <v>26.84</v>
      </c>
      <c r="C2199">
        <v>5.99</v>
      </c>
      <c r="D2199" t="s">
        <v>2346</v>
      </c>
      <c r="E2199" t="s">
        <v>2345</v>
      </c>
      <c r="F2199" t="s">
        <v>2344</v>
      </c>
      <c r="G2199">
        <v>1</v>
      </c>
      <c r="H2199" t="s">
        <v>2344</v>
      </c>
      <c r="I2199" t="str">
        <f t="shared" si="69"/>
        <v>Over weight</v>
      </c>
      <c r="J2199" t="str">
        <f t="shared" si="70"/>
        <v>Prediabetes</v>
      </c>
    </row>
    <row r="2200" spans="1:10" x14ac:dyDescent="0.35">
      <c r="A2200" t="s">
        <v>2200</v>
      </c>
      <c r="B2200">
        <v>35.53</v>
      </c>
      <c r="C2200">
        <v>4.3600000000000003</v>
      </c>
      <c r="D2200" t="s">
        <v>2344</v>
      </c>
      <c r="E2200" t="s">
        <v>2344</v>
      </c>
      <c r="F2200" t="s">
        <v>2346</v>
      </c>
      <c r="G2200">
        <v>1</v>
      </c>
      <c r="H2200" t="s">
        <v>2344</v>
      </c>
      <c r="I2200" t="str">
        <f t="shared" si="69"/>
        <v>Obesity</v>
      </c>
      <c r="J2200" t="str">
        <f t="shared" si="70"/>
        <v>Normal</v>
      </c>
    </row>
    <row r="2201" spans="1:10" x14ac:dyDescent="0.35">
      <c r="A2201" t="s">
        <v>2201</v>
      </c>
      <c r="B2201">
        <v>30.59</v>
      </c>
      <c r="C2201">
        <v>4.41</v>
      </c>
      <c r="D2201" t="s">
        <v>2344</v>
      </c>
      <c r="E2201" t="s">
        <v>2344</v>
      </c>
      <c r="F2201" t="s">
        <v>2346</v>
      </c>
      <c r="G2201">
        <v>1</v>
      </c>
      <c r="H2201" t="s">
        <v>2344</v>
      </c>
      <c r="I2201" t="str">
        <f t="shared" si="69"/>
        <v>Obesity</v>
      </c>
      <c r="J2201" t="str">
        <f t="shared" si="70"/>
        <v>Normal</v>
      </c>
    </row>
    <row r="2202" spans="1:10" x14ac:dyDescent="0.35">
      <c r="A2202" t="s">
        <v>2202</v>
      </c>
      <c r="B2202">
        <v>30.59</v>
      </c>
      <c r="C2202">
        <v>4.17</v>
      </c>
      <c r="D2202" t="s">
        <v>2344</v>
      </c>
      <c r="E2202" t="s">
        <v>2344</v>
      </c>
      <c r="F2202" t="s">
        <v>2346</v>
      </c>
      <c r="G2202">
        <v>1</v>
      </c>
      <c r="H2202" t="s">
        <v>2344</v>
      </c>
      <c r="I2202" t="str">
        <f t="shared" si="69"/>
        <v>Obesity</v>
      </c>
      <c r="J2202" t="str">
        <f t="shared" si="70"/>
        <v>Normal</v>
      </c>
    </row>
    <row r="2203" spans="1:10" x14ac:dyDescent="0.35">
      <c r="A2203" t="s">
        <v>2203</v>
      </c>
      <c r="B2203">
        <v>27.835000000000001</v>
      </c>
      <c r="C2203">
        <v>4.4400000000000004</v>
      </c>
      <c r="D2203" t="s">
        <v>2344</v>
      </c>
      <c r="E2203" t="s">
        <v>2344</v>
      </c>
      <c r="F2203" t="s">
        <v>2346</v>
      </c>
      <c r="G2203">
        <v>1</v>
      </c>
      <c r="H2203" t="s">
        <v>2344</v>
      </c>
      <c r="I2203" t="str">
        <f t="shared" si="69"/>
        <v>Over weight</v>
      </c>
      <c r="J2203" t="str">
        <f t="shared" si="70"/>
        <v>Normal</v>
      </c>
    </row>
    <row r="2204" spans="1:10" x14ac:dyDescent="0.35">
      <c r="A2204" t="s">
        <v>2204</v>
      </c>
      <c r="B2204">
        <v>40.26</v>
      </c>
      <c r="C2204">
        <v>5.52</v>
      </c>
      <c r="D2204" t="s">
        <v>2344</v>
      </c>
      <c r="E2204" t="s">
        <v>2345</v>
      </c>
      <c r="F2204" t="s">
        <v>2344</v>
      </c>
      <c r="G2204">
        <v>1</v>
      </c>
      <c r="H2204" t="s">
        <v>2344</v>
      </c>
      <c r="I2204" t="str">
        <f t="shared" si="69"/>
        <v>Obesity</v>
      </c>
      <c r="J2204" t="str">
        <f t="shared" si="70"/>
        <v>Normal</v>
      </c>
    </row>
    <row r="2205" spans="1:10" x14ac:dyDescent="0.35">
      <c r="A2205" t="s">
        <v>2205</v>
      </c>
      <c r="B2205">
        <v>39.82</v>
      </c>
      <c r="C2205">
        <v>6.01</v>
      </c>
      <c r="D2205" t="s">
        <v>2344</v>
      </c>
      <c r="E2205" t="s">
        <v>2345</v>
      </c>
      <c r="F2205" t="s">
        <v>2344</v>
      </c>
      <c r="G2205">
        <v>1</v>
      </c>
      <c r="H2205" t="s">
        <v>2344</v>
      </c>
      <c r="I2205" t="str">
        <f t="shared" si="69"/>
        <v>Obesity</v>
      </c>
      <c r="J2205" t="str">
        <f t="shared" si="70"/>
        <v>Prediabetes</v>
      </c>
    </row>
    <row r="2206" spans="1:10" x14ac:dyDescent="0.35">
      <c r="A2206" t="s">
        <v>2206</v>
      </c>
      <c r="B2206">
        <v>39.159999999999997</v>
      </c>
      <c r="C2206">
        <v>5.81</v>
      </c>
      <c r="D2206" t="s">
        <v>2344</v>
      </c>
      <c r="E2206" t="s">
        <v>2345</v>
      </c>
      <c r="F2206" t="s">
        <v>2344</v>
      </c>
      <c r="G2206">
        <v>1</v>
      </c>
      <c r="H2206" t="s">
        <v>2344</v>
      </c>
      <c r="I2206" t="str">
        <f t="shared" si="69"/>
        <v>Obesity</v>
      </c>
      <c r="J2206" t="str">
        <f t="shared" si="70"/>
        <v>Prediabetes</v>
      </c>
    </row>
    <row r="2207" spans="1:10" x14ac:dyDescent="0.35">
      <c r="A2207" t="s">
        <v>2207</v>
      </c>
      <c r="B2207">
        <v>25.555</v>
      </c>
      <c r="C2207">
        <v>4.37</v>
      </c>
      <c r="D2207" t="s">
        <v>2344</v>
      </c>
      <c r="E2207" t="s">
        <v>2344</v>
      </c>
      <c r="F2207" t="s">
        <v>2346</v>
      </c>
      <c r="G2207">
        <v>1</v>
      </c>
      <c r="H2207" t="s">
        <v>2344</v>
      </c>
      <c r="I2207" t="str">
        <f t="shared" si="69"/>
        <v>Over weight</v>
      </c>
      <c r="J2207" t="str">
        <f t="shared" si="70"/>
        <v>Normal</v>
      </c>
    </row>
    <row r="2208" spans="1:10" x14ac:dyDescent="0.35">
      <c r="A2208" t="s">
        <v>2208</v>
      </c>
      <c r="B2208">
        <v>25.175000000000001</v>
      </c>
      <c r="C2208">
        <v>5.74</v>
      </c>
      <c r="D2208" t="s">
        <v>2344</v>
      </c>
      <c r="E2208" t="s">
        <v>2344</v>
      </c>
      <c r="F2208" t="s">
        <v>2346</v>
      </c>
      <c r="G2208">
        <v>1</v>
      </c>
      <c r="H2208" t="s">
        <v>2344</v>
      </c>
      <c r="I2208" t="str">
        <f t="shared" si="69"/>
        <v>Over weight</v>
      </c>
      <c r="J2208" t="str">
        <f t="shared" si="70"/>
        <v>Prediabetes</v>
      </c>
    </row>
    <row r="2209" spans="1:10" x14ac:dyDescent="0.35">
      <c r="A2209" t="s">
        <v>2209</v>
      </c>
      <c r="B2209">
        <v>38.28</v>
      </c>
      <c r="C2209">
        <v>5.39</v>
      </c>
      <c r="D2209" t="s">
        <v>2344</v>
      </c>
      <c r="E2209" t="s">
        <v>2345</v>
      </c>
      <c r="F2209" t="s">
        <v>2344</v>
      </c>
      <c r="G2209">
        <v>1</v>
      </c>
      <c r="H2209" t="s">
        <v>2344</v>
      </c>
      <c r="I2209" t="str">
        <f t="shared" si="69"/>
        <v>Obesity</v>
      </c>
      <c r="J2209" t="str">
        <f t="shared" si="70"/>
        <v>Normal</v>
      </c>
    </row>
    <row r="2210" spans="1:10" x14ac:dyDescent="0.35">
      <c r="A2210" t="s">
        <v>2210</v>
      </c>
      <c r="B2210">
        <v>38.17</v>
      </c>
      <c r="C2210">
        <v>4.07</v>
      </c>
      <c r="D2210" t="s">
        <v>2344</v>
      </c>
      <c r="E2210" t="s">
        <v>2345</v>
      </c>
      <c r="F2210" t="s">
        <v>2344</v>
      </c>
      <c r="G2210">
        <v>1</v>
      </c>
      <c r="H2210" t="s">
        <v>2344</v>
      </c>
      <c r="I2210" t="str">
        <f t="shared" si="69"/>
        <v>Obesity</v>
      </c>
      <c r="J2210" t="str">
        <f t="shared" si="70"/>
        <v>Normal</v>
      </c>
    </row>
    <row r="2211" spans="1:10" x14ac:dyDescent="0.35">
      <c r="A2211" t="s">
        <v>2211</v>
      </c>
      <c r="B2211">
        <v>36.85</v>
      </c>
      <c r="C2211">
        <v>5.49</v>
      </c>
      <c r="D2211" t="s">
        <v>2344</v>
      </c>
      <c r="E2211" t="s">
        <v>2345</v>
      </c>
      <c r="F2211" t="s">
        <v>2344</v>
      </c>
      <c r="G2211">
        <v>1</v>
      </c>
      <c r="H2211" t="s">
        <v>2344</v>
      </c>
      <c r="I2211" t="str">
        <f t="shared" si="69"/>
        <v>Obesity</v>
      </c>
      <c r="J2211" t="str">
        <f t="shared" si="70"/>
        <v>Normal</v>
      </c>
    </row>
    <row r="2212" spans="1:10" x14ac:dyDescent="0.35">
      <c r="A2212" t="s">
        <v>2212</v>
      </c>
      <c r="B2212">
        <v>22.61</v>
      </c>
      <c r="C2212">
        <v>5.68</v>
      </c>
      <c r="D2212" t="s">
        <v>2344</v>
      </c>
      <c r="E2212" t="s">
        <v>2344</v>
      </c>
      <c r="F2212" t="s">
        <v>2346</v>
      </c>
      <c r="G2212">
        <v>1</v>
      </c>
      <c r="H2212" t="s">
        <v>2344</v>
      </c>
      <c r="I2212" t="str">
        <f t="shared" si="69"/>
        <v>Normal Weight</v>
      </c>
      <c r="J2212" t="str">
        <f t="shared" si="70"/>
        <v>Normal</v>
      </c>
    </row>
    <row r="2213" spans="1:10" x14ac:dyDescent="0.35">
      <c r="A2213" t="s">
        <v>2213</v>
      </c>
      <c r="B2213">
        <v>21.754999999999999</v>
      </c>
      <c r="C2213">
        <v>6.09</v>
      </c>
      <c r="D2213" t="s">
        <v>2344</v>
      </c>
      <c r="E2213" t="s">
        <v>2344</v>
      </c>
      <c r="F2213" t="s">
        <v>2346</v>
      </c>
      <c r="G2213">
        <v>1</v>
      </c>
      <c r="H2213" t="s">
        <v>2344</v>
      </c>
      <c r="I2213" t="str">
        <f t="shared" si="69"/>
        <v>Normal Weight</v>
      </c>
      <c r="J2213" t="str">
        <f t="shared" si="70"/>
        <v>Prediabetes</v>
      </c>
    </row>
    <row r="2214" spans="1:10" x14ac:dyDescent="0.35">
      <c r="A2214" t="s">
        <v>2214</v>
      </c>
      <c r="B2214">
        <v>20.425000000000001</v>
      </c>
      <c r="C2214">
        <v>5.53</v>
      </c>
      <c r="D2214" t="s">
        <v>2344</v>
      </c>
      <c r="E2214" t="s">
        <v>2344</v>
      </c>
      <c r="F2214" t="s">
        <v>2346</v>
      </c>
      <c r="G2214">
        <v>1</v>
      </c>
      <c r="H2214" t="s">
        <v>2344</v>
      </c>
      <c r="I2214" t="str">
        <f t="shared" si="69"/>
        <v>Normal Weight</v>
      </c>
      <c r="J2214" t="str">
        <f t="shared" si="70"/>
        <v>Normal</v>
      </c>
    </row>
    <row r="2215" spans="1:10" x14ac:dyDescent="0.35">
      <c r="A2215" t="s">
        <v>2215</v>
      </c>
      <c r="B2215">
        <v>31.35</v>
      </c>
      <c r="C2215">
        <v>4.28</v>
      </c>
      <c r="D2215" t="s">
        <v>2344</v>
      </c>
      <c r="E2215" t="s">
        <v>2345</v>
      </c>
      <c r="F2215" t="s">
        <v>2344</v>
      </c>
      <c r="G2215">
        <v>1</v>
      </c>
      <c r="H2215" t="s">
        <v>2344</v>
      </c>
      <c r="I2215" t="str">
        <f t="shared" si="69"/>
        <v>Obesity</v>
      </c>
      <c r="J2215" t="str">
        <f t="shared" si="70"/>
        <v>Normal</v>
      </c>
    </row>
    <row r="2216" spans="1:10" x14ac:dyDescent="0.35">
      <c r="A2216" t="s">
        <v>2216</v>
      </c>
      <c r="B2216">
        <v>31.13</v>
      </c>
      <c r="C2216">
        <v>6.01</v>
      </c>
      <c r="D2216" t="s">
        <v>2344</v>
      </c>
      <c r="E2216" t="s">
        <v>2345</v>
      </c>
      <c r="F2216" t="s">
        <v>2344</v>
      </c>
      <c r="G2216">
        <v>1</v>
      </c>
      <c r="H2216" t="s">
        <v>2344</v>
      </c>
      <c r="I2216" t="str">
        <f t="shared" si="69"/>
        <v>Obesity</v>
      </c>
      <c r="J2216" t="str">
        <f t="shared" si="70"/>
        <v>Prediabetes</v>
      </c>
    </row>
    <row r="2217" spans="1:10" x14ac:dyDescent="0.35">
      <c r="A2217" t="s">
        <v>2217</v>
      </c>
      <c r="B2217">
        <v>17.48</v>
      </c>
      <c r="C2217">
        <v>4.59</v>
      </c>
      <c r="D2217" t="s">
        <v>2344</v>
      </c>
      <c r="E2217" t="s">
        <v>2344</v>
      </c>
      <c r="F2217" t="s">
        <v>2346</v>
      </c>
      <c r="G2217">
        <v>1</v>
      </c>
      <c r="H2217" t="s">
        <v>2344</v>
      </c>
      <c r="I2217" t="str">
        <f t="shared" si="69"/>
        <v>Under Weight</v>
      </c>
      <c r="J2217" t="str">
        <f t="shared" si="70"/>
        <v>Normal</v>
      </c>
    </row>
    <row r="2218" spans="1:10" x14ac:dyDescent="0.35">
      <c r="A2218" t="s">
        <v>2218</v>
      </c>
      <c r="B2218">
        <v>22.57</v>
      </c>
      <c r="C2218">
        <v>5.8</v>
      </c>
      <c r="D2218" t="s">
        <v>2346</v>
      </c>
      <c r="E2218" t="s">
        <v>2344</v>
      </c>
      <c r="F2218" t="s">
        <v>2344</v>
      </c>
      <c r="G2218">
        <v>1</v>
      </c>
      <c r="H2218" t="s">
        <v>2344</v>
      </c>
      <c r="I2218" t="str">
        <f t="shared" si="69"/>
        <v>Normal Weight</v>
      </c>
      <c r="J2218" t="str">
        <f t="shared" si="70"/>
        <v>Prediabetes</v>
      </c>
    </row>
    <row r="2219" spans="1:10" x14ac:dyDescent="0.35">
      <c r="A2219" t="s">
        <v>2219</v>
      </c>
      <c r="B2219">
        <v>26.73</v>
      </c>
      <c r="C2219">
        <v>5.08</v>
      </c>
      <c r="D2219" t="s">
        <v>2344</v>
      </c>
      <c r="E2219" t="s">
        <v>2345</v>
      </c>
      <c r="F2219" t="s">
        <v>2344</v>
      </c>
      <c r="G2219">
        <v>1</v>
      </c>
      <c r="H2219" t="s">
        <v>2344</v>
      </c>
      <c r="I2219" t="str">
        <f t="shared" si="69"/>
        <v>Over weight</v>
      </c>
      <c r="J2219" t="str">
        <f t="shared" si="70"/>
        <v>Normal</v>
      </c>
    </row>
    <row r="2220" spans="1:10" x14ac:dyDescent="0.35">
      <c r="A2220" t="s">
        <v>2220</v>
      </c>
      <c r="B2220">
        <v>20.79</v>
      </c>
      <c r="C2220">
        <v>5.84</v>
      </c>
      <c r="D2220" t="s">
        <v>2344</v>
      </c>
      <c r="E2220" t="s">
        <v>2345</v>
      </c>
      <c r="F2220" t="s">
        <v>2344</v>
      </c>
      <c r="G2220">
        <v>1</v>
      </c>
      <c r="H2220" t="s">
        <v>2344</v>
      </c>
      <c r="I2220" t="str">
        <f t="shared" si="69"/>
        <v>Normal Weight</v>
      </c>
      <c r="J2220" t="str">
        <f t="shared" si="70"/>
        <v>Prediabetes</v>
      </c>
    </row>
    <row r="2221" spans="1:10" x14ac:dyDescent="0.35">
      <c r="A2221" t="s">
        <v>2221</v>
      </c>
      <c r="B2221">
        <v>20.149999999999999</v>
      </c>
      <c r="C2221">
        <v>4.1500000000000004</v>
      </c>
      <c r="D2221" t="s">
        <v>2344</v>
      </c>
      <c r="E2221" t="s">
        <v>2344</v>
      </c>
      <c r="F2221" t="s">
        <v>2344</v>
      </c>
      <c r="G2221">
        <v>1</v>
      </c>
      <c r="H2221" t="s">
        <v>2344</v>
      </c>
      <c r="I2221" t="str">
        <f t="shared" si="69"/>
        <v>Normal Weight</v>
      </c>
      <c r="J2221" t="str">
        <f t="shared" si="70"/>
        <v>Normal</v>
      </c>
    </row>
    <row r="2222" spans="1:10" x14ac:dyDescent="0.35">
      <c r="A2222" t="s">
        <v>2222</v>
      </c>
      <c r="B2222">
        <v>36.85</v>
      </c>
      <c r="C2222">
        <v>4.3600000000000003</v>
      </c>
      <c r="D2222" t="s">
        <v>2346</v>
      </c>
      <c r="E2222" t="s">
        <v>2344</v>
      </c>
      <c r="F2222" t="s">
        <v>2344</v>
      </c>
      <c r="G2222">
        <v>0</v>
      </c>
      <c r="H2222" t="s">
        <v>2344</v>
      </c>
      <c r="I2222" t="str">
        <f t="shared" si="69"/>
        <v>Obesity</v>
      </c>
      <c r="J2222" t="str">
        <f t="shared" si="70"/>
        <v>Normal</v>
      </c>
    </row>
    <row r="2223" spans="1:10" x14ac:dyDescent="0.35">
      <c r="A2223" t="s">
        <v>2223</v>
      </c>
      <c r="B2223">
        <v>35.53</v>
      </c>
      <c r="C2223">
        <v>4.55</v>
      </c>
      <c r="D2223" t="s">
        <v>2346</v>
      </c>
      <c r="E2223" t="s">
        <v>2344</v>
      </c>
      <c r="F2223" t="s">
        <v>2344</v>
      </c>
      <c r="G2223">
        <v>0</v>
      </c>
      <c r="H2223" t="s">
        <v>2344</v>
      </c>
      <c r="I2223" t="str">
        <f t="shared" si="69"/>
        <v>Obesity</v>
      </c>
      <c r="J2223" t="str">
        <f t="shared" si="70"/>
        <v>Normal</v>
      </c>
    </row>
    <row r="2224" spans="1:10" x14ac:dyDescent="0.35">
      <c r="A2224" t="s">
        <v>2224</v>
      </c>
      <c r="B2224">
        <v>31.1</v>
      </c>
      <c r="C2224">
        <v>4.37</v>
      </c>
      <c r="D2224" t="s">
        <v>2346</v>
      </c>
      <c r="E2224" t="s">
        <v>2344</v>
      </c>
      <c r="F2224" t="s">
        <v>2344</v>
      </c>
      <c r="G2224">
        <v>0</v>
      </c>
      <c r="H2224" t="s">
        <v>2344</v>
      </c>
      <c r="I2224" t="str">
        <f t="shared" si="69"/>
        <v>Obesity</v>
      </c>
      <c r="J2224" t="str">
        <f t="shared" si="70"/>
        <v>Normal</v>
      </c>
    </row>
    <row r="2225" spans="1:10" x14ac:dyDescent="0.35">
      <c r="A2225" t="s">
        <v>2225</v>
      </c>
      <c r="B2225">
        <v>23.21</v>
      </c>
      <c r="C2225">
        <v>5.24</v>
      </c>
      <c r="D2225" t="s">
        <v>2346</v>
      </c>
      <c r="E2225" t="s">
        <v>2344</v>
      </c>
      <c r="F2225" t="s">
        <v>2344</v>
      </c>
      <c r="G2225">
        <v>0</v>
      </c>
      <c r="H2225" t="s">
        <v>2344</v>
      </c>
      <c r="I2225" t="str">
        <f t="shared" si="69"/>
        <v>Normal Weight</v>
      </c>
      <c r="J2225" t="str">
        <f t="shared" si="70"/>
        <v>Normal</v>
      </c>
    </row>
    <row r="2226" spans="1:10" x14ac:dyDescent="0.35">
      <c r="A2226" t="s">
        <v>2226</v>
      </c>
      <c r="B2226">
        <v>18.36</v>
      </c>
      <c r="C2226">
        <v>5.96</v>
      </c>
      <c r="D2226" t="s">
        <v>2344</v>
      </c>
      <c r="E2226" t="s">
        <v>2344</v>
      </c>
      <c r="F2226" t="s">
        <v>2344</v>
      </c>
      <c r="G2226">
        <v>1</v>
      </c>
      <c r="H2226" t="s">
        <v>2344</v>
      </c>
      <c r="I2226" t="str">
        <f t="shared" si="69"/>
        <v>Under Weight</v>
      </c>
      <c r="J2226" t="str">
        <f t="shared" si="70"/>
        <v>Prediabetes</v>
      </c>
    </row>
    <row r="2227" spans="1:10" x14ac:dyDescent="0.35">
      <c r="A2227" t="s">
        <v>2227</v>
      </c>
      <c r="B2227">
        <v>15.92</v>
      </c>
      <c r="C2227">
        <v>4.76</v>
      </c>
      <c r="D2227" t="s">
        <v>2346</v>
      </c>
      <c r="E2227" t="s">
        <v>2344</v>
      </c>
      <c r="F2227" t="s">
        <v>2344</v>
      </c>
      <c r="G2227">
        <v>1</v>
      </c>
      <c r="H2227" t="s">
        <v>2344</v>
      </c>
      <c r="I2227" t="str">
        <f t="shared" si="69"/>
        <v>Under Weight</v>
      </c>
      <c r="J2227" t="str">
        <f t="shared" si="70"/>
        <v>Normal</v>
      </c>
    </row>
    <row r="2228" spans="1:10" x14ac:dyDescent="0.35">
      <c r="A2228" t="s">
        <v>2228</v>
      </c>
      <c r="B2228">
        <v>15.17</v>
      </c>
      <c r="C2228">
        <v>4.3</v>
      </c>
      <c r="D2228" t="s">
        <v>2346</v>
      </c>
      <c r="E2228" t="s">
        <v>2344</v>
      </c>
      <c r="F2228" t="s">
        <v>2346</v>
      </c>
      <c r="G2228">
        <v>1</v>
      </c>
      <c r="H2228" t="s">
        <v>2344</v>
      </c>
      <c r="I2228" t="str">
        <f t="shared" si="69"/>
        <v>Under Weight</v>
      </c>
      <c r="J2228" t="str">
        <f t="shared" si="70"/>
        <v>Normal</v>
      </c>
    </row>
    <row r="2229" spans="1:10" x14ac:dyDescent="0.35">
      <c r="A2229" t="s">
        <v>2229</v>
      </c>
      <c r="B2229">
        <v>16.63</v>
      </c>
      <c r="C2229">
        <v>4.5</v>
      </c>
      <c r="D2229" t="s">
        <v>2344</v>
      </c>
      <c r="E2229" t="s">
        <v>2344</v>
      </c>
      <c r="F2229" t="s">
        <v>2344</v>
      </c>
      <c r="G2229">
        <v>1</v>
      </c>
      <c r="H2229" t="s">
        <v>2344</v>
      </c>
      <c r="I2229" t="str">
        <f t="shared" si="69"/>
        <v>Under Weight</v>
      </c>
      <c r="J2229" t="str">
        <f t="shared" si="70"/>
        <v>Normal</v>
      </c>
    </row>
    <row r="2230" spans="1:10" x14ac:dyDescent="0.35">
      <c r="A2230" t="s">
        <v>2230</v>
      </c>
      <c r="B2230">
        <v>19.39</v>
      </c>
      <c r="C2230">
        <v>5.59</v>
      </c>
      <c r="D2230" t="s">
        <v>2344</v>
      </c>
      <c r="E2230" t="s">
        <v>2344</v>
      </c>
      <c r="F2230" t="s">
        <v>2346</v>
      </c>
      <c r="G2230">
        <v>1</v>
      </c>
      <c r="H2230" t="s">
        <v>2344</v>
      </c>
      <c r="I2230" t="str">
        <f t="shared" si="69"/>
        <v>Normal Weight</v>
      </c>
      <c r="J2230" t="str">
        <f t="shared" si="70"/>
        <v>Normal</v>
      </c>
    </row>
    <row r="2231" spans="1:10" x14ac:dyDescent="0.35">
      <c r="A2231" t="s">
        <v>2231</v>
      </c>
      <c r="B2231">
        <v>17.34</v>
      </c>
      <c r="C2231">
        <v>6.29</v>
      </c>
      <c r="D2231" t="s">
        <v>2346</v>
      </c>
      <c r="E2231" t="s">
        <v>2344</v>
      </c>
      <c r="F2231" t="s">
        <v>2346</v>
      </c>
      <c r="G2231">
        <v>1</v>
      </c>
      <c r="H2231" t="s">
        <v>2344</v>
      </c>
      <c r="I2231" t="str">
        <f t="shared" si="69"/>
        <v>Under Weight</v>
      </c>
      <c r="J2231" t="str">
        <f t="shared" si="70"/>
        <v>Prediabetes</v>
      </c>
    </row>
    <row r="2232" spans="1:10" x14ac:dyDescent="0.35">
      <c r="A2232" t="s">
        <v>2232</v>
      </c>
      <c r="B2232">
        <v>17.940000000000001</v>
      </c>
      <c r="C2232">
        <v>4.1900000000000004</v>
      </c>
      <c r="D2232" t="s">
        <v>2344</v>
      </c>
      <c r="E2232" t="s">
        <v>2345</v>
      </c>
      <c r="F2232" t="s">
        <v>2344</v>
      </c>
      <c r="G2232">
        <v>1</v>
      </c>
      <c r="H2232" t="s">
        <v>2344</v>
      </c>
      <c r="I2232" t="str">
        <f t="shared" si="69"/>
        <v>Under Weight</v>
      </c>
      <c r="J2232" t="str">
        <f t="shared" si="70"/>
        <v>Normal</v>
      </c>
    </row>
    <row r="2233" spans="1:10" x14ac:dyDescent="0.35">
      <c r="A2233" t="s">
        <v>2233</v>
      </c>
      <c r="B2233">
        <v>16.670000000000002</v>
      </c>
      <c r="C2233">
        <v>4.7</v>
      </c>
      <c r="D2233" t="s">
        <v>2346</v>
      </c>
      <c r="E2233" t="s">
        <v>2344</v>
      </c>
      <c r="F2233" t="s">
        <v>2346</v>
      </c>
      <c r="G2233">
        <v>1</v>
      </c>
      <c r="H2233" t="s">
        <v>2344</v>
      </c>
      <c r="I2233" t="str">
        <f t="shared" si="69"/>
        <v>Under Weight</v>
      </c>
      <c r="J2233" t="str">
        <f t="shared" si="70"/>
        <v>Normal</v>
      </c>
    </row>
    <row r="2234" spans="1:10" x14ac:dyDescent="0.35">
      <c r="A2234" t="s">
        <v>2234</v>
      </c>
      <c r="B2234">
        <v>20.58</v>
      </c>
      <c r="C2234">
        <v>5.64</v>
      </c>
      <c r="D2234" t="s">
        <v>2346</v>
      </c>
      <c r="E2234" t="s">
        <v>2344</v>
      </c>
      <c r="F2234" t="s">
        <v>2344</v>
      </c>
      <c r="G2234">
        <v>0</v>
      </c>
      <c r="H2234" t="s">
        <v>2344</v>
      </c>
      <c r="I2234" t="str">
        <f t="shared" si="69"/>
        <v>Normal Weight</v>
      </c>
      <c r="J2234" t="str">
        <f t="shared" si="70"/>
        <v>Normal</v>
      </c>
    </row>
    <row r="2235" spans="1:10" x14ac:dyDescent="0.35">
      <c r="A2235" t="s">
        <v>2235</v>
      </c>
      <c r="B2235">
        <v>16.5</v>
      </c>
      <c r="C2235">
        <v>4.1100000000000003</v>
      </c>
      <c r="D2235" t="s">
        <v>2346</v>
      </c>
      <c r="E2235" t="s">
        <v>2344</v>
      </c>
      <c r="F2235" t="s">
        <v>2344</v>
      </c>
      <c r="G2235">
        <v>0</v>
      </c>
      <c r="H2235" t="s">
        <v>2344</v>
      </c>
      <c r="I2235" t="str">
        <f t="shared" si="69"/>
        <v>Under Weight</v>
      </c>
      <c r="J2235" t="str">
        <f t="shared" si="70"/>
        <v>Normal</v>
      </c>
    </row>
    <row r="2236" spans="1:10" x14ac:dyDescent="0.35">
      <c r="A2236" t="s">
        <v>2236</v>
      </c>
      <c r="B2236">
        <v>15.41</v>
      </c>
      <c r="C2236">
        <v>5.43</v>
      </c>
      <c r="D2236" t="s">
        <v>2346</v>
      </c>
      <c r="E2236" t="s">
        <v>2344</v>
      </c>
      <c r="F2236" t="s">
        <v>2346</v>
      </c>
      <c r="G2236">
        <v>1</v>
      </c>
      <c r="H2236" t="s">
        <v>2344</v>
      </c>
      <c r="I2236" t="str">
        <f t="shared" si="69"/>
        <v>Under Weight</v>
      </c>
      <c r="J2236" t="str">
        <f t="shared" si="70"/>
        <v>Normal</v>
      </c>
    </row>
    <row r="2237" spans="1:10" x14ac:dyDescent="0.35">
      <c r="A2237" t="s">
        <v>2237</v>
      </c>
      <c r="B2237">
        <v>24.59</v>
      </c>
      <c r="C2237">
        <v>4.38</v>
      </c>
      <c r="D2237" t="s">
        <v>2344</v>
      </c>
      <c r="E2237" t="s">
        <v>2344</v>
      </c>
      <c r="F2237" t="s">
        <v>2344</v>
      </c>
      <c r="G2237">
        <v>1</v>
      </c>
      <c r="H2237" t="s">
        <v>2344</v>
      </c>
      <c r="I2237" t="str">
        <f t="shared" si="69"/>
        <v>Normal Weight</v>
      </c>
      <c r="J2237" t="str">
        <f t="shared" si="70"/>
        <v>Normal</v>
      </c>
    </row>
    <row r="2238" spans="1:10" x14ac:dyDescent="0.35">
      <c r="A2238" t="s">
        <v>2238</v>
      </c>
      <c r="B2238">
        <v>33.33</v>
      </c>
      <c r="C2238">
        <v>9.7899999999999991</v>
      </c>
      <c r="D2238" t="s">
        <v>2344</v>
      </c>
      <c r="E2238" t="s">
        <v>2344</v>
      </c>
      <c r="F2238" t="s">
        <v>2344</v>
      </c>
      <c r="G2238">
        <v>0</v>
      </c>
      <c r="H2238" t="s">
        <v>2344</v>
      </c>
      <c r="I2238" t="str">
        <f t="shared" si="69"/>
        <v>Obesity</v>
      </c>
      <c r="J2238" t="str">
        <f t="shared" si="70"/>
        <v>Diabetes</v>
      </c>
    </row>
    <row r="2239" spans="1:10" x14ac:dyDescent="0.35">
      <c r="A2239" t="s">
        <v>2239</v>
      </c>
      <c r="B2239">
        <v>18.5</v>
      </c>
      <c r="C2239">
        <v>11.84</v>
      </c>
      <c r="D2239" t="s">
        <v>2344</v>
      </c>
      <c r="E2239" t="s">
        <v>2344</v>
      </c>
      <c r="F2239" t="s">
        <v>2344</v>
      </c>
      <c r="G2239">
        <v>0</v>
      </c>
      <c r="H2239" t="s">
        <v>2344</v>
      </c>
      <c r="I2239" t="str">
        <f t="shared" si="69"/>
        <v>Normal Weight</v>
      </c>
      <c r="J2239" t="str">
        <f t="shared" si="70"/>
        <v>Diabetes</v>
      </c>
    </row>
    <row r="2240" spans="1:10" x14ac:dyDescent="0.35">
      <c r="A2240" t="s">
        <v>2240</v>
      </c>
      <c r="B2240">
        <v>18.579999999999998</v>
      </c>
      <c r="C2240">
        <v>6.22</v>
      </c>
      <c r="D2240" t="s">
        <v>2344</v>
      </c>
      <c r="E2240" t="s">
        <v>2344</v>
      </c>
      <c r="F2240" t="s">
        <v>2344</v>
      </c>
      <c r="G2240">
        <v>0</v>
      </c>
      <c r="H2240" t="s">
        <v>2344</v>
      </c>
      <c r="I2240" t="str">
        <f t="shared" si="69"/>
        <v>Normal Weight</v>
      </c>
      <c r="J2240" t="str">
        <f t="shared" si="70"/>
        <v>Prediabetes</v>
      </c>
    </row>
    <row r="2241" spans="1:10" x14ac:dyDescent="0.35">
      <c r="A2241" t="s">
        <v>2241</v>
      </c>
      <c r="B2241">
        <v>16.64</v>
      </c>
      <c r="C2241">
        <v>10.01</v>
      </c>
      <c r="D2241" t="s">
        <v>2344</v>
      </c>
      <c r="E2241" t="s">
        <v>2344</v>
      </c>
      <c r="F2241" t="s">
        <v>2344</v>
      </c>
      <c r="G2241">
        <v>0</v>
      </c>
      <c r="H2241" t="s">
        <v>2344</v>
      </c>
      <c r="I2241" t="str">
        <f t="shared" si="69"/>
        <v>Under Weight</v>
      </c>
      <c r="J2241" t="str">
        <f t="shared" si="70"/>
        <v>Diabetes</v>
      </c>
    </row>
    <row r="2242" spans="1:10" x14ac:dyDescent="0.35">
      <c r="A2242" t="s">
        <v>2242</v>
      </c>
      <c r="B2242">
        <v>19.329999999999998</v>
      </c>
      <c r="C2242">
        <v>4.32</v>
      </c>
      <c r="D2242" t="s">
        <v>2344</v>
      </c>
      <c r="E2242" t="s">
        <v>2344</v>
      </c>
      <c r="F2242" t="s">
        <v>2344</v>
      </c>
      <c r="G2242">
        <v>1</v>
      </c>
      <c r="H2242" t="s">
        <v>2344</v>
      </c>
      <c r="I2242" t="str">
        <f t="shared" si="69"/>
        <v>Normal Weight</v>
      </c>
      <c r="J2242" t="str">
        <f t="shared" si="70"/>
        <v>Normal</v>
      </c>
    </row>
    <row r="2243" spans="1:10" x14ac:dyDescent="0.35">
      <c r="A2243" t="s">
        <v>2243</v>
      </c>
      <c r="B2243">
        <v>21.26</v>
      </c>
      <c r="C2243">
        <v>5.65</v>
      </c>
      <c r="D2243" t="s">
        <v>2346</v>
      </c>
      <c r="E2243" t="s">
        <v>2344</v>
      </c>
      <c r="F2243" t="s">
        <v>2346</v>
      </c>
      <c r="G2243">
        <v>1</v>
      </c>
      <c r="H2243" t="s">
        <v>2344</v>
      </c>
      <c r="I2243" t="str">
        <f t="shared" ref="I2243:I2306" si="71">IF(B2243&lt;18.5,"Under Weight",IF(B2243&lt;25,"Normal Weight",IF(B2243&lt;30,"Over weight","Obesity")))</f>
        <v>Normal Weight</v>
      </c>
      <c r="J2243" t="str">
        <f t="shared" si="70"/>
        <v>Normal</v>
      </c>
    </row>
    <row r="2244" spans="1:10" x14ac:dyDescent="0.35">
      <c r="A2244" t="s">
        <v>2244</v>
      </c>
      <c r="B2244">
        <v>15.6</v>
      </c>
      <c r="C2244">
        <v>4.12</v>
      </c>
      <c r="D2244" t="s">
        <v>2346</v>
      </c>
      <c r="E2244" t="s">
        <v>2344</v>
      </c>
      <c r="F2244" t="s">
        <v>2344</v>
      </c>
      <c r="G2244">
        <v>1</v>
      </c>
      <c r="H2244" t="s">
        <v>2344</v>
      </c>
      <c r="I2244" t="str">
        <f t="shared" si="71"/>
        <v>Under Weight</v>
      </c>
      <c r="J2244" t="str">
        <f t="shared" si="70"/>
        <v>Normal</v>
      </c>
    </row>
    <row r="2245" spans="1:10" x14ac:dyDescent="0.35">
      <c r="A2245" t="s">
        <v>2245</v>
      </c>
      <c r="B2245">
        <v>24.39</v>
      </c>
      <c r="C2245">
        <v>6.24</v>
      </c>
      <c r="D2245" t="s">
        <v>2344</v>
      </c>
      <c r="E2245" t="s">
        <v>2344</v>
      </c>
      <c r="F2245" t="s">
        <v>2344</v>
      </c>
      <c r="G2245">
        <v>1</v>
      </c>
      <c r="H2245" t="s">
        <v>2344</v>
      </c>
      <c r="I2245" t="str">
        <f t="shared" si="71"/>
        <v>Normal Weight</v>
      </c>
      <c r="J2245" t="str">
        <f t="shared" si="70"/>
        <v>Prediabetes</v>
      </c>
    </row>
    <row r="2246" spans="1:10" x14ac:dyDescent="0.35">
      <c r="A2246" t="s">
        <v>2246</v>
      </c>
      <c r="B2246">
        <v>24.75</v>
      </c>
      <c r="C2246">
        <v>4.83</v>
      </c>
      <c r="D2246" t="s">
        <v>2344</v>
      </c>
      <c r="E2246" t="s">
        <v>2344</v>
      </c>
      <c r="F2246" t="s">
        <v>2344</v>
      </c>
      <c r="G2246">
        <v>0</v>
      </c>
      <c r="H2246" t="s">
        <v>2344</v>
      </c>
      <c r="I2246" t="str">
        <f t="shared" si="71"/>
        <v>Normal Weight</v>
      </c>
      <c r="J2246" t="str">
        <f t="shared" si="70"/>
        <v>Normal</v>
      </c>
    </row>
    <row r="2247" spans="1:10" x14ac:dyDescent="0.35">
      <c r="A2247" t="s">
        <v>2247</v>
      </c>
      <c r="B2247">
        <v>20.88</v>
      </c>
      <c r="C2247">
        <v>7.4</v>
      </c>
      <c r="D2247" t="s">
        <v>2344</v>
      </c>
      <c r="E2247" t="s">
        <v>2344</v>
      </c>
      <c r="F2247" t="s">
        <v>2344</v>
      </c>
      <c r="G2247">
        <v>0</v>
      </c>
      <c r="H2247" t="s">
        <v>2344</v>
      </c>
      <c r="I2247" t="str">
        <f t="shared" si="71"/>
        <v>Normal Weight</v>
      </c>
      <c r="J2247" t="str">
        <f t="shared" si="70"/>
        <v>Diabetes</v>
      </c>
    </row>
    <row r="2248" spans="1:10" x14ac:dyDescent="0.35">
      <c r="A2248" t="s">
        <v>2248</v>
      </c>
      <c r="B2248">
        <v>20.43</v>
      </c>
      <c r="C2248">
        <v>4.54</v>
      </c>
      <c r="D2248" t="s">
        <v>2344</v>
      </c>
      <c r="E2248" t="s">
        <v>2344</v>
      </c>
      <c r="F2248" t="s">
        <v>2344</v>
      </c>
      <c r="G2248">
        <v>0</v>
      </c>
      <c r="H2248" t="s">
        <v>2344</v>
      </c>
      <c r="I2248" t="str">
        <f t="shared" si="71"/>
        <v>Normal Weight</v>
      </c>
      <c r="J2248" t="str">
        <f t="shared" si="70"/>
        <v>Normal</v>
      </c>
    </row>
    <row r="2249" spans="1:10" x14ac:dyDescent="0.35">
      <c r="A2249" t="s">
        <v>2249</v>
      </c>
      <c r="B2249">
        <v>15.18</v>
      </c>
      <c r="C2249">
        <v>11.11</v>
      </c>
      <c r="D2249" t="s">
        <v>2344</v>
      </c>
      <c r="E2249" t="s">
        <v>2344</v>
      </c>
      <c r="F2249" t="s">
        <v>2344</v>
      </c>
      <c r="G2249">
        <v>0</v>
      </c>
      <c r="H2249" t="s">
        <v>2344</v>
      </c>
      <c r="I2249" t="str">
        <f t="shared" si="71"/>
        <v>Under Weight</v>
      </c>
      <c r="J2249" t="str">
        <f t="shared" si="70"/>
        <v>Diabetes</v>
      </c>
    </row>
    <row r="2250" spans="1:10" x14ac:dyDescent="0.35">
      <c r="A2250" t="s">
        <v>2250</v>
      </c>
      <c r="B2250">
        <v>15.12</v>
      </c>
      <c r="C2250">
        <v>4.03</v>
      </c>
      <c r="D2250" t="s">
        <v>2346</v>
      </c>
      <c r="E2250" t="s">
        <v>2344</v>
      </c>
      <c r="F2250" t="s">
        <v>2344</v>
      </c>
      <c r="G2250">
        <v>0</v>
      </c>
      <c r="H2250" t="s">
        <v>2344</v>
      </c>
      <c r="I2250" t="str">
        <f t="shared" si="71"/>
        <v>Under Weight</v>
      </c>
      <c r="J2250" t="str">
        <f t="shared" si="70"/>
        <v>Normal</v>
      </c>
    </row>
    <row r="2251" spans="1:10" x14ac:dyDescent="0.35">
      <c r="A2251" t="s">
        <v>2251</v>
      </c>
      <c r="B2251">
        <v>23.88</v>
      </c>
      <c r="C2251">
        <v>4.51</v>
      </c>
      <c r="D2251" t="s">
        <v>2344</v>
      </c>
      <c r="E2251" t="s">
        <v>2344</v>
      </c>
      <c r="F2251" t="s">
        <v>2344</v>
      </c>
      <c r="G2251">
        <v>1</v>
      </c>
      <c r="H2251" t="s">
        <v>2344</v>
      </c>
      <c r="I2251" t="str">
        <f t="shared" si="71"/>
        <v>Normal Weight</v>
      </c>
      <c r="J2251" t="str">
        <f t="shared" si="70"/>
        <v>Normal</v>
      </c>
    </row>
    <row r="2252" spans="1:10" x14ac:dyDescent="0.35">
      <c r="A2252" t="s">
        <v>2252</v>
      </c>
      <c r="B2252">
        <v>16.13</v>
      </c>
      <c r="C2252">
        <v>5.56</v>
      </c>
      <c r="D2252" t="s">
        <v>2344</v>
      </c>
      <c r="E2252" t="s">
        <v>2345</v>
      </c>
      <c r="F2252" t="s">
        <v>2344</v>
      </c>
      <c r="G2252">
        <v>1</v>
      </c>
      <c r="H2252" t="s">
        <v>2344</v>
      </c>
      <c r="I2252" t="str">
        <f t="shared" si="71"/>
        <v>Under Weight</v>
      </c>
      <c r="J2252" t="str">
        <f t="shared" ref="J2252:J2315" si="72">IF(C2252&lt;5.7,"Normal",IF(C2252&lt;6.5,"Prediabetes","Diabetes"))</f>
        <v>Normal</v>
      </c>
    </row>
    <row r="2253" spans="1:10" x14ac:dyDescent="0.35">
      <c r="A2253" t="s">
        <v>2253</v>
      </c>
      <c r="B2253">
        <v>24.09</v>
      </c>
      <c r="C2253">
        <v>4.0999999999999996</v>
      </c>
      <c r="D2253" t="s">
        <v>2344</v>
      </c>
      <c r="E2253" t="s">
        <v>2345</v>
      </c>
      <c r="F2253" t="s">
        <v>2344</v>
      </c>
      <c r="G2253">
        <v>1</v>
      </c>
      <c r="H2253" t="s">
        <v>2344</v>
      </c>
      <c r="I2253" t="str">
        <f t="shared" si="71"/>
        <v>Normal Weight</v>
      </c>
      <c r="J2253" t="str">
        <f t="shared" si="72"/>
        <v>Normal</v>
      </c>
    </row>
    <row r="2254" spans="1:10" x14ac:dyDescent="0.35">
      <c r="A2254" t="s">
        <v>2254</v>
      </c>
      <c r="B2254">
        <v>19.43</v>
      </c>
      <c r="C2254">
        <v>5.85</v>
      </c>
      <c r="D2254" t="s">
        <v>2344</v>
      </c>
      <c r="E2254" t="s">
        <v>2345</v>
      </c>
      <c r="F2254" t="s">
        <v>2344</v>
      </c>
      <c r="G2254">
        <v>1</v>
      </c>
      <c r="H2254" t="s">
        <v>2344</v>
      </c>
      <c r="I2254" t="str">
        <f t="shared" si="71"/>
        <v>Normal Weight</v>
      </c>
      <c r="J2254" t="str">
        <f t="shared" si="72"/>
        <v>Prediabetes</v>
      </c>
    </row>
    <row r="2255" spans="1:10" x14ac:dyDescent="0.35">
      <c r="A2255" t="s">
        <v>2255</v>
      </c>
      <c r="B2255">
        <v>15.22</v>
      </c>
      <c r="C2255">
        <v>4.92</v>
      </c>
      <c r="D2255" t="s">
        <v>2346</v>
      </c>
      <c r="E2255" t="s">
        <v>2344</v>
      </c>
      <c r="F2255" t="s">
        <v>2346</v>
      </c>
      <c r="G2255">
        <v>1</v>
      </c>
      <c r="H2255" t="s">
        <v>2344</v>
      </c>
      <c r="I2255" t="str">
        <f t="shared" si="71"/>
        <v>Under Weight</v>
      </c>
      <c r="J2255" t="str">
        <f t="shared" si="72"/>
        <v>Normal</v>
      </c>
    </row>
    <row r="2256" spans="1:10" x14ac:dyDescent="0.35">
      <c r="A2256" t="s">
        <v>2256</v>
      </c>
      <c r="B2256">
        <v>20.72</v>
      </c>
      <c r="C2256">
        <v>9.4600000000000009</v>
      </c>
      <c r="D2256" t="s">
        <v>2344</v>
      </c>
      <c r="E2256" t="s">
        <v>2344</v>
      </c>
      <c r="F2256" t="s">
        <v>2344</v>
      </c>
      <c r="G2256">
        <v>0</v>
      </c>
      <c r="H2256" t="s">
        <v>2344</v>
      </c>
      <c r="I2256" t="str">
        <f t="shared" si="71"/>
        <v>Normal Weight</v>
      </c>
      <c r="J2256" t="str">
        <f t="shared" si="72"/>
        <v>Diabetes</v>
      </c>
    </row>
    <row r="2257" spans="1:10" x14ac:dyDescent="0.35">
      <c r="A2257" t="s">
        <v>2257</v>
      </c>
      <c r="B2257">
        <v>35.4</v>
      </c>
      <c r="C2257">
        <v>5.94</v>
      </c>
      <c r="D2257" t="s">
        <v>2344</v>
      </c>
      <c r="E2257" t="s">
        <v>2344</v>
      </c>
      <c r="F2257" t="s">
        <v>2346</v>
      </c>
      <c r="G2257">
        <v>1</v>
      </c>
      <c r="H2257" t="s">
        <v>2344</v>
      </c>
      <c r="I2257" t="str">
        <f t="shared" si="71"/>
        <v>Obesity</v>
      </c>
      <c r="J2257" t="str">
        <f t="shared" si="72"/>
        <v>Prediabetes</v>
      </c>
    </row>
    <row r="2258" spans="1:10" x14ac:dyDescent="0.35">
      <c r="A2258" t="s">
        <v>2258</v>
      </c>
      <c r="B2258">
        <v>34.4</v>
      </c>
      <c r="C2258">
        <v>5.7</v>
      </c>
      <c r="D2258" t="s">
        <v>2344</v>
      </c>
      <c r="E2258" t="s">
        <v>2344</v>
      </c>
      <c r="F2258" t="s">
        <v>2346</v>
      </c>
      <c r="G2258">
        <v>1</v>
      </c>
      <c r="H2258" t="s">
        <v>2344</v>
      </c>
      <c r="I2258" t="str">
        <f t="shared" si="71"/>
        <v>Obesity</v>
      </c>
      <c r="J2258" t="str">
        <f t="shared" si="72"/>
        <v>Prediabetes</v>
      </c>
    </row>
    <row r="2259" spans="1:10" x14ac:dyDescent="0.35">
      <c r="A2259" t="s">
        <v>2259</v>
      </c>
      <c r="B2259">
        <v>34.1</v>
      </c>
      <c r="C2259">
        <v>4.13</v>
      </c>
      <c r="D2259" t="s">
        <v>2344</v>
      </c>
      <c r="E2259" t="s">
        <v>2344</v>
      </c>
      <c r="F2259" t="s">
        <v>2346</v>
      </c>
      <c r="G2259">
        <v>1</v>
      </c>
      <c r="H2259" t="s">
        <v>2344</v>
      </c>
      <c r="I2259" t="str">
        <f t="shared" si="71"/>
        <v>Obesity</v>
      </c>
      <c r="J2259" t="str">
        <f t="shared" si="72"/>
        <v>Normal</v>
      </c>
    </row>
    <row r="2260" spans="1:10" x14ac:dyDescent="0.35">
      <c r="A2260" t="s">
        <v>2260</v>
      </c>
      <c r="B2260">
        <v>30.4</v>
      </c>
      <c r="C2260">
        <v>4.7699999999999996</v>
      </c>
      <c r="D2260" t="s">
        <v>2344</v>
      </c>
      <c r="E2260" t="s">
        <v>2344</v>
      </c>
      <c r="F2260" t="s">
        <v>2346</v>
      </c>
      <c r="G2260">
        <v>1</v>
      </c>
      <c r="H2260" t="s">
        <v>2344</v>
      </c>
      <c r="I2260" t="str">
        <f t="shared" si="71"/>
        <v>Obesity</v>
      </c>
      <c r="J2260" t="str">
        <f t="shared" si="72"/>
        <v>Normal</v>
      </c>
    </row>
    <row r="2261" spans="1:10" x14ac:dyDescent="0.35">
      <c r="A2261" t="s">
        <v>2261</v>
      </c>
      <c r="B2261">
        <v>28.7</v>
      </c>
      <c r="C2261">
        <v>4.99</v>
      </c>
      <c r="D2261" t="s">
        <v>2344</v>
      </c>
      <c r="E2261" t="s">
        <v>2344</v>
      </c>
      <c r="F2261" t="s">
        <v>2346</v>
      </c>
      <c r="G2261">
        <v>1</v>
      </c>
      <c r="H2261" t="s">
        <v>2344</v>
      </c>
      <c r="I2261" t="str">
        <f t="shared" si="71"/>
        <v>Over weight</v>
      </c>
      <c r="J2261" t="str">
        <f t="shared" si="72"/>
        <v>Normal</v>
      </c>
    </row>
    <row r="2262" spans="1:10" x14ac:dyDescent="0.35">
      <c r="A2262" t="s">
        <v>2262</v>
      </c>
      <c r="B2262">
        <v>17.440000000000001</v>
      </c>
      <c r="C2262">
        <v>4.42</v>
      </c>
      <c r="D2262" t="s">
        <v>2346</v>
      </c>
      <c r="E2262" t="s">
        <v>2344</v>
      </c>
      <c r="F2262" t="s">
        <v>2346</v>
      </c>
      <c r="G2262">
        <v>1</v>
      </c>
      <c r="H2262" t="s">
        <v>2344</v>
      </c>
      <c r="I2262" t="str">
        <f t="shared" si="71"/>
        <v>Under Weight</v>
      </c>
      <c r="J2262" t="str">
        <f t="shared" si="72"/>
        <v>Normal</v>
      </c>
    </row>
    <row r="2263" spans="1:10" x14ac:dyDescent="0.35">
      <c r="A2263" t="s">
        <v>2263</v>
      </c>
      <c r="B2263">
        <v>27.6</v>
      </c>
      <c r="C2263">
        <v>4.01</v>
      </c>
      <c r="D2263" t="s">
        <v>2344</v>
      </c>
      <c r="E2263" t="s">
        <v>2344</v>
      </c>
      <c r="F2263" t="s">
        <v>2346</v>
      </c>
      <c r="G2263">
        <v>1</v>
      </c>
      <c r="H2263" t="s">
        <v>2344</v>
      </c>
      <c r="I2263" t="str">
        <f t="shared" si="71"/>
        <v>Over weight</v>
      </c>
      <c r="J2263" t="str">
        <f t="shared" si="72"/>
        <v>Normal</v>
      </c>
    </row>
    <row r="2264" spans="1:10" x14ac:dyDescent="0.35">
      <c r="A2264" t="s">
        <v>2264</v>
      </c>
      <c r="B2264">
        <v>20.7</v>
      </c>
      <c r="C2264">
        <v>4.49</v>
      </c>
      <c r="D2264" t="s">
        <v>2344</v>
      </c>
      <c r="E2264" t="s">
        <v>2344</v>
      </c>
      <c r="F2264" t="s">
        <v>2346</v>
      </c>
      <c r="G2264">
        <v>1</v>
      </c>
      <c r="H2264" t="s">
        <v>2344</v>
      </c>
      <c r="I2264" t="str">
        <f t="shared" si="71"/>
        <v>Normal Weight</v>
      </c>
      <c r="J2264" t="str">
        <f t="shared" si="72"/>
        <v>Normal</v>
      </c>
    </row>
    <row r="2265" spans="1:10" x14ac:dyDescent="0.35">
      <c r="A2265" t="s">
        <v>2265</v>
      </c>
      <c r="B2265">
        <v>20.3</v>
      </c>
      <c r="C2265">
        <v>6.37</v>
      </c>
      <c r="D2265" t="s">
        <v>2344</v>
      </c>
      <c r="E2265" t="s">
        <v>2344</v>
      </c>
      <c r="F2265" t="s">
        <v>2346</v>
      </c>
      <c r="G2265">
        <v>1</v>
      </c>
      <c r="H2265" t="s">
        <v>2344</v>
      </c>
      <c r="I2265" t="str">
        <f t="shared" si="71"/>
        <v>Normal Weight</v>
      </c>
      <c r="J2265" t="str">
        <f t="shared" si="72"/>
        <v>Prediabetes</v>
      </c>
    </row>
    <row r="2266" spans="1:10" x14ac:dyDescent="0.35">
      <c r="A2266" t="s">
        <v>2266</v>
      </c>
      <c r="B2266">
        <v>19.8</v>
      </c>
      <c r="C2266">
        <v>5.12</v>
      </c>
      <c r="D2266" t="s">
        <v>2344</v>
      </c>
      <c r="E2266" t="s">
        <v>2344</v>
      </c>
      <c r="F2266" t="s">
        <v>2346</v>
      </c>
      <c r="G2266">
        <v>1</v>
      </c>
      <c r="H2266" t="s">
        <v>2344</v>
      </c>
      <c r="I2266" t="str">
        <f t="shared" si="71"/>
        <v>Normal Weight</v>
      </c>
      <c r="J2266" t="str">
        <f t="shared" si="72"/>
        <v>Normal</v>
      </c>
    </row>
    <row r="2267" spans="1:10" x14ac:dyDescent="0.35">
      <c r="A2267" t="s">
        <v>2267</v>
      </c>
      <c r="B2267">
        <v>21.87</v>
      </c>
      <c r="C2267">
        <v>8.59</v>
      </c>
      <c r="D2267" t="s">
        <v>2344</v>
      </c>
      <c r="E2267" t="s">
        <v>2344</v>
      </c>
      <c r="F2267" t="s">
        <v>2344</v>
      </c>
      <c r="G2267">
        <v>0</v>
      </c>
      <c r="H2267" t="s">
        <v>2344</v>
      </c>
      <c r="I2267" t="str">
        <f t="shared" si="71"/>
        <v>Normal Weight</v>
      </c>
      <c r="J2267" t="str">
        <f t="shared" si="72"/>
        <v>Diabetes</v>
      </c>
    </row>
    <row r="2268" spans="1:10" x14ac:dyDescent="0.35">
      <c r="A2268" t="s">
        <v>2268</v>
      </c>
      <c r="B2268">
        <v>16.600000000000001</v>
      </c>
      <c r="C2268">
        <v>5.87</v>
      </c>
      <c r="D2268" t="s">
        <v>2344</v>
      </c>
      <c r="E2268" t="s">
        <v>2344</v>
      </c>
      <c r="F2268" t="s">
        <v>2344</v>
      </c>
      <c r="G2268">
        <v>1</v>
      </c>
      <c r="H2268" t="s">
        <v>2344</v>
      </c>
      <c r="I2268" t="str">
        <f t="shared" si="71"/>
        <v>Under Weight</v>
      </c>
      <c r="J2268" t="str">
        <f t="shared" si="72"/>
        <v>Prediabetes</v>
      </c>
    </row>
    <row r="2269" spans="1:10" x14ac:dyDescent="0.35">
      <c r="A2269" t="s">
        <v>2269</v>
      </c>
      <c r="B2269">
        <v>21.98</v>
      </c>
      <c r="C2269">
        <v>7.03</v>
      </c>
      <c r="D2269" t="s">
        <v>2344</v>
      </c>
      <c r="E2269" t="s">
        <v>2344</v>
      </c>
      <c r="F2269" t="s">
        <v>2344</v>
      </c>
      <c r="G2269">
        <v>0</v>
      </c>
      <c r="H2269" t="s">
        <v>2344</v>
      </c>
      <c r="I2269" t="str">
        <f t="shared" si="71"/>
        <v>Normal Weight</v>
      </c>
      <c r="J2269" t="str">
        <f t="shared" si="72"/>
        <v>Diabetes</v>
      </c>
    </row>
    <row r="2270" spans="1:10" x14ac:dyDescent="0.35">
      <c r="A2270" t="s">
        <v>2270</v>
      </c>
      <c r="B2270">
        <v>19.7</v>
      </c>
      <c r="C2270">
        <v>5.51</v>
      </c>
      <c r="D2270" t="s">
        <v>2344</v>
      </c>
      <c r="E2270" t="s">
        <v>2344</v>
      </c>
      <c r="F2270" t="s">
        <v>2344</v>
      </c>
      <c r="G2270">
        <v>1</v>
      </c>
      <c r="H2270" t="s">
        <v>2344</v>
      </c>
      <c r="I2270" t="str">
        <f t="shared" si="71"/>
        <v>Normal Weight</v>
      </c>
      <c r="J2270" t="str">
        <f t="shared" si="72"/>
        <v>Normal</v>
      </c>
    </row>
    <row r="2271" spans="1:10" x14ac:dyDescent="0.35">
      <c r="A2271" t="s">
        <v>2271</v>
      </c>
      <c r="B2271">
        <v>19.21</v>
      </c>
      <c r="C2271">
        <v>4.76</v>
      </c>
      <c r="D2271" t="s">
        <v>2344</v>
      </c>
      <c r="E2271" t="s">
        <v>2345</v>
      </c>
      <c r="F2271" t="s">
        <v>2344</v>
      </c>
      <c r="G2271">
        <v>1</v>
      </c>
      <c r="H2271" t="s">
        <v>2344</v>
      </c>
      <c r="I2271" t="str">
        <f t="shared" si="71"/>
        <v>Normal Weight</v>
      </c>
      <c r="J2271" t="str">
        <f t="shared" si="72"/>
        <v>Normal</v>
      </c>
    </row>
    <row r="2272" spans="1:10" x14ac:dyDescent="0.35">
      <c r="A2272" t="s">
        <v>2272</v>
      </c>
      <c r="B2272">
        <v>19.3</v>
      </c>
      <c r="C2272">
        <v>4.7</v>
      </c>
      <c r="D2272" t="s">
        <v>2344</v>
      </c>
      <c r="E2272" t="s">
        <v>2345</v>
      </c>
      <c r="F2272" t="s">
        <v>2344</v>
      </c>
      <c r="G2272">
        <v>1</v>
      </c>
      <c r="H2272" t="s">
        <v>2344</v>
      </c>
      <c r="I2272" t="str">
        <f t="shared" si="71"/>
        <v>Normal Weight</v>
      </c>
      <c r="J2272" t="str">
        <f t="shared" si="72"/>
        <v>Normal</v>
      </c>
    </row>
    <row r="2273" spans="1:10" x14ac:dyDescent="0.35">
      <c r="A2273" t="s">
        <v>2273</v>
      </c>
      <c r="B2273">
        <v>16.22</v>
      </c>
      <c r="C2273">
        <v>6.21</v>
      </c>
      <c r="D2273" t="s">
        <v>2346</v>
      </c>
      <c r="E2273" t="s">
        <v>2344</v>
      </c>
      <c r="F2273" t="s">
        <v>2344</v>
      </c>
      <c r="G2273">
        <v>0</v>
      </c>
      <c r="H2273" t="s">
        <v>2344</v>
      </c>
      <c r="I2273" t="str">
        <f t="shared" si="71"/>
        <v>Under Weight</v>
      </c>
      <c r="J2273" t="str">
        <f t="shared" si="72"/>
        <v>Prediabetes</v>
      </c>
    </row>
    <row r="2274" spans="1:10" x14ac:dyDescent="0.35">
      <c r="A2274" t="s">
        <v>2274</v>
      </c>
      <c r="B2274">
        <v>17.12</v>
      </c>
      <c r="C2274">
        <v>4.5199999999999996</v>
      </c>
      <c r="D2274" t="s">
        <v>2344</v>
      </c>
      <c r="E2274" t="s">
        <v>2345</v>
      </c>
      <c r="F2274" t="s">
        <v>2344</v>
      </c>
      <c r="G2274">
        <v>1</v>
      </c>
      <c r="H2274" t="s">
        <v>2344</v>
      </c>
      <c r="I2274" t="str">
        <f t="shared" si="71"/>
        <v>Under Weight</v>
      </c>
      <c r="J2274" t="str">
        <f t="shared" si="72"/>
        <v>Normal</v>
      </c>
    </row>
    <row r="2275" spans="1:10" x14ac:dyDescent="0.35">
      <c r="A2275" t="s">
        <v>2275</v>
      </c>
      <c r="B2275">
        <v>19.07</v>
      </c>
      <c r="C2275">
        <v>5.45</v>
      </c>
      <c r="D2275" t="s">
        <v>2344</v>
      </c>
      <c r="E2275" t="s">
        <v>2344</v>
      </c>
      <c r="F2275" t="s">
        <v>2344</v>
      </c>
      <c r="G2275">
        <v>1</v>
      </c>
      <c r="H2275" t="s">
        <v>2344</v>
      </c>
      <c r="I2275" t="str">
        <f t="shared" si="71"/>
        <v>Normal Weight</v>
      </c>
      <c r="J2275" t="str">
        <f t="shared" si="72"/>
        <v>Normal</v>
      </c>
    </row>
    <row r="2276" spans="1:10" x14ac:dyDescent="0.35">
      <c r="A2276" t="s">
        <v>2276</v>
      </c>
      <c r="B2276">
        <v>15.56</v>
      </c>
      <c r="C2276">
        <v>4.42</v>
      </c>
      <c r="D2276" t="s">
        <v>2344</v>
      </c>
      <c r="E2276" t="s">
        <v>2344</v>
      </c>
      <c r="F2276" t="s">
        <v>2344</v>
      </c>
      <c r="G2276">
        <v>0</v>
      </c>
      <c r="H2276" t="s">
        <v>2344</v>
      </c>
      <c r="I2276" t="str">
        <f t="shared" si="71"/>
        <v>Under Weight</v>
      </c>
      <c r="J2276" t="str">
        <f t="shared" si="72"/>
        <v>Normal</v>
      </c>
    </row>
    <row r="2277" spans="1:10" x14ac:dyDescent="0.35">
      <c r="A2277" t="s">
        <v>2277</v>
      </c>
      <c r="B2277">
        <v>22.76</v>
      </c>
      <c r="C2277">
        <v>9.44</v>
      </c>
      <c r="D2277" t="s">
        <v>2344</v>
      </c>
      <c r="E2277" t="s">
        <v>2344</v>
      </c>
      <c r="F2277" t="s">
        <v>2344</v>
      </c>
      <c r="G2277">
        <v>0</v>
      </c>
      <c r="H2277" t="s">
        <v>2344</v>
      </c>
      <c r="I2277" t="str">
        <f t="shared" si="71"/>
        <v>Normal Weight</v>
      </c>
      <c r="J2277" t="str">
        <f t="shared" si="72"/>
        <v>Diabetes</v>
      </c>
    </row>
    <row r="2278" spans="1:10" x14ac:dyDescent="0.35">
      <c r="A2278" t="s">
        <v>2278</v>
      </c>
      <c r="B2278">
        <v>22.79</v>
      </c>
      <c r="C2278">
        <v>6.15</v>
      </c>
      <c r="D2278" t="s">
        <v>2346</v>
      </c>
      <c r="E2278" t="s">
        <v>2344</v>
      </c>
      <c r="F2278" t="s">
        <v>2346</v>
      </c>
      <c r="G2278">
        <v>1</v>
      </c>
      <c r="H2278" t="s">
        <v>2344</v>
      </c>
      <c r="I2278" t="str">
        <f t="shared" si="71"/>
        <v>Normal Weight</v>
      </c>
      <c r="J2278" t="str">
        <f t="shared" si="72"/>
        <v>Prediabetes</v>
      </c>
    </row>
    <row r="2279" spans="1:10" x14ac:dyDescent="0.35">
      <c r="A2279" t="s">
        <v>2279</v>
      </c>
      <c r="B2279">
        <v>17.41</v>
      </c>
      <c r="C2279">
        <v>5.13</v>
      </c>
      <c r="D2279" t="s">
        <v>2346</v>
      </c>
      <c r="E2279" t="s">
        <v>2344</v>
      </c>
      <c r="F2279" t="s">
        <v>2344</v>
      </c>
      <c r="G2279">
        <v>0</v>
      </c>
      <c r="H2279" t="s">
        <v>2344</v>
      </c>
      <c r="I2279" t="str">
        <f t="shared" si="71"/>
        <v>Under Weight</v>
      </c>
      <c r="J2279" t="str">
        <f t="shared" si="72"/>
        <v>Normal</v>
      </c>
    </row>
    <row r="2280" spans="1:10" x14ac:dyDescent="0.35">
      <c r="A2280" t="s">
        <v>2280</v>
      </c>
      <c r="B2280">
        <v>19.32</v>
      </c>
      <c r="C2280">
        <v>4.96</v>
      </c>
      <c r="D2280" t="s">
        <v>2346</v>
      </c>
      <c r="E2280" t="s">
        <v>2344</v>
      </c>
      <c r="F2280" t="s">
        <v>2344</v>
      </c>
      <c r="G2280">
        <v>0</v>
      </c>
      <c r="H2280" t="s">
        <v>2344</v>
      </c>
      <c r="I2280" t="str">
        <f t="shared" si="71"/>
        <v>Normal Weight</v>
      </c>
      <c r="J2280" t="str">
        <f t="shared" si="72"/>
        <v>Normal</v>
      </c>
    </row>
    <row r="2281" spans="1:10" x14ac:dyDescent="0.35">
      <c r="A2281" t="s">
        <v>2281</v>
      </c>
      <c r="B2281">
        <v>18.25</v>
      </c>
      <c r="C2281">
        <v>10.95</v>
      </c>
      <c r="D2281" t="s">
        <v>2344</v>
      </c>
      <c r="E2281" t="s">
        <v>2344</v>
      </c>
      <c r="F2281" t="s">
        <v>2344</v>
      </c>
      <c r="G2281">
        <v>0</v>
      </c>
      <c r="H2281" t="s">
        <v>2344</v>
      </c>
      <c r="I2281" t="str">
        <f t="shared" si="71"/>
        <v>Under Weight</v>
      </c>
      <c r="J2281" t="str">
        <f t="shared" si="72"/>
        <v>Diabetes</v>
      </c>
    </row>
    <row r="2282" spans="1:10" x14ac:dyDescent="0.35">
      <c r="A2282" t="s">
        <v>2282</v>
      </c>
      <c r="B2282">
        <v>53.13</v>
      </c>
      <c r="C2282">
        <v>4.4400000000000004</v>
      </c>
      <c r="D2282" t="s">
        <v>2344</v>
      </c>
      <c r="E2282" t="s">
        <v>2345</v>
      </c>
      <c r="F2282" t="s">
        <v>2344</v>
      </c>
      <c r="G2282">
        <v>1</v>
      </c>
      <c r="H2282" t="s">
        <v>2344</v>
      </c>
      <c r="I2282" t="str">
        <f t="shared" si="71"/>
        <v>Obesity</v>
      </c>
      <c r="J2282" t="str">
        <f t="shared" si="72"/>
        <v>Normal</v>
      </c>
    </row>
    <row r="2283" spans="1:10" x14ac:dyDescent="0.35">
      <c r="A2283" t="s">
        <v>2283</v>
      </c>
      <c r="B2283">
        <v>20.46</v>
      </c>
      <c r="C2283">
        <v>4.0199999999999996</v>
      </c>
      <c r="D2283" t="s">
        <v>2344</v>
      </c>
      <c r="E2283" t="s">
        <v>2344</v>
      </c>
      <c r="F2283" t="s">
        <v>2344</v>
      </c>
      <c r="G2283">
        <v>0</v>
      </c>
      <c r="H2283" t="s">
        <v>2344</v>
      </c>
      <c r="I2283" t="str">
        <f t="shared" si="71"/>
        <v>Normal Weight</v>
      </c>
      <c r="J2283" t="str">
        <f t="shared" si="72"/>
        <v>Normal</v>
      </c>
    </row>
    <row r="2284" spans="1:10" x14ac:dyDescent="0.35">
      <c r="A2284" t="s">
        <v>2284</v>
      </c>
      <c r="B2284">
        <v>43.01</v>
      </c>
      <c r="C2284">
        <v>5.44</v>
      </c>
      <c r="D2284" t="s">
        <v>2344</v>
      </c>
      <c r="E2284" t="s">
        <v>2345</v>
      </c>
      <c r="F2284" t="s">
        <v>2344</v>
      </c>
      <c r="G2284">
        <v>1</v>
      </c>
      <c r="H2284" t="s">
        <v>2344</v>
      </c>
      <c r="I2284" t="str">
        <f t="shared" si="71"/>
        <v>Obesity</v>
      </c>
      <c r="J2284" t="str">
        <f t="shared" si="72"/>
        <v>Normal</v>
      </c>
    </row>
    <row r="2285" spans="1:10" x14ac:dyDescent="0.35">
      <c r="A2285" t="s">
        <v>2285</v>
      </c>
      <c r="B2285">
        <v>15.01</v>
      </c>
      <c r="C2285">
        <v>4.1500000000000004</v>
      </c>
      <c r="D2285" t="s">
        <v>2344</v>
      </c>
      <c r="E2285" t="s">
        <v>2344</v>
      </c>
      <c r="F2285" t="s">
        <v>2346</v>
      </c>
      <c r="G2285">
        <v>1</v>
      </c>
      <c r="H2285" t="s">
        <v>2344</v>
      </c>
      <c r="I2285" t="str">
        <f t="shared" si="71"/>
        <v>Under Weight</v>
      </c>
      <c r="J2285" t="str">
        <f t="shared" si="72"/>
        <v>Normal</v>
      </c>
    </row>
    <row r="2286" spans="1:10" x14ac:dyDescent="0.35">
      <c r="A2286" t="s">
        <v>2286</v>
      </c>
      <c r="B2286">
        <v>41.14</v>
      </c>
      <c r="C2286">
        <v>6.02</v>
      </c>
      <c r="D2286" t="s">
        <v>2344</v>
      </c>
      <c r="E2286" t="s">
        <v>2345</v>
      </c>
      <c r="F2286" t="s">
        <v>2344</v>
      </c>
      <c r="G2286">
        <v>1</v>
      </c>
      <c r="H2286" t="s">
        <v>2344</v>
      </c>
      <c r="I2286" t="str">
        <f t="shared" si="71"/>
        <v>Obesity</v>
      </c>
      <c r="J2286" t="str">
        <f t="shared" si="72"/>
        <v>Prediabetes</v>
      </c>
    </row>
    <row r="2287" spans="1:10" x14ac:dyDescent="0.35">
      <c r="A2287" t="s">
        <v>2287</v>
      </c>
      <c r="B2287">
        <v>16.55</v>
      </c>
      <c r="C2287">
        <v>7.73</v>
      </c>
      <c r="D2287" t="s">
        <v>2344</v>
      </c>
      <c r="E2287" t="s">
        <v>2344</v>
      </c>
      <c r="F2287" t="s">
        <v>2344</v>
      </c>
      <c r="G2287">
        <v>0</v>
      </c>
      <c r="H2287" t="s">
        <v>2344</v>
      </c>
      <c r="I2287" t="str">
        <f t="shared" si="71"/>
        <v>Under Weight</v>
      </c>
      <c r="J2287" t="str">
        <f t="shared" si="72"/>
        <v>Diabetes</v>
      </c>
    </row>
    <row r="2288" spans="1:10" x14ac:dyDescent="0.35">
      <c r="A2288" t="s">
        <v>2288</v>
      </c>
      <c r="B2288">
        <v>37.29</v>
      </c>
      <c r="C2288">
        <v>5.03</v>
      </c>
      <c r="D2288" t="s">
        <v>2344</v>
      </c>
      <c r="E2288" t="s">
        <v>2345</v>
      </c>
      <c r="F2288" t="s">
        <v>2344</v>
      </c>
      <c r="G2288">
        <v>1</v>
      </c>
      <c r="H2288" t="s">
        <v>2344</v>
      </c>
      <c r="I2288" t="str">
        <f t="shared" si="71"/>
        <v>Obesity</v>
      </c>
      <c r="J2288" t="str">
        <f t="shared" si="72"/>
        <v>Normal</v>
      </c>
    </row>
    <row r="2289" spans="1:10" x14ac:dyDescent="0.35">
      <c r="A2289" t="s">
        <v>2289</v>
      </c>
      <c r="B2289">
        <v>16.739999999999998</v>
      </c>
      <c r="C2289">
        <v>4.08</v>
      </c>
      <c r="D2289" t="s">
        <v>2346</v>
      </c>
      <c r="E2289" t="s">
        <v>2344</v>
      </c>
      <c r="F2289" t="s">
        <v>2344</v>
      </c>
      <c r="G2289">
        <v>0</v>
      </c>
      <c r="H2289" t="s">
        <v>2344</v>
      </c>
      <c r="I2289" t="str">
        <f t="shared" si="71"/>
        <v>Under Weight</v>
      </c>
      <c r="J2289" t="str">
        <f t="shared" si="72"/>
        <v>Normal</v>
      </c>
    </row>
    <row r="2290" spans="1:10" x14ac:dyDescent="0.35">
      <c r="A2290" t="s">
        <v>2290</v>
      </c>
      <c r="B2290">
        <v>34.43</v>
      </c>
      <c r="C2290">
        <v>4.2699999999999996</v>
      </c>
      <c r="D2290" t="s">
        <v>2344</v>
      </c>
      <c r="E2290" t="s">
        <v>2345</v>
      </c>
      <c r="F2290" t="s">
        <v>2344</v>
      </c>
      <c r="G2290">
        <v>1</v>
      </c>
      <c r="H2290" t="s">
        <v>2344</v>
      </c>
      <c r="I2290" t="str">
        <f t="shared" si="71"/>
        <v>Obesity</v>
      </c>
      <c r="J2290" t="str">
        <f t="shared" si="72"/>
        <v>Normal</v>
      </c>
    </row>
    <row r="2291" spans="1:10" x14ac:dyDescent="0.35">
      <c r="A2291" t="s">
        <v>2291</v>
      </c>
      <c r="B2291">
        <v>34.1</v>
      </c>
      <c r="C2291">
        <v>4.07</v>
      </c>
      <c r="D2291" t="s">
        <v>2344</v>
      </c>
      <c r="E2291" t="s">
        <v>2345</v>
      </c>
      <c r="F2291" t="s">
        <v>2344</v>
      </c>
      <c r="G2291">
        <v>1</v>
      </c>
      <c r="H2291" t="s">
        <v>2344</v>
      </c>
      <c r="I2291" t="str">
        <f t="shared" si="71"/>
        <v>Obesity</v>
      </c>
      <c r="J2291" t="str">
        <f t="shared" si="72"/>
        <v>Normal</v>
      </c>
    </row>
    <row r="2292" spans="1:10" x14ac:dyDescent="0.35">
      <c r="A2292" t="s">
        <v>2292</v>
      </c>
      <c r="B2292">
        <v>19.3</v>
      </c>
      <c r="C2292">
        <v>10.36</v>
      </c>
      <c r="D2292" t="s">
        <v>2344</v>
      </c>
      <c r="E2292" t="s">
        <v>2344</v>
      </c>
      <c r="F2292" t="s">
        <v>2344</v>
      </c>
      <c r="G2292">
        <v>0</v>
      </c>
      <c r="H2292" t="s">
        <v>2344</v>
      </c>
      <c r="I2292" t="str">
        <f t="shared" si="71"/>
        <v>Normal Weight</v>
      </c>
      <c r="J2292" t="str">
        <f t="shared" si="72"/>
        <v>Diabetes</v>
      </c>
    </row>
    <row r="2293" spans="1:10" x14ac:dyDescent="0.35">
      <c r="A2293" t="s">
        <v>2293</v>
      </c>
      <c r="B2293">
        <v>33.659999999999997</v>
      </c>
      <c r="C2293">
        <v>5.71</v>
      </c>
      <c r="D2293" t="s">
        <v>2344</v>
      </c>
      <c r="E2293" t="s">
        <v>2345</v>
      </c>
      <c r="F2293" t="s">
        <v>2344</v>
      </c>
      <c r="G2293">
        <v>1</v>
      </c>
      <c r="H2293" t="s">
        <v>2344</v>
      </c>
      <c r="I2293" t="str">
        <f t="shared" si="71"/>
        <v>Obesity</v>
      </c>
      <c r="J2293" t="str">
        <f t="shared" si="72"/>
        <v>Prediabetes</v>
      </c>
    </row>
    <row r="2294" spans="1:10" x14ac:dyDescent="0.35">
      <c r="A2294" t="s">
        <v>2294</v>
      </c>
      <c r="B2294">
        <v>33.33</v>
      </c>
      <c r="C2294">
        <v>6.08</v>
      </c>
      <c r="D2294" t="s">
        <v>2344</v>
      </c>
      <c r="E2294" t="s">
        <v>2345</v>
      </c>
      <c r="F2294" t="s">
        <v>2344</v>
      </c>
      <c r="G2294">
        <v>1</v>
      </c>
      <c r="H2294" t="s">
        <v>2344</v>
      </c>
      <c r="I2294" t="str">
        <f t="shared" si="71"/>
        <v>Obesity</v>
      </c>
      <c r="J2294" t="str">
        <f t="shared" si="72"/>
        <v>Prediabetes</v>
      </c>
    </row>
    <row r="2295" spans="1:10" x14ac:dyDescent="0.35">
      <c r="A2295" t="s">
        <v>2295</v>
      </c>
      <c r="B2295">
        <v>21.84</v>
      </c>
      <c r="C2295">
        <v>5.71</v>
      </c>
      <c r="D2295" t="s">
        <v>2344</v>
      </c>
      <c r="E2295" t="s">
        <v>2345</v>
      </c>
      <c r="F2295" t="s">
        <v>2344</v>
      </c>
      <c r="G2295">
        <v>1</v>
      </c>
      <c r="H2295" t="s">
        <v>2344</v>
      </c>
      <c r="I2295" t="str">
        <f t="shared" si="71"/>
        <v>Normal Weight</v>
      </c>
      <c r="J2295" t="str">
        <f t="shared" si="72"/>
        <v>Prediabetes</v>
      </c>
    </row>
    <row r="2296" spans="1:10" x14ac:dyDescent="0.35">
      <c r="A2296" t="s">
        <v>2296</v>
      </c>
      <c r="B2296">
        <v>16.87</v>
      </c>
      <c r="C2296">
        <v>9.1300000000000008</v>
      </c>
      <c r="D2296" t="s">
        <v>2344</v>
      </c>
      <c r="E2296" t="s">
        <v>2344</v>
      </c>
      <c r="F2296" t="s">
        <v>2344</v>
      </c>
      <c r="G2296">
        <v>0</v>
      </c>
      <c r="H2296" t="s">
        <v>2344</v>
      </c>
      <c r="I2296" t="str">
        <f t="shared" si="71"/>
        <v>Under Weight</v>
      </c>
      <c r="J2296" t="str">
        <f t="shared" si="72"/>
        <v>Diabetes</v>
      </c>
    </row>
    <row r="2297" spans="1:10" x14ac:dyDescent="0.35">
      <c r="A2297" t="s">
        <v>2297</v>
      </c>
      <c r="B2297">
        <v>30.14</v>
      </c>
      <c r="C2297">
        <v>5.49</v>
      </c>
      <c r="D2297" t="s">
        <v>2344</v>
      </c>
      <c r="E2297" t="s">
        <v>2345</v>
      </c>
      <c r="F2297" t="s">
        <v>2344</v>
      </c>
      <c r="G2297">
        <v>1</v>
      </c>
      <c r="H2297" t="s">
        <v>2344</v>
      </c>
      <c r="I2297" t="str">
        <f t="shared" si="71"/>
        <v>Obesity</v>
      </c>
      <c r="J2297" t="str">
        <f t="shared" si="72"/>
        <v>Normal</v>
      </c>
    </row>
    <row r="2298" spans="1:10" x14ac:dyDescent="0.35">
      <c r="A2298" t="s">
        <v>2298</v>
      </c>
      <c r="B2298">
        <v>23.21</v>
      </c>
      <c r="C2298">
        <v>4.37</v>
      </c>
      <c r="D2298" t="s">
        <v>2344</v>
      </c>
      <c r="E2298" t="s">
        <v>2345</v>
      </c>
      <c r="F2298" t="s">
        <v>2344</v>
      </c>
      <c r="G2298">
        <v>1</v>
      </c>
      <c r="H2298" t="s">
        <v>2344</v>
      </c>
      <c r="I2298" t="str">
        <f t="shared" si="71"/>
        <v>Normal Weight</v>
      </c>
      <c r="J2298" t="str">
        <f t="shared" si="72"/>
        <v>Normal</v>
      </c>
    </row>
    <row r="2299" spans="1:10" x14ac:dyDescent="0.35">
      <c r="A2299" t="s">
        <v>2299</v>
      </c>
      <c r="B2299">
        <v>17.170000000000002</v>
      </c>
      <c r="C2299">
        <v>8.4600000000000009</v>
      </c>
      <c r="D2299" t="s">
        <v>2344</v>
      </c>
      <c r="E2299" t="s">
        <v>2344</v>
      </c>
      <c r="F2299" t="s">
        <v>2344</v>
      </c>
      <c r="G2299">
        <v>0</v>
      </c>
      <c r="H2299" t="s">
        <v>2344</v>
      </c>
      <c r="I2299" t="str">
        <f t="shared" si="71"/>
        <v>Under Weight</v>
      </c>
      <c r="J2299" t="str">
        <f t="shared" si="72"/>
        <v>Diabetes</v>
      </c>
    </row>
    <row r="2300" spans="1:10" x14ac:dyDescent="0.35">
      <c r="A2300" t="s">
        <v>2300</v>
      </c>
      <c r="B2300">
        <v>15.61</v>
      </c>
      <c r="C2300">
        <v>5.28</v>
      </c>
      <c r="D2300" t="s">
        <v>2344</v>
      </c>
      <c r="E2300" t="s">
        <v>2344</v>
      </c>
      <c r="F2300" t="s">
        <v>2344</v>
      </c>
      <c r="G2300">
        <v>1</v>
      </c>
      <c r="H2300" t="s">
        <v>2344</v>
      </c>
      <c r="I2300" t="str">
        <f t="shared" si="71"/>
        <v>Under Weight</v>
      </c>
      <c r="J2300" t="str">
        <f t="shared" si="72"/>
        <v>Normal</v>
      </c>
    </row>
    <row r="2301" spans="1:10" x14ac:dyDescent="0.35">
      <c r="A2301" t="s">
        <v>2301</v>
      </c>
      <c r="B2301">
        <v>17.98</v>
      </c>
      <c r="C2301">
        <v>5.33</v>
      </c>
      <c r="D2301" t="s">
        <v>2346</v>
      </c>
      <c r="E2301" t="s">
        <v>2344</v>
      </c>
      <c r="F2301" t="s">
        <v>2346</v>
      </c>
      <c r="G2301">
        <v>1</v>
      </c>
      <c r="H2301" t="s">
        <v>2344</v>
      </c>
      <c r="I2301" t="str">
        <f t="shared" si="71"/>
        <v>Under Weight</v>
      </c>
      <c r="J2301" t="str">
        <f t="shared" si="72"/>
        <v>Normal</v>
      </c>
    </row>
    <row r="2302" spans="1:10" x14ac:dyDescent="0.35">
      <c r="A2302" t="s">
        <v>2302</v>
      </c>
      <c r="B2302">
        <v>21.64</v>
      </c>
      <c r="C2302">
        <v>5.5</v>
      </c>
      <c r="D2302" t="s">
        <v>2344</v>
      </c>
      <c r="E2302" t="s">
        <v>2345</v>
      </c>
      <c r="F2302" t="s">
        <v>2344</v>
      </c>
      <c r="G2302">
        <v>1</v>
      </c>
      <c r="H2302" t="s">
        <v>2344</v>
      </c>
      <c r="I2302" t="str">
        <f t="shared" si="71"/>
        <v>Normal Weight</v>
      </c>
      <c r="J2302" t="str">
        <f t="shared" si="72"/>
        <v>Normal</v>
      </c>
    </row>
    <row r="2303" spans="1:10" x14ac:dyDescent="0.35">
      <c r="A2303" t="s">
        <v>2303</v>
      </c>
      <c r="B2303">
        <v>16.399999999999999</v>
      </c>
      <c r="C2303">
        <v>5.4</v>
      </c>
      <c r="D2303" t="s">
        <v>2344</v>
      </c>
      <c r="E2303" t="s">
        <v>2344</v>
      </c>
      <c r="F2303" t="s">
        <v>2346</v>
      </c>
      <c r="G2303">
        <v>1</v>
      </c>
      <c r="H2303" t="s">
        <v>2344</v>
      </c>
      <c r="I2303" t="str">
        <f t="shared" si="71"/>
        <v>Under Weight</v>
      </c>
      <c r="J2303" t="str">
        <f t="shared" si="72"/>
        <v>Normal</v>
      </c>
    </row>
    <row r="2304" spans="1:10" x14ac:dyDescent="0.35">
      <c r="A2304" t="s">
        <v>2304</v>
      </c>
      <c r="B2304">
        <v>15.77</v>
      </c>
      <c r="C2304">
        <v>6.05</v>
      </c>
      <c r="D2304" t="s">
        <v>2346</v>
      </c>
      <c r="E2304" t="s">
        <v>2344</v>
      </c>
      <c r="F2304" t="s">
        <v>2344</v>
      </c>
      <c r="G2304">
        <v>1</v>
      </c>
      <c r="H2304" t="s">
        <v>2344</v>
      </c>
      <c r="I2304" t="str">
        <f t="shared" si="71"/>
        <v>Under Weight</v>
      </c>
      <c r="J2304" t="str">
        <f t="shared" si="72"/>
        <v>Prediabetes</v>
      </c>
    </row>
    <row r="2305" spans="1:10" x14ac:dyDescent="0.35">
      <c r="A2305" t="s">
        <v>2305</v>
      </c>
      <c r="B2305">
        <v>18.27</v>
      </c>
      <c r="C2305">
        <v>11.46</v>
      </c>
      <c r="D2305" t="s">
        <v>2344</v>
      </c>
      <c r="E2305" t="s">
        <v>2344</v>
      </c>
      <c r="F2305" t="s">
        <v>2344</v>
      </c>
      <c r="G2305">
        <v>0</v>
      </c>
      <c r="H2305" t="s">
        <v>2344</v>
      </c>
      <c r="I2305" t="str">
        <f t="shared" si="71"/>
        <v>Under Weight</v>
      </c>
      <c r="J2305" t="str">
        <f t="shared" si="72"/>
        <v>Diabetes</v>
      </c>
    </row>
    <row r="2306" spans="1:10" x14ac:dyDescent="0.35">
      <c r="A2306" t="s">
        <v>2306</v>
      </c>
      <c r="B2306">
        <v>16.489999999999998</v>
      </c>
      <c r="C2306">
        <v>8.48</v>
      </c>
      <c r="D2306" t="s">
        <v>2344</v>
      </c>
      <c r="E2306" t="s">
        <v>2344</v>
      </c>
      <c r="F2306" t="s">
        <v>2344</v>
      </c>
      <c r="G2306">
        <v>0</v>
      </c>
      <c r="H2306" t="s">
        <v>2344</v>
      </c>
      <c r="I2306" t="str">
        <f t="shared" si="71"/>
        <v>Under Weight</v>
      </c>
      <c r="J2306" t="str">
        <f t="shared" si="72"/>
        <v>Diabetes</v>
      </c>
    </row>
    <row r="2307" spans="1:10" x14ac:dyDescent="0.35">
      <c r="A2307" t="s">
        <v>2307</v>
      </c>
      <c r="B2307">
        <v>16.14</v>
      </c>
      <c r="C2307">
        <v>4.8600000000000003</v>
      </c>
      <c r="D2307" t="s">
        <v>2344</v>
      </c>
      <c r="E2307" t="s">
        <v>2344</v>
      </c>
      <c r="F2307" t="s">
        <v>2344</v>
      </c>
      <c r="G2307">
        <v>0</v>
      </c>
      <c r="H2307" t="s">
        <v>2344</v>
      </c>
      <c r="I2307" t="str">
        <f t="shared" ref="I2307:I2336" si="73">IF(B2307&lt;18.5,"Under Weight",IF(B2307&lt;25,"Normal Weight",IF(B2307&lt;30,"Over weight","Obesity")))</f>
        <v>Under Weight</v>
      </c>
      <c r="J2307" t="str">
        <f t="shared" si="72"/>
        <v>Normal</v>
      </c>
    </row>
    <row r="2308" spans="1:10" x14ac:dyDescent="0.35">
      <c r="A2308" t="s">
        <v>2308</v>
      </c>
      <c r="B2308">
        <v>20.85</v>
      </c>
      <c r="C2308">
        <v>4.45</v>
      </c>
      <c r="D2308" t="s">
        <v>2346</v>
      </c>
      <c r="E2308" t="s">
        <v>2344</v>
      </c>
      <c r="F2308" t="s">
        <v>2344</v>
      </c>
      <c r="G2308">
        <v>1</v>
      </c>
      <c r="H2308" t="s">
        <v>2344</v>
      </c>
      <c r="I2308" t="str">
        <f t="shared" si="73"/>
        <v>Normal Weight</v>
      </c>
      <c r="J2308" t="str">
        <f t="shared" si="72"/>
        <v>Normal</v>
      </c>
    </row>
    <row r="2309" spans="1:10" x14ac:dyDescent="0.35">
      <c r="A2309" t="s">
        <v>2309</v>
      </c>
      <c r="B2309">
        <v>15.88</v>
      </c>
      <c r="C2309">
        <v>4.3600000000000003</v>
      </c>
      <c r="D2309" t="s">
        <v>2344</v>
      </c>
      <c r="E2309" t="s">
        <v>2344</v>
      </c>
      <c r="F2309" t="s">
        <v>2344</v>
      </c>
      <c r="G2309">
        <v>0</v>
      </c>
      <c r="H2309" t="s">
        <v>2344</v>
      </c>
      <c r="I2309" t="str">
        <f t="shared" si="73"/>
        <v>Under Weight</v>
      </c>
      <c r="J2309" t="str">
        <f t="shared" si="72"/>
        <v>Normal</v>
      </c>
    </row>
    <row r="2310" spans="1:10" x14ac:dyDescent="0.35">
      <c r="A2310" t="s">
        <v>2310</v>
      </c>
      <c r="B2310">
        <v>20.66</v>
      </c>
      <c r="C2310">
        <v>5.8</v>
      </c>
      <c r="D2310" t="s">
        <v>2344</v>
      </c>
      <c r="E2310" t="s">
        <v>2345</v>
      </c>
      <c r="F2310" t="s">
        <v>2344</v>
      </c>
      <c r="G2310">
        <v>1</v>
      </c>
      <c r="H2310" t="s">
        <v>2344</v>
      </c>
      <c r="I2310" t="str">
        <f t="shared" si="73"/>
        <v>Normal Weight</v>
      </c>
      <c r="J2310" t="str">
        <f t="shared" si="72"/>
        <v>Prediabetes</v>
      </c>
    </row>
    <row r="2311" spans="1:10" x14ac:dyDescent="0.35">
      <c r="A2311" t="s">
        <v>2311</v>
      </c>
      <c r="B2311">
        <v>20.399999999999999</v>
      </c>
      <c r="C2311">
        <v>5.27</v>
      </c>
      <c r="D2311" t="s">
        <v>2344</v>
      </c>
      <c r="E2311" t="s">
        <v>2344</v>
      </c>
      <c r="F2311" t="s">
        <v>2344</v>
      </c>
      <c r="G2311">
        <v>0</v>
      </c>
      <c r="H2311" t="s">
        <v>2344</v>
      </c>
      <c r="I2311" t="str">
        <f t="shared" si="73"/>
        <v>Normal Weight</v>
      </c>
      <c r="J2311" t="str">
        <f t="shared" si="72"/>
        <v>Normal</v>
      </c>
    </row>
    <row r="2312" spans="1:10" x14ac:dyDescent="0.35">
      <c r="A2312" t="s">
        <v>2312</v>
      </c>
      <c r="B2312">
        <v>25.19</v>
      </c>
      <c r="C2312">
        <v>5.64</v>
      </c>
      <c r="D2312" t="s">
        <v>2346</v>
      </c>
      <c r="E2312" t="s">
        <v>2344</v>
      </c>
      <c r="F2312" t="s">
        <v>2344</v>
      </c>
      <c r="G2312">
        <v>0</v>
      </c>
      <c r="H2312" t="s">
        <v>2344</v>
      </c>
      <c r="I2312" t="str">
        <f t="shared" si="73"/>
        <v>Over weight</v>
      </c>
      <c r="J2312" t="str">
        <f t="shared" si="72"/>
        <v>Normal</v>
      </c>
    </row>
    <row r="2313" spans="1:10" x14ac:dyDescent="0.35">
      <c r="A2313" t="s">
        <v>2313</v>
      </c>
      <c r="B2313">
        <v>20.54</v>
      </c>
      <c r="C2313">
        <v>4.2</v>
      </c>
      <c r="D2313" t="s">
        <v>2346</v>
      </c>
      <c r="E2313" t="s">
        <v>2344</v>
      </c>
      <c r="F2313" t="s">
        <v>2344</v>
      </c>
      <c r="G2313">
        <v>1</v>
      </c>
      <c r="H2313" t="s">
        <v>2344</v>
      </c>
      <c r="I2313" t="str">
        <f t="shared" si="73"/>
        <v>Normal Weight</v>
      </c>
      <c r="J2313" t="str">
        <f t="shared" si="72"/>
        <v>Normal</v>
      </c>
    </row>
    <row r="2314" spans="1:10" x14ac:dyDescent="0.35">
      <c r="A2314" t="s">
        <v>2314</v>
      </c>
      <c r="B2314">
        <v>20.13</v>
      </c>
      <c r="C2314">
        <v>5.42</v>
      </c>
      <c r="D2314" t="s">
        <v>2344</v>
      </c>
      <c r="E2314" t="s">
        <v>2344</v>
      </c>
      <c r="F2314" t="s">
        <v>2344</v>
      </c>
      <c r="G2314">
        <v>0</v>
      </c>
      <c r="H2314" t="s">
        <v>2344</v>
      </c>
      <c r="I2314" t="str">
        <f t="shared" si="73"/>
        <v>Normal Weight</v>
      </c>
      <c r="J2314" t="str">
        <f t="shared" si="72"/>
        <v>Normal</v>
      </c>
    </row>
    <row r="2315" spans="1:10" x14ac:dyDescent="0.35">
      <c r="A2315" t="s">
        <v>2315</v>
      </c>
      <c r="B2315">
        <v>18.93</v>
      </c>
      <c r="C2315">
        <v>6.11</v>
      </c>
      <c r="D2315" t="s">
        <v>2344</v>
      </c>
      <c r="E2315" t="s">
        <v>2344</v>
      </c>
      <c r="F2315" t="s">
        <v>2346</v>
      </c>
      <c r="G2315">
        <v>1</v>
      </c>
      <c r="H2315" t="s">
        <v>2344</v>
      </c>
      <c r="I2315" t="str">
        <f t="shared" si="73"/>
        <v>Normal Weight</v>
      </c>
      <c r="J2315" t="str">
        <f t="shared" si="72"/>
        <v>Prediabetes</v>
      </c>
    </row>
    <row r="2316" spans="1:10" x14ac:dyDescent="0.35">
      <c r="A2316" t="s">
        <v>2316</v>
      </c>
      <c r="B2316">
        <v>24.14</v>
      </c>
      <c r="C2316">
        <v>5.29</v>
      </c>
      <c r="D2316" t="s">
        <v>2344</v>
      </c>
      <c r="E2316" t="s">
        <v>2345</v>
      </c>
      <c r="F2316" t="s">
        <v>2344</v>
      </c>
      <c r="G2316">
        <v>1</v>
      </c>
      <c r="H2316" t="s">
        <v>2344</v>
      </c>
      <c r="I2316" t="str">
        <f t="shared" si="73"/>
        <v>Normal Weight</v>
      </c>
      <c r="J2316" t="str">
        <f t="shared" ref="J2316:J2336" si="74">IF(C2316&lt;5.7,"Normal",IF(C2316&lt;6.5,"Prediabetes","Diabetes"))</f>
        <v>Normal</v>
      </c>
    </row>
    <row r="2317" spans="1:10" x14ac:dyDescent="0.35">
      <c r="A2317" t="s">
        <v>2317</v>
      </c>
      <c r="B2317">
        <v>25.03</v>
      </c>
      <c r="C2317">
        <v>5.91</v>
      </c>
      <c r="D2317" t="s">
        <v>2344</v>
      </c>
      <c r="E2317" t="s">
        <v>2345</v>
      </c>
      <c r="F2317" t="s">
        <v>2344</v>
      </c>
      <c r="G2317">
        <v>1</v>
      </c>
      <c r="H2317" t="s">
        <v>2344</v>
      </c>
      <c r="I2317" t="str">
        <f t="shared" si="73"/>
        <v>Over weight</v>
      </c>
      <c r="J2317" t="str">
        <f t="shared" si="74"/>
        <v>Prediabetes</v>
      </c>
    </row>
    <row r="2318" spans="1:10" x14ac:dyDescent="0.35">
      <c r="A2318" t="s">
        <v>2318</v>
      </c>
      <c r="B2318">
        <v>20.47</v>
      </c>
      <c r="C2318">
        <v>5.81</v>
      </c>
      <c r="D2318" t="s">
        <v>2346</v>
      </c>
      <c r="E2318" t="s">
        <v>2344</v>
      </c>
      <c r="F2318" t="s">
        <v>2344</v>
      </c>
      <c r="G2318">
        <v>1</v>
      </c>
      <c r="H2318" t="s">
        <v>2344</v>
      </c>
      <c r="I2318" t="str">
        <f t="shared" si="73"/>
        <v>Normal Weight</v>
      </c>
      <c r="J2318" t="str">
        <f t="shared" si="74"/>
        <v>Prediabetes</v>
      </c>
    </row>
    <row r="2319" spans="1:10" x14ac:dyDescent="0.35">
      <c r="A2319" t="s">
        <v>2319</v>
      </c>
      <c r="B2319">
        <v>18.82</v>
      </c>
      <c r="C2319">
        <v>5.51</v>
      </c>
      <c r="D2319" t="s">
        <v>2346</v>
      </c>
      <c r="E2319" t="s">
        <v>2344</v>
      </c>
      <c r="F2319" t="s">
        <v>2344</v>
      </c>
      <c r="G2319">
        <v>0</v>
      </c>
      <c r="H2319" t="s">
        <v>2344</v>
      </c>
      <c r="I2319" t="str">
        <f t="shared" si="73"/>
        <v>Normal Weight</v>
      </c>
      <c r="J2319" t="str">
        <f t="shared" si="74"/>
        <v>Normal</v>
      </c>
    </row>
    <row r="2320" spans="1:10" x14ac:dyDescent="0.35">
      <c r="A2320" t="s">
        <v>2320</v>
      </c>
      <c r="B2320">
        <v>17.079999999999998</v>
      </c>
      <c r="C2320">
        <v>5.73</v>
      </c>
      <c r="D2320" t="s">
        <v>2344</v>
      </c>
      <c r="E2320" t="s">
        <v>2344</v>
      </c>
      <c r="F2320" t="s">
        <v>2346</v>
      </c>
      <c r="G2320">
        <v>1</v>
      </c>
      <c r="H2320" t="s">
        <v>2344</v>
      </c>
      <c r="I2320" t="str">
        <f t="shared" si="73"/>
        <v>Under Weight</v>
      </c>
      <c r="J2320" t="str">
        <f t="shared" si="74"/>
        <v>Prediabetes</v>
      </c>
    </row>
    <row r="2321" spans="1:10" x14ac:dyDescent="0.35">
      <c r="A2321" t="s">
        <v>2321</v>
      </c>
      <c r="B2321">
        <v>19.21</v>
      </c>
      <c r="C2321">
        <v>5.53</v>
      </c>
      <c r="D2321" t="s">
        <v>2346</v>
      </c>
      <c r="E2321" t="s">
        <v>2344</v>
      </c>
      <c r="F2321" t="s">
        <v>2344</v>
      </c>
      <c r="G2321">
        <v>0</v>
      </c>
      <c r="H2321" t="s">
        <v>2344</v>
      </c>
      <c r="I2321" t="str">
        <f t="shared" si="73"/>
        <v>Normal Weight</v>
      </c>
      <c r="J2321" t="str">
        <f t="shared" si="74"/>
        <v>Normal</v>
      </c>
    </row>
    <row r="2322" spans="1:10" x14ac:dyDescent="0.35">
      <c r="A2322" t="s">
        <v>2322</v>
      </c>
      <c r="B2322">
        <v>17.86</v>
      </c>
      <c r="C2322">
        <v>5.43</v>
      </c>
      <c r="D2322" t="s">
        <v>2344</v>
      </c>
      <c r="E2322" t="s">
        <v>2344</v>
      </c>
      <c r="F2322" t="s">
        <v>2346</v>
      </c>
      <c r="G2322">
        <v>1</v>
      </c>
      <c r="H2322" t="s">
        <v>2344</v>
      </c>
      <c r="I2322" t="str">
        <f t="shared" si="73"/>
        <v>Under Weight</v>
      </c>
      <c r="J2322" t="str">
        <f t="shared" si="74"/>
        <v>Normal</v>
      </c>
    </row>
    <row r="2323" spans="1:10" x14ac:dyDescent="0.35">
      <c r="A2323" t="s">
        <v>2323</v>
      </c>
      <c r="B2323">
        <v>21.38</v>
      </c>
      <c r="C2323">
        <v>8.01</v>
      </c>
      <c r="D2323" t="s">
        <v>2344</v>
      </c>
      <c r="E2323" t="s">
        <v>2344</v>
      </c>
      <c r="F2323" t="s">
        <v>2344</v>
      </c>
      <c r="G2323">
        <v>0</v>
      </c>
      <c r="H2323" t="s">
        <v>2344</v>
      </c>
      <c r="I2323" t="str">
        <f t="shared" si="73"/>
        <v>Normal Weight</v>
      </c>
      <c r="J2323" t="str">
        <f t="shared" si="74"/>
        <v>Diabetes</v>
      </c>
    </row>
    <row r="2324" spans="1:10" x14ac:dyDescent="0.35">
      <c r="A2324" t="s">
        <v>2324</v>
      </c>
      <c r="B2324">
        <v>23.35</v>
      </c>
      <c r="C2324">
        <v>5.94</v>
      </c>
      <c r="D2324" t="s">
        <v>2344</v>
      </c>
      <c r="E2324" t="s">
        <v>2344</v>
      </c>
      <c r="F2324" t="s">
        <v>2344</v>
      </c>
      <c r="G2324">
        <v>0</v>
      </c>
      <c r="H2324" t="s">
        <v>2344</v>
      </c>
      <c r="I2324" t="str">
        <f t="shared" si="73"/>
        <v>Normal Weight</v>
      </c>
      <c r="J2324" t="str">
        <f t="shared" si="74"/>
        <v>Prediabetes</v>
      </c>
    </row>
    <row r="2325" spans="1:10" x14ac:dyDescent="0.35">
      <c r="A2325" t="s">
        <v>2325</v>
      </c>
      <c r="B2325">
        <v>22.24</v>
      </c>
      <c r="C2325">
        <v>5.04</v>
      </c>
      <c r="D2325" t="s">
        <v>2344</v>
      </c>
      <c r="E2325" t="s">
        <v>2344</v>
      </c>
      <c r="F2325" t="s">
        <v>2344</v>
      </c>
      <c r="G2325">
        <v>0</v>
      </c>
      <c r="H2325" t="s">
        <v>2344</v>
      </c>
      <c r="I2325" t="str">
        <f t="shared" si="73"/>
        <v>Normal Weight</v>
      </c>
      <c r="J2325" t="str">
        <f t="shared" si="74"/>
        <v>Normal</v>
      </c>
    </row>
    <row r="2326" spans="1:10" x14ac:dyDescent="0.35">
      <c r="A2326" t="s">
        <v>2326</v>
      </c>
      <c r="B2326">
        <v>24.76</v>
      </c>
      <c r="C2326">
        <v>4.54</v>
      </c>
      <c r="D2326" t="s">
        <v>2346</v>
      </c>
      <c r="E2326" t="s">
        <v>2344</v>
      </c>
      <c r="F2326" t="s">
        <v>2344</v>
      </c>
      <c r="G2326">
        <v>0</v>
      </c>
      <c r="H2326" t="s">
        <v>2344</v>
      </c>
      <c r="I2326" t="str">
        <f t="shared" si="73"/>
        <v>Normal Weight</v>
      </c>
      <c r="J2326" t="str">
        <f t="shared" si="74"/>
        <v>Normal</v>
      </c>
    </row>
    <row r="2327" spans="1:10" x14ac:dyDescent="0.35">
      <c r="A2327" t="s">
        <v>2327</v>
      </c>
      <c r="B2327">
        <v>20.100000000000001</v>
      </c>
      <c r="C2327">
        <v>5.6</v>
      </c>
      <c r="D2327" t="s">
        <v>2346</v>
      </c>
      <c r="E2327" t="s">
        <v>2344</v>
      </c>
      <c r="F2327" t="s">
        <v>2346</v>
      </c>
      <c r="G2327">
        <v>1</v>
      </c>
      <c r="H2327" t="s">
        <v>2344</v>
      </c>
      <c r="I2327" t="str">
        <f t="shared" si="73"/>
        <v>Normal Weight</v>
      </c>
      <c r="J2327" t="str">
        <f t="shared" si="74"/>
        <v>Normal</v>
      </c>
    </row>
    <row r="2328" spans="1:10" x14ac:dyDescent="0.35">
      <c r="A2328" t="s">
        <v>2328</v>
      </c>
      <c r="B2328">
        <v>21.77</v>
      </c>
      <c r="C2328">
        <v>10.67</v>
      </c>
      <c r="D2328" t="s">
        <v>2344</v>
      </c>
      <c r="E2328" t="s">
        <v>2344</v>
      </c>
      <c r="F2328" t="s">
        <v>2344</v>
      </c>
      <c r="G2328">
        <v>0</v>
      </c>
      <c r="H2328" t="s">
        <v>2344</v>
      </c>
      <c r="I2328" t="str">
        <f t="shared" si="73"/>
        <v>Normal Weight</v>
      </c>
      <c r="J2328" t="str">
        <f t="shared" si="74"/>
        <v>Diabetes</v>
      </c>
    </row>
    <row r="2329" spans="1:10" x14ac:dyDescent="0.35">
      <c r="A2329" t="s">
        <v>2329</v>
      </c>
      <c r="B2329">
        <v>17.82</v>
      </c>
      <c r="C2329">
        <v>5.26</v>
      </c>
      <c r="D2329" t="s">
        <v>2346</v>
      </c>
      <c r="E2329" t="s">
        <v>2344</v>
      </c>
      <c r="F2329" t="s">
        <v>2344</v>
      </c>
      <c r="G2329">
        <v>1</v>
      </c>
      <c r="H2329" t="s">
        <v>2344</v>
      </c>
      <c r="I2329" t="str">
        <f t="shared" si="73"/>
        <v>Under Weight</v>
      </c>
      <c r="J2329" t="str">
        <f t="shared" si="74"/>
        <v>Normal</v>
      </c>
    </row>
    <row r="2330" spans="1:10" x14ac:dyDescent="0.35">
      <c r="A2330" t="s">
        <v>2330</v>
      </c>
      <c r="B2330">
        <v>17.07</v>
      </c>
      <c r="C2330">
        <v>5.22</v>
      </c>
      <c r="D2330" t="s">
        <v>2344</v>
      </c>
      <c r="E2330" t="s">
        <v>2344</v>
      </c>
      <c r="F2330" t="s">
        <v>2346</v>
      </c>
      <c r="G2330">
        <v>1</v>
      </c>
      <c r="H2330" t="s">
        <v>2344</v>
      </c>
      <c r="I2330" t="str">
        <f t="shared" si="73"/>
        <v>Under Weight</v>
      </c>
      <c r="J2330" t="str">
        <f t="shared" si="74"/>
        <v>Normal</v>
      </c>
    </row>
    <row r="2331" spans="1:10" x14ac:dyDescent="0.35">
      <c r="A2331" t="s">
        <v>2331</v>
      </c>
      <c r="B2331">
        <v>22.24</v>
      </c>
      <c r="C2331">
        <v>4.29</v>
      </c>
      <c r="D2331" t="s">
        <v>2346</v>
      </c>
      <c r="E2331" t="s">
        <v>2344</v>
      </c>
      <c r="F2331" t="s">
        <v>2344</v>
      </c>
      <c r="G2331">
        <v>0</v>
      </c>
      <c r="H2331" t="s">
        <v>2344</v>
      </c>
      <c r="I2331" t="str">
        <f t="shared" si="73"/>
        <v>Normal Weight</v>
      </c>
      <c r="J2331" t="str">
        <f t="shared" si="74"/>
        <v>Normal</v>
      </c>
    </row>
    <row r="2332" spans="1:10" x14ac:dyDescent="0.35">
      <c r="A2332" t="s">
        <v>2332</v>
      </c>
      <c r="B2332">
        <v>22.34</v>
      </c>
      <c r="C2332">
        <v>5.57</v>
      </c>
      <c r="D2332" t="s">
        <v>2344</v>
      </c>
      <c r="E2332" t="s">
        <v>2344</v>
      </c>
      <c r="F2332" t="s">
        <v>2344</v>
      </c>
      <c r="G2332">
        <v>1</v>
      </c>
      <c r="H2332" t="s">
        <v>2344</v>
      </c>
      <c r="I2332" t="str">
        <f t="shared" si="73"/>
        <v>Normal Weight</v>
      </c>
      <c r="J2332" t="str">
        <f t="shared" si="74"/>
        <v>Normal</v>
      </c>
    </row>
    <row r="2333" spans="1:10" x14ac:dyDescent="0.35">
      <c r="A2333" t="s">
        <v>2333</v>
      </c>
      <c r="B2333">
        <v>17.7</v>
      </c>
      <c r="C2333">
        <v>6.28</v>
      </c>
      <c r="D2333" t="s">
        <v>2344</v>
      </c>
      <c r="E2333" t="s">
        <v>2344</v>
      </c>
      <c r="F2333" t="s">
        <v>2344</v>
      </c>
      <c r="G2333">
        <v>1</v>
      </c>
      <c r="H2333" t="s">
        <v>2344</v>
      </c>
      <c r="I2333" t="str">
        <f t="shared" si="73"/>
        <v>Under Weight</v>
      </c>
      <c r="J2333" t="str">
        <f t="shared" si="74"/>
        <v>Prediabetes</v>
      </c>
    </row>
    <row r="2334" spans="1:10" x14ac:dyDescent="0.35">
      <c r="A2334" t="s">
        <v>2334</v>
      </c>
      <c r="B2334">
        <v>16.47</v>
      </c>
      <c r="C2334">
        <v>6.35</v>
      </c>
      <c r="D2334" t="s">
        <v>2344</v>
      </c>
      <c r="E2334" t="s">
        <v>2344</v>
      </c>
      <c r="F2334" t="s">
        <v>2346</v>
      </c>
      <c r="G2334">
        <v>1</v>
      </c>
      <c r="H2334" t="s">
        <v>2344</v>
      </c>
      <c r="I2334" t="str">
        <f t="shared" si="73"/>
        <v>Under Weight</v>
      </c>
      <c r="J2334" t="str">
        <f t="shared" si="74"/>
        <v>Prediabetes</v>
      </c>
    </row>
    <row r="2335" spans="1:10" x14ac:dyDescent="0.35">
      <c r="A2335" t="s">
        <v>2335</v>
      </c>
      <c r="B2335">
        <v>17.600000000000001</v>
      </c>
      <c r="C2335">
        <v>4.3899999999999997</v>
      </c>
      <c r="D2335" t="s">
        <v>2344</v>
      </c>
      <c r="E2335" t="s">
        <v>2344</v>
      </c>
      <c r="F2335" t="s">
        <v>2344</v>
      </c>
      <c r="G2335">
        <v>1</v>
      </c>
      <c r="H2335" t="s">
        <v>2344</v>
      </c>
      <c r="I2335" t="str">
        <f t="shared" si="73"/>
        <v>Under Weight</v>
      </c>
      <c r="J2335" t="str">
        <f t="shared" si="74"/>
        <v>Normal</v>
      </c>
    </row>
    <row r="2336" spans="1:10" x14ac:dyDescent="0.35">
      <c r="A2336" t="s">
        <v>2336</v>
      </c>
      <c r="B2336">
        <v>17.579999999999998</v>
      </c>
      <c r="C2336">
        <v>4.51</v>
      </c>
      <c r="D2336" t="s">
        <v>2344</v>
      </c>
      <c r="E2336" t="s">
        <v>2344</v>
      </c>
      <c r="F2336" t="s">
        <v>2344</v>
      </c>
      <c r="G2336">
        <v>1</v>
      </c>
      <c r="H2336" t="s">
        <v>2344</v>
      </c>
      <c r="I2336" t="str">
        <f t="shared" si="73"/>
        <v>Under Weight</v>
      </c>
      <c r="J2336" t="str">
        <f t="shared" si="74"/>
        <v>Normal</v>
      </c>
    </row>
    <row r="2338" spans="1:8" x14ac:dyDescent="0.35">
      <c r="A2338" t="s">
        <v>2384</v>
      </c>
    </row>
    <row r="2339" spans="1:8" x14ac:dyDescent="0.35">
      <c r="A2339">
        <f>COUNTIF(A2:A2336,"~?")</f>
        <v>0</v>
      </c>
      <c r="B2339">
        <f>COUNTIF(B2:B2336,"?")</f>
        <v>0</v>
      </c>
      <c r="C2339">
        <f>COUNTIF(C2:C2336,"?")</f>
        <v>0</v>
      </c>
      <c r="D2339">
        <f>COUNTIF(D2:D2336,"~?")</f>
        <v>0</v>
      </c>
      <c r="E2339">
        <f>COUNTIF(E2:E2336,"~?")</f>
        <v>0</v>
      </c>
      <c r="F2339">
        <f>COUNTIF(F2:F2336,"~?")</f>
        <v>0</v>
      </c>
      <c r="G2339">
        <f>COUNTIF(G2:G2336,"?")</f>
        <v>0</v>
      </c>
      <c r="H2339">
        <f>COUNTIF(H2:H2336,"~?")</f>
        <v>0</v>
      </c>
    </row>
    <row r="2341" spans="1:8" x14ac:dyDescent="0.35">
      <c r="A2341" t="s">
        <v>2385</v>
      </c>
    </row>
    <row r="2343" spans="1:8" x14ac:dyDescent="0.35">
      <c r="A2343" t="s">
        <v>2388</v>
      </c>
    </row>
    <row r="2346" spans="1:8" x14ac:dyDescent="0.35">
      <c r="A2346" t="s">
        <v>5432</v>
      </c>
      <c r="E2346" t="s">
        <v>5433</v>
      </c>
    </row>
    <row r="2349" spans="1:8" x14ac:dyDescent="0.35">
      <c r="A2349" t="s">
        <v>5434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D6C9-8529-490D-973D-02FBB506D17E}">
  <dimension ref="A1:K2360"/>
  <sheetViews>
    <sheetView workbookViewId="0">
      <selection activeCell="J1" sqref="J1:J1048576"/>
    </sheetView>
  </sheetViews>
  <sheetFormatPr defaultRowHeight="14.5" x14ac:dyDescent="0.35"/>
  <cols>
    <col min="1" max="1" width="17.08984375" customWidth="1"/>
    <col min="2" max="2" width="12.6328125" customWidth="1"/>
    <col min="3" max="3" width="13.453125" customWidth="1"/>
    <col min="4" max="4" width="13.6328125" customWidth="1"/>
    <col min="5" max="5" width="17.6328125" customWidth="1"/>
    <col min="6" max="6" width="11.08984375" style="10" customWidth="1"/>
    <col min="7" max="7" width="12.453125" customWidth="1"/>
    <col min="8" max="8" width="12.1796875" customWidth="1"/>
    <col min="10" max="10" width="13.36328125" customWidth="1"/>
    <col min="11" max="11" width="10.08984375" bestFit="1" customWidth="1"/>
  </cols>
  <sheetData>
    <row r="1" spans="1:11" ht="15.5" x14ac:dyDescent="0.35">
      <c r="A1" s="7" t="s">
        <v>0</v>
      </c>
      <c r="B1" s="7" t="s">
        <v>2348</v>
      </c>
      <c r="C1" s="7" t="s">
        <v>2349</v>
      </c>
      <c r="D1" s="7" t="s">
        <v>2350</v>
      </c>
      <c r="E1" s="7" t="s">
        <v>2351</v>
      </c>
      <c r="F1" s="9" t="s">
        <v>2352</v>
      </c>
      <c r="G1" s="7" t="s">
        <v>2353</v>
      </c>
      <c r="H1" s="7" t="s">
        <v>2354</v>
      </c>
      <c r="I1" s="7" t="s">
        <v>2355</v>
      </c>
      <c r="J1" s="5" t="s">
        <v>5435</v>
      </c>
    </row>
    <row r="2" spans="1:11" x14ac:dyDescent="0.35">
      <c r="A2" t="s">
        <v>2336</v>
      </c>
      <c r="B2">
        <v>1992</v>
      </c>
      <c r="C2" t="s">
        <v>2356</v>
      </c>
      <c r="D2">
        <v>9</v>
      </c>
      <c r="E2">
        <v>0</v>
      </c>
      <c r="F2" s="10">
        <v>563.84</v>
      </c>
      <c r="G2" t="s">
        <v>2357</v>
      </c>
      <c r="H2" t="s">
        <v>2358</v>
      </c>
      <c r="I2" t="s">
        <v>2359</v>
      </c>
      <c r="J2" s="8">
        <f>DATE(B2,MONTH(1&amp;C2),D2)</f>
        <v>33794</v>
      </c>
      <c r="K2" s="8"/>
    </row>
    <row r="3" spans="1:11" x14ac:dyDescent="0.35">
      <c r="A3" t="s">
        <v>2335</v>
      </c>
      <c r="B3">
        <v>1992</v>
      </c>
      <c r="C3" t="s">
        <v>2360</v>
      </c>
      <c r="D3">
        <v>30</v>
      </c>
      <c r="E3">
        <v>0</v>
      </c>
      <c r="F3" s="10">
        <v>570.62</v>
      </c>
      <c r="G3" t="s">
        <v>2357</v>
      </c>
      <c r="H3" t="s">
        <v>2361</v>
      </c>
      <c r="I3" t="s">
        <v>2359</v>
      </c>
      <c r="J3" s="8">
        <f t="shared" ref="J3:J66" si="0">DATE(B3,MONTH(1&amp;C3),D3)</f>
        <v>33938</v>
      </c>
      <c r="K3" s="8"/>
    </row>
    <row r="4" spans="1:11" x14ac:dyDescent="0.35">
      <c r="A4" t="s">
        <v>2334</v>
      </c>
      <c r="B4">
        <v>1993</v>
      </c>
      <c r="C4" t="s">
        <v>2362</v>
      </c>
      <c r="D4">
        <v>30</v>
      </c>
      <c r="E4">
        <v>0</v>
      </c>
      <c r="F4" s="10">
        <v>600</v>
      </c>
      <c r="G4" t="s">
        <v>2357</v>
      </c>
      <c r="H4" t="s">
        <v>2361</v>
      </c>
      <c r="I4" t="s">
        <v>2359</v>
      </c>
      <c r="J4" s="8">
        <f t="shared" si="0"/>
        <v>34150</v>
      </c>
      <c r="K4" s="8"/>
    </row>
    <row r="5" spans="1:11" x14ac:dyDescent="0.35">
      <c r="A5" t="s">
        <v>2333</v>
      </c>
      <c r="B5">
        <v>1992</v>
      </c>
      <c r="C5" t="s">
        <v>2363</v>
      </c>
      <c r="D5">
        <v>13</v>
      </c>
      <c r="E5">
        <v>0</v>
      </c>
      <c r="F5" s="10">
        <v>604.54</v>
      </c>
      <c r="G5" t="s">
        <v>2358</v>
      </c>
      <c r="H5" t="s">
        <v>2358</v>
      </c>
      <c r="I5" t="s">
        <v>2359</v>
      </c>
      <c r="J5" s="8">
        <f t="shared" si="0"/>
        <v>33860</v>
      </c>
      <c r="K5" s="8"/>
    </row>
    <row r="6" spans="1:11" x14ac:dyDescent="0.35">
      <c r="A6" t="s">
        <v>2332</v>
      </c>
      <c r="B6">
        <v>1998</v>
      </c>
      <c r="C6" t="s">
        <v>2356</v>
      </c>
      <c r="D6">
        <v>27</v>
      </c>
      <c r="E6">
        <v>0</v>
      </c>
      <c r="F6" s="10">
        <v>637.26</v>
      </c>
      <c r="G6" t="s">
        <v>2358</v>
      </c>
      <c r="H6" t="s">
        <v>2358</v>
      </c>
      <c r="I6" t="s">
        <v>2359</v>
      </c>
      <c r="J6" s="8">
        <f t="shared" si="0"/>
        <v>36003</v>
      </c>
      <c r="K6" s="8"/>
    </row>
    <row r="7" spans="1:11" x14ac:dyDescent="0.35">
      <c r="A7" t="s">
        <v>2331</v>
      </c>
      <c r="B7">
        <v>2001</v>
      </c>
      <c r="C7" t="s">
        <v>2360</v>
      </c>
      <c r="D7">
        <v>20</v>
      </c>
      <c r="E7">
        <v>0</v>
      </c>
      <c r="F7" s="10">
        <v>646.14</v>
      </c>
      <c r="G7" t="s">
        <v>2358</v>
      </c>
      <c r="H7" t="s">
        <v>2358</v>
      </c>
      <c r="I7" t="s">
        <v>2364</v>
      </c>
      <c r="J7" s="8">
        <f t="shared" si="0"/>
        <v>37215</v>
      </c>
      <c r="K7" s="8"/>
    </row>
    <row r="8" spans="1:11" x14ac:dyDescent="0.35">
      <c r="A8" t="s">
        <v>2330</v>
      </c>
      <c r="B8">
        <v>1993</v>
      </c>
      <c r="C8" t="s">
        <v>2362</v>
      </c>
      <c r="D8">
        <v>1</v>
      </c>
      <c r="E8">
        <v>0</v>
      </c>
      <c r="F8" s="10">
        <v>650</v>
      </c>
      <c r="G8" t="s">
        <v>2358</v>
      </c>
      <c r="H8" t="s">
        <v>2358</v>
      </c>
      <c r="I8" t="s">
        <v>2359</v>
      </c>
      <c r="J8" s="8">
        <f t="shared" si="0"/>
        <v>34121</v>
      </c>
      <c r="K8" s="8"/>
    </row>
    <row r="9" spans="1:11" x14ac:dyDescent="0.35">
      <c r="A9" t="s">
        <v>2329</v>
      </c>
      <c r="B9">
        <v>1995</v>
      </c>
      <c r="C9" t="s">
        <v>2356</v>
      </c>
      <c r="D9">
        <v>4</v>
      </c>
      <c r="E9">
        <v>0</v>
      </c>
      <c r="F9" s="10">
        <v>650</v>
      </c>
      <c r="G9" t="s">
        <v>2358</v>
      </c>
      <c r="H9" t="s">
        <v>2358</v>
      </c>
      <c r="I9" t="s">
        <v>2359</v>
      </c>
      <c r="J9" s="8">
        <f t="shared" si="0"/>
        <v>34884</v>
      </c>
      <c r="K9" s="8"/>
    </row>
    <row r="10" spans="1:11" x14ac:dyDescent="0.35">
      <c r="A10" t="s">
        <v>2328</v>
      </c>
      <c r="B10">
        <v>2002</v>
      </c>
      <c r="C10" t="s">
        <v>2360</v>
      </c>
      <c r="D10">
        <v>29</v>
      </c>
      <c r="E10">
        <v>0</v>
      </c>
      <c r="F10" s="10">
        <v>668</v>
      </c>
      <c r="G10" t="s">
        <v>2358</v>
      </c>
      <c r="H10" t="s">
        <v>2357</v>
      </c>
      <c r="I10" t="s">
        <v>2364</v>
      </c>
      <c r="J10" s="8">
        <f t="shared" si="0"/>
        <v>37589</v>
      </c>
      <c r="K10" s="8"/>
    </row>
    <row r="11" spans="1:11" x14ac:dyDescent="0.35">
      <c r="A11" t="s">
        <v>2327</v>
      </c>
      <c r="B11">
        <v>1997</v>
      </c>
      <c r="C11" t="s">
        <v>2360</v>
      </c>
      <c r="D11">
        <v>9</v>
      </c>
      <c r="E11">
        <v>0</v>
      </c>
      <c r="F11" s="10">
        <v>670</v>
      </c>
      <c r="G11" t="s">
        <v>2358</v>
      </c>
      <c r="H11" t="s">
        <v>2358</v>
      </c>
      <c r="I11" t="s">
        <v>2359</v>
      </c>
      <c r="J11" s="8">
        <f t="shared" si="0"/>
        <v>35743</v>
      </c>
      <c r="K11" s="8"/>
    </row>
    <row r="12" spans="1:11" x14ac:dyDescent="0.35">
      <c r="A12" t="s">
        <v>2326</v>
      </c>
      <c r="B12">
        <v>2001</v>
      </c>
      <c r="C12" t="s">
        <v>2363</v>
      </c>
      <c r="D12">
        <v>12</v>
      </c>
      <c r="E12">
        <v>0</v>
      </c>
      <c r="F12" s="10">
        <v>687.54</v>
      </c>
      <c r="G12" t="s">
        <v>2358</v>
      </c>
      <c r="H12" t="s">
        <v>2357</v>
      </c>
      <c r="I12" t="s">
        <v>2359</v>
      </c>
      <c r="J12" s="8">
        <f t="shared" si="0"/>
        <v>37146</v>
      </c>
      <c r="K12" s="8"/>
    </row>
    <row r="13" spans="1:11" x14ac:dyDescent="0.35">
      <c r="A13" t="s">
        <v>2325</v>
      </c>
      <c r="B13">
        <v>1999</v>
      </c>
      <c r="C13" t="s">
        <v>2365</v>
      </c>
      <c r="D13">
        <v>26</v>
      </c>
      <c r="E13">
        <v>0</v>
      </c>
      <c r="F13" s="10">
        <v>700</v>
      </c>
      <c r="G13" t="s">
        <v>2357</v>
      </c>
      <c r="H13" t="s">
        <v>2358</v>
      </c>
      <c r="I13" t="s">
        <v>2359</v>
      </c>
      <c r="J13" s="8">
        <f t="shared" si="0"/>
        <v>36520</v>
      </c>
      <c r="K13" s="8"/>
    </row>
    <row r="14" spans="1:11" x14ac:dyDescent="0.35">
      <c r="A14" t="s">
        <v>2324</v>
      </c>
      <c r="B14">
        <v>1999</v>
      </c>
      <c r="C14" t="s">
        <v>2365</v>
      </c>
      <c r="D14">
        <v>14</v>
      </c>
      <c r="E14">
        <v>0</v>
      </c>
      <c r="F14" s="10">
        <v>722.99</v>
      </c>
      <c r="G14" t="s">
        <v>2358</v>
      </c>
      <c r="H14" t="s">
        <v>2361</v>
      </c>
      <c r="I14" t="s">
        <v>2359</v>
      </c>
      <c r="J14" s="8">
        <f t="shared" si="0"/>
        <v>36508</v>
      </c>
      <c r="K14" s="8"/>
    </row>
    <row r="15" spans="1:11" x14ac:dyDescent="0.35">
      <c r="A15" t="s">
        <v>2323</v>
      </c>
      <c r="B15">
        <v>2002</v>
      </c>
      <c r="C15" t="s">
        <v>2363</v>
      </c>
      <c r="D15">
        <v>19</v>
      </c>
      <c r="E15">
        <v>0</v>
      </c>
      <c r="F15" s="10">
        <v>750</v>
      </c>
      <c r="G15" t="s">
        <v>2358</v>
      </c>
      <c r="H15" t="s">
        <v>2361</v>
      </c>
      <c r="I15" t="s">
        <v>2364</v>
      </c>
      <c r="J15" s="8">
        <f t="shared" si="0"/>
        <v>37518</v>
      </c>
      <c r="K15" s="8"/>
    </row>
    <row r="16" spans="1:11" x14ac:dyDescent="0.35">
      <c r="A16" t="s">
        <v>2322</v>
      </c>
      <c r="B16">
        <v>1993</v>
      </c>
      <c r="C16" t="s">
        <v>2366</v>
      </c>
      <c r="D16">
        <v>9</v>
      </c>
      <c r="E16">
        <v>0</v>
      </c>
      <c r="F16" s="10">
        <v>760</v>
      </c>
      <c r="G16" t="s">
        <v>2358</v>
      </c>
      <c r="H16" t="s">
        <v>2361</v>
      </c>
      <c r="I16" t="s">
        <v>2359</v>
      </c>
      <c r="J16" s="8">
        <f t="shared" si="0"/>
        <v>34190</v>
      </c>
      <c r="K16" s="8"/>
    </row>
    <row r="17" spans="1:11" x14ac:dyDescent="0.35">
      <c r="A17" t="s">
        <v>2321</v>
      </c>
      <c r="B17">
        <v>1996</v>
      </c>
      <c r="C17" t="s">
        <v>2367</v>
      </c>
      <c r="D17">
        <v>22</v>
      </c>
      <c r="E17">
        <v>0</v>
      </c>
      <c r="F17" s="10">
        <v>760</v>
      </c>
      <c r="G17" t="s">
        <v>2358</v>
      </c>
      <c r="H17" t="s">
        <v>2358</v>
      </c>
      <c r="I17" t="s">
        <v>2359</v>
      </c>
      <c r="J17" s="8">
        <f t="shared" si="0"/>
        <v>35360</v>
      </c>
      <c r="K17" s="8"/>
    </row>
    <row r="18" spans="1:11" x14ac:dyDescent="0.35">
      <c r="A18" t="s">
        <v>2320</v>
      </c>
      <c r="B18">
        <v>1993</v>
      </c>
      <c r="C18" t="s">
        <v>2362</v>
      </c>
      <c r="D18">
        <v>28</v>
      </c>
      <c r="E18">
        <v>0</v>
      </c>
      <c r="F18" s="10">
        <v>770</v>
      </c>
      <c r="G18" t="s">
        <v>2358</v>
      </c>
      <c r="H18" t="s">
        <v>2358</v>
      </c>
      <c r="I18" t="s">
        <v>2359</v>
      </c>
      <c r="J18" s="8">
        <f t="shared" si="0"/>
        <v>34148</v>
      </c>
      <c r="K18" s="8"/>
    </row>
    <row r="19" spans="1:11" x14ac:dyDescent="0.35">
      <c r="A19" t="s">
        <v>2319</v>
      </c>
      <c r="B19">
        <v>1996</v>
      </c>
      <c r="C19" t="s">
        <v>2363</v>
      </c>
      <c r="D19">
        <v>18</v>
      </c>
      <c r="E19">
        <v>0</v>
      </c>
      <c r="F19" s="10">
        <v>770.38</v>
      </c>
      <c r="G19" t="s">
        <v>2358</v>
      </c>
      <c r="H19" t="s">
        <v>2357</v>
      </c>
      <c r="I19" t="s">
        <v>2364</v>
      </c>
      <c r="J19" s="8">
        <f t="shared" si="0"/>
        <v>35326</v>
      </c>
      <c r="K19" s="8"/>
    </row>
    <row r="20" spans="1:11" x14ac:dyDescent="0.35">
      <c r="A20" t="s">
        <v>2318</v>
      </c>
      <c r="B20">
        <v>1995</v>
      </c>
      <c r="C20" t="s">
        <v>2365</v>
      </c>
      <c r="D20">
        <v>7</v>
      </c>
      <c r="E20">
        <v>0</v>
      </c>
      <c r="F20" s="10">
        <v>773.54</v>
      </c>
      <c r="G20" t="s">
        <v>2358</v>
      </c>
      <c r="H20" t="s">
        <v>2357</v>
      </c>
      <c r="I20" t="s">
        <v>2359</v>
      </c>
      <c r="J20" s="8">
        <f t="shared" si="0"/>
        <v>35040</v>
      </c>
      <c r="K20" s="8"/>
    </row>
    <row r="21" spans="1:11" x14ac:dyDescent="0.35">
      <c r="A21" t="s">
        <v>2317</v>
      </c>
      <c r="B21">
        <v>2004</v>
      </c>
      <c r="C21" t="s">
        <v>2367</v>
      </c>
      <c r="D21">
        <v>7</v>
      </c>
      <c r="E21">
        <v>0</v>
      </c>
      <c r="F21" s="10">
        <v>830.52</v>
      </c>
      <c r="G21" t="s">
        <v>2358</v>
      </c>
      <c r="H21" t="s">
        <v>2357</v>
      </c>
      <c r="I21" t="s">
        <v>2368</v>
      </c>
      <c r="J21" s="8">
        <f t="shared" si="0"/>
        <v>38267</v>
      </c>
      <c r="K21" s="8"/>
    </row>
    <row r="22" spans="1:11" x14ac:dyDescent="0.35">
      <c r="A22" t="s">
        <v>2316</v>
      </c>
      <c r="B22">
        <v>2000</v>
      </c>
      <c r="C22" t="s">
        <v>2360</v>
      </c>
      <c r="D22">
        <v>18</v>
      </c>
      <c r="E22">
        <v>0</v>
      </c>
      <c r="F22" s="10">
        <v>865.41</v>
      </c>
      <c r="G22" t="s">
        <v>2358</v>
      </c>
      <c r="H22" t="s">
        <v>2361</v>
      </c>
      <c r="I22" t="s">
        <v>2359</v>
      </c>
      <c r="J22" s="8">
        <f t="shared" si="0"/>
        <v>36848</v>
      </c>
      <c r="K22" s="8"/>
    </row>
    <row r="23" spans="1:11" x14ac:dyDescent="0.35">
      <c r="A23" t="s">
        <v>2315</v>
      </c>
      <c r="B23">
        <v>1993</v>
      </c>
      <c r="C23" t="s">
        <v>2360</v>
      </c>
      <c r="D23">
        <v>27</v>
      </c>
      <c r="E23">
        <v>0</v>
      </c>
      <c r="F23" s="10">
        <v>896.21</v>
      </c>
      <c r="G23" t="s">
        <v>2358</v>
      </c>
      <c r="H23" t="s">
        <v>2361</v>
      </c>
      <c r="I23" t="s">
        <v>2359</v>
      </c>
      <c r="J23" s="8">
        <f t="shared" si="0"/>
        <v>34300</v>
      </c>
      <c r="K23" s="8"/>
    </row>
    <row r="24" spans="1:11" x14ac:dyDescent="0.35">
      <c r="A24" t="s">
        <v>2314</v>
      </c>
      <c r="B24">
        <v>1994</v>
      </c>
      <c r="C24" t="s">
        <v>2367</v>
      </c>
      <c r="D24">
        <v>30</v>
      </c>
      <c r="E24">
        <v>0</v>
      </c>
      <c r="F24" s="10">
        <v>915.07</v>
      </c>
      <c r="G24" t="s">
        <v>2358</v>
      </c>
      <c r="H24" t="s">
        <v>2361</v>
      </c>
      <c r="I24" t="s">
        <v>2359</v>
      </c>
      <c r="J24" s="8">
        <f t="shared" si="0"/>
        <v>34637</v>
      </c>
      <c r="K24" s="8"/>
    </row>
    <row r="25" spans="1:11" x14ac:dyDescent="0.35">
      <c r="A25" t="s">
        <v>2313</v>
      </c>
      <c r="B25">
        <v>1995</v>
      </c>
      <c r="C25" t="s">
        <v>2367</v>
      </c>
      <c r="D25">
        <v>28</v>
      </c>
      <c r="E25">
        <v>0</v>
      </c>
      <c r="F25" s="10">
        <v>928.59</v>
      </c>
      <c r="G25" t="s">
        <v>2358</v>
      </c>
      <c r="H25" t="s">
        <v>2361</v>
      </c>
      <c r="I25" t="s">
        <v>2359</v>
      </c>
      <c r="J25" s="8">
        <f t="shared" si="0"/>
        <v>35000</v>
      </c>
      <c r="K25" s="8"/>
    </row>
    <row r="26" spans="1:11" x14ac:dyDescent="0.35">
      <c r="A26" t="s">
        <v>2312</v>
      </c>
      <c r="B26">
        <v>2001</v>
      </c>
      <c r="C26" t="s">
        <v>2366</v>
      </c>
      <c r="D26">
        <v>19</v>
      </c>
      <c r="E26">
        <v>0</v>
      </c>
      <c r="F26" s="10">
        <v>964.71</v>
      </c>
      <c r="G26" t="s">
        <v>2358</v>
      </c>
      <c r="H26" t="s">
        <v>2357</v>
      </c>
      <c r="I26" t="s">
        <v>2359</v>
      </c>
      <c r="J26" s="8">
        <f t="shared" si="0"/>
        <v>37122</v>
      </c>
      <c r="K26" s="8"/>
    </row>
    <row r="27" spans="1:11" x14ac:dyDescent="0.35">
      <c r="A27" t="s">
        <v>2311</v>
      </c>
      <c r="B27">
        <v>1994</v>
      </c>
      <c r="C27" t="s">
        <v>2360</v>
      </c>
      <c r="D27">
        <v>22</v>
      </c>
      <c r="E27">
        <v>0</v>
      </c>
      <c r="F27" s="10">
        <v>1006.65</v>
      </c>
      <c r="G27" t="s">
        <v>2358</v>
      </c>
      <c r="H27" t="s">
        <v>2357</v>
      </c>
      <c r="I27" t="s">
        <v>2359</v>
      </c>
      <c r="J27" s="8">
        <f t="shared" si="0"/>
        <v>34660</v>
      </c>
      <c r="K27" s="8"/>
    </row>
    <row r="28" spans="1:11" x14ac:dyDescent="0.35">
      <c r="A28" t="s">
        <v>2310</v>
      </c>
      <c r="B28">
        <v>2000</v>
      </c>
      <c r="C28" t="s">
        <v>2367</v>
      </c>
      <c r="D28">
        <v>9</v>
      </c>
      <c r="E28">
        <v>0</v>
      </c>
      <c r="F28" s="10">
        <v>1012</v>
      </c>
      <c r="G28" t="s">
        <v>2358</v>
      </c>
      <c r="H28" t="s">
        <v>2357</v>
      </c>
      <c r="I28" t="s">
        <v>2359</v>
      </c>
      <c r="J28" s="8">
        <f t="shared" si="0"/>
        <v>36808</v>
      </c>
      <c r="K28" s="8"/>
    </row>
    <row r="29" spans="1:11" x14ac:dyDescent="0.35">
      <c r="A29" t="s">
        <v>2309</v>
      </c>
      <c r="B29">
        <v>1999</v>
      </c>
      <c r="C29" t="s">
        <v>2366</v>
      </c>
      <c r="D29">
        <v>5</v>
      </c>
      <c r="E29">
        <v>0</v>
      </c>
      <c r="F29" s="10">
        <v>1019</v>
      </c>
      <c r="G29" t="s">
        <v>2358</v>
      </c>
      <c r="H29" t="s">
        <v>2357</v>
      </c>
      <c r="I29" t="s">
        <v>2359</v>
      </c>
      <c r="J29" s="8">
        <f t="shared" si="0"/>
        <v>36377</v>
      </c>
      <c r="K29" s="8"/>
    </row>
    <row r="30" spans="1:11" x14ac:dyDescent="0.35">
      <c r="A30" t="s">
        <v>2308</v>
      </c>
      <c r="B30">
        <v>1995</v>
      </c>
      <c r="C30" t="s">
        <v>2367</v>
      </c>
      <c r="D30">
        <v>5</v>
      </c>
      <c r="E30">
        <v>0</v>
      </c>
      <c r="F30" s="10">
        <v>1033.74</v>
      </c>
      <c r="G30" t="s">
        <v>2358</v>
      </c>
      <c r="H30" t="s">
        <v>2361</v>
      </c>
      <c r="I30" t="s">
        <v>2359</v>
      </c>
      <c r="J30" s="8">
        <f t="shared" si="0"/>
        <v>34977</v>
      </c>
      <c r="K30" s="8"/>
    </row>
    <row r="31" spans="1:11" x14ac:dyDescent="0.35">
      <c r="A31" t="s">
        <v>2307</v>
      </c>
      <c r="B31">
        <v>1994</v>
      </c>
      <c r="C31" t="s">
        <v>2360</v>
      </c>
      <c r="D31">
        <v>17</v>
      </c>
      <c r="E31">
        <v>0</v>
      </c>
      <c r="F31" s="10">
        <v>1044</v>
      </c>
      <c r="G31" t="s">
        <v>2358</v>
      </c>
      <c r="H31" t="s">
        <v>2357</v>
      </c>
      <c r="I31" t="s">
        <v>2359</v>
      </c>
      <c r="J31" s="8">
        <f t="shared" si="0"/>
        <v>34655</v>
      </c>
      <c r="K31" s="8"/>
    </row>
    <row r="32" spans="1:11" x14ac:dyDescent="0.35">
      <c r="A32" t="s">
        <v>2306</v>
      </c>
      <c r="B32">
        <v>2002</v>
      </c>
      <c r="C32" t="s">
        <v>2356</v>
      </c>
      <c r="D32">
        <v>20</v>
      </c>
      <c r="E32">
        <v>0</v>
      </c>
      <c r="F32" s="10">
        <v>1047</v>
      </c>
      <c r="G32" t="s">
        <v>2358</v>
      </c>
      <c r="H32" t="s">
        <v>2361</v>
      </c>
      <c r="I32" t="s">
        <v>2359</v>
      </c>
      <c r="J32" s="8">
        <f t="shared" si="0"/>
        <v>37457</v>
      </c>
      <c r="K32" s="8"/>
    </row>
    <row r="33" spans="1:11" x14ac:dyDescent="0.35">
      <c r="A33" t="s">
        <v>2305</v>
      </c>
      <c r="B33">
        <v>2002</v>
      </c>
      <c r="C33" t="s">
        <v>2356</v>
      </c>
      <c r="D33">
        <v>1</v>
      </c>
      <c r="E33">
        <v>0</v>
      </c>
      <c r="F33" s="10">
        <v>1049</v>
      </c>
      <c r="G33" t="s">
        <v>2358</v>
      </c>
      <c r="H33" t="s">
        <v>2357</v>
      </c>
      <c r="I33" t="s">
        <v>2364</v>
      </c>
      <c r="J33" s="8">
        <f t="shared" si="0"/>
        <v>37438</v>
      </c>
      <c r="K33" s="8"/>
    </row>
    <row r="34" spans="1:11" x14ac:dyDescent="0.35">
      <c r="A34" t="s">
        <v>2304</v>
      </c>
      <c r="B34">
        <v>1995</v>
      </c>
      <c r="C34" t="s">
        <v>2362</v>
      </c>
      <c r="D34">
        <v>1</v>
      </c>
      <c r="E34">
        <v>0</v>
      </c>
      <c r="F34" s="10">
        <v>1056</v>
      </c>
      <c r="G34" t="s">
        <v>2358</v>
      </c>
      <c r="H34" t="s">
        <v>2357</v>
      </c>
      <c r="I34" t="s">
        <v>2359</v>
      </c>
      <c r="J34" s="8">
        <f t="shared" si="0"/>
        <v>34851</v>
      </c>
      <c r="K34" s="8"/>
    </row>
    <row r="35" spans="1:11" x14ac:dyDescent="0.35">
      <c r="A35" t="s">
        <v>2303</v>
      </c>
      <c r="B35">
        <v>1993</v>
      </c>
      <c r="C35" t="s">
        <v>2363</v>
      </c>
      <c r="D35">
        <v>28</v>
      </c>
      <c r="E35">
        <v>0</v>
      </c>
      <c r="F35" s="10">
        <v>1068</v>
      </c>
      <c r="G35" t="s">
        <v>2358</v>
      </c>
      <c r="H35" t="s">
        <v>2361</v>
      </c>
      <c r="I35" t="s">
        <v>2359</v>
      </c>
      <c r="J35" s="8">
        <f t="shared" si="0"/>
        <v>34240</v>
      </c>
      <c r="K35" s="8"/>
    </row>
    <row r="36" spans="1:11" x14ac:dyDescent="0.35">
      <c r="A36" t="s">
        <v>2302</v>
      </c>
      <c r="B36">
        <v>2004</v>
      </c>
      <c r="C36" t="s">
        <v>2366</v>
      </c>
      <c r="D36">
        <v>24</v>
      </c>
      <c r="E36">
        <v>0</v>
      </c>
      <c r="F36" s="10">
        <v>1070</v>
      </c>
      <c r="G36" t="s">
        <v>2358</v>
      </c>
      <c r="H36" t="s">
        <v>2358</v>
      </c>
      <c r="I36" t="s">
        <v>2359</v>
      </c>
      <c r="J36" s="8">
        <f t="shared" si="0"/>
        <v>38223</v>
      </c>
      <c r="K36" s="8"/>
    </row>
    <row r="37" spans="1:11" x14ac:dyDescent="0.35">
      <c r="A37" t="s">
        <v>2301</v>
      </c>
      <c r="B37">
        <v>1997</v>
      </c>
      <c r="C37" t="s">
        <v>2366</v>
      </c>
      <c r="D37">
        <v>13</v>
      </c>
      <c r="E37">
        <v>0</v>
      </c>
      <c r="F37" s="10">
        <v>1071</v>
      </c>
      <c r="G37" t="s">
        <v>2358</v>
      </c>
      <c r="H37" t="s">
        <v>2358</v>
      </c>
      <c r="I37" t="s">
        <v>2359</v>
      </c>
      <c r="J37" s="8">
        <f t="shared" si="0"/>
        <v>35655</v>
      </c>
      <c r="K37" s="8"/>
    </row>
    <row r="38" spans="1:11" x14ac:dyDescent="0.35">
      <c r="A38" t="s">
        <v>2300</v>
      </c>
      <c r="B38">
        <v>1998</v>
      </c>
      <c r="C38" t="s">
        <v>2365</v>
      </c>
      <c r="D38">
        <v>26</v>
      </c>
      <c r="E38">
        <v>0</v>
      </c>
      <c r="F38" s="10">
        <v>1082</v>
      </c>
      <c r="G38" t="s">
        <v>2358</v>
      </c>
      <c r="H38" t="s">
        <v>2357</v>
      </c>
      <c r="I38" t="s">
        <v>2359</v>
      </c>
      <c r="J38" s="8">
        <f t="shared" si="0"/>
        <v>36155</v>
      </c>
      <c r="K38" s="8"/>
    </row>
    <row r="39" spans="1:11" x14ac:dyDescent="0.35">
      <c r="A39" t="s">
        <v>2299</v>
      </c>
      <c r="B39">
        <v>2002</v>
      </c>
      <c r="C39" t="s">
        <v>2366</v>
      </c>
      <c r="D39">
        <v>13</v>
      </c>
      <c r="E39">
        <v>0</v>
      </c>
      <c r="F39" s="10">
        <v>1086</v>
      </c>
      <c r="G39" t="s">
        <v>2358</v>
      </c>
      <c r="H39" t="s">
        <v>2358</v>
      </c>
      <c r="I39" t="s">
        <v>2359</v>
      </c>
      <c r="J39" s="8">
        <f t="shared" si="0"/>
        <v>37481</v>
      </c>
      <c r="K39" s="8"/>
    </row>
    <row r="40" spans="1:11" x14ac:dyDescent="0.35">
      <c r="A40" t="s">
        <v>2298</v>
      </c>
      <c r="B40">
        <v>2004</v>
      </c>
      <c r="C40" t="s">
        <v>2360</v>
      </c>
      <c r="D40">
        <v>12</v>
      </c>
      <c r="E40">
        <v>0</v>
      </c>
      <c r="F40" s="10">
        <v>1121.8699999999999</v>
      </c>
      <c r="G40" t="s">
        <v>2358</v>
      </c>
      <c r="H40" t="s">
        <v>2361</v>
      </c>
      <c r="I40" t="s">
        <v>2359</v>
      </c>
      <c r="J40" s="8">
        <f t="shared" si="0"/>
        <v>38303</v>
      </c>
      <c r="K40" s="8"/>
    </row>
    <row r="41" spans="1:11" x14ac:dyDescent="0.35">
      <c r="A41" t="s">
        <v>2297</v>
      </c>
      <c r="B41">
        <v>2004</v>
      </c>
      <c r="C41" t="s">
        <v>2362</v>
      </c>
      <c r="D41">
        <v>14</v>
      </c>
      <c r="E41">
        <v>0</v>
      </c>
      <c r="F41" s="10">
        <v>1131.51</v>
      </c>
      <c r="G41" t="s">
        <v>2358</v>
      </c>
      <c r="H41" t="s">
        <v>2361</v>
      </c>
      <c r="I41" t="s">
        <v>2359</v>
      </c>
      <c r="J41" s="8">
        <f t="shared" si="0"/>
        <v>38152</v>
      </c>
      <c r="K41" s="8"/>
    </row>
    <row r="42" spans="1:11" x14ac:dyDescent="0.35">
      <c r="A42" t="s">
        <v>2296</v>
      </c>
      <c r="B42">
        <v>2002</v>
      </c>
      <c r="C42" t="s">
        <v>2356</v>
      </c>
      <c r="D42">
        <v>19</v>
      </c>
      <c r="E42">
        <v>0</v>
      </c>
      <c r="F42" s="10">
        <v>1132</v>
      </c>
      <c r="G42" t="s">
        <v>2358</v>
      </c>
      <c r="H42" t="s">
        <v>2361</v>
      </c>
      <c r="I42" t="s">
        <v>2359</v>
      </c>
      <c r="J42" s="8">
        <f t="shared" si="0"/>
        <v>37456</v>
      </c>
      <c r="K42" s="8"/>
    </row>
    <row r="43" spans="1:11" x14ac:dyDescent="0.35">
      <c r="A43" t="s">
        <v>2295</v>
      </c>
      <c r="B43">
        <v>2004</v>
      </c>
      <c r="C43" t="s">
        <v>2367</v>
      </c>
      <c r="D43">
        <v>6</v>
      </c>
      <c r="E43">
        <v>0</v>
      </c>
      <c r="F43" s="10">
        <v>1135</v>
      </c>
      <c r="G43" t="s">
        <v>2358</v>
      </c>
      <c r="H43" t="s">
        <v>2358</v>
      </c>
      <c r="I43" t="s">
        <v>2359</v>
      </c>
      <c r="J43" s="8">
        <f t="shared" si="0"/>
        <v>38266</v>
      </c>
      <c r="K43" s="8"/>
    </row>
    <row r="44" spans="1:11" x14ac:dyDescent="0.35">
      <c r="A44" t="s">
        <v>2294</v>
      </c>
      <c r="B44">
        <v>2004</v>
      </c>
      <c r="C44" t="s">
        <v>2362</v>
      </c>
      <c r="D44">
        <v>11</v>
      </c>
      <c r="E44">
        <v>0</v>
      </c>
      <c r="F44" s="10">
        <v>1135.94</v>
      </c>
      <c r="G44" t="s">
        <v>2358</v>
      </c>
      <c r="H44" t="s">
        <v>2358</v>
      </c>
      <c r="I44" t="s">
        <v>2359</v>
      </c>
      <c r="J44" s="8">
        <f t="shared" si="0"/>
        <v>38149</v>
      </c>
      <c r="K44" s="8"/>
    </row>
    <row r="45" spans="1:11" x14ac:dyDescent="0.35">
      <c r="A45" t="s">
        <v>2293</v>
      </c>
      <c r="B45">
        <v>2004</v>
      </c>
      <c r="C45" t="s">
        <v>2360</v>
      </c>
      <c r="D45">
        <v>28</v>
      </c>
      <c r="E45">
        <v>0</v>
      </c>
      <c r="F45" s="10">
        <v>1136.4000000000001</v>
      </c>
      <c r="G45" t="s">
        <v>2358</v>
      </c>
      <c r="H45" t="s">
        <v>2358</v>
      </c>
      <c r="I45" t="s">
        <v>2359</v>
      </c>
      <c r="J45" s="8">
        <f t="shared" si="0"/>
        <v>38319</v>
      </c>
      <c r="K45" s="8"/>
    </row>
    <row r="46" spans="1:11" x14ac:dyDescent="0.35">
      <c r="A46" t="s">
        <v>2292</v>
      </c>
      <c r="B46">
        <v>2002</v>
      </c>
      <c r="C46" t="s">
        <v>2366</v>
      </c>
      <c r="D46">
        <v>11</v>
      </c>
      <c r="E46">
        <v>0</v>
      </c>
      <c r="F46" s="10">
        <v>1137</v>
      </c>
      <c r="G46" t="s">
        <v>2358</v>
      </c>
      <c r="H46" t="s">
        <v>2361</v>
      </c>
      <c r="I46" t="s">
        <v>2359</v>
      </c>
      <c r="J46" s="8">
        <f t="shared" si="0"/>
        <v>37479</v>
      </c>
      <c r="K46" s="8"/>
    </row>
    <row r="47" spans="1:11" x14ac:dyDescent="0.35">
      <c r="A47" t="s">
        <v>2347</v>
      </c>
      <c r="B47">
        <v>2004</v>
      </c>
      <c r="C47" t="s">
        <v>2360</v>
      </c>
      <c r="D47">
        <v>6</v>
      </c>
      <c r="E47">
        <v>0</v>
      </c>
      <c r="F47" s="10">
        <v>1137.01</v>
      </c>
      <c r="G47" t="s">
        <v>2358</v>
      </c>
      <c r="H47" t="s">
        <v>2361</v>
      </c>
      <c r="I47" t="s">
        <v>2359</v>
      </c>
      <c r="J47" s="8">
        <f t="shared" si="0"/>
        <v>38297</v>
      </c>
      <c r="K47" s="8"/>
    </row>
    <row r="48" spans="1:11" x14ac:dyDescent="0.35">
      <c r="A48" t="s">
        <v>2291</v>
      </c>
      <c r="B48">
        <v>2004</v>
      </c>
      <c r="C48" t="s">
        <v>2367</v>
      </c>
      <c r="D48">
        <v>15</v>
      </c>
      <c r="E48">
        <v>0</v>
      </c>
      <c r="F48" s="10">
        <v>1137.01</v>
      </c>
      <c r="G48" t="s">
        <v>2358</v>
      </c>
      <c r="H48" t="s">
        <v>2361</v>
      </c>
      <c r="I48" t="s">
        <v>2359</v>
      </c>
      <c r="J48" s="8">
        <f t="shared" si="0"/>
        <v>38275</v>
      </c>
      <c r="K48" s="8"/>
    </row>
    <row r="49" spans="1:11" x14ac:dyDescent="0.35">
      <c r="A49" t="s">
        <v>2290</v>
      </c>
      <c r="B49">
        <v>2004</v>
      </c>
      <c r="C49" t="s">
        <v>2360</v>
      </c>
      <c r="D49">
        <v>27</v>
      </c>
      <c r="E49">
        <v>0</v>
      </c>
      <c r="F49" s="10">
        <v>1137.47</v>
      </c>
      <c r="G49" t="s">
        <v>2358</v>
      </c>
      <c r="H49" t="s">
        <v>2357</v>
      </c>
      <c r="I49" t="s">
        <v>2359</v>
      </c>
      <c r="J49" s="8">
        <f t="shared" si="0"/>
        <v>38318</v>
      </c>
      <c r="K49" s="8"/>
    </row>
    <row r="50" spans="1:11" x14ac:dyDescent="0.35">
      <c r="A50" t="s">
        <v>2289</v>
      </c>
      <c r="B50">
        <v>2001</v>
      </c>
      <c r="C50" t="s">
        <v>2367</v>
      </c>
      <c r="D50">
        <v>25</v>
      </c>
      <c r="E50">
        <v>0</v>
      </c>
      <c r="F50" s="10">
        <v>1141</v>
      </c>
      <c r="G50" t="s">
        <v>2358</v>
      </c>
      <c r="H50" t="s">
        <v>2361</v>
      </c>
      <c r="I50" t="s">
        <v>2359</v>
      </c>
      <c r="J50" s="8">
        <f t="shared" si="0"/>
        <v>37189</v>
      </c>
      <c r="K50" s="8"/>
    </row>
    <row r="51" spans="1:11" x14ac:dyDescent="0.35">
      <c r="A51" t="s">
        <v>2288</v>
      </c>
      <c r="B51">
        <v>2004</v>
      </c>
      <c r="C51" t="s">
        <v>2363</v>
      </c>
      <c r="D51">
        <v>12</v>
      </c>
      <c r="E51">
        <v>0</v>
      </c>
      <c r="F51" s="10">
        <v>1141.45</v>
      </c>
      <c r="G51" t="s">
        <v>2358</v>
      </c>
      <c r="H51" t="s">
        <v>2358</v>
      </c>
      <c r="I51" t="s">
        <v>2359</v>
      </c>
      <c r="J51" s="8">
        <f t="shared" si="0"/>
        <v>38242</v>
      </c>
      <c r="K51" s="8"/>
    </row>
    <row r="52" spans="1:11" x14ac:dyDescent="0.35">
      <c r="A52" t="s">
        <v>2287</v>
      </c>
      <c r="B52">
        <v>2002</v>
      </c>
      <c r="C52" t="s">
        <v>2367</v>
      </c>
      <c r="D52">
        <v>1</v>
      </c>
      <c r="E52">
        <v>0</v>
      </c>
      <c r="F52" s="10">
        <v>1142</v>
      </c>
      <c r="G52" t="s">
        <v>2358</v>
      </c>
      <c r="H52" t="s">
        <v>2357</v>
      </c>
      <c r="I52" t="s">
        <v>2368</v>
      </c>
      <c r="J52" s="8">
        <f t="shared" si="0"/>
        <v>37530</v>
      </c>
      <c r="K52" s="8"/>
    </row>
    <row r="53" spans="1:11" x14ac:dyDescent="0.35">
      <c r="A53" t="s">
        <v>2286</v>
      </c>
      <c r="B53">
        <v>2004</v>
      </c>
      <c r="C53" t="s">
        <v>2362</v>
      </c>
      <c r="D53">
        <v>10</v>
      </c>
      <c r="E53">
        <v>0</v>
      </c>
      <c r="F53" s="10">
        <v>1146.8</v>
      </c>
      <c r="G53" t="s">
        <v>2357</v>
      </c>
      <c r="H53" t="s">
        <v>2357</v>
      </c>
      <c r="I53" t="s">
        <v>2359</v>
      </c>
      <c r="J53" s="8">
        <f t="shared" si="0"/>
        <v>38148</v>
      </c>
      <c r="K53" s="8"/>
    </row>
    <row r="54" spans="1:11" x14ac:dyDescent="0.35">
      <c r="A54" t="s">
        <v>2285</v>
      </c>
      <c r="B54">
        <v>2003</v>
      </c>
      <c r="C54" t="s">
        <v>2362</v>
      </c>
      <c r="D54">
        <v>12</v>
      </c>
      <c r="E54">
        <v>0</v>
      </c>
      <c r="F54" s="10">
        <v>1149</v>
      </c>
      <c r="G54" t="s">
        <v>2357</v>
      </c>
      <c r="H54" t="s">
        <v>2361</v>
      </c>
      <c r="I54" t="s">
        <v>2364</v>
      </c>
      <c r="J54" s="8">
        <f t="shared" si="0"/>
        <v>37784</v>
      </c>
      <c r="K54" s="8"/>
    </row>
    <row r="55" spans="1:11" x14ac:dyDescent="0.35">
      <c r="A55" t="s">
        <v>2284</v>
      </c>
      <c r="B55">
        <v>2004</v>
      </c>
      <c r="C55" t="s">
        <v>2356</v>
      </c>
      <c r="D55">
        <v>18</v>
      </c>
      <c r="E55">
        <v>0</v>
      </c>
      <c r="F55" s="10">
        <v>1149.4000000000001</v>
      </c>
      <c r="G55" t="s">
        <v>2357</v>
      </c>
      <c r="H55" t="s">
        <v>2357</v>
      </c>
      <c r="I55" t="s">
        <v>2359</v>
      </c>
      <c r="J55" s="8">
        <f t="shared" si="0"/>
        <v>38186</v>
      </c>
      <c r="K55" s="8"/>
    </row>
    <row r="56" spans="1:11" x14ac:dyDescent="0.35">
      <c r="A56" t="s">
        <v>2283</v>
      </c>
      <c r="B56">
        <v>1994</v>
      </c>
      <c r="C56" t="s">
        <v>2356</v>
      </c>
      <c r="D56">
        <v>26</v>
      </c>
      <c r="E56">
        <v>0</v>
      </c>
      <c r="F56" s="10">
        <v>1158.32</v>
      </c>
      <c r="G56" t="s">
        <v>2357</v>
      </c>
      <c r="H56" t="s">
        <v>2361</v>
      </c>
      <c r="I56" t="s">
        <v>2359</v>
      </c>
      <c r="J56" s="8">
        <f t="shared" si="0"/>
        <v>34541</v>
      </c>
      <c r="K56" s="8"/>
    </row>
    <row r="57" spans="1:11" x14ac:dyDescent="0.35">
      <c r="A57" t="s">
        <v>2282</v>
      </c>
      <c r="B57">
        <v>2004</v>
      </c>
      <c r="C57" t="s">
        <v>2360</v>
      </c>
      <c r="D57">
        <v>11</v>
      </c>
      <c r="E57">
        <v>0</v>
      </c>
      <c r="F57" s="10">
        <v>1163.46</v>
      </c>
      <c r="G57" t="s">
        <v>2357</v>
      </c>
      <c r="H57" t="s">
        <v>2358</v>
      </c>
      <c r="I57" t="s">
        <v>2359</v>
      </c>
      <c r="J57" s="8">
        <f t="shared" si="0"/>
        <v>38302</v>
      </c>
      <c r="K57" s="8"/>
    </row>
    <row r="58" spans="1:11" x14ac:dyDescent="0.35">
      <c r="A58" t="s">
        <v>2281</v>
      </c>
      <c r="B58">
        <v>2002</v>
      </c>
      <c r="C58" t="s">
        <v>2362</v>
      </c>
      <c r="D58">
        <v>11</v>
      </c>
      <c r="E58">
        <v>0</v>
      </c>
      <c r="F58" s="10">
        <v>1165</v>
      </c>
      <c r="G58" t="s">
        <v>2357</v>
      </c>
      <c r="H58" t="s">
        <v>2358</v>
      </c>
      <c r="I58" t="s">
        <v>2364</v>
      </c>
      <c r="J58" s="8">
        <f t="shared" si="0"/>
        <v>37418</v>
      </c>
      <c r="K58" s="8"/>
    </row>
    <row r="59" spans="1:11" x14ac:dyDescent="0.35">
      <c r="A59" t="s">
        <v>2280</v>
      </c>
      <c r="B59">
        <v>2001</v>
      </c>
      <c r="C59" t="s">
        <v>2360</v>
      </c>
      <c r="D59">
        <v>12</v>
      </c>
      <c r="E59">
        <v>0</v>
      </c>
      <c r="F59" s="10">
        <v>1167</v>
      </c>
      <c r="G59" t="s">
        <v>2357</v>
      </c>
      <c r="H59" t="s">
        <v>2361</v>
      </c>
      <c r="I59" t="s">
        <v>2359</v>
      </c>
      <c r="J59" s="8">
        <f t="shared" si="0"/>
        <v>37207</v>
      </c>
      <c r="K59" s="8"/>
    </row>
    <row r="60" spans="1:11" x14ac:dyDescent="0.35">
      <c r="A60" t="s">
        <v>2279</v>
      </c>
      <c r="B60">
        <v>1996</v>
      </c>
      <c r="C60" t="s">
        <v>2366</v>
      </c>
      <c r="D60">
        <v>11</v>
      </c>
      <c r="E60">
        <v>0</v>
      </c>
      <c r="F60" s="10">
        <v>1178</v>
      </c>
      <c r="G60" t="s">
        <v>2357</v>
      </c>
      <c r="H60" t="s">
        <v>2358</v>
      </c>
      <c r="I60" t="s">
        <v>2359</v>
      </c>
      <c r="J60" s="8">
        <f t="shared" si="0"/>
        <v>35288</v>
      </c>
      <c r="K60" s="8"/>
    </row>
    <row r="61" spans="1:11" x14ac:dyDescent="0.35">
      <c r="A61" t="s">
        <v>2278</v>
      </c>
      <c r="B61">
        <v>1997</v>
      </c>
      <c r="C61" t="s">
        <v>2362</v>
      </c>
      <c r="D61">
        <v>28</v>
      </c>
      <c r="E61">
        <v>0</v>
      </c>
      <c r="F61" s="10">
        <v>1178.07</v>
      </c>
      <c r="G61" t="s">
        <v>2357</v>
      </c>
      <c r="H61" t="s">
        <v>2357</v>
      </c>
      <c r="I61" t="s">
        <v>2359</v>
      </c>
      <c r="J61" s="8">
        <f t="shared" si="0"/>
        <v>35609</v>
      </c>
      <c r="K61" s="8"/>
    </row>
    <row r="62" spans="1:11" x14ac:dyDescent="0.35">
      <c r="A62" t="s">
        <v>2277</v>
      </c>
      <c r="B62">
        <v>2002</v>
      </c>
      <c r="C62" t="s">
        <v>2366</v>
      </c>
      <c r="D62">
        <v>26</v>
      </c>
      <c r="E62">
        <v>0</v>
      </c>
      <c r="F62" s="10">
        <v>1191</v>
      </c>
      <c r="G62" t="s">
        <v>2357</v>
      </c>
      <c r="H62" t="s">
        <v>2361</v>
      </c>
      <c r="I62" t="s">
        <v>2359</v>
      </c>
      <c r="J62" s="8">
        <f t="shared" si="0"/>
        <v>37494</v>
      </c>
      <c r="K62" s="8"/>
    </row>
    <row r="63" spans="1:11" x14ac:dyDescent="0.35">
      <c r="A63" t="s">
        <v>2276</v>
      </c>
      <c r="B63">
        <v>1999</v>
      </c>
      <c r="C63" t="s">
        <v>2362</v>
      </c>
      <c r="D63">
        <v>28</v>
      </c>
      <c r="E63">
        <v>0</v>
      </c>
      <c r="F63" s="10">
        <v>1200</v>
      </c>
      <c r="G63" t="s">
        <v>2357</v>
      </c>
      <c r="H63" t="s">
        <v>2358</v>
      </c>
      <c r="I63" t="s">
        <v>2364</v>
      </c>
      <c r="J63" s="8">
        <f t="shared" si="0"/>
        <v>36339</v>
      </c>
      <c r="K63" s="8"/>
    </row>
    <row r="64" spans="1:11" x14ac:dyDescent="0.35">
      <c r="A64" t="s">
        <v>2275</v>
      </c>
      <c r="B64">
        <v>1992</v>
      </c>
      <c r="C64" t="s">
        <v>2367</v>
      </c>
      <c r="D64">
        <v>6</v>
      </c>
      <c r="E64">
        <v>0</v>
      </c>
      <c r="F64" s="10">
        <v>1200.55</v>
      </c>
      <c r="G64" t="s">
        <v>2357</v>
      </c>
      <c r="H64" t="s">
        <v>2358</v>
      </c>
      <c r="I64" t="s">
        <v>2359</v>
      </c>
      <c r="J64" s="8">
        <f t="shared" si="0"/>
        <v>33883</v>
      </c>
      <c r="K64" s="8"/>
    </row>
    <row r="65" spans="1:11" x14ac:dyDescent="0.35">
      <c r="A65" t="s">
        <v>2274</v>
      </c>
      <c r="B65">
        <v>2004</v>
      </c>
      <c r="C65" t="s">
        <v>2362</v>
      </c>
      <c r="D65">
        <v>2</v>
      </c>
      <c r="E65">
        <v>0</v>
      </c>
      <c r="F65" s="10">
        <v>1210</v>
      </c>
      <c r="G65" t="s">
        <v>2357</v>
      </c>
      <c r="H65" t="s">
        <v>2361</v>
      </c>
      <c r="I65" t="s">
        <v>2359</v>
      </c>
      <c r="J65" s="8">
        <f t="shared" si="0"/>
        <v>38140</v>
      </c>
      <c r="K65" s="8"/>
    </row>
    <row r="66" spans="1:11" x14ac:dyDescent="0.35">
      <c r="A66" t="s">
        <v>2273</v>
      </c>
      <c r="B66">
        <v>1996</v>
      </c>
      <c r="C66" t="s">
        <v>2360</v>
      </c>
      <c r="D66">
        <v>4</v>
      </c>
      <c r="E66">
        <v>0</v>
      </c>
      <c r="F66" s="10">
        <v>1220</v>
      </c>
      <c r="G66" t="s">
        <v>2357</v>
      </c>
      <c r="H66" t="s">
        <v>2358</v>
      </c>
      <c r="I66" t="s">
        <v>2364</v>
      </c>
      <c r="J66" s="8">
        <f t="shared" si="0"/>
        <v>35373</v>
      </c>
      <c r="K66" s="8"/>
    </row>
    <row r="67" spans="1:11" x14ac:dyDescent="0.35">
      <c r="A67" t="s">
        <v>2272</v>
      </c>
      <c r="B67">
        <v>2004</v>
      </c>
      <c r="C67" t="s">
        <v>2356</v>
      </c>
      <c r="D67">
        <v>9</v>
      </c>
      <c r="E67">
        <v>0</v>
      </c>
      <c r="F67" s="10">
        <v>1224</v>
      </c>
      <c r="G67" t="s">
        <v>2357</v>
      </c>
      <c r="H67" t="s">
        <v>2361</v>
      </c>
      <c r="I67" t="s">
        <v>2359</v>
      </c>
      <c r="J67" s="8">
        <f t="shared" ref="J67:J130" si="1">DATE(B67,MONTH(1&amp;C67),D67)</f>
        <v>38177</v>
      </c>
      <c r="K67" s="8"/>
    </row>
    <row r="68" spans="1:11" x14ac:dyDescent="0.35">
      <c r="A68" t="s">
        <v>2271</v>
      </c>
      <c r="B68">
        <v>2004</v>
      </c>
      <c r="C68" t="s">
        <v>2367</v>
      </c>
      <c r="D68">
        <v>16</v>
      </c>
      <c r="E68">
        <v>0</v>
      </c>
      <c r="F68" s="10">
        <v>1228</v>
      </c>
      <c r="G68" t="s">
        <v>2357</v>
      </c>
      <c r="H68" t="s">
        <v>2361</v>
      </c>
      <c r="I68" t="s">
        <v>2364</v>
      </c>
      <c r="J68" s="8">
        <f t="shared" si="1"/>
        <v>38276</v>
      </c>
      <c r="K68" s="8"/>
    </row>
    <row r="69" spans="1:11" x14ac:dyDescent="0.35">
      <c r="A69" t="s">
        <v>2270</v>
      </c>
      <c r="B69">
        <v>1998</v>
      </c>
      <c r="C69" t="s">
        <v>2356</v>
      </c>
      <c r="D69">
        <v>13</v>
      </c>
      <c r="E69">
        <v>0</v>
      </c>
      <c r="F69" s="10">
        <v>1234</v>
      </c>
      <c r="G69" t="s">
        <v>2357</v>
      </c>
      <c r="H69" t="s">
        <v>2361</v>
      </c>
      <c r="I69" t="s">
        <v>2359</v>
      </c>
      <c r="J69" s="8">
        <f t="shared" si="1"/>
        <v>35989</v>
      </c>
      <c r="K69" s="8"/>
    </row>
    <row r="70" spans="1:11" x14ac:dyDescent="0.35">
      <c r="A70" t="s">
        <v>2269</v>
      </c>
      <c r="B70">
        <v>2002</v>
      </c>
      <c r="C70" t="s">
        <v>2365</v>
      </c>
      <c r="D70">
        <v>12</v>
      </c>
      <c r="E70">
        <v>0</v>
      </c>
      <c r="F70" s="10">
        <v>1237</v>
      </c>
      <c r="G70" t="s">
        <v>2357</v>
      </c>
      <c r="H70" t="s">
        <v>2357</v>
      </c>
      <c r="I70" t="s">
        <v>2359</v>
      </c>
      <c r="J70" s="8">
        <f t="shared" si="1"/>
        <v>37602</v>
      </c>
      <c r="K70" s="8"/>
    </row>
    <row r="71" spans="1:11" x14ac:dyDescent="0.35">
      <c r="A71" t="s">
        <v>2268</v>
      </c>
      <c r="B71">
        <v>1998</v>
      </c>
      <c r="C71" t="s">
        <v>2367</v>
      </c>
      <c r="D71">
        <v>11</v>
      </c>
      <c r="E71">
        <v>0</v>
      </c>
      <c r="F71" s="10">
        <v>1240</v>
      </c>
      <c r="G71" t="s">
        <v>2357</v>
      </c>
      <c r="H71" t="s">
        <v>2361</v>
      </c>
      <c r="I71" t="s">
        <v>2364</v>
      </c>
      <c r="J71" s="8">
        <f t="shared" si="1"/>
        <v>36079</v>
      </c>
      <c r="K71" s="8"/>
    </row>
    <row r="72" spans="1:11" x14ac:dyDescent="0.35">
      <c r="A72" t="s">
        <v>2267</v>
      </c>
      <c r="B72">
        <v>2002</v>
      </c>
      <c r="C72" t="s">
        <v>2356</v>
      </c>
      <c r="D72">
        <v>1</v>
      </c>
      <c r="E72">
        <v>0</v>
      </c>
      <c r="F72" s="10">
        <v>1241</v>
      </c>
      <c r="G72" t="s">
        <v>2357</v>
      </c>
      <c r="H72" t="s">
        <v>2357</v>
      </c>
      <c r="I72" t="s">
        <v>2359</v>
      </c>
      <c r="J72" s="8">
        <f t="shared" si="1"/>
        <v>37438</v>
      </c>
      <c r="K72" s="8"/>
    </row>
    <row r="73" spans="1:11" x14ac:dyDescent="0.35">
      <c r="A73" t="s">
        <v>2266</v>
      </c>
      <c r="B73">
        <v>2003</v>
      </c>
      <c r="C73" t="s">
        <v>2366</v>
      </c>
      <c r="D73">
        <v>2</v>
      </c>
      <c r="E73">
        <v>0</v>
      </c>
      <c r="F73" s="10">
        <v>1241.57</v>
      </c>
      <c r="G73" t="s">
        <v>2357</v>
      </c>
      <c r="H73" t="s">
        <v>2357</v>
      </c>
      <c r="I73" t="s">
        <v>2368</v>
      </c>
      <c r="J73" s="8">
        <f t="shared" si="1"/>
        <v>37835</v>
      </c>
      <c r="K73" s="8"/>
    </row>
    <row r="74" spans="1:11" x14ac:dyDescent="0.35">
      <c r="A74" t="s">
        <v>2265</v>
      </c>
      <c r="B74">
        <v>2003</v>
      </c>
      <c r="C74" t="s">
        <v>2363</v>
      </c>
      <c r="D74">
        <v>15</v>
      </c>
      <c r="E74">
        <v>0</v>
      </c>
      <c r="F74" s="10">
        <v>1242.26</v>
      </c>
      <c r="G74" t="s">
        <v>2357</v>
      </c>
      <c r="H74" t="s">
        <v>2361</v>
      </c>
      <c r="I74" t="s">
        <v>2368</v>
      </c>
      <c r="J74" s="8">
        <f t="shared" si="1"/>
        <v>37879</v>
      </c>
      <c r="K74" s="8"/>
    </row>
    <row r="75" spans="1:11" x14ac:dyDescent="0.35">
      <c r="A75" t="s">
        <v>2264</v>
      </c>
      <c r="B75">
        <v>2003</v>
      </c>
      <c r="C75" t="s">
        <v>2363</v>
      </c>
      <c r="D75">
        <v>8</v>
      </c>
      <c r="E75">
        <v>0</v>
      </c>
      <c r="F75" s="10">
        <v>1242.82</v>
      </c>
      <c r="G75" t="s">
        <v>2357</v>
      </c>
      <c r="H75" t="s">
        <v>2361</v>
      </c>
      <c r="I75" t="s">
        <v>2368</v>
      </c>
      <c r="J75" s="8">
        <f t="shared" si="1"/>
        <v>37872</v>
      </c>
      <c r="K75" s="8"/>
    </row>
    <row r="76" spans="1:11" x14ac:dyDescent="0.35">
      <c r="A76" t="s">
        <v>2263</v>
      </c>
      <c r="B76">
        <v>2003</v>
      </c>
      <c r="C76" t="s">
        <v>2363</v>
      </c>
      <c r="D76">
        <v>15</v>
      </c>
      <c r="E76">
        <v>0</v>
      </c>
      <c r="F76" s="10">
        <v>1252.4100000000001</v>
      </c>
      <c r="G76" t="s">
        <v>2357</v>
      </c>
      <c r="H76" t="s">
        <v>2358</v>
      </c>
      <c r="I76" t="s">
        <v>2368</v>
      </c>
      <c r="J76" s="8">
        <f t="shared" si="1"/>
        <v>37879</v>
      </c>
      <c r="K76" s="8"/>
    </row>
    <row r="77" spans="1:11" x14ac:dyDescent="0.35">
      <c r="A77" t="s">
        <v>2262</v>
      </c>
      <c r="B77">
        <v>1997</v>
      </c>
      <c r="C77" t="s">
        <v>2360</v>
      </c>
      <c r="D77">
        <v>4</v>
      </c>
      <c r="E77">
        <v>0</v>
      </c>
      <c r="F77" s="10">
        <v>1253</v>
      </c>
      <c r="G77" t="s">
        <v>2357</v>
      </c>
      <c r="H77" t="s">
        <v>2357</v>
      </c>
      <c r="I77" t="s">
        <v>2359</v>
      </c>
      <c r="J77" s="8">
        <f t="shared" si="1"/>
        <v>35738</v>
      </c>
      <c r="K77" s="8"/>
    </row>
    <row r="78" spans="1:11" x14ac:dyDescent="0.35">
      <c r="A78" t="s">
        <v>2261</v>
      </c>
      <c r="B78">
        <v>2003</v>
      </c>
      <c r="C78" t="s">
        <v>2365</v>
      </c>
      <c r="D78">
        <v>10</v>
      </c>
      <c r="E78">
        <v>0</v>
      </c>
      <c r="F78" s="10">
        <v>1253.94</v>
      </c>
      <c r="G78" t="s">
        <v>2357</v>
      </c>
      <c r="H78" t="s">
        <v>2357</v>
      </c>
      <c r="I78" t="s">
        <v>2368</v>
      </c>
      <c r="J78" s="8">
        <f t="shared" si="1"/>
        <v>37965</v>
      </c>
      <c r="K78" s="8"/>
    </row>
    <row r="79" spans="1:11" x14ac:dyDescent="0.35">
      <c r="A79" t="s">
        <v>2260</v>
      </c>
      <c r="B79">
        <v>2003</v>
      </c>
      <c r="C79" t="s">
        <v>2367</v>
      </c>
      <c r="D79">
        <v>13</v>
      </c>
      <c r="E79">
        <v>0</v>
      </c>
      <c r="F79" s="10">
        <v>1256.3</v>
      </c>
      <c r="G79" t="s">
        <v>2357</v>
      </c>
      <c r="H79" t="s">
        <v>2358</v>
      </c>
      <c r="I79" t="s">
        <v>2368</v>
      </c>
      <c r="J79" s="8">
        <f t="shared" si="1"/>
        <v>37907</v>
      </c>
      <c r="K79" s="8"/>
    </row>
    <row r="80" spans="1:11" x14ac:dyDescent="0.35">
      <c r="A80" t="s">
        <v>2259</v>
      </c>
      <c r="B80">
        <v>2003</v>
      </c>
      <c r="C80" t="s">
        <v>2367</v>
      </c>
      <c r="D80">
        <v>30</v>
      </c>
      <c r="E80">
        <v>0</v>
      </c>
      <c r="F80" s="10">
        <v>1261.44</v>
      </c>
      <c r="G80" t="s">
        <v>2357</v>
      </c>
      <c r="H80" t="s">
        <v>2358</v>
      </c>
      <c r="I80" t="s">
        <v>2368</v>
      </c>
      <c r="J80" s="8">
        <f t="shared" si="1"/>
        <v>37924</v>
      </c>
      <c r="K80" s="8"/>
    </row>
    <row r="81" spans="1:11" x14ac:dyDescent="0.35">
      <c r="A81" t="s">
        <v>2258</v>
      </c>
      <c r="B81">
        <v>2003</v>
      </c>
      <c r="C81" t="s">
        <v>2366</v>
      </c>
      <c r="D81">
        <v>15</v>
      </c>
      <c r="E81">
        <v>0</v>
      </c>
      <c r="F81" s="10">
        <v>1261.8599999999999</v>
      </c>
      <c r="G81" t="s">
        <v>2357</v>
      </c>
      <c r="H81" t="s">
        <v>2358</v>
      </c>
      <c r="I81" t="s">
        <v>2368</v>
      </c>
      <c r="J81" s="8">
        <f t="shared" si="1"/>
        <v>37848</v>
      </c>
      <c r="K81" s="8"/>
    </row>
    <row r="82" spans="1:11" x14ac:dyDescent="0.35">
      <c r="A82" t="s">
        <v>2257</v>
      </c>
      <c r="B82">
        <v>2003</v>
      </c>
      <c r="C82" t="s">
        <v>2360</v>
      </c>
      <c r="D82">
        <v>21</v>
      </c>
      <c r="E82">
        <v>0</v>
      </c>
      <c r="F82" s="10">
        <v>1263.25</v>
      </c>
      <c r="G82" t="s">
        <v>2357</v>
      </c>
      <c r="H82" t="s">
        <v>2358</v>
      </c>
      <c r="I82" t="s">
        <v>2368</v>
      </c>
      <c r="J82" s="8">
        <f t="shared" si="1"/>
        <v>37946</v>
      </c>
      <c r="K82" s="8"/>
    </row>
    <row r="83" spans="1:11" x14ac:dyDescent="0.35">
      <c r="A83" t="s">
        <v>2256</v>
      </c>
      <c r="B83">
        <v>2002</v>
      </c>
      <c r="C83" t="s">
        <v>2365</v>
      </c>
      <c r="D83">
        <v>4</v>
      </c>
      <c r="E83">
        <v>0</v>
      </c>
      <c r="F83" s="10">
        <v>1267</v>
      </c>
      <c r="G83" t="s">
        <v>2357</v>
      </c>
      <c r="H83" t="s">
        <v>2361</v>
      </c>
      <c r="I83" t="s">
        <v>2359</v>
      </c>
      <c r="J83" s="8">
        <f t="shared" si="1"/>
        <v>37594</v>
      </c>
      <c r="K83" s="8"/>
    </row>
    <row r="84" spans="1:11" x14ac:dyDescent="0.35">
      <c r="A84" t="s">
        <v>2255</v>
      </c>
      <c r="B84">
        <v>1997</v>
      </c>
      <c r="C84" t="s">
        <v>2367</v>
      </c>
      <c r="D84">
        <v>26</v>
      </c>
      <c r="E84">
        <v>0</v>
      </c>
      <c r="F84" s="10">
        <v>1276</v>
      </c>
      <c r="G84" t="s">
        <v>2357</v>
      </c>
      <c r="H84" t="s">
        <v>2357</v>
      </c>
      <c r="I84" t="s">
        <v>2364</v>
      </c>
      <c r="J84" s="8">
        <f t="shared" si="1"/>
        <v>35729</v>
      </c>
      <c r="K84" s="8"/>
    </row>
    <row r="85" spans="1:11" x14ac:dyDescent="0.35">
      <c r="A85" t="s">
        <v>2254</v>
      </c>
      <c r="B85">
        <v>2004</v>
      </c>
      <c r="C85" t="s">
        <v>2363</v>
      </c>
      <c r="D85">
        <v>30</v>
      </c>
      <c r="E85">
        <v>0</v>
      </c>
      <c r="F85" s="10">
        <v>1283</v>
      </c>
      <c r="G85" t="s">
        <v>2357</v>
      </c>
      <c r="H85" t="s">
        <v>2361</v>
      </c>
      <c r="I85" t="s">
        <v>2359</v>
      </c>
      <c r="J85" s="8">
        <f t="shared" si="1"/>
        <v>38260</v>
      </c>
      <c r="K85" s="8"/>
    </row>
    <row r="86" spans="1:11" x14ac:dyDescent="0.35">
      <c r="A86" t="s">
        <v>2253</v>
      </c>
      <c r="B86">
        <v>2004</v>
      </c>
      <c r="C86" t="s">
        <v>2356</v>
      </c>
      <c r="D86">
        <v>28</v>
      </c>
      <c r="E86">
        <v>0</v>
      </c>
      <c r="F86" s="10">
        <v>1285</v>
      </c>
      <c r="G86" t="s">
        <v>2357</v>
      </c>
      <c r="H86" t="s">
        <v>2358</v>
      </c>
      <c r="I86" t="s">
        <v>2359</v>
      </c>
      <c r="J86" s="8">
        <f t="shared" si="1"/>
        <v>38196</v>
      </c>
      <c r="K86" s="8"/>
    </row>
    <row r="87" spans="1:11" x14ac:dyDescent="0.35">
      <c r="A87" t="s">
        <v>2252</v>
      </c>
      <c r="B87">
        <v>2000</v>
      </c>
      <c r="C87" t="s">
        <v>2362</v>
      </c>
      <c r="D87">
        <v>26</v>
      </c>
      <c r="E87">
        <v>0</v>
      </c>
      <c r="F87" s="10">
        <v>1286</v>
      </c>
      <c r="G87" t="s">
        <v>2357</v>
      </c>
      <c r="H87" t="s">
        <v>2357</v>
      </c>
      <c r="I87" t="s">
        <v>2359</v>
      </c>
      <c r="J87" s="8">
        <f t="shared" si="1"/>
        <v>36703</v>
      </c>
      <c r="K87" s="8"/>
    </row>
    <row r="88" spans="1:11" x14ac:dyDescent="0.35">
      <c r="A88" t="s">
        <v>2251</v>
      </c>
      <c r="B88">
        <v>1998</v>
      </c>
      <c r="C88" t="s">
        <v>2362</v>
      </c>
      <c r="D88">
        <v>4</v>
      </c>
      <c r="E88">
        <v>0</v>
      </c>
      <c r="F88" s="10">
        <v>1290.93</v>
      </c>
      <c r="G88" t="s">
        <v>2357</v>
      </c>
      <c r="H88" t="s">
        <v>2357</v>
      </c>
      <c r="I88" t="s">
        <v>2359</v>
      </c>
      <c r="J88" s="8">
        <f t="shared" si="1"/>
        <v>35950</v>
      </c>
      <c r="K88" s="8"/>
    </row>
    <row r="89" spans="1:11" x14ac:dyDescent="0.35">
      <c r="A89" t="s">
        <v>2250</v>
      </c>
      <c r="B89">
        <v>2001</v>
      </c>
      <c r="C89" t="s">
        <v>2360</v>
      </c>
      <c r="D89">
        <v>29</v>
      </c>
      <c r="E89">
        <v>0</v>
      </c>
      <c r="F89" s="10">
        <v>1293</v>
      </c>
      <c r="G89" t="s">
        <v>2357</v>
      </c>
      <c r="H89" t="s">
        <v>2358</v>
      </c>
      <c r="I89" t="s">
        <v>2364</v>
      </c>
      <c r="J89" s="8">
        <f t="shared" si="1"/>
        <v>37224</v>
      </c>
      <c r="K89" s="8"/>
    </row>
    <row r="90" spans="1:11" x14ac:dyDescent="0.35">
      <c r="A90" t="s">
        <v>2249</v>
      </c>
      <c r="B90">
        <v>2002</v>
      </c>
      <c r="C90" t="s">
        <v>2365</v>
      </c>
      <c r="D90">
        <v>10</v>
      </c>
      <c r="E90">
        <v>0</v>
      </c>
      <c r="F90" s="10">
        <v>1304</v>
      </c>
      <c r="G90" t="s">
        <v>2357</v>
      </c>
      <c r="H90" t="s">
        <v>2357</v>
      </c>
      <c r="I90" t="s">
        <v>2364</v>
      </c>
      <c r="J90" s="8">
        <f t="shared" si="1"/>
        <v>37600</v>
      </c>
    </row>
    <row r="91" spans="1:11" x14ac:dyDescent="0.35">
      <c r="A91" t="s">
        <v>2248</v>
      </c>
      <c r="B91">
        <v>1999</v>
      </c>
      <c r="C91" t="s">
        <v>2365</v>
      </c>
      <c r="D91">
        <v>2</v>
      </c>
      <c r="E91">
        <v>0</v>
      </c>
      <c r="F91" s="10">
        <v>1304</v>
      </c>
      <c r="G91" t="s">
        <v>2357</v>
      </c>
      <c r="H91" t="s">
        <v>2357</v>
      </c>
      <c r="I91" t="s">
        <v>2359</v>
      </c>
      <c r="J91" s="8">
        <f t="shared" si="1"/>
        <v>36496</v>
      </c>
    </row>
    <row r="92" spans="1:11" x14ac:dyDescent="0.35">
      <c r="A92" t="s">
        <v>2247</v>
      </c>
      <c r="B92">
        <v>2002</v>
      </c>
      <c r="C92" t="s">
        <v>2367</v>
      </c>
      <c r="D92">
        <v>13</v>
      </c>
      <c r="E92">
        <v>0</v>
      </c>
      <c r="F92" s="10">
        <v>1315</v>
      </c>
      <c r="G92" t="s">
        <v>2357</v>
      </c>
      <c r="H92" t="s">
        <v>2357</v>
      </c>
      <c r="I92" t="s">
        <v>2359</v>
      </c>
      <c r="J92" s="8">
        <f t="shared" si="1"/>
        <v>37542</v>
      </c>
    </row>
    <row r="93" spans="1:11" x14ac:dyDescent="0.35">
      <c r="A93" t="s">
        <v>2246</v>
      </c>
      <c r="B93">
        <v>1999</v>
      </c>
      <c r="C93" t="s">
        <v>2367</v>
      </c>
      <c r="D93">
        <v>14</v>
      </c>
      <c r="E93">
        <v>0</v>
      </c>
      <c r="F93" s="10">
        <v>1329.17</v>
      </c>
      <c r="G93" t="s">
        <v>2357</v>
      </c>
      <c r="H93" t="s">
        <v>2358</v>
      </c>
      <c r="I93" t="s">
        <v>2359</v>
      </c>
      <c r="J93" s="8">
        <f t="shared" si="1"/>
        <v>36447</v>
      </c>
    </row>
    <row r="94" spans="1:11" x14ac:dyDescent="0.35">
      <c r="A94" t="s">
        <v>2245</v>
      </c>
      <c r="B94">
        <v>1998</v>
      </c>
      <c r="C94" t="s">
        <v>2356</v>
      </c>
      <c r="D94">
        <v>12</v>
      </c>
      <c r="E94">
        <v>0</v>
      </c>
      <c r="F94" s="10">
        <v>1332.61</v>
      </c>
      <c r="G94" t="s">
        <v>2357</v>
      </c>
      <c r="H94" t="s">
        <v>2358</v>
      </c>
      <c r="I94" t="s">
        <v>2359</v>
      </c>
      <c r="J94" s="8">
        <f t="shared" si="1"/>
        <v>35988</v>
      </c>
    </row>
    <row r="95" spans="1:11" x14ac:dyDescent="0.35">
      <c r="A95" t="s">
        <v>2244</v>
      </c>
      <c r="B95">
        <v>1995</v>
      </c>
      <c r="C95" t="s">
        <v>2356</v>
      </c>
      <c r="D95">
        <v>30</v>
      </c>
      <c r="E95">
        <v>0</v>
      </c>
      <c r="F95" s="10">
        <v>1338</v>
      </c>
      <c r="G95" t="s">
        <v>2357</v>
      </c>
      <c r="H95" t="s">
        <v>2358</v>
      </c>
      <c r="I95" t="s">
        <v>2364</v>
      </c>
      <c r="J95" s="8">
        <f t="shared" si="1"/>
        <v>34910</v>
      </c>
    </row>
    <row r="96" spans="1:11" x14ac:dyDescent="0.35">
      <c r="A96" t="s">
        <v>2243</v>
      </c>
      <c r="B96">
        <v>1997</v>
      </c>
      <c r="C96" t="s">
        <v>2360</v>
      </c>
      <c r="D96">
        <v>7</v>
      </c>
      <c r="E96">
        <v>0</v>
      </c>
      <c r="F96" s="10">
        <v>1341.16</v>
      </c>
      <c r="G96" t="s">
        <v>2357</v>
      </c>
      <c r="H96" t="s">
        <v>2357</v>
      </c>
      <c r="I96" t="s">
        <v>2364</v>
      </c>
      <c r="J96" s="8">
        <f t="shared" si="1"/>
        <v>35741</v>
      </c>
    </row>
    <row r="97" spans="1:10" x14ac:dyDescent="0.35">
      <c r="A97" t="s">
        <v>2242</v>
      </c>
      <c r="B97">
        <v>1998</v>
      </c>
      <c r="C97" t="s">
        <v>2365</v>
      </c>
      <c r="D97">
        <v>3</v>
      </c>
      <c r="E97">
        <v>0</v>
      </c>
      <c r="F97" s="10">
        <v>1359</v>
      </c>
      <c r="G97" t="s">
        <v>2357</v>
      </c>
      <c r="H97" t="s">
        <v>2361</v>
      </c>
      <c r="I97" t="s">
        <v>2359</v>
      </c>
      <c r="J97" s="8">
        <f t="shared" si="1"/>
        <v>36132</v>
      </c>
    </row>
    <row r="98" spans="1:10" x14ac:dyDescent="0.35">
      <c r="A98" t="s">
        <v>2241</v>
      </c>
      <c r="B98">
        <v>2002</v>
      </c>
      <c r="C98" t="s">
        <v>2366</v>
      </c>
      <c r="D98">
        <v>15</v>
      </c>
      <c r="E98">
        <v>0</v>
      </c>
      <c r="F98" s="10">
        <v>1382</v>
      </c>
      <c r="G98" t="s">
        <v>2357</v>
      </c>
      <c r="H98" t="s">
        <v>2361</v>
      </c>
      <c r="I98" t="s">
        <v>2359</v>
      </c>
      <c r="J98" s="8">
        <f t="shared" si="1"/>
        <v>37483</v>
      </c>
    </row>
    <row r="99" spans="1:10" x14ac:dyDescent="0.35">
      <c r="A99" t="s">
        <v>2240</v>
      </c>
      <c r="B99">
        <v>1999</v>
      </c>
      <c r="C99" t="s">
        <v>2356</v>
      </c>
      <c r="D99">
        <v>6</v>
      </c>
      <c r="E99">
        <v>0</v>
      </c>
      <c r="F99" s="10">
        <v>1389</v>
      </c>
      <c r="G99" t="s">
        <v>2357</v>
      </c>
      <c r="H99" t="s">
        <v>2357</v>
      </c>
      <c r="I99" t="s">
        <v>2359</v>
      </c>
      <c r="J99" s="8">
        <f t="shared" si="1"/>
        <v>36347</v>
      </c>
    </row>
    <row r="100" spans="1:10" x14ac:dyDescent="0.35">
      <c r="A100" t="s">
        <v>2239</v>
      </c>
      <c r="B100">
        <v>2002</v>
      </c>
      <c r="C100" t="s">
        <v>2360</v>
      </c>
      <c r="D100">
        <v>14</v>
      </c>
      <c r="E100">
        <v>0</v>
      </c>
      <c r="F100" s="10">
        <v>1390</v>
      </c>
      <c r="G100" t="s">
        <v>2357</v>
      </c>
      <c r="H100" t="s">
        <v>2357</v>
      </c>
      <c r="I100" t="s">
        <v>2359</v>
      </c>
      <c r="J100" s="8">
        <f t="shared" si="1"/>
        <v>37574</v>
      </c>
    </row>
    <row r="101" spans="1:10" x14ac:dyDescent="0.35">
      <c r="A101" t="s">
        <v>2238</v>
      </c>
      <c r="B101">
        <v>2002</v>
      </c>
      <c r="C101" t="s">
        <v>2365</v>
      </c>
      <c r="D101">
        <v>22</v>
      </c>
      <c r="E101">
        <v>0</v>
      </c>
      <c r="F101" s="10">
        <v>1391.53</v>
      </c>
      <c r="G101" t="s">
        <v>2357</v>
      </c>
      <c r="H101" t="s">
        <v>2361</v>
      </c>
      <c r="I101" t="s">
        <v>2359</v>
      </c>
      <c r="J101" s="8">
        <f t="shared" si="1"/>
        <v>37612</v>
      </c>
    </row>
    <row r="102" spans="1:10" x14ac:dyDescent="0.35">
      <c r="A102" t="s">
        <v>2237</v>
      </c>
      <c r="B102">
        <v>1998</v>
      </c>
      <c r="C102" t="s">
        <v>2363</v>
      </c>
      <c r="D102">
        <v>5</v>
      </c>
      <c r="E102">
        <v>0</v>
      </c>
      <c r="F102" s="10">
        <v>1400.44</v>
      </c>
      <c r="G102" t="s">
        <v>2357</v>
      </c>
      <c r="H102" t="s">
        <v>2357</v>
      </c>
      <c r="I102" t="s">
        <v>2359</v>
      </c>
      <c r="J102" s="8">
        <f t="shared" si="1"/>
        <v>36043</v>
      </c>
    </row>
    <row r="103" spans="1:10" x14ac:dyDescent="0.35">
      <c r="A103" t="s">
        <v>2236</v>
      </c>
      <c r="B103">
        <v>1997</v>
      </c>
      <c r="C103" t="s">
        <v>2367</v>
      </c>
      <c r="D103">
        <v>27</v>
      </c>
      <c r="E103">
        <v>0</v>
      </c>
      <c r="F103" s="10">
        <v>1402</v>
      </c>
      <c r="G103" t="s">
        <v>2357</v>
      </c>
      <c r="H103" t="s">
        <v>2358</v>
      </c>
      <c r="I103" t="s">
        <v>2368</v>
      </c>
      <c r="J103" s="8">
        <f t="shared" si="1"/>
        <v>35730</v>
      </c>
    </row>
    <row r="104" spans="1:10" x14ac:dyDescent="0.35">
      <c r="A104" t="s">
        <v>2235</v>
      </c>
      <c r="B104">
        <v>1996</v>
      </c>
      <c r="C104" t="s">
        <v>2362</v>
      </c>
      <c r="D104">
        <v>23</v>
      </c>
      <c r="E104">
        <v>0</v>
      </c>
      <c r="F104" s="10">
        <v>1417</v>
      </c>
      <c r="G104" t="s">
        <v>2357</v>
      </c>
      <c r="H104" t="s">
        <v>2358</v>
      </c>
      <c r="I104" t="s">
        <v>2359</v>
      </c>
      <c r="J104" s="8">
        <f t="shared" si="1"/>
        <v>35239</v>
      </c>
    </row>
    <row r="105" spans="1:10" x14ac:dyDescent="0.35">
      <c r="A105" t="s">
        <v>2234</v>
      </c>
      <c r="B105">
        <v>2001</v>
      </c>
      <c r="C105" t="s">
        <v>2366</v>
      </c>
      <c r="D105">
        <v>23</v>
      </c>
      <c r="E105">
        <v>0</v>
      </c>
      <c r="F105" s="10">
        <v>1421</v>
      </c>
      <c r="G105" t="s">
        <v>2357</v>
      </c>
      <c r="H105" t="s">
        <v>2357</v>
      </c>
      <c r="I105" t="s">
        <v>2359</v>
      </c>
      <c r="J105" s="8">
        <f t="shared" si="1"/>
        <v>37126</v>
      </c>
    </row>
    <row r="106" spans="1:10" x14ac:dyDescent="0.35">
      <c r="A106" t="s">
        <v>2233</v>
      </c>
      <c r="B106">
        <v>1997</v>
      </c>
      <c r="C106" t="s">
        <v>2365</v>
      </c>
      <c r="D106">
        <v>5</v>
      </c>
      <c r="E106">
        <v>0</v>
      </c>
      <c r="F106" s="10">
        <v>1422</v>
      </c>
      <c r="G106" t="s">
        <v>2357</v>
      </c>
      <c r="H106" t="s">
        <v>2357</v>
      </c>
      <c r="I106" t="s">
        <v>2359</v>
      </c>
      <c r="J106" s="8">
        <f t="shared" si="1"/>
        <v>35769</v>
      </c>
    </row>
    <row r="107" spans="1:10" x14ac:dyDescent="0.35">
      <c r="A107" t="s">
        <v>2232</v>
      </c>
      <c r="B107">
        <v>2000</v>
      </c>
      <c r="C107" t="s">
        <v>2363</v>
      </c>
      <c r="D107">
        <v>1</v>
      </c>
      <c r="E107">
        <v>0</v>
      </c>
      <c r="F107" s="10">
        <v>1438</v>
      </c>
      <c r="G107" t="s">
        <v>2357</v>
      </c>
      <c r="H107" t="s">
        <v>2357</v>
      </c>
      <c r="I107" t="s">
        <v>2359</v>
      </c>
      <c r="J107" s="8">
        <f t="shared" si="1"/>
        <v>36770</v>
      </c>
    </row>
    <row r="108" spans="1:10" x14ac:dyDescent="0.35">
      <c r="A108" t="s">
        <v>2231</v>
      </c>
      <c r="B108">
        <v>1997</v>
      </c>
      <c r="C108" t="s">
        <v>2362</v>
      </c>
      <c r="D108">
        <v>19</v>
      </c>
      <c r="E108">
        <v>0</v>
      </c>
      <c r="F108" s="10">
        <v>1445</v>
      </c>
      <c r="G108" t="s">
        <v>2357</v>
      </c>
      <c r="H108" t="s">
        <v>2361</v>
      </c>
      <c r="I108" t="s">
        <v>2359</v>
      </c>
      <c r="J108" s="8">
        <f t="shared" si="1"/>
        <v>35600</v>
      </c>
    </row>
    <row r="109" spans="1:10" x14ac:dyDescent="0.35">
      <c r="A109" t="s">
        <v>2230</v>
      </c>
      <c r="B109">
        <v>2003</v>
      </c>
      <c r="C109" t="s">
        <v>2362</v>
      </c>
      <c r="D109">
        <v>20</v>
      </c>
      <c r="E109">
        <v>0</v>
      </c>
      <c r="F109" s="10">
        <v>1467</v>
      </c>
      <c r="G109" t="s">
        <v>2357</v>
      </c>
      <c r="H109" t="s">
        <v>2357</v>
      </c>
      <c r="I109" t="s">
        <v>2359</v>
      </c>
      <c r="J109" s="8">
        <f t="shared" si="1"/>
        <v>37792</v>
      </c>
    </row>
    <row r="110" spans="1:10" x14ac:dyDescent="0.35">
      <c r="A110" t="s">
        <v>2229</v>
      </c>
      <c r="B110">
        <v>1998</v>
      </c>
      <c r="C110" t="s">
        <v>2365</v>
      </c>
      <c r="D110">
        <v>7</v>
      </c>
      <c r="E110">
        <v>0</v>
      </c>
      <c r="F110" s="10">
        <v>1477</v>
      </c>
      <c r="G110" t="s">
        <v>2357</v>
      </c>
      <c r="H110" t="s">
        <v>2361</v>
      </c>
      <c r="I110" t="s">
        <v>2359</v>
      </c>
      <c r="J110" s="8">
        <f t="shared" si="1"/>
        <v>36136</v>
      </c>
    </row>
    <row r="111" spans="1:10" x14ac:dyDescent="0.35">
      <c r="A111" t="s">
        <v>2228</v>
      </c>
      <c r="B111">
        <v>1997</v>
      </c>
      <c r="C111" t="s">
        <v>2362</v>
      </c>
      <c r="D111">
        <v>9</v>
      </c>
      <c r="E111">
        <v>0</v>
      </c>
      <c r="F111" s="10">
        <v>1481</v>
      </c>
      <c r="G111" t="s">
        <v>2357</v>
      </c>
      <c r="H111" t="s">
        <v>2361</v>
      </c>
      <c r="I111" t="s">
        <v>2364</v>
      </c>
      <c r="J111" s="8">
        <f t="shared" si="1"/>
        <v>35590</v>
      </c>
    </row>
    <row r="112" spans="1:10" x14ac:dyDescent="0.35">
      <c r="A112" t="s">
        <v>2227</v>
      </c>
      <c r="B112">
        <v>1995</v>
      </c>
      <c r="C112" t="s">
        <v>2367</v>
      </c>
      <c r="D112">
        <v>7</v>
      </c>
      <c r="E112">
        <v>0</v>
      </c>
      <c r="F112" s="10">
        <v>1493</v>
      </c>
      <c r="G112" t="s">
        <v>2357</v>
      </c>
      <c r="H112" t="s">
        <v>2358</v>
      </c>
      <c r="I112" t="s">
        <v>2359</v>
      </c>
      <c r="J112" s="8">
        <f t="shared" si="1"/>
        <v>34979</v>
      </c>
    </row>
    <row r="113" spans="1:10" x14ac:dyDescent="0.35">
      <c r="A113" t="s">
        <v>2226</v>
      </c>
      <c r="B113">
        <v>1998</v>
      </c>
      <c r="C113" t="s">
        <v>2362</v>
      </c>
      <c r="D113">
        <v>19</v>
      </c>
      <c r="E113">
        <v>0</v>
      </c>
      <c r="F113" s="10">
        <v>1497</v>
      </c>
      <c r="G113" t="s">
        <v>2357</v>
      </c>
      <c r="H113" t="s">
        <v>2357</v>
      </c>
      <c r="I113" t="s">
        <v>2359</v>
      </c>
      <c r="J113" s="8">
        <f t="shared" si="1"/>
        <v>35965</v>
      </c>
    </row>
    <row r="114" spans="1:10" x14ac:dyDescent="0.35">
      <c r="A114" t="s">
        <v>2225</v>
      </c>
      <c r="B114">
        <v>2001</v>
      </c>
      <c r="C114" t="s">
        <v>2366</v>
      </c>
      <c r="D114">
        <v>25</v>
      </c>
      <c r="E114">
        <v>0</v>
      </c>
      <c r="F114" s="10">
        <v>1515.34</v>
      </c>
      <c r="G114" t="s">
        <v>2357</v>
      </c>
      <c r="H114" t="s">
        <v>2358</v>
      </c>
      <c r="I114" t="s">
        <v>2359</v>
      </c>
      <c r="J114" s="8">
        <f t="shared" si="1"/>
        <v>37128</v>
      </c>
    </row>
    <row r="115" spans="1:10" x14ac:dyDescent="0.35">
      <c r="A115" t="s">
        <v>2224</v>
      </c>
      <c r="B115">
        <v>2001</v>
      </c>
      <c r="C115" t="s">
        <v>2356</v>
      </c>
      <c r="D115">
        <v>7</v>
      </c>
      <c r="E115">
        <v>0</v>
      </c>
      <c r="F115" s="10">
        <v>1526.31</v>
      </c>
      <c r="G115" t="s">
        <v>2357</v>
      </c>
      <c r="H115" t="s">
        <v>2358</v>
      </c>
      <c r="I115" t="s">
        <v>2368</v>
      </c>
      <c r="J115" s="8">
        <f t="shared" si="1"/>
        <v>37079</v>
      </c>
    </row>
    <row r="116" spans="1:10" x14ac:dyDescent="0.35">
      <c r="A116" t="s">
        <v>2223</v>
      </c>
      <c r="B116">
        <v>2001</v>
      </c>
      <c r="C116" t="s">
        <v>2362</v>
      </c>
      <c r="D116">
        <v>2</v>
      </c>
      <c r="E116">
        <v>0</v>
      </c>
      <c r="F116" s="10">
        <v>1532.47</v>
      </c>
      <c r="G116" t="s">
        <v>2357</v>
      </c>
      <c r="H116" t="s">
        <v>2357</v>
      </c>
      <c r="I116" t="s">
        <v>2359</v>
      </c>
      <c r="J116" s="8">
        <f t="shared" si="1"/>
        <v>37044</v>
      </c>
    </row>
    <row r="117" spans="1:10" x14ac:dyDescent="0.35">
      <c r="A117" t="s">
        <v>2222</v>
      </c>
      <c r="B117">
        <v>2001</v>
      </c>
      <c r="C117" t="s">
        <v>2365</v>
      </c>
      <c r="D117">
        <v>5</v>
      </c>
      <c r="E117">
        <v>0</v>
      </c>
      <c r="F117" s="10">
        <v>1534.3</v>
      </c>
      <c r="G117" t="s">
        <v>2357</v>
      </c>
      <c r="H117" t="s">
        <v>2357</v>
      </c>
      <c r="I117" t="s">
        <v>2359</v>
      </c>
      <c r="J117" s="8">
        <f t="shared" si="1"/>
        <v>37230</v>
      </c>
    </row>
    <row r="118" spans="1:10" x14ac:dyDescent="0.35">
      <c r="A118" t="s">
        <v>2221</v>
      </c>
      <c r="B118">
        <v>1992</v>
      </c>
      <c r="C118" t="s">
        <v>2363</v>
      </c>
      <c r="D118">
        <v>22</v>
      </c>
      <c r="E118">
        <v>0</v>
      </c>
      <c r="F118" s="10">
        <v>1566.88</v>
      </c>
      <c r="G118" t="s">
        <v>2357</v>
      </c>
      <c r="H118" t="s">
        <v>2361</v>
      </c>
      <c r="I118" t="s">
        <v>2359</v>
      </c>
      <c r="J118" s="8">
        <f t="shared" si="1"/>
        <v>33869</v>
      </c>
    </row>
    <row r="119" spans="1:10" x14ac:dyDescent="0.35">
      <c r="A119" t="s">
        <v>2220</v>
      </c>
      <c r="B119">
        <v>2004</v>
      </c>
      <c r="C119" t="s">
        <v>2360</v>
      </c>
      <c r="D119">
        <v>19</v>
      </c>
      <c r="E119">
        <v>0</v>
      </c>
      <c r="F119" s="10">
        <v>1607.51</v>
      </c>
      <c r="G119" t="s">
        <v>2357</v>
      </c>
      <c r="H119" t="s">
        <v>2358</v>
      </c>
      <c r="I119" t="s">
        <v>2359</v>
      </c>
      <c r="J119" s="8">
        <f t="shared" si="1"/>
        <v>38310</v>
      </c>
    </row>
    <row r="120" spans="1:10" x14ac:dyDescent="0.35">
      <c r="A120" t="s">
        <v>2219</v>
      </c>
      <c r="B120">
        <v>2004</v>
      </c>
      <c r="C120" t="s">
        <v>2356</v>
      </c>
      <c r="D120">
        <v>22</v>
      </c>
      <c r="E120">
        <v>0</v>
      </c>
      <c r="F120" s="10">
        <v>1615.77</v>
      </c>
      <c r="G120" t="s">
        <v>2357</v>
      </c>
      <c r="H120" t="s">
        <v>2361</v>
      </c>
      <c r="I120" t="s">
        <v>2359</v>
      </c>
      <c r="J120" s="8">
        <f t="shared" si="1"/>
        <v>38190</v>
      </c>
    </row>
    <row r="121" spans="1:10" x14ac:dyDescent="0.35">
      <c r="A121" t="s">
        <v>2218</v>
      </c>
      <c r="B121">
        <v>1995</v>
      </c>
      <c r="C121" t="s">
        <v>2366</v>
      </c>
      <c r="D121">
        <v>5</v>
      </c>
      <c r="E121">
        <v>0</v>
      </c>
      <c r="F121" s="10">
        <v>1617.16</v>
      </c>
      <c r="G121" t="s">
        <v>2357</v>
      </c>
      <c r="H121" t="s">
        <v>2361</v>
      </c>
      <c r="I121" t="s">
        <v>2359</v>
      </c>
      <c r="J121" s="8">
        <f t="shared" si="1"/>
        <v>34916</v>
      </c>
    </row>
    <row r="122" spans="1:10" x14ac:dyDescent="0.35">
      <c r="A122" t="s">
        <v>2217</v>
      </c>
      <c r="B122">
        <v>2003</v>
      </c>
      <c r="C122" t="s">
        <v>2363</v>
      </c>
      <c r="D122">
        <v>14</v>
      </c>
      <c r="E122">
        <v>0</v>
      </c>
      <c r="F122" s="10">
        <v>1621.34</v>
      </c>
      <c r="G122" t="s">
        <v>2357</v>
      </c>
      <c r="H122" t="s">
        <v>2357</v>
      </c>
      <c r="I122" t="s">
        <v>2364</v>
      </c>
      <c r="J122" s="8">
        <f t="shared" si="1"/>
        <v>37878</v>
      </c>
    </row>
    <row r="123" spans="1:10" x14ac:dyDescent="0.35">
      <c r="A123" t="s">
        <v>2216</v>
      </c>
      <c r="B123">
        <v>2004</v>
      </c>
      <c r="C123" t="s">
        <v>2366</v>
      </c>
      <c r="D123">
        <v>21</v>
      </c>
      <c r="E123">
        <v>0</v>
      </c>
      <c r="F123" s="10">
        <v>1621.88</v>
      </c>
      <c r="G123" t="s">
        <v>2357</v>
      </c>
      <c r="H123" t="s">
        <v>2357</v>
      </c>
      <c r="I123" t="s">
        <v>2359</v>
      </c>
      <c r="J123" s="8">
        <f t="shared" si="1"/>
        <v>38220</v>
      </c>
    </row>
    <row r="124" spans="1:10" x14ac:dyDescent="0.35">
      <c r="A124" t="s">
        <v>2215</v>
      </c>
      <c r="B124">
        <v>2004</v>
      </c>
      <c r="C124" t="s">
        <v>2356</v>
      </c>
      <c r="D124">
        <v>25</v>
      </c>
      <c r="E124">
        <v>0</v>
      </c>
      <c r="F124" s="10">
        <v>1622.19</v>
      </c>
      <c r="G124" t="s">
        <v>2357</v>
      </c>
      <c r="H124" t="s">
        <v>2361</v>
      </c>
      <c r="I124" t="s">
        <v>2359</v>
      </c>
      <c r="J124" s="8">
        <f t="shared" si="1"/>
        <v>38193</v>
      </c>
    </row>
    <row r="125" spans="1:10" x14ac:dyDescent="0.35">
      <c r="A125" t="s">
        <v>2214</v>
      </c>
      <c r="B125">
        <v>2003</v>
      </c>
      <c r="C125" t="s">
        <v>2363</v>
      </c>
      <c r="D125">
        <v>9</v>
      </c>
      <c r="E125">
        <v>0</v>
      </c>
      <c r="F125" s="10">
        <v>1625.43</v>
      </c>
      <c r="G125" t="s">
        <v>2357</v>
      </c>
      <c r="H125" t="s">
        <v>2358</v>
      </c>
      <c r="I125" t="s">
        <v>2364</v>
      </c>
      <c r="J125" s="8">
        <f t="shared" si="1"/>
        <v>37873</v>
      </c>
    </row>
    <row r="126" spans="1:10" x14ac:dyDescent="0.35">
      <c r="A126" t="s">
        <v>2213</v>
      </c>
      <c r="B126">
        <v>2003</v>
      </c>
      <c r="C126" t="s">
        <v>2365</v>
      </c>
      <c r="D126">
        <v>4</v>
      </c>
      <c r="E126">
        <v>0</v>
      </c>
      <c r="F126" s="10">
        <v>1627.28</v>
      </c>
      <c r="G126" t="s">
        <v>2357</v>
      </c>
      <c r="H126" t="s">
        <v>2357</v>
      </c>
      <c r="I126" t="s">
        <v>2364</v>
      </c>
      <c r="J126" s="8">
        <f t="shared" si="1"/>
        <v>37959</v>
      </c>
    </row>
    <row r="127" spans="1:10" x14ac:dyDescent="0.35">
      <c r="A127" t="s">
        <v>2212</v>
      </c>
      <c r="B127">
        <v>2003</v>
      </c>
      <c r="C127" t="s">
        <v>2356</v>
      </c>
      <c r="D127">
        <v>17</v>
      </c>
      <c r="E127">
        <v>0</v>
      </c>
      <c r="F127" s="10">
        <v>1628.47</v>
      </c>
      <c r="G127" t="s">
        <v>2357</v>
      </c>
      <c r="H127" t="s">
        <v>2361</v>
      </c>
      <c r="I127" t="s">
        <v>2364</v>
      </c>
      <c r="J127" s="8">
        <f t="shared" si="1"/>
        <v>37819</v>
      </c>
    </row>
    <row r="128" spans="1:10" x14ac:dyDescent="0.35">
      <c r="A128" t="s">
        <v>2211</v>
      </c>
      <c r="B128">
        <v>2004</v>
      </c>
      <c r="C128" t="s">
        <v>2367</v>
      </c>
      <c r="D128">
        <v>4</v>
      </c>
      <c r="E128">
        <v>0</v>
      </c>
      <c r="F128" s="10">
        <v>1629.83</v>
      </c>
      <c r="G128" t="s">
        <v>2357</v>
      </c>
      <c r="H128" t="s">
        <v>2357</v>
      </c>
      <c r="I128" t="s">
        <v>2359</v>
      </c>
      <c r="J128" s="8">
        <f t="shared" si="1"/>
        <v>38264</v>
      </c>
    </row>
    <row r="129" spans="1:10" x14ac:dyDescent="0.35">
      <c r="A129" t="s">
        <v>2210</v>
      </c>
      <c r="B129">
        <v>2004</v>
      </c>
      <c r="C129" t="s">
        <v>2365</v>
      </c>
      <c r="D129">
        <v>5</v>
      </c>
      <c r="E129">
        <v>0</v>
      </c>
      <c r="F129" s="10">
        <v>1631.67</v>
      </c>
      <c r="G129" t="s">
        <v>2357</v>
      </c>
      <c r="H129" t="s">
        <v>2358</v>
      </c>
      <c r="I129" t="s">
        <v>2359</v>
      </c>
      <c r="J129" s="8">
        <f t="shared" si="1"/>
        <v>38326</v>
      </c>
    </row>
    <row r="130" spans="1:10" x14ac:dyDescent="0.35">
      <c r="A130" t="s">
        <v>2209</v>
      </c>
      <c r="B130">
        <v>2004</v>
      </c>
      <c r="C130" t="s">
        <v>2356</v>
      </c>
      <c r="D130">
        <v>9</v>
      </c>
      <c r="E130">
        <v>0</v>
      </c>
      <c r="F130" s="10">
        <v>1631.82</v>
      </c>
      <c r="G130" t="s">
        <v>2357</v>
      </c>
      <c r="H130" t="s">
        <v>2361</v>
      </c>
      <c r="I130" t="s">
        <v>2359</v>
      </c>
      <c r="J130" s="8">
        <f t="shared" si="1"/>
        <v>38177</v>
      </c>
    </row>
    <row r="131" spans="1:10" x14ac:dyDescent="0.35">
      <c r="A131" t="s">
        <v>2208</v>
      </c>
      <c r="B131">
        <v>2003</v>
      </c>
      <c r="C131" t="s">
        <v>2367</v>
      </c>
      <c r="D131">
        <v>3</v>
      </c>
      <c r="E131">
        <v>0</v>
      </c>
      <c r="F131" s="10">
        <v>1632.04</v>
      </c>
      <c r="G131" t="s">
        <v>2357</v>
      </c>
      <c r="H131" t="s">
        <v>2357</v>
      </c>
      <c r="I131" t="s">
        <v>2364</v>
      </c>
      <c r="J131" s="8">
        <f t="shared" ref="J131:J194" si="2">DATE(B131,MONTH(1&amp;C131),D131)</f>
        <v>37897</v>
      </c>
    </row>
    <row r="132" spans="1:10" x14ac:dyDescent="0.35">
      <c r="A132" t="s">
        <v>2207</v>
      </c>
      <c r="B132">
        <v>2003</v>
      </c>
      <c r="C132" t="s">
        <v>2363</v>
      </c>
      <c r="D132">
        <v>16</v>
      </c>
      <c r="E132">
        <v>0</v>
      </c>
      <c r="F132" s="10">
        <v>1632.56</v>
      </c>
      <c r="G132" t="s">
        <v>2357</v>
      </c>
      <c r="H132" t="s">
        <v>2357</v>
      </c>
      <c r="I132" t="s">
        <v>2364</v>
      </c>
      <c r="J132" s="8">
        <f t="shared" si="2"/>
        <v>37880</v>
      </c>
    </row>
    <row r="133" spans="1:10" x14ac:dyDescent="0.35">
      <c r="A133" t="s">
        <v>2206</v>
      </c>
      <c r="B133">
        <v>2004</v>
      </c>
      <c r="C133" t="s">
        <v>2365</v>
      </c>
      <c r="D133">
        <v>13</v>
      </c>
      <c r="E133">
        <v>0</v>
      </c>
      <c r="F133" s="10">
        <v>1633.04</v>
      </c>
      <c r="G133" t="s">
        <v>2357</v>
      </c>
      <c r="H133" t="s">
        <v>2357</v>
      </c>
      <c r="I133" t="s">
        <v>2359</v>
      </c>
      <c r="J133" s="8">
        <f t="shared" si="2"/>
        <v>38334</v>
      </c>
    </row>
    <row r="134" spans="1:10" x14ac:dyDescent="0.35">
      <c r="A134" t="s">
        <v>2205</v>
      </c>
      <c r="B134">
        <v>2004</v>
      </c>
      <c r="C134" t="s">
        <v>2366</v>
      </c>
      <c r="D134">
        <v>8</v>
      </c>
      <c r="E134">
        <v>0</v>
      </c>
      <c r="F134" s="10">
        <v>1633.96</v>
      </c>
      <c r="G134" t="s">
        <v>2357</v>
      </c>
      <c r="H134" t="s">
        <v>2361</v>
      </c>
      <c r="I134" t="s">
        <v>2359</v>
      </c>
      <c r="J134" s="8">
        <f t="shared" si="2"/>
        <v>38207</v>
      </c>
    </row>
    <row r="135" spans="1:10" x14ac:dyDescent="0.35">
      <c r="A135" t="s">
        <v>2204</v>
      </c>
      <c r="B135">
        <v>2004</v>
      </c>
      <c r="C135" t="s">
        <v>2362</v>
      </c>
      <c r="D135">
        <v>13</v>
      </c>
      <c r="E135">
        <v>0</v>
      </c>
      <c r="F135" s="10">
        <v>1634.57</v>
      </c>
      <c r="G135" t="s">
        <v>2357</v>
      </c>
      <c r="H135" t="s">
        <v>2357</v>
      </c>
      <c r="I135" t="s">
        <v>2359</v>
      </c>
      <c r="J135" s="8">
        <f t="shared" si="2"/>
        <v>38151</v>
      </c>
    </row>
    <row r="136" spans="1:10" x14ac:dyDescent="0.35">
      <c r="A136" t="s">
        <v>2203</v>
      </c>
      <c r="B136">
        <v>2003</v>
      </c>
      <c r="C136" t="s">
        <v>2365</v>
      </c>
      <c r="D136">
        <v>30</v>
      </c>
      <c r="E136">
        <v>0</v>
      </c>
      <c r="F136" s="10">
        <v>1635.73</v>
      </c>
      <c r="G136" t="s">
        <v>2357</v>
      </c>
      <c r="H136" t="s">
        <v>2358</v>
      </c>
      <c r="I136" t="s">
        <v>2364</v>
      </c>
      <c r="J136" s="8">
        <f t="shared" si="2"/>
        <v>37985</v>
      </c>
    </row>
    <row r="137" spans="1:10" x14ac:dyDescent="0.35">
      <c r="A137" t="s">
        <v>2202</v>
      </c>
      <c r="B137">
        <v>2003</v>
      </c>
      <c r="C137" t="s">
        <v>2363</v>
      </c>
      <c r="D137">
        <v>16</v>
      </c>
      <c r="E137">
        <v>0</v>
      </c>
      <c r="F137" s="10">
        <v>1639.56</v>
      </c>
      <c r="G137" t="s">
        <v>2357</v>
      </c>
      <c r="H137" t="s">
        <v>2357</v>
      </c>
      <c r="I137" t="s">
        <v>2364</v>
      </c>
      <c r="J137" s="8">
        <f t="shared" si="2"/>
        <v>37880</v>
      </c>
    </row>
    <row r="138" spans="1:10" x14ac:dyDescent="0.35">
      <c r="A138" t="s">
        <v>2201</v>
      </c>
      <c r="B138">
        <v>2003</v>
      </c>
      <c r="C138" t="s">
        <v>2366</v>
      </c>
      <c r="D138">
        <v>21</v>
      </c>
      <c r="E138">
        <v>0</v>
      </c>
      <c r="F138" s="10">
        <v>1639.56</v>
      </c>
      <c r="G138" t="s">
        <v>2357</v>
      </c>
      <c r="H138" t="s">
        <v>2357</v>
      </c>
      <c r="I138" t="s">
        <v>2364</v>
      </c>
      <c r="J138" s="8">
        <f t="shared" si="2"/>
        <v>37854</v>
      </c>
    </row>
    <row r="139" spans="1:10" x14ac:dyDescent="0.35">
      <c r="A139" t="s">
        <v>2200</v>
      </c>
      <c r="B139">
        <v>2003</v>
      </c>
      <c r="C139" t="s">
        <v>2365</v>
      </c>
      <c r="D139">
        <v>30</v>
      </c>
      <c r="E139">
        <v>0</v>
      </c>
      <c r="F139" s="10">
        <v>1646.43</v>
      </c>
      <c r="G139" t="s">
        <v>2357</v>
      </c>
      <c r="H139" t="s">
        <v>2361</v>
      </c>
      <c r="I139" t="s">
        <v>2364</v>
      </c>
      <c r="J139" s="8">
        <f t="shared" si="2"/>
        <v>37985</v>
      </c>
    </row>
    <row r="140" spans="1:10" x14ac:dyDescent="0.35">
      <c r="A140" t="s">
        <v>2199</v>
      </c>
      <c r="B140">
        <v>2000</v>
      </c>
      <c r="C140" t="s">
        <v>2367</v>
      </c>
      <c r="D140">
        <v>23</v>
      </c>
      <c r="E140">
        <v>0</v>
      </c>
      <c r="F140" s="10">
        <v>1665</v>
      </c>
      <c r="G140" t="s">
        <v>2357</v>
      </c>
      <c r="H140" t="s">
        <v>2357</v>
      </c>
      <c r="I140" t="s">
        <v>2359</v>
      </c>
      <c r="J140" s="8">
        <f t="shared" si="2"/>
        <v>36822</v>
      </c>
    </row>
    <row r="141" spans="1:10" x14ac:dyDescent="0.35">
      <c r="A141" t="s">
        <v>2198</v>
      </c>
      <c r="B141">
        <v>2000</v>
      </c>
      <c r="C141" t="s">
        <v>2362</v>
      </c>
      <c r="D141">
        <v>10</v>
      </c>
      <c r="E141">
        <v>0</v>
      </c>
      <c r="F141" s="10">
        <v>1674.63</v>
      </c>
      <c r="G141" t="s">
        <v>2357</v>
      </c>
      <c r="H141" t="s">
        <v>2357</v>
      </c>
      <c r="I141" t="s">
        <v>2359</v>
      </c>
      <c r="J141" s="8">
        <f t="shared" si="2"/>
        <v>36687</v>
      </c>
    </row>
    <row r="142" spans="1:10" x14ac:dyDescent="0.35">
      <c r="A142" t="s">
        <v>2197</v>
      </c>
      <c r="B142">
        <v>2000</v>
      </c>
      <c r="C142" t="s">
        <v>2367</v>
      </c>
      <c r="D142">
        <v>21</v>
      </c>
      <c r="E142">
        <v>0</v>
      </c>
      <c r="F142" s="10">
        <v>1682.6</v>
      </c>
      <c r="G142" t="s">
        <v>2357</v>
      </c>
      <c r="H142" t="s">
        <v>2357</v>
      </c>
      <c r="I142" t="s">
        <v>2368</v>
      </c>
      <c r="J142" s="8">
        <f t="shared" si="2"/>
        <v>36820</v>
      </c>
    </row>
    <row r="143" spans="1:10" x14ac:dyDescent="0.35">
      <c r="A143" t="s">
        <v>2196</v>
      </c>
      <c r="B143">
        <v>2004</v>
      </c>
      <c r="C143" t="s">
        <v>2360</v>
      </c>
      <c r="D143">
        <v>17</v>
      </c>
      <c r="E143">
        <v>0</v>
      </c>
      <c r="F143" s="10">
        <v>1694.8</v>
      </c>
      <c r="G143" t="s">
        <v>2357</v>
      </c>
      <c r="H143" t="s">
        <v>2357</v>
      </c>
      <c r="I143" t="s">
        <v>2369</v>
      </c>
      <c r="J143" s="8">
        <f t="shared" si="2"/>
        <v>38308</v>
      </c>
    </row>
    <row r="144" spans="1:10" x14ac:dyDescent="0.35">
      <c r="A144" t="s">
        <v>2195</v>
      </c>
      <c r="B144">
        <v>2004</v>
      </c>
      <c r="C144" t="s">
        <v>2365</v>
      </c>
      <c r="D144">
        <v>10</v>
      </c>
      <c r="E144">
        <v>0</v>
      </c>
      <c r="F144" s="10">
        <v>1702.46</v>
      </c>
      <c r="G144" t="s">
        <v>2357</v>
      </c>
      <c r="H144" t="s">
        <v>2358</v>
      </c>
      <c r="I144" t="s">
        <v>2370</v>
      </c>
      <c r="J144" s="8">
        <f t="shared" si="2"/>
        <v>38331</v>
      </c>
    </row>
    <row r="145" spans="1:10" x14ac:dyDescent="0.35">
      <c r="A145" t="s">
        <v>2194</v>
      </c>
      <c r="B145">
        <v>2004</v>
      </c>
      <c r="C145" t="s">
        <v>2360</v>
      </c>
      <c r="D145">
        <v>7</v>
      </c>
      <c r="E145">
        <v>0</v>
      </c>
      <c r="F145" s="10">
        <v>1704.57</v>
      </c>
      <c r="G145" t="s">
        <v>2357</v>
      </c>
      <c r="H145" t="s">
        <v>2361</v>
      </c>
      <c r="I145" t="s">
        <v>2371</v>
      </c>
      <c r="J145" s="8">
        <f t="shared" si="2"/>
        <v>38298</v>
      </c>
    </row>
    <row r="146" spans="1:10" x14ac:dyDescent="0.35">
      <c r="A146" t="s">
        <v>2193</v>
      </c>
      <c r="B146">
        <v>2004</v>
      </c>
      <c r="C146" t="s">
        <v>2365</v>
      </c>
      <c r="D146">
        <v>14</v>
      </c>
      <c r="E146">
        <v>0</v>
      </c>
      <c r="F146" s="10">
        <v>1704.7</v>
      </c>
      <c r="G146" t="s">
        <v>2357</v>
      </c>
      <c r="H146" t="s">
        <v>2358</v>
      </c>
      <c r="I146" t="s">
        <v>2372</v>
      </c>
      <c r="J146" s="8">
        <f t="shared" si="2"/>
        <v>38335</v>
      </c>
    </row>
    <row r="147" spans="1:10" x14ac:dyDescent="0.35">
      <c r="A147" t="s">
        <v>2192</v>
      </c>
      <c r="B147">
        <v>2004</v>
      </c>
      <c r="C147" t="s">
        <v>2365</v>
      </c>
      <c r="D147">
        <v>6</v>
      </c>
      <c r="E147">
        <v>0</v>
      </c>
      <c r="F147" s="10">
        <v>1705.62</v>
      </c>
      <c r="G147" t="s">
        <v>2357</v>
      </c>
      <c r="H147" t="s">
        <v>2357</v>
      </c>
      <c r="I147" t="s">
        <v>2369</v>
      </c>
      <c r="J147" s="8">
        <f t="shared" si="2"/>
        <v>38327</v>
      </c>
    </row>
    <row r="148" spans="1:10" x14ac:dyDescent="0.35">
      <c r="A148" t="s">
        <v>2191</v>
      </c>
      <c r="B148">
        <v>2004</v>
      </c>
      <c r="C148" t="s">
        <v>2367</v>
      </c>
      <c r="D148">
        <v>17</v>
      </c>
      <c r="E148">
        <v>0</v>
      </c>
      <c r="F148" s="10">
        <v>1708</v>
      </c>
      <c r="G148" t="s">
        <v>2358</v>
      </c>
      <c r="H148" t="s">
        <v>2357</v>
      </c>
      <c r="I148" t="s">
        <v>2371</v>
      </c>
      <c r="J148" s="8">
        <f t="shared" si="2"/>
        <v>38277</v>
      </c>
    </row>
    <row r="149" spans="1:10" x14ac:dyDescent="0.35">
      <c r="A149" t="s">
        <v>2190</v>
      </c>
      <c r="B149">
        <v>2004</v>
      </c>
      <c r="C149" t="s">
        <v>2365</v>
      </c>
      <c r="D149">
        <v>12</v>
      </c>
      <c r="E149">
        <v>0</v>
      </c>
      <c r="F149" s="10">
        <v>1708.93</v>
      </c>
      <c r="G149" t="s">
        <v>2358</v>
      </c>
      <c r="H149" t="s">
        <v>2361</v>
      </c>
      <c r="I149" t="s">
        <v>2370</v>
      </c>
      <c r="J149" s="8">
        <f t="shared" si="2"/>
        <v>38333</v>
      </c>
    </row>
    <row r="150" spans="1:10" x14ac:dyDescent="0.35">
      <c r="A150" t="s">
        <v>2189</v>
      </c>
      <c r="B150">
        <v>2004</v>
      </c>
      <c r="C150" t="s">
        <v>2363</v>
      </c>
      <c r="D150">
        <v>19</v>
      </c>
      <c r="E150">
        <v>1</v>
      </c>
      <c r="F150" s="10">
        <v>1711.03</v>
      </c>
      <c r="G150" t="s">
        <v>2358</v>
      </c>
      <c r="H150" t="s">
        <v>2358</v>
      </c>
      <c r="I150" t="s">
        <v>2359</v>
      </c>
      <c r="J150" s="8">
        <f t="shared" si="2"/>
        <v>38249</v>
      </c>
    </row>
    <row r="151" spans="1:10" x14ac:dyDescent="0.35">
      <c r="A151" t="s">
        <v>2188</v>
      </c>
      <c r="B151">
        <v>2004</v>
      </c>
      <c r="C151" t="s">
        <v>2363</v>
      </c>
      <c r="D151">
        <v>21</v>
      </c>
      <c r="E151">
        <v>0</v>
      </c>
      <c r="F151" s="10">
        <v>1712.23</v>
      </c>
      <c r="G151" t="s">
        <v>2358</v>
      </c>
      <c r="H151" t="s">
        <v>2361</v>
      </c>
      <c r="I151" t="s">
        <v>2371</v>
      </c>
      <c r="J151" s="8">
        <f t="shared" si="2"/>
        <v>38251</v>
      </c>
    </row>
    <row r="152" spans="1:10" x14ac:dyDescent="0.35">
      <c r="A152" t="s">
        <v>2187</v>
      </c>
      <c r="B152">
        <v>2004</v>
      </c>
      <c r="C152" t="s">
        <v>2362</v>
      </c>
      <c r="D152">
        <v>10</v>
      </c>
      <c r="E152">
        <v>1</v>
      </c>
      <c r="F152" s="10">
        <v>1719.44</v>
      </c>
      <c r="G152" t="s">
        <v>2358</v>
      </c>
      <c r="H152" t="s">
        <v>2358</v>
      </c>
      <c r="I152" t="s">
        <v>2359</v>
      </c>
      <c r="J152" s="8">
        <f t="shared" si="2"/>
        <v>38148</v>
      </c>
    </row>
    <row r="153" spans="1:10" x14ac:dyDescent="0.35">
      <c r="A153" t="s">
        <v>2186</v>
      </c>
      <c r="B153">
        <v>2004</v>
      </c>
      <c r="C153" t="s">
        <v>2363</v>
      </c>
      <c r="D153">
        <v>11</v>
      </c>
      <c r="E153">
        <v>1</v>
      </c>
      <c r="F153" s="10">
        <v>1720.35</v>
      </c>
      <c r="G153" t="s">
        <v>2358</v>
      </c>
      <c r="H153" t="s">
        <v>2358</v>
      </c>
      <c r="I153" t="s">
        <v>2359</v>
      </c>
      <c r="J153" s="8">
        <f t="shared" si="2"/>
        <v>38241</v>
      </c>
    </row>
    <row r="154" spans="1:10" x14ac:dyDescent="0.35">
      <c r="A154" t="s">
        <v>2185</v>
      </c>
      <c r="B154">
        <v>2004</v>
      </c>
      <c r="C154" t="s">
        <v>2367</v>
      </c>
      <c r="D154">
        <v>21</v>
      </c>
      <c r="E154">
        <v>1</v>
      </c>
      <c r="F154" s="10">
        <v>1725.55</v>
      </c>
      <c r="G154" t="s">
        <v>2358</v>
      </c>
      <c r="H154" t="s">
        <v>2357</v>
      </c>
      <c r="I154" t="s">
        <v>2359</v>
      </c>
      <c r="J154" s="8">
        <f t="shared" si="2"/>
        <v>38281</v>
      </c>
    </row>
    <row r="155" spans="1:10" x14ac:dyDescent="0.35">
      <c r="A155" t="s">
        <v>2184</v>
      </c>
      <c r="B155">
        <v>2004</v>
      </c>
      <c r="C155" t="s">
        <v>2363</v>
      </c>
      <c r="D155">
        <v>9</v>
      </c>
      <c r="E155">
        <v>1</v>
      </c>
      <c r="F155" s="10">
        <v>1727.54</v>
      </c>
      <c r="G155" t="s">
        <v>2358</v>
      </c>
      <c r="H155" t="s">
        <v>2361</v>
      </c>
      <c r="I155" t="s">
        <v>2359</v>
      </c>
      <c r="J155" s="8">
        <f t="shared" si="2"/>
        <v>38239</v>
      </c>
    </row>
    <row r="156" spans="1:10" x14ac:dyDescent="0.35">
      <c r="A156" t="s">
        <v>2183</v>
      </c>
      <c r="B156">
        <v>2003</v>
      </c>
      <c r="C156" t="s">
        <v>2360</v>
      </c>
      <c r="D156">
        <v>21</v>
      </c>
      <c r="E156">
        <v>0</v>
      </c>
      <c r="F156" s="10">
        <v>1727.79</v>
      </c>
      <c r="G156" t="s">
        <v>2358</v>
      </c>
      <c r="H156" t="s">
        <v>2358</v>
      </c>
      <c r="I156" t="s">
        <v>2368</v>
      </c>
      <c r="J156" s="8">
        <f t="shared" si="2"/>
        <v>37946</v>
      </c>
    </row>
    <row r="157" spans="1:10" x14ac:dyDescent="0.35">
      <c r="A157" t="s">
        <v>2182</v>
      </c>
      <c r="B157">
        <v>2003</v>
      </c>
      <c r="C157" t="s">
        <v>2363</v>
      </c>
      <c r="D157">
        <v>1</v>
      </c>
      <c r="E157">
        <v>0</v>
      </c>
      <c r="F157" s="10">
        <v>1728.9</v>
      </c>
      <c r="G157" t="s">
        <v>2358</v>
      </c>
      <c r="H157" t="s">
        <v>2357</v>
      </c>
      <c r="I157" t="s">
        <v>2368</v>
      </c>
      <c r="J157" s="8">
        <f t="shared" si="2"/>
        <v>37865</v>
      </c>
    </row>
    <row r="158" spans="1:10" x14ac:dyDescent="0.35">
      <c r="A158" t="s">
        <v>2181</v>
      </c>
      <c r="B158">
        <v>2003</v>
      </c>
      <c r="C158" t="s">
        <v>2360</v>
      </c>
      <c r="D158">
        <v>9</v>
      </c>
      <c r="E158">
        <v>0</v>
      </c>
      <c r="F158" s="10">
        <v>1731.68</v>
      </c>
      <c r="G158" t="s">
        <v>2358</v>
      </c>
      <c r="H158" t="s">
        <v>2357</v>
      </c>
      <c r="I158" t="s">
        <v>2368</v>
      </c>
      <c r="J158" s="8">
        <f t="shared" si="2"/>
        <v>37934</v>
      </c>
    </row>
    <row r="159" spans="1:10" x14ac:dyDescent="0.35">
      <c r="A159" t="s">
        <v>2180</v>
      </c>
      <c r="B159">
        <v>2003</v>
      </c>
      <c r="C159" t="s">
        <v>2360</v>
      </c>
      <c r="D159">
        <v>14</v>
      </c>
      <c r="E159">
        <v>0</v>
      </c>
      <c r="F159" s="10">
        <v>1737.38</v>
      </c>
      <c r="G159" t="s">
        <v>2358</v>
      </c>
      <c r="H159" t="s">
        <v>2357</v>
      </c>
      <c r="I159" t="s">
        <v>2368</v>
      </c>
      <c r="J159" s="8">
        <f t="shared" si="2"/>
        <v>37939</v>
      </c>
    </row>
    <row r="160" spans="1:10" x14ac:dyDescent="0.35">
      <c r="A160" t="s">
        <v>2179</v>
      </c>
      <c r="B160">
        <v>2003</v>
      </c>
      <c r="C160" t="s">
        <v>2356</v>
      </c>
      <c r="D160">
        <v>25</v>
      </c>
      <c r="E160">
        <v>0</v>
      </c>
      <c r="F160" s="10">
        <v>1743.21</v>
      </c>
      <c r="G160" t="s">
        <v>2358</v>
      </c>
      <c r="H160" t="s">
        <v>2361</v>
      </c>
      <c r="I160" t="s">
        <v>2368</v>
      </c>
      <c r="J160" s="8">
        <f t="shared" si="2"/>
        <v>37827</v>
      </c>
    </row>
    <row r="161" spans="1:10" x14ac:dyDescent="0.35">
      <c r="A161" t="s">
        <v>2178</v>
      </c>
      <c r="B161">
        <v>2003</v>
      </c>
      <c r="C161" t="s">
        <v>2356</v>
      </c>
      <c r="D161">
        <v>28</v>
      </c>
      <c r="E161">
        <v>0</v>
      </c>
      <c r="F161" s="10">
        <v>1744.47</v>
      </c>
      <c r="G161" t="s">
        <v>2358</v>
      </c>
      <c r="H161" t="s">
        <v>2361</v>
      </c>
      <c r="I161" t="s">
        <v>2368</v>
      </c>
      <c r="J161" s="8">
        <f t="shared" si="2"/>
        <v>37830</v>
      </c>
    </row>
    <row r="162" spans="1:10" x14ac:dyDescent="0.35">
      <c r="A162" t="s">
        <v>2177</v>
      </c>
      <c r="B162">
        <v>2003</v>
      </c>
      <c r="C162" t="s">
        <v>2363</v>
      </c>
      <c r="D162">
        <v>26</v>
      </c>
      <c r="E162">
        <v>0</v>
      </c>
      <c r="F162" s="10">
        <v>1748.77</v>
      </c>
      <c r="G162" t="s">
        <v>2358</v>
      </c>
      <c r="H162" t="s">
        <v>2361</v>
      </c>
      <c r="I162" t="s">
        <v>2368</v>
      </c>
      <c r="J162" s="8">
        <f t="shared" si="2"/>
        <v>37890</v>
      </c>
    </row>
    <row r="163" spans="1:10" x14ac:dyDescent="0.35">
      <c r="A163" t="s">
        <v>2176</v>
      </c>
      <c r="B163">
        <v>1998</v>
      </c>
      <c r="C163" t="s">
        <v>2367</v>
      </c>
      <c r="D163">
        <v>7</v>
      </c>
      <c r="E163">
        <v>0</v>
      </c>
      <c r="F163" s="10">
        <v>1756.6</v>
      </c>
      <c r="G163" t="s">
        <v>2358</v>
      </c>
      <c r="H163" t="s">
        <v>2358</v>
      </c>
      <c r="I163" t="s">
        <v>2359</v>
      </c>
      <c r="J163" s="8">
        <f t="shared" si="2"/>
        <v>36075</v>
      </c>
    </row>
    <row r="164" spans="1:10" x14ac:dyDescent="0.35">
      <c r="A164" t="s">
        <v>2175</v>
      </c>
      <c r="B164">
        <v>2003</v>
      </c>
      <c r="C164" t="s">
        <v>2360</v>
      </c>
      <c r="D164">
        <v>19</v>
      </c>
      <c r="E164">
        <v>0</v>
      </c>
      <c r="F164" s="10">
        <v>1759.34</v>
      </c>
      <c r="G164" t="s">
        <v>2358</v>
      </c>
      <c r="H164" t="s">
        <v>2361</v>
      </c>
      <c r="I164" t="s">
        <v>2368</v>
      </c>
      <c r="J164" s="8">
        <f t="shared" si="2"/>
        <v>37944</v>
      </c>
    </row>
    <row r="165" spans="1:10" x14ac:dyDescent="0.35">
      <c r="A165" t="s">
        <v>2174</v>
      </c>
      <c r="B165">
        <v>2002</v>
      </c>
      <c r="C165" t="s">
        <v>2365</v>
      </c>
      <c r="D165">
        <v>13</v>
      </c>
      <c r="E165">
        <v>0</v>
      </c>
      <c r="F165" s="10">
        <v>1769.53</v>
      </c>
      <c r="G165" t="s">
        <v>2358</v>
      </c>
      <c r="H165" t="s">
        <v>2358</v>
      </c>
      <c r="I165" t="s">
        <v>2364</v>
      </c>
      <c r="J165" s="8">
        <f t="shared" si="2"/>
        <v>37603</v>
      </c>
    </row>
    <row r="166" spans="1:10" x14ac:dyDescent="0.35">
      <c r="A166" t="s">
        <v>2173</v>
      </c>
      <c r="B166">
        <v>1999</v>
      </c>
      <c r="C166" t="s">
        <v>2363</v>
      </c>
      <c r="D166">
        <v>25</v>
      </c>
      <c r="E166">
        <v>0</v>
      </c>
      <c r="F166" s="10">
        <v>1815.88</v>
      </c>
      <c r="G166" t="s">
        <v>2358</v>
      </c>
      <c r="H166" t="s">
        <v>2358</v>
      </c>
      <c r="I166" t="s">
        <v>2359</v>
      </c>
      <c r="J166" s="8">
        <f t="shared" si="2"/>
        <v>36428</v>
      </c>
    </row>
    <row r="167" spans="1:10" x14ac:dyDescent="0.35">
      <c r="A167" t="s">
        <v>2172</v>
      </c>
      <c r="B167">
        <v>2004</v>
      </c>
      <c r="C167" t="s">
        <v>2366</v>
      </c>
      <c r="D167">
        <v>19</v>
      </c>
      <c r="E167">
        <v>0</v>
      </c>
      <c r="F167" s="10">
        <v>1822.54</v>
      </c>
      <c r="G167" t="s">
        <v>2358</v>
      </c>
      <c r="H167" t="s">
        <v>2361</v>
      </c>
      <c r="I167" t="s">
        <v>2364</v>
      </c>
      <c r="J167" s="8">
        <f t="shared" si="2"/>
        <v>38218</v>
      </c>
    </row>
    <row r="168" spans="1:10" x14ac:dyDescent="0.35">
      <c r="A168" t="s">
        <v>2171</v>
      </c>
      <c r="B168">
        <v>1999</v>
      </c>
      <c r="C168" t="s">
        <v>2360</v>
      </c>
      <c r="D168">
        <v>17</v>
      </c>
      <c r="E168">
        <v>0</v>
      </c>
      <c r="F168" s="10">
        <v>1824.29</v>
      </c>
      <c r="G168" t="s">
        <v>2358</v>
      </c>
      <c r="H168" t="s">
        <v>2358</v>
      </c>
      <c r="I168" t="s">
        <v>2359</v>
      </c>
      <c r="J168" s="8">
        <f t="shared" si="2"/>
        <v>36481</v>
      </c>
    </row>
    <row r="169" spans="1:10" x14ac:dyDescent="0.35">
      <c r="A169" t="s">
        <v>2170</v>
      </c>
      <c r="B169">
        <v>1999</v>
      </c>
      <c r="C169" t="s">
        <v>2367</v>
      </c>
      <c r="D169">
        <v>1</v>
      </c>
      <c r="E169">
        <v>0</v>
      </c>
      <c r="F169" s="10">
        <v>1826.84</v>
      </c>
      <c r="G169" t="s">
        <v>2358</v>
      </c>
      <c r="H169" t="s">
        <v>2357</v>
      </c>
      <c r="I169" t="s">
        <v>2368</v>
      </c>
      <c r="J169" s="8">
        <f t="shared" si="2"/>
        <v>36434</v>
      </c>
    </row>
    <row r="170" spans="1:10" x14ac:dyDescent="0.35">
      <c r="A170" t="s">
        <v>2169</v>
      </c>
      <c r="B170">
        <v>2003</v>
      </c>
      <c r="C170" t="s">
        <v>2366</v>
      </c>
      <c r="D170">
        <v>11</v>
      </c>
      <c r="E170">
        <v>1</v>
      </c>
      <c r="F170" s="10">
        <v>1832.09</v>
      </c>
      <c r="G170" t="s">
        <v>2358</v>
      </c>
      <c r="H170" t="s">
        <v>2358</v>
      </c>
      <c r="I170" t="s">
        <v>2368</v>
      </c>
      <c r="J170" s="8">
        <f t="shared" si="2"/>
        <v>37844</v>
      </c>
    </row>
    <row r="171" spans="1:10" x14ac:dyDescent="0.35">
      <c r="A171" t="s">
        <v>2168</v>
      </c>
      <c r="B171">
        <v>2003</v>
      </c>
      <c r="C171" t="s">
        <v>2366</v>
      </c>
      <c r="D171">
        <v>4</v>
      </c>
      <c r="E171">
        <v>1</v>
      </c>
      <c r="F171" s="10">
        <v>1837.24</v>
      </c>
      <c r="G171" t="s">
        <v>2358</v>
      </c>
      <c r="H171" t="s">
        <v>2357</v>
      </c>
      <c r="I171" t="s">
        <v>2368</v>
      </c>
      <c r="J171" s="8">
        <f t="shared" si="2"/>
        <v>37837</v>
      </c>
    </row>
    <row r="172" spans="1:10" x14ac:dyDescent="0.35">
      <c r="A172" t="s">
        <v>2167</v>
      </c>
      <c r="B172">
        <v>1999</v>
      </c>
      <c r="C172" t="s">
        <v>2365</v>
      </c>
      <c r="D172">
        <v>12</v>
      </c>
      <c r="E172">
        <v>0</v>
      </c>
      <c r="F172" s="10">
        <v>1837.28</v>
      </c>
      <c r="G172" t="s">
        <v>2358</v>
      </c>
      <c r="H172" t="s">
        <v>2357</v>
      </c>
      <c r="I172" t="s">
        <v>2359</v>
      </c>
      <c r="J172" s="8">
        <f t="shared" si="2"/>
        <v>36506</v>
      </c>
    </row>
    <row r="173" spans="1:10" x14ac:dyDescent="0.35">
      <c r="A173" t="s">
        <v>2166</v>
      </c>
      <c r="B173">
        <v>2003</v>
      </c>
      <c r="C173" t="s">
        <v>2356</v>
      </c>
      <c r="D173">
        <v>20</v>
      </c>
      <c r="E173">
        <v>1</v>
      </c>
      <c r="F173" s="10">
        <v>1842.52</v>
      </c>
      <c r="G173" t="s">
        <v>2358</v>
      </c>
      <c r="H173" t="s">
        <v>2357</v>
      </c>
      <c r="I173" t="s">
        <v>2368</v>
      </c>
      <c r="J173" s="8">
        <f t="shared" si="2"/>
        <v>37822</v>
      </c>
    </row>
    <row r="174" spans="1:10" x14ac:dyDescent="0.35">
      <c r="A174" t="s">
        <v>2165</v>
      </c>
      <c r="B174">
        <v>1994</v>
      </c>
      <c r="C174" t="s">
        <v>2365</v>
      </c>
      <c r="D174">
        <v>6</v>
      </c>
      <c r="E174">
        <v>0</v>
      </c>
      <c r="F174" s="10">
        <v>1850.55</v>
      </c>
      <c r="G174" t="s">
        <v>2358</v>
      </c>
      <c r="H174" t="s">
        <v>2357</v>
      </c>
      <c r="I174" t="s">
        <v>2364</v>
      </c>
      <c r="J174" s="8">
        <f t="shared" si="2"/>
        <v>34674</v>
      </c>
    </row>
    <row r="175" spans="1:10" x14ac:dyDescent="0.35">
      <c r="A175" t="s">
        <v>2164</v>
      </c>
      <c r="B175">
        <v>2004</v>
      </c>
      <c r="C175" t="s">
        <v>2365</v>
      </c>
      <c r="D175">
        <v>27</v>
      </c>
      <c r="E175">
        <v>0</v>
      </c>
      <c r="F175" s="10">
        <v>1863.45</v>
      </c>
      <c r="G175" t="s">
        <v>2358</v>
      </c>
      <c r="H175" t="s">
        <v>2361</v>
      </c>
      <c r="I175" t="s">
        <v>2373</v>
      </c>
      <c r="J175" s="8">
        <f t="shared" si="2"/>
        <v>38348</v>
      </c>
    </row>
    <row r="176" spans="1:10" x14ac:dyDescent="0.35">
      <c r="A176" t="s">
        <v>2163</v>
      </c>
      <c r="B176">
        <v>1996</v>
      </c>
      <c r="C176" t="s">
        <v>2356</v>
      </c>
      <c r="D176">
        <v>2</v>
      </c>
      <c r="E176">
        <v>0</v>
      </c>
      <c r="F176" s="10">
        <v>1865.98</v>
      </c>
      <c r="G176" t="s">
        <v>2358</v>
      </c>
      <c r="H176" t="s">
        <v>2358</v>
      </c>
      <c r="I176" t="s">
        <v>2364</v>
      </c>
      <c r="J176" s="8">
        <f t="shared" si="2"/>
        <v>35248</v>
      </c>
    </row>
    <row r="177" spans="1:10" x14ac:dyDescent="0.35">
      <c r="A177" t="s">
        <v>2162</v>
      </c>
      <c r="B177">
        <v>2002</v>
      </c>
      <c r="C177" t="s">
        <v>2363</v>
      </c>
      <c r="D177">
        <v>22</v>
      </c>
      <c r="E177">
        <v>0</v>
      </c>
      <c r="F177" s="10">
        <v>1875.34</v>
      </c>
      <c r="G177" t="s">
        <v>2358</v>
      </c>
      <c r="H177" t="s">
        <v>2357</v>
      </c>
      <c r="I177" t="s">
        <v>2368</v>
      </c>
      <c r="J177" s="8">
        <f t="shared" si="2"/>
        <v>37521</v>
      </c>
    </row>
    <row r="178" spans="1:10" x14ac:dyDescent="0.35">
      <c r="A178" t="s">
        <v>2161</v>
      </c>
      <c r="B178">
        <v>2002</v>
      </c>
      <c r="C178" t="s">
        <v>2367</v>
      </c>
      <c r="D178">
        <v>29</v>
      </c>
      <c r="E178">
        <v>0</v>
      </c>
      <c r="F178" s="10">
        <v>1877.93</v>
      </c>
      <c r="G178" t="s">
        <v>2358</v>
      </c>
      <c r="H178" t="s">
        <v>2361</v>
      </c>
      <c r="I178" t="s">
        <v>2359</v>
      </c>
      <c r="J178" s="8">
        <f t="shared" si="2"/>
        <v>37558</v>
      </c>
    </row>
    <row r="179" spans="1:10" x14ac:dyDescent="0.35">
      <c r="A179" t="s">
        <v>2160</v>
      </c>
      <c r="B179">
        <v>2002</v>
      </c>
      <c r="C179" t="s">
        <v>2366</v>
      </c>
      <c r="D179">
        <v>29</v>
      </c>
      <c r="E179">
        <v>0</v>
      </c>
      <c r="F179" s="10">
        <v>1880.07</v>
      </c>
      <c r="G179" t="s">
        <v>2358</v>
      </c>
      <c r="H179" t="s">
        <v>2357</v>
      </c>
      <c r="I179" t="s">
        <v>2359</v>
      </c>
      <c r="J179" s="8">
        <f t="shared" si="2"/>
        <v>37497</v>
      </c>
    </row>
    <row r="180" spans="1:10" x14ac:dyDescent="0.35">
      <c r="A180" t="s">
        <v>2159</v>
      </c>
      <c r="B180">
        <v>2002</v>
      </c>
      <c r="C180" t="s">
        <v>2366</v>
      </c>
      <c r="D180">
        <v>21</v>
      </c>
      <c r="E180">
        <v>0</v>
      </c>
      <c r="F180" s="10">
        <v>1880.49</v>
      </c>
      <c r="G180" t="s">
        <v>2358</v>
      </c>
      <c r="H180" t="s">
        <v>2361</v>
      </c>
      <c r="I180" t="s">
        <v>2368</v>
      </c>
      <c r="J180" s="8">
        <f t="shared" si="2"/>
        <v>37489</v>
      </c>
    </row>
    <row r="181" spans="1:10" x14ac:dyDescent="0.35">
      <c r="A181" t="s">
        <v>2158</v>
      </c>
      <c r="B181">
        <v>2001</v>
      </c>
      <c r="C181" t="s">
        <v>2366</v>
      </c>
      <c r="D181">
        <v>10</v>
      </c>
      <c r="E181">
        <v>0</v>
      </c>
      <c r="F181" s="10">
        <v>1906.36</v>
      </c>
      <c r="G181" t="s">
        <v>2358</v>
      </c>
      <c r="H181" t="s">
        <v>2361</v>
      </c>
      <c r="I181" t="s">
        <v>2364</v>
      </c>
      <c r="J181" s="8">
        <f t="shared" si="2"/>
        <v>37113</v>
      </c>
    </row>
    <row r="182" spans="1:10" x14ac:dyDescent="0.35">
      <c r="A182" t="s">
        <v>2157</v>
      </c>
      <c r="B182">
        <v>1994</v>
      </c>
      <c r="C182" t="s">
        <v>2367</v>
      </c>
      <c r="D182">
        <v>6</v>
      </c>
      <c r="E182">
        <v>0</v>
      </c>
      <c r="F182" s="10">
        <v>1908.9</v>
      </c>
      <c r="G182" t="s">
        <v>2358</v>
      </c>
      <c r="H182" t="s">
        <v>2358</v>
      </c>
      <c r="I182" t="s">
        <v>2359</v>
      </c>
      <c r="J182" s="8">
        <f t="shared" si="2"/>
        <v>34613</v>
      </c>
    </row>
    <row r="183" spans="1:10" x14ac:dyDescent="0.35">
      <c r="A183" t="s">
        <v>2156</v>
      </c>
      <c r="B183">
        <v>2001</v>
      </c>
      <c r="C183" t="s">
        <v>2366</v>
      </c>
      <c r="D183">
        <v>3</v>
      </c>
      <c r="E183">
        <v>0</v>
      </c>
      <c r="F183" s="10">
        <v>1909.53</v>
      </c>
      <c r="G183" t="s">
        <v>2358</v>
      </c>
      <c r="H183" t="s">
        <v>2358</v>
      </c>
      <c r="I183" t="s">
        <v>2364</v>
      </c>
      <c r="J183" s="8">
        <f t="shared" si="2"/>
        <v>37106</v>
      </c>
    </row>
    <row r="184" spans="1:10" x14ac:dyDescent="0.35">
      <c r="A184" t="s">
        <v>2155</v>
      </c>
      <c r="B184">
        <v>2001</v>
      </c>
      <c r="C184" t="s">
        <v>2365</v>
      </c>
      <c r="D184">
        <v>9</v>
      </c>
      <c r="E184">
        <v>0</v>
      </c>
      <c r="F184" s="10">
        <v>1917.32</v>
      </c>
      <c r="G184" t="s">
        <v>2358</v>
      </c>
      <c r="H184" t="s">
        <v>2357</v>
      </c>
      <c r="I184" t="s">
        <v>2364</v>
      </c>
      <c r="J184" s="8">
        <f t="shared" si="2"/>
        <v>37234</v>
      </c>
    </row>
    <row r="185" spans="1:10" x14ac:dyDescent="0.35">
      <c r="A185" t="s">
        <v>2154</v>
      </c>
      <c r="B185">
        <v>2002</v>
      </c>
      <c r="C185" t="s">
        <v>2363</v>
      </c>
      <c r="D185">
        <v>7</v>
      </c>
      <c r="E185">
        <v>1</v>
      </c>
      <c r="F185" s="10">
        <v>1964.78</v>
      </c>
      <c r="G185" t="s">
        <v>2358</v>
      </c>
      <c r="H185" t="s">
        <v>2361</v>
      </c>
      <c r="I185" t="s">
        <v>2368</v>
      </c>
      <c r="J185" s="8">
        <f t="shared" si="2"/>
        <v>37506</v>
      </c>
    </row>
    <row r="186" spans="1:10" x14ac:dyDescent="0.35">
      <c r="A186" t="s">
        <v>2153</v>
      </c>
      <c r="B186">
        <v>2002</v>
      </c>
      <c r="C186" t="s">
        <v>2356</v>
      </c>
      <c r="D186">
        <v>29</v>
      </c>
      <c r="E186">
        <v>0</v>
      </c>
      <c r="F186" s="10">
        <v>1967.02</v>
      </c>
      <c r="G186" t="s">
        <v>2358</v>
      </c>
      <c r="H186" t="s">
        <v>2357</v>
      </c>
      <c r="I186" t="s">
        <v>2371</v>
      </c>
      <c r="J186" s="8">
        <f t="shared" si="2"/>
        <v>37466</v>
      </c>
    </row>
    <row r="187" spans="1:10" x14ac:dyDescent="0.35">
      <c r="A187" t="s">
        <v>2152</v>
      </c>
      <c r="B187">
        <v>1998</v>
      </c>
      <c r="C187" t="s">
        <v>2363</v>
      </c>
      <c r="D187">
        <v>28</v>
      </c>
      <c r="E187">
        <v>0</v>
      </c>
      <c r="F187" s="10">
        <v>1969.61</v>
      </c>
      <c r="G187" t="s">
        <v>2358</v>
      </c>
      <c r="H187" t="s">
        <v>2358</v>
      </c>
      <c r="I187" t="s">
        <v>2368</v>
      </c>
      <c r="J187" s="8">
        <f t="shared" si="2"/>
        <v>36066</v>
      </c>
    </row>
    <row r="188" spans="1:10" x14ac:dyDescent="0.35">
      <c r="A188" t="s">
        <v>2151</v>
      </c>
      <c r="B188">
        <v>1998</v>
      </c>
      <c r="C188" t="s">
        <v>2367</v>
      </c>
      <c r="D188">
        <v>5</v>
      </c>
      <c r="E188">
        <v>0</v>
      </c>
      <c r="F188" s="10">
        <v>1972.95</v>
      </c>
      <c r="G188" t="s">
        <v>2358</v>
      </c>
      <c r="H188" t="s">
        <v>2361</v>
      </c>
      <c r="I188" t="s">
        <v>2368</v>
      </c>
      <c r="J188" s="8">
        <f t="shared" si="2"/>
        <v>36073</v>
      </c>
    </row>
    <row r="189" spans="1:10" x14ac:dyDescent="0.35">
      <c r="A189" t="s">
        <v>2150</v>
      </c>
      <c r="B189">
        <v>1998</v>
      </c>
      <c r="C189" t="s">
        <v>2363</v>
      </c>
      <c r="D189">
        <v>29</v>
      </c>
      <c r="E189">
        <v>0</v>
      </c>
      <c r="F189" s="10">
        <v>1977.82</v>
      </c>
      <c r="G189" t="s">
        <v>2358</v>
      </c>
      <c r="H189" t="s">
        <v>2361</v>
      </c>
      <c r="I189" t="s">
        <v>2368</v>
      </c>
      <c r="J189" s="8">
        <f t="shared" si="2"/>
        <v>36067</v>
      </c>
    </row>
    <row r="190" spans="1:10" x14ac:dyDescent="0.35">
      <c r="A190" t="s">
        <v>2149</v>
      </c>
      <c r="B190">
        <v>2002</v>
      </c>
      <c r="C190" t="s">
        <v>2356</v>
      </c>
      <c r="D190">
        <v>16</v>
      </c>
      <c r="E190">
        <v>1</v>
      </c>
      <c r="F190" s="10">
        <v>1980.07</v>
      </c>
      <c r="G190" t="s">
        <v>2358</v>
      </c>
      <c r="H190" t="s">
        <v>2358</v>
      </c>
      <c r="I190" t="s">
        <v>2368</v>
      </c>
      <c r="J190" s="8">
        <f t="shared" si="2"/>
        <v>37453</v>
      </c>
    </row>
    <row r="191" spans="1:10" x14ac:dyDescent="0.35">
      <c r="A191" t="s">
        <v>2148</v>
      </c>
      <c r="B191">
        <v>1998</v>
      </c>
      <c r="C191" t="s">
        <v>2365</v>
      </c>
      <c r="D191">
        <v>29</v>
      </c>
      <c r="E191">
        <v>0</v>
      </c>
      <c r="F191" s="10">
        <v>1981.58</v>
      </c>
      <c r="G191" t="s">
        <v>2358</v>
      </c>
      <c r="H191" t="s">
        <v>2361</v>
      </c>
      <c r="I191" t="s">
        <v>2359</v>
      </c>
      <c r="J191" s="8">
        <f t="shared" si="2"/>
        <v>36158</v>
      </c>
    </row>
    <row r="192" spans="1:10" x14ac:dyDescent="0.35">
      <c r="A192" t="s">
        <v>2147</v>
      </c>
      <c r="B192">
        <v>2002</v>
      </c>
      <c r="C192" t="s">
        <v>2363</v>
      </c>
      <c r="D192">
        <v>29</v>
      </c>
      <c r="E192">
        <v>0</v>
      </c>
      <c r="F192" s="10">
        <v>1984.45</v>
      </c>
      <c r="G192" t="s">
        <v>2358</v>
      </c>
      <c r="H192" t="s">
        <v>2358</v>
      </c>
      <c r="I192" t="s">
        <v>2371</v>
      </c>
      <c r="J192" s="8">
        <f t="shared" si="2"/>
        <v>37528</v>
      </c>
    </row>
    <row r="193" spans="1:10" x14ac:dyDescent="0.35">
      <c r="A193" t="s">
        <v>2146</v>
      </c>
      <c r="B193">
        <v>1998</v>
      </c>
      <c r="C193" t="s">
        <v>2363</v>
      </c>
      <c r="D193">
        <v>14</v>
      </c>
      <c r="E193">
        <v>0</v>
      </c>
      <c r="F193" s="10">
        <v>1986.93</v>
      </c>
      <c r="G193" t="s">
        <v>2358</v>
      </c>
      <c r="H193" t="s">
        <v>2357</v>
      </c>
      <c r="I193" t="s">
        <v>2359</v>
      </c>
      <c r="J193" s="8">
        <f t="shared" si="2"/>
        <v>36052</v>
      </c>
    </row>
    <row r="194" spans="1:10" x14ac:dyDescent="0.35">
      <c r="A194" t="s">
        <v>2145</v>
      </c>
      <c r="B194">
        <v>2001</v>
      </c>
      <c r="C194" t="s">
        <v>2366</v>
      </c>
      <c r="D194">
        <v>14</v>
      </c>
      <c r="E194">
        <v>0</v>
      </c>
      <c r="F194" s="10">
        <v>2007.95</v>
      </c>
      <c r="G194" t="s">
        <v>2358</v>
      </c>
      <c r="H194" t="s">
        <v>2357</v>
      </c>
      <c r="I194" t="s">
        <v>2368</v>
      </c>
      <c r="J194" s="8">
        <f t="shared" si="2"/>
        <v>37117</v>
      </c>
    </row>
    <row r="195" spans="1:10" x14ac:dyDescent="0.35">
      <c r="A195" t="s">
        <v>2144</v>
      </c>
      <c r="B195">
        <v>2001</v>
      </c>
      <c r="C195" t="s">
        <v>2356</v>
      </c>
      <c r="D195">
        <v>1</v>
      </c>
      <c r="E195">
        <v>0</v>
      </c>
      <c r="F195" s="10">
        <v>2020.18</v>
      </c>
      <c r="G195" t="s">
        <v>2358</v>
      </c>
      <c r="H195" t="s">
        <v>2361</v>
      </c>
      <c r="I195" t="s">
        <v>2368</v>
      </c>
      <c r="J195" s="8">
        <f t="shared" ref="J195:J258" si="3">DATE(B195,MONTH(1&amp;C195),D195)</f>
        <v>37073</v>
      </c>
    </row>
    <row r="196" spans="1:10" x14ac:dyDescent="0.35">
      <c r="A196" t="s">
        <v>2143</v>
      </c>
      <c r="B196">
        <v>2001</v>
      </c>
      <c r="C196" t="s">
        <v>2363</v>
      </c>
      <c r="D196">
        <v>6</v>
      </c>
      <c r="E196">
        <v>0</v>
      </c>
      <c r="F196" s="10">
        <v>2020.55</v>
      </c>
      <c r="G196" t="s">
        <v>2358</v>
      </c>
      <c r="H196" t="s">
        <v>2357</v>
      </c>
      <c r="I196" t="s">
        <v>2359</v>
      </c>
      <c r="J196" s="8">
        <f t="shared" si="3"/>
        <v>37140</v>
      </c>
    </row>
    <row r="197" spans="1:10" x14ac:dyDescent="0.35">
      <c r="A197" t="s">
        <v>2142</v>
      </c>
      <c r="B197">
        <v>2001</v>
      </c>
      <c r="C197" t="s">
        <v>2366</v>
      </c>
      <c r="D197">
        <v>4</v>
      </c>
      <c r="E197">
        <v>0</v>
      </c>
      <c r="F197" s="10">
        <v>2026.97</v>
      </c>
      <c r="G197" t="s">
        <v>2358</v>
      </c>
      <c r="H197" t="s">
        <v>2357</v>
      </c>
      <c r="I197" t="s">
        <v>2359</v>
      </c>
      <c r="J197" s="8">
        <f t="shared" si="3"/>
        <v>37107</v>
      </c>
    </row>
    <row r="198" spans="1:10" x14ac:dyDescent="0.35">
      <c r="A198" t="s">
        <v>2141</v>
      </c>
      <c r="B198">
        <v>2000</v>
      </c>
      <c r="C198" t="s">
        <v>2363</v>
      </c>
      <c r="D198">
        <v>2</v>
      </c>
      <c r="E198">
        <v>0</v>
      </c>
      <c r="F198" s="10">
        <v>2045.69</v>
      </c>
      <c r="G198" t="s">
        <v>2358</v>
      </c>
      <c r="H198" t="s">
        <v>2358</v>
      </c>
      <c r="I198" t="s">
        <v>2364</v>
      </c>
      <c r="J198" s="8">
        <f t="shared" si="3"/>
        <v>36771</v>
      </c>
    </row>
    <row r="199" spans="1:10" x14ac:dyDescent="0.35">
      <c r="A199" t="s">
        <v>2140</v>
      </c>
      <c r="B199">
        <v>2000</v>
      </c>
      <c r="C199" t="s">
        <v>2356</v>
      </c>
      <c r="D199">
        <v>26</v>
      </c>
      <c r="E199">
        <v>0</v>
      </c>
      <c r="F199" s="10">
        <v>2055.3200000000002</v>
      </c>
      <c r="G199" t="s">
        <v>2358</v>
      </c>
      <c r="H199" t="s">
        <v>2358</v>
      </c>
      <c r="I199" t="s">
        <v>2364</v>
      </c>
      <c r="J199" s="8">
        <f t="shared" si="3"/>
        <v>36733</v>
      </c>
    </row>
    <row r="200" spans="1:10" x14ac:dyDescent="0.35">
      <c r="A200" t="s">
        <v>2139</v>
      </c>
      <c r="B200">
        <v>2004</v>
      </c>
      <c r="C200" t="s">
        <v>2362</v>
      </c>
      <c r="D200">
        <v>12</v>
      </c>
      <c r="E200">
        <v>0</v>
      </c>
      <c r="F200" s="10">
        <v>2094.1</v>
      </c>
      <c r="G200" t="s">
        <v>2358</v>
      </c>
      <c r="H200" t="s">
        <v>2357</v>
      </c>
      <c r="I200" t="s">
        <v>2373</v>
      </c>
      <c r="J200" s="8">
        <f t="shared" si="3"/>
        <v>38150</v>
      </c>
    </row>
    <row r="201" spans="1:10" x14ac:dyDescent="0.35">
      <c r="A201" t="s">
        <v>2138</v>
      </c>
      <c r="B201">
        <v>2001</v>
      </c>
      <c r="C201" t="s">
        <v>2366</v>
      </c>
      <c r="D201">
        <v>14</v>
      </c>
      <c r="E201">
        <v>0</v>
      </c>
      <c r="F201" s="10">
        <v>2102.2600000000002</v>
      </c>
      <c r="G201" t="s">
        <v>2358</v>
      </c>
      <c r="H201" t="s">
        <v>2357</v>
      </c>
      <c r="I201" t="s">
        <v>2370</v>
      </c>
      <c r="J201" s="8">
        <f t="shared" si="3"/>
        <v>37117</v>
      </c>
    </row>
    <row r="202" spans="1:10" x14ac:dyDescent="0.35">
      <c r="A202" t="s">
        <v>2137</v>
      </c>
      <c r="B202">
        <v>2001</v>
      </c>
      <c r="C202" t="s">
        <v>2362</v>
      </c>
      <c r="D202">
        <v>22</v>
      </c>
      <c r="E202">
        <v>1</v>
      </c>
      <c r="F202" s="10">
        <v>2103.08</v>
      </c>
      <c r="G202" t="s">
        <v>2358</v>
      </c>
      <c r="H202" t="s">
        <v>2357</v>
      </c>
      <c r="I202" t="s">
        <v>2368</v>
      </c>
      <c r="J202" s="8">
        <f t="shared" si="3"/>
        <v>37064</v>
      </c>
    </row>
    <row r="203" spans="1:10" x14ac:dyDescent="0.35">
      <c r="A203" t="s">
        <v>2136</v>
      </c>
      <c r="B203">
        <v>2001</v>
      </c>
      <c r="C203" t="s">
        <v>2360</v>
      </c>
      <c r="D203">
        <v>28</v>
      </c>
      <c r="E203">
        <v>0</v>
      </c>
      <c r="F203" s="10">
        <v>2104.11</v>
      </c>
      <c r="G203" t="s">
        <v>2357</v>
      </c>
      <c r="H203" t="s">
        <v>2361</v>
      </c>
      <c r="I203" t="s">
        <v>2371</v>
      </c>
      <c r="J203" s="8">
        <f t="shared" si="3"/>
        <v>37223</v>
      </c>
    </row>
    <row r="204" spans="1:10" x14ac:dyDescent="0.35">
      <c r="A204" t="s">
        <v>2135</v>
      </c>
      <c r="B204">
        <v>1989</v>
      </c>
      <c r="C204" t="s">
        <v>2356</v>
      </c>
      <c r="D204">
        <v>21</v>
      </c>
      <c r="E204">
        <v>3</v>
      </c>
      <c r="F204" s="10">
        <v>2106.2600000000002</v>
      </c>
      <c r="G204" t="s">
        <v>2357</v>
      </c>
      <c r="H204" t="s">
        <v>2357</v>
      </c>
      <c r="I204" t="s">
        <v>2359</v>
      </c>
      <c r="J204" s="8">
        <f t="shared" si="3"/>
        <v>32710</v>
      </c>
    </row>
    <row r="205" spans="1:10" x14ac:dyDescent="0.35">
      <c r="A205" t="s">
        <v>2134</v>
      </c>
      <c r="B205">
        <v>2003</v>
      </c>
      <c r="C205" t="s">
        <v>2363</v>
      </c>
      <c r="D205">
        <v>30</v>
      </c>
      <c r="E205">
        <v>0</v>
      </c>
      <c r="F205" s="10">
        <v>2117.34</v>
      </c>
      <c r="G205" t="s">
        <v>2357</v>
      </c>
      <c r="H205" t="s">
        <v>2358</v>
      </c>
      <c r="I205" t="s">
        <v>2364</v>
      </c>
      <c r="J205" s="8">
        <f t="shared" si="3"/>
        <v>37894</v>
      </c>
    </row>
    <row r="206" spans="1:10" x14ac:dyDescent="0.35">
      <c r="A206" t="s">
        <v>2133</v>
      </c>
      <c r="B206">
        <v>2004</v>
      </c>
      <c r="C206" t="s">
        <v>2360</v>
      </c>
      <c r="D206">
        <v>4</v>
      </c>
      <c r="E206">
        <v>0</v>
      </c>
      <c r="F206" s="10">
        <v>2118.61</v>
      </c>
      <c r="G206" t="s">
        <v>2357</v>
      </c>
      <c r="H206" t="s">
        <v>2361</v>
      </c>
      <c r="I206" t="s">
        <v>2364</v>
      </c>
      <c r="J206" s="8">
        <f t="shared" si="3"/>
        <v>38295</v>
      </c>
    </row>
    <row r="207" spans="1:10" x14ac:dyDescent="0.35">
      <c r="A207" t="s">
        <v>2132</v>
      </c>
      <c r="B207">
        <v>2003</v>
      </c>
      <c r="C207" t="s">
        <v>2366</v>
      </c>
      <c r="D207">
        <v>30</v>
      </c>
      <c r="E207">
        <v>0</v>
      </c>
      <c r="F207" s="10">
        <v>2128.4299999999998</v>
      </c>
      <c r="G207" t="s">
        <v>2357</v>
      </c>
      <c r="H207" t="s">
        <v>2361</v>
      </c>
      <c r="I207" t="s">
        <v>2364</v>
      </c>
      <c r="J207" s="8">
        <f t="shared" si="3"/>
        <v>37863</v>
      </c>
    </row>
    <row r="208" spans="1:10" x14ac:dyDescent="0.35">
      <c r="A208" t="s">
        <v>2131</v>
      </c>
      <c r="B208">
        <v>2003</v>
      </c>
      <c r="C208" t="s">
        <v>2365</v>
      </c>
      <c r="D208">
        <v>22</v>
      </c>
      <c r="E208">
        <v>0</v>
      </c>
      <c r="F208" s="10">
        <v>2130.6799999999998</v>
      </c>
      <c r="G208" t="s">
        <v>2357</v>
      </c>
      <c r="H208" t="s">
        <v>2358</v>
      </c>
      <c r="I208" t="s">
        <v>2364</v>
      </c>
      <c r="J208" s="8">
        <f t="shared" si="3"/>
        <v>37977</v>
      </c>
    </row>
    <row r="209" spans="1:10" x14ac:dyDescent="0.35">
      <c r="A209" t="s">
        <v>2130</v>
      </c>
      <c r="B209">
        <v>2003</v>
      </c>
      <c r="C209" t="s">
        <v>2363</v>
      </c>
      <c r="D209">
        <v>1</v>
      </c>
      <c r="E209">
        <v>0</v>
      </c>
      <c r="F209" s="10">
        <v>2134.9</v>
      </c>
      <c r="G209" t="s">
        <v>2357</v>
      </c>
      <c r="H209" t="s">
        <v>2358</v>
      </c>
      <c r="I209" t="s">
        <v>2364</v>
      </c>
      <c r="J209" s="8">
        <f t="shared" si="3"/>
        <v>37865</v>
      </c>
    </row>
    <row r="210" spans="1:10" x14ac:dyDescent="0.35">
      <c r="A210" t="s">
        <v>2129</v>
      </c>
      <c r="B210">
        <v>2003</v>
      </c>
      <c r="C210" t="s">
        <v>2363</v>
      </c>
      <c r="D210">
        <v>26</v>
      </c>
      <c r="E210">
        <v>0</v>
      </c>
      <c r="F210" s="10">
        <v>2136.88</v>
      </c>
      <c r="G210" t="s">
        <v>2357</v>
      </c>
      <c r="H210" t="s">
        <v>2357</v>
      </c>
      <c r="I210" t="s">
        <v>2364</v>
      </c>
      <c r="J210" s="8">
        <f t="shared" si="3"/>
        <v>37890</v>
      </c>
    </row>
    <row r="211" spans="1:10" x14ac:dyDescent="0.35">
      <c r="A211" t="s">
        <v>2128</v>
      </c>
      <c r="B211">
        <v>1997</v>
      </c>
      <c r="C211" t="s">
        <v>2363</v>
      </c>
      <c r="D211">
        <v>3</v>
      </c>
      <c r="E211">
        <v>0</v>
      </c>
      <c r="F211" s="10">
        <v>2137.65</v>
      </c>
      <c r="G211" t="s">
        <v>2358</v>
      </c>
      <c r="H211" t="s">
        <v>2361</v>
      </c>
      <c r="I211" t="s">
        <v>2359</v>
      </c>
      <c r="J211" s="8">
        <f t="shared" si="3"/>
        <v>35676</v>
      </c>
    </row>
    <row r="212" spans="1:10" x14ac:dyDescent="0.35">
      <c r="A212" t="s">
        <v>2127</v>
      </c>
      <c r="B212">
        <v>2003</v>
      </c>
      <c r="C212" t="s">
        <v>2366</v>
      </c>
      <c r="D212">
        <v>19</v>
      </c>
      <c r="E212">
        <v>0</v>
      </c>
      <c r="F212" s="10">
        <v>2138.0700000000002</v>
      </c>
      <c r="G212" t="s">
        <v>2357</v>
      </c>
      <c r="H212" t="s">
        <v>2361</v>
      </c>
      <c r="I212" t="s">
        <v>2364</v>
      </c>
      <c r="J212" s="8">
        <f t="shared" si="3"/>
        <v>37852</v>
      </c>
    </row>
    <row r="213" spans="1:10" x14ac:dyDescent="0.35">
      <c r="A213" t="s">
        <v>2126</v>
      </c>
      <c r="B213">
        <v>2004</v>
      </c>
      <c r="C213" t="s">
        <v>2367</v>
      </c>
      <c r="D213">
        <v>4</v>
      </c>
      <c r="E213">
        <v>0</v>
      </c>
      <c r="F213" s="10">
        <v>2144.85</v>
      </c>
      <c r="G213" t="s">
        <v>2357</v>
      </c>
      <c r="H213" t="s">
        <v>2361</v>
      </c>
      <c r="I213" t="s">
        <v>2368</v>
      </c>
      <c r="J213" s="8">
        <f t="shared" si="3"/>
        <v>38264</v>
      </c>
    </row>
    <row r="214" spans="1:10" x14ac:dyDescent="0.35">
      <c r="A214" t="s">
        <v>2125</v>
      </c>
      <c r="B214">
        <v>2000</v>
      </c>
      <c r="C214" t="s">
        <v>2365</v>
      </c>
      <c r="D214">
        <v>27</v>
      </c>
      <c r="E214">
        <v>0</v>
      </c>
      <c r="F214" s="10">
        <v>2150.4699999999998</v>
      </c>
      <c r="G214" t="s">
        <v>2357</v>
      </c>
      <c r="H214" t="s">
        <v>2358</v>
      </c>
      <c r="I214" t="s">
        <v>2368</v>
      </c>
      <c r="J214" s="8">
        <f t="shared" si="3"/>
        <v>36887</v>
      </c>
    </row>
    <row r="215" spans="1:10" x14ac:dyDescent="0.35">
      <c r="A215" t="s">
        <v>2124</v>
      </c>
      <c r="B215">
        <v>2000</v>
      </c>
      <c r="C215" t="s">
        <v>2367</v>
      </c>
      <c r="D215">
        <v>22</v>
      </c>
      <c r="E215">
        <v>0</v>
      </c>
      <c r="F215" s="10">
        <v>2154.36</v>
      </c>
      <c r="G215" t="s">
        <v>2357</v>
      </c>
      <c r="H215" t="s">
        <v>2357</v>
      </c>
      <c r="I215" t="s">
        <v>2368</v>
      </c>
      <c r="J215" s="8">
        <f t="shared" si="3"/>
        <v>36821</v>
      </c>
    </row>
    <row r="216" spans="1:10" x14ac:dyDescent="0.35">
      <c r="A216" t="s">
        <v>2123</v>
      </c>
      <c r="B216">
        <v>2000</v>
      </c>
      <c r="C216" t="s">
        <v>2360</v>
      </c>
      <c r="D216">
        <v>29</v>
      </c>
      <c r="E216">
        <v>0</v>
      </c>
      <c r="F216" s="10">
        <v>2155.6799999999998</v>
      </c>
      <c r="G216" t="s">
        <v>2357</v>
      </c>
      <c r="H216" t="s">
        <v>2358</v>
      </c>
      <c r="I216" t="s">
        <v>2359</v>
      </c>
      <c r="J216" s="8">
        <f t="shared" si="3"/>
        <v>36859</v>
      </c>
    </row>
    <row r="217" spans="1:10" x14ac:dyDescent="0.35">
      <c r="A217" t="s">
        <v>2122</v>
      </c>
      <c r="B217">
        <v>2000</v>
      </c>
      <c r="C217" t="s">
        <v>2365</v>
      </c>
      <c r="D217">
        <v>10</v>
      </c>
      <c r="E217">
        <v>0</v>
      </c>
      <c r="F217" s="10">
        <v>2156.75</v>
      </c>
      <c r="G217" t="s">
        <v>2357</v>
      </c>
      <c r="H217" t="s">
        <v>2357</v>
      </c>
      <c r="I217" t="s">
        <v>2359</v>
      </c>
      <c r="J217" s="8">
        <f t="shared" si="3"/>
        <v>36870</v>
      </c>
    </row>
    <row r="218" spans="1:10" x14ac:dyDescent="0.35">
      <c r="A218" t="s">
        <v>2121</v>
      </c>
      <c r="B218">
        <v>2000</v>
      </c>
      <c r="C218" t="s">
        <v>2366</v>
      </c>
      <c r="D218">
        <v>23</v>
      </c>
      <c r="E218">
        <v>0</v>
      </c>
      <c r="F218" s="10">
        <v>2166.73</v>
      </c>
      <c r="G218" t="s">
        <v>2357</v>
      </c>
      <c r="H218" t="s">
        <v>2357</v>
      </c>
      <c r="I218" t="s">
        <v>2368</v>
      </c>
      <c r="J218" s="8">
        <f t="shared" si="3"/>
        <v>36761</v>
      </c>
    </row>
    <row r="219" spans="1:10" x14ac:dyDescent="0.35">
      <c r="A219" t="s">
        <v>2120</v>
      </c>
      <c r="B219">
        <v>1994</v>
      </c>
      <c r="C219" t="s">
        <v>2363</v>
      </c>
      <c r="D219">
        <v>27</v>
      </c>
      <c r="E219">
        <v>0</v>
      </c>
      <c r="F219" s="10">
        <v>2170.08</v>
      </c>
      <c r="G219" t="s">
        <v>2357</v>
      </c>
      <c r="H219" t="s">
        <v>2357</v>
      </c>
      <c r="I219" t="s">
        <v>2359</v>
      </c>
      <c r="J219" s="8">
        <f t="shared" si="3"/>
        <v>34604</v>
      </c>
    </row>
    <row r="220" spans="1:10" x14ac:dyDescent="0.35">
      <c r="A220" t="s">
        <v>2119</v>
      </c>
      <c r="B220">
        <v>1991</v>
      </c>
      <c r="C220" t="s">
        <v>2365</v>
      </c>
      <c r="D220">
        <v>16</v>
      </c>
      <c r="E220">
        <v>3</v>
      </c>
      <c r="F220" s="10">
        <v>2193.1999999999998</v>
      </c>
      <c r="G220" t="s">
        <v>2357</v>
      </c>
      <c r="H220" t="s">
        <v>2357</v>
      </c>
      <c r="I220" t="s">
        <v>2364</v>
      </c>
      <c r="J220" s="8">
        <f t="shared" si="3"/>
        <v>33588</v>
      </c>
    </row>
    <row r="221" spans="1:10" x14ac:dyDescent="0.35">
      <c r="A221" t="s">
        <v>2118</v>
      </c>
      <c r="B221">
        <v>2004</v>
      </c>
      <c r="C221" t="s">
        <v>2365</v>
      </c>
      <c r="D221">
        <v>7</v>
      </c>
      <c r="E221">
        <v>0</v>
      </c>
      <c r="F221" s="10">
        <v>2196.4699999999998</v>
      </c>
      <c r="G221" t="s">
        <v>2357</v>
      </c>
      <c r="H221" t="s">
        <v>2358</v>
      </c>
      <c r="I221" t="s">
        <v>2374</v>
      </c>
      <c r="J221" s="8">
        <f t="shared" si="3"/>
        <v>38328</v>
      </c>
    </row>
    <row r="222" spans="1:10" x14ac:dyDescent="0.35">
      <c r="A222" t="s">
        <v>2117</v>
      </c>
      <c r="B222">
        <v>2004</v>
      </c>
      <c r="C222" t="s">
        <v>2363</v>
      </c>
      <c r="D222">
        <v>3</v>
      </c>
      <c r="E222">
        <v>0</v>
      </c>
      <c r="F222" s="10">
        <v>2198.19</v>
      </c>
      <c r="G222" t="s">
        <v>2357</v>
      </c>
      <c r="H222" t="s">
        <v>2361</v>
      </c>
      <c r="I222" t="s">
        <v>2375</v>
      </c>
      <c r="J222" s="8">
        <f t="shared" si="3"/>
        <v>38233</v>
      </c>
    </row>
    <row r="223" spans="1:10" x14ac:dyDescent="0.35">
      <c r="A223" t="s">
        <v>2116</v>
      </c>
      <c r="B223">
        <v>2004</v>
      </c>
      <c r="C223" t="s">
        <v>2363</v>
      </c>
      <c r="D223">
        <v>12</v>
      </c>
      <c r="E223">
        <v>0</v>
      </c>
      <c r="F223" s="10">
        <v>2200.83</v>
      </c>
      <c r="G223" t="s">
        <v>2357</v>
      </c>
      <c r="H223" t="s">
        <v>2357</v>
      </c>
      <c r="I223" t="s">
        <v>2374</v>
      </c>
      <c r="J223" s="8">
        <f t="shared" si="3"/>
        <v>38242</v>
      </c>
    </row>
    <row r="224" spans="1:10" x14ac:dyDescent="0.35">
      <c r="A224" t="s">
        <v>2115</v>
      </c>
      <c r="B224">
        <v>2004</v>
      </c>
      <c r="C224" t="s">
        <v>2356</v>
      </c>
      <c r="D224">
        <v>27</v>
      </c>
      <c r="E224">
        <v>1</v>
      </c>
      <c r="F224" s="10">
        <v>2201.1</v>
      </c>
      <c r="G224" t="s">
        <v>2357</v>
      </c>
      <c r="H224" t="s">
        <v>2358</v>
      </c>
      <c r="I224" t="s">
        <v>2359</v>
      </c>
      <c r="J224" s="8">
        <f t="shared" si="3"/>
        <v>38195</v>
      </c>
    </row>
    <row r="225" spans="1:10" x14ac:dyDescent="0.35">
      <c r="A225" t="s">
        <v>2114</v>
      </c>
      <c r="B225">
        <v>2004</v>
      </c>
      <c r="C225" t="s">
        <v>2366</v>
      </c>
      <c r="D225">
        <v>6</v>
      </c>
      <c r="E225">
        <v>0</v>
      </c>
      <c r="F225" s="10">
        <v>2203.4699999999998</v>
      </c>
      <c r="G225" t="s">
        <v>2357</v>
      </c>
      <c r="H225" t="s">
        <v>2357</v>
      </c>
      <c r="I225" t="s">
        <v>2374</v>
      </c>
      <c r="J225" s="8">
        <f t="shared" si="3"/>
        <v>38205</v>
      </c>
    </row>
    <row r="226" spans="1:10" x14ac:dyDescent="0.35">
      <c r="A226" t="s">
        <v>2113</v>
      </c>
      <c r="B226">
        <v>2004</v>
      </c>
      <c r="C226" t="s">
        <v>2367</v>
      </c>
      <c r="D226">
        <v>28</v>
      </c>
      <c r="E226">
        <v>0</v>
      </c>
      <c r="F226" s="10">
        <v>2203.7399999999998</v>
      </c>
      <c r="G226" t="s">
        <v>2357</v>
      </c>
      <c r="H226" t="s">
        <v>2357</v>
      </c>
      <c r="I226" t="s">
        <v>2374</v>
      </c>
      <c r="J226" s="8">
        <f t="shared" si="3"/>
        <v>38288</v>
      </c>
    </row>
    <row r="227" spans="1:10" x14ac:dyDescent="0.35">
      <c r="A227" t="s">
        <v>2112</v>
      </c>
      <c r="B227">
        <v>2004</v>
      </c>
      <c r="C227" t="s">
        <v>2360</v>
      </c>
      <c r="D227">
        <v>13</v>
      </c>
      <c r="E227">
        <v>0</v>
      </c>
      <c r="F227" s="10">
        <v>2205.98</v>
      </c>
      <c r="G227" t="s">
        <v>2357</v>
      </c>
      <c r="H227" t="s">
        <v>2358</v>
      </c>
      <c r="I227" t="s">
        <v>2374</v>
      </c>
      <c r="J227" s="8">
        <f t="shared" si="3"/>
        <v>38304</v>
      </c>
    </row>
    <row r="228" spans="1:10" x14ac:dyDescent="0.35">
      <c r="A228" t="s">
        <v>2111</v>
      </c>
      <c r="B228">
        <v>2004</v>
      </c>
      <c r="C228" t="s">
        <v>2366</v>
      </c>
      <c r="D228">
        <v>6</v>
      </c>
      <c r="E228">
        <v>0</v>
      </c>
      <c r="F228" s="10">
        <v>2207.6999999999998</v>
      </c>
      <c r="G228" t="s">
        <v>2357</v>
      </c>
      <c r="H228" t="s">
        <v>2357</v>
      </c>
      <c r="I228" t="s">
        <v>2374</v>
      </c>
      <c r="J228" s="8">
        <f t="shared" si="3"/>
        <v>38205</v>
      </c>
    </row>
    <row r="229" spans="1:10" x14ac:dyDescent="0.35">
      <c r="A229" t="s">
        <v>2110</v>
      </c>
      <c r="B229">
        <v>2004</v>
      </c>
      <c r="C229" t="s">
        <v>2356</v>
      </c>
      <c r="D229">
        <v>27</v>
      </c>
      <c r="E229">
        <v>0</v>
      </c>
      <c r="F229" s="10">
        <v>2211.13</v>
      </c>
      <c r="G229" t="s">
        <v>2357</v>
      </c>
      <c r="H229" t="s">
        <v>2357</v>
      </c>
      <c r="I229" t="s">
        <v>2374</v>
      </c>
      <c r="J229" s="8">
        <f t="shared" si="3"/>
        <v>38195</v>
      </c>
    </row>
    <row r="230" spans="1:10" x14ac:dyDescent="0.35">
      <c r="A230" t="s">
        <v>2109</v>
      </c>
      <c r="B230">
        <v>1994</v>
      </c>
      <c r="C230" t="s">
        <v>2360</v>
      </c>
      <c r="D230">
        <v>17</v>
      </c>
      <c r="E230">
        <v>0</v>
      </c>
      <c r="F230" s="10">
        <v>2213.21</v>
      </c>
      <c r="G230" t="s">
        <v>2357</v>
      </c>
      <c r="H230" t="s">
        <v>2357</v>
      </c>
      <c r="I230" t="s">
        <v>2359</v>
      </c>
      <c r="J230" s="8">
        <f t="shared" si="3"/>
        <v>34655</v>
      </c>
    </row>
    <row r="231" spans="1:10" x14ac:dyDescent="0.35">
      <c r="A231" t="s">
        <v>2108</v>
      </c>
      <c r="B231">
        <v>2004</v>
      </c>
      <c r="C231" t="s">
        <v>2362</v>
      </c>
      <c r="D231">
        <v>13</v>
      </c>
      <c r="E231">
        <v>0</v>
      </c>
      <c r="F231" s="10">
        <v>2217.4699999999998</v>
      </c>
      <c r="G231" t="s">
        <v>2357</v>
      </c>
      <c r="H231" t="s">
        <v>2361</v>
      </c>
      <c r="I231" t="s">
        <v>2374</v>
      </c>
      <c r="J231" s="8">
        <f t="shared" si="3"/>
        <v>38151</v>
      </c>
    </row>
    <row r="232" spans="1:10" x14ac:dyDescent="0.35">
      <c r="A232" t="s">
        <v>2107</v>
      </c>
      <c r="B232">
        <v>2004</v>
      </c>
      <c r="C232" t="s">
        <v>2363</v>
      </c>
      <c r="D232">
        <v>25</v>
      </c>
      <c r="E232">
        <v>0</v>
      </c>
      <c r="F232" s="10">
        <v>2217.6</v>
      </c>
      <c r="G232" t="s">
        <v>2357</v>
      </c>
      <c r="H232" t="s">
        <v>2361</v>
      </c>
      <c r="I232" t="s">
        <v>2374</v>
      </c>
      <c r="J232" s="8">
        <f t="shared" si="3"/>
        <v>38255</v>
      </c>
    </row>
    <row r="233" spans="1:10" x14ac:dyDescent="0.35">
      <c r="A233" t="s">
        <v>2106</v>
      </c>
      <c r="B233">
        <v>2004</v>
      </c>
      <c r="C233" t="s">
        <v>2365</v>
      </c>
      <c r="D233">
        <v>12</v>
      </c>
      <c r="E233">
        <v>1</v>
      </c>
      <c r="F233" s="10">
        <v>2219.4499999999998</v>
      </c>
      <c r="G233" t="s">
        <v>2357</v>
      </c>
      <c r="H233" t="s">
        <v>2361</v>
      </c>
      <c r="I233" t="s">
        <v>2359</v>
      </c>
      <c r="J233" s="8">
        <f t="shared" si="3"/>
        <v>38333</v>
      </c>
    </row>
    <row r="234" spans="1:10" x14ac:dyDescent="0.35">
      <c r="A234" t="s">
        <v>2105</v>
      </c>
      <c r="B234">
        <v>2003</v>
      </c>
      <c r="C234" t="s">
        <v>2365</v>
      </c>
      <c r="D234">
        <v>10</v>
      </c>
      <c r="E234">
        <v>1</v>
      </c>
      <c r="F234" s="10">
        <v>2221.56</v>
      </c>
      <c r="G234" t="s">
        <v>2357</v>
      </c>
      <c r="H234" t="s">
        <v>2358</v>
      </c>
      <c r="I234" t="s">
        <v>2364</v>
      </c>
      <c r="J234" s="8">
        <f t="shared" si="3"/>
        <v>37965</v>
      </c>
    </row>
    <row r="235" spans="1:10" x14ac:dyDescent="0.35">
      <c r="A235" t="s">
        <v>2104</v>
      </c>
      <c r="B235">
        <v>2000</v>
      </c>
      <c r="C235" t="s">
        <v>2362</v>
      </c>
      <c r="D235">
        <v>30</v>
      </c>
      <c r="E235">
        <v>0</v>
      </c>
      <c r="F235" s="10">
        <v>2250.84</v>
      </c>
      <c r="G235" t="s">
        <v>2357</v>
      </c>
      <c r="H235" t="s">
        <v>2357</v>
      </c>
      <c r="I235" t="s">
        <v>2372</v>
      </c>
      <c r="J235" s="8">
        <f t="shared" si="3"/>
        <v>36707</v>
      </c>
    </row>
    <row r="236" spans="1:10" x14ac:dyDescent="0.35">
      <c r="A236" t="s">
        <v>2103</v>
      </c>
      <c r="B236">
        <v>2000</v>
      </c>
      <c r="C236" t="s">
        <v>2365</v>
      </c>
      <c r="D236">
        <v>11</v>
      </c>
      <c r="E236">
        <v>0</v>
      </c>
      <c r="F236" s="10">
        <v>2254.8000000000002</v>
      </c>
      <c r="G236" t="s">
        <v>2357</v>
      </c>
      <c r="H236" t="s">
        <v>2358</v>
      </c>
      <c r="I236" t="s">
        <v>2371</v>
      </c>
      <c r="J236" s="8">
        <f t="shared" si="3"/>
        <v>36871</v>
      </c>
    </row>
    <row r="237" spans="1:10" x14ac:dyDescent="0.35">
      <c r="A237" t="s">
        <v>2102</v>
      </c>
      <c r="B237">
        <v>2002</v>
      </c>
      <c r="C237" t="s">
        <v>2356</v>
      </c>
      <c r="D237">
        <v>15</v>
      </c>
      <c r="E237">
        <v>0</v>
      </c>
      <c r="F237" s="10">
        <v>2257.48</v>
      </c>
      <c r="G237" t="s">
        <v>2357</v>
      </c>
      <c r="H237" t="s">
        <v>2361</v>
      </c>
      <c r="I237" t="s">
        <v>2364</v>
      </c>
      <c r="J237" s="8">
        <f t="shared" si="3"/>
        <v>37452</v>
      </c>
    </row>
    <row r="238" spans="1:10" x14ac:dyDescent="0.35">
      <c r="A238" t="s">
        <v>2101</v>
      </c>
      <c r="B238">
        <v>2002</v>
      </c>
      <c r="C238" t="s">
        <v>2360</v>
      </c>
      <c r="D238">
        <v>12</v>
      </c>
      <c r="E238">
        <v>0</v>
      </c>
      <c r="F238" s="10">
        <v>2261.5700000000002</v>
      </c>
      <c r="G238" t="s">
        <v>2357</v>
      </c>
      <c r="H238" t="s">
        <v>2361</v>
      </c>
      <c r="I238" t="s">
        <v>2364</v>
      </c>
      <c r="J238" s="8">
        <f t="shared" si="3"/>
        <v>37572</v>
      </c>
    </row>
    <row r="239" spans="1:10" x14ac:dyDescent="0.35">
      <c r="A239" t="s">
        <v>2100</v>
      </c>
      <c r="B239">
        <v>1991</v>
      </c>
      <c r="C239" t="s">
        <v>2362</v>
      </c>
      <c r="D239">
        <v>16</v>
      </c>
      <c r="E239">
        <v>3</v>
      </c>
      <c r="F239" s="10">
        <v>2277.7199999999998</v>
      </c>
      <c r="G239" t="s">
        <v>2357</v>
      </c>
      <c r="H239" t="s">
        <v>2361</v>
      </c>
      <c r="I239" t="s">
        <v>2359</v>
      </c>
      <c r="J239" s="8">
        <f t="shared" si="3"/>
        <v>33405</v>
      </c>
    </row>
    <row r="240" spans="1:10" x14ac:dyDescent="0.35">
      <c r="A240" t="s">
        <v>2099</v>
      </c>
      <c r="B240">
        <v>1989</v>
      </c>
      <c r="C240" t="s">
        <v>2367</v>
      </c>
      <c r="D240">
        <v>5</v>
      </c>
      <c r="E240">
        <v>3</v>
      </c>
      <c r="F240" s="10">
        <v>2295.2399999999998</v>
      </c>
      <c r="G240" t="s">
        <v>2357</v>
      </c>
      <c r="H240" t="s">
        <v>2361</v>
      </c>
      <c r="I240" t="s">
        <v>2359</v>
      </c>
      <c r="J240" s="8">
        <f t="shared" si="3"/>
        <v>32786</v>
      </c>
    </row>
    <row r="241" spans="1:10" x14ac:dyDescent="0.35">
      <c r="A241" t="s">
        <v>2098</v>
      </c>
      <c r="B241">
        <v>1996</v>
      </c>
      <c r="C241" t="s">
        <v>2360</v>
      </c>
      <c r="D241">
        <v>28</v>
      </c>
      <c r="E241">
        <v>0</v>
      </c>
      <c r="F241" s="10">
        <v>2302.3000000000002</v>
      </c>
      <c r="G241" t="s">
        <v>2361</v>
      </c>
      <c r="H241" t="s">
        <v>2357</v>
      </c>
      <c r="I241" t="s">
        <v>2368</v>
      </c>
      <c r="J241" s="8">
        <f t="shared" si="3"/>
        <v>35397</v>
      </c>
    </row>
    <row r="242" spans="1:10" x14ac:dyDescent="0.35">
      <c r="A242" t="s">
        <v>2097</v>
      </c>
      <c r="B242">
        <v>2004</v>
      </c>
      <c r="C242" t="s">
        <v>2363</v>
      </c>
      <c r="D242">
        <v>6</v>
      </c>
      <c r="E242">
        <v>2</v>
      </c>
      <c r="F242" s="10">
        <v>2304</v>
      </c>
      <c r="G242" t="s">
        <v>2357</v>
      </c>
      <c r="H242" t="s">
        <v>2358</v>
      </c>
      <c r="I242" t="s">
        <v>2359</v>
      </c>
      <c r="J242" s="8">
        <f t="shared" si="3"/>
        <v>38236</v>
      </c>
    </row>
    <row r="243" spans="1:10" x14ac:dyDescent="0.35">
      <c r="A243" t="s">
        <v>2096</v>
      </c>
      <c r="B243">
        <v>1996</v>
      </c>
      <c r="C243" t="s">
        <v>2365</v>
      </c>
      <c r="D243">
        <v>17</v>
      </c>
      <c r="E243">
        <v>0</v>
      </c>
      <c r="F243" s="10">
        <v>2322.62</v>
      </c>
      <c r="G243" t="s">
        <v>2357</v>
      </c>
      <c r="H243" t="s">
        <v>2361</v>
      </c>
      <c r="I243" t="s">
        <v>2359</v>
      </c>
      <c r="J243" s="8">
        <f t="shared" si="3"/>
        <v>35416</v>
      </c>
    </row>
    <row r="244" spans="1:10" x14ac:dyDescent="0.35">
      <c r="A244" t="s">
        <v>2095</v>
      </c>
      <c r="B244">
        <v>2003</v>
      </c>
      <c r="C244" t="s">
        <v>2360</v>
      </c>
      <c r="D244">
        <v>18</v>
      </c>
      <c r="E244">
        <v>1</v>
      </c>
      <c r="F244" s="10">
        <v>2331.52</v>
      </c>
      <c r="G244" t="s">
        <v>2357</v>
      </c>
      <c r="H244" t="s">
        <v>2358</v>
      </c>
      <c r="I244" t="s">
        <v>2368</v>
      </c>
      <c r="J244" s="8">
        <f t="shared" si="3"/>
        <v>37943</v>
      </c>
    </row>
    <row r="245" spans="1:10" x14ac:dyDescent="0.35">
      <c r="A245" t="s">
        <v>2094</v>
      </c>
      <c r="B245">
        <v>1998</v>
      </c>
      <c r="C245" t="s">
        <v>2367</v>
      </c>
      <c r="D245">
        <v>21</v>
      </c>
      <c r="E245">
        <v>0</v>
      </c>
      <c r="F245" s="10">
        <v>2352.9699999999998</v>
      </c>
      <c r="G245" t="s">
        <v>2358</v>
      </c>
      <c r="H245" t="s">
        <v>2358</v>
      </c>
      <c r="I245" t="s">
        <v>2364</v>
      </c>
      <c r="J245" s="8">
        <f t="shared" si="3"/>
        <v>36089</v>
      </c>
    </row>
    <row r="246" spans="1:10" x14ac:dyDescent="0.35">
      <c r="A246" t="s">
        <v>2093</v>
      </c>
      <c r="B246">
        <v>2002</v>
      </c>
      <c r="C246" t="s">
        <v>2360</v>
      </c>
      <c r="D246">
        <v>5</v>
      </c>
      <c r="E246">
        <v>1</v>
      </c>
      <c r="F246" s="10">
        <v>2362.23</v>
      </c>
      <c r="G246" t="s">
        <v>2357</v>
      </c>
      <c r="H246" t="s">
        <v>2361</v>
      </c>
      <c r="I246" t="s">
        <v>2364</v>
      </c>
      <c r="J246" s="8">
        <f t="shared" si="3"/>
        <v>37565</v>
      </c>
    </row>
    <row r="247" spans="1:10" x14ac:dyDescent="0.35">
      <c r="A247" t="s">
        <v>2092</v>
      </c>
      <c r="B247">
        <v>1988</v>
      </c>
      <c r="C247" t="s">
        <v>2365</v>
      </c>
      <c r="D247">
        <v>12</v>
      </c>
      <c r="E247">
        <v>3</v>
      </c>
      <c r="F247" s="10">
        <v>2373.3000000000002</v>
      </c>
      <c r="G247" t="s">
        <v>2357</v>
      </c>
      <c r="H247" t="s">
        <v>2357</v>
      </c>
      <c r="I247" t="s">
        <v>2359</v>
      </c>
      <c r="J247" s="8">
        <f t="shared" si="3"/>
        <v>32489</v>
      </c>
    </row>
    <row r="248" spans="1:10" x14ac:dyDescent="0.35">
      <c r="A248" t="s">
        <v>2091</v>
      </c>
      <c r="B248">
        <v>1999</v>
      </c>
      <c r="C248" t="s">
        <v>2365</v>
      </c>
      <c r="D248">
        <v>17</v>
      </c>
      <c r="E248">
        <v>0</v>
      </c>
      <c r="F248" s="10">
        <v>2395.17</v>
      </c>
      <c r="G248" t="s">
        <v>2357</v>
      </c>
      <c r="H248" t="s">
        <v>2361</v>
      </c>
      <c r="I248" t="s">
        <v>2376</v>
      </c>
      <c r="J248" s="8">
        <f t="shared" si="3"/>
        <v>36511</v>
      </c>
    </row>
    <row r="249" spans="1:10" x14ac:dyDescent="0.35">
      <c r="A249" t="s">
        <v>2090</v>
      </c>
      <c r="B249">
        <v>1999</v>
      </c>
      <c r="C249" t="s">
        <v>2366</v>
      </c>
      <c r="D249">
        <v>10</v>
      </c>
      <c r="E249">
        <v>0</v>
      </c>
      <c r="F249" s="10">
        <v>2396.1</v>
      </c>
      <c r="G249" t="s">
        <v>2357</v>
      </c>
      <c r="H249" t="s">
        <v>2361</v>
      </c>
      <c r="I249" t="s">
        <v>2370</v>
      </c>
      <c r="J249" s="8">
        <f t="shared" si="3"/>
        <v>36382</v>
      </c>
    </row>
    <row r="250" spans="1:10" x14ac:dyDescent="0.35">
      <c r="A250" t="s">
        <v>2089</v>
      </c>
      <c r="B250">
        <v>2001</v>
      </c>
      <c r="C250" t="s">
        <v>2362</v>
      </c>
      <c r="D250">
        <v>3</v>
      </c>
      <c r="E250">
        <v>0</v>
      </c>
      <c r="F250" s="10">
        <v>2404.73</v>
      </c>
      <c r="G250" t="s">
        <v>2357</v>
      </c>
      <c r="H250" t="s">
        <v>2358</v>
      </c>
      <c r="I250" t="s">
        <v>2364</v>
      </c>
      <c r="J250" s="8">
        <f t="shared" si="3"/>
        <v>37045</v>
      </c>
    </row>
    <row r="251" spans="1:10" x14ac:dyDescent="0.35">
      <c r="A251" t="s">
        <v>2088</v>
      </c>
      <c r="B251">
        <v>1999</v>
      </c>
      <c r="C251" t="s">
        <v>2360</v>
      </c>
      <c r="D251">
        <v>12</v>
      </c>
      <c r="E251">
        <v>1</v>
      </c>
      <c r="F251" s="10">
        <v>2416.96</v>
      </c>
      <c r="G251" t="s">
        <v>2357</v>
      </c>
      <c r="H251" t="s">
        <v>2357</v>
      </c>
      <c r="I251" t="s">
        <v>2368</v>
      </c>
      <c r="J251" s="8">
        <f t="shared" si="3"/>
        <v>36476</v>
      </c>
    </row>
    <row r="252" spans="1:10" x14ac:dyDescent="0.35">
      <c r="A252" t="s">
        <v>2087</v>
      </c>
      <c r="B252">
        <v>1999</v>
      </c>
      <c r="C252" t="s">
        <v>2360</v>
      </c>
      <c r="D252">
        <v>21</v>
      </c>
      <c r="E252">
        <v>1</v>
      </c>
      <c r="F252" s="10">
        <v>2438.06</v>
      </c>
      <c r="G252" t="s">
        <v>2357</v>
      </c>
      <c r="H252" t="s">
        <v>2357</v>
      </c>
      <c r="I252" t="s">
        <v>2359</v>
      </c>
      <c r="J252" s="8">
        <f t="shared" si="3"/>
        <v>36485</v>
      </c>
    </row>
    <row r="253" spans="1:10" x14ac:dyDescent="0.35">
      <c r="A253" t="s">
        <v>2086</v>
      </c>
      <c r="B253">
        <v>2002</v>
      </c>
      <c r="C253" t="s">
        <v>2356</v>
      </c>
      <c r="D253">
        <v>29</v>
      </c>
      <c r="E253">
        <v>0</v>
      </c>
      <c r="F253" s="10">
        <v>2457.21</v>
      </c>
      <c r="G253" t="s">
        <v>2357</v>
      </c>
      <c r="H253" t="s">
        <v>2361</v>
      </c>
      <c r="I253" t="s">
        <v>2374</v>
      </c>
      <c r="J253" s="8">
        <f t="shared" si="3"/>
        <v>37466</v>
      </c>
    </row>
    <row r="254" spans="1:10" x14ac:dyDescent="0.35">
      <c r="A254" t="s">
        <v>2085</v>
      </c>
      <c r="B254">
        <v>1998</v>
      </c>
      <c r="C254" t="s">
        <v>2360</v>
      </c>
      <c r="D254">
        <v>19</v>
      </c>
      <c r="E254">
        <v>0</v>
      </c>
      <c r="F254" s="10">
        <v>2457.5</v>
      </c>
      <c r="G254" t="s">
        <v>2357</v>
      </c>
      <c r="H254" t="s">
        <v>2361</v>
      </c>
      <c r="I254" t="s">
        <v>2368</v>
      </c>
      <c r="J254" s="8">
        <f t="shared" si="3"/>
        <v>36118</v>
      </c>
    </row>
    <row r="255" spans="1:10" x14ac:dyDescent="0.35">
      <c r="A255" t="s">
        <v>2084</v>
      </c>
      <c r="B255">
        <v>2002</v>
      </c>
      <c r="C255" t="s">
        <v>2356</v>
      </c>
      <c r="D255">
        <v>11</v>
      </c>
      <c r="E255">
        <v>0</v>
      </c>
      <c r="F255" s="10">
        <v>2459.7199999999998</v>
      </c>
      <c r="G255" t="s">
        <v>2357</v>
      </c>
      <c r="H255" t="s">
        <v>2357</v>
      </c>
      <c r="I255" t="s">
        <v>2374</v>
      </c>
      <c r="J255" s="8">
        <f t="shared" si="3"/>
        <v>37448</v>
      </c>
    </row>
    <row r="256" spans="1:10" x14ac:dyDescent="0.35">
      <c r="A256" t="s">
        <v>2083</v>
      </c>
      <c r="B256">
        <v>1998</v>
      </c>
      <c r="C256" t="s">
        <v>2366</v>
      </c>
      <c r="D256">
        <v>17</v>
      </c>
      <c r="E256">
        <v>0</v>
      </c>
      <c r="F256" s="10">
        <v>2464.62</v>
      </c>
      <c r="G256" t="s">
        <v>2357</v>
      </c>
      <c r="H256" t="s">
        <v>2358</v>
      </c>
      <c r="I256" t="s">
        <v>2359</v>
      </c>
      <c r="J256" s="8">
        <f t="shared" si="3"/>
        <v>36024</v>
      </c>
    </row>
    <row r="257" spans="1:10" x14ac:dyDescent="0.35">
      <c r="A257" t="s">
        <v>2082</v>
      </c>
      <c r="B257">
        <v>1998</v>
      </c>
      <c r="C257" t="s">
        <v>2356</v>
      </c>
      <c r="D257">
        <v>2</v>
      </c>
      <c r="E257">
        <v>0</v>
      </c>
      <c r="F257" s="10">
        <v>2473.33</v>
      </c>
      <c r="G257" t="s">
        <v>2357</v>
      </c>
      <c r="H257" t="s">
        <v>2358</v>
      </c>
      <c r="I257" t="s">
        <v>2359</v>
      </c>
      <c r="J257" s="8">
        <f t="shared" si="3"/>
        <v>35978</v>
      </c>
    </row>
    <row r="258" spans="1:10" x14ac:dyDescent="0.35">
      <c r="A258" t="s">
        <v>2081</v>
      </c>
      <c r="B258">
        <v>1998</v>
      </c>
      <c r="C258" t="s">
        <v>2362</v>
      </c>
      <c r="D258">
        <v>20</v>
      </c>
      <c r="E258">
        <v>0</v>
      </c>
      <c r="F258" s="10">
        <v>2480.98</v>
      </c>
      <c r="G258" t="s">
        <v>2357</v>
      </c>
      <c r="H258" t="s">
        <v>2357</v>
      </c>
      <c r="I258" t="s">
        <v>2359</v>
      </c>
      <c r="J258" s="8">
        <f t="shared" si="3"/>
        <v>35966</v>
      </c>
    </row>
    <row r="259" spans="1:10" x14ac:dyDescent="0.35">
      <c r="A259" t="s">
        <v>2080</v>
      </c>
      <c r="B259">
        <v>1995</v>
      </c>
      <c r="C259" t="s">
        <v>2360</v>
      </c>
      <c r="D259">
        <v>6</v>
      </c>
      <c r="E259">
        <v>0</v>
      </c>
      <c r="F259" s="10">
        <v>2483.7399999999998</v>
      </c>
      <c r="G259" t="s">
        <v>2358</v>
      </c>
      <c r="H259" t="s">
        <v>2357</v>
      </c>
      <c r="I259" t="s">
        <v>2359</v>
      </c>
      <c r="J259" s="8">
        <f t="shared" ref="J259:J322" si="4">DATE(B259,MONTH(1&amp;C259),D259)</f>
        <v>35009</v>
      </c>
    </row>
    <row r="260" spans="1:10" x14ac:dyDescent="0.35">
      <c r="A260" t="s">
        <v>2079</v>
      </c>
      <c r="B260">
        <v>1995</v>
      </c>
      <c r="C260" t="s">
        <v>2367</v>
      </c>
      <c r="D260">
        <v>14</v>
      </c>
      <c r="E260">
        <v>0</v>
      </c>
      <c r="F260" s="10">
        <v>2494.02</v>
      </c>
      <c r="G260" t="s">
        <v>2358</v>
      </c>
      <c r="H260" t="s">
        <v>2361</v>
      </c>
      <c r="I260" t="s">
        <v>2368</v>
      </c>
      <c r="J260" s="8">
        <f t="shared" si="4"/>
        <v>34986</v>
      </c>
    </row>
    <row r="261" spans="1:10" x14ac:dyDescent="0.35">
      <c r="A261" t="s">
        <v>2078</v>
      </c>
      <c r="B261">
        <v>1995</v>
      </c>
      <c r="C261" t="s">
        <v>2356</v>
      </c>
      <c r="D261">
        <v>9</v>
      </c>
      <c r="E261">
        <v>0</v>
      </c>
      <c r="F261" s="10">
        <v>2497.04</v>
      </c>
      <c r="G261" t="s">
        <v>2358</v>
      </c>
      <c r="H261" t="s">
        <v>2358</v>
      </c>
      <c r="I261" t="s">
        <v>2359</v>
      </c>
      <c r="J261" s="8">
        <f t="shared" si="4"/>
        <v>34889</v>
      </c>
    </row>
    <row r="262" spans="1:10" x14ac:dyDescent="0.35">
      <c r="A262" t="s">
        <v>2077</v>
      </c>
      <c r="B262">
        <v>1995</v>
      </c>
      <c r="C262" t="s">
        <v>2367</v>
      </c>
      <c r="D262">
        <v>15</v>
      </c>
      <c r="E262">
        <v>0</v>
      </c>
      <c r="F262" s="10">
        <v>2498.41</v>
      </c>
      <c r="G262" t="s">
        <v>2358</v>
      </c>
      <c r="H262" t="s">
        <v>2358</v>
      </c>
      <c r="I262" t="s">
        <v>2359</v>
      </c>
      <c r="J262" s="8">
        <f t="shared" si="4"/>
        <v>34987</v>
      </c>
    </row>
    <row r="263" spans="1:10" x14ac:dyDescent="0.35">
      <c r="A263" t="s">
        <v>2076</v>
      </c>
      <c r="B263">
        <v>2004</v>
      </c>
      <c r="C263" t="s">
        <v>2363</v>
      </c>
      <c r="D263">
        <v>6</v>
      </c>
      <c r="E263">
        <v>0</v>
      </c>
      <c r="F263" s="10">
        <v>2500.9299999999998</v>
      </c>
      <c r="G263" t="s">
        <v>2357</v>
      </c>
      <c r="H263" t="s">
        <v>2357</v>
      </c>
      <c r="I263" t="s">
        <v>2364</v>
      </c>
      <c r="J263" s="8">
        <f t="shared" si="4"/>
        <v>38236</v>
      </c>
    </row>
    <row r="264" spans="1:10" x14ac:dyDescent="0.35">
      <c r="A264" t="s">
        <v>2075</v>
      </c>
      <c r="B264">
        <v>1991</v>
      </c>
      <c r="C264" t="s">
        <v>2366</v>
      </c>
      <c r="D264">
        <v>5</v>
      </c>
      <c r="E264">
        <v>3</v>
      </c>
      <c r="F264" s="10">
        <v>2510.79</v>
      </c>
      <c r="G264" t="s">
        <v>2357</v>
      </c>
      <c r="H264" t="s">
        <v>2361</v>
      </c>
      <c r="I264" t="s">
        <v>2359</v>
      </c>
      <c r="J264" s="8">
        <f t="shared" si="4"/>
        <v>33455</v>
      </c>
    </row>
    <row r="265" spans="1:10" x14ac:dyDescent="0.35">
      <c r="A265" t="s">
        <v>2074</v>
      </c>
      <c r="B265">
        <v>1997</v>
      </c>
      <c r="C265" t="s">
        <v>2360</v>
      </c>
      <c r="D265">
        <v>2</v>
      </c>
      <c r="E265">
        <v>0</v>
      </c>
      <c r="F265" s="10">
        <v>2523.17</v>
      </c>
      <c r="G265" t="s">
        <v>2358</v>
      </c>
      <c r="H265" t="s">
        <v>2361</v>
      </c>
      <c r="I265" t="s">
        <v>2364</v>
      </c>
      <c r="J265" s="8">
        <f t="shared" si="4"/>
        <v>35736</v>
      </c>
    </row>
    <row r="266" spans="1:10" x14ac:dyDescent="0.35">
      <c r="A266" t="s">
        <v>2073</v>
      </c>
      <c r="B266">
        <v>2000</v>
      </c>
      <c r="C266" t="s">
        <v>2366</v>
      </c>
      <c r="D266">
        <v>25</v>
      </c>
      <c r="E266">
        <v>0</v>
      </c>
      <c r="F266" s="10">
        <v>2527.8200000000002</v>
      </c>
      <c r="G266" t="s">
        <v>2357</v>
      </c>
      <c r="H266" t="s">
        <v>2358</v>
      </c>
      <c r="I266" t="s">
        <v>2364</v>
      </c>
      <c r="J266" s="8">
        <f t="shared" si="4"/>
        <v>36763</v>
      </c>
    </row>
    <row r="267" spans="1:10" x14ac:dyDescent="0.35">
      <c r="A267" t="s">
        <v>2072</v>
      </c>
      <c r="B267">
        <v>1997</v>
      </c>
      <c r="C267" t="s">
        <v>2356</v>
      </c>
      <c r="D267">
        <v>28</v>
      </c>
      <c r="E267">
        <v>0</v>
      </c>
      <c r="F267" s="10">
        <v>2534.39</v>
      </c>
      <c r="G267" t="s">
        <v>2358</v>
      </c>
      <c r="H267" t="s">
        <v>2358</v>
      </c>
      <c r="I267" t="s">
        <v>2364</v>
      </c>
      <c r="J267" s="8">
        <f t="shared" si="4"/>
        <v>35639</v>
      </c>
    </row>
    <row r="268" spans="1:10" x14ac:dyDescent="0.35">
      <c r="A268" t="s">
        <v>2071</v>
      </c>
      <c r="B268">
        <v>1990</v>
      </c>
      <c r="C268" t="s">
        <v>2367</v>
      </c>
      <c r="D268">
        <v>1</v>
      </c>
      <c r="E268">
        <v>3</v>
      </c>
      <c r="F268" s="10">
        <v>2540.39</v>
      </c>
      <c r="G268" t="s">
        <v>2357</v>
      </c>
      <c r="H268" t="s">
        <v>2357</v>
      </c>
      <c r="I268" t="s">
        <v>2359</v>
      </c>
      <c r="J268" s="8">
        <f t="shared" si="4"/>
        <v>33147</v>
      </c>
    </row>
    <row r="269" spans="1:10" x14ac:dyDescent="0.35">
      <c r="A269" t="s">
        <v>2070</v>
      </c>
      <c r="B269">
        <v>1991</v>
      </c>
      <c r="C269" t="s">
        <v>2360</v>
      </c>
      <c r="D269">
        <v>17</v>
      </c>
      <c r="E269">
        <v>3</v>
      </c>
      <c r="F269" s="10">
        <v>2545.6799999999998</v>
      </c>
      <c r="G269" t="s">
        <v>2357</v>
      </c>
      <c r="H269" t="s">
        <v>2361</v>
      </c>
      <c r="I269" t="s">
        <v>2359</v>
      </c>
      <c r="J269" s="8">
        <f t="shared" si="4"/>
        <v>33559</v>
      </c>
    </row>
    <row r="270" spans="1:10" x14ac:dyDescent="0.35">
      <c r="A270" t="s">
        <v>2069</v>
      </c>
      <c r="B270">
        <v>2002</v>
      </c>
      <c r="C270" t="s">
        <v>2367</v>
      </c>
      <c r="D270">
        <v>11</v>
      </c>
      <c r="E270">
        <v>2</v>
      </c>
      <c r="F270" s="10">
        <v>2566.4699999999998</v>
      </c>
      <c r="G270" t="s">
        <v>2357</v>
      </c>
      <c r="H270" t="s">
        <v>2358</v>
      </c>
      <c r="I270" t="s">
        <v>2359</v>
      </c>
      <c r="J270" s="8">
        <f t="shared" si="4"/>
        <v>37540</v>
      </c>
    </row>
    <row r="271" spans="1:10" x14ac:dyDescent="0.35">
      <c r="A271" t="s">
        <v>2068</v>
      </c>
      <c r="B271">
        <v>2002</v>
      </c>
      <c r="C271" t="s">
        <v>2356</v>
      </c>
      <c r="D271">
        <v>20</v>
      </c>
      <c r="E271">
        <v>0</v>
      </c>
      <c r="F271" s="10">
        <v>2585.04</v>
      </c>
      <c r="G271" t="s">
        <v>2357</v>
      </c>
      <c r="H271" t="s">
        <v>2357</v>
      </c>
      <c r="I271" t="s">
        <v>2377</v>
      </c>
      <c r="J271" s="8">
        <f t="shared" si="4"/>
        <v>37457</v>
      </c>
    </row>
    <row r="272" spans="1:10" x14ac:dyDescent="0.35">
      <c r="A272" t="s">
        <v>2067</v>
      </c>
      <c r="B272">
        <v>2001</v>
      </c>
      <c r="C272" t="s">
        <v>2367</v>
      </c>
      <c r="D272">
        <v>15</v>
      </c>
      <c r="E272">
        <v>1</v>
      </c>
      <c r="F272" s="10">
        <v>2585.27</v>
      </c>
      <c r="G272" t="s">
        <v>2357</v>
      </c>
      <c r="H272" t="s">
        <v>2358</v>
      </c>
      <c r="I272" t="s">
        <v>2368</v>
      </c>
      <c r="J272" s="8">
        <f t="shared" si="4"/>
        <v>37179</v>
      </c>
    </row>
    <row r="273" spans="1:10" x14ac:dyDescent="0.35">
      <c r="A273" t="s">
        <v>2066</v>
      </c>
      <c r="B273">
        <v>2001</v>
      </c>
      <c r="C273" t="s">
        <v>2356</v>
      </c>
      <c r="D273">
        <v>28</v>
      </c>
      <c r="E273">
        <v>0</v>
      </c>
      <c r="F273" s="10">
        <v>2585.85</v>
      </c>
      <c r="G273" t="s">
        <v>2357</v>
      </c>
      <c r="H273" t="s">
        <v>2357</v>
      </c>
      <c r="I273" t="s">
        <v>2374</v>
      </c>
      <c r="J273" s="8">
        <f t="shared" si="4"/>
        <v>37100</v>
      </c>
    </row>
    <row r="274" spans="1:10" x14ac:dyDescent="0.35">
      <c r="A274" t="s">
        <v>2065</v>
      </c>
      <c r="B274">
        <v>2001</v>
      </c>
      <c r="C274" t="s">
        <v>2366</v>
      </c>
      <c r="D274">
        <v>26</v>
      </c>
      <c r="E274">
        <v>1</v>
      </c>
      <c r="F274" s="10">
        <v>2597.7800000000002</v>
      </c>
      <c r="G274" t="s">
        <v>2357</v>
      </c>
      <c r="H274" t="s">
        <v>2361</v>
      </c>
      <c r="I274" t="s">
        <v>2368</v>
      </c>
      <c r="J274" s="8">
        <f t="shared" si="4"/>
        <v>37129</v>
      </c>
    </row>
    <row r="275" spans="1:10" x14ac:dyDescent="0.35">
      <c r="A275" t="s">
        <v>2064</v>
      </c>
      <c r="B275">
        <v>1997</v>
      </c>
      <c r="C275" t="s">
        <v>2366</v>
      </c>
      <c r="D275">
        <v>26</v>
      </c>
      <c r="E275">
        <v>0</v>
      </c>
      <c r="F275" s="10">
        <v>2632.99</v>
      </c>
      <c r="G275" t="s">
        <v>2357</v>
      </c>
      <c r="H275" t="s">
        <v>2361</v>
      </c>
      <c r="I275" t="s">
        <v>2368</v>
      </c>
      <c r="J275" s="8">
        <f t="shared" si="4"/>
        <v>35668</v>
      </c>
    </row>
    <row r="276" spans="1:10" x14ac:dyDescent="0.35">
      <c r="A276" t="s">
        <v>2063</v>
      </c>
      <c r="B276">
        <v>2000</v>
      </c>
      <c r="C276" t="s">
        <v>2362</v>
      </c>
      <c r="D276">
        <v>24</v>
      </c>
      <c r="E276">
        <v>1</v>
      </c>
      <c r="F276" s="10">
        <v>2639.04</v>
      </c>
      <c r="G276" t="s">
        <v>2357</v>
      </c>
      <c r="H276" t="s">
        <v>2357</v>
      </c>
      <c r="I276" t="s">
        <v>2364</v>
      </c>
      <c r="J276" s="8">
        <f t="shared" si="4"/>
        <v>36701</v>
      </c>
    </row>
    <row r="277" spans="1:10" x14ac:dyDescent="0.35">
      <c r="A277" t="s">
        <v>2062</v>
      </c>
      <c r="B277">
        <v>2000</v>
      </c>
      <c r="C277" t="s">
        <v>2365</v>
      </c>
      <c r="D277">
        <v>9</v>
      </c>
      <c r="E277">
        <v>1</v>
      </c>
      <c r="F277" s="10">
        <v>2643.27</v>
      </c>
      <c r="G277" t="s">
        <v>2357</v>
      </c>
      <c r="H277" t="s">
        <v>2361</v>
      </c>
      <c r="I277" t="s">
        <v>2364</v>
      </c>
      <c r="J277" s="8">
        <f t="shared" si="4"/>
        <v>36869</v>
      </c>
    </row>
    <row r="278" spans="1:10" x14ac:dyDescent="0.35">
      <c r="A278" t="s">
        <v>2061</v>
      </c>
      <c r="B278">
        <v>1996</v>
      </c>
      <c r="C278" t="s">
        <v>2366</v>
      </c>
      <c r="D278">
        <v>5</v>
      </c>
      <c r="E278">
        <v>0</v>
      </c>
      <c r="F278" s="10">
        <v>2680.95</v>
      </c>
      <c r="G278" t="s">
        <v>2358</v>
      </c>
      <c r="H278" t="s">
        <v>2357</v>
      </c>
      <c r="I278" t="s">
        <v>2364</v>
      </c>
      <c r="J278" s="8">
        <f t="shared" si="4"/>
        <v>35282</v>
      </c>
    </row>
    <row r="279" spans="1:10" x14ac:dyDescent="0.35">
      <c r="A279" t="s">
        <v>2060</v>
      </c>
      <c r="B279">
        <v>1994</v>
      </c>
      <c r="C279" t="s">
        <v>2363</v>
      </c>
      <c r="D279">
        <v>17</v>
      </c>
      <c r="E279">
        <v>0</v>
      </c>
      <c r="F279" s="10">
        <v>2684.69</v>
      </c>
      <c r="G279" t="s">
        <v>2357</v>
      </c>
      <c r="H279" t="s">
        <v>2357</v>
      </c>
      <c r="I279" t="s">
        <v>2359</v>
      </c>
      <c r="J279" s="8">
        <f t="shared" si="4"/>
        <v>34594</v>
      </c>
    </row>
    <row r="280" spans="1:10" x14ac:dyDescent="0.35">
      <c r="A280" t="s">
        <v>2059</v>
      </c>
      <c r="B280">
        <v>1994</v>
      </c>
      <c r="C280" t="s">
        <v>2367</v>
      </c>
      <c r="D280">
        <v>2</v>
      </c>
      <c r="E280">
        <v>0</v>
      </c>
      <c r="F280" s="10">
        <v>2689.5</v>
      </c>
      <c r="G280" t="s">
        <v>2358</v>
      </c>
      <c r="H280" t="s">
        <v>2357</v>
      </c>
      <c r="I280" t="s">
        <v>2359</v>
      </c>
      <c r="J280" s="8">
        <f t="shared" si="4"/>
        <v>34609</v>
      </c>
    </row>
    <row r="281" spans="1:10" x14ac:dyDescent="0.35">
      <c r="A281" t="s">
        <v>2058</v>
      </c>
      <c r="B281">
        <v>1999</v>
      </c>
      <c r="C281" t="s">
        <v>2362</v>
      </c>
      <c r="D281">
        <v>11</v>
      </c>
      <c r="E281">
        <v>0</v>
      </c>
      <c r="F281" s="10">
        <v>2690.11</v>
      </c>
      <c r="G281" t="s">
        <v>2357</v>
      </c>
      <c r="H281" t="s">
        <v>2357</v>
      </c>
      <c r="I281" t="s">
        <v>2364</v>
      </c>
      <c r="J281" s="8">
        <f t="shared" si="4"/>
        <v>36322</v>
      </c>
    </row>
    <row r="282" spans="1:10" x14ac:dyDescent="0.35">
      <c r="A282" t="s">
        <v>2057</v>
      </c>
      <c r="B282">
        <v>1996</v>
      </c>
      <c r="C282" t="s">
        <v>2362</v>
      </c>
      <c r="D282">
        <v>13</v>
      </c>
      <c r="E282">
        <v>0</v>
      </c>
      <c r="F282" s="10">
        <v>2699.57</v>
      </c>
      <c r="G282" t="s">
        <v>2357</v>
      </c>
      <c r="H282" t="s">
        <v>2361</v>
      </c>
      <c r="I282" t="s">
        <v>2364</v>
      </c>
      <c r="J282" s="8">
        <f t="shared" si="4"/>
        <v>35229</v>
      </c>
    </row>
    <row r="283" spans="1:10" x14ac:dyDescent="0.35">
      <c r="A283" t="s">
        <v>2056</v>
      </c>
      <c r="B283">
        <v>2003</v>
      </c>
      <c r="C283" t="s">
        <v>2356</v>
      </c>
      <c r="D283">
        <v>17</v>
      </c>
      <c r="E283">
        <v>1</v>
      </c>
      <c r="F283" s="10">
        <v>2709.11</v>
      </c>
      <c r="G283" t="s">
        <v>2357</v>
      </c>
      <c r="H283" t="s">
        <v>2357</v>
      </c>
      <c r="I283" t="s">
        <v>2364</v>
      </c>
      <c r="J283" s="8">
        <f t="shared" si="4"/>
        <v>37819</v>
      </c>
    </row>
    <row r="284" spans="1:10" x14ac:dyDescent="0.35">
      <c r="A284" t="s">
        <v>2055</v>
      </c>
      <c r="B284">
        <v>2003</v>
      </c>
      <c r="C284" t="s">
        <v>2360</v>
      </c>
      <c r="D284">
        <v>21</v>
      </c>
      <c r="E284">
        <v>1</v>
      </c>
      <c r="F284" s="10">
        <v>2709.24</v>
      </c>
      <c r="G284" t="s">
        <v>2357</v>
      </c>
      <c r="H284" t="s">
        <v>2357</v>
      </c>
      <c r="I284" t="s">
        <v>2364</v>
      </c>
      <c r="J284" s="8">
        <f t="shared" si="4"/>
        <v>37946</v>
      </c>
    </row>
    <row r="285" spans="1:10" x14ac:dyDescent="0.35">
      <c r="A285" t="s">
        <v>2054</v>
      </c>
      <c r="B285">
        <v>2003</v>
      </c>
      <c r="C285" t="s">
        <v>2365</v>
      </c>
      <c r="D285">
        <v>1</v>
      </c>
      <c r="E285">
        <v>1</v>
      </c>
      <c r="F285" s="10">
        <v>2710.83</v>
      </c>
      <c r="G285" t="s">
        <v>2357</v>
      </c>
      <c r="H285" t="s">
        <v>2358</v>
      </c>
      <c r="I285" t="s">
        <v>2364</v>
      </c>
      <c r="J285" s="8">
        <f t="shared" si="4"/>
        <v>37956</v>
      </c>
    </row>
    <row r="286" spans="1:10" x14ac:dyDescent="0.35">
      <c r="A286" t="s">
        <v>2053</v>
      </c>
      <c r="B286">
        <v>2003</v>
      </c>
      <c r="C286" t="s">
        <v>2366</v>
      </c>
      <c r="D286">
        <v>6</v>
      </c>
      <c r="E286">
        <v>1</v>
      </c>
      <c r="F286" s="10">
        <v>2719.28</v>
      </c>
      <c r="G286" t="s">
        <v>2357</v>
      </c>
      <c r="H286" t="s">
        <v>2357</v>
      </c>
      <c r="I286" t="s">
        <v>2364</v>
      </c>
      <c r="J286" s="8">
        <f t="shared" si="4"/>
        <v>37839</v>
      </c>
    </row>
    <row r="287" spans="1:10" x14ac:dyDescent="0.35">
      <c r="A287" t="s">
        <v>2052</v>
      </c>
      <c r="B287">
        <v>1997</v>
      </c>
      <c r="C287" t="s">
        <v>2367</v>
      </c>
      <c r="D287">
        <v>30</v>
      </c>
      <c r="E287">
        <v>0</v>
      </c>
      <c r="F287" s="10">
        <v>2721.32</v>
      </c>
      <c r="G287" t="s">
        <v>2361</v>
      </c>
      <c r="H287" t="s">
        <v>2358</v>
      </c>
      <c r="I287" t="s">
        <v>2376</v>
      </c>
      <c r="J287" s="8">
        <f t="shared" si="4"/>
        <v>35733</v>
      </c>
    </row>
    <row r="288" spans="1:10" x14ac:dyDescent="0.35">
      <c r="A288" t="s">
        <v>2051</v>
      </c>
      <c r="B288">
        <v>1988</v>
      </c>
      <c r="C288" t="s">
        <v>2366</v>
      </c>
      <c r="D288">
        <v>20</v>
      </c>
      <c r="E288">
        <v>3</v>
      </c>
      <c r="F288" s="10">
        <v>2726.06</v>
      </c>
      <c r="G288" t="s">
        <v>2357</v>
      </c>
      <c r="H288" t="s">
        <v>2357</v>
      </c>
      <c r="I288" t="s">
        <v>2359</v>
      </c>
      <c r="J288" s="8">
        <f t="shared" si="4"/>
        <v>32375</v>
      </c>
    </row>
    <row r="289" spans="1:10" x14ac:dyDescent="0.35">
      <c r="A289" t="s">
        <v>2050</v>
      </c>
      <c r="B289">
        <v>1997</v>
      </c>
      <c r="C289" t="s">
        <v>2367</v>
      </c>
      <c r="D289">
        <v>6</v>
      </c>
      <c r="E289">
        <v>0</v>
      </c>
      <c r="F289" s="10">
        <v>2727.4</v>
      </c>
      <c r="G289" t="s">
        <v>2358</v>
      </c>
      <c r="H289" t="s">
        <v>2358</v>
      </c>
      <c r="I289" t="s">
        <v>2371</v>
      </c>
      <c r="J289" s="8">
        <f t="shared" si="4"/>
        <v>35709</v>
      </c>
    </row>
    <row r="290" spans="1:10" x14ac:dyDescent="0.35">
      <c r="A290" t="s">
        <v>2049</v>
      </c>
      <c r="B290">
        <v>2003</v>
      </c>
      <c r="C290" t="s">
        <v>2365</v>
      </c>
      <c r="D290">
        <v>3</v>
      </c>
      <c r="E290">
        <v>1</v>
      </c>
      <c r="F290" s="10">
        <v>2730.11</v>
      </c>
      <c r="G290" t="s">
        <v>2357</v>
      </c>
      <c r="H290" t="s">
        <v>2358</v>
      </c>
      <c r="I290" t="s">
        <v>2364</v>
      </c>
      <c r="J290" s="8">
        <f t="shared" si="4"/>
        <v>37958</v>
      </c>
    </row>
    <row r="291" spans="1:10" x14ac:dyDescent="0.35">
      <c r="A291" t="s">
        <v>2048</v>
      </c>
      <c r="B291">
        <v>2000</v>
      </c>
      <c r="C291" t="s">
        <v>2365</v>
      </c>
      <c r="D291">
        <v>17</v>
      </c>
      <c r="E291">
        <v>0</v>
      </c>
      <c r="F291" s="10">
        <v>2731.91</v>
      </c>
      <c r="G291" t="s">
        <v>2357</v>
      </c>
      <c r="H291" t="s">
        <v>2358</v>
      </c>
      <c r="I291" t="s">
        <v>2374</v>
      </c>
      <c r="J291" s="8">
        <f t="shared" si="4"/>
        <v>36877</v>
      </c>
    </row>
    <row r="292" spans="1:10" x14ac:dyDescent="0.35">
      <c r="A292" t="s">
        <v>2047</v>
      </c>
      <c r="B292">
        <v>2000</v>
      </c>
      <c r="C292" t="s">
        <v>2367</v>
      </c>
      <c r="D292">
        <v>3</v>
      </c>
      <c r="E292">
        <v>0</v>
      </c>
      <c r="F292" s="10">
        <v>2741.95</v>
      </c>
      <c r="G292" t="s">
        <v>2357</v>
      </c>
      <c r="H292" t="s">
        <v>2358</v>
      </c>
      <c r="I292" t="s">
        <v>2374</v>
      </c>
      <c r="J292" s="8">
        <f t="shared" si="4"/>
        <v>36802</v>
      </c>
    </row>
    <row r="293" spans="1:10" x14ac:dyDescent="0.35">
      <c r="A293" t="s">
        <v>2046</v>
      </c>
      <c r="B293">
        <v>2000</v>
      </c>
      <c r="C293" t="s">
        <v>2367</v>
      </c>
      <c r="D293">
        <v>11</v>
      </c>
      <c r="E293">
        <v>0</v>
      </c>
      <c r="F293" s="10">
        <v>2755.02</v>
      </c>
      <c r="G293" t="s">
        <v>2357</v>
      </c>
      <c r="H293" t="s">
        <v>2361</v>
      </c>
      <c r="I293" t="s">
        <v>2374</v>
      </c>
      <c r="J293" s="8">
        <f t="shared" si="4"/>
        <v>36810</v>
      </c>
    </row>
    <row r="294" spans="1:10" x14ac:dyDescent="0.35">
      <c r="A294" t="s">
        <v>2045</v>
      </c>
      <c r="B294">
        <v>1997</v>
      </c>
      <c r="C294" t="s">
        <v>2366</v>
      </c>
      <c r="D294">
        <v>10</v>
      </c>
      <c r="E294">
        <v>0</v>
      </c>
      <c r="F294" s="10">
        <v>2758.99</v>
      </c>
      <c r="G294" t="s">
        <v>2357</v>
      </c>
      <c r="H294" t="s">
        <v>2361</v>
      </c>
      <c r="I294" t="s">
        <v>2364</v>
      </c>
      <c r="J294" s="8">
        <f t="shared" si="4"/>
        <v>35652</v>
      </c>
    </row>
    <row r="295" spans="1:10" x14ac:dyDescent="0.35">
      <c r="A295" t="s">
        <v>2044</v>
      </c>
      <c r="B295">
        <v>2004</v>
      </c>
      <c r="C295" t="s">
        <v>2360</v>
      </c>
      <c r="D295">
        <v>14</v>
      </c>
      <c r="E295">
        <v>0</v>
      </c>
      <c r="F295" s="10">
        <v>2773.46</v>
      </c>
      <c r="G295" t="s">
        <v>2357</v>
      </c>
      <c r="H295" t="s">
        <v>2361</v>
      </c>
      <c r="I295" t="s">
        <v>2377</v>
      </c>
      <c r="J295" s="8">
        <f t="shared" si="4"/>
        <v>38305</v>
      </c>
    </row>
    <row r="296" spans="1:10" x14ac:dyDescent="0.35">
      <c r="A296" t="s">
        <v>2347</v>
      </c>
      <c r="B296">
        <v>1999</v>
      </c>
      <c r="C296" t="s">
        <v>2362</v>
      </c>
      <c r="D296">
        <v>9</v>
      </c>
      <c r="E296">
        <v>1</v>
      </c>
      <c r="F296" s="10">
        <v>2775.19</v>
      </c>
      <c r="G296" t="s">
        <v>2357</v>
      </c>
      <c r="H296" t="s">
        <v>2361</v>
      </c>
      <c r="I296" t="s">
        <v>2364</v>
      </c>
      <c r="J296" s="8">
        <f t="shared" si="4"/>
        <v>36320</v>
      </c>
    </row>
    <row r="297" spans="1:10" x14ac:dyDescent="0.35">
      <c r="A297" t="s">
        <v>2043</v>
      </c>
      <c r="B297">
        <v>1999</v>
      </c>
      <c r="C297" t="s">
        <v>2366</v>
      </c>
      <c r="D297">
        <v>29</v>
      </c>
      <c r="E297">
        <v>1</v>
      </c>
      <c r="F297" s="10">
        <v>2775.19</v>
      </c>
      <c r="G297" t="s">
        <v>2357</v>
      </c>
      <c r="H297" t="s">
        <v>2361</v>
      </c>
      <c r="I297" t="s">
        <v>2364</v>
      </c>
      <c r="J297" s="8">
        <f t="shared" si="4"/>
        <v>36401</v>
      </c>
    </row>
    <row r="298" spans="1:10" x14ac:dyDescent="0.35">
      <c r="A298" t="s">
        <v>2042</v>
      </c>
      <c r="B298">
        <v>1999</v>
      </c>
      <c r="C298" t="s">
        <v>2365</v>
      </c>
      <c r="D298">
        <v>24</v>
      </c>
      <c r="E298">
        <v>1</v>
      </c>
      <c r="F298" s="10">
        <v>2789.06</v>
      </c>
      <c r="G298" t="s">
        <v>2357</v>
      </c>
      <c r="H298" t="s">
        <v>2358</v>
      </c>
      <c r="I298" t="s">
        <v>2364</v>
      </c>
      <c r="J298" s="8">
        <f t="shared" si="4"/>
        <v>36518</v>
      </c>
    </row>
    <row r="299" spans="1:10" x14ac:dyDescent="0.35">
      <c r="A299" t="s">
        <v>2041</v>
      </c>
      <c r="B299">
        <v>2004</v>
      </c>
      <c r="C299" t="s">
        <v>2366</v>
      </c>
      <c r="D299">
        <v>4</v>
      </c>
      <c r="E299">
        <v>2</v>
      </c>
      <c r="F299" s="10">
        <v>2801.26</v>
      </c>
      <c r="G299" t="s">
        <v>2357</v>
      </c>
      <c r="H299" t="s">
        <v>2358</v>
      </c>
      <c r="I299" t="s">
        <v>2359</v>
      </c>
      <c r="J299" s="8">
        <f t="shared" si="4"/>
        <v>38203</v>
      </c>
    </row>
    <row r="300" spans="1:10" x14ac:dyDescent="0.35">
      <c r="A300" t="s">
        <v>2040</v>
      </c>
      <c r="B300">
        <v>2003</v>
      </c>
      <c r="C300" t="s">
        <v>2363</v>
      </c>
      <c r="D300">
        <v>23</v>
      </c>
      <c r="E300">
        <v>2</v>
      </c>
      <c r="F300" s="10">
        <v>2803.7</v>
      </c>
      <c r="G300" t="s">
        <v>2357</v>
      </c>
      <c r="H300" t="s">
        <v>2361</v>
      </c>
      <c r="I300" t="s">
        <v>2364</v>
      </c>
      <c r="J300" s="8">
        <f t="shared" si="4"/>
        <v>37887</v>
      </c>
    </row>
    <row r="301" spans="1:10" x14ac:dyDescent="0.35">
      <c r="A301" t="s">
        <v>2039</v>
      </c>
      <c r="B301">
        <v>2000</v>
      </c>
      <c r="C301" t="s">
        <v>2367</v>
      </c>
      <c r="D301">
        <v>1</v>
      </c>
      <c r="E301">
        <v>0</v>
      </c>
      <c r="F301" s="10">
        <v>2819.51</v>
      </c>
      <c r="G301" t="s">
        <v>2357</v>
      </c>
      <c r="H301" t="s">
        <v>2358</v>
      </c>
      <c r="I301" t="s">
        <v>2368</v>
      </c>
      <c r="J301" s="8">
        <f t="shared" si="4"/>
        <v>36800</v>
      </c>
    </row>
    <row r="302" spans="1:10" x14ac:dyDescent="0.35">
      <c r="A302" t="s">
        <v>2038</v>
      </c>
      <c r="B302">
        <v>1998</v>
      </c>
      <c r="C302" t="s">
        <v>2360</v>
      </c>
      <c r="D302">
        <v>15</v>
      </c>
      <c r="E302">
        <v>0</v>
      </c>
      <c r="F302" s="10">
        <v>2842.76</v>
      </c>
      <c r="G302" t="s">
        <v>2357</v>
      </c>
      <c r="H302" t="s">
        <v>2358</v>
      </c>
      <c r="I302" t="s">
        <v>2364</v>
      </c>
      <c r="J302" s="8">
        <f t="shared" si="4"/>
        <v>36114</v>
      </c>
    </row>
    <row r="303" spans="1:10" x14ac:dyDescent="0.35">
      <c r="A303" t="s">
        <v>2037</v>
      </c>
      <c r="B303">
        <v>1998</v>
      </c>
      <c r="C303" t="s">
        <v>2362</v>
      </c>
      <c r="D303">
        <v>17</v>
      </c>
      <c r="E303">
        <v>0</v>
      </c>
      <c r="F303" s="10">
        <v>2850.68</v>
      </c>
      <c r="G303" t="s">
        <v>2357</v>
      </c>
      <c r="H303" t="s">
        <v>2358</v>
      </c>
      <c r="I303" t="s">
        <v>2364</v>
      </c>
      <c r="J303" s="8">
        <f t="shared" si="4"/>
        <v>35963</v>
      </c>
    </row>
    <row r="304" spans="1:10" x14ac:dyDescent="0.35">
      <c r="A304" t="s">
        <v>2036</v>
      </c>
      <c r="B304">
        <v>1998</v>
      </c>
      <c r="C304" t="s">
        <v>2363</v>
      </c>
      <c r="D304">
        <v>4</v>
      </c>
      <c r="E304">
        <v>0</v>
      </c>
      <c r="F304" s="10">
        <v>2855.44</v>
      </c>
      <c r="G304" t="s">
        <v>2357</v>
      </c>
      <c r="H304" t="s">
        <v>2358</v>
      </c>
      <c r="I304" t="s">
        <v>2364</v>
      </c>
      <c r="J304" s="8">
        <f t="shared" si="4"/>
        <v>36042</v>
      </c>
    </row>
    <row r="305" spans="1:10" x14ac:dyDescent="0.35">
      <c r="A305" t="s">
        <v>2035</v>
      </c>
      <c r="B305">
        <v>1993</v>
      </c>
      <c r="C305" t="s">
        <v>2360</v>
      </c>
      <c r="D305">
        <v>1</v>
      </c>
      <c r="E305">
        <v>0</v>
      </c>
      <c r="F305" s="10">
        <v>2866.09</v>
      </c>
      <c r="G305" t="s">
        <v>2358</v>
      </c>
      <c r="H305" t="s">
        <v>2358</v>
      </c>
      <c r="I305" t="s">
        <v>2368</v>
      </c>
      <c r="J305" s="8">
        <f t="shared" si="4"/>
        <v>34274</v>
      </c>
    </row>
    <row r="306" spans="1:10" x14ac:dyDescent="0.35">
      <c r="A306" t="s">
        <v>2034</v>
      </c>
      <c r="B306">
        <v>1993</v>
      </c>
      <c r="C306" t="s">
        <v>2366</v>
      </c>
      <c r="D306">
        <v>12</v>
      </c>
      <c r="E306">
        <v>0</v>
      </c>
      <c r="F306" s="10">
        <v>2867.12</v>
      </c>
      <c r="G306" t="s">
        <v>2361</v>
      </c>
      <c r="H306" t="s">
        <v>2358</v>
      </c>
      <c r="I306" t="s">
        <v>2359</v>
      </c>
      <c r="J306" s="8">
        <f t="shared" si="4"/>
        <v>34193</v>
      </c>
    </row>
    <row r="307" spans="1:10" x14ac:dyDescent="0.35">
      <c r="A307" t="s">
        <v>2033</v>
      </c>
      <c r="B307">
        <v>1996</v>
      </c>
      <c r="C307" t="s">
        <v>2362</v>
      </c>
      <c r="D307">
        <v>21</v>
      </c>
      <c r="E307">
        <v>0</v>
      </c>
      <c r="F307" s="10">
        <v>2897.32</v>
      </c>
      <c r="G307" t="s">
        <v>2358</v>
      </c>
      <c r="H307" t="s">
        <v>2358</v>
      </c>
      <c r="I307" t="s">
        <v>2371</v>
      </c>
      <c r="J307" s="8">
        <f t="shared" si="4"/>
        <v>35237</v>
      </c>
    </row>
    <row r="308" spans="1:10" x14ac:dyDescent="0.35">
      <c r="A308" t="s">
        <v>2032</v>
      </c>
      <c r="B308">
        <v>2000</v>
      </c>
      <c r="C308" t="s">
        <v>2356</v>
      </c>
      <c r="D308">
        <v>14</v>
      </c>
      <c r="E308">
        <v>0</v>
      </c>
      <c r="F308" s="10">
        <v>2897.46</v>
      </c>
      <c r="G308" t="s">
        <v>2357</v>
      </c>
      <c r="H308" t="s">
        <v>2361</v>
      </c>
      <c r="I308" t="s">
        <v>2364</v>
      </c>
      <c r="J308" s="8">
        <f t="shared" si="4"/>
        <v>36721</v>
      </c>
    </row>
    <row r="309" spans="1:10" x14ac:dyDescent="0.35">
      <c r="A309" t="s">
        <v>2031</v>
      </c>
      <c r="B309">
        <v>1999</v>
      </c>
      <c r="C309" t="s">
        <v>2360</v>
      </c>
      <c r="D309">
        <v>1</v>
      </c>
      <c r="E309">
        <v>0</v>
      </c>
      <c r="F309" s="10">
        <v>2899.49</v>
      </c>
      <c r="G309" t="s">
        <v>2357</v>
      </c>
      <c r="H309" t="s">
        <v>2357</v>
      </c>
      <c r="I309" t="s">
        <v>2374</v>
      </c>
      <c r="J309" s="8">
        <f t="shared" si="4"/>
        <v>36465</v>
      </c>
    </row>
    <row r="310" spans="1:10" x14ac:dyDescent="0.35">
      <c r="A310" t="s">
        <v>2030</v>
      </c>
      <c r="B310">
        <v>1996</v>
      </c>
      <c r="C310" t="s">
        <v>2367</v>
      </c>
      <c r="D310">
        <v>24</v>
      </c>
      <c r="E310">
        <v>1</v>
      </c>
      <c r="F310" s="10">
        <v>2902.91</v>
      </c>
      <c r="G310" t="s">
        <v>2357</v>
      </c>
      <c r="H310" t="s">
        <v>2357</v>
      </c>
      <c r="I310" t="s">
        <v>2359</v>
      </c>
      <c r="J310" s="8">
        <f t="shared" si="4"/>
        <v>35362</v>
      </c>
    </row>
    <row r="311" spans="1:10" x14ac:dyDescent="0.35">
      <c r="A311" t="s">
        <v>2029</v>
      </c>
      <c r="B311">
        <v>1996</v>
      </c>
      <c r="C311" t="s">
        <v>2362</v>
      </c>
      <c r="D311">
        <v>13</v>
      </c>
      <c r="E311">
        <v>1</v>
      </c>
      <c r="F311" s="10">
        <v>2904.09</v>
      </c>
      <c r="G311" t="s">
        <v>2357</v>
      </c>
      <c r="H311" t="s">
        <v>2357</v>
      </c>
      <c r="I311" t="s">
        <v>2368</v>
      </c>
      <c r="J311" s="8">
        <f t="shared" si="4"/>
        <v>35229</v>
      </c>
    </row>
    <row r="312" spans="1:10" x14ac:dyDescent="0.35">
      <c r="A312" t="s">
        <v>2028</v>
      </c>
      <c r="B312">
        <v>2003</v>
      </c>
      <c r="C312" t="s">
        <v>2362</v>
      </c>
      <c r="D312">
        <v>5</v>
      </c>
      <c r="E312">
        <v>2</v>
      </c>
      <c r="F312" s="10">
        <v>2913.57</v>
      </c>
      <c r="G312" t="s">
        <v>2357</v>
      </c>
      <c r="H312" t="s">
        <v>2357</v>
      </c>
      <c r="I312" t="s">
        <v>2368</v>
      </c>
      <c r="J312" s="8">
        <f t="shared" si="4"/>
        <v>37777</v>
      </c>
    </row>
    <row r="313" spans="1:10" x14ac:dyDescent="0.35">
      <c r="A313" t="s">
        <v>2027</v>
      </c>
      <c r="B313">
        <v>1996</v>
      </c>
      <c r="C313" t="s">
        <v>2362</v>
      </c>
      <c r="D313">
        <v>30</v>
      </c>
      <c r="E313">
        <v>1</v>
      </c>
      <c r="F313" s="10">
        <v>2927.06</v>
      </c>
      <c r="G313" t="s">
        <v>2357</v>
      </c>
      <c r="H313" t="s">
        <v>2357</v>
      </c>
      <c r="I313" t="s">
        <v>2359</v>
      </c>
      <c r="J313" s="8">
        <f t="shared" si="4"/>
        <v>35246</v>
      </c>
    </row>
    <row r="314" spans="1:10" x14ac:dyDescent="0.35">
      <c r="A314" t="s">
        <v>2026</v>
      </c>
      <c r="B314">
        <v>2002</v>
      </c>
      <c r="C314" t="s">
        <v>2363</v>
      </c>
      <c r="D314">
        <v>30</v>
      </c>
      <c r="E314">
        <v>0</v>
      </c>
      <c r="F314" s="10">
        <v>2943.41</v>
      </c>
      <c r="G314" t="s">
        <v>2357</v>
      </c>
      <c r="H314" t="s">
        <v>2358</v>
      </c>
      <c r="I314" t="s">
        <v>2364</v>
      </c>
      <c r="J314" s="8">
        <f t="shared" si="4"/>
        <v>37529</v>
      </c>
    </row>
    <row r="315" spans="1:10" x14ac:dyDescent="0.35">
      <c r="A315" t="s">
        <v>2025</v>
      </c>
      <c r="B315">
        <v>1995</v>
      </c>
      <c r="C315" t="s">
        <v>2363</v>
      </c>
      <c r="D315">
        <v>24</v>
      </c>
      <c r="E315">
        <v>0</v>
      </c>
      <c r="F315" s="10">
        <v>2974.13</v>
      </c>
      <c r="G315" t="s">
        <v>2357</v>
      </c>
      <c r="H315" t="s">
        <v>2361</v>
      </c>
      <c r="I315" t="s">
        <v>2368</v>
      </c>
      <c r="J315" s="8">
        <f t="shared" si="4"/>
        <v>34966</v>
      </c>
    </row>
    <row r="316" spans="1:10" x14ac:dyDescent="0.35">
      <c r="A316" t="s">
        <v>2024</v>
      </c>
      <c r="B316">
        <v>1987</v>
      </c>
      <c r="C316" t="s">
        <v>2362</v>
      </c>
      <c r="D316">
        <v>18</v>
      </c>
      <c r="E316">
        <v>3</v>
      </c>
      <c r="F316" s="10">
        <v>2979.52</v>
      </c>
      <c r="G316" t="s">
        <v>2357</v>
      </c>
      <c r="H316" t="s">
        <v>2358</v>
      </c>
      <c r="I316" t="s">
        <v>2359</v>
      </c>
      <c r="J316" s="8">
        <f t="shared" si="4"/>
        <v>31946</v>
      </c>
    </row>
    <row r="317" spans="1:10" x14ac:dyDescent="0.35">
      <c r="A317" t="s">
        <v>2023</v>
      </c>
      <c r="B317">
        <v>1991</v>
      </c>
      <c r="C317" t="s">
        <v>2360</v>
      </c>
      <c r="D317">
        <v>20</v>
      </c>
      <c r="E317">
        <v>3</v>
      </c>
      <c r="F317" s="10">
        <v>2985.67</v>
      </c>
      <c r="G317" t="s">
        <v>2357</v>
      </c>
      <c r="H317" t="s">
        <v>2357</v>
      </c>
      <c r="I317" t="s">
        <v>2359</v>
      </c>
      <c r="J317" s="8">
        <f t="shared" si="4"/>
        <v>33562</v>
      </c>
    </row>
    <row r="318" spans="1:10" x14ac:dyDescent="0.35">
      <c r="A318" t="s">
        <v>2022</v>
      </c>
      <c r="B318">
        <v>2002</v>
      </c>
      <c r="C318" t="s">
        <v>2365</v>
      </c>
      <c r="D318">
        <v>15</v>
      </c>
      <c r="E318">
        <v>0</v>
      </c>
      <c r="F318" s="10">
        <v>3012.22</v>
      </c>
      <c r="G318" t="s">
        <v>2357</v>
      </c>
      <c r="H318" t="s">
        <v>2358</v>
      </c>
      <c r="I318" t="s">
        <v>2364</v>
      </c>
      <c r="J318" s="8">
        <f t="shared" si="4"/>
        <v>37605</v>
      </c>
    </row>
    <row r="319" spans="1:10" x14ac:dyDescent="0.35">
      <c r="A319" t="s">
        <v>2021</v>
      </c>
      <c r="B319">
        <v>1988</v>
      </c>
      <c r="C319" t="s">
        <v>2363</v>
      </c>
      <c r="D319">
        <v>28</v>
      </c>
      <c r="E319">
        <v>3</v>
      </c>
      <c r="F319" s="10">
        <v>3018.04</v>
      </c>
      <c r="G319" t="s">
        <v>2357</v>
      </c>
      <c r="H319" t="s">
        <v>2357</v>
      </c>
      <c r="I319" t="s">
        <v>2364</v>
      </c>
      <c r="J319" s="8">
        <f t="shared" si="4"/>
        <v>32414</v>
      </c>
    </row>
    <row r="320" spans="1:10" x14ac:dyDescent="0.35">
      <c r="A320" t="s">
        <v>2020</v>
      </c>
      <c r="B320">
        <v>1997</v>
      </c>
      <c r="C320" t="s">
        <v>2365</v>
      </c>
      <c r="D320">
        <v>19</v>
      </c>
      <c r="E320">
        <v>0</v>
      </c>
      <c r="F320" s="10">
        <v>3021.81</v>
      </c>
      <c r="G320" t="s">
        <v>2357</v>
      </c>
      <c r="H320" t="s">
        <v>2358</v>
      </c>
      <c r="I320" t="s">
        <v>2364</v>
      </c>
      <c r="J320" s="8">
        <f t="shared" si="4"/>
        <v>35783</v>
      </c>
    </row>
    <row r="321" spans="1:10" x14ac:dyDescent="0.35">
      <c r="A321" t="s">
        <v>2019</v>
      </c>
      <c r="B321">
        <v>1998</v>
      </c>
      <c r="C321" t="s">
        <v>2363</v>
      </c>
      <c r="D321">
        <v>15</v>
      </c>
      <c r="E321">
        <v>0</v>
      </c>
      <c r="F321" s="10">
        <v>3044.21</v>
      </c>
      <c r="G321" t="s">
        <v>2357</v>
      </c>
      <c r="H321" t="s">
        <v>2358</v>
      </c>
      <c r="I321" t="s">
        <v>2374</v>
      </c>
      <c r="J321" s="8">
        <f t="shared" si="4"/>
        <v>36053</v>
      </c>
    </row>
    <row r="322" spans="1:10" x14ac:dyDescent="0.35">
      <c r="A322" t="s">
        <v>2018</v>
      </c>
      <c r="B322">
        <v>1998</v>
      </c>
      <c r="C322" t="s">
        <v>2366</v>
      </c>
      <c r="D322">
        <v>9</v>
      </c>
      <c r="E322">
        <v>0</v>
      </c>
      <c r="F322" s="10">
        <v>3046.06</v>
      </c>
      <c r="G322" t="s">
        <v>2357</v>
      </c>
      <c r="H322" t="s">
        <v>2361</v>
      </c>
      <c r="I322" t="s">
        <v>2375</v>
      </c>
      <c r="J322" s="8">
        <f t="shared" si="4"/>
        <v>36016</v>
      </c>
    </row>
    <row r="323" spans="1:10" x14ac:dyDescent="0.35">
      <c r="A323" t="s">
        <v>2017</v>
      </c>
      <c r="B323">
        <v>1997</v>
      </c>
      <c r="C323" t="s">
        <v>2365</v>
      </c>
      <c r="D323">
        <v>22</v>
      </c>
      <c r="E323">
        <v>0</v>
      </c>
      <c r="F323" s="10">
        <v>3051.73</v>
      </c>
      <c r="G323" t="s">
        <v>2357</v>
      </c>
      <c r="H323" t="s">
        <v>2357</v>
      </c>
      <c r="I323" t="s">
        <v>2368</v>
      </c>
      <c r="J323" s="8">
        <f t="shared" ref="J323:J386" si="5">DATE(B323,MONTH(1&amp;C323),D323)</f>
        <v>35786</v>
      </c>
    </row>
    <row r="324" spans="1:10" x14ac:dyDescent="0.35">
      <c r="A324" t="s">
        <v>2016</v>
      </c>
      <c r="B324">
        <v>2002</v>
      </c>
      <c r="C324" t="s">
        <v>2362</v>
      </c>
      <c r="D324">
        <v>21</v>
      </c>
      <c r="E324">
        <v>2</v>
      </c>
      <c r="F324" s="10">
        <v>3056.39</v>
      </c>
      <c r="G324" t="s">
        <v>2357</v>
      </c>
      <c r="H324" t="s">
        <v>2358</v>
      </c>
      <c r="I324" t="s">
        <v>2359</v>
      </c>
      <c r="J324" s="8">
        <f t="shared" si="5"/>
        <v>37428</v>
      </c>
    </row>
    <row r="325" spans="1:10" x14ac:dyDescent="0.35">
      <c r="A325" t="s">
        <v>2015</v>
      </c>
      <c r="B325">
        <v>1994</v>
      </c>
      <c r="C325" t="s">
        <v>2363</v>
      </c>
      <c r="D325">
        <v>26</v>
      </c>
      <c r="E325">
        <v>0</v>
      </c>
      <c r="F325" s="10">
        <v>3062.51</v>
      </c>
      <c r="G325" t="s">
        <v>2358</v>
      </c>
      <c r="H325" t="s">
        <v>2361</v>
      </c>
      <c r="I325" t="s">
        <v>2364</v>
      </c>
      <c r="J325" s="8">
        <f t="shared" si="5"/>
        <v>34603</v>
      </c>
    </row>
    <row r="326" spans="1:10" x14ac:dyDescent="0.35">
      <c r="A326" t="s">
        <v>2014</v>
      </c>
      <c r="B326">
        <v>1989</v>
      </c>
      <c r="C326" t="s">
        <v>2367</v>
      </c>
      <c r="D326">
        <v>1</v>
      </c>
      <c r="E326">
        <v>3</v>
      </c>
      <c r="F326" s="10">
        <v>3065.49</v>
      </c>
      <c r="G326" t="s">
        <v>2357</v>
      </c>
      <c r="H326" t="s">
        <v>2361</v>
      </c>
      <c r="I326" t="s">
        <v>2364</v>
      </c>
      <c r="J326" s="8">
        <f t="shared" si="5"/>
        <v>32782</v>
      </c>
    </row>
    <row r="327" spans="1:10" x14ac:dyDescent="0.35">
      <c r="A327" t="s">
        <v>2013</v>
      </c>
      <c r="B327">
        <v>1995</v>
      </c>
      <c r="C327" t="s">
        <v>2363</v>
      </c>
      <c r="D327">
        <v>10</v>
      </c>
      <c r="E327">
        <v>0</v>
      </c>
      <c r="F327" s="10">
        <v>3070.81</v>
      </c>
      <c r="G327" t="s">
        <v>2358</v>
      </c>
      <c r="H327" t="s">
        <v>2361</v>
      </c>
      <c r="I327" t="s">
        <v>2378</v>
      </c>
      <c r="J327" s="8">
        <f t="shared" si="5"/>
        <v>34952</v>
      </c>
    </row>
    <row r="328" spans="1:10" x14ac:dyDescent="0.35">
      <c r="A328" t="s">
        <v>2012</v>
      </c>
      <c r="B328">
        <v>2001</v>
      </c>
      <c r="C328" t="s">
        <v>2367</v>
      </c>
      <c r="D328">
        <v>13</v>
      </c>
      <c r="E328">
        <v>2</v>
      </c>
      <c r="F328" s="10">
        <v>3077.1</v>
      </c>
      <c r="G328" t="s">
        <v>2357</v>
      </c>
      <c r="H328" t="s">
        <v>2361</v>
      </c>
      <c r="I328" t="s">
        <v>2364</v>
      </c>
      <c r="J328" s="8">
        <f t="shared" si="5"/>
        <v>37177</v>
      </c>
    </row>
    <row r="329" spans="1:10" x14ac:dyDescent="0.35">
      <c r="A329" t="s">
        <v>2011</v>
      </c>
      <c r="B329">
        <v>1987</v>
      </c>
      <c r="C329" t="s">
        <v>2366</v>
      </c>
      <c r="D329">
        <v>1</v>
      </c>
      <c r="E329">
        <v>3</v>
      </c>
      <c r="F329" s="10">
        <v>3088.06</v>
      </c>
      <c r="G329" t="s">
        <v>2357</v>
      </c>
      <c r="H329" t="s">
        <v>2357</v>
      </c>
      <c r="I329" t="s">
        <v>2359</v>
      </c>
      <c r="J329" s="8">
        <f t="shared" si="5"/>
        <v>31990</v>
      </c>
    </row>
    <row r="330" spans="1:10" x14ac:dyDescent="0.35">
      <c r="A330" t="s">
        <v>2010</v>
      </c>
      <c r="B330">
        <v>1999</v>
      </c>
      <c r="C330" t="s">
        <v>2362</v>
      </c>
      <c r="D330">
        <v>25</v>
      </c>
      <c r="E330">
        <v>0</v>
      </c>
      <c r="F330" s="10">
        <v>3128.35</v>
      </c>
      <c r="G330" t="s">
        <v>2357</v>
      </c>
      <c r="H330" t="s">
        <v>2358</v>
      </c>
      <c r="I330" t="s">
        <v>2377</v>
      </c>
      <c r="J330" s="8">
        <f t="shared" si="5"/>
        <v>36336</v>
      </c>
    </row>
    <row r="331" spans="1:10" x14ac:dyDescent="0.35">
      <c r="A331" t="s">
        <v>2009</v>
      </c>
      <c r="B331">
        <v>1994</v>
      </c>
      <c r="C331" t="s">
        <v>2356</v>
      </c>
      <c r="D331">
        <v>10</v>
      </c>
      <c r="E331">
        <v>0</v>
      </c>
      <c r="F331" s="10">
        <v>3161.45</v>
      </c>
      <c r="G331" t="s">
        <v>2357</v>
      </c>
      <c r="H331" t="s">
        <v>2361</v>
      </c>
      <c r="I331" t="s">
        <v>2368</v>
      </c>
      <c r="J331" s="8">
        <f t="shared" si="5"/>
        <v>34525</v>
      </c>
    </row>
    <row r="332" spans="1:10" x14ac:dyDescent="0.35">
      <c r="A332" t="s">
        <v>2008</v>
      </c>
      <c r="B332">
        <v>1993</v>
      </c>
      <c r="C332" t="s">
        <v>2363</v>
      </c>
      <c r="D332">
        <v>25</v>
      </c>
      <c r="E332">
        <v>0</v>
      </c>
      <c r="F332" s="10">
        <v>3162.02</v>
      </c>
      <c r="G332" t="s">
        <v>2357</v>
      </c>
      <c r="H332" t="s">
        <v>2358</v>
      </c>
      <c r="I332" t="s">
        <v>2359</v>
      </c>
      <c r="J332" s="8">
        <f t="shared" si="5"/>
        <v>34237</v>
      </c>
    </row>
    <row r="333" spans="1:10" x14ac:dyDescent="0.35">
      <c r="A333" t="s">
        <v>2007</v>
      </c>
      <c r="B333">
        <v>2001</v>
      </c>
      <c r="C333" t="s">
        <v>2366</v>
      </c>
      <c r="D333">
        <v>29</v>
      </c>
      <c r="E333">
        <v>1</v>
      </c>
      <c r="F333" s="10">
        <v>3167.46</v>
      </c>
      <c r="G333" t="s">
        <v>2357</v>
      </c>
      <c r="H333" t="s">
        <v>2358</v>
      </c>
      <c r="I333" t="s">
        <v>2374</v>
      </c>
      <c r="J333" s="8">
        <f t="shared" si="5"/>
        <v>37132</v>
      </c>
    </row>
    <row r="334" spans="1:10" x14ac:dyDescent="0.35">
      <c r="A334" t="s">
        <v>2006</v>
      </c>
      <c r="B334">
        <v>1994</v>
      </c>
      <c r="C334" t="s">
        <v>2367</v>
      </c>
      <c r="D334">
        <v>25</v>
      </c>
      <c r="E334">
        <v>0</v>
      </c>
      <c r="F334" s="10">
        <v>3171.61</v>
      </c>
      <c r="G334" t="s">
        <v>2357</v>
      </c>
      <c r="H334" t="s">
        <v>2358</v>
      </c>
      <c r="I334" t="s">
        <v>2359</v>
      </c>
      <c r="J334" s="8">
        <f t="shared" si="5"/>
        <v>34632</v>
      </c>
    </row>
    <row r="335" spans="1:10" x14ac:dyDescent="0.35">
      <c r="A335" t="s">
        <v>2005</v>
      </c>
      <c r="B335">
        <v>1994</v>
      </c>
      <c r="C335" t="s">
        <v>2356</v>
      </c>
      <c r="D335">
        <v>6</v>
      </c>
      <c r="E335">
        <v>0</v>
      </c>
      <c r="F335" s="10">
        <v>3172.02</v>
      </c>
      <c r="G335" t="s">
        <v>2357</v>
      </c>
      <c r="H335" t="s">
        <v>2361</v>
      </c>
      <c r="I335" t="s">
        <v>2368</v>
      </c>
      <c r="J335" s="8">
        <f t="shared" si="5"/>
        <v>34521</v>
      </c>
    </row>
    <row r="336" spans="1:10" x14ac:dyDescent="0.35">
      <c r="A336" t="s">
        <v>2004</v>
      </c>
      <c r="B336">
        <v>1996</v>
      </c>
      <c r="C336" t="s">
        <v>2366</v>
      </c>
      <c r="D336">
        <v>14</v>
      </c>
      <c r="E336">
        <v>0</v>
      </c>
      <c r="F336" s="10">
        <v>3176.29</v>
      </c>
      <c r="G336" t="s">
        <v>2357</v>
      </c>
      <c r="H336" t="s">
        <v>2357</v>
      </c>
      <c r="I336" t="s">
        <v>2364</v>
      </c>
      <c r="J336" s="8">
        <f t="shared" si="5"/>
        <v>35291</v>
      </c>
    </row>
    <row r="337" spans="1:10" x14ac:dyDescent="0.35">
      <c r="A337" t="s">
        <v>2003</v>
      </c>
      <c r="B337">
        <v>1996</v>
      </c>
      <c r="C337" t="s">
        <v>2356</v>
      </c>
      <c r="D337">
        <v>3</v>
      </c>
      <c r="E337">
        <v>0</v>
      </c>
      <c r="F337" s="10">
        <v>3176.82</v>
      </c>
      <c r="G337" t="s">
        <v>2357</v>
      </c>
      <c r="H337" t="s">
        <v>2361</v>
      </c>
      <c r="I337" t="s">
        <v>2364</v>
      </c>
      <c r="J337" s="8">
        <f t="shared" si="5"/>
        <v>35249</v>
      </c>
    </row>
    <row r="338" spans="1:10" x14ac:dyDescent="0.35">
      <c r="A338" t="s">
        <v>2002</v>
      </c>
      <c r="B338">
        <v>2000</v>
      </c>
      <c r="C338" t="s">
        <v>2363</v>
      </c>
      <c r="D338">
        <v>23</v>
      </c>
      <c r="E338">
        <v>0</v>
      </c>
      <c r="F338" s="10">
        <v>3179.96</v>
      </c>
      <c r="G338" t="s">
        <v>2357</v>
      </c>
      <c r="H338" t="s">
        <v>2357</v>
      </c>
      <c r="I338" t="s">
        <v>2364</v>
      </c>
      <c r="J338" s="8">
        <f t="shared" si="5"/>
        <v>36792</v>
      </c>
    </row>
    <row r="339" spans="1:10" x14ac:dyDescent="0.35">
      <c r="A339" t="s">
        <v>2001</v>
      </c>
      <c r="B339">
        <v>2001</v>
      </c>
      <c r="C339" t="s">
        <v>2363</v>
      </c>
      <c r="D339">
        <v>2</v>
      </c>
      <c r="E339">
        <v>2</v>
      </c>
      <c r="F339" s="10">
        <v>3180.51</v>
      </c>
      <c r="G339" t="s">
        <v>2357</v>
      </c>
      <c r="H339" t="s">
        <v>2357</v>
      </c>
      <c r="I339" t="s">
        <v>2359</v>
      </c>
      <c r="J339" s="8">
        <f t="shared" si="5"/>
        <v>37136</v>
      </c>
    </row>
    <row r="340" spans="1:10" x14ac:dyDescent="0.35">
      <c r="A340" t="s">
        <v>2000</v>
      </c>
      <c r="B340">
        <v>1996</v>
      </c>
      <c r="C340" t="s">
        <v>2367</v>
      </c>
      <c r="D340">
        <v>11</v>
      </c>
      <c r="E340">
        <v>0</v>
      </c>
      <c r="F340" s="10">
        <v>3201.25</v>
      </c>
      <c r="G340" t="s">
        <v>2357</v>
      </c>
      <c r="H340" t="s">
        <v>2358</v>
      </c>
      <c r="I340" t="s">
        <v>2364</v>
      </c>
      <c r="J340" s="8">
        <f t="shared" si="5"/>
        <v>35349</v>
      </c>
    </row>
    <row r="341" spans="1:10" x14ac:dyDescent="0.35">
      <c r="A341" t="s">
        <v>1999</v>
      </c>
      <c r="B341">
        <v>1997</v>
      </c>
      <c r="C341" t="s">
        <v>2356</v>
      </c>
      <c r="D341">
        <v>5</v>
      </c>
      <c r="E341">
        <v>0</v>
      </c>
      <c r="F341" s="10">
        <v>3206.49</v>
      </c>
      <c r="G341" t="s">
        <v>2357</v>
      </c>
      <c r="H341" t="s">
        <v>2358</v>
      </c>
      <c r="I341" t="s">
        <v>2374</v>
      </c>
      <c r="J341" s="8">
        <f t="shared" si="5"/>
        <v>35616</v>
      </c>
    </row>
    <row r="342" spans="1:10" x14ac:dyDescent="0.35">
      <c r="A342" t="s">
        <v>1998</v>
      </c>
      <c r="B342">
        <v>1997</v>
      </c>
      <c r="C342" t="s">
        <v>2365</v>
      </c>
      <c r="D342">
        <v>22</v>
      </c>
      <c r="E342">
        <v>1</v>
      </c>
      <c r="F342" s="10">
        <v>3208.79</v>
      </c>
      <c r="G342" t="s">
        <v>2357</v>
      </c>
      <c r="H342" t="s">
        <v>2358</v>
      </c>
      <c r="I342" t="s">
        <v>2368</v>
      </c>
      <c r="J342" s="8">
        <f t="shared" si="5"/>
        <v>35786</v>
      </c>
    </row>
    <row r="343" spans="1:10" x14ac:dyDescent="0.35">
      <c r="A343" t="s">
        <v>1997</v>
      </c>
      <c r="B343">
        <v>1997</v>
      </c>
      <c r="C343" t="s">
        <v>2356</v>
      </c>
      <c r="D343">
        <v>6</v>
      </c>
      <c r="E343">
        <v>0</v>
      </c>
      <c r="F343" s="10">
        <v>3213.62</v>
      </c>
      <c r="G343" t="s">
        <v>2357</v>
      </c>
      <c r="H343" t="s">
        <v>2357</v>
      </c>
      <c r="I343" t="s">
        <v>2374</v>
      </c>
      <c r="J343" s="8">
        <f t="shared" si="5"/>
        <v>35617</v>
      </c>
    </row>
    <row r="344" spans="1:10" x14ac:dyDescent="0.35">
      <c r="A344" t="s">
        <v>1996</v>
      </c>
      <c r="B344">
        <v>1997</v>
      </c>
      <c r="C344" t="s">
        <v>2366</v>
      </c>
      <c r="D344">
        <v>2</v>
      </c>
      <c r="E344">
        <v>1</v>
      </c>
      <c r="F344" s="10">
        <v>3227.12</v>
      </c>
      <c r="G344" t="s">
        <v>2357</v>
      </c>
      <c r="H344" t="s">
        <v>2358</v>
      </c>
      <c r="I344" t="s">
        <v>2359</v>
      </c>
      <c r="J344" s="8">
        <f t="shared" si="5"/>
        <v>35644</v>
      </c>
    </row>
    <row r="345" spans="1:10" x14ac:dyDescent="0.35">
      <c r="A345" t="s">
        <v>1995</v>
      </c>
      <c r="B345">
        <v>1997</v>
      </c>
      <c r="C345" t="s">
        <v>2363</v>
      </c>
      <c r="D345">
        <v>2</v>
      </c>
      <c r="E345">
        <v>1</v>
      </c>
      <c r="F345" s="10">
        <v>3238.44</v>
      </c>
      <c r="G345" t="s">
        <v>2357</v>
      </c>
      <c r="H345" t="s">
        <v>2358</v>
      </c>
      <c r="I345" t="s">
        <v>2359</v>
      </c>
      <c r="J345" s="8">
        <f t="shared" si="5"/>
        <v>35675</v>
      </c>
    </row>
    <row r="346" spans="1:10" x14ac:dyDescent="0.35">
      <c r="A346" t="s">
        <v>1994</v>
      </c>
      <c r="B346">
        <v>1991</v>
      </c>
      <c r="C346" t="s">
        <v>2360</v>
      </c>
      <c r="D346">
        <v>13</v>
      </c>
      <c r="E346">
        <v>0</v>
      </c>
      <c r="F346" s="10">
        <v>3260.2</v>
      </c>
      <c r="G346" t="s">
        <v>2358</v>
      </c>
      <c r="H346" t="s">
        <v>2357</v>
      </c>
      <c r="I346" t="s">
        <v>2368</v>
      </c>
      <c r="J346" s="8">
        <f t="shared" si="5"/>
        <v>33555</v>
      </c>
    </row>
    <row r="347" spans="1:10" x14ac:dyDescent="0.35">
      <c r="A347" t="s">
        <v>1993</v>
      </c>
      <c r="B347">
        <v>1994</v>
      </c>
      <c r="C347" t="s">
        <v>2365</v>
      </c>
      <c r="D347">
        <v>2</v>
      </c>
      <c r="E347">
        <v>0</v>
      </c>
      <c r="F347" s="10">
        <v>3268.85</v>
      </c>
      <c r="G347" t="s">
        <v>2358</v>
      </c>
      <c r="H347" t="s">
        <v>2361</v>
      </c>
      <c r="I347" t="s">
        <v>2371</v>
      </c>
      <c r="J347" s="8">
        <f t="shared" si="5"/>
        <v>34670</v>
      </c>
    </row>
    <row r="348" spans="1:10" x14ac:dyDescent="0.35">
      <c r="A348" t="s">
        <v>1992</v>
      </c>
      <c r="B348">
        <v>1994</v>
      </c>
      <c r="C348" t="s">
        <v>2356</v>
      </c>
      <c r="D348">
        <v>1</v>
      </c>
      <c r="E348">
        <v>1</v>
      </c>
      <c r="F348" s="10">
        <v>3277.16</v>
      </c>
      <c r="G348" t="s">
        <v>2357</v>
      </c>
      <c r="H348" t="s">
        <v>2358</v>
      </c>
      <c r="I348" t="s">
        <v>2368</v>
      </c>
      <c r="J348" s="8">
        <f t="shared" si="5"/>
        <v>34516</v>
      </c>
    </row>
    <row r="349" spans="1:10" x14ac:dyDescent="0.35">
      <c r="A349" t="s">
        <v>1991</v>
      </c>
      <c r="B349">
        <v>2001</v>
      </c>
      <c r="C349" t="s">
        <v>2367</v>
      </c>
      <c r="D349">
        <v>6</v>
      </c>
      <c r="E349">
        <v>2</v>
      </c>
      <c r="F349" s="10">
        <v>3279.87</v>
      </c>
      <c r="G349" t="s">
        <v>2357</v>
      </c>
      <c r="H349" t="s">
        <v>2361</v>
      </c>
      <c r="I349" t="s">
        <v>2378</v>
      </c>
      <c r="J349" s="8">
        <f t="shared" si="5"/>
        <v>37170</v>
      </c>
    </row>
    <row r="350" spans="1:10" x14ac:dyDescent="0.35">
      <c r="A350" t="s">
        <v>1990</v>
      </c>
      <c r="B350">
        <v>2003</v>
      </c>
      <c r="C350" t="s">
        <v>2356</v>
      </c>
      <c r="D350">
        <v>3</v>
      </c>
      <c r="E350">
        <v>0</v>
      </c>
      <c r="F350" s="10">
        <v>3280.22</v>
      </c>
      <c r="G350" t="s">
        <v>2357</v>
      </c>
      <c r="H350" t="s">
        <v>2358</v>
      </c>
      <c r="I350" t="s">
        <v>2368</v>
      </c>
      <c r="J350" s="8">
        <f t="shared" si="5"/>
        <v>37805</v>
      </c>
    </row>
    <row r="351" spans="1:10" x14ac:dyDescent="0.35">
      <c r="A351" t="s">
        <v>1989</v>
      </c>
      <c r="B351">
        <v>1996</v>
      </c>
      <c r="C351" t="s">
        <v>2360</v>
      </c>
      <c r="D351">
        <v>17</v>
      </c>
      <c r="E351">
        <v>1</v>
      </c>
      <c r="F351" s="10">
        <v>3292.53</v>
      </c>
      <c r="G351" t="s">
        <v>2357</v>
      </c>
      <c r="H351" t="s">
        <v>2357</v>
      </c>
      <c r="I351" t="s">
        <v>2364</v>
      </c>
      <c r="J351" s="8">
        <f t="shared" si="5"/>
        <v>35386</v>
      </c>
    </row>
    <row r="352" spans="1:10" x14ac:dyDescent="0.35">
      <c r="A352" t="s">
        <v>1988</v>
      </c>
      <c r="B352">
        <v>2003</v>
      </c>
      <c r="C352" t="s">
        <v>2365</v>
      </c>
      <c r="D352">
        <v>5</v>
      </c>
      <c r="E352">
        <v>0</v>
      </c>
      <c r="F352" s="10">
        <v>3300.7</v>
      </c>
      <c r="G352" t="s">
        <v>2357</v>
      </c>
      <c r="H352" t="s">
        <v>2357</v>
      </c>
      <c r="I352" t="s">
        <v>2373</v>
      </c>
      <c r="J352" s="8">
        <f t="shared" si="5"/>
        <v>37960</v>
      </c>
    </row>
    <row r="353" spans="1:10" x14ac:dyDescent="0.35">
      <c r="A353" t="s">
        <v>1987</v>
      </c>
      <c r="B353">
        <v>2003</v>
      </c>
      <c r="C353" t="s">
        <v>2360</v>
      </c>
      <c r="D353">
        <v>18</v>
      </c>
      <c r="E353">
        <v>0</v>
      </c>
      <c r="F353" s="10">
        <v>3308.46</v>
      </c>
      <c r="G353" t="s">
        <v>2357</v>
      </c>
      <c r="H353" t="s">
        <v>2361</v>
      </c>
      <c r="I353" t="s">
        <v>2377</v>
      </c>
      <c r="J353" s="8">
        <f t="shared" si="5"/>
        <v>37943</v>
      </c>
    </row>
    <row r="354" spans="1:10" x14ac:dyDescent="0.35">
      <c r="A354" t="s">
        <v>1986</v>
      </c>
      <c r="B354">
        <v>1997</v>
      </c>
      <c r="C354" t="s">
        <v>2362</v>
      </c>
      <c r="D354">
        <v>20</v>
      </c>
      <c r="E354">
        <v>1</v>
      </c>
      <c r="F354" s="10">
        <v>3309.79</v>
      </c>
      <c r="G354" t="s">
        <v>2358</v>
      </c>
      <c r="H354" t="s">
        <v>2358</v>
      </c>
      <c r="I354" t="s">
        <v>2378</v>
      </c>
      <c r="J354" s="8">
        <f t="shared" si="5"/>
        <v>35601</v>
      </c>
    </row>
    <row r="355" spans="1:10" x14ac:dyDescent="0.35">
      <c r="A355" t="s">
        <v>1985</v>
      </c>
      <c r="B355">
        <v>1991</v>
      </c>
      <c r="C355" t="s">
        <v>2363</v>
      </c>
      <c r="D355">
        <v>1</v>
      </c>
      <c r="E355">
        <v>3</v>
      </c>
      <c r="F355" s="10">
        <v>3342.79</v>
      </c>
      <c r="G355" t="s">
        <v>2357</v>
      </c>
      <c r="H355" t="s">
        <v>2361</v>
      </c>
      <c r="I355" t="s">
        <v>2359</v>
      </c>
      <c r="J355" s="8">
        <f t="shared" si="5"/>
        <v>33482</v>
      </c>
    </row>
    <row r="356" spans="1:10" x14ac:dyDescent="0.35">
      <c r="A356" t="s">
        <v>1984</v>
      </c>
      <c r="B356">
        <v>1993</v>
      </c>
      <c r="C356" t="s">
        <v>2367</v>
      </c>
      <c r="D356">
        <v>28</v>
      </c>
      <c r="E356">
        <v>0</v>
      </c>
      <c r="F356" s="10">
        <v>3353.28</v>
      </c>
      <c r="G356" t="s">
        <v>2357</v>
      </c>
      <c r="H356" t="s">
        <v>2361</v>
      </c>
      <c r="I356" t="s">
        <v>2368</v>
      </c>
      <c r="J356" s="8">
        <f t="shared" si="5"/>
        <v>34270</v>
      </c>
    </row>
    <row r="357" spans="1:10" x14ac:dyDescent="0.35">
      <c r="A357" t="s">
        <v>1983</v>
      </c>
      <c r="B357">
        <v>1995</v>
      </c>
      <c r="C357" t="s">
        <v>2362</v>
      </c>
      <c r="D357">
        <v>23</v>
      </c>
      <c r="E357">
        <v>0</v>
      </c>
      <c r="F357" s="10">
        <v>3353.47</v>
      </c>
      <c r="G357" t="s">
        <v>2357</v>
      </c>
      <c r="H357" t="s">
        <v>2358</v>
      </c>
      <c r="I357" t="s">
        <v>2364</v>
      </c>
      <c r="J357" s="8">
        <f t="shared" si="5"/>
        <v>34873</v>
      </c>
    </row>
    <row r="358" spans="1:10" x14ac:dyDescent="0.35">
      <c r="A358" t="s">
        <v>1982</v>
      </c>
      <c r="B358">
        <v>1993</v>
      </c>
      <c r="C358" t="s">
        <v>2367</v>
      </c>
      <c r="D358">
        <v>7</v>
      </c>
      <c r="E358">
        <v>0</v>
      </c>
      <c r="F358" s="10">
        <v>3366.67</v>
      </c>
      <c r="G358" t="s">
        <v>2357</v>
      </c>
      <c r="H358" t="s">
        <v>2357</v>
      </c>
      <c r="I358" t="s">
        <v>2359</v>
      </c>
      <c r="J358" s="8">
        <f t="shared" si="5"/>
        <v>34249</v>
      </c>
    </row>
    <row r="359" spans="1:10" x14ac:dyDescent="0.35">
      <c r="A359" t="s">
        <v>1981</v>
      </c>
      <c r="B359">
        <v>1996</v>
      </c>
      <c r="C359" t="s">
        <v>2365</v>
      </c>
      <c r="D359">
        <v>14</v>
      </c>
      <c r="E359">
        <v>1</v>
      </c>
      <c r="F359" s="10">
        <v>3378.91</v>
      </c>
      <c r="G359" t="s">
        <v>2357</v>
      </c>
      <c r="H359" t="s">
        <v>2361</v>
      </c>
      <c r="I359" t="s">
        <v>2368</v>
      </c>
      <c r="J359" s="8">
        <f t="shared" si="5"/>
        <v>35413</v>
      </c>
    </row>
    <row r="360" spans="1:10" x14ac:dyDescent="0.35">
      <c r="A360" t="s">
        <v>1980</v>
      </c>
      <c r="B360">
        <v>1996</v>
      </c>
      <c r="C360" t="s">
        <v>2360</v>
      </c>
      <c r="D360">
        <v>13</v>
      </c>
      <c r="E360">
        <v>0</v>
      </c>
      <c r="F360" s="10">
        <v>3385.4</v>
      </c>
      <c r="G360" t="s">
        <v>2357</v>
      </c>
      <c r="H360" t="s">
        <v>2357</v>
      </c>
      <c r="I360" t="s">
        <v>2374</v>
      </c>
      <c r="J360" s="8">
        <f t="shared" si="5"/>
        <v>35382</v>
      </c>
    </row>
    <row r="361" spans="1:10" x14ac:dyDescent="0.35">
      <c r="A361" t="s">
        <v>1979</v>
      </c>
      <c r="B361">
        <v>1996</v>
      </c>
      <c r="C361" t="s">
        <v>2366</v>
      </c>
      <c r="D361">
        <v>10</v>
      </c>
      <c r="E361">
        <v>1</v>
      </c>
      <c r="F361" s="10">
        <v>3392.37</v>
      </c>
      <c r="G361" t="s">
        <v>2357</v>
      </c>
      <c r="H361" t="s">
        <v>2358</v>
      </c>
      <c r="I361" t="s">
        <v>2359</v>
      </c>
      <c r="J361" s="8">
        <f t="shared" si="5"/>
        <v>35287</v>
      </c>
    </row>
    <row r="362" spans="1:10" x14ac:dyDescent="0.35">
      <c r="A362" t="s">
        <v>1978</v>
      </c>
      <c r="B362">
        <v>1996</v>
      </c>
      <c r="C362" t="s">
        <v>2367</v>
      </c>
      <c r="D362">
        <v>27</v>
      </c>
      <c r="E362">
        <v>1</v>
      </c>
      <c r="F362" s="10">
        <v>3392.98</v>
      </c>
      <c r="G362" t="s">
        <v>2357</v>
      </c>
      <c r="H362" t="s">
        <v>2358</v>
      </c>
      <c r="I362" t="s">
        <v>2359</v>
      </c>
      <c r="J362" s="8">
        <f t="shared" si="5"/>
        <v>35365</v>
      </c>
    </row>
    <row r="363" spans="1:10" x14ac:dyDescent="0.35">
      <c r="A363" t="s">
        <v>1977</v>
      </c>
      <c r="B363">
        <v>2004</v>
      </c>
      <c r="C363" t="s">
        <v>2356</v>
      </c>
      <c r="D363">
        <v>16</v>
      </c>
      <c r="E363">
        <v>2</v>
      </c>
      <c r="F363" s="10">
        <v>3393.36</v>
      </c>
      <c r="G363" t="s">
        <v>2357</v>
      </c>
      <c r="H363" t="s">
        <v>2357</v>
      </c>
      <c r="I363" t="s">
        <v>2375</v>
      </c>
      <c r="J363" s="8">
        <f t="shared" si="5"/>
        <v>38184</v>
      </c>
    </row>
    <row r="364" spans="1:10" x14ac:dyDescent="0.35">
      <c r="A364" t="s">
        <v>1976</v>
      </c>
      <c r="B364">
        <v>1996</v>
      </c>
      <c r="C364" t="s">
        <v>2365</v>
      </c>
      <c r="D364">
        <v>19</v>
      </c>
      <c r="E364">
        <v>1</v>
      </c>
      <c r="F364" s="10">
        <v>3410.32</v>
      </c>
      <c r="G364" t="s">
        <v>2357</v>
      </c>
      <c r="H364" t="s">
        <v>2357</v>
      </c>
      <c r="I364" t="s">
        <v>2368</v>
      </c>
      <c r="J364" s="8">
        <f t="shared" si="5"/>
        <v>35418</v>
      </c>
    </row>
    <row r="365" spans="1:10" x14ac:dyDescent="0.35">
      <c r="A365" t="s">
        <v>1975</v>
      </c>
      <c r="B365">
        <v>2001</v>
      </c>
      <c r="C365" t="s">
        <v>2365</v>
      </c>
      <c r="D365">
        <v>26</v>
      </c>
      <c r="E365">
        <v>0</v>
      </c>
      <c r="F365" s="10">
        <v>3434.38</v>
      </c>
      <c r="G365" t="s">
        <v>2357</v>
      </c>
      <c r="H365" t="s">
        <v>2357</v>
      </c>
      <c r="I365" t="s">
        <v>2368</v>
      </c>
      <c r="J365" s="8">
        <f t="shared" si="5"/>
        <v>37251</v>
      </c>
    </row>
    <row r="366" spans="1:10" x14ac:dyDescent="0.35">
      <c r="A366" t="s">
        <v>1974</v>
      </c>
      <c r="B366">
        <v>1986</v>
      </c>
      <c r="C366" t="s">
        <v>2366</v>
      </c>
      <c r="D366">
        <v>27</v>
      </c>
      <c r="E366">
        <v>3</v>
      </c>
      <c r="F366" s="10">
        <v>3436.5</v>
      </c>
      <c r="G366" t="s">
        <v>2357</v>
      </c>
      <c r="H366" t="s">
        <v>2361</v>
      </c>
      <c r="I366" t="s">
        <v>2359</v>
      </c>
      <c r="J366" s="8">
        <f t="shared" si="5"/>
        <v>31651</v>
      </c>
    </row>
    <row r="367" spans="1:10" x14ac:dyDescent="0.35">
      <c r="A367" t="s">
        <v>1973</v>
      </c>
      <c r="B367">
        <v>2000</v>
      </c>
      <c r="C367" t="s">
        <v>2362</v>
      </c>
      <c r="D367">
        <v>20</v>
      </c>
      <c r="E367">
        <v>3</v>
      </c>
      <c r="F367" s="10">
        <v>3443.06</v>
      </c>
      <c r="G367" t="s">
        <v>2357</v>
      </c>
      <c r="H367" t="s">
        <v>2361</v>
      </c>
      <c r="I367" t="s">
        <v>2368</v>
      </c>
      <c r="J367" s="8">
        <f t="shared" si="5"/>
        <v>36697</v>
      </c>
    </row>
    <row r="368" spans="1:10" x14ac:dyDescent="0.35">
      <c r="A368" t="s">
        <v>1972</v>
      </c>
      <c r="B368">
        <v>1987</v>
      </c>
      <c r="C368" t="s">
        <v>2363</v>
      </c>
      <c r="D368">
        <v>14</v>
      </c>
      <c r="E368">
        <v>3</v>
      </c>
      <c r="F368" s="10">
        <v>3453.77</v>
      </c>
      <c r="G368" t="s">
        <v>2357</v>
      </c>
      <c r="H368" t="s">
        <v>2361</v>
      </c>
      <c r="I368" t="s">
        <v>2368</v>
      </c>
      <c r="J368" s="8">
        <f t="shared" si="5"/>
        <v>32034</v>
      </c>
    </row>
    <row r="369" spans="1:10" x14ac:dyDescent="0.35">
      <c r="A369" t="s">
        <v>1971</v>
      </c>
      <c r="B369">
        <v>2003</v>
      </c>
      <c r="C369" t="s">
        <v>2356</v>
      </c>
      <c r="D369">
        <v>29</v>
      </c>
      <c r="E369">
        <v>0</v>
      </c>
      <c r="F369" s="10">
        <v>3463.51</v>
      </c>
      <c r="G369" t="s">
        <v>2357</v>
      </c>
      <c r="H369" t="s">
        <v>2361</v>
      </c>
      <c r="I369" t="s">
        <v>2373</v>
      </c>
      <c r="J369" s="8">
        <f t="shared" si="5"/>
        <v>37831</v>
      </c>
    </row>
    <row r="370" spans="1:10" x14ac:dyDescent="0.35">
      <c r="A370" t="s">
        <v>1970</v>
      </c>
      <c r="B370">
        <v>1993</v>
      </c>
      <c r="C370" t="s">
        <v>2367</v>
      </c>
      <c r="D370">
        <v>12</v>
      </c>
      <c r="E370">
        <v>1</v>
      </c>
      <c r="F370" s="10">
        <v>3471.41</v>
      </c>
      <c r="G370" t="s">
        <v>2357</v>
      </c>
      <c r="H370" t="s">
        <v>2357</v>
      </c>
      <c r="I370" t="s">
        <v>2359</v>
      </c>
      <c r="J370" s="8">
        <f t="shared" si="5"/>
        <v>34254</v>
      </c>
    </row>
    <row r="371" spans="1:10" x14ac:dyDescent="0.35">
      <c r="A371" t="s">
        <v>1969</v>
      </c>
      <c r="B371">
        <v>2004</v>
      </c>
      <c r="C371" t="s">
        <v>2362</v>
      </c>
      <c r="D371">
        <v>26</v>
      </c>
      <c r="E371">
        <v>3</v>
      </c>
      <c r="F371" s="10">
        <v>3481.87</v>
      </c>
      <c r="G371" t="s">
        <v>2357</v>
      </c>
      <c r="H371" t="s">
        <v>2358</v>
      </c>
      <c r="I371" t="s">
        <v>2371</v>
      </c>
      <c r="J371" s="8">
        <f t="shared" si="5"/>
        <v>38164</v>
      </c>
    </row>
    <row r="372" spans="1:10" x14ac:dyDescent="0.35">
      <c r="A372" t="s">
        <v>1968</v>
      </c>
      <c r="B372">
        <v>1996</v>
      </c>
      <c r="C372" t="s">
        <v>2363</v>
      </c>
      <c r="D372">
        <v>19</v>
      </c>
      <c r="E372">
        <v>2</v>
      </c>
      <c r="F372" s="10">
        <v>3484.33</v>
      </c>
      <c r="G372" t="s">
        <v>2358</v>
      </c>
      <c r="H372" t="s">
        <v>2358</v>
      </c>
      <c r="I372" t="s">
        <v>2368</v>
      </c>
      <c r="J372" s="8">
        <f t="shared" si="5"/>
        <v>35327</v>
      </c>
    </row>
    <row r="373" spans="1:10" x14ac:dyDescent="0.35">
      <c r="A373" t="s">
        <v>1967</v>
      </c>
      <c r="B373">
        <v>1996</v>
      </c>
      <c r="C373" t="s">
        <v>2363</v>
      </c>
      <c r="D373">
        <v>18</v>
      </c>
      <c r="E373">
        <v>1</v>
      </c>
      <c r="F373" s="10">
        <v>3490.55</v>
      </c>
      <c r="G373" t="s">
        <v>2361</v>
      </c>
      <c r="H373" t="s">
        <v>2357</v>
      </c>
      <c r="I373" t="s">
        <v>2369</v>
      </c>
      <c r="J373" s="8">
        <f t="shared" si="5"/>
        <v>35326</v>
      </c>
    </row>
    <row r="374" spans="1:10" x14ac:dyDescent="0.35">
      <c r="A374" t="s">
        <v>1966</v>
      </c>
      <c r="B374">
        <v>1999</v>
      </c>
      <c r="C374" t="s">
        <v>2363</v>
      </c>
      <c r="D374">
        <v>22</v>
      </c>
      <c r="E374">
        <v>2</v>
      </c>
      <c r="F374" s="10">
        <v>3500.61</v>
      </c>
      <c r="G374" t="s">
        <v>2357</v>
      </c>
      <c r="H374" t="s">
        <v>2357</v>
      </c>
      <c r="I374" t="s">
        <v>2359</v>
      </c>
      <c r="J374" s="8">
        <f t="shared" si="5"/>
        <v>36425</v>
      </c>
    </row>
    <row r="375" spans="1:10" x14ac:dyDescent="0.35">
      <c r="A375" t="s">
        <v>1965</v>
      </c>
      <c r="B375">
        <v>1998</v>
      </c>
      <c r="C375" t="s">
        <v>2363</v>
      </c>
      <c r="D375">
        <v>16</v>
      </c>
      <c r="E375">
        <v>2</v>
      </c>
      <c r="F375" s="10">
        <v>3537.7</v>
      </c>
      <c r="G375" t="s">
        <v>2358</v>
      </c>
      <c r="H375" t="s">
        <v>2358</v>
      </c>
      <c r="I375" t="s">
        <v>2364</v>
      </c>
      <c r="J375" s="8">
        <f t="shared" si="5"/>
        <v>36054</v>
      </c>
    </row>
    <row r="376" spans="1:10" x14ac:dyDescent="0.35">
      <c r="A376" t="s">
        <v>1964</v>
      </c>
      <c r="B376">
        <v>2003</v>
      </c>
      <c r="C376" t="s">
        <v>2366</v>
      </c>
      <c r="D376">
        <v>24</v>
      </c>
      <c r="E376">
        <v>0</v>
      </c>
      <c r="F376" s="10">
        <v>3538.9</v>
      </c>
      <c r="G376" t="s">
        <v>2357</v>
      </c>
      <c r="H376" t="s">
        <v>2357</v>
      </c>
      <c r="I376" t="s">
        <v>2364</v>
      </c>
      <c r="J376" s="8">
        <f t="shared" si="5"/>
        <v>37857</v>
      </c>
    </row>
    <row r="377" spans="1:10" x14ac:dyDescent="0.35">
      <c r="A377" t="s">
        <v>1963</v>
      </c>
      <c r="B377">
        <v>1988</v>
      </c>
      <c r="C377" t="s">
        <v>2367</v>
      </c>
      <c r="D377">
        <v>15</v>
      </c>
      <c r="E377">
        <v>3</v>
      </c>
      <c r="F377" s="10">
        <v>3540.12</v>
      </c>
      <c r="G377" t="s">
        <v>2357</v>
      </c>
      <c r="H377" t="s">
        <v>2361</v>
      </c>
      <c r="I377" t="s">
        <v>2359</v>
      </c>
      <c r="J377" s="8">
        <f t="shared" si="5"/>
        <v>32431</v>
      </c>
    </row>
    <row r="378" spans="1:10" x14ac:dyDescent="0.35">
      <c r="A378" t="s">
        <v>1962</v>
      </c>
      <c r="B378">
        <v>1992</v>
      </c>
      <c r="C378" t="s">
        <v>2365</v>
      </c>
      <c r="D378">
        <v>22</v>
      </c>
      <c r="E378">
        <v>0</v>
      </c>
      <c r="F378" s="10">
        <v>3554.2</v>
      </c>
      <c r="G378" t="s">
        <v>2357</v>
      </c>
      <c r="H378" t="s">
        <v>2358</v>
      </c>
      <c r="I378" t="s">
        <v>2368</v>
      </c>
      <c r="J378" s="8">
        <f t="shared" si="5"/>
        <v>33960</v>
      </c>
    </row>
    <row r="379" spans="1:10" x14ac:dyDescent="0.35">
      <c r="A379" t="s">
        <v>1961</v>
      </c>
      <c r="B379">
        <v>1994</v>
      </c>
      <c r="C379" t="s">
        <v>2363</v>
      </c>
      <c r="D379">
        <v>24</v>
      </c>
      <c r="E379">
        <v>0</v>
      </c>
      <c r="F379" s="10">
        <v>3556.92</v>
      </c>
      <c r="G379" t="s">
        <v>2357</v>
      </c>
      <c r="H379" t="s">
        <v>2358</v>
      </c>
      <c r="I379" t="s">
        <v>2364</v>
      </c>
      <c r="J379" s="8">
        <f t="shared" si="5"/>
        <v>34601</v>
      </c>
    </row>
    <row r="380" spans="1:10" x14ac:dyDescent="0.35">
      <c r="A380" t="s">
        <v>1960</v>
      </c>
      <c r="B380">
        <v>1995</v>
      </c>
      <c r="C380" t="s">
        <v>2367</v>
      </c>
      <c r="D380">
        <v>9</v>
      </c>
      <c r="E380">
        <v>0</v>
      </c>
      <c r="F380" s="10">
        <v>3558.62</v>
      </c>
      <c r="G380" t="s">
        <v>2357</v>
      </c>
      <c r="H380" t="s">
        <v>2358</v>
      </c>
      <c r="I380" t="s">
        <v>2374</v>
      </c>
      <c r="J380" s="8">
        <f t="shared" si="5"/>
        <v>34981</v>
      </c>
    </row>
    <row r="381" spans="1:10" x14ac:dyDescent="0.35">
      <c r="A381" t="s">
        <v>1959</v>
      </c>
      <c r="B381">
        <v>1995</v>
      </c>
      <c r="C381" t="s">
        <v>2362</v>
      </c>
      <c r="D381">
        <v>16</v>
      </c>
      <c r="E381">
        <v>1</v>
      </c>
      <c r="F381" s="10">
        <v>3561.89</v>
      </c>
      <c r="G381" t="s">
        <v>2357</v>
      </c>
      <c r="H381" t="s">
        <v>2361</v>
      </c>
      <c r="I381" t="s">
        <v>2359</v>
      </c>
      <c r="J381" s="8">
        <f t="shared" si="5"/>
        <v>34866</v>
      </c>
    </row>
    <row r="382" spans="1:10" x14ac:dyDescent="0.35">
      <c r="A382" t="s">
        <v>1958</v>
      </c>
      <c r="B382">
        <v>1981</v>
      </c>
      <c r="C382" t="s">
        <v>2367</v>
      </c>
      <c r="D382">
        <v>10</v>
      </c>
      <c r="E382">
        <v>1</v>
      </c>
      <c r="F382" s="10">
        <v>3562.87</v>
      </c>
      <c r="G382" t="s">
        <v>2357</v>
      </c>
      <c r="H382" t="s">
        <v>2361</v>
      </c>
      <c r="I382" t="s">
        <v>2359</v>
      </c>
      <c r="J382" s="8">
        <f t="shared" si="5"/>
        <v>29869</v>
      </c>
    </row>
    <row r="383" spans="1:10" x14ac:dyDescent="0.35">
      <c r="A383" t="s">
        <v>1957</v>
      </c>
      <c r="B383">
        <v>1988</v>
      </c>
      <c r="C383" t="s">
        <v>2366</v>
      </c>
      <c r="D383">
        <v>18</v>
      </c>
      <c r="E383">
        <v>3</v>
      </c>
      <c r="F383" s="10">
        <v>3569.96</v>
      </c>
      <c r="G383" t="s">
        <v>2357</v>
      </c>
      <c r="H383" t="s">
        <v>2361</v>
      </c>
      <c r="I383" t="s">
        <v>2364</v>
      </c>
      <c r="J383" s="8">
        <f t="shared" si="5"/>
        <v>32373</v>
      </c>
    </row>
    <row r="384" spans="1:10" x14ac:dyDescent="0.35">
      <c r="A384" t="s">
        <v>1956</v>
      </c>
      <c r="B384">
        <v>1995</v>
      </c>
      <c r="C384" t="s">
        <v>2366</v>
      </c>
      <c r="D384">
        <v>23</v>
      </c>
      <c r="E384">
        <v>1</v>
      </c>
      <c r="F384" s="10">
        <v>3578</v>
      </c>
      <c r="G384" t="s">
        <v>2357</v>
      </c>
      <c r="H384" t="s">
        <v>2358</v>
      </c>
      <c r="I384" t="s">
        <v>2368</v>
      </c>
      <c r="J384" s="8">
        <f t="shared" si="5"/>
        <v>34934</v>
      </c>
    </row>
    <row r="385" spans="1:10" x14ac:dyDescent="0.35">
      <c r="A385" t="s">
        <v>1955</v>
      </c>
      <c r="B385">
        <v>2001</v>
      </c>
      <c r="C385" t="s">
        <v>2360</v>
      </c>
      <c r="D385">
        <v>11</v>
      </c>
      <c r="E385">
        <v>2</v>
      </c>
      <c r="F385" s="10">
        <v>3579.83</v>
      </c>
      <c r="G385" t="s">
        <v>2357</v>
      </c>
      <c r="H385" t="s">
        <v>2357</v>
      </c>
      <c r="I385" t="s">
        <v>2364</v>
      </c>
      <c r="J385" s="8">
        <f t="shared" si="5"/>
        <v>37206</v>
      </c>
    </row>
    <row r="386" spans="1:10" x14ac:dyDescent="0.35">
      <c r="A386" t="s">
        <v>1954</v>
      </c>
      <c r="B386">
        <v>1986</v>
      </c>
      <c r="C386" t="s">
        <v>2365</v>
      </c>
      <c r="D386">
        <v>27</v>
      </c>
      <c r="E386">
        <v>3</v>
      </c>
      <c r="F386" s="10">
        <v>3589.14</v>
      </c>
      <c r="G386" t="s">
        <v>2357</v>
      </c>
      <c r="H386" t="s">
        <v>2357</v>
      </c>
      <c r="I386" t="s">
        <v>2359</v>
      </c>
      <c r="J386" s="8">
        <f t="shared" si="5"/>
        <v>31773</v>
      </c>
    </row>
    <row r="387" spans="1:10" x14ac:dyDescent="0.35">
      <c r="A387" t="s">
        <v>1953</v>
      </c>
      <c r="B387">
        <v>1999</v>
      </c>
      <c r="C387" t="s">
        <v>2362</v>
      </c>
      <c r="D387">
        <v>6</v>
      </c>
      <c r="E387">
        <v>3</v>
      </c>
      <c r="F387" s="10">
        <v>3591.48</v>
      </c>
      <c r="G387" t="s">
        <v>2357</v>
      </c>
      <c r="H387" t="s">
        <v>2358</v>
      </c>
      <c r="I387" t="s">
        <v>2368</v>
      </c>
      <c r="J387" s="8">
        <f t="shared" ref="J387:J450" si="6">DATE(B387,MONTH(1&amp;C387),D387)</f>
        <v>36317</v>
      </c>
    </row>
    <row r="388" spans="1:10" x14ac:dyDescent="0.35">
      <c r="A388" t="s">
        <v>1952</v>
      </c>
      <c r="B388">
        <v>1997</v>
      </c>
      <c r="C388" t="s">
        <v>2360</v>
      </c>
      <c r="D388">
        <v>4</v>
      </c>
      <c r="E388">
        <v>1</v>
      </c>
      <c r="F388" s="10">
        <v>3594.17</v>
      </c>
      <c r="G388" t="s">
        <v>2357</v>
      </c>
      <c r="H388" t="s">
        <v>2357</v>
      </c>
      <c r="I388" t="s">
        <v>2364</v>
      </c>
      <c r="J388" s="8">
        <f t="shared" si="6"/>
        <v>35738</v>
      </c>
    </row>
    <row r="389" spans="1:10" x14ac:dyDescent="0.35">
      <c r="A389" t="s">
        <v>1951</v>
      </c>
      <c r="B389">
        <v>1999</v>
      </c>
      <c r="C389" t="s">
        <v>2366</v>
      </c>
      <c r="D389">
        <v>12</v>
      </c>
      <c r="E389">
        <v>3</v>
      </c>
      <c r="F389" s="10">
        <v>3597.6</v>
      </c>
      <c r="G389" t="s">
        <v>2357</v>
      </c>
      <c r="H389" t="s">
        <v>2357</v>
      </c>
      <c r="I389" t="s">
        <v>2368</v>
      </c>
      <c r="J389" s="8">
        <f t="shared" si="6"/>
        <v>36384</v>
      </c>
    </row>
    <row r="390" spans="1:10" x14ac:dyDescent="0.35">
      <c r="A390" t="s">
        <v>1950</v>
      </c>
      <c r="B390">
        <v>1988</v>
      </c>
      <c r="C390" t="s">
        <v>2360</v>
      </c>
      <c r="D390">
        <v>4</v>
      </c>
      <c r="E390">
        <v>3</v>
      </c>
      <c r="F390" s="10">
        <v>3603.6</v>
      </c>
      <c r="G390" t="s">
        <v>2357</v>
      </c>
      <c r="H390" t="s">
        <v>2361</v>
      </c>
      <c r="I390" t="s">
        <v>2359</v>
      </c>
      <c r="J390" s="8">
        <f t="shared" si="6"/>
        <v>32451</v>
      </c>
    </row>
    <row r="391" spans="1:10" x14ac:dyDescent="0.35">
      <c r="A391" t="s">
        <v>1949</v>
      </c>
      <c r="B391">
        <v>1990</v>
      </c>
      <c r="C391" t="s">
        <v>2367</v>
      </c>
      <c r="D391">
        <v>11</v>
      </c>
      <c r="E391">
        <v>3</v>
      </c>
      <c r="F391" s="10">
        <v>3606.43</v>
      </c>
      <c r="G391" t="s">
        <v>2357</v>
      </c>
      <c r="H391" t="s">
        <v>2361</v>
      </c>
      <c r="I391" t="s">
        <v>2359</v>
      </c>
      <c r="J391" s="8">
        <f t="shared" si="6"/>
        <v>33157</v>
      </c>
    </row>
    <row r="392" spans="1:10" x14ac:dyDescent="0.35">
      <c r="A392" t="s">
        <v>1948</v>
      </c>
      <c r="B392">
        <v>1985</v>
      </c>
      <c r="C392" t="s">
        <v>2362</v>
      </c>
      <c r="D392">
        <v>14</v>
      </c>
      <c r="E392">
        <v>3</v>
      </c>
      <c r="F392" s="10">
        <v>3622.13</v>
      </c>
      <c r="G392" t="s">
        <v>2357</v>
      </c>
      <c r="H392" t="s">
        <v>2361</v>
      </c>
      <c r="I392" t="s">
        <v>2359</v>
      </c>
      <c r="J392" s="8">
        <f t="shared" si="6"/>
        <v>31212</v>
      </c>
    </row>
    <row r="393" spans="1:10" x14ac:dyDescent="0.35">
      <c r="A393" t="s">
        <v>1947</v>
      </c>
      <c r="B393">
        <v>1992</v>
      </c>
      <c r="C393" t="s">
        <v>2360</v>
      </c>
      <c r="D393">
        <v>17</v>
      </c>
      <c r="E393">
        <v>0</v>
      </c>
      <c r="F393" s="10">
        <v>3645.09</v>
      </c>
      <c r="G393" t="s">
        <v>2361</v>
      </c>
      <c r="H393" t="s">
        <v>2357</v>
      </c>
      <c r="I393" t="s">
        <v>2376</v>
      </c>
      <c r="J393" s="8">
        <f t="shared" si="6"/>
        <v>33925</v>
      </c>
    </row>
    <row r="394" spans="1:10" x14ac:dyDescent="0.35">
      <c r="A394" t="s">
        <v>1946</v>
      </c>
      <c r="B394">
        <v>1990</v>
      </c>
      <c r="C394" t="s">
        <v>2360</v>
      </c>
      <c r="D394">
        <v>8</v>
      </c>
      <c r="E394">
        <v>3</v>
      </c>
      <c r="F394" s="10">
        <v>3653.29</v>
      </c>
      <c r="G394" t="s">
        <v>2357</v>
      </c>
      <c r="H394" t="s">
        <v>2358</v>
      </c>
      <c r="I394" t="s">
        <v>2368</v>
      </c>
      <c r="J394" s="8">
        <f t="shared" si="6"/>
        <v>33185</v>
      </c>
    </row>
    <row r="395" spans="1:10" x14ac:dyDescent="0.35">
      <c r="A395" t="s">
        <v>1945</v>
      </c>
      <c r="B395">
        <v>1992</v>
      </c>
      <c r="C395" t="s">
        <v>2363</v>
      </c>
      <c r="D395">
        <v>14</v>
      </c>
      <c r="E395">
        <v>1</v>
      </c>
      <c r="F395" s="10">
        <v>3659.35</v>
      </c>
      <c r="G395" t="s">
        <v>2358</v>
      </c>
      <c r="H395" t="s">
        <v>2361</v>
      </c>
      <c r="I395" t="s">
        <v>2368</v>
      </c>
      <c r="J395" s="8">
        <f t="shared" si="6"/>
        <v>33861</v>
      </c>
    </row>
    <row r="396" spans="1:10" x14ac:dyDescent="0.35">
      <c r="A396" t="s">
        <v>1944</v>
      </c>
      <c r="B396">
        <v>1984</v>
      </c>
      <c r="C396" t="s">
        <v>2356</v>
      </c>
      <c r="D396">
        <v>6</v>
      </c>
      <c r="E396">
        <v>3</v>
      </c>
      <c r="F396" s="10">
        <v>3678.86</v>
      </c>
      <c r="G396" t="s">
        <v>2357</v>
      </c>
      <c r="H396" t="s">
        <v>2358</v>
      </c>
      <c r="I396" t="s">
        <v>2359</v>
      </c>
      <c r="J396" s="8">
        <f t="shared" si="6"/>
        <v>30869</v>
      </c>
    </row>
    <row r="397" spans="1:10" x14ac:dyDescent="0.35">
      <c r="A397" t="s">
        <v>1943</v>
      </c>
      <c r="B397">
        <v>2003</v>
      </c>
      <c r="C397" t="s">
        <v>2356</v>
      </c>
      <c r="D397">
        <v>10</v>
      </c>
      <c r="E397">
        <v>0</v>
      </c>
      <c r="F397" s="10">
        <v>3688.35</v>
      </c>
      <c r="G397" t="s">
        <v>2357</v>
      </c>
      <c r="H397" t="s">
        <v>2357</v>
      </c>
      <c r="I397" t="s">
        <v>2377</v>
      </c>
      <c r="J397" s="8">
        <f t="shared" si="6"/>
        <v>37812</v>
      </c>
    </row>
    <row r="398" spans="1:10" x14ac:dyDescent="0.35">
      <c r="A398" t="s">
        <v>1942</v>
      </c>
      <c r="B398">
        <v>1981</v>
      </c>
      <c r="C398" t="s">
        <v>2365</v>
      </c>
      <c r="D398">
        <v>14</v>
      </c>
      <c r="E398">
        <v>1</v>
      </c>
      <c r="F398" s="10">
        <v>3688.38</v>
      </c>
      <c r="G398" t="s">
        <v>2357</v>
      </c>
      <c r="H398" t="s">
        <v>2357</v>
      </c>
      <c r="I398" t="s">
        <v>2359</v>
      </c>
      <c r="J398" s="8">
        <f t="shared" si="6"/>
        <v>29934</v>
      </c>
    </row>
    <row r="399" spans="1:10" x14ac:dyDescent="0.35">
      <c r="A399" t="s">
        <v>1941</v>
      </c>
      <c r="B399">
        <v>1995</v>
      </c>
      <c r="C399" t="s">
        <v>2367</v>
      </c>
      <c r="D399">
        <v>21</v>
      </c>
      <c r="E399">
        <v>2</v>
      </c>
      <c r="F399" s="10">
        <v>3693.43</v>
      </c>
      <c r="G399" t="s">
        <v>2357</v>
      </c>
      <c r="H399" t="s">
        <v>2358</v>
      </c>
      <c r="I399" t="s">
        <v>2368</v>
      </c>
      <c r="J399" s="8">
        <f t="shared" si="6"/>
        <v>34993</v>
      </c>
    </row>
    <row r="400" spans="1:10" x14ac:dyDescent="0.35">
      <c r="A400" t="s">
        <v>1940</v>
      </c>
      <c r="B400">
        <v>1988</v>
      </c>
      <c r="C400" t="s">
        <v>2366</v>
      </c>
      <c r="D400">
        <v>18</v>
      </c>
      <c r="E400">
        <v>3</v>
      </c>
      <c r="F400" s="10">
        <v>3699.54</v>
      </c>
      <c r="G400" t="s">
        <v>2357</v>
      </c>
      <c r="H400" t="s">
        <v>2358</v>
      </c>
      <c r="I400" t="s">
        <v>2359</v>
      </c>
      <c r="J400" s="8">
        <f t="shared" si="6"/>
        <v>32373</v>
      </c>
    </row>
    <row r="401" spans="1:10" x14ac:dyDescent="0.35">
      <c r="A401" t="s">
        <v>1939</v>
      </c>
      <c r="B401">
        <v>1989</v>
      </c>
      <c r="C401" t="s">
        <v>2365</v>
      </c>
      <c r="D401">
        <v>2</v>
      </c>
      <c r="E401">
        <v>0</v>
      </c>
      <c r="F401" s="10">
        <v>3704.35</v>
      </c>
      <c r="G401" t="s">
        <v>2357</v>
      </c>
      <c r="H401" t="s">
        <v>2357</v>
      </c>
      <c r="I401" t="s">
        <v>2359</v>
      </c>
      <c r="J401" s="8">
        <f t="shared" si="6"/>
        <v>32844</v>
      </c>
    </row>
    <row r="402" spans="1:10" x14ac:dyDescent="0.35">
      <c r="A402" t="s">
        <v>1938</v>
      </c>
      <c r="B402">
        <v>2004</v>
      </c>
      <c r="C402" t="s">
        <v>2360</v>
      </c>
      <c r="D402">
        <v>5</v>
      </c>
      <c r="E402">
        <v>0</v>
      </c>
      <c r="F402" s="10">
        <v>3722.23</v>
      </c>
      <c r="G402" t="s">
        <v>2357</v>
      </c>
      <c r="H402" t="s">
        <v>2357</v>
      </c>
      <c r="I402" t="s">
        <v>2373</v>
      </c>
      <c r="J402" s="8">
        <f t="shared" si="6"/>
        <v>38296</v>
      </c>
    </row>
    <row r="403" spans="1:10" x14ac:dyDescent="0.35">
      <c r="A403" t="s">
        <v>1937</v>
      </c>
      <c r="B403">
        <v>1986</v>
      </c>
      <c r="C403" t="s">
        <v>2365</v>
      </c>
      <c r="D403">
        <v>1</v>
      </c>
      <c r="E403">
        <v>3</v>
      </c>
      <c r="F403" s="10">
        <v>3731.6</v>
      </c>
      <c r="G403" t="s">
        <v>2357</v>
      </c>
      <c r="H403" t="s">
        <v>2357</v>
      </c>
      <c r="I403" t="s">
        <v>2359</v>
      </c>
      <c r="J403" s="8">
        <f t="shared" si="6"/>
        <v>31747</v>
      </c>
    </row>
    <row r="404" spans="1:10" x14ac:dyDescent="0.35">
      <c r="A404" t="s">
        <v>1936</v>
      </c>
      <c r="B404">
        <v>1994</v>
      </c>
      <c r="C404" t="s">
        <v>2366</v>
      </c>
      <c r="D404">
        <v>22</v>
      </c>
      <c r="E404">
        <v>0</v>
      </c>
      <c r="F404" s="10">
        <v>3732.63</v>
      </c>
      <c r="G404" t="s">
        <v>2357</v>
      </c>
      <c r="H404" t="s">
        <v>2358</v>
      </c>
      <c r="I404" t="s">
        <v>2374</v>
      </c>
      <c r="J404" s="8">
        <f t="shared" si="6"/>
        <v>34568</v>
      </c>
    </row>
    <row r="405" spans="1:10" x14ac:dyDescent="0.35">
      <c r="A405" t="s">
        <v>1935</v>
      </c>
      <c r="B405">
        <v>1993</v>
      </c>
      <c r="C405" t="s">
        <v>2362</v>
      </c>
      <c r="D405">
        <v>22</v>
      </c>
      <c r="E405">
        <v>0</v>
      </c>
      <c r="F405" s="10">
        <v>3736.46</v>
      </c>
      <c r="G405" t="s">
        <v>2357</v>
      </c>
      <c r="H405" t="s">
        <v>2357</v>
      </c>
      <c r="I405" t="s">
        <v>2364</v>
      </c>
      <c r="J405" s="8">
        <f t="shared" si="6"/>
        <v>34142</v>
      </c>
    </row>
    <row r="406" spans="1:10" x14ac:dyDescent="0.35">
      <c r="A406" t="s">
        <v>1934</v>
      </c>
      <c r="B406">
        <v>1986</v>
      </c>
      <c r="C406" t="s">
        <v>2363</v>
      </c>
      <c r="D406">
        <v>9</v>
      </c>
      <c r="E406">
        <v>3</v>
      </c>
      <c r="F406" s="10">
        <v>3748.56</v>
      </c>
      <c r="G406" t="s">
        <v>2357</v>
      </c>
      <c r="H406" t="s">
        <v>2357</v>
      </c>
      <c r="I406" t="s">
        <v>2359</v>
      </c>
      <c r="J406" s="8">
        <f t="shared" si="6"/>
        <v>31664</v>
      </c>
    </row>
    <row r="407" spans="1:10" x14ac:dyDescent="0.35">
      <c r="A407" t="s">
        <v>1933</v>
      </c>
      <c r="B407">
        <v>1991</v>
      </c>
      <c r="C407" t="s">
        <v>2367</v>
      </c>
      <c r="D407">
        <v>28</v>
      </c>
      <c r="E407">
        <v>0</v>
      </c>
      <c r="F407" s="10">
        <v>3756.62</v>
      </c>
      <c r="G407" t="s">
        <v>2357</v>
      </c>
      <c r="H407" t="s">
        <v>2357</v>
      </c>
      <c r="I407" t="s">
        <v>2359</v>
      </c>
      <c r="J407" s="8">
        <f t="shared" si="6"/>
        <v>33539</v>
      </c>
    </row>
    <row r="408" spans="1:10" x14ac:dyDescent="0.35">
      <c r="A408" t="s">
        <v>1932</v>
      </c>
      <c r="B408">
        <v>1991</v>
      </c>
      <c r="C408" t="s">
        <v>2366</v>
      </c>
      <c r="D408">
        <v>25</v>
      </c>
      <c r="E408">
        <v>0</v>
      </c>
      <c r="F408" s="10">
        <v>3757.84</v>
      </c>
      <c r="G408" t="s">
        <v>2357</v>
      </c>
      <c r="H408" t="s">
        <v>2361</v>
      </c>
      <c r="I408" t="s">
        <v>2359</v>
      </c>
      <c r="J408" s="8">
        <f t="shared" si="6"/>
        <v>33475</v>
      </c>
    </row>
    <row r="409" spans="1:10" x14ac:dyDescent="0.35">
      <c r="A409" t="s">
        <v>1931</v>
      </c>
      <c r="B409">
        <v>1991</v>
      </c>
      <c r="C409" t="s">
        <v>2367</v>
      </c>
      <c r="D409">
        <v>24</v>
      </c>
      <c r="E409">
        <v>0</v>
      </c>
      <c r="F409" s="10">
        <v>3761.29</v>
      </c>
      <c r="G409" t="s">
        <v>2357</v>
      </c>
      <c r="H409" t="s">
        <v>2358</v>
      </c>
      <c r="I409" t="s">
        <v>2368</v>
      </c>
      <c r="J409" s="8">
        <f t="shared" si="6"/>
        <v>33535</v>
      </c>
    </row>
    <row r="410" spans="1:10" x14ac:dyDescent="0.35">
      <c r="A410" t="s">
        <v>1930</v>
      </c>
      <c r="B410">
        <v>1994</v>
      </c>
      <c r="C410" t="s">
        <v>2360</v>
      </c>
      <c r="D410">
        <v>21</v>
      </c>
      <c r="E410">
        <v>1</v>
      </c>
      <c r="F410" s="10">
        <v>3766.88</v>
      </c>
      <c r="G410" t="s">
        <v>2357</v>
      </c>
      <c r="H410" t="s">
        <v>2361</v>
      </c>
      <c r="I410" t="s">
        <v>2359</v>
      </c>
      <c r="J410" s="8">
        <f t="shared" si="6"/>
        <v>34659</v>
      </c>
    </row>
    <row r="411" spans="1:10" x14ac:dyDescent="0.35">
      <c r="A411" t="s">
        <v>1929</v>
      </c>
      <c r="B411">
        <v>1987</v>
      </c>
      <c r="C411" t="s">
        <v>2367</v>
      </c>
      <c r="D411">
        <v>24</v>
      </c>
      <c r="E411">
        <v>3</v>
      </c>
      <c r="F411" s="10">
        <v>3773.23</v>
      </c>
      <c r="G411" t="s">
        <v>2357</v>
      </c>
      <c r="H411" t="s">
        <v>2358</v>
      </c>
      <c r="I411" t="s">
        <v>2359</v>
      </c>
      <c r="J411" s="8">
        <f t="shared" si="6"/>
        <v>32074</v>
      </c>
    </row>
    <row r="412" spans="1:10" x14ac:dyDescent="0.35">
      <c r="A412" t="s">
        <v>1928</v>
      </c>
      <c r="B412">
        <v>1981</v>
      </c>
      <c r="C412" t="s">
        <v>2365</v>
      </c>
      <c r="D412">
        <v>13</v>
      </c>
      <c r="E412">
        <v>1</v>
      </c>
      <c r="F412" s="10">
        <v>3785.77</v>
      </c>
      <c r="G412" t="s">
        <v>2357</v>
      </c>
      <c r="H412" t="s">
        <v>2361</v>
      </c>
      <c r="I412" t="s">
        <v>2359</v>
      </c>
      <c r="J412" s="8">
        <f t="shared" si="6"/>
        <v>29933</v>
      </c>
    </row>
    <row r="413" spans="1:10" x14ac:dyDescent="0.35">
      <c r="A413" t="s">
        <v>1927</v>
      </c>
      <c r="B413">
        <v>1988</v>
      </c>
      <c r="C413" t="s">
        <v>2366</v>
      </c>
      <c r="D413">
        <v>28</v>
      </c>
      <c r="E413">
        <v>3</v>
      </c>
      <c r="F413" s="10">
        <v>3793.55</v>
      </c>
      <c r="G413" t="s">
        <v>2357</v>
      </c>
      <c r="H413" t="s">
        <v>2358</v>
      </c>
      <c r="I413" t="s">
        <v>2359</v>
      </c>
      <c r="J413" s="8">
        <f t="shared" si="6"/>
        <v>32383</v>
      </c>
    </row>
    <row r="414" spans="1:10" x14ac:dyDescent="0.35">
      <c r="A414" t="s">
        <v>1926</v>
      </c>
      <c r="B414">
        <v>1999</v>
      </c>
      <c r="C414" t="s">
        <v>2362</v>
      </c>
      <c r="D414">
        <v>24</v>
      </c>
      <c r="E414">
        <v>0</v>
      </c>
      <c r="F414" s="10">
        <v>3796.36</v>
      </c>
      <c r="G414" t="s">
        <v>2357</v>
      </c>
      <c r="H414" t="s">
        <v>2358</v>
      </c>
      <c r="I414" t="s">
        <v>2364</v>
      </c>
      <c r="J414" s="8">
        <f t="shared" si="6"/>
        <v>36335</v>
      </c>
    </row>
    <row r="415" spans="1:10" x14ac:dyDescent="0.35">
      <c r="A415" t="s">
        <v>1925</v>
      </c>
      <c r="B415">
        <v>1981</v>
      </c>
      <c r="C415" t="s">
        <v>2363</v>
      </c>
      <c r="D415">
        <v>29</v>
      </c>
      <c r="E415">
        <v>1</v>
      </c>
      <c r="F415" s="10">
        <v>3797.2</v>
      </c>
      <c r="G415" t="s">
        <v>2357</v>
      </c>
      <c r="H415" t="s">
        <v>2358</v>
      </c>
      <c r="I415" t="s">
        <v>2364</v>
      </c>
      <c r="J415" s="8">
        <f t="shared" si="6"/>
        <v>29858</v>
      </c>
    </row>
    <row r="416" spans="1:10" x14ac:dyDescent="0.35">
      <c r="A416" t="s">
        <v>1924</v>
      </c>
      <c r="B416">
        <v>1994</v>
      </c>
      <c r="C416" t="s">
        <v>2366</v>
      </c>
      <c r="D416">
        <v>12</v>
      </c>
      <c r="E416">
        <v>2</v>
      </c>
      <c r="F416" s="10">
        <v>3847.67</v>
      </c>
      <c r="G416" t="s">
        <v>2358</v>
      </c>
      <c r="H416" t="s">
        <v>2357</v>
      </c>
      <c r="I416" t="s">
        <v>2368</v>
      </c>
      <c r="J416" s="8">
        <f t="shared" si="6"/>
        <v>34558</v>
      </c>
    </row>
    <row r="417" spans="1:10" x14ac:dyDescent="0.35">
      <c r="A417" t="s">
        <v>1923</v>
      </c>
      <c r="B417">
        <v>1991</v>
      </c>
      <c r="C417" t="s">
        <v>2366</v>
      </c>
      <c r="D417">
        <v>19</v>
      </c>
      <c r="E417">
        <v>0</v>
      </c>
      <c r="F417" s="10">
        <v>3857.76</v>
      </c>
      <c r="G417" t="s">
        <v>2358</v>
      </c>
      <c r="H417" t="s">
        <v>2361</v>
      </c>
      <c r="I417" t="s">
        <v>2371</v>
      </c>
      <c r="J417" s="8">
        <f t="shared" si="6"/>
        <v>33469</v>
      </c>
    </row>
    <row r="418" spans="1:10" x14ac:dyDescent="0.35">
      <c r="A418" t="s">
        <v>1922</v>
      </c>
      <c r="B418">
        <v>2001</v>
      </c>
      <c r="C418" t="s">
        <v>2362</v>
      </c>
      <c r="D418">
        <v>6</v>
      </c>
      <c r="E418">
        <v>0</v>
      </c>
      <c r="F418" s="10">
        <v>3858.51</v>
      </c>
      <c r="G418" t="s">
        <v>2357</v>
      </c>
      <c r="H418" t="s">
        <v>2358</v>
      </c>
      <c r="I418" t="s">
        <v>2373</v>
      </c>
      <c r="J418" s="8">
        <f t="shared" si="6"/>
        <v>37048</v>
      </c>
    </row>
    <row r="419" spans="1:10" x14ac:dyDescent="0.35">
      <c r="A419" t="s">
        <v>1921</v>
      </c>
      <c r="B419">
        <v>2001</v>
      </c>
      <c r="C419" t="s">
        <v>2367</v>
      </c>
      <c r="D419">
        <v>18</v>
      </c>
      <c r="E419">
        <v>3</v>
      </c>
      <c r="F419" s="10">
        <v>3861.21</v>
      </c>
      <c r="G419" t="s">
        <v>2357</v>
      </c>
      <c r="H419" t="s">
        <v>2357</v>
      </c>
      <c r="I419" t="s">
        <v>2371</v>
      </c>
      <c r="J419" s="8">
        <f t="shared" si="6"/>
        <v>37182</v>
      </c>
    </row>
    <row r="420" spans="1:10" x14ac:dyDescent="0.35">
      <c r="A420" t="s">
        <v>1920</v>
      </c>
      <c r="B420">
        <v>1990</v>
      </c>
      <c r="C420" t="s">
        <v>2362</v>
      </c>
      <c r="D420">
        <v>24</v>
      </c>
      <c r="E420">
        <v>0</v>
      </c>
      <c r="F420" s="10">
        <v>3866.86</v>
      </c>
      <c r="G420" t="s">
        <v>2361</v>
      </c>
      <c r="H420" t="s">
        <v>2361</v>
      </c>
      <c r="I420" t="s">
        <v>2364</v>
      </c>
      <c r="J420" s="8">
        <f t="shared" si="6"/>
        <v>33048</v>
      </c>
    </row>
    <row r="421" spans="1:10" x14ac:dyDescent="0.35">
      <c r="A421" t="s">
        <v>1919</v>
      </c>
      <c r="B421">
        <v>1991</v>
      </c>
      <c r="C421" t="s">
        <v>2356</v>
      </c>
      <c r="D421">
        <v>25</v>
      </c>
      <c r="E421">
        <v>1</v>
      </c>
      <c r="F421" s="10">
        <v>3875.73</v>
      </c>
      <c r="G421" t="s">
        <v>2357</v>
      </c>
      <c r="H421" t="s">
        <v>2358</v>
      </c>
      <c r="I421" t="s">
        <v>2359</v>
      </c>
      <c r="J421" s="8">
        <f t="shared" si="6"/>
        <v>33444</v>
      </c>
    </row>
    <row r="422" spans="1:10" x14ac:dyDescent="0.35">
      <c r="A422" t="s">
        <v>1918</v>
      </c>
      <c r="B422">
        <v>1996</v>
      </c>
      <c r="C422" t="s">
        <v>2367</v>
      </c>
      <c r="D422">
        <v>23</v>
      </c>
      <c r="E422">
        <v>2</v>
      </c>
      <c r="F422" s="10">
        <v>3877.3</v>
      </c>
      <c r="G422" t="s">
        <v>2361</v>
      </c>
      <c r="H422" t="s">
        <v>2358</v>
      </c>
      <c r="I422" t="s">
        <v>2364</v>
      </c>
      <c r="J422" s="8">
        <f t="shared" si="6"/>
        <v>35361</v>
      </c>
    </row>
    <row r="423" spans="1:10" x14ac:dyDescent="0.35">
      <c r="A423" t="s">
        <v>1917</v>
      </c>
      <c r="B423">
        <v>2004</v>
      </c>
      <c r="C423" t="s">
        <v>2356</v>
      </c>
      <c r="D423">
        <v>13</v>
      </c>
      <c r="E423">
        <v>0</v>
      </c>
      <c r="F423" s="10">
        <v>3889.2</v>
      </c>
      <c r="G423" t="s">
        <v>2357</v>
      </c>
      <c r="H423" t="s">
        <v>2357</v>
      </c>
      <c r="I423" t="s">
        <v>2364</v>
      </c>
      <c r="J423" s="8">
        <f t="shared" si="6"/>
        <v>38181</v>
      </c>
    </row>
    <row r="424" spans="1:10" x14ac:dyDescent="0.35">
      <c r="A424" t="s">
        <v>1916</v>
      </c>
      <c r="B424">
        <v>1993</v>
      </c>
      <c r="C424" t="s">
        <v>2363</v>
      </c>
      <c r="D424">
        <v>14</v>
      </c>
      <c r="E424">
        <v>0</v>
      </c>
      <c r="F424" s="10">
        <v>3898.35</v>
      </c>
      <c r="G424" t="s">
        <v>2357</v>
      </c>
      <c r="H424" t="s">
        <v>2357</v>
      </c>
      <c r="I424" t="s">
        <v>2364</v>
      </c>
      <c r="J424" s="8">
        <f t="shared" si="6"/>
        <v>34226</v>
      </c>
    </row>
    <row r="425" spans="1:10" x14ac:dyDescent="0.35">
      <c r="A425" t="s">
        <v>1915</v>
      </c>
      <c r="B425">
        <v>1981</v>
      </c>
      <c r="C425" t="s">
        <v>2366</v>
      </c>
      <c r="D425">
        <v>27</v>
      </c>
      <c r="E425">
        <v>1</v>
      </c>
      <c r="F425" s="10">
        <v>3902.07</v>
      </c>
      <c r="G425" t="s">
        <v>2357</v>
      </c>
      <c r="H425" t="s">
        <v>2357</v>
      </c>
      <c r="I425" t="s">
        <v>2359</v>
      </c>
      <c r="J425" s="8">
        <f t="shared" si="6"/>
        <v>29825</v>
      </c>
    </row>
    <row r="426" spans="1:10" x14ac:dyDescent="0.35">
      <c r="A426" t="s">
        <v>1914</v>
      </c>
      <c r="B426">
        <v>1997</v>
      </c>
      <c r="C426" t="s">
        <v>2360</v>
      </c>
      <c r="D426">
        <v>24</v>
      </c>
      <c r="E426">
        <v>3</v>
      </c>
      <c r="F426" s="10">
        <v>3906.13</v>
      </c>
      <c r="G426" t="s">
        <v>2358</v>
      </c>
      <c r="H426" t="s">
        <v>2358</v>
      </c>
      <c r="I426" t="s">
        <v>2368</v>
      </c>
      <c r="J426" s="8">
        <f t="shared" si="6"/>
        <v>35758</v>
      </c>
    </row>
    <row r="427" spans="1:10" x14ac:dyDescent="0.35">
      <c r="A427" t="s">
        <v>1913</v>
      </c>
      <c r="B427">
        <v>1985</v>
      </c>
      <c r="C427" t="s">
        <v>2356</v>
      </c>
      <c r="D427">
        <v>5</v>
      </c>
      <c r="E427">
        <v>3</v>
      </c>
      <c r="F427" s="10">
        <v>3910.44</v>
      </c>
      <c r="G427" t="s">
        <v>2357</v>
      </c>
      <c r="H427" t="s">
        <v>2357</v>
      </c>
      <c r="I427" t="s">
        <v>2359</v>
      </c>
      <c r="J427" s="8">
        <f t="shared" si="6"/>
        <v>31233</v>
      </c>
    </row>
    <row r="428" spans="1:10" x14ac:dyDescent="0.35">
      <c r="A428" t="s">
        <v>1912</v>
      </c>
      <c r="B428">
        <v>2000</v>
      </c>
      <c r="C428" t="s">
        <v>2356</v>
      </c>
      <c r="D428">
        <v>10</v>
      </c>
      <c r="E428">
        <v>2</v>
      </c>
      <c r="F428" s="10">
        <v>3925.76</v>
      </c>
      <c r="G428" t="s">
        <v>2357</v>
      </c>
      <c r="H428" t="s">
        <v>2357</v>
      </c>
      <c r="I428" t="s">
        <v>2374</v>
      </c>
      <c r="J428" s="8">
        <f t="shared" si="6"/>
        <v>36717</v>
      </c>
    </row>
    <row r="429" spans="1:10" x14ac:dyDescent="0.35">
      <c r="A429" t="s">
        <v>1911</v>
      </c>
      <c r="B429">
        <v>2002</v>
      </c>
      <c r="C429" t="s">
        <v>2362</v>
      </c>
      <c r="D429">
        <v>15</v>
      </c>
      <c r="E429">
        <v>0</v>
      </c>
      <c r="F429" s="10">
        <v>3931.51</v>
      </c>
      <c r="G429" t="s">
        <v>2357</v>
      </c>
      <c r="H429" t="s">
        <v>2358</v>
      </c>
      <c r="I429" t="s">
        <v>2368</v>
      </c>
      <c r="J429" s="8">
        <f t="shared" si="6"/>
        <v>37422</v>
      </c>
    </row>
    <row r="430" spans="1:10" x14ac:dyDescent="0.35">
      <c r="A430" t="s">
        <v>1910</v>
      </c>
      <c r="B430">
        <v>1988</v>
      </c>
      <c r="C430" t="s">
        <v>2367</v>
      </c>
      <c r="D430">
        <v>24</v>
      </c>
      <c r="E430">
        <v>0</v>
      </c>
      <c r="F430" s="10">
        <v>3935.18</v>
      </c>
      <c r="G430" t="s">
        <v>2358</v>
      </c>
      <c r="H430" t="s">
        <v>2361</v>
      </c>
      <c r="I430" t="s">
        <v>2359</v>
      </c>
      <c r="J430" s="8">
        <f t="shared" si="6"/>
        <v>32440</v>
      </c>
    </row>
    <row r="431" spans="1:10" x14ac:dyDescent="0.35">
      <c r="A431" t="s">
        <v>1909</v>
      </c>
      <c r="B431">
        <v>1993</v>
      </c>
      <c r="C431" t="s">
        <v>2363</v>
      </c>
      <c r="D431">
        <v>29</v>
      </c>
      <c r="E431">
        <v>0</v>
      </c>
      <c r="F431" s="10">
        <v>3943.6</v>
      </c>
      <c r="G431" t="s">
        <v>2357</v>
      </c>
      <c r="H431" t="s">
        <v>2358</v>
      </c>
      <c r="I431" t="s">
        <v>2374</v>
      </c>
      <c r="J431" s="8">
        <f t="shared" si="6"/>
        <v>34241</v>
      </c>
    </row>
    <row r="432" spans="1:10" x14ac:dyDescent="0.35">
      <c r="A432" t="s">
        <v>1908</v>
      </c>
      <c r="B432">
        <v>1993</v>
      </c>
      <c r="C432" t="s">
        <v>2360</v>
      </c>
      <c r="D432">
        <v>11</v>
      </c>
      <c r="E432">
        <v>1</v>
      </c>
      <c r="F432" s="10">
        <v>3947.41</v>
      </c>
      <c r="G432" t="s">
        <v>2357</v>
      </c>
      <c r="H432" t="s">
        <v>2357</v>
      </c>
      <c r="I432" t="s">
        <v>2359</v>
      </c>
      <c r="J432" s="8">
        <f t="shared" si="6"/>
        <v>34284</v>
      </c>
    </row>
    <row r="433" spans="1:10" x14ac:dyDescent="0.35">
      <c r="A433" t="s">
        <v>1907</v>
      </c>
      <c r="B433">
        <v>1999</v>
      </c>
      <c r="C433" t="s">
        <v>2356</v>
      </c>
      <c r="D433">
        <v>10</v>
      </c>
      <c r="E433">
        <v>0</v>
      </c>
      <c r="F433" s="10">
        <v>3955.98</v>
      </c>
      <c r="G433" t="s">
        <v>2357</v>
      </c>
      <c r="H433" t="s">
        <v>2358</v>
      </c>
      <c r="I433" t="s">
        <v>2377</v>
      </c>
      <c r="J433" s="8">
        <f t="shared" si="6"/>
        <v>36351</v>
      </c>
    </row>
    <row r="434" spans="1:10" x14ac:dyDescent="0.35">
      <c r="A434" t="s">
        <v>1906</v>
      </c>
      <c r="B434">
        <v>1995</v>
      </c>
      <c r="C434" t="s">
        <v>2356</v>
      </c>
      <c r="D434">
        <v>11</v>
      </c>
      <c r="E434">
        <v>1</v>
      </c>
      <c r="F434" s="10">
        <v>3956.07</v>
      </c>
      <c r="G434" t="s">
        <v>2357</v>
      </c>
      <c r="H434" t="s">
        <v>2357</v>
      </c>
      <c r="I434" t="s">
        <v>2364</v>
      </c>
      <c r="J434" s="8">
        <f t="shared" si="6"/>
        <v>34891</v>
      </c>
    </row>
    <row r="435" spans="1:10" x14ac:dyDescent="0.35">
      <c r="A435" t="s">
        <v>1905</v>
      </c>
      <c r="B435">
        <v>1990</v>
      </c>
      <c r="C435" t="s">
        <v>2356</v>
      </c>
      <c r="D435">
        <v>29</v>
      </c>
      <c r="E435">
        <v>0</v>
      </c>
      <c r="F435" s="10">
        <v>3972.92</v>
      </c>
      <c r="G435" t="s">
        <v>2357</v>
      </c>
      <c r="H435" t="s">
        <v>2358</v>
      </c>
      <c r="I435" t="s">
        <v>2359</v>
      </c>
      <c r="J435" s="8">
        <f t="shared" si="6"/>
        <v>33083</v>
      </c>
    </row>
    <row r="436" spans="1:10" x14ac:dyDescent="0.35">
      <c r="A436" t="s">
        <v>1904</v>
      </c>
      <c r="B436">
        <v>1996</v>
      </c>
      <c r="C436" t="s">
        <v>2366</v>
      </c>
      <c r="D436">
        <v>17</v>
      </c>
      <c r="E436">
        <v>2</v>
      </c>
      <c r="F436" s="10">
        <v>3981.98</v>
      </c>
      <c r="G436" t="s">
        <v>2357</v>
      </c>
      <c r="H436" t="s">
        <v>2357</v>
      </c>
      <c r="I436" t="s">
        <v>2359</v>
      </c>
      <c r="J436" s="8">
        <f t="shared" si="6"/>
        <v>35294</v>
      </c>
    </row>
    <row r="437" spans="1:10" x14ac:dyDescent="0.35">
      <c r="A437" t="s">
        <v>1903</v>
      </c>
      <c r="B437">
        <v>1996</v>
      </c>
      <c r="C437" t="s">
        <v>2363</v>
      </c>
      <c r="D437">
        <v>8</v>
      </c>
      <c r="E437">
        <v>2</v>
      </c>
      <c r="F437" s="10">
        <v>3987.93</v>
      </c>
      <c r="G437" t="s">
        <v>2357</v>
      </c>
      <c r="H437" t="s">
        <v>2357</v>
      </c>
      <c r="I437" t="s">
        <v>2368</v>
      </c>
      <c r="J437" s="8">
        <f t="shared" si="6"/>
        <v>35316</v>
      </c>
    </row>
    <row r="438" spans="1:10" x14ac:dyDescent="0.35">
      <c r="A438" t="s">
        <v>1902</v>
      </c>
      <c r="B438">
        <v>1990</v>
      </c>
      <c r="C438" t="s">
        <v>2360</v>
      </c>
      <c r="D438">
        <v>22</v>
      </c>
      <c r="E438">
        <v>0</v>
      </c>
      <c r="F438" s="10">
        <v>3989.84</v>
      </c>
      <c r="G438" t="s">
        <v>2357</v>
      </c>
      <c r="H438" t="s">
        <v>2357</v>
      </c>
      <c r="I438" t="s">
        <v>2368</v>
      </c>
      <c r="J438" s="8">
        <f t="shared" si="6"/>
        <v>33199</v>
      </c>
    </row>
    <row r="439" spans="1:10" x14ac:dyDescent="0.35">
      <c r="A439" t="s">
        <v>1901</v>
      </c>
      <c r="B439">
        <v>1990</v>
      </c>
      <c r="C439" t="s">
        <v>2360</v>
      </c>
      <c r="D439">
        <v>1</v>
      </c>
      <c r="E439">
        <v>0</v>
      </c>
      <c r="F439" s="10">
        <v>3994.18</v>
      </c>
      <c r="G439" t="s">
        <v>2357</v>
      </c>
      <c r="H439" t="s">
        <v>2357</v>
      </c>
      <c r="I439" t="s">
        <v>2359</v>
      </c>
      <c r="J439" s="8">
        <f t="shared" si="6"/>
        <v>33178</v>
      </c>
    </row>
    <row r="440" spans="1:10" x14ac:dyDescent="0.35">
      <c r="A440" t="s">
        <v>1900</v>
      </c>
      <c r="B440">
        <v>1989</v>
      </c>
      <c r="C440" t="s">
        <v>2356</v>
      </c>
      <c r="D440">
        <v>10</v>
      </c>
      <c r="E440">
        <v>3</v>
      </c>
      <c r="F440" s="10">
        <v>4002.36</v>
      </c>
      <c r="G440" t="s">
        <v>2357</v>
      </c>
      <c r="H440" t="s">
        <v>2361</v>
      </c>
      <c r="I440" t="s">
        <v>2359</v>
      </c>
      <c r="J440" s="8">
        <f t="shared" si="6"/>
        <v>32699</v>
      </c>
    </row>
    <row r="441" spans="1:10" x14ac:dyDescent="0.35">
      <c r="A441" t="s">
        <v>1899</v>
      </c>
      <c r="B441">
        <v>2000</v>
      </c>
      <c r="C441" t="s">
        <v>2363</v>
      </c>
      <c r="D441">
        <v>13</v>
      </c>
      <c r="E441">
        <v>3</v>
      </c>
      <c r="F441" s="10">
        <v>4005.42</v>
      </c>
      <c r="G441" t="s">
        <v>2357</v>
      </c>
      <c r="H441" t="s">
        <v>2361</v>
      </c>
      <c r="I441" t="s">
        <v>2369</v>
      </c>
      <c r="J441" s="8">
        <f t="shared" si="6"/>
        <v>36782</v>
      </c>
    </row>
    <row r="442" spans="1:10" x14ac:dyDescent="0.35">
      <c r="A442" t="s">
        <v>1898</v>
      </c>
      <c r="B442">
        <v>1992</v>
      </c>
      <c r="C442" t="s">
        <v>2367</v>
      </c>
      <c r="D442">
        <v>11</v>
      </c>
      <c r="E442">
        <v>1</v>
      </c>
      <c r="F442" s="10">
        <v>4032.24</v>
      </c>
      <c r="G442" t="s">
        <v>2358</v>
      </c>
      <c r="H442" t="s">
        <v>2358</v>
      </c>
      <c r="I442" t="s">
        <v>2364</v>
      </c>
      <c r="J442" s="8">
        <f t="shared" si="6"/>
        <v>33888</v>
      </c>
    </row>
    <row r="443" spans="1:10" x14ac:dyDescent="0.35">
      <c r="A443" t="s">
        <v>1897</v>
      </c>
      <c r="B443">
        <v>1984</v>
      </c>
      <c r="C443" t="s">
        <v>2356</v>
      </c>
      <c r="D443">
        <v>7</v>
      </c>
      <c r="E443">
        <v>3</v>
      </c>
      <c r="F443" s="10">
        <v>4038.41</v>
      </c>
      <c r="G443" t="s">
        <v>2357</v>
      </c>
      <c r="H443" t="s">
        <v>2361</v>
      </c>
      <c r="I443" t="s">
        <v>2359</v>
      </c>
      <c r="J443" s="8">
        <f t="shared" si="6"/>
        <v>30870</v>
      </c>
    </row>
    <row r="444" spans="1:10" x14ac:dyDescent="0.35">
      <c r="A444" t="s">
        <v>1896</v>
      </c>
      <c r="B444">
        <v>1983</v>
      </c>
      <c r="C444" t="s">
        <v>2360</v>
      </c>
      <c r="D444">
        <v>10</v>
      </c>
      <c r="E444">
        <v>3</v>
      </c>
      <c r="F444" s="10">
        <v>4039.9</v>
      </c>
      <c r="G444" t="s">
        <v>2357</v>
      </c>
      <c r="H444" t="s">
        <v>2361</v>
      </c>
      <c r="I444" t="s">
        <v>2359</v>
      </c>
      <c r="J444" s="8">
        <f t="shared" si="6"/>
        <v>30630</v>
      </c>
    </row>
    <row r="445" spans="1:10" x14ac:dyDescent="0.35">
      <c r="A445" t="s">
        <v>1895</v>
      </c>
      <c r="B445">
        <v>1993</v>
      </c>
      <c r="C445" t="s">
        <v>2365</v>
      </c>
      <c r="D445">
        <v>26</v>
      </c>
      <c r="E445">
        <v>1</v>
      </c>
      <c r="F445" s="10">
        <v>4040.56</v>
      </c>
      <c r="G445" t="s">
        <v>2358</v>
      </c>
      <c r="H445" t="s">
        <v>2358</v>
      </c>
      <c r="I445" t="s">
        <v>2369</v>
      </c>
      <c r="J445" s="8">
        <f t="shared" si="6"/>
        <v>34329</v>
      </c>
    </row>
    <row r="446" spans="1:10" x14ac:dyDescent="0.35">
      <c r="A446" t="s">
        <v>1894</v>
      </c>
      <c r="B446">
        <v>1988</v>
      </c>
      <c r="C446" t="s">
        <v>2360</v>
      </c>
      <c r="D446">
        <v>30</v>
      </c>
      <c r="E446">
        <v>3</v>
      </c>
      <c r="F446" s="10">
        <v>4047.94</v>
      </c>
      <c r="G446" t="s">
        <v>2357</v>
      </c>
      <c r="H446" t="s">
        <v>2361</v>
      </c>
      <c r="I446" t="s">
        <v>2359</v>
      </c>
      <c r="J446" s="8">
        <f t="shared" si="6"/>
        <v>32477</v>
      </c>
    </row>
    <row r="447" spans="1:10" x14ac:dyDescent="0.35">
      <c r="A447" t="s">
        <v>1893</v>
      </c>
      <c r="B447">
        <v>1993</v>
      </c>
      <c r="C447" t="s">
        <v>2366</v>
      </c>
      <c r="D447">
        <v>13</v>
      </c>
      <c r="E447">
        <v>2</v>
      </c>
      <c r="F447" s="10">
        <v>4058.12</v>
      </c>
      <c r="G447" t="s">
        <v>2357</v>
      </c>
      <c r="H447" t="s">
        <v>2361</v>
      </c>
      <c r="I447" t="s">
        <v>2359</v>
      </c>
      <c r="J447" s="8">
        <f t="shared" si="6"/>
        <v>34194</v>
      </c>
    </row>
    <row r="448" spans="1:10" x14ac:dyDescent="0.35">
      <c r="A448" t="s">
        <v>1892</v>
      </c>
      <c r="B448">
        <v>1995</v>
      </c>
      <c r="C448" t="s">
        <v>2363</v>
      </c>
      <c r="D448">
        <v>14</v>
      </c>
      <c r="E448">
        <v>2</v>
      </c>
      <c r="F448" s="10">
        <v>4058.71</v>
      </c>
      <c r="G448" t="s">
        <v>2358</v>
      </c>
      <c r="H448" t="s">
        <v>2358</v>
      </c>
      <c r="I448" t="s">
        <v>2364</v>
      </c>
      <c r="J448" s="8">
        <f t="shared" si="6"/>
        <v>34956</v>
      </c>
    </row>
    <row r="449" spans="1:10" x14ac:dyDescent="0.35">
      <c r="A449" t="s">
        <v>1891</v>
      </c>
      <c r="B449">
        <v>1983</v>
      </c>
      <c r="C449" t="s">
        <v>2363</v>
      </c>
      <c r="D449">
        <v>16</v>
      </c>
      <c r="E449">
        <v>3</v>
      </c>
      <c r="F449" s="10">
        <v>4070.42</v>
      </c>
      <c r="G449" t="s">
        <v>2357</v>
      </c>
      <c r="H449" t="s">
        <v>2361</v>
      </c>
      <c r="I449" t="s">
        <v>2359</v>
      </c>
      <c r="J449" s="8">
        <f t="shared" si="6"/>
        <v>30575</v>
      </c>
    </row>
    <row r="450" spans="1:10" x14ac:dyDescent="0.35">
      <c r="A450" t="s">
        <v>1890</v>
      </c>
      <c r="B450">
        <v>2002</v>
      </c>
      <c r="C450" t="s">
        <v>2367</v>
      </c>
      <c r="D450">
        <v>18</v>
      </c>
      <c r="E450">
        <v>0</v>
      </c>
      <c r="F450" s="10">
        <v>4070.51</v>
      </c>
      <c r="G450" t="s">
        <v>2357</v>
      </c>
      <c r="H450" t="s">
        <v>2361</v>
      </c>
      <c r="I450" t="s">
        <v>2364</v>
      </c>
      <c r="J450" s="8">
        <f t="shared" si="6"/>
        <v>37547</v>
      </c>
    </row>
    <row r="451" spans="1:10" x14ac:dyDescent="0.35">
      <c r="A451" t="s">
        <v>1889</v>
      </c>
      <c r="B451">
        <v>1990</v>
      </c>
      <c r="C451" t="s">
        <v>2365</v>
      </c>
      <c r="D451">
        <v>1</v>
      </c>
      <c r="E451">
        <v>1</v>
      </c>
      <c r="F451" s="10">
        <v>4074.45</v>
      </c>
      <c r="G451" t="s">
        <v>2358</v>
      </c>
      <c r="H451" t="s">
        <v>2357</v>
      </c>
      <c r="I451" t="s">
        <v>2359</v>
      </c>
      <c r="J451" s="8">
        <f t="shared" ref="J451:J514" si="7">DATE(B451,MONTH(1&amp;C451),D451)</f>
        <v>33208</v>
      </c>
    </row>
    <row r="452" spans="1:10" x14ac:dyDescent="0.35">
      <c r="A452" t="s">
        <v>1888</v>
      </c>
      <c r="B452">
        <v>1990</v>
      </c>
      <c r="C452" t="s">
        <v>2365</v>
      </c>
      <c r="D452">
        <v>14</v>
      </c>
      <c r="E452">
        <v>1</v>
      </c>
      <c r="F452" s="10">
        <v>4076.5</v>
      </c>
      <c r="G452" t="s">
        <v>2357</v>
      </c>
      <c r="H452" t="s">
        <v>2358</v>
      </c>
      <c r="I452" t="s">
        <v>2368</v>
      </c>
      <c r="J452" s="8">
        <f t="shared" si="7"/>
        <v>33221</v>
      </c>
    </row>
    <row r="453" spans="1:10" x14ac:dyDescent="0.35">
      <c r="A453" t="s">
        <v>1887</v>
      </c>
      <c r="B453">
        <v>1994</v>
      </c>
      <c r="C453" t="s">
        <v>2366</v>
      </c>
      <c r="D453">
        <v>21</v>
      </c>
      <c r="E453">
        <v>1</v>
      </c>
      <c r="F453" s="10">
        <v>4133.6400000000003</v>
      </c>
      <c r="G453" t="s">
        <v>2357</v>
      </c>
      <c r="H453" t="s">
        <v>2358</v>
      </c>
      <c r="I453" t="s">
        <v>2364</v>
      </c>
      <c r="J453" s="8">
        <f t="shared" si="7"/>
        <v>34567</v>
      </c>
    </row>
    <row r="454" spans="1:10" x14ac:dyDescent="0.35">
      <c r="A454" t="s">
        <v>1886</v>
      </c>
      <c r="B454">
        <v>1991</v>
      </c>
      <c r="C454" t="s">
        <v>2366</v>
      </c>
      <c r="D454">
        <v>6</v>
      </c>
      <c r="E454">
        <v>0</v>
      </c>
      <c r="F454" s="10">
        <v>4134.08</v>
      </c>
      <c r="G454" t="s">
        <v>2357</v>
      </c>
      <c r="H454" t="s">
        <v>2361</v>
      </c>
      <c r="I454" t="s">
        <v>2364</v>
      </c>
      <c r="J454" s="8">
        <f t="shared" si="7"/>
        <v>33456</v>
      </c>
    </row>
    <row r="455" spans="1:10" x14ac:dyDescent="0.35">
      <c r="A455" t="s">
        <v>1885</v>
      </c>
      <c r="B455">
        <v>1992</v>
      </c>
      <c r="C455" t="s">
        <v>2362</v>
      </c>
      <c r="D455">
        <v>18</v>
      </c>
      <c r="E455">
        <v>0</v>
      </c>
      <c r="F455" s="10">
        <v>4137.5200000000004</v>
      </c>
      <c r="G455" t="s">
        <v>2357</v>
      </c>
      <c r="H455" t="s">
        <v>2358</v>
      </c>
      <c r="I455" t="s">
        <v>2374</v>
      </c>
      <c r="J455" s="8">
        <f t="shared" si="7"/>
        <v>33773</v>
      </c>
    </row>
    <row r="456" spans="1:10" x14ac:dyDescent="0.35">
      <c r="A456" t="s">
        <v>1884</v>
      </c>
      <c r="B456">
        <v>1992</v>
      </c>
      <c r="C456" t="s">
        <v>2362</v>
      </c>
      <c r="D456">
        <v>28</v>
      </c>
      <c r="E456">
        <v>1</v>
      </c>
      <c r="F456" s="10">
        <v>4149.74</v>
      </c>
      <c r="G456" t="s">
        <v>2357</v>
      </c>
      <c r="H456" t="s">
        <v>2361</v>
      </c>
      <c r="I456" t="s">
        <v>2368</v>
      </c>
      <c r="J456" s="8">
        <f t="shared" si="7"/>
        <v>33783</v>
      </c>
    </row>
    <row r="457" spans="1:10" x14ac:dyDescent="0.35">
      <c r="A457" t="s">
        <v>1883</v>
      </c>
      <c r="B457">
        <v>1992</v>
      </c>
      <c r="C457" t="s">
        <v>2366</v>
      </c>
      <c r="D457">
        <v>4</v>
      </c>
      <c r="E457">
        <v>1</v>
      </c>
      <c r="F457" s="10">
        <v>4151.03</v>
      </c>
      <c r="G457" t="s">
        <v>2357</v>
      </c>
      <c r="H457" t="s">
        <v>2357</v>
      </c>
      <c r="I457" t="s">
        <v>2359</v>
      </c>
      <c r="J457" s="8">
        <f t="shared" si="7"/>
        <v>33820</v>
      </c>
    </row>
    <row r="458" spans="1:10" x14ac:dyDescent="0.35">
      <c r="A458" t="s">
        <v>1882</v>
      </c>
      <c r="B458">
        <v>1998</v>
      </c>
      <c r="C458" t="s">
        <v>2360</v>
      </c>
      <c r="D458">
        <v>26</v>
      </c>
      <c r="E458">
        <v>0</v>
      </c>
      <c r="F458" s="10">
        <v>4154.97</v>
      </c>
      <c r="G458" t="s">
        <v>2357</v>
      </c>
      <c r="H458" t="s">
        <v>2361</v>
      </c>
      <c r="I458" t="s">
        <v>2364</v>
      </c>
      <c r="J458" s="8">
        <f t="shared" si="7"/>
        <v>36125</v>
      </c>
    </row>
    <row r="459" spans="1:10" x14ac:dyDescent="0.35">
      <c r="A459" t="s">
        <v>1881</v>
      </c>
      <c r="B459">
        <v>1984</v>
      </c>
      <c r="C459" t="s">
        <v>2363</v>
      </c>
      <c r="D459">
        <v>16</v>
      </c>
      <c r="E459">
        <v>3</v>
      </c>
      <c r="F459" s="10">
        <v>4163.21</v>
      </c>
      <c r="G459" t="s">
        <v>2357</v>
      </c>
      <c r="H459" t="s">
        <v>2357</v>
      </c>
      <c r="I459" t="s">
        <v>2364</v>
      </c>
      <c r="J459" s="8">
        <f t="shared" si="7"/>
        <v>30941</v>
      </c>
    </row>
    <row r="460" spans="1:10" x14ac:dyDescent="0.35">
      <c r="A460" t="s">
        <v>1880</v>
      </c>
      <c r="B460">
        <v>1989</v>
      </c>
      <c r="C460" t="s">
        <v>2362</v>
      </c>
      <c r="D460">
        <v>25</v>
      </c>
      <c r="E460">
        <v>0</v>
      </c>
      <c r="F460" s="10">
        <v>4185.1000000000004</v>
      </c>
      <c r="G460" t="s">
        <v>2357</v>
      </c>
      <c r="H460" t="s">
        <v>2358</v>
      </c>
      <c r="I460" t="s">
        <v>2359</v>
      </c>
      <c r="J460" s="8">
        <f t="shared" si="7"/>
        <v>32684</v>
      </c>
    </row>
    <row r="461" spans="1:10" x14ac:dyDescent="0.35">
      <c r="A461" t="s">
        <v>1879</v>
      </c>
      <c r="B461">
        <v>1995</v>
      </c>
      <c r="C461" t="s">
        <v>2367</v>
      </c>
      <c r="D461">
        <v>3</v>
      </c>
      <c r="E461">
        <v>0</v>
      </c>
      <c r="F461" s="10">
        <v>4188.7299999999996</v>
      </c>
      <c r="G461" t="s">
        <v>2357</v>
      </c>
      <c r="H461" t="s">
        <v>2357</v>
      </c>
      <c r="I461" t="s">
        <v>2373</v>
      </c>
      <c r="J461" s="8">
        <f t="shared" si="7"/>
        <v>34975</v>
      </c>
    </row>
    <row r="462" spans="1:10" x14ac:dyDescent="0.35">
      <c r="A462" t="s">
        <v>1878</v>
      </c>
      <c r="B462">
        <v>1997</v>
      </c>
      <c r="C462" t="s">
        <v>2363</v>
      </c>
      <c r="D462">
        <v>6</v>
      </c>
      <c r="E462">
        <v>2</v>
      </c>
      <c r="F462" s="10">
        <v>4189.1099999999997</v>
      </c>
      <c r="G462" t="s">
        <v>2357</v>
      </c>
      <c r="H462" t="s">
        <v>2357</v>
      </c>
      <c r="I462" t="s">
        <v>2364</v>
      </c>
      <c r="J462" s="8">
        <f t="shared" si="7"/>
        <v>35679</v>
      </c>
    </row>
    <row r="463" spans="1:10" x14ac:dyDescent="0.35">
      <c r="A463" t="s">
        <v>1877</v>
      </c>
      <c r="B463">
        <v>1998</v>
      </c>
      <c r="C463" t="s">
        <v>2365</v>
      </c>
      <c r="D463">
        <v>14</v>
      </c>
      <c r="E463">
        <v>3</v>
      </c>
      <c r="F463" s="10">
        <v>4234.93</v>
      </c>
      <c r="G463" t="s">
        <v>2357</v>
      </c>
      <c r="H463" t="s">
        <v>2361</v>
      </c>
      <c r="I463" t="s">
        <v>2368</v>
      </c>
      <c r="J463" s="8">
        <f t="shared" si="7"/>
        <v>36143</v>
      </c>
    </row>
    <row r="464" spans="1:10" x14ac:dyDescent="0.35">
      <c r="A464" t="s">
        <v>1876</v>
      </c>
      <c r="B464">
        <v>1992</v>
      </c>
      <c r="C464" t="s">
        <v>2362</v>
      </c>
      <c r="D464">
        <v>27</v>
      </c>
      <c r="E464">
        <v>1</v>
      </c>
      <c r="F464" s="10">
        <v>4237.13</v>
      </c>
      <c r="G464" t="s">
        <v>2358</v>
      </c>
      <c r="H464" t="s">
        <v>2361</v>
      </c>
      <c r="I464" t="s">
        <v>2371</v>
      </c>
      <c r="J464" s="8">
        <f t="shared" si="7"/>
        <v>33782</v>
      </c>
    </row>
    <row r="465" spans="1:10" x14ac:dyDescent="0.35">
      <c r="A465" t="s">
        <v>1875</v>
      </c>
      <c r="B465">
        <v>1991</v>
      </c>
      <c r="C465" t="s">
        <v>2360</v>
      </c>
      <c r="D465">
        <v>3</v>
      </c>
      <c r="E465">
        <v>1</v>
      </c>
      <c r="F465" s="10">
        <v>4239.8900000000003</v>
      </c>
      <c r="G465" t="s">
        <v>2357</v>
      </c>
      <c r="H465" t="s">
        <v>2357</v>
      </c>
      <c r="I465" t="s">
        <v>2364</v>
      </c>
      <c r="J465" s="8">
        <f t="shared" si="7"/>
        <v>33545</v>
      </c>
    </row>
    <row r="466" spans="1:10" x14ac:dyDescent="0.35">
      <c r="A466" t="s">
        <v>1874</v>
      </c>
      <c r="B466">
        <v>1991</v>
      </c>
      <c r="C466" t="s">
        <v>2365</v>
      </c>
      <c r="D466">
        <v>1</v>
      </c>
      <c r="E466">
        <v>1</v>
      </c>
      <c r="F466" s="10">
        <v>4243.59</v>
      </c>
      <c r="G466" t="s">
        <v>2358</v>
      </c>
      <c r="H466" t="s">
        <v>2361</v>
      </c>
      <c r="I466" t="s">
        <v>2364</v>
      </c>
      <c r="J466" s="8">
        <f t="shared" si="7"/>
        <v>33573</v>
      </c>
    </row>
    <row r="467" spans="1:10" x14ac:dyDescent="0.35">
      <c r="A467" t="s">
        <v>1873</v>
      </c>
      <c r="B467">
        <v>1982</v>
      </c>
      <c r="C467" t="s">
        <v>2362</v>
      </c>
      <c r="D467">
        <v>16</v>
      </c>
      <c r="E467">
        <v>3</v>
      </c>
      <c r="F467" s="10">
        <v>4250.24</v>
      </c>
      <c r="G467" t="s">
        <v>2357</v>
      </c>
      <c r="H467" t="s">
        <v>2358</v>
      </c>
      <c r="I467" t="s">
        <v>2359</v>
      </c>
      <c r="J467" s="8">
        <f t="shared" si="7"/>
        <v>30118</v>
      </c>
    </row>
    <row r="468" spans="1:10" x14ac:dyDescent="0.35">
      <c r="A468" t="s">
        <v>1872</v>
      </c>
      <c r="B468">
        <v>1995</v>
      </c>
      <c r="C468" t="s">
        <v>2367</v>
      </c>
      <c r="D468">
        <v>14</v>
      </c>
      <c r="E468">
        <v>3</v>
      </c>
      <c r="F468" s="10">
        <v>4260.74</v>
      </c>
      <c r="G468" t="s">
        <v>2358</v>
      </c>
      <c r="H468" t="s">
        <v>2357</v>
      </c>
      <c r="I468" t="s">
        <v>2368</v>
      </c>
      <c r="J468" s="8">
        <f t="shared" si="7"/>
        <v>34986</v>
      </c>
    </row>
    <row r="469" spans="1:10" x14ac:dyDescent="0.35">
      <c r="A469" t="s">
        <v>1871</v>
      </c>
      <c r="B469">
        <v>1983</v>
      </c>
      <c r="C469" t="s">
        <v>2360</v>
      </c>
      <c r="D469">
        <v>20</v>
      </c>
      <c r="E469">
        <v>3</v>
      </c>
      <c r="F469" s="10">
        <v>4265.01</v>
      </c>
      <c r="G469" t="s">
        <v>2357</v>
      </c>
      <c r="H469" t="s">
        <v>2361</v>
      </c>
      <c r="I469" t="s">
        <v>2364</v>
      </c>
      <c r="J469" s="8">
        <f t="shared" si="7"/>
        <v>30640</v>
      </c>
    </row>
    <row r="470" spans="1:10" x14ac:dyDescent="0.35">
      <c r="A470" t="s">
        <v>1870</v>
      </c>
      <c r="B470">
        <v>1992</v>
      </c>
      <c r="C470" t="s">
        <v>2362</v>
      </c>
      <c r="D470">
        <v>18</v>
      </c>
      <c r="E470">
        <v>2</v>
      </c>
      <c r="F470" s="10">
        <v>4266.17</v>
      </c>
      <c r="G470" t="s">
        <v>2358</v>
      </c>
      <c r="H470" t="s">
        <v>2357</v>
      </c>
      <c r="I470" t="s">
        <v>2359</v>
      </c>
      <c r="J470" s="8">
        <f t="shared" si="7"/>
        <v>33773</v>
      </c>
    </row>
    <row r="471" spans="1:10" x14ac:dyDescent="0.35">
      <c r="A471" t="s">
        <v>1869</v>
      </c>
      <c r="B471">
        <v>2003</v>
      </c>
      <c r="C471" t="s">
        <v>2362</v>
      </c>
      <c r="D471">
        <v>8</v>
      </c>
      <c r="E471">
        <v>0</v>
      </c>
      <c r="F471" s="10">
        <v>4278.55</v>
      </c>
      <c r="G471" t="s">
        <v>2357</v>
      </c>
      <c r="H471" t="s">
        <v>2361</v>
      </c>
      <c r="I471" t="s">
        <v>2377</v>
      </c>
      <c r="J471" s="8">
        <f t="shared" si="7"/>
        <v>37780</v>
      </c>
    </row>
    <row r="472" spans="1:10" x14ac:dyDescent="0.35">
      <c r="A472" t="s">
        <v>1868</v>
      </c>
      <c r="B472">
        <v>2000</v>
      </c>
      <c r="C472" t="s">
        <v>2360</v>
      </c>
      <c r="D472">
        <v>25</v>
      </c>
      <c r="E472">
        <v>3</v>
      </c>
      <c r="F472" s="10">
        <v>4296.2700000000004</v>
      </c>
      <c r="G472" t="s">
        <v>2357</v>
      </c>
      <c r="H472" t="s">
        <v>2358</v>
      </c>
      <c r="I472" t="s">
        <v>2364</v>
      </c>
      <c r="J472" s="8">
        <f t="shared" si="7"/>
        <v>36855</v>
      </c>
    </row>
    <row r="473" spans="1:10" x14ac:dyDescent="0.35">
      <c r="A473" t="s">
        <v>1867</v>
      </c>
      <c r="B473">
        <v>1988</v>
      </c>
      <c r="C473" t="s">
        <v>2365</v>
      </c>
      <c r="D473">
        <v>19</v>
      </c>
      <c r="E473">
        <v>0</v>
      </c>
      <c r="F473" s="10">
        <v>4320.41</v>
      </c>
      <c r="G473" t="s">
        <v>2357</v>
      </c>
      <c r="H473" t="s">
        <v>2361</v>
      </c>
      <c r="I473" t="s">
        <v>2364</v>
      </c>
      <c r="J473" s="8">
        <f t="shared" si="7"/>
        <v>32496</v>
      </c>
    </row>
    <row r="474" spans="1:10" x14ac:dyDescent="0.35">
      <c r="A474" t="s">
        <v>1866</v>
      </c>
      <c r="B474">
        <v>1994</v>
      </c>
      <c r="C474" t="s">
        <v>2360</v>
      </c>
      <c r="D474">
        <v>2</v>
      </c>
      <c r="E474">
        <v>1</v>
      </c>
      <c r="F474" s="10">
        <v>4337.74</v>
      </c>
      <c r="G474" t="s">
        <v>2357</v>
      </c>
      <c r="H474" t="s">
        <v>2361</v>
      </c>
      <c r="I474" t="s">
        <v>2374</v>
      </c>
      <c r="J474" s="8">
        <f t="shared" si="7"/>
        <v>34640</v>
      </c>
    </row>
    <row r="475" spans="1:10" x14ac:dyDescent="0.35">
      <c r="A475" t="s">
        <v>1865</v>
      </c>
      <c r="B475">
        <v>1994</v>
      </c>
      <c r="C475" t="s">
        <v>2367</v>
      </c>
      <c r="D475">
        <v>26</v>
      </c>
      <c r="E475">
        <v>2</v>
      </c>
      <c r="F475" s="10">
        <v>4340.4399999999996</v>
      </c>
      <c r="G475" t="s">
        <v>2357</v>
      </c>
      <c r="H475" t="s">
        <v>2361</v>
      </c>
      <c r="I475" t="s">
        <v>2359</v>
      </c>
      <c r="J475" s="8">
        <f t="shared" si="7"/>
        <v>34633</v>
      </c>
    </row>
    <row r="476" spans="1:10" x14ac:dyDescent="0.35">
      <c r="A476" t="s">
        <v>1864</v>
      </c>
      <c r="B476">
        <v>1991</v>
      </c>
      <c r="C476" t="s">
        <v>2362</v>
      </c>
      <c r="D476">
        <v>1</v>
      </c>
      <c r="E476">
        <v>0</v>
      </c>
      <c r="F476" s="10">
        <v>4347.0200000000004</v>
      </c>
      <c r="G476" t="s">
        <v>2357</v>
      </c>
      <c r="H476" t="s">
        <v>2361</v>
      </c>
      <c r="I476" t="s">
        <v>2374</v>
      </c>
      <c r="J476" s="8">
        <f t="shared" si="7"/>
        <v>33390</v>
      </c>
    </row>
    <row r="477" spans="1:10" x14ac:dyDescent="0.35">
      <c r="A477" t="s">
        <v>1863</v>
      </c>
      <c r="B477">
        <v>1994</v>
      </c>
      <c r="C477" t="s">
        <v>2360</v>
      </c>
      <c r="D477">
        <v>1</v>
      </c>
      <c r="E477">
        <v>2</v>
      </c>
      <c r="F477" s="10">
        <v>4349.46</v>
      </c>
      <c r="G477" t="s">
        <v>2357</v>
      </c>
      <c r="H477" t="s">
        <v>2357</v>
      </c>
      <c r="I477" t="s">
        <v>2359</v>
      </c>
      <c r="J477" s="8">
        <f t="shared" si="7"/>
        <v>34639</v>
      </c>
    </row>
    <row r="478" spans="1:10" x14ac:dyDescent="0.35">
      <c r="A478" t="s">
        <v>1862</v>
      </c>
      <c r="B478">
        <v>1991</v>
      </c>
      <c r="C478" t="s">
        <v>2363</v>
      </c>
      <c r="D478">
        <v>13</v>
      </c>
      <c r="E478">
        <v>1</v>
      </c>
      <c r="F478" s="10">
        <v>4350.51</v>
      </c>
      <c r="G478" t="s">
        <v>2357</v>
      </c>
      <c r="H478" t="s">
        <v>2357</v>
      </c>
      <c r="I478" t="s">
        <v>2359</v>
      </c>
      <c r="J478" s="8">
        <f t="shared" si="7"/>
        <v>33494</v>
      </c>
    </row>
    <row r="479" spans="1:10" x14ac:dyDescent="0.35">
      <c r="A479" t="s">
        <v>1861</v>
      </c>
      <c r="B479">
        <v>1990</v>
      </c>
      <c r="C479" t="s">
        <v>2366</v>
      </c>
      <c r="D479">
        <v>28</v>
      </c>
      <c r="E479">
        <v>0</v>
      </c>
      <c r="F479" s="10">
        <v>4357.04</v>
      </c>
      <c r="G479" t="s">
        <v>2357</v>
      </c>
      <c r="H479" t="s">
        <v>2358</v>
      </c>
      <c r="I479" t="s">
        <v>2364</v>
      </c>
      <c r="J479" s="8">
        <f t="shared" si="7"/>
        <v>33113</v>
      </c>
    </row>
    <row r="480" spans="1:10" x14ac:dyDescent="0.35">
      <c r="A480" t="s">
        <v>1860</v>
      </c>
      <c r="B480">
        <v>1997</v>
      </c>
      <c r="C480" t="s">
        <v>2360</v>
      </c>
      <c r="D480">
        <v>29</v>
      </c>
      <c r="E480">
        <v>3</v>
      </c>
      <c r="F480" s="10">
        <v>4391.6499999999996</v>
      </c>
      <c r="G480" t="s">
        <v>2357</v>
      </c>
      <c r="H480" t="s">
        <v>2357</v>
      </c>
      <c r="I480" t="s">
        <v>2368</v>
      </c>
      <c r="J480" s="8">
        <f t="shared" si="7"/>
        <v>35763</v>
      </c>
    </row>
    <row r="481" spans="1:10" x14ac:dyDescent="0.35">
      <c r="A481" t="s">
        <v>1859</v>
      </c>
      <c r="B481">
        <v>1982</v>
      </c>
      <c r="C481" t="s">
        <v>2362</v>
      </c>
      <c r="D481">
        <v>29</v>
      </c>
      <c r="E481">
        <v>3</v>
      </c>
      <c r="F481" s="10">
        <v>4392.7</v>
      </c>
      <c r="G481" t="s">
        <v>2357</v>
      </c>
      <c r="H481" t="s">
        <v>2357</v>
      </c>
      <c r="I481" t="s">
        <v>2359</v>
      </c>
      <c r="J481" s="8">
        <f t="shared" si="7"/>
        <v>30131</v>
      </c>
    </row>
    <row r="482" spans="1:10" x14ac:dyDescent="0.35">
      <c r="A482" t="s">
        <v>1858</v>
      </c>
      <c r="B482">
        <v>1988</v>
      </c>
      <c r="C482" t="s">
        <v>2356</v>
      </c>
      <c r="D482">
        <v>18</v>
      </c>
      <c r="E482">
        <v>3</v>
      </c>
      <c r="F482" s="10">
        <v>4397.3100000000004</v>
      </c>
      <c r="G482" t="s">
        <v>2357</v>
      </c>
      <c r="H482" t="s">
        <v>2357</v>
      </c>
      <c r="I482" t="s">
        <v>2359</v>
      </c>
      <c r="J482" s="8">
        <f t="shared" si="7"/>
        <v>32342</v>
      </c>
    </row>
    <row r="483" spans="1:10" x14ac:dyDescent="0.35">
      <c r="A483" t="s">
        <v>1857</v>
      </c>
      <c r="B483">
        <v>1986</v>
      </c>
      <c r="C483" t="s">
        <v>2366</v>
      </c>
      <c r="D483">
        <v>11</v>
      </c>
      <c r="E483">
        <v>0</v>
      </c>
      <c r="F483" s="10">
        <v>4399.7299999999996</v>
      </c>
      <c r="G483" t="s">
        <v>2358</v>
      </c>
      <c r="H483" t="s">
        <v>2357</v>
      </c>
      <c r="I483" t="s">
        <v>2359</v>
      </c>
      <c r="J483" s="8">
        <f t="shared" si="7"/>
        <v>31635</v>
      </c>
    </row>
    <row r="484" spans="1:10" x14ac:dyDescent="0.35">
      <c r="A484" t="s">
        <v>1856</v>
      </c>
      <c r="B484">
        <v>1986</v>
      </c>
      <c r="C484" t="s">
        <v>2356</v>
      </c>
      <c r="D484">
        <v>13</v>
      </c>
      <c r="E484">
        <v>0</v>
      </c>
      <c r="F484" s="10">
        <v>4402.2299999999996</v>
      </c>
      <c r="G484" t="s">
        <v>2357</v>
      </c>
      <c r="H484" t="s">
        <v>2357</v>
      </c>
      <c r="I484" t="s">
        <v>2368</v>
      </c>
      <c r="J484" s="8">
        <f t="shared" si="7"/>
        <v>31606</v>
      </c>
    </row>
    <row r="485" spans="1:10" x14ac:dyDescent="0.35">
      <c r="A485" t="s">
        <v>1855</v>
      </c>
      <c r="B485">
        <v>1988</v>
      </c>
      <c r="C485" t="s">
        <v>2363</v>
      </c>
      <c r="D485">
        <v>16</v>
      </c>
      <c r="E485">
        <v>0</v>
      </c>
      <c r="F485" s="10">
        <v>4415.16</v>
      </c>
      <c r="G485" t="s">
        <v>2357</v>
      </c>
      <c r="H485" t="s">
        <v>2361</v>
      </c>
      <c r="I485" t="s">
        <v>2359</v>
      </c>
      <c r="J485" s="8">
        <f t="shared" si="7"/>
        <v>32402</v>
      </c>
    </row>
    <row r="486" spans="1:10" x14ac:dyDescent="0.35">
      <c r="A486" t="s">
        <v>1854</v>
      </c>
      <c r="B486">
        <v>1992</v>
      </c>
      <c r="C486" t="s">
        <v>2366</v>
      </c>
      <c r="D486">
        <v>15</v>
      </c>
      <c r="E486">
        <v>0</v>
      </c>
      <c r="F486" s="10">
        <v>4420.95</v>
      </c>
      <c r="G486" t="s">
        <v>2357</v>
      </c>
      <c r="H486" t="s">
        <v>2358</v>
      </c>
      <c r="I486" t="s">
        <v>2379</v>
      </c>
      <c r="J486" s="8">
        <f t="shared" si="7"/>
        <v>33831</v>
      </c>
    </row>
    <row r="487" spans="1:10" x14ac:dyDescent="0.35">
      <c r="A487" t="s">
        <v>1853</v>
      </c>
      <c r="B487">
        <v>1994</v>
      </c>
      <c r="C487" t="s">
        <v>2365</v>
      </c>
      <c r="D487">
        <v>29</v>
      </c>
      <c r="E487">
        <v>2</v>
      </c>
      <c r="F487" s="10">
        <v>4428.8900000000003</v>
      </c>
      <c r="G487" t="s">
        <v>2358</v>
      </c>
      <c r="H487" t="s">
        <v>2361</v>
      </c>
      <c r="I487" t="s">
        <v>2378</v>
      </c>
      <c r="J487" s="8">
        <f t="shared" si="7"/>
        <v>34697</v>
      </c>
    </row>
    <row r="488" spans="1:10" x14ac:dyDescent="0.35">
      <c r="A488" t="s">
        <v>1852</v>
      </c>
      <c r="B488">
        <v>1993</v>
      </c>
      <c r="C488" t="s">
        <v>2363</v>
      </c>
      <c r="D488">
        <v>4</v>
      </c>
      <c r="E488">
        <v>2</v>
      </c>
      <c r="F488" s="10">
        <v>4433.3900000000003</v>
      </c>
      <c r="G488" t="s">
        <v>2357</v>
      </c>
      <c r="H488" t="s">
        <v>2358</v>
      </c>
      <c r="I488" t="s">
        <v>2364</v>
      </c>
      <c r="J488" s="8">
        <f t="shared" si="7"/>
        <v>34216</v>
      </c>
    </row>
    <row r="489" spans="1:10" x14ac:dyDescent="0.35">
      <c r="A489" t="s">
        <v>1851</v>
      </c>
      <c r="B489">
        <v>1993</v>
      </c>
      <c r="C489" t="s">
        <v>2365</v>
      </c>
      <c r="D489">
        <v>23</v>
      </c>
      <c r="E489">
        <v>2</v>
      </c>
      <c r="F489" s="10">
        <v>4433.92</v>
      </c>
      <c r="G489" t="s">
        <v>2357</v>
      </c>
      <c r="H489" t="s">
        <v>2357</v>
      </c>
      <c r="I489" t="s">
        <v>2364</v>
      </c>
      <c r="J489" s="8">
        <f t="shared" si="7"/>
        <v>34326</v>
      </c>
    </row>
    <row r="490" spans="1:10" x14ac:dyDescent="0.35">
      <c r="A490" t="s">
        <v>1850</v>
      </c>
      <c r="B490">
        <v>1994</v>
      </c>
      <c r="C490" t="s">
        <v>2367</v>
      </c>
      <c r="D490">
        <v>8</v>
      </c>
      <c r="E490">
        <v>2</v>
      </c>
      <c r="F490" s="10">
        <v>4435.09</v>
      </c>
      <c r="G490" t="s">
        <v>2358</v>
      </c>
      <c r="H490" t="s">
        <v>2357</v>
      </c>
      <c r="I490" t="s">
        <v>2371</v>
      </c>
      <c r="J490" s="8">
        <f t="shared" si="7"/>
        <v>34615</v>
      </c>
    </row>
    <row r="491" spans="1:10" x14ac:dyDescent="0.35">
      <c r="A491" t="s">
        <v>1849</v>
      </c>
      <c r="B491">
        <v>1994</v>
      </c>
      <c r="C491" t="s">
        <v>2367</v>
      </c>
      <c r="D491">
        <v>24</v>
      </c>
      <c r="E491">
        <v>2</v>
      </c>
      <c r="F491" s="10">
        <v>4438.26</v>
      </c>
      <c r="G491" t="s">
        <v>2357</v>
      </c>
      <c r="H491" t="s">
        <v>2358</v>
      </c>
      <c r="I491" t="s">
        <v>2378</v>
      </c>
      <c r="J491" s="8">
        <f t="shared" si="7"/>
        <v>34631</v>
      </c>
    </row>
    <row r="492" spans="1:10" x14ac:dyDescent="0.35">
      <c r="A492" t="s">
        <v>1848</v>
      </c>
      <c r="B492">
        <v>1991</v>
      </c>
      <c r="C492" t="s">
        <v>2363</v>
      </c>
      <c r="D492">
        <v>3</v>
      </c>
      <c r="E492">
        <v>1</v>
      </c>
      <c r="F492" s="10">
        <v>4441.21</v>
      </c>
      <c r="G492" t="s">
        <v>2361</v>
      </c>
      <c r="H492" t="s">
        <v>2357</v>
      </c>
      <c r="I492" t="s">
        <v>2376</v>
      </c>
      <c r="J492" s="8">
        <f t="shared" si="7"/>
        <v>33484</v>
      </c>
    </row>
    <row r="493" spans="1:10" x14ac:dyDescent="0.35">
      <c r="A493" t="s">
        <v>1847</v>
      </c>
      <c r="B493">
        <v>1994</v>
      </c>
      <c r="C493" t="s">
        <v>2362</v>
      </c>
      <c r="D493">
        <v>28</v>
      </c>
      <c r="E493">
        <v>3</v>
      </c>
      <c r="F493" s="10">
        <v>4449.46</v>
      </c>
      <c r="G493" t="s">
        <v>2361</v>
      </c>
      <c r="H493" t="s">
        <v>2357</v>
      </c>
      <c r="I493" t="s">
        <v>2359</v>
      </c>
      <c r="J493" s="8">
        <f t="shared" si="7"/>
        <v>34513</v>
      </c>
    </row>
    <row r="494" spans="1:10" x14ac:dyDescent="0.35">
      <c r="A494" t="s">
        <v>1846</v>
      </c>
      <c r="B494">
        <v>1990</v>
      </c>
      <c r="C494" t="s">
        <v>2366</v>
      </c>
      <c r="D494">
        <v>8</v>
      </c>
      <c r="E494">
        <v>1</v>
      </c>
      <c r="F494" s="10">
        <v>4454.3999999999996</v>
      </c>
      <c r="G494" t="s">
        <v>2357</v>
      </c>
      <c r="H494" t="s">
        <v>2358</v>
      </c>
      <c r="I494" t="s">
        <v>2364</v>
      </c>
      <c r="J494" s="8">
        <f t="shared" si="7"/>
        <v>33093</v>
      </c>
    </row>
    <row r="495" spans="1:10" x14ac:dyDescent="0.35">
      <c r="A495" t="s">
        <v>1845</v>
      </c>
      <c r="B495">
        <v>1990</v>
      </c>
      <c r="C495" t="s">
        <v>2356</v>
      </c>
      <c r="D495">
        <v>15</v>
      </c>
      <c r="E495">
        <v>1</v>
      </c>
      <c r="F495" s="10">
        <v>4462.72</v>
      </c>
      <c r="G495" t="s">
        <v>2357</v>
      </c>
      <c r="H495" t="s">
        <v>2358</v>
      </c>
      <c r="I495" t="s">
        <v>2364</v>
      </c>
      <c r="J495" s="8">
        <f t="shared" si="7"/>
        <v>33069</v>
      </c>
    </row>
    <row r="496" spans="1:10" x14ac:dyDescent="0.35">
      <c r="A496" t="s">
        <v>1844</v>
      </c>
      <c r="B496">
        <v>1991</v>
      </c>
      <c r="C496" t="s">
        <v>2356</v>
      </c>
      <c r="D496">
        <v>4</v>
      </c>
      <c r="E496">
        <v>2</v>
      </c>
      <c r="F496" s="10">
        <v>4463.21</v>
      </c>
      <c r="G496" t="s">
        <v>2358</v>
      </c>
      <c r="H496" t="s">
        <v>2358</v>
      </c>
      <c r="I496" t="s">
        <v>2359</v>
      </c>
      <c r="J496" s="8">
        <f t="shared" si="7"/>
        <v>33423</v>
      </c>
    </row>
    <row r="497" spans="1:10" x14ac:dyDescent="0.35">
      <c r="A497" t="s">
        <v>1843</v>
      </c>
      <c r="B497">
        <v>1999</v>
      </c>
      <c r="C497" t="s">
        <v>2360</v>
      </c>
      <c r="D497">
        <v>20</v>
      </c>
      <c r="E497">
        <v>3</v>
      </c>
      <c r="F497" s="10">
        <v>4466.62</v>
      </c>
      <c r="G497" t="s">
        <v>2357</v>
      </c>
      <c r="H497" t="s">
        <v>2357</v>
      </c>
      <c r="I497" t="s">
        <v>2364</v>
      </c>
      <c r="J497" s="8">
        <f t="shared" si="7"/>
        <v>36484</v>
      </c>
    </row>
    <row r="498" spans="1:10" x14ac:dyDescent="0.35">
      <c r="A498" t="s">
        <v>1842</v>
      </c>
      <c r="B498">
        <v>2004</v>
      </c>
      <c r="C498" t="s">
        <v>2356</v>
      </c>
      <c r="D498">
        <v>18</v>
      </c>
      <c r="E498">
        <v>0</v>
      </c>
      <c r="F498" s="10">
        <v>4468.25</v>
      </c>
      <c r="G498" t="s">
        <v>2357</v>
      </c>
      <c r="H498" t="s">
        <v>2357</v>
      </c>
      <c r="I498" t="s">
        <v>2364</v>
      </c>
      <c r="J498" s="8">
        <f t="shared" si="7"/>
        <v>38186</v>
      </c>
    </row>
    <row r="499" spans="1:10" x14ac:dyDescent="0.35">
      <c r="A499" t="s">
        <v>1841</v>
      </c>
      <c r="B499">
        <v>1992</v>
      </c>
      <c r="C499" t="s">
        <v>2356</v>
      </c>
      <c r="D499">
        <v>12</v>
      </c>
      <c r="E499">
        <v>0</v>
      </c>
      <c r="F499" s="10">
        <v>4488.58</v>
      </c>
      <c r="G499" t="s">
        <v>2357</v>
      </c>
      <c r="H499" t="s">
        <v>2358</v>
      </c>
      <c r="I499" t="s">
        <v>2364</v>
      </c>
      <c r="J499" s="8">
        <f t="shared" si="7"/>
        <v>33797</v>
      </c>
    </row>
    <row r="500" spans="1:10" x14ac:dyDescent="0.35">
      <c r="A500" t="s">
        <v>1840</v>
      </c>
      <c r="B500">
        <v>1988</v>
      </c>
      <c r="C500" t="s">
        <v>2362</v>
      </c>
      <c r="D500">
        <v>26</v>
      </c>
      <c r="E500">
        <v>0</v>
      </c>
      <c r="F500" s="10">
        <v>4500.34</v>
      </c>
      <c r="G500" t="s">
        <v>2357</v>
      </c>
      <c r="H500" t="s">
        <v>2361</v>
      </c>
      <c r="I500" t="s">
        <v>2378</v>
      </c>
      <c r="J500" s="8">
        <f t="shared" si="7"/>
        <v>32320</v>
      </c>
    </row>
    <row r="501" spans="1:10" x14ac:dyDescent="0.35">
      <c r="A501" t="s">
        <v>1839</v>
      </c>
      <c r="B501">
        <v>1997</v>
      </c>
      <c r="C501" t="s">
        <v>2367</v>
      </c>
      <c r="D501">
        <v>13</v>
      </c>
      <c r="E501">
        <v>4</v>
      </c>
      <c r="F501" s="10">
        <v>4504.66</v>
      </c>
      <c r="G501" t="s">
        <v>2361</v>
      </c>
      <c r="H501" t="s">
        <v>2357</v>
      </c>
      <c r="I501" t="s">
        <v>2359</v>
      </c>
      <c r="J501" s="8">
        <f t="shared" si="7"/>
        <v>35716</v>
      </c>
    </row>
    <row r="502" spans="1:10" x14ac:dyDescent="0.35">
      <c r="A502" t="s">
        <v>1838</v>
      </c>
      <c r="B502">
        <v>1982</v>
      </c>
      <c r="C502" t="s">
        <v>2363</v>
      </c>
      <c r="D502">
        <v>27</v>
      </c>
      <c r="E502">
        <v>3</v>
      </c>
      <c r="F502" s="10">
        <v>4511.41</v>
      </c>
      <c r="G502" t="s">
        <v>2357</v>
      </c>
      <c r="H502" t="s">
        <v>2358</v>
      </c>
      <c r="I502" t="s">
        <v>2359</v>
      </c>
      <c r="J502" s="8">
        <f t="shared" si="7"/>
        <v>30221</v>
      </c>
    </row>
    <row r="503" spans="1:10" x14ac:dyDescent="0.35">
      <c r="A503" t="s">
        <v>1837</v>
      </c>
      <c r="B503">
        <v>1980</v>
      </c>
      <c r="C503" t="s">
        <v>2362</v>
      </c>
      <c r="D503">
        <v>16</v>
      </c>
      <c r="E503">
        <v>2</v>
      </c>
      <c r="F503" s="10">
        <v>4515.71</v>
      </c>
      <c r="G503" t="s">
        <v>2357</v>
      </c>
      <c r="H503" t="s">
        <v>2358</v>
      </c>
      <c r="I503" t="s">
        <v>2359</v>
      </c>
      <c r="J503" s="8">
        <f t="shared" si="7"/>
        <v>29388</v>
      </c>
    </row>
    <row r="504" spans="1:10" x14ac:dyDescent="0.35">
      <c r="A504" t="s">
        <v>1836</v>
      </c>
      <c r="B504">
        <v>2003</v>
      </c>
      <c r="C504" t="s">
        <v>2367</v>
      </c>
      <c r="D504">
        <v>2</v>
      </c>
      <c r="E504">
        <v>0</v>
      </c>
      <c r="F504" s="10">
        <v>4518.3999999999996</v>
      </c>
      <c r="G504" t="s">
        <v>2357</v>
      </c>
      <c r="H504" t="s">
        <v>2358</v>
      </c>
      <c r="I504" t="s">
        <v>2380</v>
      </c>
      <c r="J504" s="8">
        <f t="shared" si="7"/>
        <v>37896</v>
      </c>
    </row>
    <row r="505" spans="1:10" x14ac:dyDescent="0.35">
      <c r="A505" t="s">
        <v>1835</v>
      </c>
      <c r="B505">
        <v>1987</v>
      </c>
      <c r="C505" t="s">
        <v>2365</v>
      </c>
      <c r="D505">
        <v>5</v>
      </c>
      <c r="E505">
        <v>3</v>
      </c>
      <c r="F505" s="10">
        <v>4518.7700000000004</v>
      </c>
      <c r="G505" t="s">
        <v>2357</v>
      </c>
      <c r="H505" t="s">
        <v>2358</v>
      </c>
      <c r="I505" t="s">
        <v>2364</v>
      </c>
      <c r="J505" s="8">
        <f t="shared" si="7"/>
        <v>32116</v>
      </c>
    </row>
    <row r="506" spans="1:10" x14ac:dyDescent="0.35">
      <c r="A506" t="s">
        <v>1834</v>
      </c>
      <c r="B506">
        <v>1988</v>
      </c>
      <c r="C506" t="s">
        <v>2365</v>
      </c>
      <c r="D506">
        <v>21</v>
      </c>
      <c r="E506">
        <v>0</v>
      </c>
      <c r="F506" s="10">
        <v>4518.83</v>
      </c>
      <c r="G506" t="s">
        <v>2357</v>
      </c>
      <c r="H506" t="s">
        <v>2357</v>
      </c>
      <c r="I506" t="s">
        <v>2378</v>
      </c>
      <c r="J506" s="8">
        <f t="shared" si="7"/>
        <v>32498</v>
      </c>
    </row>
    <row r="507" spans="1:10" x14ac:dyDescent="0.35">
      <c r="A507" t="s">
        <v>1833</v>
      </c>
      <c r="B507">
        <v>1992</v>
      </c>
      <c r="C507" t="s">
        <v>2366</v>
      </c>
      <c r="D507">
        <v>13</v>
      </c>
      <c r="E507">
        <v>1</v>
      </c>
      <c r="F507" s="10">
        <v>4527.18</v>
      </c>
      <c r="G507" t="s">
        <v>2357</v>
      </c>
      <c r="H507" t="s">
        <v>2357</v>
      </c>
      <c r="I507" t="s">
        <v>2364</v>
      </c>
      <c r="J507" s="8">
        <f t="shared" si="7"/>
        <v>33829</v>
      </c>
    </row>
    <row r="508" spans="1:10" x14ac:dyDescent="0.35">
      <c r="A508" t="s">
        <v>1832</v>
      </c>
      <c r="B508">
        <v>1993</v>
      </c>
      <c r="C508" t="s">
        <v>2362</v>
      </c>
      <c r="D508">
        <v>29</v>
      </c>
      <c r="E508">
        <v>2</v>
      </c>
      <c r="F508" s="10">
        <v>4529.4799999999996</v>
      </c>
      <c r="G508" t="s">
        <v>2357</v>
      </c>
      <c r="H508" t="s">
        <v>2361</v>
      </c>
      <c r="I508" t="s">
        <v>2368</v>
      </c>
      <c r="J508" s="8">
        <f t="shared" si="7"/>
        <v>34149</v>
      </c>
    </row>
    <row r="509" spans="1:10" x14ac:dyDescent="0.35">
      <c r="A509" t="s">
        <v>1831</v>
      </c>
      <c r="B509">
        <v>1988</v>
      </c>
      <c r="C509" t="s">
        <v>2362</v>
      </c>
      <c r="D509">
        <v>13</v>
      </c>
      <c r="E509">
        <v>1</v>
      </c>
      <c r="F509" s="10">
        <v>4536.26</v>
      </c>
      <c r="G509" t="s">
        <v>2357</v>
      </c>
      <c r="H509" t="s">
        <v>2357</v>
      </c>
      <c r="I509" t="s">
        <v>2368</v>
      </c>
      <c r="J509" s="8">
        <f t="shared" si="7"/>
        <v>32307</v>
      </c>
    </row>
    <row r="510" spans="1:10" x14ac:dyDescent="0.35">
      <c r="A510" t="s">
        <v>1830</v>
      </c>
      <c r="B510">
        <v>1990</v>
      </c>
      <c r="C510" t="s">
        <v>2360</v>
      </c>
      <c r="D510">
        <v>17</v>
      </c>
      <c r="E510">
        <v>0</v>
      </c>
      <c r="F510" s="10">
        <v>4544.2299999999996</v>
      </c>
      <c r="G510" t="s">
        <v>2357</v>
      </c>
      <c r="H510" t="s">
        <v>2361</v>
      </c>
      <c r="I510" t="s">
        <v>2374</v>
      </c>
      <c r="J510" s="8">
        <f t="shared" si="7"/>
        <v>33194</v>
      </c>
    </row>
    <row r="511" spans="1:10" x14ac:dyDescent="0.35">
      <c r="A511" t="s">
        <v>1829</v>
      </c>
      <c r="B511">
        <v>2004</v>
      </c>
      <c r="C511" t="s">
        <v>2365</v>
      </c>
      <c r="D511">
        <v>22</v>
      </c>
      <c r="E511">
        <v>4</v>
      </c>
      <c r="F511" s="10">
        <v>4561.1899999999996</v>
      </c>
      <c r="G511" t="s">
        <v>2357</v>
      </c>
      <c r="H511" t="s">
        <v>2357</v>
      </c>
      <c r="I511" t="s">
        <v>2374</v>
      </c>
      <c r="J511" s="8">
        <f t="shared" si="7"/>
        <v>38343</v>
      </c>
    </row>
    <row r="512" spans="1:10" x14ac:dyDescent="0.35">
      <c r="A512" t="s">
        <v>1828</v>
      </c>
      <c r="B512">
        <v>1990</v>
      </c>
      <c r="C512" t="s">
        <v>2363</v>
      </c>
      <c r="D512">
        <v>20</v>
      </c>
      <c r="E512">
        <v>1</v>
      </c>
      <c r="F512" s="10">
        <v>4562.84</v>
      </c>
      <c r="G512" t="s">
        <v>2357</v>
      </c>
      <c r="H512" t="s">
        <v>2357</v>
      </c>
      <c r="I512" t="s">
        <v>2359</v>
      </c>
      <c r="J512" s="8">
        <f t="shared" si="7"/>
        <v>33136</v>
      </c>
    </row>
    <row r="513" spans="1:10" x14ac:dyDescent="0.35">
      <c r="A513" t="s">
        <v>1827</v>
      </c>
      <c r="B513">
        <v>1996</v>
      </c>
      <c r="C513" t="s">
        <v>2365</v>
      </c>
      <c r="D513">
        <v>25</v>
      </c>
      <c r="E513">
        <v>2</v>
      </c>
      <c r="F513" s="10">
        <v>4564.1899999999996</v>
      </c>
      <c r="G513" t="s">
        <v>2357</v>
      </c>
      <c r="H513" t="s">
        <v>2357</v>
      </c>
      <c r="I513" t="s">
        <v>2374</v>
      </c>
      <c r="J513" s="8">
        <f t="shared" si="7"/>
        <v>35424</v>
      </c>
    </row>
    <row r="514" spans="1:10" x14ac:dyDescent="0.35">
      <c r="A514" t="s">
        <v>1826</v>
      </c>
      <c r="B514">
        <v>1989</v>
      </c>
      <c r="C514" t="s">
        <v>2363</v>
      </c>
      <c r="D514">
        <v>18</v>
      </c>
      <c r="E514">
        <v>0</v>
      </c>
      <c r="F514" s="10">
        <v>4571.41</v>
      </c>
      <c r="G514" t="s">
        <v>2357</v>
      </c>
      <c r="H514" t="s">
        <v>2357</v>
      </c>
      <c r="I514" t="s">
        <v>2364</v>
      </c>
      <c r="J514" s="8">
        <f t="shared" si="7"/>
        <v>32769</v>
      </c>
    </row>
    <row r="515" spans="1:10" x14ac:dyDescent="0.35">
      <c r="A515" t="s">
        <v>1825</v>
      </c>
      <c r="B515">
        <v>2000</v>
      </c>
      <c r="C515" t="s">
        <v>2356</v>
      </c>
      <c r="D515">
        <v>2</v>
      </c>
      <c r="E515">
        <v>0</v>
      </c>
      <c r="F515" s="10">
        <v>4608.03</v>
      </c>
      <c r="G515" t="s">
        <v>2357</v>
      </c>
      <c r="H515" t="s">
        <v>2358</v>
      </c>
      <c r="I515" t="s">
        <v>2368</v>
      </c>
      <c r="J515" s="8">
        <f t="shared" ref="J515:J578" si="8">DATE(B515,MONTH(1&amp;C515),D515)</f>
        <v>36709</v>
      </c>
    </row>
    <row r="516" spans="1:10" x14ac:dyDescent="0.35">
      <c r="A516" t="s">
        <v>1824</v>
      </c>
      <c r="B516">
        <v>1998</v>
      </c>
      <c r="C516" t="s">
        <v>2362</v>
      </c>
      <c r="D516">
        <v>29</v>
      </c>
      <c r="E516">
        <v>3</v>
      </c>
      <c r="F516" s="10">
        <v>4618.08</v>
      </c>
      <c r="G516" t="s">
        <v>2357</v>
      </c>
      <c r="H516" t="s">
        <v>2361</v>
      </c>
      <c r="I516" t="s">
        <v>2364</v>
      </c>
      <c r="J516" s="8">
        <f t="shared" si="8"/>
        <v>35975</v>
      </c>
    </row>
    <row r="517" spans="1:10" x14ac:dyDescent="0.35">
      <c r="A517" t="s">
        <v>1823</v>
      </c>
      <c r="B517">
        <v>1985</v>
      </c>
      <c r="C517" t="s">
        <v>2362</v>
      </c>
      <c r="D517">
        <v>22</v>
      </c>
      <c r="E517">
        <v>0</v>
      </c>
      <c r="F517" s="10">
        <v>4646.76</v>
      </c>
      <c r="G517" t="s">
        <v>2361</v>
      </c>
      <c r="H517" t="s">
        <v>2361</v>
      </c>
      <c r="I517" t="s">
        <v>2368</v>
      </c>
      <c r="J517" s="8">
        <f t="shared" si="8"/>
        <v>31220</v>
      </c>
    </row>
    <row r="518" spans="1:10" x14ac:dyDescent="0.35">
      <c r="A518" t="s">
        <v>1822</v>
      </c>
      <c r="B518">
        <v>1996</v>
      </c>
      <c r="C518" t="s">
        <v>2367</v>
      </c>
      <c r="D518">
        <v>25</v>
      </c>
      <c r="E518">
        <v>3</v>
      </c>
      <c r="F518" s="10">
        <v>4661.29</v>
      </c>
      <c r="G518" t="s">
        <v>2357</v>
      </c>
      <c r="H518" t="s">
        <v>2361</v>
      </c>
      <c r="I518" t="s">
        <v>2378</v>
      </c>
      <c r="J518" s="8">
        <f t="shared" si="8"/>
        <v>35363</v>
      </c>
    </row>
    <row r="519" spans="1:10" x14ac:dyDescent="0.35">
      <c r="A519" t="s">
        <v>1821</v>
      </c>
      <c r="B519">
        <v>1990</v>
      </c>
      <c r="C519" t="s">
        <v>2366</v>
      </c>
      <c r="D519">
        <v>5</v>
      </c>
      <c r="E519">
        <v>1</v>
      </c>
      <c r="F519" s="10">
        <v>4667.6099999999997</v>
      </c>
      <c r="G519" t="s">
        <v>2358</v>
      </c>
      <c r="H519" t="s">
        <v>2358</v>
      </c>
      <c r="I519" t="s">
        <v>2371</v>
      </c>
      <c r="J519" s="8">
        <f t="shared" si="8"/>
        <v>33090</v>
      </c>
    </row>
    <row r="520" spans="1:10" x14ac:dyDescent="0.35">
      <c r="A520" t="s">
        <v>1820</v>
      </c>
      <c r="B520">
        <v>1990</v>
      </c>
      <c r="C520" t="s">
        <v>2363</v>
      </c>
      <c r="D520">
        <v>26</v>
      </c>
      <c r="E520">
        <v>2</v>
      </c>
      <c r="F520" s="10">
        <v>4670.6400000000003</v>
      </c>
      <c r="G520" t="s">
        <v>2357</v>
      </c>
      <c r="H520" t="s">
        <v>2357</v>
      </c>
      <c r="I520" t="s">
        <v>2368</v>
      </c>
      <c r="J520" s="8">
        <f t="shared" si="8"/>
        <v>33142</v>
      </c>
    </row>
    <row r="521" spans="1:10" x14ac:dyDescent="0.35">
      <c r="A521" t="s">
        <v>1819</v>
      </c>
      <c r="B521">
        <v>1990</v>
      </c>
      <c r="C521" t="s">
        <v>2356</v>
      </c>
      <c r="D521">
        <v>13</v>
      </c>
      <c r="E521">
        <v>2</v>
      </c>
      <c r="F521" s="10">
        <v>4673.3900000000003</v>
      </c>
      <c r="G521" t="s">
        <v>2357</v>
      </c>
      <c r="H521" t="s">
        <v>2361</v>
      </c>
      <c r="I521" t="s">
        <v>2359</v>
      </c>
      <c r="J521" s="8">
        <f t="shared" si="8"/>
        <v>33067</v>
      </c>
    </row>
    <row r="522" spans="1:10" x14ac:dyDescent="0.35">
      <c r="A522" t="s">
        <v>1818</v>
      </c>
      <c r="B522">
        <v>1979</v>
      </c>
      <c r="C522" t="s">
        <v>2367</v>
      </c>
      <c r="D522">
        <v>18</v>
      </c>
      <c r="E522">
        <v>2</v>
      </c>
      <c r="F522" s="10">
        <v>4674.2</v>
      </c>
      <c r="G522" t="s">
        <v>2357</v>
      </c>
      <c r="H522" t="s">
        <v>2361</v>
      </c>
      <c r="I522" t="s">
        <v>2359</v>
      </c>
      <c r="J522" s="8">
        <f t="shared" si="8"/>
        <v>29146</v>
      </c>
    </row>
    <row r="523" spans="1:10" x14ac:dyDescent="0.35">
      <c r="A523" t="s">
        <v>1817</v>
      </c>
      <c r="B523">
        <v>2003</v>
      </c>
      <c r="C523" t="s">
        <v>2367</v>
      </c>
      <c r="D523">
        <v>4</v>
      </c>
      <c r="E523">
        <v>0</v>
      </c>
      <c r="F523" s="10">
        <v>4678.8</v>
      </c>
      <c r="G523" t="s">
        <v>2357</v>
      </c>
      <c r="H523" t="s">
        <v>2361</v>
      </c>
      <c r="I523" t="s">
        <v>2377</v>
      </c>
      <c r="J523" s="8">
        <f t="shared" si="8"/>
        <v>37898</v>
      </c>
    </row>
    <row r="524" spans="1:10" x14ac:dyDescent="0.35">
      <c r="A524" t="s">
        <v>1816</v>
      </c>
      <c r="B524">
        <v>1990</v>
      </c>
      <c r="C524" t="s">
        <v>2363</v>
      </c>
      <c r="D524">
        <v>4</v>
      </c>
      <c r="E524">
        <v>2</v>
      </c>
      <c r="F524" s="10">
        <v>4686.3900000000003</v>
      </c>
      <c r="G524" t="s">
        <v>2358</v>
      </c>
      <c r="H524" t="s">
        <v>2358</v>
      </c>
      <c r="I524" t="s">
        <v>2359</v>
      </c>
      <c r="J524" s="8">
        <f t="shared" si="8"/>
        <v>33120</v>
      </c>
    </row>
    <row r="525" spans="1:10" x14ac:dyDescent="0.35">
      <c r="A525" t="s">
        <v>1815</v>
      </c>
      <c r="B525">
        <v>2003</v>
      </c>
      <c r="C525" t="s">
        <v>2362</v>
      </c>
      <c r="D525">
        <v>22</v>
      </c>
      <c r="E525">
        <v>5</v>
      </c>
      <c r="F525" s="10">
        <v>4687.8</v>
      </c>
      <c r="G525" t="s">
        <v>2357</v>
      </c>
      <c r="H525" t="s">
        <v>2358</v>
      </c>
      <c r="I525" t="s">
        <v>2368</v>
      </c>
      <c r="J525" s="8">
        <f t="shared" si="8"/>
        <v>37794</v>
      </c>
    </row>
    <row r="526" spans="1:10" x14ac:dyDescent="0.35">
      <c r="A526" t="s">
        <v>1814</v>
      </c>
      <c r="B526">
        <v>1977</v>
      </c>
      <c r="C526" t="s">
        <v>2365</v>
      </c>
      <c r="D526">
        <v>4</v>
      </c>
      <c r="E526">
        <v>2</v>
      </c>
      <c r="F526" s="10">
        <v>4699.47</v>
      </c>
      <c r="G526" t="s">
        <v>2357</v>
      </c>
      <c r="H526" t="s">
        <v>2358</v>
      </c>
      <c r="I526" t="s">
        <v>2359</v>
      </c>
      <c r="J526" s="8">
        <f t="shared" si="8"/>
        <v>28463</v>
      </c>
    </row>
    <row r="527" spans="1:10" x14ac:dyDescent="0.35">
      <c r="A527" t="s">
        <v>1813</v>
      </c>
      <c r="B527">
        <v>1981</v>
      </c>
      <c r="C527" t="s">
        <v>2366</v>
      </c>
      <c r="D527">
        <v>12</v>
      </c>
      <c r="E527">
        <v>1</v>
      </c>
      <c r="F527" s="10">
        <v>4712.12</v>
      </c>
      <c r="G527" t="s">
        <v>2357</v>
      </c>
      <c r="H527" t="s">
        <v>2358</v>
      </c>
      <c r="I527" t="s">
        <v>2368</v>
      </c>
      <c r="J527" s="8">
        <f t="shared" si="8"/>
        <v>29810</v>
      </c>
    </row>
    <row r="528" spans="1:10" x14ac:dyDescent="0.35">
      <c r="A528" t="s">
        <v>1812</v>
      </c>
      <c r="B528">
        <v>1992</v>
      </c>
      <c r="C528" t="s">
        <v>2367</v>
      </c>
      <c r="D528">
        <v>9</v>
      </c>
      <c r="E528">
        <v>1</v>
      </c>
      <c r="F528" s="10">
        <v>4718.2</v>
      </c>
      <c r="G528" t="s">
        <v>2357</v>
      </c>
      <c r="H528" t="s">
        <v>2358</v>
      </c>
      <c r="I528" t="s">
        <v>2374</v>
      </c>
      <c r="J528" s="8">
        <f t="shared" si="8"/>
        <v>33886</v>
      </c>
    </row>
    <row r="529" spans="1:10" x14ac:dyDescent="0.35">
      <c r="A529" t="s">
        <v>1811</v>
      </c>
      <c r="B529">
        <v>1992</v>
      </c>
      <c r="C529" t="s">
        <v>2363</v>
      </c>
      <c r="D529">
        <v>28</v>
      </c>
      <c r="E529">
        <v>1</v>
      </c>
      <c r="F529" s="10">
        <v>4719.5200000000004</v>
      </c>
      <c r="G529" t="s">
        <v>2357</v>
      </c>
      <c r="H529" t="s">
        <v>2357</v>
      </c>
      <c r="I529" t="s">
        <v>2374</v>
      </c>
      <c r="J529" s="8">
        <f t="shared" si="8"/>
        <v>33875</v>
      </c>
    </row>
    <row r="530" spans="1:10" x14ac:dyDescent="0.35">
      <c r="A530" t="s">
        <v>1810</v>
      </c>
      <c r="B530">
        <v>1994</v>
      </c>
      <c r="C530" t="s">
        <v>2366</v>
      </c>
      <c r="D530">
        <v>12</v>
      </c>
      <c r="E530">
        <v>2</v>
      </c>
      <c r="F530" s="10">
        <v>4719.74</v>
      </c>
      <c r="G530" t="s">
        <v>2357</v>
      </c>
      <c r="H530" t="s">
        <v>2361</v>
      </c>
      <c r="I530" t="s">
        <v>2364</v>
      </c>
      <c r="J530" s="8">
        <f t="shared" si="8"/>
        <v>34558</v>
      </c>
    </row>
    <row r="531" spans="1:10" x14ac:dyDescent="0.35">
      <c r="A531" t="s">
        <v>1809</v>
      </c>
      <c r="B531">
        <v>1980</v>
      </c>
      <c r="C531" t="s">
        <v>2356</v>
      </c>
      <c r="D531">
        <v>2</v>
      </c>
      <c r="E531">
        <v>2</v>
      </c>
      <c r="F531" s="10">
        <v>4728.71</v>
      </c>
      <c r="G531" t="s">
        <v>2357</v>
      </c>
      <c r="H531" t="s">
        <v>2358</v>
      </c>
      <c r="I531" t="s">
        <v>2364</v>
      </c>
      <c r="J531" s="8">
        <f t="shared" si="8"/>
        <v>29404</v>
      </c>
    </row>
    <row r="532" spans="1:10" x14ac:dyDescent="0.35">
      <c r="A532" t="s">
        <v>1808</v>
      </c>
      <c r="B532">
        <v>1986</v>
      </c>
      <c r="C532" t="s">
        <v>2363</v>
      </c>
      <c r="D532">
        <v>5</v>
      </c>
      <c r="E532">
        <v>3</v>
      </c>
      <c r="F532" s="10">
        <v>4734.6400000000003</v>
      </c>
      <c r="G532" t="s">
        <v>2357</v>
      </c>
      <c r="H532" t="s">
        <v>2361</v>
      </c>
      <c r="I532" t="s">
        <v>2359</v>
      </c>
      <c r="J532" s="8">
        <f t="shared" si="8"/>
        <v>31660</v>
      </c>
    </row>
    <row r="533" spans="1:10" x14ac:dyDescent="0.35">
      <c r="A533" t="s">
        <v>1807</v>
      </c>
      <c r="B533">
        <v>1991</v>
      </c>
      <c r="C533" t="s">
        <v>2367</v>
      </c>
      <c r="D533">
        <v>12</v>
      </c>
      <c r="E533">
        <v>1</v>
      </c>
      <c r="F533" s="10">
        <v>4738.2700000000004</v>
      </c>
      <c r="G533" t="s">
        <v>2357</v>
      </c>
      <c r="H533" t="s">
        <v>2358</v>
      </c>
      <c r="I533" t="s">
        <v>2364</v>
      </c>
      <c r="J533" s="8">
        <f t="shared" si="8"/>
        <v>33523</v>
      </c>
    </row>
    <row r="534" spans="1:10" x14ac:dyDescent="0.35">
      <c r="A534" t="s">
        <v>1806</v>
      </c>
      <c r="B534">
        <v>2004</v>
      </c>
      <c r="C534" t="s">
        <v>2360</v>
      </c>
      <c r="D534">
        <v>24</v>
      </c>
      <c r="E534">
        <v>0</v>
      </c>
      <c r="F534" s="10">
        <v>4740.78</v>
      </c>
      <c r="G534" t="s">
        <v>2357</v>
      </c>
      <c r="H534" t="s">
        <v>2358</v>
      </c>
      <c r="I534" t="s">
        <v>2377</v>
      </c>
      <c r="J534" s="8">
        <f t="shared" si="8"/>
        <v>38315</v>
      </c>
    </row>
    <row r="535" spans="1:10" x14ac:dyDescent="0.35">
      <c r="A535" t="s">
        <v>1805</v>
      </c>
      <c r="B535">
        <v>1987</v>
      </c>
      <c r="C535" t="s">
        <v>2362</v>
      </c>
      <c r="D535">
        <v>5</v>
      </c>
      <c r="E535">
        <v>1</v>
      </c>
      <c r="F535" s="10">
        <v>4746.34</v>
      </c>
      <c r="G535" t="s">
        <v>2357</v>
      </c>
      <c r="H535" t="s">
        <v>2357</v>
      </c>
      <c r="I535" t="s">
        <v>2368</v>
      </c>
      <c r="J535" s="8">
        <f t="shared" si="8"/>
        <v>31933</v>
      </c>
    </row>
    <row r="536" spans="1:10" x14ac:dyDescent="0.35">
      <c r="A536" t="s">
        <v>1804</v>
      </c>
      <c r="B536">
        <v>1987</v>
      </c>
      <c r="C536" t="s">
        <v>2363</v>
      </c>
      <c r="D536">
        <v>2</v>
      </c>
      <c r="E536">
        <v>1</v>
      </c>
      <c r="F536" s="10">
        <v>4747.05</v>
      </c>
      <c r="G536" t="s">
        <v>2357</v>
      </c>
      <c r="H536" t="s">
        <v>2357</v>
      </c>
      <c r="I536" t="s">
        <v>2359</v>
      </c>
      <c r="J536" s="8">
        <f t="shared" si="8"/>
        <v>32022</v>
      </c>
    </row>
    <row r="537" spans="1:10" x14ac:dyDescent="0.35">
      <c r="A537" t="s">
        <v>1803</v>
      </c>
      <c r="B537">
        <v>1987</v>
      </c>
      <c r="C537" t="s">
        <v>2360</v>
      </c>
      <c r="D537">
        <v>22</v>
      </c>
      <c r="E537">
        <v>1</v>
      </c>
      <c r="F537" s="10">
        <v>4751.07</v>
      </c>
      <c r="G537" t="s">
        <v>2358</v>
      </c>
      <c r="H537" t="s">
        <v>2361</v>
      </c>
      <c r="I537" t="s">
        <v>2368</v>
      </c>
      <c r="J537" s="8">
        <f t="shared" si="8"/>
        <v>32103</v>
      </c>
    </row>
    <row r="538" spans="1:10" x14ac:dyDescent="0.35">
      <c r="A538" t="s">
        <v>1802</v>
      </c>
      <c r="B538">
        <v>1992</v>
      </c>
      <c r="C538" t="s">
        <v>2366</v>
      </c>
      <c r="D538">
        <v>16</v>
      </c>
      <c r="E538">
        <v>2</v>
      </c>
      <c r="F538" s="10">
        <v>4753.6400000000003</v>
      </c>
      <c r="G538" t="s">
        <v>2357</v>
      </c>
      <c r="H538" t="s">
        <v>2358</v>
      </c>
      <c r="I538" t="s">
        <v>2359</v>
      </c>
      <c r="J538" s="8">
        <f t="shared" si="8"/>
        <v>33832</v>
      </c>
    </row>
    <row r="539" spans="1:10" x14ac:dyDescent="0.35">
      <c r="A539" t="s">
        <v>1801</v>
      </c>
      <c r="B539">
        <v>1987</v>
      </c>
      <c r="C539" t="s">
        <v>2363</v>
      </c>
      <c r="D539">
        <v>27</v>
      </c>
      <c r="E539">
        <v>1</v>
      </c>
      <c r="F539" s="10">
        <v>4762.33</v>
      </c>
      <c r="G539" t="s">
        <v>2358</v>
      </c>
      <c r="H539" t="s">
        <v>2358</v>
      </c>
      <c r="I539" t="s">
        <v>2368</v>
      </c>
      <c r="J539" s="8">
        <f t="shared" si="8"/>
        <v>32047</v>
      </c>
    </row>
    <row r="540" spans="1:10" x14ac:dyDescent="0.35">
      <c r="A540" t="s">
        <v>1800</v>
      </c>
      <c r="B540">
        <v>1989</v>
      </c>
      <c r="C540" t="s">
        <v>2366</v>
      </c>
      <c r="D540">
        <v>1</v>
      </c>
      <c r="E540">
        <v>1</v>
      </c>
      <c r="F540" s="10">
        <v>4766.0200000000004</v>
      </c>
      <c r="G540" t="s">
        <v>2357</v>
      </c>
      <c r="H540" t="s">
        <v>2358</v>
      </c>
      <c r="I540" t="s">
        <v>2368</v>
      </c>
      <c r="J540" s="8">
        <f t="shared" si="8"/>
        <v>32721</v>
      </c>
    </row>
    <row r="541" spans="1:10" x14ac:dyDescent="0.35">
      <c r="A541" t="s">
        <v>1799</v>
      </c>
      <c r="B541">
        <v>1989</v>
      </c>
      <c r="C541" t="s">
        <v>2365</v>
      </c>
      <c r="D541">
        <v>9</v>
      </c>
      <c r="E541">
        <v>1</v>
      </c>
      <c r="F541" s="10">
        <v>4779.6000000000004</v>
      </c>
      <c r="G541" t="s">
        <v>2357</v>
      </c>
      <c r="H541" t="s">
        <v>2358</v>
      </c>
      <c r="I541" t="s">
        <v>2359</v>
      </c>
      <c r="J541" s="8">
        <f t="shared" si="8"/>
        <v>32851</v>
      </c>
    </row>
    <row r="542" spans="1:10" x14ac:dyDescent="0.35">
      <c r="A542" t="s">
        <v>1798</v>
      </c>
      <c r="B542">
        <v>1987</v>
      </c>
      <c r="C542" t="s">
        <v>2362</v>
      </c>
      <c r="D542">
        <v>22</v>
      </c>
      <c r="E542">
        <v>3</v>
      </c>
      <c r="F542" s="10">
        <v>4787.42</v>
      </c>
      <c r="G542" t="s">
        <v>2357</v>
      </c>
      <c r="H542" t="s">
        <v>2358</v>
      </c>
      <c r="I542" t="s">
        <v>2359</v>
      </c>
      <c r="J542" s="8">
        <f t="shared" si="8"/>
        <v>31950</v>
      </c>
    </row>
    <row r="543" spans="1:10" x14ac:dyDescent="0.35">
      <c r="A543" t="s">
        <v>1797</v>
      </c>
      <c r="B543">
        <v>1989</v>
      </c>
      <c r="C543" t="s">
        <v>2365</v>
      </c>
      <c r="D543">
        <v>16</v>
      </c>
      <c r="E543">
        <v>1</v>
      </c>
      <c r="F543" s="10">
        <v>4795.66</v>
      </c>
      <c r="G543" t="s">
        <v>2357</v>
      </c>
      <c r="H543" t="s">
        <v>2361</v>
      </c>
      <c r="I543" t="s">
        <v>2359</v>
      </c>
      <c r="J543" s="8">
        <f t="shared" si="8"/>
        <v>32858</v>
      </c>
    </row>
    <row r="544" spans="1:10" x14ac:dyDescent="0.35">
      <c r="A544" t="s">
        <v>1796</v>
      </c>
      <c r="B544">
        <v>1978</v>
      </c>
      <c r="C544" t="s">
        <v>2367</v>
      </c>
      <c r="D544">
        <v>3</v>
      </c>
      <c r="E544">
        <v>2</v>
      </c>
      <c r="F544" s="10">
        <v>4812.34</v>
      </c>
      <c r="G544" t="s">
        <v>2357</v>
      </c>
      <c r="H544" t="s">
        <v>2358</v>
      </c>
      <c r="I544" t="s">
        <v>2359</v>
      </c>
      <c r="J544" s="8">
        <f t="shared" si="8"/>
        <v>28766</v>
      </c>
    </row>
    <row r="545" spans="1:10" x14ac:dyDescent="0.35">
      <c r="A545" t="s">
        <v>1795</v>
      </c>
      <c r="B545">
        <v>1981</v>
      </c>
      <c r="C545" t="s">
        <v>2356</v>
      </c>
      <c r="D545">
        <v>3</v>
      </c>
      <c r="E545">
        <v>1</v>
      </c>
      <c r="F545" s="10">
        <v>4827.1000000000004</v>
      </c>
      <c r="G545" t="s">
        <v>2357</v>
      </c>
      <c r="H545" t="s">
        <v>2361</v>
      </c>
      <c r="I545" t="s">
        <v>2359</v>
      </c>
      <c r="J545" s="8">
        <f t="shared" si="8"/>
        <v>29770</v>
      </c>
    </row>
    <row r="546" spans="1:10" x14ac:dyDescent="0.35">
      <c r="A546" t="s">
        <v>1794</v>
      </c>
      <c r="B546">
        <v>1995</v>
      </c>
      <c r="C546" t="s">
        <v>2365</v>
      </c>
      <c r="D546">
        <v>1</v>
      </c>
      <c r="E546">
        <v>3</v>
      </c>
      <c r="F546" s="10">
        <v>4827.8999999999996</v>
      </c>
      <c r="G546" t="s">
        <v>2361</v>
      </c>
      <c r="H546" t="s">
        <v>2357</v>
      </c>
      <c r="I546" t="s">
        <v>2347</v>
      </c>
      <c r="J546" s="8">
        <f t="shared" si="8"/>
        <v>35034</v>
      </c>
    </row>
    <row r="547" spans="1:10" x14ac:dyDescent="0.35">
      <c r="A547" t="s">
        <v>1793</v>
      </c>
      <c r="B547">
        <v>2002</v>
      </c>
      <c r="C547" t="s">
        <v>2362</v>
      </c>
      <c r="D547">
        <v>27</v>
      </c>
      <c r="E547">
        <v>5</v>
      </c>
      <c r="F547" s="10">
        <v>4830.63</v>
      </c>
      <c r="G547" t="s">
        <v>2357</v>
      </c>
      <c r="H547" t="s">
        <v>2361</v>
      </c>
      <c r="I547" t="s">
        <v>2368</v>
      </c>
      <c r="J547" s="8">
        <f t="shared" si="8"/>
        <v>37434</v>
      </c>
    </row>
    <row r="548" spans="1:10" x14ac:dyDescent="0.35">
      <c r="A548" t="s">
        <v>1792</v>
      </c>
      <c r="B548">
        <v>2000</v>
      </c>
      <c r="C548" t="s">
        <v>2365</v>
      </c>
      <c r="D548">
        <v>11</v>
      </c>
      <c r="E548">
        <v>0</v>
      </c>
      <c r="F548" s="10">
        <v>4835.43</v>
      </c>
      <c r="G548" t="s">
        <v>2357</v>
      </c>
      <c r="H548" t="s">
        <v>2357</v>
      </c>
      <c r="I548" t="s">
        <v>2377</v>
      </c>
      <c r="J548" s="8">
        <f t="shared" si="8"/>
        <v>36871</v>
      </c>
    </row>
    <row r="549" spans="1:10" x14ac:dyDescent="0.35">
      <c r="A549" t="s">
        <v>1791</v>
      </c>
      <c r="B549">
        <v>1992</v>
      </c>
      <c r="C549" t="s">
        <v>2363</v>
      </c>
      <c r="D549">
        <v>10</v>
      </c>
      <c r="E549">
        <v>3</v>
      </c>
      <c r="F549" s="10">
        <v>4837.58</v>
      </c>
      <c r="G549" t="s">
        <v>2358</v>
      </c>
      <c r="H549" t="s">
        <v>2357</v>
      </c>
      <c r="I549" t="s">
        <v>2359</v>
      </c>
      <c r="J549" s="8">
        <f t="shared" si="8"/>
        <v>33857</v>
      </c>
    </row>
    <row r="550" spans="1:10" x14ac:dyDescent="0.35">
      <c r="A550" t="s">
        <v>1790</v>
      </c>
      <c r="B550">
        <v>1984</v>
      </c>
      <c r="C550" t="s">
        <v>2367</v>
      </c>
      <c r="D550">
        <v>15</v>
      </c>
      <c r="E550">
        <v>3</v>
      </c>
      <c r="F550" s="10">
        <v>4839.18</v>
      </c>
      <c r="G550" t="s">
        <v>2357</v>
      </c>
      <c r="H550" t="s">
        <v>2361</v>
      </c>
      <c r="I550" t="s">
        <v>2364</v>
      </c>
      <c r="J550" s="8">
        <f t="shared" si="8"/>
        <v>30970</v>
      </c>
    </row>
    <row r="551" spans="1:10" x14ac:dyDescent="0.35">
      <c r="A551" t="s">
        <v>1789</v>
      </c>
      <c r="B551">
        <v>1995</v>
      </c>
      <c r="C551" t="s">
        <v>2363</v>
      </c>
      <c r="D551">
        <v>29</v>
      </c>
      <c r="E551">
        <v>0</v>
      </c>
      <c r="F551" s="10">
        <v>4840.95</v>
      </c>
      <c r="G551" t="s">
        <v>2357</v>
      </c>
      <c r="H551" t="s">
        <v>2361</v>
      </c>
      <c r="I551" t="s">
        <v>2377</v>
      </c>
      <c r="J551" s="8">
        <f t="shared" si="8"/>
        <v>34971</v>
      </c>
    </row>
    <row r="552" spans="1:10" x14ac:dyDescent="0.35">
      <c r="A552" t="s">
        <v>1788</v>
      </c>
      <c r="B552">
        <v>1979</v>
      </c>
      <c r="C552" t="s">
        <v>2365</v>
      </c>
      <c r="D552">
        <v>13</v>
      </c>
      <c r="E552">
        <v>2</v>
      </c>
      <c r="F552" s="10">
        <v>4843.79</v>
      </c>
      <c r="G552" t="s">
        <v>2357</v>
      </c>
      <c r="H552" t="s">
        <v>2358</v>
      </c>
      <c r="I552" t="s">
        <v>2359</v>
      </c>
      <c r="J552" s="8">
        <f t="shared" si="8"/>
        <v>29202</v>
      </c>
    </row>
    <row r="553" spans="1:10" x14ac:dyDescent="0.35">
      <c r="A553" t="s">
        <v>1787</v>
      </c>
      <c r="B553">
        <v>1974</v>
      </c>
      <c r="C553" t="s">
        <v>2363</v>
      </c>
      <c r="D553">
        <v>11</v>
      </c>
      <c r="E553">
        <v>0</v>
      </c>
      <c r="F553" s="10">
        <v>4844.67</v>
      </c>
      <c r="G553" t="s">
        <v>2357</v>
      </c>
      <c r="H553" t="s">
        <v>2357</v>
      </c>
      <c r="I553" t="s">
        <v>2359</v>
      </c>
      <c r="J553" s="8">
        <f t="shared" si="8"/>
        <v>27283</v>
      </c>
    </row>
    <row r="554" spans="1:10" x14ac:dyDescent="0.35">
      <c r="A554" t="s">
        <v>1786</v>
      </c>
      <c r="B554">
        <v>2001</v>
      </c>
      <c r="C554" t="s">
        <v>2362</v>
      </c>
      <c r="D554">
        <v>7</v>
      </c>
      <c r="E554">
        <v>0</v>
      </c>
      <c r="F554" s="10">
        <v>4846.53</v>
      </c>
      <c r="G554" t="s">
        <v>2357</v>
      </c>
      <c r="H554" t="s">
        <v>2358</v>
      </c>
      <c r="I554" t="s">
        <v>2377</v>
      </c>
      <c r="J554" s="8">
        <f t="shared" si="8"/>
        <v>37049</v>
      </c>
    </row>
    <row r="555" spans="1:10" x14ac:dyDescent="0.35">
      <c r="A555" t="s">
        <v>1785</v>
      </c>
      <c r="B555">
        <v>1995</v>
      </c>
      <c r="C555" t="s">
        <v>2365</v>
      </c>
      <c r="D555">
        <v>27</v>
      </c>
      <c r="E555">
        <v>3</v>
      </c>
      <c r="F555" s="10">
        <v>4846.92</v>
      </c>
      <c r="G555" t="s">
        <v>2357</v>
      </c>
      <c r="H555" t="s">
        <v>2358</v>
      </c>
      <c r="I555" t="s">
        <v>2378</v>
      </c>
      <c r="J555" s="8">
        <f t="shared" si="8"/>
        <v>35060</v>
      </c>
    </row>
    <row r="556" spans="1:10" x14ac:dyDescent="0.35">
      <c r="A556" t="s">
        <v>1784</v>
      </c>
      <c r="B556">
        <v>1989</v>
      </c>
      <c r="C556" t="s">
        <v>2363</v>
      </c>
      <c r="D556">
        <v>1</v>
      </c>
      <c r="E556">
        <v>3</v>
      </c>
      <c r="F556" s="10">
        <v>4859.8900000000003</v>
      </c>
      <c r="G556" t="s">
        <v>2357</v>
      </c>
      <c r="H556" t="s">
        <v>2358</v>
      </c>
      <c r="I556" t="s">
        <v>2368</v>
      </c>
      <c r="J556" s="8">
        <f t="shared" si="8"/>
        <v>32752</v>
      </c>
    </row>
    <row r="557" spans="1:10" x14ac:dyDescent="0.35">
      <c r="A557" t="s">
        <v>1783</v>
      </c>
      <c r="B557">
        <v>1997</v>
      </c>
      <c r="C557" t="s">
        <v>2363</v>
      </c>
      <c r="D557">
        <v>29</v>
      </c>
      <c r="E557">
        <v>4</v>
      </c>
      <c r="F557" s="10">
        <v>4877.9799999999996</v>
      </c>
      <c r="G557" t="s">
        <v>2357</v>
      </c>
      <c r="H557" t="s">
        <v>2358</v>
      </c>
      <c r="I557" t="s">
        <v>2364</v>
      </c>
      <c r="J557" s="8">
        <f t="shared" si="8"/>
        <v>35702</v>
      </c>
    </row>
    <row r="558" spans="1:10" x14ac:dyDescent="0.35">
      <c r="A558" t="s">
        <v>1782</v>
      </c>
      <c r="B558">
        <v>1986</v>
      </c>
      <c r="C558" t="s">
        <v>2365</v>
      </c>
      <c r="D558">
        <v>23</v>
      </c>
      <c r="E558">
        <v>0</v>
      </c>
      <c r="F558" s="10">
        <v>4883.87</v>
      </c>
      <c r="G558" t="s">
        <v>2357</v>
      </c>
      <c r="H558" t="s">
        <v>2361</v>
      </c>
      <c r="I558" t="s">
        <v>2368</v>
      </c>
      <c r="J558" s="8">
        <f t="shared" si="8"/>
        <v>31769</v>
      </c>
    </row>
    <row r="559" spans="1:10" x14ac:dyDescent="0.35">
      <c r="A559" t="s">
        <v>1781</v>
      </c>
      <c r="B559">
        <v>1986</v>
      </c>
      <c r="C559" t="s">
        <v>2367</v>
      </c>
      <c r="D559">
        <v>27</v>
      </c>
      <c r="E559">
        <v>0</v>
      </c>
      <c r="F559" s="10">
        <v>4889.04</v>
      </c>
      <c r="G559" t="s">
        <v>2357</v>
      </c>
      <c r="H559" t="s">
        <v>2361</v>
      </c>
      <c r="I559" t="s">
        <v>2359</v>
      </c>
      <c r="J559" s="8">
        <f t="shared" si="8"/>
        <v>31712</v>
      </c>
    </row>
    <row r="560" spans="1:10" x14ac:dyDescent="0.35">
      <c r="A560" t="s">
        <v>1780</v>
      </c>
      <c r="B560">
        <v>1989</v>
      </c>
      <c r="C560" t="s">
        <v>2356</v>
      </c>
      <c r="D560">
        <v>10</v>
      </c>
      <c r="E560">
        <v>2</v>
      </c>
      <c r="F560" s="10">
        <v>4890</v>
      </c>
      <c r="G560" t="s">
        <v>2358</v>
      </c>
      <c r="H560" t="s">
        <v>2357</v>
      </c>
      <c r="I560" t="s">
        <v>2359</v>
      </c>
      <c r="J560" s="8">
        <f t="shared" si="8"/>
        <v>32699</v>
      </c>
    </row>
    <row r="561" spans="1:10" x14ac:dyDescent="0.35">
      <c r="A561" t="s">
        <v>1779</v>
      </c>
      <c r="B561">
        <v>1990</v>
      </c>
      <c r="C561" t="s">
        <v>2360</v>
      </c>
      <c r="D561">
        <v>28</v>
      </c>
      <c r="E561">
        <v>3</v>
      </c>
      <c r="F561" s="10">
        <v>4894.3900000000003</v>
      </c>
      <c r="G561" t="s">
        <v>2357</v>
      </c>
      <c r="H561" t="s">
        <v>2358</v>
      </c>
      <c r="I561" t="s">
        <v>2359</v>
      </c>
      <c r="J561" s="8">
        <f t="shared" si="8"/>
        <v>33205</v>
      </c>
    </row>
    <row r="562" spans="1:10" x14ac:dyDescent="0.35">
      <c r="A562" t="s">
        <v>1778</v>
      </c>
      <c r="B562">
        <v>1988</v>
      </c>
      <c r="C562" t="s">
        <v>2363</v>
      </c>
      <c r="D562">
        <v>23</v>
      </c>
      <c r="E562">
        <v>1</v>
      </c>
      <c r="F562" s="10">
        <v>4894.75</v>
      </c>
      <c r="G562" t="s">
        <v>2358</v>
      </c>
      <c r="H562" t="s">
        <v>2358</v>
      </c>
      <c r="I562" t="s">
        <v>2364</v>
      </c>
      <c r="J562" s="8">
        <f t="shared" si="8"/>
        <v>32409</v>
      </c>
    </row>
    <row r="563" spans="1:10" x14ac:dyDescent="0.35">
      <c r="A563" t="s">
        <v>1777</v>
      </c>
      <c r="B563">
        <v>1993</v>
      </c>
      <c r="C563" t="s">
        <v>2356</v>
      </c>
      <c r="D563">
        <v>10</v>
      </c>
      <c r="E563">
        <v>2</v>
      </c>
      <c r="F563" s="10">
        <v>4906.41</v>
      </c>
      <c r="G563" t="s">
        <v>2357</v>
      </c>
      <c r="H563" t="s">
        <v>2361</v>
      </c>
      <c r="I563" t="s">
        <v>2364</v>
      </c>
      <c r="J563" s="8">
        <f t="shared" si="8"/>
        <v>34160</v>
      </c>
    </row>
    <row r="564" spans="1:10" x14ac:dyDescent="0.35">
      <c r="A564" t="s">
        <v>1776</v>
      </c>
      <c r="B564">
        <v>1981</v>
      </c>
      <c r="C564" t="s">
        <v>2367</v>
      </c>
      <c r="D564">
        <v>18</v>
      </c>
      <c r="E564">
        <v>1</v>
      </c>
      <c r="F564" s="10">
        <v>4911.8900000000003</v>
      </c>
      <c r="G564" t="s">
        <v>2357</v>
      </c>
      <c r="H564" t="s">
        <v>2358</v>
      </c>
      <c r="I564" t="s">
        <v>2359</v>
      </c>
      <c r="J564" s="8">
        <f t="shared" si="8"/>
        <v>29877</v>
      </c>
    </row>
    <row r="565" spans="1:10" x14ac:dyDescent="0.35">
      <c r="A565" t="s">
        <v>1775</v>
      </c>
      <c r="B565">
        <v>2002</v>
      </c>
      <c r="C565" t="s">
        <v>2366</v>
      </c>
      <c r="D565">
        <v>21</v>
      </c>
      <c r="E565">
        <v>5</v>
      </c>
      <c r="F565" s="10">
        <v>4915.0600000000004</v>
      </c>
      <c r="G565" t="s">
        <v>2357</v>
      </c>
      <c r="H565" t="s">
        <v>2361</v>
      </c>
      <c r="I565" t="s">
        <v>2378</v>
      </c>
      <c r="J565" s="8">
        <f t="shared" si="8"/>
        <v>37489</v>
      </c>
    </row>
    <row r="566" spans="1:10" x14ac:dyDescent="0.35">
      <c r="A566" t="s">
        <v>1774</v>
      </c>
      <c r="B566">
        <v>1993</v>
      </c>
      <c r="C566" t="s">
        <v>2366</v>
      </c>
      <c r="D566">
        <v>10</v>
      </c>
      <c r="E566">
        <v>2</v>
      </c>
      <c r="F566" s="10">
        <v>4922.92</v>
      </c>
      <c r="G566" t="s">
        <v>2357</v>
      </c>
      <c r="H566" t="s">
        <v>2357</v>
      </c>
      <c r="I566" t="s">
        <v>2364</v>
      </c>
      <c r="J566" s="8">
        <f t="shared" si="8"/>
        <v>34191</v>
      </c>
    </row>
    <row r="567" spans="1:10" x14ac:dyDescent="0.35">
      <c r="A567" t="s">
        <v>1773</v>
      </c>
      <c r="B567">
        <v>1991</v>
      </c>
      <c r="C567" t="s">
        <v>2366</v>
      </c>
      <c r="D567">
        <v>23</v>
      </c>
      <c r="E567">
        <v>2</v>
      </c>
      <c r="F567" s="10">
        <v>4931.6499999999996</v>
      </c>
      <c r="G567" t="s">
        <v>2357</v>
      </c>
      <c r="H567" t="s">
        <v>2358</v>
      </c>
      <c r="I567" t="s">
        <v>2368</v>
      </c>
      <c r="J567" s="8">
        <f t="shared" si="8"/>
        <v>33473</v>
      </c>
    </row>
    <row r="568" spans="1:10" x14ac:dyDescent="0.35">
      <c r="A568" t="s">
        <v>1772</v>
      </c>
      <c r="B568">
        <v>1991</v>
      </c>
      <c r="C568" t="s">
        <v>2360</v>
      </c>
      <c r="D568">
        <v>27</v>
      </c>
      <c r="E568">
        <v>2</v>
      </c>
      <c r="F568" s="10">
        <v>4934.71</v>
      </c>
      <c r="G568" t="s">
        <v>2357</v>
      </c>
      <c r="H568" t="s">
        <v>2358</v>
      </c>
      <c r="I568" t="s">
        <v>2368</v>
      </c>
      <c r="J568" s="8">
        <f t="shared" si="8"/>
        <v>33569</v>
      </c>
    </row>
    <row r="569" spans="1:10" x14ac:dyDescent="0.35">
      <c r="A569" t="s">
        <v>1771</v>
      </c>
      <c r="B569">
        <v>1974</v>
      </c>
      <c r="C569" t="s">
        <v>2362</v>
      </c>
      <c r="D569">
        <v>26</v>
      </c>
      <c r="E569">
        <v>0</v>
      </c>
      <c r="F569" s="10">
        <v>4942.0600000000004</v>
      </c>
      <c r="G569" t="s">
        <v>2357</v>
      </c>
      <c r="H569" t="s">
        <v>2357</v>
      </c>
      <c r="I569" t="s">
        <v>2359</v>
      </c>
      <c r="J569" s="8">
        <f t="shared" si="8"/>
        <v>27206</v>
      </c>
    </row>
    <row r="570" spans="1:10" x14ac:dyDescent="0.35">
      <c r="A570" t="s">
        <v>1770</v>
      </c>
      <c r="B570">
        <v>1991</v>
      </c>
      <c r="C570" t="s">
        <v>2366</v>
      </c>
      <c r="D570">
        <v>30</v>
      </c>
      <c r="E570">
        <v>2</v>
      </c>
      <c r="F570" s="10">
        <v>4949.76</v>
      </c>
      <c r="G570" t="s">
        <v>2357</v>
      </c>
      <c r="H570" t="s">
        <v>2361</v>
      </c>
      <c r="I570" t="s">
        <v>2359</v>
      </c>
      <c r="J570" s="8">
        <f t="shared" si="8"/>
        <v>33480</v>
      </c>
    </row>
    <row r="571" spans="1:10" x14ac:dyDescent="0.35">
      <c r="A571" t="s">
        <v>1769</v>
      </c>
      <c r="B571">
        <v>1973</v>
      </c>
      <c r="C571" t="s">
        <v>2360</v>
      </c>
      <c r="D571">
        <v>7</v>
      </c>
      <c r="E571">
        <v>0</v>
      </c>
      <c r="F571" s="10">
        <v>4985.22</v>
      </c>
      <c r="G571" t="s">
        <v>2357</v>
      </c>
      <c r="H571" t="s">
        <v>2358</v>
      </c>
      <c r="I571" t="s">
        <v>2359</v>
      </c>
      <c r="J571" s="8">
        <f t="shared" si="8"/>
        <v>26975</v>
      </c>
    </row>
    <row r="572" spans="1:10" x14ac:dyDescent="0.35">
      <c r="A572" t="s">
        <v>1768</v>
      </c>
      <c r="B572">
        <v>1988</v>
      </c>
      <c r="C572" t="s">
        <v>2362</v>
      </c>
      <c r="D572">
        <v>24</v>
      </c>
      <c r="E572">
        <v>0</v>
      </c>
      <c r="F572" s="10">
        <v>4992.38</v>
      </c>
      <c r="G572" t="s">
        <v>2357</v>
      </c>
      <c r="H572" t="s">
        <v>2358</v>
      </c>
      <c r="I572" t="s">
        <v>2374</v>
      </c>
      <c r="J572" s="8">
        <f t="shared" si="8"/>
        <v>32318</v>
      </c>
    </row>
    <row r="573" spans="1:10" x14ac:dyDescent="0.35">
      <c r="A573" t="s">
        <v>1767</v>
      </c>
      <c r="B573">
        <v>2001</v>
      </c>
      <c r="C573" t="s">
        <v>2367</v>
      </c>
      <c r="D573">
        <v>5</v>
      </c>
      <c r="E573">
        <v>0</v>
      </c>
      <c r="F573" s="10">
        <v>4999.04</v>
      </c>
      <c r="G573" t="s">
        <v>2357</v>
      </c>
      <c r="H573" t="s">
        <v>2357</v>
      </c>
      <c r="I573" t="s">
        <v>2368</v>
      </c>
      <c r="J573" s="8">
        <f t="shared" si="8"/>
        <v>37169</v>
      </c>
    </row>
    <row r="574" spans="1:10" x14ac:dyDescent="0.35">
      <c r="A574" t="s">
        <v>1766</v>
      </c>
      <c r="B574">
        <v>1988</v>
      </c>
      <c r="C574" t="s">
        <v>2363</v>
      </c>
      <c r="D574">
        <v>4</v>
      </c>
      <c r="E574">
        <v>1</v>
      </c>
      <c r="F574" s="10">
        <v>5002.78</v>
      </c>
      <c r="G574" t="s">
        <v>2357</v>
      </c>
      <c r="H574" t="s">
        <v>2357</v>
      </c>
      <c r="I574" t="s">
        <v>2359</v>
      </c>
      <c r="J574" s="8">
        <f t="shared" si="8"/>
        <v>32390</v>
      </c>
    </row>
    <row r="575" spans="1:10" x14ac:dyDescent="0.35">
      <c r="A575" t="s">
        <v>1765</v>
      </c>
      <c r="B575">
        <v>1977</v>
      </c>
      <c r="C575" t="s">
        <v>2362</v>
      </c>
      <c r="D575">
        <v>9</v>
      </c>
      <c r="E575">
        <v>2</v>
      </c>
      <c r="F575" s="10">
        <v>5003.7700000000004</v>
      </c>
      <c r="G575" t="s">
        <v>2357</v>
      </c>
      <c r="H575" t="s">
        <v>2358</v>
      </c>
      <c r="I575" t="s">
        <v>2359</v>
      </c>
      <c r="J575" s="8">
        <f t="shared" si="8"/>
        <v>28285</v>
      </c>
    </row>
    <row r="576" spans="1:10" x14ac:dyDescent="0.35">
      <c r="A576" t="s">
        <v>1764</v>
      </c>
      <c r="B576">
        <v>1988</v>
      </c>
      <c r="C576" t="s">
        <v>2356</v>
      </c>
      <c r="D576">
        <v>8</v>
      </c>
      <c r="E576">
        <v>1</v>
      </c>
      <c r="F576" s="10">
        <v>5003.8500000000004</v>
      </c>
      <c r="G576" t="s">
        <v>2357</v>
      </c>
      <c r="H576" t="s">
        <v>2358</v>
      </c>
      <c r="I576" t="s">
        <v>2368</v>
      </c>
      <c r="J576" s="8">
        <f t="shared" si="8"/>
        <v>32332</v>
      </c>
    </row>
    <row r="577" spans="1:10" x14ac:dyDescent="0.35">
      <c r="A577" t="s">
        <v>1763</v>
      </c>
      <c r="B577">
        <v>1988</v>
      </c>
      <c r="C577" t="s">
        <v>2360</v>
      </c>
      <c r="D577">
        <v>9</v>
      </c>
      <c r="E577">
        <v>1</v>
      </c>
      <c r="F577" s="10">
        <v>5012.47</v>
      </c>
      <c r="G577" t="s">
        <v>2357</v>
      </c>
      <c r="H577" t="s">
        <v>2358</v>
      </c>
      <c r="I577" t="s">
        <v>2368</v>
      </c>
      <c r="J577" s="8">
        <f t="shared" si="8"/>
        <v>32456</v>
      </c>
    </row>
    <row r="578" spans="1:10" x14ac:dyDescent="0.35">
      <c r="A578" t="s">
        <v>1762</v>
      </c>
      <c r="B578">
        <v>1985</v>
      </c>
      <c r="C578" t="s">
        <v>2365</v>
      </c>
      <c r="D578">
        <v>28</v>
      </c>
      <c r="E578">
        <v>0</v>
      </c>
      <c r="F578" s="10">
        <v>5028.1499999999996</v>
      </c>
      <c r="G578" t="s">
        <v>2361</v>
      </c>
      <c r="H578" t="s">
        <v>2357</v>
      </c>
      <c r="I578" t="s">
        <v>2364</v>
      </c>
      <c r="J578" s="8">
        <f t="shared" si="8"/>
        <v>31409</v>
      </c>
    </row>
    <row r="579" spans="1:10" x14ac:dyDescent="0.35">
      <c r="A579" t="s">
        <v>1761</v>
      </c>
      <c r="B579">
        <v>1991</v>
      </c>
      <c r="C579" t="s">
        <v>2363</v>
      </c>
      <c r="D579">
        <v>10</v>
      </c>
      <c r="E579">
        <v>2</v>
      </c>
      <c r="F579" s="10">
        <v>5031.2700000000004</v>
      </c>
      <c r="G579" t="s">
        <v>2358</v>
      </c>
      <c r="H579" t="s">
        <v>2361</v>
      </c>
      <c r="I579" t="s">
        <v>2371</v>
      </c>
      <c r="J579" s="8">
        <f t="shared" ref="J579:J642" si="9">DATE(B579,MONTH(1&amp;C579),D579)</f>
        <v>33491</v>
      </c>
    </row>
    <row r="580" spans="1:10" x14ac:dyDescent="0.35">
      <c r="A580" t="s">
        <v>1760</v>
      </c>
      <c r="B580">
        <v>1986</v>
      </c>
      <c r="C580" t="s">
        <v>2362</v>
      </c>
      <c r="D580">
        <v>29</v>
      </c>
      <c r="E580">
        <v>3</v>
      </c>
      <c r="F580" s="10">
        <v>5034.1000000000004</v>
      </c>
      <c r="G580" t="s">
        <v>2357</v>
      </c>
      <c r="H580" t="s">
        <v>2357</v>
      </c>
      <c r="I580" t="s">
        <v>2359</v>
      </c>
      <c r="J580" s="8">
        <f t="shared" si="9"/>
        <v>31592</v>
      </c>
    </row>
    <row r="581" spans="1:10" x14ac:dyDescent="0.35">
      <c r="A581" t="s">
        <v>1759</v>
      </c>
      <c r="B581">
        <v>1997</v>
      </c>
      <c r="C581" t="s">
        <v>2365</v>
      </c>
      <c r="D581">
        <v>4</v>
      </c>
      <c r="E581">
        <v>0</v>
      </c>
      <c r="F581" s="10">
        <v>5038.57</v>
      </c>
      <c r="G581" t="s">
        <v>2357</v>
      </c>
      <c r="H581" t="s">
        <v>2357</v>
      </c>
      <c r="I581" t="s">
        <v>2373</v>
      </c>
      <c r="J581" s="8">
        <f t="shared" si="9"/>
        <v>35768</v>
      </c>
    </row>
    <row r="582" spans="1:10" x14ac:dyDescent="0.35">
      <c r="A582" t="s">
        <v>1758</v>
      </c>
      <c r="B582">
        <v>2001</v>
      </c>
      <c r="C582" t="s">
        <v>2367</v>
      </c>
      <c r="D582">
        <v>16</v>
      </c>
      <c r="E582">
        <v>0</v>
      </c>
      <c r="F582" s="10">
        <v>5043.13</v>
      </c>
      <c r="G582" t="s">
        <v>2357</v>
      </c>
      <c r="H582" t="s">
        <v>2358</v>
      </c>
      <c r="I582" t="s">
        <v>2368</v>
      </c>
      <c r="J582" s="8">
        <f t="shared" si="9"/>
        <v>37180</v>
      </c>
    </row>
    <row r="583" spans="1:10" x14ac:dyDescent="0.35">
      <c r="A583" t="s">
        <v>1757</v>
      </c>
      <c r="B583">
        <v>1997</v>
      </c>
      <c r="C583" t="s">
        <v>2356</v>
      </c>
      <c r="D583">
        <v>29</v>
      </c>
      <c r="E583">
        <v>0</v>
      </c>
      <c r="F583" s="10">
        <v>5045.1499999999996</v>
      </c>
      <c r="G583" t="s">
        <v>2357</v>
      </c>
      <c r="H583" t="s">
        <v>2357</v>
      </c>
      <c r="I583" t="s">
        <v>2364</v>
      </c>
      <c r="J583" s="8">
        <f t="shared" si="9"/>
        <v>35640</v>
      </c>
    </row>
    <row r="584" spans="1:10" x14ac:dyDescent="0.35">
      <c r="A584" t="s">
        <v>1756</v>
      </c>
      <c r="B584">
        <v>1980</v>
      </c>
      <c r="C584" t="s">
        <v>2363</v>
      </c>
      <c r="D584">
        <v>7</v>
      </c>
      <c r="E584">
        <v>2</v>
      </c>
      <c r="F584" s="10">
        <v>5054.05</v>
      </c>
      <c r="G584" t="s">
        <v>2357</v>
      </c>
      <c r="H584" t="s">
        <v>2357</v>
      </c>
      <c r="I584" t="s">
        <v>2359</v>
      </c>
      <c r="J584" s="8">
        <f t="shared" si="9"/>
        <v>29471</v>
      </c>
    </row>
    <row r="585" spans="1:10" x14ac:dyDescent="0.35">
      <c r="A585" t="s">
        <v>1755</v>
      </c>
      <c r="B585">
        <v>1993</v>
      </c>
      <c r="C585" t="s">
        <v>2362</v>
      </c>
      <c r="D585">
        <v>11</v>
      </c>
      <c r="E585">
        <v>0</v>
      </c>
      <c r="F585" s="10">
        <v>5059.5600000000004</v>
      </c>
      <c r="G585" t="s">
        <v>2357</v>
      </c>
      <c r="H585" t="s">
        <v>2361</v>
      </c>
      <c r="I585" t="s">
        <v>2377</v>
      </c>
      <c r="J585" s="8">
        <f t="shared" si="9"/>
        <v>34131</v>
      </c>
    </row>
    <row r="586" spans="1:10" x14ac:dyDescent="0.35">
      <c r="A586" t="s">
        <v>1754</v>
      </c>
      <c r="B586">
        <v>1978</v>
      </c>
      <c r="C586" t="s">
        <v>2360</v>
      </c>
      <c r="D586">
        <v>22</v>
      </c>
      <c r="E586">
        <v>2</v>
      </c>
      <c r="F586" s="10">
        <v>5077.1899999999996</v>
      </c>
      <c r="G586" t="s">
        <v>2357</v>
      </c>
      <c r="H586" t="s">
        <v>2358</v>
      </c>
      <c r="I586" t="s">
        <v>2364</v>
      </c>
      <c r="J586" s="8">
        <f t="shared" si="9"/>
        <v>28816</v>
      </c>
    </row>
    <row r="587" spans="1:10" x14ac:dyDescent="0.35">
      <c r="A587" t="s">
        <v>1753</v>
      </c>
      <c r="B587">
        <v>1997</v>
      </c>
      <c r="C587" t="s">
        <v>2356</v>
      </c>
      <c r="D587">
        <v>14</v>
      </c>
      <c r="E587">
        <v>5</v>
      </c>
      <c r="F587" s="10">
        <v>5080.1000000000004</v>
      </c>
      <c r="G587" t="s">
        <v>2358</v>
      </c>
      <c r="H587" t="s">
        <v>2357</v>
      </c>
      <c r="I587" t="s">
        <v>2368</v>
      </c>
      <c r="J587" s="8">
        <f t="shared" si="9"/>
        <v>35625</v>
      </c>
    </row>
    <row r="588" spans="1:10" x14ac:dyDescent="0.35">
      <c r="A588" t="s">
        <v>1752</v>
      </c>
      <c r="B588">
        <v>1999</v>
      </c>
      <c r="C588" t="s">
        <v>2362</v>
      </c>
      <c r="D588">
        <v>19</v>
      </c>
      <c r="E588">
        <v>0</v>
      </c>
      <c r="F588" s="10">
        <v>5087.92</v>
      </c>
      <c r="G588" t="s">
        <v>2357</v>
      </c>
      <c r="H588" t="s">
        <v>2357</v>
      </c>
      <c r="I588" t="s">
        <v>2380</v>
      </c>
      <c r="J588" s="8">
        <f t="shared" si="9"/>
        <v>36330</v>
      </c>
    </row>
    <row r="589" spans="1:10" x14ac:dyDescent="0.35">
      <c r="A589" t="s">
        <v>1751</v>
      </c>
      <c r="B589">
        <v>1987</v>
      </c>
      <c r="C589" t="s">
        <v>2360</v>
      </c>
      <c r="D589">
        <v>18</v>
      </c>
      <c r="E589">
        <v>1</v>
      </c>
      <c r="F589" s="10">
        <v>5116.5</v>
      </c>
      <c r="G589" t="s">
        <v>2357</v>
      </c>
      <c r="H589" t="s">
        <v>2357</v>
      </c>
      <c r="I589" t="s">
        <v>2364</v>
      </c>
      <c r="J589" s="8">
        <f t="shared" si="9"/>
        <v>32099</v>
      </c>
    </row>
    <row r="590" spans="1:10" x14ac:dyDescent="0.35">
      <c r="A590" t="s">
        <v>1750</v>
      </c>
      <c r="B590">
        <v>1988</v>
      </c>
      <c r="C590" t="s">
        <v>2360</v>
      </c>
      <c r="D590">
        <v>1</v>
      </c>
      <c r="E590">
        <v>2</v>
      </c>
      <c r="F590" s="10">
        <v>5124.1899999999996</v>
      </c>
      <c r="G590" t="s">
        <v>2357</v>
      </c>
      <c r="H590" t="s">
        <v>2358</v>
      </c>
      <c r="I590" t="s">
        <v>2359</v>
      </c>
      <c r="J590" s="8">
        <f t="shared" si="9"/>
        <v>32448</v>
      </c>
    </row>
    <row r="591" spans="1:10" x14ac:dyDescent="0.35">
      <c r="A591" t="s">
        <v>1749</v>
      </c>
      <c r="B591">
        <v>1987</v>
      </c>
      <c r="C591" t="s">
        <v>2363</v>
      </c>
      <c r="D591">
        <v>13</v>
      </c>
      <c r="E591">
        <v>1</v>
      </c>
      <c r="F591" s="10">
        <v>5125.22</v>
      </c>
      <c r="G591" t="s">
        <v>2361</v>
      </c>
      <c r="H591" t="s">
        <v>2357</v>
      </c>
      <c r="I591" t="s">
        <v>2364</v>
      </c>
      <c r="J591" s="8">
        <f t="shared" si="9"/>
        <v>32033</v>
      </c>
    </row>
    <row r="592" spans="1:10" x14ac:dyDescent="0.35">
      <c r="A592" t="s">
        <v>1748</v>
      </c>
      <c r="B592">
        <v>1988</v>
      </c>
      <c r="C592" t="s">
        <v>2363</v>
      </c>
      <c r="D592">
        <v>15</v>
      </c>
      <c r="E592">
        <v>3</v>
      </c>
      <c r="F592" s="10">
        <v>5136.75</v>
      </c>
      <c r="G592" t="s">
        <v>2357</v>
      </c>
      <c r="H592" t="s">
        <v>2361</v>
      </c>
      <c r="I592" t="s">
        <v>2359</v>
      </c>
      <c r="J592" s="8">
        <f t="shared" si="9"/>
        <v>32401</v>
      </c>
    </row>
    <row r="593" spans="1:10" x14ac:dyDescent="0.35">
      <c r="A593" t="s">
        <v>1747</v>
      </c>
      <c r="B593">
        <v>1993</v>
      </c>
      <c r="C593" t="s">
        <v>2365</v>
      </c>
      <c r="D593">
        <v>10</v>
      </c>
      <c r="E593">
        <v>3</v>
      </c>
      <c r="F593" s="10">
        <v>5138.26</v>
      </c>
      <c r="G593" t="s">
        <v>2357</v>
      </c>
      <c r="H593" t="s">
        <v>2357</v>
      </c>
      <c r="I593" t="s">
        <v>2359</v>
      </c>
      <c r="J593" s="8">
        <f t="shared" si="9"/>
        <v>34313</v>
      </c>
    </row>
    <row r="594" spans="1:10" x14ac:dyDescent="0.35">
      <c r="A594" t="s">
        <v>1746</v>
      </c>
      <c r="B594">
        <v>1984</v>
      </c>
      <c r="C594" t="s">
        <v>2366</v>
      </c>
      <c r="D594">
        <v>22</v>
      </c>
      <c r="E594">
        <v>3</v>
      </c>
      <c r="F594" s="10">
        <v>5144.18</v>
      </c>
      <c r="G594" t="s">
        <v>2357</v>
      </c>
      <c r="H594" t="s">
        <v>2361</v>
      </c>
      <c r="I594" t="s">
        <v>2359</v>
      </c>
      <c r="J594" s="8">
        <f t="shared" si="9"/>
        <v>30916</v>
      </c>
    </row>
    <row r="595" spans="1:10" x14ac:dyDescent="0.35">
      <c r="A595" t="s">
        <v>1745</v>
      </c>
      <c r="B595">
        <v>1990</v>
      </c>
      <c r="C595" t="s">
        <v>2366</v>
      </c>
      <c r="D595">
        <v>22</v>
      </c>
      <c r="E595">
        <v>1</v>
      </c>
      <c r="F595" s="10">
        <v>5148.55</v>
      </c>
      <c r="G595" t="s">
        <v>2357</v>
      </c>
      <c r="H595" t="s">
        <v>2357</v>
      </c>
      <c r="I595" t="s">
        <v>2374</v>
      </c>
      <c r="J595" s="8">
        <f t="shared" si="9"/>
        <v>33107</v>
      </c>
    </row>
    <row r="596" spans="1:10" x14ac:dyDescent="0.35">
      <c r="A596" t="s">
        <v>1744</v>
      </c>
      <c r="B596">
        <v>1990</v>
      </c>
      <c r="C596" t="s">
        <v>2367</v>
      </c>
      <c r="D596">
        <v>9</v>
      </c>
      <c r="E596">
        <v>2</v>
      </c>
      <c r="F596" s="10">
        <v>5152.13</v>
      </c>
      <c r="G596" t="s">
        <v>2357</v>
      </c>
      <c r="H596" t="s">
        <v>2357</v>
      </c>
      <c r="I596" t="s">
        <v>2368</v>
      </c>
      <c r="J596" s="8">
        <f t="shared" si="9"/>
        <v>33155</v>
      </c>
    </row>
    <row r="597" spans="1:10" x14ac:dyDescent="0.35">
      <c r="A597" t="s">
        <v>1743</v>
      </c>
      <c r="B597">
        <v>1991</v>
      </c>
      <c r="C597" t="s">
        <v>2366</v>
      </c>
      <c r="D597">
        <v>29</v>
      </c>
      <c r="E597">
        <v>3</v>
      </c>
      <c r="F597" s="10">
        <v>5166.96</v>
      </c>
      <c r="G597" t="s">
        <v>2357</v>
      </c>
      <c r="H597" t="s">
        <v>2357</v>
      </c>
      <c r="I597" t="s">
        <v>2364</v>
      </c>
      <c r="J597" s="8">
        <f t="shared" si="9"/>
        <v>33479</v>
      </c>
    </row>
    <row r="598" spans="1:10" x14ac:dyDescent="0.35">
      <c r="A598" t="s">
        <v>1742</v>
      </c>
      <c r="B598">
        <v>1984</v>
      </c>
      <c r="C598" t="s">
        <v>2367</v>
      </c>
      <c r="D598">
        <v>16</v>
      </c>
      <c r="E598">
        <v>3</v>
      </c>
      <c r="F598" s="10">
        <v>5177.12</v>
      </c>
      <c r="G598" t="s">
        <v>2357</v>
      </c>
      <c r="H598" t="s">
        <v>2361</v>
      </c>
      <c r="I598" t="s">
        <v>2359</v>
      </c>
      <c r="J598" s="8">
        <f t="shared" si="9"/>
        <v>30971</v>
      </c>
    </row>
    <row r="599" spans="1:10" x14ac:dyDescent="0.35">
      <c r="A599" t="s">
        <v>1741</v>
      </c>
      <c r="B599">
        <v>1979</v>
      </c>
      <c r="C599" t="s">
        <v>2363</v>
      </c>
      <c r="D599">
        <v>12</v>
      </c>
      <c r="E599">
        <v>2</v>
      </c>
      <c r="F599" s="10">
        <v>5195.58</v>
      </c>
      <c r="G599" t="s">
        <v>2357</v>
      </c>
      <c r="H599" t="s">
        <v>2357</v>
      </c>
      <c r="I599" t="s">
        <v>2359</v>
      </c>
      <c r="J599" s="8">
        <f t="shared" si="9"/>
        <v>29110</v>
      </c>
    </row>
    <row r="600" spans="1:10" x14ac:dyDescent="0.35">
      <c r="A600" t="s">
        <v>1740</v>
      </c>
      <c r="B600">
        <v>2004</v>
      </c>
      <c r="C600" t="s">
        <v>2362</v>
      </c>
      <c r="D600">
        <v>6</v>
      </c>
      <c r="E600">
        <v>0</v>
      </c>
      <c r="F600" s="10">
        <v>5198.6899999999996</v>
      </c>
      <c r="G600" t="s">
        <v>2357</v>
      </c>
      <c r="H600" t="s">
        <v>2357</v>
      </c>
      <c r="I600" t="s">
        <v>2381</v>
      </c>
      <c r="J600" s="8">
        <f t="shared" si="9"/>
        <v>38144</v>
      </c>
    </row>
    <row r="601" spans="1:10" x14ac:dyDescent="0.35">
      <c r="A601" t="s">
        <v>1739</v>
      </c>
      <c r="B601">
        <v>1983</v>
      </c>
      <c r="C601" t="s">
        <v>2367</v>
      </c>
      <c r="D601">
        <v>24</v>
      </c>
      <c r="E601">
        <v>3</v>
      </c>
      <c r="F601" s="10">
        <v>5207.97</v>
      </c>
      <c r="G601" t="s">
        <v>2357</v>
      </c>
      <c r="H601" t="s">
        <v>2357</v>
      </c>
      <c r="I601" t="s">
        <v>2364</v>
      </c>
      <c r="J601" s="8">
        <f t="shared" si="9"/>
        <v>30613</v>
      </c>
    </row>
    <row r="602" spans="1:10" x14ac:dyDescent="0.35">
      <c r="A602" t="s">
        <v>1738</v>
      </c>
      <c r="B602">
        <v>1993</v>
      </c>
      <c r="C602" t="s">
        <v>2362</v>
      </c>
      <c r="D602">
        <v>17</v>
      </c>
      <c r="E602">
        <v>3</v>
      </c>
      <c r="F602" s="10">
        <v>5209.58</v>
      </c>
      <c r="G602" t="s">
        <v>2358</v>
      </c>
      <c r="H602" t="s">
        <v>2358</v>
      </c>
      <c r="I602" t="s">
        <v>2378</v>
      </c>
      <c r="J602" s="8">
        <f t="shared" si="9"/>
        <v>34137</v>
      </c>
    </row>
    <row r="603" spans="1:10" x14ac:dyDescent="0.35">
      <c r="A603" t="s">
        <v>1737</v>
      </c>
      <c r="B603">
        <v>1999</v>
      </c>
      <c r="C603" t="s">
        <v>2365</v>
      </c>
      <c r="D603">
        <v>1</v>
      </c>
      <c r="E603">
        <v>0</v>
      </c>
      <c r="F603" s="10">
        <v>5213.22</v>
      </c>
      <c r="G603" t="s">
        <v>2357</v>
      </c>
      <c r="H603" t="s">
        <v>2361</v>
      </c>
      <c r="I603" t="s">
        <v>2364</v>
      </c>
      <c r="J603" s="8">
        <f t="shared" si="9"/>
        <v>36495</v>
      </c>
    </row>
    <row r="604" spans="1:10" x14ac:dyDescent="0.35">
      <c r="A604" t="s">
        <v>1736</v>
      </c>
      <c r="B604">
        <v>1995</v>
      </c>
      <c r="C604" t="s">
        <v>2362</v>
      </c>
      <c r="D604">
        <v>6</v>
      </c>
      <c r="E604">
        <v>0</v>
      </c>
      <c r="F604" s="10">
        <v>5216.4799999999996</v>
      </c>
      <c r="G604" t="s">
        <v>2357</v>
      </c>
      <c r="H604" t="s">
        <v>2357</v>
      </c>
      <c r="I604" t="s">
        <v>2373</v>
      </c>
      <c r="J604" s="8">
        <f t="shared" si="9"/>
        <v>34856</v>
      </c>
    </row>
    <row r="605" spans="1:10" x14ac:dyDescent="0.35">
      <c r="A605" t="s">
        <v>1735</v>
      </c>
      <c r="B605">
        <v>1987</v>
      </c>
      <c r="C605" t="s">
        <v>2362</v>
      </c>
      <c r="D605">
        <v>29</v>
      </c>
      <c r="E605">
        <v>0</v>
      </c>
      <c r="F605" s="10">
        <v>5227.99</v>
      </c>
      <c r="G605" t="s">
        <v>2357</v>
      </c>
      <c r="H605" t="s">
        <v>2361</v>
      </c>
      <c r="I605" t="s">
        <v>2374</v>
      </c>
      <c r="J605" s="8">
        <f t="shared" si="9"/>
        <v>31957</v>
      </c>
    </row>
    <row r="606" spans="1:10" x14ac:dyDescent="0.35">
      <c r="A606" t="s">
        <v>1734</v>
      </c>
      <c r="B606">
        <v>1987</v>
      </c>
      <c r="C606" t="s">
        <v>2365</v>
      </c>
      <c r="D606">
        <v>26</v>
      </c>
      <c r="E606">
        <v>1</v>
      </c>
      <c r="F606" s="10">
        <v>5240.7700000000004</v>
      </c>
      <c r="G606" t="s">
        <v>2357</v>
      </c>
      <c r="H606" t="s">
        <v>2357</v>
      </c>
      <c r="I606" t="s">
        <v>2368</v>
      </c>
      <c r="J606" s="8">
        <f t="shared" si="9"/>
        <v>32137</v>
      </c>
    </row>
    <row r="607" spans="1:10" x14ac:dyDescent="0.35">
      <c r="A607" t="s">
        <v>1733</v>
      </c>
      <c r="B607">
        <v>1987</v>
      </c>
      <c r="C607" t="s">
        <v>2356</v>
      </c>
      <c r="D607">
        <v>5</v>
      </c>
      <c r="E607">
        <v>1</v>
      </c>
      <c r="F607" s="10">
        <v>5245.23</v>
      </c>
      <c r="G607" t="s">
        <v>2357</v>
      </c>
      <c r="H607" t="s">
        <v>2357</v>
      </c>
      <c r="I607" t="s">
        <v>2359</v>
      </c>
      <c r="J607" s="8">
        <f t="shared" si="9"/>
        <v>31963</v>
      </c>
    </row>
    <row r="608" spans="1:10" x14ac:dyDescent="0.35">
      <c r="A608" t="s">
        <v>1732</v>
      </c>
      <c r="B608">
        <v>1987</v>
      </c>
      <c r="C608" t="s">
        <v>2363</v>
      </c>
      <c r="D608">
        <v>9</v>
      </c>
      <c r="E608">
        <v>1</v>
      </c>
      <c r="F608" s="10">
        <v>5246.05</v>
      </c>
      <c r="G608" t="s">
        <v>2357</v>
      </c>
      <c r="H608" t="s">
        <v>2358</v>
      </c>
      <c r="I608" t="s">
        <v>2368</v>
      </c>
      <c r="J608" s="8">
        <f t="shared" si="9"/>
        <v>32029</v>
      </c>
    </row>
    <row r="609" spans="1:10" x14ac:dyDescent="0.35">
      <c r="A609" t="s">
        <v>1731</v>
      </c>
      <c r="B609">
        <v>1990</v>
      </c>
      <c r="C609" t="s">
        <v>2356</v>
      </c>
      <c r="D609">
        <v>6</v>
      </c>
      <c r="E609">
        <v>3</v>
      </c>
      <c r="F609" s="10">
        <v>5253.52</v>
      </c>
      <c r="G609" t="s">
        <v>2358</v>
      </c>
      <c r="H609" t="s">
        <v>2358</v>
      </c>
      <c r="I609" t="s">
        <v>2368</v>
      </c>
      <c r="J609" s="8">
        <f t="shared" si="9"/>
        <v>33060</v>
      </c>
    </row>
    <row r="610" spans="1:10" x14ac:dyDescent="0.35">
      <c r="A610" t="s">
        <v>1730</v>
      </c>
      <c r="B610">
        <v>1989</v>
      </c>
      <c r="C610" t="s">
        <v>2360</v>
      </c>
      <c r="D610">
        <v>25</v>
      </c>
      <c r="E610">
        <v>2</v>
      </c>
      <c r="F610" s="10">
        <v>5257.51</v>
      </c>
      <c r="G610" t="s">
        <v>2357</v>
      </c>
      <c r="H610" t="s">
        <v>2357</v>
      </c>
      <c r="I610" t="s">
        <v>2364</v>
      </c>
      <c r="J610" s="8">
        <f t="shared" si="9"/>
        <v>32837</v>
      </c>
    </row>
    <row r="611" spans="1:10" x14ac:dyDescent="0.35">
      <c r="A611" t="s">
        <v>1729</v>
      </c>
      <c r="B611">
        <v>1989</v>
      </c>
      <c r="C611" t="s">
        <v>2356</v>
      </c>
      <c r="D611">
        <v>19</v>
      </c>
      <c r="E611">
        <v>2</v>
      </c>
      <c r="F611" s="10">
        <v>5261.47</v>
      </c>
      <c r="G611" t="s">
        <v>2357</v>
      </c>
      <c r="H611" t="s">
        <v>2357</v>
      </c>
      <c r="I611" t="s">
        <v>2364</v>
      </c>
      <c r="J611" s="8">
        <f t="shared" si="9"/>
        <v>32708</v>
      </c>
    </row>
    <row r="612" spans="1:10" x14ac:dyDescent="0.35">
      <c r="A612" t="s">
        <v>1728</v>
      </c>
      <c r="B612">
        <v>1986</v>
      </c>
      <c r="C612" t="s">
        <v>2367</v>
      </c>
      <c r="D612">
        <v>25</v>
      </c>
      <c r="E612">
        <v>0</v>
      </c>
      <c r="F612" s="10">
        <v>5266.37</v>
      </c>
      <c r="G612" t="s">
        <v>2357</v>
      </c>
      <c r="H612" t="s">
        <v>2357</v>
      </c>
      <c r="I612" t="s">
        <v>2364</v>
      </c>
      <c r="J612" s="8">
        <f t="shared" si="9"/>
        <v>31710</v>
      </c>
    </row>
    <row r="613" spans="1:10" x14ac:dyDescent="0.35">
      <c r="A613" t="s">
        <v>1727</v>
      </c>
      <c r="B613">
        <v>1986</v>
      </c>
      <c r="C613" t="s">
        <v>2363</v>
      </c>
      <c r="D613">
        <v>20</v>
      </c>
      <c r="E613">
        <v>0</v>
      </c>
      <c r="F613" s="10">
        <v>5267.82</v>
      </c>
      <c r="G613" t="s">
        <v>2357</v>
      </c>
      <c r="H613" t="s">
        <v>2357</v>
      </c>
      <c r="I613" t="s">
        <v>2364</v>
      </c>
      <c r="J613" s="8">
        <f t="shared" si="9"/>
        <v>31675</v>
      </c>
    </row>
    <row r="614" spans="1:10" x14ac:dyDescent="0.35">
      <c r="A614" t="s">
        <v>1726</v>
      </c>
      <c r="B614">
        <v>1986</v>
      </c>
      <c r="C614" t="s">
        <v>2367</v>
      </c>
      <c r="D614">
        <v>20</v>
      </c>
      <c r="E614">
        <v>0</v>
      </c>
      <c r="F614" s="10">
        <v>5272.18</v>
      </c>
      <c r="G614" t="s">
        <v>2357</v>
      </c>
      <c r="H614" t="s">
        <v>2358</v>
      </c>
      <c r="I614" t="s">
        <v>2364</v>
      </c>
      <c r="J614" s="8">
        <f t="shared" si="9"/>
        <v>31705</v>
      </c>
    </row>
    <row r="615" spans="1:10" x14ac:dyDescent="0.35">
      <c r="A615" t="s">
        <v>1725</v>
      </c>
      <c r="B615">
        <v>1987</v>
      </c>
      <c r="C615" t="s">
        <v>2363</v>
      </c>
      <c r="D615">
        <v>1</v>
      </c>
      <c r="E615">
        <v>3</v>
      </c>
      <c r="F615" s="10">
        <v>5275.86</v>
      </c>
      <c r="G615" t="s">
        <v>2357</v>
      </c>
      <c r="H615" t="s">
        <v>2357</v>
      </c>
      <c r="I615" t="s">
        <v>2359</v>
      </c>
      <c r="J615" s="8">
        <f t="shared" si="9"/>
        <v>32021</v>
      </c>
    </row>
    <row r="616" spans="1:10" x14ac:dyDescent="0.35">
      <c r="A616" t="s">
        <v>1724</v>
      </c>
      <c r="B616">
        <v>1974</v>
      </c>
      <c r="C616" t="s">
        <v>2360</v>
      </c>
      <c r="D616">
        <v>12</v>
      </c>
      <c r="E616">
        <v>0</v>
      </c>
      <c r="F616" s="10">
        <v>5291.71</v>
      </c>
      <c r="G616" t="s">
        <v>2357</v>
      </c>
      <c r="H616" t="s">
        <v>2357</v>
      </c>
      <c r="I616" t="s">
        <v>2364</v>
      </c>
      <c r="J616" s="8">
        <f t="shared" si="9"/>
        <v>27345</v>
      </c>
    </row>
    <row r="617" spans="1:10" x14ac:dyDescent="0.35">
      <c r="A617" t="s">
        <v>1723</v>
      </c>
      <c r="B617">
        <v>2004</v>
      </c>
      <c r="C617" t="s">
        <v>2366</v>
      </c>
      <c r="D617">
        <v>22</v>
      </c>
      <c r="E617">
        <v>0</v>
      </c>
      <c r="F617" s="10">
        <v>5293.67</v>
      </c>
      <c r="G617" t="s">
        <v>2357</v>
      </c>
      <c r="H617" t="s">
        <v>2357</v>
      </c>
      <c r="I617" t="s">
        <v>2381</v>
      </c>
      <c r="J617" s="8">
        <f t="shared" si="9"/>
        <v>38221</v>
      </c>
    </row>
    <row r="618" spans="1:10" x14ac:dyDescent="0.35">
      <c r="A618" t="s">
        <v>1722</v>
      </c>
      <c r="B618">
        <v>2000</v>
      </c>
      <c r="C618" t="s">
        <v>2363</v>
      </c>
      <c r="D618">
        <v>9</v>
      </c>
      <c r="E618">
        <v>0</v>
      </c>
      <c r="F618" s="10">
        <v>5306.7</v>
      </c>
      <c r="G618" t="s">
        <v>2357</v>
      </c>
      <c r="H618" t="s">
        <v>2358</v>
      </c>
      <c r="I618" t="s">
        <v>2364</v>
      </c>
      <c r="J618" s="8">
        <f t="shared" si="9"/>
        <v>36778</v>
      </c>
    </row>
    <row r="619" spans="1:10" x14ac:dyDescent="0.35">
      <c r="A619" t="s">
        <v>1721</v>
      </c>
      <c r="B619">
        <v>1994</v>
      </c>
      <c r="C619" t="s">
        <v>2360</v>
      </c>
      <c r="D619">
        <v>13</v>
      </c>
      <c r="E619">
        <v>3</v>
      </c>
      <c r="F619" s="10">
        <v>5312.17</v>
      </c>
      <c r="G619" t="s">
        <v>2357</v>
      </c>
      <c r="H619" t="s">
        <v>2357</v>
      </c>
      <c r="I619" t="s">
        <v>2364</v>
      </c>
      <c r="J619" s="8">
        <f t="shared" si="9"/>
        <v>34651</v>
      </c>
    </row>
    <row r="620" spans="1:10" x14ac:dyDescent="0.35">
      <c r="A620" t="s">
        <v>1720</v>
      </c>
      <c r="B620">
        <v>1974</v>
      </c>
      <c r="C620" t="s">
        <v>2363</v>
      </c>
      <c r="D620">
        <v>2</v>
      </c>
      <c r="E620">
        <v>0</v>
      </c>
      <c r="F620" s="10">
        <v>5322.24</v>
      </c>
      <c r="G620" t="s">
        <v>2357</v>
      </c>
      <c r="H620" t="s">
        <v>2361</v>
      </c>
      <c r="I620" t="s">
        <v>2364</v>
      </c>
      <c r="J620" s="8">
        <f t="shared" si="9"/>
        <v>27274</v>
      </c>
    </row>
    <row r="621" spans="1:10" x14ac:dyDescent="0.35">
      <c r="A621" t="s">
        <v>1719</v>
      </c>
      <c r="B621">
        <v>1992</v>
      </c>
      <c r="C621" t="s">
        <v>2362</v>
      </c>
      <c r="D621">
        <v>18</v>
      </c>
      <c r="E621">
        <v>3</v>
      </c>
      <c r="F621" s="10">
        <v>5325.65</v>
      </c>
      <c r="G621" t="s">
        <v>2357</v>
      </c>
      <c r="H621" t="s">
        <v>2361</v>
      </c>
      <c r="I621" t="s">
        <v>2368</v>
      </c>
      <c r="J621" s="8">
        <f t="shared" si="9"/>
        <v>33773</v>
      </c>
    </row>
    <row r="622" spans="1:10" x14ac:dyDescent="0.35">
      <c r="A622" t="s">
        <v>1718</v>
      </c>
      <c r="B622">
        <v>1991</v>
      </c>
      <c r="C622" t="s">
        <v>2366</v>
      </c>
      <c r="D622">
        <v>28</v>
      </c>
      <c r="E622">
        <v>2</v>
      </c>
      <c r="F622" s="10">
        <v>5327.4</v>
      </c>
      <c r="G622" t="s">
        <v>2357</v>
      </c>
      <c r="H622" t="s">
        <v>2361</v>
      </c>
      <c r="I622" t="s">
        <v>2364</v>
      </c>
      <c r="J622" s="8">
        <f t="shared" si="9"/>
        <v>33478</v>
      </c>
    </row>
    <row r="623" spans="1:10" x14ac:dyDescent="0.35">
      <c r="A623" t="s">
        <v>1717</v>
      </c>
      <c r="B623">
        <v>1972</v>
      </c>
      <c r="C623" t="s">
        <v>2365</v>
      </c>
      <c r="D623">
        <v>15</v>
      </c>
      <c r="E623">
        <v>0</v>
      </c>
      <c r="F623" s="10">
        <v>5344.81</v>
      </c>
      <c r="G623" t="s">
        <v>2357</v>
      </c>
      <c r="H623" t="s">
        <v>2358</v>
      </c>
      <c r="I623" t="s">
        <v>2359</v>
      </c>
      <c r="J623" s="8">
        <f t="shared" si="9"/>
        <v>26648</v>
      </c>
    </row>
    <row r="624" spans="1:10" x14ac:dyDescent="0.35">
      <c r="A624" t="s">
        <v>1716</v>
      </c>
      <c r="B624">
        <v>1989</v>
      </c>
      <c r="C624" t="s">
        <v>2360</v>
      </c>
      <c r="D624">
        <v>7</v>
      </c>
      <c r="E624">
        <v>1</v>
      </c>
      <c r="F624" s="10">
        <v>5354.07</v>
      </c>
      <c r="G624" t="s">
        <v>2357</v>
      </c>
      <c r="H624" t="s">
        <v>2358</v>
      </c>
      <c r="I624" t="s">
        <v>2374</v>
      </c>
      <c r="J624" s="8">
        <f t="shared" si="9"/>
        <v>32819</v>
      </c>
    </row>
    <row r="625" spans="1:10" x14ac:dyDescent="0.35">
      <c r="A625" t="s">
        <v>1715</v>
      </c>
      <c r="B625">
        <v>1994</v>
      </c>
      <c r="C625" t="s">
        <v>2365</v>
      </c>
      <c r="D625">
        <v>7</v>
      </c>
      <c r="E625">
        <v>0</v>
      </c>
      <c r="F625" s="10">
        <v>5364.66</v>
      </c>
      <c r="G625" t="s">
        <v>2357</v>
      </c>
      <c r="H625" t="s">
        <v>2361</v>
      </c>
      <c r="I625" t="s">
        <v>2368</v>
      </c>
      <c r="J625" s="8">
        <f t="shared" si="9"/>
        <v>34675</v>
      </c>
    </row>
    <row r="626" spans="1:10" x14ac:dyDescent="0.35">
      <c r="A626" t="s">
        <v>1714</v>
      </c>
      <c r="B626">
        <v>1986</v>
      </c>
      <c r="C626" t="s">
        <v>2362</v>
      </c>
      <c r="D626">
        <v>1</v>
      </c>
      <c r="E626">
        <v>1</v>
      </c>
      <c r="F626" s="10">
        <v>5373.36</v>
      </c>
      <c r="G626" t="s">
        <v>2357</v>
      </c>
      <c r="H626" t="s">
        <v>2357</v>
      </c>
      <c r="I626" t="s">
        <v>2364</v>
      </c>
      <c r="J626" s="8">
        <f t="shared" si="9"/>
        <v>31564</v>
      </c>
    </row>
    <row r="627" spans="1:10" x14ac:dyDescent="0.35">
      <c r="A627" t="s">
        <v>1713</v>
      </c>
      <c r="B627">
        <v>1989</v>
      </c>
      <c r="C627" t="s">
        <v>2360</v>
      </c>
      <c r="D627">
        <v>18</v>
      </c>
      <c r="E627">
        <v>2</v>
      </c>
      <c r="F627" s="10">
        <v>5375.04</v>
      </c>
      <c r="G627" t="s">
        <v>2357</v>
      </c>
      <c r="H627" t="s">
        <v>2361</v>
      </c>
      <c r="I627" t="s">
        <v>2368</v>
      </c>
      <c r="J627" s="8">
        <f t="shared" si="9"/>
        <v>32830</v>
      </c>
    </row>
    <row r="628" spans="1:10" x14ac:dyDescent="0.35">
      <c r="A628" t="s">
        <v>1712</v>
      </c>
      <c r="B628">
        <v>1986</v>
      </c>
      <c r="C628" t="s">
        <v>2356</v>
      </c>
      <c r="D628">
        <v>22</v>
      </c>
      <c r="E628">
        <v>1</v>
      </c>
      <c r="F628" s="10">
        <v>5377.46</v>
      </c>
      <c r="G628" t="s">
        <v>2357</v>
      </c>
      <c r="H628" t="s">
        <v>2358</v>
      </c>
      <c r="I628" t="s">
        <v>2364</v>
      </c>
      <c r="J628" s="8">
        <f t="shared" si="9"/>
        <v>31615</v>
      </c>
    </row>
    <row r="629" spans="1:10" x14ac:dyDescent="0.35">
      <c r="A629" t="s">
        <v>1711</v>
      </c>
      <c r="B629">
        <v>1984</v>
      </c>
      <c r="C629" t="s">
        <v>2362</v>
      </c>
      <c r="D629">
        <v>1</v>
      </c>
      <c r="E629">
        <v>0</v>
      </c>
      <c r="F629" s="10">
        <v>5383.54</v>
      </c>
      <c r="G629" t="s">
        <v>2357</v>
      </c>
      <c r="H629" t="s">
        <v>2358</v>
      </c>
      <c r="I629" t="s">
        <v>2368</v>
      </c>
      <c r="J629" s="8">
        <f t="shared" si="9"/>
        <v>30834</v>
      </c>
    </row>
    <row r="630" spans="1:10" x14ac:dyDescent="0.35">
      <c r="A630" t="s">
        <v>1710</v>
      </c>
      <c r="B630">
        <v>1988</v>
      </c>
      <c r="C630" t="s">
        <v>2366</v>
      </c>
      <c r="D630">
        <v>8</v>
      </c>
      <c r="E630">
        <v>1</v>
      </c>
      <c r="F630" s="10">
        <v>5385.34</v>
      </c>
      <c r="G630" t="s">
        <v>2357</v>
      </c>
      <c r="H630" t="s">
        <v>2358</v>
      </c>
      <c r="I630" t="s">
        <v>2364</v>
      </c>
      <c r="J630" s="8">
        <f t="shared" si="9"/>
        <v>32363</v>
      </c>
    </row>
    <row r="631" spans="1:10" x14ac:dyDescent="0.35">
      <c r="A631" t="s">
        <v>1709</v>
      </c>
      <c r="B631">
        <v>1989</v>
      </c>
      <c r="C631" t="s">
        <v>2360</v>
      </c>
      <c r="D631">
        <v>6</v>
      </c>
      <c r="E631">
        <v>3</v>
      </c>
      <c r="F631" s="10">
        <v>5396.44</v>
      </c>
      <c r="G631" t="s">
        <v>2357</v>
      </c>
      <c r="H631" t="s">
        <v>2358</v>
      </c>
      <c r="I631" t="s">
        <v>2359</v>
      </c>
      <c r="J631" s="8">
        <f t="shared" si="9"/>
        <v>32818</v>
      </c>
    </row>
    <row r="632" spans="1:10" x14ac:dyDescent="0.35">
      <c r="A632" t="s">
        <v>1708</v>
      </c>
      <c r="B632">
        <v>1984</v>
      </c>
      <c r="C632" t="s">
        <v>2363</v>
      </c>
      <c r="D632">
        <v>3</v>
      </c>
      <c r="E632">
        <v>0</v>
      </c>
      <c r="F632" s="10">
        <v>5397.62</v>
      </c>
      <c r="G632" t="s">
        <v>2357</v>
      </c>
      <c r="H632" t="s">
        <v>2357</v>
      </c>
      <c r="I632" t="s">
        <v>2359</v>
      </c>
      <c r="J632" s="8">
        <f t="shared" si="9"/>
        <v>30928</v>
      </c>
    </row>
    <row r="633" spans="1:10" x14ac:dyDescent="0.35">
      <c r="A633" t="s">
        <v>1707</v>
      </c>
      <c r="B633">
        <v>1984</v>
      </c>
      <c r="C633" t="s">
        <v>2366</v>
      </c>
      <c r="D633">
        <v>1</v>
      </c>
      <c r="E633">
        <v>0</v>
      </c>
      <c r="F633" s="10">
        <v>5400.98</v>
      </c>
      <c r="G633" t="s">
        <v>2357</v>
      </c>
      <c r="H633" t="s">
        <v>2357</v>
      </c>
      <c r="I633" t="s">
        <v>2359</v>
      </c>
      <c r="J633" s="8">
        <f t="shared" si="9"/>
        <v>30895</v>
      </c>
    </row>
    <row r="634" spans="1:10" x14ac:dyDescent="0.35">
      <c r="A634" t="s">
        <v>1706</v>
      </c>
      <c r="B634">
        <v>1985</v>
      </c>
      <c r="C634" t="s">
        <v>2365</v>
      </c>
      <c r="D634">
        <v>23</v>
      </c>
      <c r="E634">
        <v>3</v>
      </c>
      <c r="F634" s="10">
        <v>5402.89</v>
      </c>
      <c r="G634" t="s">
        <v>2357</v>
      </c>
      <c r="H634" t="s">
        <v>2361</v>
      </c>
      <c r="I634" t="s">
        <v>2359</v>
      </c>
      <c r="J634" s="8">
        <f t="shared" si="9"/>
        <v>31404</v>
      </c>
    </row>
    <row r="635" spans="1:10" x14ac:dyDescent="0.35">
      <c r="A635" t="s">
        <v>1705</v>
      </c>
      <c r="B635">
        <v>1975</v>
      </c>
      <c r="C635" t="s">
        <v>2363</v>
      </c>
      <c r="D635">
        <v>27</v>
      </c>
      <c r="E635">
        <v>1</v>
      </c>
      <c r="F635" s="10">
        <v>5411.99</v>
      </c>
      <c r="G635" t="s">
        <v>2357</v>
      </c>
      <c r="H635" t="s">
        <v>2358</v>
      </c>
      <c r="I635" t="s">
        <v>2364</v>
      </c>
      <c r="J635" s="8">
        <f t="shared" si="9"/>
        <v>27664</v>
      </c>
    </row>
    <row r="636" spans="1:10" x14ac:dyDescent="0.35">
      <c r="A636" t="s">
        <v>1704</v>
      </c>
      <c r="B636">
        <v>1982</v>
      </c>
      <c r="C636" t="s">
        <v>2363</v>
      </c>
      <c r="D636">
        <v>27</v>
      </c>
      <c r="E636">
        <v>0</v>
      </c>
      <c r="F636" s="10">
        <v>5415.66</v>
      </c>
      <c r="G636" t="s">
        <v>2357</v>
      </c>
      <c r="H636" t="s">
        <v>2358</v>
      </c>
      <c r="I636" t="s">
        <v>2359</v>
      </c>
      <c r="J636" s="8">
        <f t="shared" si="9"/>
        <v>30221</v>
      </c>
    </row>
    <row r="637" spans="1:10" x14ac:dyDescent="0.35">
      <c r="A637" t="s">
        <v>1703</v>
      </c>
      <c r="B637">
        <v>1991</v>
      </c>
      <c r="C637" t="s">
        <v>2356</v>
      </c>
      <c r="D637">
        <v>6</v>
      </c>
      <c r="E637">
        <v>3</v>
      </c>
      <c r="F637" s="10">
        <v>5425.02</v>
      </c>
      <c r="G637" t="s">
        <v>2357</v>
      </c>
      <c r="H637" t="s">
        <v>2361</v>
      </c>
      <c r="I637" t="s">
        <v>2364</v>
      </c>
      <c r="J637" s="8">
        <f t="shared" si="9"/>
        <v>33425</v>
      </c>
    </row>
    <row r="638" spans="1:10" x14ac:dyDescent="0.35">
      <c r="A638" t="s">
        <v>1702</v>
      </c>
      <c r="B638">
        <v>1992</v>
      </c>
      <c r="C638" t="s">
        <v>2363</v>
      </c>
      <c r="D638">
        <v>17</v>
      </c>
      <c r="E638">
        <v>3</v>
      </c>
      <c r="F638" s="10">
        <v>5428.73</v>
      </c>
      <c r="G638" t="s">
        <v>2358</v>
      </c>
      <c r="H638" t="s">
        <v>2361</v>
      </c>
      <c r="I638" t="s">
        <v>2378</v>
      </c>
      <c r="J638" s="8">
        <f t="shared" si="9"/>
        <v>33864</v>
      </c>
    </row>
    <row r="639" spans="1:10" x14ac:dyDescent="0.35">
      <c r="A639" t="s">
        <v>1701</v>
      </c>
      <c r="B639">
        <v>1978</v>
      </c>
      <c r="C639" t="s">
        <v>2362</v>
      </c>
      <c r="D639">
        <v>8</v>
      </c>
      <c r="E639">
        <v>2</v>
      </c>
      <c r="F639" s="10">
        <v>5428.98</v>
      </c>
      <c r="G639" t="s">
        <v>2357</v>
      </c>
      <c r="H639" t="s">
        <v>2357</v>
      </c>
      <c r="I639" t="s">
        <v>2364</v>
      </c>
      <c r="J639" s="8">
        <f t="shared" si="9"/>
        <v>28649</v>
      </c>
    </row>
    <row r="640" spans="1:10" x14ac:dyDescent="0.35">
      <c r="A640" t="s">
        <v>1700</v>
      </c>
      <c r="B640">
        <v>1982</v>
      </c>
      <c r="C640" t="s">
        <v>2366</v>
      </c>
      <c r="D640">
        <v>25</v>
      </c>
      <c r="E640">
        <v>0</v>
      </c>
      <c r="F640" s="10">
        <v>5438.75</v>
      </c>
      <c r="G640" t="s">
        <v>2358</v>
      </c>
      <c r="H640" t="s">
        <v>2357</v>
      </c>
      <c r="I640" t="s">
        <v>2359</v>
      </c>
      <c r="J640" s="8">
        <f t="shared" si="9"/>
        <v>30188</v>
      </c>
    </row>
    <row r="641" spans="1:10" x14ac:dyDescent="0.35">
      <c r="A641" t="s">
        <v>1699</v>
      </c>
      <c r="B641">
        <v>1986</v>
      </c>
      <c r="C641" t="s">
        <v>2365</v>
      </c>
      <c r="D641">
        <v>25</v>
      </c>
      <c r="E641">
        <v>0</v>
      </c>
      <c r="F641" s="10">
        <v>5458.05</v>
      </c>
      <c r="G641" t="s">
        <v>2357</v>
      </c>
      <c r="H641" t="s">
        <v>2357</v>
      </c>
      <c r="I641" t="s">
        <v>2374</v>
      </c>
      <c r="J641" s="8">
        <f t="shared" si="9"/>
        <v>31771</v>
      </c>
    </row>
    <row r="642" spans="1:10" x14ac:dyDescent="0.35">
      <c r="A642" t="s">
        <v>1698</v>
      </c>
      <c r="B642">
        <v>1973</v>
      </c>
      <c r="C642" t="s">
        <v>2367</v>
      </c>
      <c r="D642">
        <v>24</v>
      </c>
      <c r="E642">
        <v>0</v>
      </c>
      <c r="F642" s="10">
        <v>5466.88</v>
      </c>
      <c r="G642" t="s">
        <v>2357</v>
      </c>
      <c r="H642" t="s">
        <v>2357</v>
      </c>
      <c r="I642" t="s">
        <v>2359</v>
      </c>
      <c r="J642" s="8">
        <f t="shared" si="9"/>
        <v>26961</v>
      </c>
    </row>
    <row r="643" spans="1:10" x14ac:dyDescent="0.35">
      <c r="A643" t="s">
        <v>1697</v>
      </c>
      <c r="B643">
        <v>1986</v>
      </c>
      <c r="C643" t="s">
        <v>2365</v>
      </c>
      <c r="D643">
        <v>2</v>
      </c>
      <c r="E643">
        <v>0</v>
      </c>
      <c r="F643" s="10">
        <v>5469.01</v>
      </c>
      <c r="G643" t="s">
        <v>2357</v>
      </c>
      <c r="H643" t="s">
        <v>2357</v>
      </c>
      <c r="I643" t="s">
        <v>2374</v>
      </c>
      <c r="J643" s="8">
        <f t="shared" ref="J643:J706" si="10">DATE(B643,MONTH(1&amp;C643),D643)</f>
        <v>31748</v>
      </c>
    </row>
    <row r="644" spans="1:10" x14ac:dyDescent="0.35">
      <c r="A644" t="s">
        <v>1696</v>
      </c>
      <c r="B644">
        <v>1986</v>
      </c>
      <c r="C644" t="s">
        <v>2356</v>
      </c>
      <c r="D644">
        <v>12</v>
      </c>
      <c r="E644">
        <v>1</v>
      </c>
      <c r="F644" s="10">
        <v>5472.45</v>
      </c>
      <c r="G644" t="s">
        <v>2357</v>
      </c>
      <c r="H644" t="s">
        <v>2358</v>
      </c>
      <c r="I644" t="s">
        <v>2368</v>
      </c>
      <c r="J644" s="8">
        <f t="shared" si="10"/>
        <v>31605</v>
      </c>
    </row>
    <row r="645" spans="1:10" x14ac:dyDescent="0.35">
      <c r="A645" t="s">
        <v>1695</v>
      </c>
      <c r="B645">
        <v>1986</v>
      </c>
      <c r="C645" t="s">
        <v>2363</v>
      </c>
      <c r="D645">
        <v>30</v>
      </c>
      <c r="E645">
        <v>1</v>
      </c>
      <c r="F645" s="10">
        <v>5478.04</v>
      </c>
      <c r="G645" t="s">
        <v>2357</v>
      </c>
      <c r="H645" t="s">
        <v>2358</v>
      </c>
      <c r="I645" t="s">
        <v>2359</v>
      </c>
      <c r="J645" s="8">
        <f t="shared" si="10"/>
        <v>31685</v>
      </c>
    </row>
    <row r="646" spans="1:10" x14ac:dyDescent="0.35">
      <c r="A646" t="s">
        <v>1694</v>
      </c>
      <c r="B646">
        <v>1984</v>
      </c>
      <c r="C646" t="s">
        <v>2366</v>
      </c>
      <c r="D646">
        <v>26</v>
      </c>
      <c r="E646">
        <v>1</v>
      </c>
      <c r="F646" s="10">
        <v>5484.47</v>
      </c>
      <c r="G646" t="s">
        <v>2357</v>
      </c>
      <c r="H646" t="s">
        <v>2357</v>
      </c>
      <c r="I646" t="s">
        <v>2359</v>
      </c>
      <c r="J646" s="8">
        <f t="shared" si="10"/>
        <v>30920</v>
      </c>
    </row>
    <row r="647" spans="1:10" x14ac:dyDescent="0.35">
      <c r="A647" t="s">
        <v>1693</v>
      </c>
      <c r="B647">
        <v>1984</v>
      </c>
      <c r="C647" t="s">
        <v>2366</v>
      </c>
      <c r="D647">
        <v>17</v>
      </c>
      <c r="E647">
        <v>1</v>
      </c>
      <c r="F647" s="10">
        <v>5488.26</v>
      </c>
      <c r="G647" t="s">
        <v>2357</v>
      </c>
      <c r="H647" t="s">
        <v>2358</v>
      </c>
      <c r="I647" t="s">
        <v>2368</v>
      </c>
      <c r="J647" s="8">
        <f t="shared" si="10"/>
        <v>30911</v>
      </c>
    </row>
    <row r="648" spans="1:10" x14ac:dyDescent="0.35">
      <c r="A648" t="s">
        <v>1692</v>
      </c>
      <c r="B648">
        <v>1988</v>
      </c>
      <c r="C648" t="s">
        <v>2356</v>
      </c>
      <c r="D648">
        <v>29</v>
      </c>
      <c r="E648">
        <v>3</v>
      </c>
      <c r="F648" s="10">
        <v>5503.36</v>
      </c>
      <c r="G648" t="s">
        <v>2357</v>
      </c>
      <c r="H648" t="s">
        <v>2357</v>
      </c>
      <c r="I648" t="s">
        <v>2364</v>
      </c>
      <c r="J648" s="8">
        <f t="shared" si="10"/>
        <v>32353</v>
      </c>
    </row>
    <row r="649" spans="1:10" x14ac:dyDescent="0.35">
      <c r="A649" t="s">
        <v>1691</v>
      </c>
      <c r="B649">
        <v>1981</v>
      </c>
      <c r="C649" t="s">
        <v>2360</v>
      </c>
      <c r="D649">
        <v>7</v>
      </c>
      <c r="E649">
        <v>1</v>
      </c>
      <c r="F649" s="10">
        <v>5539.4</v>
      </c>
      <c r="G649" t="s">
        <v>2357</v>
      </c>
      <c r="H649" t="s">
        <v>2357</v>
      </c>
      <c r="I649" t="s">
        <v>2359</v>
      </c>
      <c r="J649" s="8">
        <f t="shared" si="10"/>
        <v>29897</v>
      </c>
    </row>
    <row r="650" spans="1:10" x14ac:dyDescent="0.35">
      <c r="A650" t="s">
        <v>1690</v>
      </c>
      <c r="B650">
        <v>1980</v>
      </c>
      <c r="C650" t="s">
        <v>2365</v>
      </c>
      <c r="D650">
        <v>7</v>
      </c>
      <c r="E650">
        <v>2</v>
      </c>
      <c r="F650" s="10">
        <v>5540.35</v>
      </c>
      <c r="G650" t="s">
        <v>2357</v>
      </c>
      <c r="H650" t="s">
        <v>2357</v>
      </c>
      <c r="I650" t="s">
        <v>2364</v>
      </c>
      <c r="J650" s="8">
        <f t="shared" si="10"/>
        <v>29562</v>
      </c>
    </row>
    <row r="651" spans="1:10" x14ac:dyDescent="0.35">
      <c r="A651" t="s">
        <v>1689</v>
      </c>
      <c r="B651">
        <v>1999</v>
      </c>
      <c r="C651" t="s">
        <v>2363</v>
      </c>
      <c r="D651">
        <v>22</v>
      </c>
      <c r="E651">
        <v>0</v>
      </c>
      <c r="F651" s="10">
        <v>5552.61</v>
      </c>
      <c r="G651" t="s">
        <v>2357</v>
      </c>
      <c r="H651" t="s">
        <v>2358</v>
      </c>
      <c r="I651" t="s">
        <v>2380</v>
      </c>
      <c r="J651" s="8">
        <f t="shared" si="10"/>
        <v>36425</v>
      </c>
    </row>
    <row r="652" spans="1:10" x14ac:dyDescent="0.35">
      <c r="A652" t="s">
        <v>1688</v>
      </c>
      <c r="B652">
        <v>1974</v>
      </c>
      <c r="C652" t="s">
        <v>2363</v>
      </c>
      <c r="D652">
        <v>18</v>
      </c>
      <c r="E652">
        <v>0</v>
      </c>
      <c r="F652" s="10">
        <v>5576.35</v>
      </c>
      <c r="G652" t="s">
        <v>2357</v>
      </c>
      <c r="H652" t="s">
        <v>2358</v>
      </c>
      <c r="I652" t="s">
        <v>2359</v>
      </c>
      <c r="J652" s="8">
        <f t="shared" si="10"/>
        <v>27290</v>
      </c>
    </row>
    <row r="653" spans="1:10" x14ac:dyDescent="0.35">
      <c r="A653" t="s">
        <v>1687</v>
      </c>
      <c r="B653">
        <v>1985</v>
      </c>
      <c r="C653" t="s">
        <v>2363</v>
      </c>
      <c r="D653">
        <v>5</v>
      </c>
      <c r="E653">
        <v>3</v>
      </c>
      <c r="F653" s="10">
        <v>5582.95</v>
      </c>
      <c r="G653" t="s">
        <v>2357</v>
      </c>
      <c r="H653" t="s">
        <v>2361</v>
      </c>
      <c r="I653" t="s">
        <v>2364</v>
      </c>
      <c r="J653" s="8">
        <f t="shared" si="10"/>
        <v>31295</v>
      </c>
    </row>
    <row r="654" spans="1:10" x14ac:dyDescent="0.35">
      <c r="A654" t="s">
        <v>1686</v>
      </c>
      <c r="B654">
        <v>1986</v>
      </c>
      <c r="C654" t="s">
        <v>2360</v>
      </c>
      <c r="D654">
        <v>21</v>
      </c>
      <c r="E654">
        <v>2</v>
      </c>
      <c r="F654" s="10">
        <v>5584.31</v>
      </c>
      <c r="G654" t="s">
        <v>2358</v>
      </c>
      <c r="H654" t="s">
        <v>2361</v>
      </c>
      <c r="I654" t="s">
        <v>2359</v>
      </c>
      <c r="J654" s="8">
        <f t="shared" si="10"/>
        <v>31737</v>
      </c>
    </row>
    <row r="655" spans="1:10" x14ac:dyDescent="0.35">
      <c r="A655" t="s">
        <v>1685</v>
      </c>
      <c r="B655">
        <v>1983</v>
      </c>
      <c r="C655" t="s">
        <v>2367</v>
      </c>
      <c r="D655">
        <v>3</v>
      </c>
      <c r="E655">
        <v>3</v>
      </c>
      <c r="F655" s="10">
        <v>5587.59</v>
      </c>
      <c r="G655" t="s">
        <v>2357</v>
      </c>
      <c r="H655" t="s">
        <v>2361</v>
      </c>
      <c r="I655" t="s">
        <v>2359</v>
      </c>
      <c r="J655" s="8">
        <f t="shared" si="10"/>
        <v>30592</v>
      </c>
    </row>
    <row r="656" spans="1:10" x14ac:dyDescent="0.35">
      <c r="A656" t="s">
        <v>1684</v>
      </c>
      <c r="B656">
        <v>1988</v>
      </c>
      <c r="C656" t="s">
        <v>2360</v>
      </c>
      <c r="D656">
        <v>18</v>
      </c>
      <c r="E656">
        <v>1</v>
      </c>
      <c r="F656" s="10">
        <v>5594.85</v>
      </c>
      <c r="G656" t="s">
        <v>2357</v>
      </c>
      <c r="H656" t="s">
        <v>2358</v>
      </c>
      <c r="I656" t="s">
        <v>2374</v>
      </c>
      <c r="J656" s="8">
        <f t="shared" si="10"/>
        <v>32465</v>
      </c>
    </row>
    <row r="657" spans="1:10" x14ac:dyDescent="0.35">
      <c r="A657" t="s">
        <v>1683</v>
      </c>
      <c r="B657">
        <v>1978</v>
      </c>
      <c r="C657" t="s">
        <v>2363</v>
      </c>
      <c r="D657">
        <v>11</v>
      </c>
      <c r="E657">
        <v>2</v>
      </c>
      <c r="F657" s="10">
        <v>5612.83</v>
      </c>
      <c r="G657" t="s">
        <v>2357</v>
      </c>
      <c r="H657" t="s">
        <v>2358</v>
      </c>
      <c r="I657" t="s">
        <v>2359</v>
      </c>
      <c r="J657" s="8">
        <f t="shared" si="10"/>
        <v>28744</v>
      </c>
    </row>
    <row r="658" spans="1:10" x14ac:dyDescent="0.35">
      <c r="A658" t="s">
        <v>1682</v>
      </c>
      <c r="B658">
        <v>1994</v>
      </c>
      <c r="C658" t="s">
        <v>2360</v>
      </c>
      <c r="D658">
        <v>15</v>
      </c>
      <c r="E658">
        <v>5</v>
      </c>
      <c r="F658" s="10">
        <v>5615.37</v>
      </c>
      <c r="G658" t="s">
        <v>2357</v>
      </c>
      <c r="H658" t="s">
        <v>2358</v>
      </c>
      <c r="I658" t="s">
        <v>2368</v>
      </c>
      <c r="J658" s="8">
        <f t="shared" si="10"/>
        <v>34653</v>
      </c>
    </row>
    <row r="659" spans="1:10" x14ac:dyDescent="0.35">
      <c r="A659" t="s">
        <v>1681</v>
      </c>
      <c r="B659">
        <v>1987</v>
      </c>
      <c r="C659" t="s">
        <v>2365</v>
      </c>
      <c r="D659">
        <v>9</v>
      </c>
      <c r="E659">
        <v>1</v>
      </c>
      <c r="F659" s="10">
        <v>5630.46</v>
      </c>
      <c r="G659" t="s">
        <v>2357</v>
      </c>
      <c r="H659" t="s">
        <v>2358</v>
      </c>
      <c r="I659" t="s">
        <v>2364</v>
      </c>
      <c r="J659" s="8">
        <f t="shared" si="10"/>
        <v>32120</v>
      </c>
    </row>
    <row r="660" spans="1:10" x14ac:dyDescent="0.35">
      <c r="A660" t="s">
        <v>1680</v>
      </c>
      <c r="B660">
        <v>1983</v>
      </c>
      <c r="C660" t="s">
        <v>2362</v>
      </c>
      <c r="D660">
        <v>8</v>
      </c>
      <c r="E660">
        <v>0</v>
      </c>
      <c r="F660" s="10">
        <v>5649.72</v>
      </c>
      <c r="G660" t="s">
        <v>2357</v>
      </c>
      <c r="H660" t="s">
        <v>2358</v>
      </c>
      <c r="I660" t="s">
        <v>2368</v>
      </c>
      <c r="J660" s="8">
        <f t="shared" si="10"/>
        <v>30475</v>
      </c>
    </row>
    <row r="661" spans="1:10" x14ac:dyDescent="0.35">
      <c r="A661" t="s">
        <v>1679</v>
      </c>
      <c r="B661">
        <v>1978</v>
      </c>
      <c r="C661" t="s">
        <v>2363</v>
      </c>
      <c r="D661">
        <v>27</v>
      </c>
      <c r="E661">
        <v>2</v>
      </c>
      <c r="F661" s="10">
        <v>5650.14</v>
      </c>
      <c r="G661" t="s">
        <v>2357</v>
      </c>
      <c r="H661" t="s">
        <v>2361</v>
      </c>
      <c r="I661" t="s">
        <v>2359</v>
      </c>
      <c r="J661" s="8">
        <f t="shared" si="10"/>
        <v>28760</v>
      </c>
    </row>
    <row r="662" spans="1:10" x14ac:dyDescent="0.35">
      <c r="A662" t="s">
        <v>1678</v>
      </c>
      <c r="B662">
        <v>1983</v>
      </c>
      <c r="C662" t="s">
        <v>2363</v>
      </c>
      <c r="D662">
        <v>3</v>
      </c>
      <c r="E662">
        <v>0</v>
      </c>
      <c r="F662" s="10">
        <v>5662.23</v>
      </c>
      <c r="G662" t="s">
        <v>2357</v>
      </c>
      <c r="H662" t="s">
        <v>2361</v>
      </c>
      <c r="I662" t="s">
        <v>2359</v>
      </c>
      <c r="J662" s="8">
        <f t="shared" si="10"/>
        <v>30562</v>
      </c>
    </row>
    <row r="663" spans="1:10" x14ac:dyDescent="0.35">
      <c r="A663" t="s">
        <v>1677</v>
      </c>
      <c r="B663">
        <v>1984</v>
      </c>
      <c r="C663" t="s">
        <v>2366</v>
      </c>
      <c r="D663">
        <v>12</v>
      </c>
      <c r="E663">
        <v>3</v>
      </c>
      <c r="F663" s="10">
        <v>5679.13</v>
      </c>
      <c r="G663" t="s">
        <v>2357</v>
      </c>
      <c r="H663" t="s">
        <v>2357</v>
      </c>
      <c r="I663" t="s">
        <v>2359</v>
      </c>
      <c r="J663" s="8">
        <f t="shared" si="10"/>
        <v>30906</v>
      </c>
    </row>
    <row r="664" spans="1:10" x14ac:dyDescent="0.35">
      <c r="A664" t="s">
        <v>1676</v>
      </c>
      <c r="B664">
        <v>1972</v>
      </c>
      <c r="C664" t="s">
        <v>2367</v>
      </c>
      <c r="D664">
        <v>28</v>
      </c>
      <c r="E664">
        <v>0</v>
      </c>
      <c r="F664" s="10">
        <v>5690.79</v>
      </c>
      <c r="G664" t="s">
        <v>2357</v>
      </c>
      <c r="H664" t="s">
        <v>2361</v>
      </c>
      <c r="I664" t="s">
        <v>2359</v>
      </c>
      <c r="J664" s="8">
        <f t="shared" si="10"/>
        <v>26600</v>
      </c>
    </row>
    <row r="665" spans="1:10" x14ac:dyDescent="0.35">
      <c r="A665" t="s">
        <v>1675</v>
      </c>
      <c r="B665">
        <v>1992</v>
      </c>
      <c r="C665" t="s">
        <v>2360</v>
      </c>
      <c r="D665">
        <v>3</v>
      </c>
      <c r="E665">
        <v>3</v>
      </c>
      <c r="F665" s="10">
        <v>5693.43</v>
      </c>
      <c r="G665" t="s">
        <v>2357</v>
      </c>
      <c r="H665" t="s">
        <v>2358</v>
      </c>
      <c r="I665" t="s">
        <v>2364</v>
      </c>
      <c r="J665" s="8">
        <f t="shared" si="10"/>
        <v>33911</v>
      </c>
    </row>
    <row r="666" spans="1:10" x14ac:dyDescent="0.35">
      <c r="A666" t="s">
        <v>1674</v>
      </c>
      <c r="B666">
        <v>1974</v>
      </c>
      <c r="C666" t="s">
        <v>2356</v>
      </c>
      <c r="D666">
        <v>6</v>
      </c>
      <c r="E666">
        <v>0</v>
      </c>
      <c r="F666" s="10">
        <v>5698.74</v>
      </c>
      <c r="G666" t="s">
        <v>2357</v>
      </c>
      <c r="H666" t="s">
        <v>2357</v>
      </c>
      <c r="I666" t="s">
        <v>2364</v>
      </c>
      <c r="J666" s="8">
        <f t="shared" si="10"/>
        <v>27216</v>
      </c>
    </row>
    <row r="667" spans="1:10" x14ac:dyDescent="0.35">
      <c r="A667" t="s">
        <v>1673</v>
      </c>
      <c r="B667">
        <v>1981</v>
      </c>
      <c r="C667" t="s">
        <v>2362</v>
      </c>
      <c r="D667">
        <v>15</v>
      </c>
      <c r="E667">
        <v>0</v>
      </c>
      <c r="F667" s="10">
        <v>5699.84</v>
      </c>
      <c r="G667" t="s">
        <v>2357</v>
      </c>
      <c r="H667" t="s">
        <v>2358</v>
      </c>
      <c r="I667" t="s">
        <v>2359</v>
      </c>
      <c r="J667" s="8">
        <f t="shared" si="10"/>
        <v>29752</v>
      </c>
    </row>
    <row r="668" spans="1:10" x14ac:dyDescent="0.35">
      <c r="A668" t="s">
        <v>1672</v>
      </c>
      <c r="B668">
        <v>1993</v>
      </c>
      <c r="C668" t="s">
        <v>2360</v>
      </c>
      <c r="D668">
        <v>3</v>
      </c>
      <c r="E668">
        <v>4</v>
      </c>
      <c r="F668" s="10">
        <v>5708.87</v>
      </c>
      <c r="G668" t="s">
        <v>2357</v>
      </c>
      <c r="H668" t="s">
        <v>2361</v>
      </c>
      <c r="I668" t="s">
        <v>2368</v>
      </c>
      <c r="J668" s="8">
        <f t="shared" si="10"/>
        <v>34276</v>
      </c>
    </row>
    <row r="669" spans="1:10" x14ac:dyDescent="0.35">
      <c r="A669" t="s">
        <v>1671</v>
      </c>
      <c r="B669">
        <v>1981</v>
      </c>
      <c r="C669" t="s">
        <v>2366</v>
      </c>
      <c r="D669">
        <v>30</v>
      </c>
      <c r="E669">
        <v>0</v>
      </c>
      <c r="F669" s="10">
        <v>5709.16</v>
      </c>
      <c r="G669" t="s">
        <v>2358</v>
      </c>
      <c r="H669" t="s">
        <v>2358</v>
      </c>
      <c r="I669" t="s">
        <v>2359</v>
      </c>
      <c r="J669" s="8">
        <f t="shared" si="10"/>
        <v>29828</v>
      </c>
    </row>
    <row r="670" spans="1:10" x14ac:dyDescent="0.35">
      <c r="A670" t="s">
        <v>1670</v>
      </c>
      <c r="B670">
        <v>1971</v>
      </c>
      <c r="C670" t="s">
        <v>2365</v>
      </c>
      <c r="D670">
        <v>18</v>
      </c>
      <c r="E670">
        <v>0</v>
      </c>
      <c r="F670" s="10">
        <v>5720.38</v>
      </c>
      <c r="G670" t="s">
        <v>2357</v>
      </c>
      <c r="H670" t="s">
        <v>2361</v>
      </c>
      <c r="I670" t="s">
        <v>2359</v>
      </c>
      <c r="J670" s="8">
        <f t="shared" si="10"/>
        <v>26285</v>
      </c>
    </row>
    <row r="671" spans="1:10" x14ac:dyDescent="0.35">
      <c r="A671" t="s">
        <v>1669</v>
      </c>
      <c r="B671">
        <v>1987</v>
      </c>
      <c r="C671" t="s">
        <v>2367</v>
      </c>
      <c r="D671">
        <v>19</v>
      </c>
      <c r="E671">
        <v>2</v>
      </c>
      <c r="F671" s="10">
        <v>5729.01</v>
      </c>
      <c r="G671" t="s">
        <v>2361</v>
      </c>
      <c r="H671" t="s">
        <v>2357</v>
      </c>
      <c r="I671" t="s">
        <v>2364</v>
      </c>
      <c r="J671" s="8">
        <f t="shared" si="10"/>
        <v>32069</v>
      </c>
    </row>
    <row r="672" spans="1:10" x14ac:dyDescent="0.35">
      <c r="A672" t="s">
        <v>1668</v>
      </c>
      <c r="B672">
        <v>1972</v>
      </c>
      <c r="C672" t="s">
        <v>2366</v>
      </c>
      <c r="D672">
        <v>21</v>
      </c>
      <c r="E672">
        <v>0</v>
      </c>
      <c r="F672" s="10">
        <v>5741.67</v>
      </c>
      <c r="G672" t="s">
        <v>2357</v>
      </c>
      <c r="H672" t="s">
        <v>2358</v>
      </c>
      <c r="I672" t="s">
        <v>2359</v>
      </c>
      <c r="J672" s="8">
        <f t="shared" si="10"/>
        <v>26532</v>
      </c>
    </row>
    <row r="673" spans="1:10" x14ac:dyDescent="0.35">
      <c r="A673" t="s">
        <v>1667</v>
      </c>
      <c r="B673">
        <v>1993</v>
      </c>
      <c r="C673" t="s">
        <v>2362</v>
      </c>
      <c r="D673">
        <v>10</v>
      </c>
      <c r="E673">
        <v>0</v>
      </c>
      <c r="F673" s="10">
        <v>5748.13</v>
      </c>
      <c r="G673" t="s">
        <v>2357</v>
      </c>
      <c r="H673" t="s">
        <v>2361</v>
      </c>
      <c r="I673" t="s">
        <v>2377</v>
      </c>
      <c r="J673" s="8">
        <f t="shared" si="10"/>
        <v>34130</v>
      </c>
    </row>
    <row r="674" spans="1:10" x14ac:dyDescent="0.35">
      <c r="A674" t="s">
        <v>1666</v>
      </c>
      <c r="B674">
        <v>1983</v>
      </c>
      <c r="C674" t="s">
        <v>2366</v>
      </c>
      <c r="D674">
        <v>30</v>
      </c>
      <c r="E674">
        <v>0</v>
      </c>
      <c r="F674" s="10">
        <v>5757.41</v>
      </c>
      <c r="G674" t="s">
        <v>2357</v>
      </c>
      <c r="H674" t="s">
        <v>2358</v>
      </c>
      <c r="I674" t="s">
        <v>2370</v>
      </c>
      <c r="J674" s="8">
        <f t="shared" si="10"/>
        <v>30558</v>
      </c>
    </row>
    <row r="675" spans="1:10" x14ac:dyDescent="0.35">
      <c r="A675" t="s">
        <v>1665</v>
      </c>
      <c r="B675">
        <v>2004</v>
      </c>
      <c r="C675" t="s">
        <v>2360</v>
      </c>
      <c r="D675">
        <v>1</v>
      </c>
      <c r="E675">
        <v>0</v>
      </c>
      <c r="F675" s="10">
        <v>5778.71</v>
      </c>
      <c r="G675" t="s">
        <v>2357</v>
      </c>
      <c r="H675" t="s">
        <v>2358</v>
      </c>
      <c r="I675" t="s">
        <v>2381</v>
      </c>
      <c r="J675" s="8">
        <f t="shared" si="10"/>
        <v>38292</v>
      </c>
    </row>
    <row r="676" spans="1:10" x14ac:dyDescent="0.35">
      <c r="A676" t="s">
        <v>1664</v>
      </c>
      <c r="B676">
        <v>1980</v>
      </c>
      <c r="C676" t="s">
        <v>2363</v>
      </c>
      <c r="D676">
        <v>18</v>
      </c>
      <c r="E676">
        <v>2</v>
      </c>
      <c r="F676" s="10">
        <v>5807.06</v>
      </c>
      <c r="G676" t="s">
        <v>2357</v>
      </c>
      <c r="H676" t="s">
        <v>2358</v>
      </c>
      <c r="I676" t="s">
        <v>2359</v>
      </c>
      <c r="J676" s="8">
        <f t="shared" si="10"/>
        <v>29482</v>
      </c>
    </row>
    <row r="677" spans="1:10" x14ac:dyDescent="0.35">
      <c r="A677" t="s">
        <v>1663</v>
      </c>
      <c r="B677">
        <v>1972</v>
      </c>
      <c r="C677" t="s">
        <v>2360</v>
      </c>
      <c r="D677">
        <v>2</v>
      </c>
      <c r="E677">
        <v>0</v>
      </c>
      <c r="F677" s="10">
        <v>5812.9</v>
      </c>
      <c r="G677" t="s">
        <v>2357</v>
      </c>
      <c r="H677" t="s">
        <v>2357</v>
      </c>
      <c r="I677" t="s">
        <v>2359</v>
      </c>
      <c r="J677" s="8">
        <f t="shared" si="10"/>
        <v>26605</v>
      </c>
    </row>
    <row r="678" spans="1:10" x14ac:dyDescent="0.35">
      <c r="A678" t="s">
        <v>1662</v>
      </c>
      <c r="B678">
        <v>2002</v>
      </c>
      <c r="C678" t="s">
        <v>2356</v>
      </c>
      <c r="D678">
        <v>22</v>
      </c>
      <c r="E678">
        <v>0</v>
      </c>
      <c r="F678" s="10">
        <v>5816.58</v>
      </c>
      <c r="G678" t="s">
        <v>2357</v>
      </c>
      <c r="H678" t="s">
        <v>2357</v>
      </c>
      <c r="I678" t="s">
        <v>2380</v>
      </c>
      <c r="J678" s="8">
        <f t="shared" si="10"/>
        <v>37459</v>
      </c>
    </row>
    <row r="679" spans="1:10" x14ac:dyDescent="0.35">
      <c r="A679" t="s">
        <v>1661</v>
      </c>
      <c r="B679">
        <v>1971</v>
      </c>
      <c r="C679" t="s">
        <v>2363</v>
      </c>
      <c r="D679">
        <v>27</v>
      </c>
      <c r="E679">
        <v>0</v>
      </c>
      <c r="F679" s="10">
        <v>5832.6</v>
      </c>
      <c r="G679" t="s">
        <v>2357</v>
      </c>
      <c r="H679" t="s">
        <v>2358</v>
      </c>
      <c r="I679" t="s">
        <v>2364</v>
      </c>
      <c r="J679" s="8">
        <f t="shared" si="10"/>
        <v>26203</v>
      </c>
    </row>
    <row r="680" spans="1:10" x14ac:dyDescent="0.35">
      <c r="A680" t="s">
        <v>1660</v>
      </c>
      <c r="B680">
        <v>1987</v>
      </c>
      <c r="C680" t="s">
        <v>2356</v>
      </c>
      <c r="D680">
        <v>27</v>
      </c>
      <c r="E680">
        <v>2</v>
      </c>
      <c r="F680" s="10">
        <v>5836.52</v>
      </c>
      <c r="G680" t="s">
        <v>2357</v>
      </c>
      <c r="H680" t="s">
        <v>2358</v>
      </c>
      <c r="I680" t="s">
        <v>2359</v>
      </c>
      <c r="J680" s="8">
        <f t="shared" si="10"/>
        <v>31985</v>
      </c>
    </row>
    <row r="681" spans="1:10" x14ac:dyDescent="0.35">
      <c r="A681" t="s">
        <v>1659</v>
      </c>
      <c r="B681">
        <v>1995</v>
      </c>
      <c r="C681" t="s">
        <v>2366</v>
      </c>
      <c r="D681">
        <v>20</v>
      </c>
      <c r="E681">
        <v>0</v>
      </c>
      <c r="F681" s="10">
        <v>5843.99</v>
      </c>
      <c r="G681" t="s">
        <v>2357</v>
      </c>
      <c r="H681" t="s">
        <v>2357</v>
      </c>
      <c r="I681" t="s">
        <v>2373</v>
      </c>
      <c r="J681" s="8">
        <f t="shared" si="10"/>
        <v>34931</v>
      </c>
    </row>
    <row r="682" spans="1:10" x14ac:dyDescent="0.35">
      <c r="A682" t="s">
        <v>1658</v>
      </c>
      <c r="B682">
        <v>1987</v>
      </c>
      <c r="C682" t="s">
        <v>2363</v>
      </c>
      <c r="D682">
        <v>30</v>
      </c>
      <c r="E682">
        <v>2</v>
      </c>
      <c r="F682" s="10">
        <v>5846.92</v>
      </c>
      <c r="G682" t="s">
        <v>2357</v>
      </c>
      <c r="H682" t="s">
        <v>2357</v>
      </c>
      <c r="I682" t="s">
        <v>2359</v>
      </c>
      <c r="J682" s="8">
        <f t="shared" si="10"/>
        <v>32050</v>
      </c>
    </row>
    <row r="683" spans="1:10" x14ac:dyDescent="0.35">
      <c r="A683" t="s">
        <v>1657</v>
      </c>
      <c r="B683">
        <v>1985</v>
      </c>
      <c r="C683" t="s">
        <v>2362</v>
      </c>
      <c r="D683">
        <v>18</v>
      </c>
      <c r="E683">
        <v>3</v>
      </c>
      <c r="F683" s="10">
        <v>5847.24</v>
      </c>
      <c r="G683" t="s">
        <v>2357</v>
      </c>
      <c r="H683" t="s">
        <v>2361</v>
      </c>
      <c r="I683" t="s">
        <v>2359</v>
      </c>
      <c r="J683" s="8">
        <f t="shared" si="10"/>
        <v>31216</v>
      </c>
    </row>
    <row r="684" spans="1:10" x14ac:dyDescent="0.35">
      <c r="A684" t="s">
        <v>1656</v>
      </c>
      <c r="B684">
        <v>1984</v>
      </c>
      <c r="C684" t="s">
        <v>2360</v>
      </c>
      <c r="D684">
        <v>22</v>
      </c>
      <c r="E684">
        <v>1</v>
      </c>
      <c r="F684" s="10">
        <v>5855.9</v>
      </c>
      <c r="G684" t="s">
        <v>2357</v>
      </c>
      <c r="H684" t="s">
        <v>2358</v>
      </c>
      <c r="I684" t="s">
        <v>2364</v>
      </c>
      <c r="J684" s="8">
        <f t="shared" si="10"/>
        <v>31008</v>
      </c>
    </row>
    <row r="685" spans="1:10" x14ac:dyDescent="0.35">
      <c r="A685" t="s">
        <v>1655</v>
      </c>
      <c r="B685">
        <v>1993</v>
      </c>
      <c r="C685" t="s">
        <v>2367</v>
      </c>
      <c r="D685">
        <v>19</v>
      </c>
      <c r="E685">
        <v>0</v>
      </c>
      <c r="F685" s="10">
        <v>5877.02</v>
      </c>
      <c r="G685" t="s">
        <v>2357</v>
      </c>
      <c r="H685" t="s">
        <v>2357</v>
      </c>
      <c r="I685" t="s">
        <v>2377</v>
      </c>
      <c r="J685" s="8">
        <f t="shared" si="10"/>
        <v>34261</v>
      </c>
    </row>
    <row r="686" spans="1:10" x14ac:dyDescent="0.35">
      <c r="A686" t="s">
        <v>1654</v>
      </c>
      <c r="B686">
        <v>1982</v>
      </c>
      <c r="C686" t="s">
        <v>2356</v>
      </c>
      <c r="D686">
        <v>8</v>
      </c>
      <c r="E686">
        <v>0</v>
      </c>
      <c r="F686" s="10">
        <v>5910.94</v>
      </c>
      <c r="G686" t="s">
        <v>2357</v>
      </c>
      <c r="H686" t="s">
        <v>2361</v>
      </c>
      <c r="I686" t="s">
        <v>2368</v>
      </c>
      <c r="J686" s="8">
        <f t="shared" si="10"/>
        <v>30140</v>
      </c>
    </row>
    <row r="687" spans="1:10" x14ac:dyDescent="0.35">
      <c r="A687" t="s">
        <v>1653</v>
      </c>
      <c r="B687">
        <v>1982</v>
      </c>
      <c r="C687" t="s">
        <v>2365</v>
      </c>
      <c r="D687">
        <v>21</v>
      </c>
      <c r="E687">
        <v>0</v>
      </c>
      <c r="F687" s="10">
        <v>5920.1</v>
      </c>
      <c r="G687" t="s">
        <v>2357</v>
      </c>
      <c r="H687" t="s">
        <v>2361</v>
      </c>
      <c r="I687" t="s">
        <v>2359</v>
      </c>
      <c r="J687" s="8">
        <f t="shared" si="10"/>
        <v>30306</v>
      </c>
    </row>
    <row r="688" spans="1:10" x14ac:dyDescent="0.35">
      <c r="A688" t="s">
        <v>1652</v>
      </c>
      <c r="B688">
        <v>1987</v>
      </c>
      <c r="C688" t="s">
        <v>2356</v>
      </c>
      <c r="D688">
        <v>29</v>
      </c>
      <c r="E688">
        <v>3</v>
      </c>
      <c r="F688" s="10">
        <v>5926.85</v>
      </c>
      <c r="G688" t="s">
        <v>2358</v>
      </c>
      <c r="H688" t="s">
        <v>2358</v>
      </c>
      <c r="I688" t="s">
        <v>2368</v>
      </c>
      <c r="J688" s="8">
        <f t="shared" si="10"/>
        <v>31987</v>
      </c>
    </row>
    <row r="689" spans="1:10" x14ac:dyDescent="0.35">
      <c r="A689" t="s">
        <v>1651</v>
      </c>
      <c r="B689">
        <v>1993</v>
      </c>
      <c r="C689" t="s">
        <v>2366</v>
      </c>
      <c r="D689">
        <v>13</v>
      </c>
      <c r="E689">
        <v>0</v>
      </c>
      <c r="F689" s="10">
        <v>5926.93</v>
      </c>
      <c r="G689" t="s">
        <v>2357</v>
      </c>
      <c r="H689" t="s">
        <v>2357</v>
      </c>
      <c r="I689" t="s">
        <v>2373</v>
      </c>
      <c r="J689" s="8">
        <f t="shared" si="10"/>
        <v>34194</v>
      </c>
    </row>
    <row r="690" spans="1:10" x14ac:dyDescent="0.35">
      <c r="A690" t="s">
        <v>1650</v>
      </c>
      <c r="B690">
        <v>1994</v>
      </c>
      <c r="C690" t="s">
        <v>2356</v>
      </c>
      <c r="D690">
        <v>30</v>
      </c>
      <c r="E690">
        <v>0</v>
      </c>
      <c r="F690" s="10">
        <v>5927.65</v>
      </c>
      <c r="G690" t="s">
        <v>2357</v>
      </c>
      <c r="H690" t="s">
        <v>2361</v>
      </c>
      <c r="I690" t="s">
        <v>2364</v>
      </c>
      <c r="J690" s="8">
        <f t="shared" si="10"/>
        <v>34545</v>
      </c>
    </row>
    <row r="691" spans="1:10" x14ac:dyDescent="0.35">
      <c r="A691" t="s">
        <v>1649</v>
      </c>
      <c r="B691">
        <v>1987</v>
      </c>
      <c r="C691" t="s">
        <v>2356</v>
      </c>
      <c r="D691">
        <v>14</v>
      </c>
      <c r="E691">
        <v>3</v>
      </c>
      <c r="F691" s="10">
        <v>5934.38</v>
      </c>
      <c r="G691" t="s">
        <v>2358</v>
      </c>
      <c r="H691" t="s">
        <v>2357</v>
      </c>
      <c r="I691" t="s">
        <v>2359</v>
      </c>
      <c r="J691" s="8">
        <f t="shared" si="10"/>
        <v>31972</v>
      </c>
    </row>
    <row r="692" spans="1:10" x14ac:dyDescent="0.35">
      <c r="A692" t="s">
        <v>1648</v>
      </c>
      <c r="B692">
        <v>2003</v>
      </c>
      <c r="C692" t="s">
        <v>2366</v>
      </c>
      <c r="D692">
        <v>13</v>
      </c>
      <c r="E692">
        <v>0</v>
      </c>
      <c r="F692" s="10">
        <v>5957.35</v>
      </c>
      <c r="G692" t="s">
        <v>2357</v>
      </c>
      <c r="H692" t="s">
        <v>2357</v>
      </c>
      <c r="I692" t="s">
        <v>2364</v>
      </c>
      <c r="J692" s="8">
        <f t="shared" si="10"/>
        <v>37846</v>
      </c>
    </row>
    <row r="693" spans="1:10" x14ac:dyDescent="0.35">
      <c r="A693" t="s">
        <v>1647</v>
      </c>
      <c r="B693">
        <v>2004</v>
      </c>
      <c r="C693" t="s">
        <v>2356</v>
      </c>
      <c r="D693">
        <v>15</v>
      </c>
      <c r="E693">
        <v>0</v>
      </c>
      <c r="F693" s="10">
        <v>5960.91</v>
      </c>
      <c r="G693" t="s">
        <v>2357</v>
      </c>
      <c r="H693" t="s">
        <v>2361</v>
      </c>
      <c r="I693" t="s">
        <v>2380</v>
      </c>
      <c r="J693" s="8">
        <f t="shared" si="10"/>
        <v>38183</v>
      </c>
    </row>
    <row r="694" spans="1:10" x14ac:dyDescent="0.35">
      <c r="A694" t="s">
        <v>1646</v>
      </c>
      <c r="B694">
        <v>1980</v>
      </c>
      <c r="C694" t="s">
        <v>2366</v>
      </c>
      <c r="D694">
        <v>5</v>
      </c>
      <c r="E694">
        <v>0</v>
      </c>
      <c r="F694" s="10">
        <v>5966.89</v>
      </c>
      <c r="G694" t="s">
        <v>2357</v>
      </c>
      <c r="H694" t="s">
        <v>2358</v>
      </c>
      <c r="I694" t="s">
        <v>2359</v>
      </c>
      <c r="J694" s="8">
        <f t="shared" si="10"/>
        <v>29438</v>
      </c>
    </row>
    <row r="695" spans="1:10" x14ac:dyDescent="0.35">
      <c r="A695" t="s">
        <v>1645</v>
      </c>
      <c r="B695">
        <v>1980</v>
      </c>
      <c r="C695" t="s">
        <v>2356</v>
      </c>
      <c r="D695">
        <v>21</v>
      </c>
      <c r="E695">
        <v>0</v>
      </c>
      <c r="F695" s="10">
        <v>5969.72</v>
      </c>
      <c r="G695" t="s">
        <v>2358</v>
      </c>
      <c r="H695" t="s">
        <v>2358</v>
      </c>
      <c r="I695" t="s">
        <v>2368</v>
      </c>
      <c r="J695" s="8">
        <f t="shared" si="10"/>
        <v>29423</v>
      </c>
    </row>
    <row r="696" spans="1:10" x14ac:dyDescent="0.35">
      <c r="A696" t="s">
        <v>1644</v>
      </c>
      <c r="B696">
        <v>1989</v>
      </c>
      <c r="C696" t="s">
        <v>2356</v>
      </c>
      <c r="D696">
        <v>22</v>
      </c>
      <c r="E696">
        <v>3</v>
      </c>
      <c r="F696" s="10">
        <v>5972.38</v>
      </c>
      <c r="G696" t="s">
        <v>2357</v>
      </c>
      <c r="H696" t="s">
        <v>2357</v>
      </c>
      <c r="I696" t="s">
        <v>2368</v>
      </c>
      <c r="J696" s="8">
        <f t="shared" si="10"/>
        <v>32711</v>
      </c>
    </row>
    <row r="697" spans="1:10" x14ac:dyDescent="0.35">
      <c r="A697" t="s">
        <v>1643</v>
      </c>
      <c r="B697">
        <v>1984</v>
      </c>
      <c r="C697" t="s">
        <v>2363</v>
      </c>
      <c r="D697">
        <v>19</v>
      </c>
      <c r="E697">
        <v>1</v>
      </c>
      <c r="F697" s="10">
        <v>5974.38</v>
      </c>
      <c r="G697" t="s">
        <v>2357</v>
      </c>
      <c r="H697" t="s">
        <v>2358</v>
      </c>
      <c r="I697" t="s">
        <v>2359</v>
      </c>
      <c r="J697" s="8">
        <f t="shared" si="10"/>
        <v>30944</v>
      </c>
    </row>
    <row r="698" spans="1:10" x14ac:dyDescent="0.35">
      <c r="A698" t="s">
        <v>1642</v>
      </c>
      <c r="B698">
        <v>1984</v>
      </c>
      <c r="C698" t="s">
        <v>2360</v>
      </c>
      <c r="D698">
        <v>11</v>
      </c>
      <c r="E698">
        <v>1</v>
      </c>
      <c r="F698" s="10">
        <v>5976.83</v>
      </c>
      <c r="G698" t="s">
        <v>2357</v>
      </c>
      <c r="H698" t="s">
        <v>2357</v>
      </c>
      <c r="I698" t="s">
        <v>2359</v>
      </c>
      <c r="J698" s="8">
        <f t="shared" si="10"/>
        <v>30997</v>
      </c>
    </row>
    <row r="699" spans="1:10" x14ac:dyDescent="0.35">
      <c r="A699" t="s">
        <v>1641</v>
      </c>
      <c r="B699">
        <v>1970</v>
      </c>
      <c r="C699" t="s">
        <v>2362</v>
      </c>
      <c r="D699">
        <v>25</v>
      </c>
      <c r="E699">
        <v>0</v>
      </c>
      <c r="F699" s="10">
        <v>5979.66</v>
      </c>
      <c r="G699" t="s">
        <v>2357</v>
      </c>
      <c r="H699" t="s">
        <v>2358</v>
      </c>
      <c r="I699" t="s">
        <v>2359</v>
      </c>
      <c r="J699" s="8">
        <f t="shared" si="10"/>
        <v>25744</v>
      </c>
    </row>
    <row r="700" spans="1:10" x14ac:dyDescent="0.35">
      <c r="A700" t="s">
        <v>1640</v>
      </c>
      <c r="B700">
        <v>1980</v>
      </c>
      <c r="C700" t="s">
        <v>2367</v>
      </c>
      <c r="D700">
        <v>10</v>
      </c>
      <c r="E700">
        <v>0</v>
      </c>
      <c r="F700" s="10">
        <v>5979.73</v>
      </c>
      <c r="G700" t="s">
        <v>2357</v>
      </c>
      <c r="H700" t="s">
        <v>2357</v>
      </c>
      <c r="I700" t="s">
        <v>2368</v>
      </c>
      <c r="J700" s="8">
        <f t="shared" si="10"/>
        <v>29504</v>
      </c>
    </row>
    <row r="701" spans="1:10" x14ac:dyDescent="0.35">
      <c r="A701" t="s">
        <v>1639</v>
      </c>
      <c r="B701">
        <v>1974</v>
      </c>
      <c r="C701" t="s">
        <v>2367</v>
      </c>
      <c r="D701">
        <v>11</v>
      </c>
      <c r="E701">
        <v>0</v>
      </c>
      <c r="F701" s="10">
        <v>5979.99</v>
      </c>
      <c r="G701" t="s">
        <v>2357</v>
      </c>
      <c r="H701" t="s">
        <v>2358</v>
      </c>
      <c r="I701" t="s">
        <v>2359</v>
      </c>
      <c r="J701" s="8">
        <f t="shared" si="10"/>
        <v>27313</v>
      </c>
    </row>
    <row r="702" spans="1:10" x14ac:dyDescent="0.35">
      <c r="A702" t="s">
        <v>1638</v>
      </c>
      <c r="B702">
        <v>1988</v>
      </c>
      <c r="C702" t="s">
        <v>2362</v>
      </c>
      <c r="D702">
        <v>10</v>
      </c>
      <c r="E702">
        <v>2</v>
      </c>
      <c r="F702" s="10">
        <v>5989.52</v>
      </c>
      <c r="G702" t="s">
        <v>2357</v>
      </c>
      <c r="H702" t="s">
        <v>2361</v>
      </c>
      <c r="I702" t="s">
        <v>2364</v>
      </c>
      <c r="J702" s="8">
        <f t="shared" si="10"/>
        <v>32304</v>
      </c>
    </row>
    <row r="703" spans="1:10" x14ac:dyDescent="0.35">
      <c r="A703" t="s">
        <v>1637</v>
      </c>
      <c r="B703">
        <v>1974</v>
      </c>
      <c r="C703" t="s">
        <v>2366</v>
      </c>
      <c r="D703">
        <v>17</v>
      </c>
      <c r="E703">
        <v>0</v>
      </c>
      <c r="F703" s="10">
        <v>5990.17</v>
      </c>
      <c r="G703" t="s">
        <v>2357</v>
      </c>
      <c r="H703" t="s">
        <v>2357</v>
      </c>
      <c r="I703" t="s">
        <v>2359</v>
      </c>
      <c r="J703" s="8">
        <f t="shared" si="10"/>
        <v>27258</v>
      </c>
    </row>
    <row r="704" spans="1:10" x14ac:dyDescent="0.35">
      <c r="A704" t="s">
        <v>1636</v>
      </c>
      <c r="B704">
        <v>1980</v>
      </c>
      <c r="C704" t="s">
        <v>2366</v>
      </c>
      <c r="D704">
        <v>8</v>
      </c>
      <c r="E704">
        <v>2</v>
      </c>
      <c r="F704" s="10">
        <v>5993.62</v>
      </c>
      <c r="G704" t="s">
        <v>2357</v>
      </c>
      <c r="H704" t="s">
        <v>2358</v>
      </c>
      <c r="I704" t="s">
        <v>2359</v>
      </c>
      <c r="J704" s="8">
        <f t="shared" si="10"/>
        <v>29441</v>
      </c>
    </row>
    <row r="705" spans="1:10" x14ac:dyDescent="0.35">
      <c r="A705" t="s">
        <v>1635</v>
      </c>
      <c r="B705">
        <v>1989</v>
      </c>
      <c r="C705" t="s">
        <v>2366</v>
      </c>
      <c r="D705">
        <v>16</v>
      </c>
      <c r="E705">
        <v>4</v>
      </c>
      <c r="F705" s="10">
        <v>6059.17</v>
      </c>
      <c r="G705" t="s">
        <v>2357</v>
      </c>
      <c r="H705" t="s">
        <v>2361</v>
      </c>
      <c r="I705" t="s">
        <v>2368</v>
      </c>
      <c r="J705" s="8">
        <f t="shared" si="10"/>
        <v>32736</v>
      </c>
    </row>
    <row r="706" spans="1:10" x14ac:dyDescent="0.35">
      <c r="A706" t="s">
        <v>1634</v>
      </c>
      <c r="B706">
        <v>1996</v>
      </c>
      <c r="C706" t="s">
        <v>2356</v>
      </c>
      <c r="D706">
        <v>28</v>
      </c>
      <c r="E706">
        <v>0</v>
      </c>
      <c r="F706" s="10">
        <v>6061.8</v>
      </c>
      <c r="G706" t="s">
        <v>2357</v>
      </c>
      <c r="H706" t="s">
        <v>2358</v>
      </c>
      <c r="I706" t="s">
        <v>2364</v>
      </c>
      <c r="J706" s="8">
        <f t="shared" si="10"/>
        <v>35274</v>
      </c>
    </row>
    <row r="707" spans="1:10" x14ac:dyDescent="0.35">
      <c r="A707" t="s">
        <v>1633</v>
      </c>
      <c r="B707">
        <v>1994</v>
      </c>
      <c r="C707" t="s">
        <v>2360</v>
      </c>
      <c r="D707">
        <v>8</v>
      </c>
      <c r="E707">
        <v>0</v>
      </c>
      <c r="F707" s="10">
        <v>6064.37</v>
      </c>
      <c r="G707" t="s">
        <v>2357</v>
      </c>
      <c r="H707" t="s">
        <v>2357</v>
      </c>
      <c r="I707" t="s">
        <v>2368</v>
      </c>
      <c r="J707" s="8">
        <f t="shared" ref="J707:J770" si="11">DATE(B707,MONTH(1&amp;C707),D707)</f>
        <v>34646</v>
      </c>
    </row>
    <row r="708" spans="1:10" x14ac:dyDescent="0.35">
      <c r="A708" t="s">
        <v>1632</v>
      </c>
      <c r="B708">
        <v>1984</v>
      </c>
      <c r="C708" t="s">
        <v>2363</v>
      </c>
      <c r="D708">
        <v>21</v>
      </c>
      <c r="E708">
        <v>1</v>
      </c>
      <c r="F708" s="10">
        <v>6067.13</v>
      </c>
      <c r="G708" t="s">
        <v>2358</v>
      </c>
      <c r="H708" t="s">
        <v>2361</v>
      </c>
      <c r="I708" t="s">
        <v>2371</v>
      </c>
      <c r="J708" s="8">
        <f t="shared" si="11"/>
        <v>30946</v>
      </c>
    </row>
    <row r="709" spans="1:10" x14ac:dyDescent="0.35">
      <c r="A709" t="s">
        <v>1631</v>
      </c>
      <c r="B709">
        <v>1979</v>
      </c>
      <c r="C709" t="s">
        <v>2366</v>
      </c>
      <c r="D709">
        <v>8</v>
      </c>
      <c r="E709">
        <v>2</v>
      </c>
      <c r="F709" s="10">
        <v>6074.37</v>
      </c>
      <c r="G709" t="s">
        <v>2357</v>
      </c>
      <c r="H709" t="s">
        <v>2357</v>
      </c>
      <c r="I709" t="s">
        <v>2364</v>
      </c>
      <c r="J709" s="8">
        <f t="shared" si="11"/>
        <v>29075</v>
      </c>
    </row>
    <row r="710" spans="1:10" x14ac:dyDescent="0.35">
      <c r="A710" t="s">
        <v>1630</v>
      </c>
      <c r="B710">
        <v>1984</v>
      </c>
      <c r="C710" t="s">
        <v>2367</v>
      </c>
      <c r="D710">
        <v>14</v>
      </c>
      <c r="E710">
        <v>1</v>
      </c>
      <c r="F710" s="10">
        <v>6079.67</v>
      </c>
      <c r="G710" t="s">
        <v>2361</v>
      </c>
      <c r="H710" t="s">
        <v>2361</v>
      </c>
      <c r="I710" t="s">
        <v>2376</v>
      </c>
      <c r="J710" s="8">
        <f t="shared" si="11"/>
        <v>30969</v>
      </c>
    </row>
    <row r="711" spans="1:10" x14ac:dyDescent="0.35">
      <c r="A711" t="s">
        <v>1629</v>
      </c>
      <c r="B711">
        <v>1984</v>
      </c>
      <c r="C711" t="s">
        <v>2356</v>
      </c>
      <c r="D711">
        <v>25</v>
      </c>
      <c r="E711">
        <v>2</v>
      </c>
      <c r="F711" s="10">
        <v>6082.41</v>
      </c>
      <c r="G711" t="s">
        <v>2361</v>
      </c>
      <c r="H711" t="s">
        <v>2357</v>
      </c>
      <c r="I711" t="s">
        <v>2368</v>
      </c>
      <c r="J711" s="8">
        <f t="shared" si="11"/>
        <v>30888</v>
      </c>
    </row>
    <row r="712" spans="1:10" x14ac:dyDescent="0.35">
      <c r="A712" t="s">
        <v>1628</v>
      </c>
      <c r="B712">
        <v>1970</v>
      </c>
      <c r="C712" t="s">
        <v>2362</v>
      </c>
      <c r="D712">
        <v>9</v>
      </c>
      <c r="E712">
        <v>0</v>
      </c>
      <c r="F712" s="10">
        <v>6098.38</v>
      </c>
      <c r="G712" t="s">
        <v>2357</v>
      </c>
      <c r="H712" t="s">
        <v>2357</v>
      </c>
      <c r="I712" t="s">
        <v>2359</v>
      </c>
      <c r="J712" s="8">
        <f t="shared" si="11"/>
        <v>25728</v>
      </c>
    </row>
    <row r="713" spans="1:10" x14ac:dyDescent="0.35">
      <c r="A713" t="s">
        <v>1627</v>
      </c>
      <c r="B713">
        <v>1995</v>
      </c>
      <c r="C713" t="s">
        <v>2363</v>
      </c>
      <c r="D713">
        <v>9</v>
      </c>
      <c r="E713">
        <v>0</v>
      </c>
      <c r="F713" s="10">
        <v>6111.95</v>
      </c>
      <c r="G713" t="s">
        <v>2357</v>
      </c>
      <c r="H713" t="s">
        <v>2358</v>
      </c>
      <c r="I713" t="s">
        <v>2380</v>
      </c>
      <c r="J713" s="8">
        <f t="shared" si="11"/>
        <v>34951</v>
      </c>
    </row>
    <row r="714" spans="1:10" x14ac:dyDescent="0.35">
      <c r="A714" t="s">
        <v>1626</v>
      </c>
      <c r="B714">
        <v>1985</v>
      </c>
      <c r="C714" t="s">
        <v>2356</v>
      </c>
      <c r="D714">
        <v>21</v>
      </c>
      <c r="E714">
        <v>1</v>
      </c>
      <c r="F714" s="10">
        <v>6112.35</v>
      </c>
      <c r="G714" t="s">
        <v>2357</v>
      </c>
      <c r="H714" t="s">
        <v>2361</v>
      </c>
      <c r="I714" t="s">
        <v>2364</v>
      </c>
      <c r="J714" s="8">
        <f t="shared" si="11"/>
        <v>31249</v>
      </c>
    </row>
    <row r="715" spans="1:10" x14ac:dyDescent="0.35">
      <c r="A715" t="s">
        <v>1625</v>
      </c>
      <c r="B715">
        <v>1991</v>
      </c>
      <c r="C715" t="s">
        <v>2356</v>
      </c>
      <c r="D715">
        <v>25</v>
      </c>
      <c r="E715">
        <v>3</v>
      </c>
      <c r="F715" s="10">
        <v>6113.23</v>
      </c>
      <c r="G715" t="s">
        <v>2357</v>
      </c>
      <c r="H715" t="s">
        <v>2357</v>
      </c>
      <c r="I715" t="s">
        <v>2374</v>
      </c>
      <c r="J715" s="8">
        <f t="shared" si="11"/>
        <v>33444</v>
      </c>
    </row>
    <row r="716" spans="1:10" x14ac:dyDescent="0.35">
      <c r="A716" t="s">
        <v>1624</v>
      </c>
      <c r="B716">
        <v>1983</v>
      </c>
      <c r="C716" t="s">
        <v>2366</v>
      </c>
      <c r="D716">
        <v>11</v>
      </c>
      <c r="E716">
        <v>1</v>
      </c>
      <c r="F716" s="10">
        <v>6117.49</v>
      </c>
      <c r="G716" t="s">
        <v>2357</v>
      </c>
      <c r="H716" t="s">
        <v>2358</v>
      </c>
      <c r="I716" t="s">
        <v>2364</v>
      </c>
      <c r="J716" s="8">
        <f t="shared" si="11"/>
        <v>30539</v>
      </c>
    </row>
    <row r="717" spans="1:10" x14ac:dyDescent="0.35">
      <c r="A717" t="s">
        <v>1623</v>
      </c>
      <c r="B717">
        <v>1983</v>
      </c>
      <c r="C717" t="s">
        <v>2360</v>
      </c>
      <c r="D717">
        <v>16</v>
      </c>
      <c r="E717">
        <v>1</v>
      </c>
      <c r="F717" s="10">
        <v>6123.57</v>
      </c>
      <c r="G717" t="s">
        <v>2358</v>
      </c>
      <c r="H717" t="s">
        <v>2357</v>
      </c>
      <c r="I717" t="s">
        <v>2364</v>
      </c>
      <c r="J717" s="8">
        <f t="shared" si="11"/>
        <v>30636</v>
      </c>
    </row>
    <row r="718" spans="1:10" x14ac:dyDescent="0.35">
      <c r="A718" t="s">
        <v>1622</v>
      </c>
      <c r="B718">
        <v>1990</v>
      </c>
      <c r="C718" t="s">
        <v>2366</v>
      </c>
      <c r="D718">
        <v>18</v>
      </c>
      <c r="E718">
        <v>3</v>
      </c>
      <c r="F718" s="10">
        <v>6128.8</v>
      </c>
      <c r="G718" t="s">
        <v>2357</v>
      </c>
      <c r="H718" t="s">
        <v>2358</v>
      </c>
      <c r="I718" t="s">
        <v>2364</v>
      </c>
      <c r="J718" s="8">
        <f t="shared" si="11"/>
        <v>33103</v>
      </c>
    </row>
    <row r="719" spans="1:10" x14ac:dyDescent="0.35">
      <c r="A719" t="s">
        <v>1621</v>
      </c>
      <c r="B719">
        <v>1969</v>
      </c>
      <c r="C719" t="s">
        <v>2360</v>
      </c>
      <c r="D719">
        <v>9</v>
      </c>
      <c r="E719">
        <v>0</v>
      </c>
      <c r="F719" s="10">
        <v>6138.5</v>
      </c>
      <c r="G719" t="s">
        <v>2357</v>
      </c>
      <c r="H719" t="s">
        <v>2357</v>
      </c>
      <c r="I719" t="s">
        <v>2368</v>
      </c>
      <c r="J719" s="8">
        <f t="shared" si="11"/>
        <v>25516</v>
      </c>
    </row>
    <row r="720" spans="1:10" x14ac:dyDescent="0.35">
      <c r="A720" t="s">
        <v>1620</v>
      </c>
      <c r="B720">
        <v>1978</v>
      </c>
      <c r="C720" t="s">
        <v>2363</v>
      </c>
      <c r="D720">
        <v>5</v>
      </c>
      <c r="E720">
        <v>2</v>
      </c>
      <c r="F720" s="10">
        <v>6138.58</v>
      </c>
      <c r="G720" t="s">
        <v>2357</v>
      </c>
      <c r="H720" t="s">
        <v>2361</v>
      </c>
      <c r="I720" t="s">
        <v>2359</v>
      </c>
      <c r="J720" s="8">
        <f t="shared" si="11"/>
        <v>28738</v>
      </c>
    </row>
    <row r="721" spans="1:10" x14ac:dyDescent="0.35">
      <c r="A721" t="s">
        <v>1619</v>
      </c>
      <c r="B721">
        <v>1976</v>
      </c>
      <c r="C721" t="s">
        <v>2365</v>
      </c>
      <c r="D721">
        <v>12</v>
      </c>
      <c r="E721">
        <v>2</v>
      </c>
      <c r="F721" s="10">
        <v>6139.14</v>
      </c>
      <c r="G721" t="s">
        <v>2357</v>
      </c>
      <c r="H721" t="s">
        <v>2358</v>
      </c>
      <c r="I721" t="s">
        <v>2359</v>
      </c>
      <c r="J721" s="8">
        <f t="shared" si="11"/>
        <v>28106</v>
      </c>
    </row>
    <row r="722" spans="1:10" x14ac:dyDescent="0.35">
      <c r="A722" t="s">
        <v>1618</v>
      </c>
      <c r="B722">
        <v>1970</v>
      </c>
      <c r="C722" t="s">
        <v>2367</v>
      </c>
      <c r="D722">
        <v>14</v>
      </c>
      <c r="E722">
        <v>0</v>
      </c>
      <c r="F722" s="10">
        <v>6147.12</v>
      </c>
      <c r="G722" t="s">
        <v>2357</v>
      </c>
      <c r="H722" t="s">
        <v>2358</v>
      </c>
      <c r="I722" t="s">
        <v>2364</v>
      </c>
      <c r="J722" s="8">
        <f t="shared" si="11"/>
        <v>25855</v>
      </c>
    </row>
    <row r="723" spans="1:10" x14ac:dyDescent="0.35">
      <c r="A723" t="s">
        <v>1617</v>
      </c>
      <c r="B723">
        <v>1973</v>
      </c>
      <c r="C723" t="s">
        <v>2360</v>
      </c>
      <c r="D723">
        <v>6</v>
      </c>
      <c r="E723">
        <v>0</v>
      </c>
      <c r="F723" s="10">
        <v>6152.05</v>
      </c>
      <c r="G723" t="s">
        <v>2357</v>
      </c>
      <c r="H723" t="s">
        <v>2358</v>
      </c>
      <c r="I723" t="s">
        <v>2359</v>
      </c>
      <c r="J723" s="8">
        <f t="shared" si="11"/>
        <v>26974</v>
      </c>
    </row>
    <row r="724" spans="1:10" x14ac:dyDescent="0.35">
      <c r="A724" t="s">
        <v>1616</v>
      </c>
      <c r="B724">
        <v>1985</v>
      </c>
      <c r="C724" t="s">
        <v>2367</v>
      </c>
      <c r="D724">
        <v>15</v>
      </c>
      <c r="E724">
        <v>3</v>
      </c>
      <c r="F724" s="10">
        <v>6159.57</v>
      </c>
      <c r="G724" t="s">
        <v>2357</v>
      </c>
      <c r="H724" t="s">
        <v>2361</v>
      </c>
      <c r="I724" t="s">
        <v>2364</v>
      </c>
      <c r="J724" s="8">
        <f t="shared" si="11"/>
        <v>31335</v>
      </c>
    </row>
    <row r="725" spans="1:10" x14ac:dyDescent="0.35">
      <c r="A725" t="s">
        <v>1615</v>
      </c>
      <c r="B725">
        <v>1984</v>
      </c>
      <c r="C725" t="s">
        <v>2367</v>
      </c>
      <c r="D725">
        <v>6</v>
      </c>
      <c r="E725">
        <v>3</v>
      </c>
      <c r="F725" s="10">
        <v>6170.96</v>
      </c>
      <c r="G725" t="s">
        <v>2357</v>
      </c>
      <c r="H725" t="s">
        <v>2361</v>
      </c>
      <c r="I725" t="s">
        <v>2359</v>
      </c>
      <c r="J725" s="8">
        <f t="shared" si="11"/>
        <v>30961</v>
      </c>
    </row>
    <row r="726" spans="1:10" x14ac:dyDescent="0.35">
      <c r="A726" t="s">
        <v>1614</v>
      </c>
      <c r="B726">
        <v>1985</v>
      </c>
      <c r="C726" t="s">
        <v>2366</v>
      </c>
      <c r="D726">
        <v>9</v>
      </c>
      <c r="E726">
        <v>3</v>
      </c>
      <c r="F726" s="10">
        <v>6183.32</v>
      </c>
      <c r="G726" t="s">
        <v>2357</v>
      </c>
      <c r="H726" t="s">
        <v>2357</v>
      </c>
      <c r="I726" t="s">
        <v>2364</v>
      </c>
      <c r="J726" s="8">
        <f t="shared" si="11"/>
        <v>31268</v>
      </c>
    </row>
    <row r="727" spans="1:10" x14ac:dyDescent="0.35">
      <c r="A727" t="s">
        <v>1613</v>
      </c>
      <c r="B727">
        <v>1970</v>
      </c>
      <c r="C727" t="s">
        <v>2367</v>
      </c>
      <c r="D727">
        <v>5</v>
      </c>
      <c r="E727">
        <v>0</v>
      </c>
      <c r="F727" s="10">
        <v>6183.46</v>
      </c>
      <c r="G727" t="s">
        <v>2357</v>
      </c>
      <c r="H727" t="s">
        <v>2357</v>
      </c>
      <c r="I727" t="s">
        <v>2364</v>
      </c>
      <c r="J727" s="8">
        <f t="shared" si="11"/>
        <v>25846</v>
      </c>
    </row>
    <row r="728" spans="1:10" x14ac:dyDescent="0.35">
      <c r="A728" t="s">
        <v>1612</v>
      </c>
      <c r="B728">
        <v>1988</v>
      </c>
      <c r="C728" t="s">
        <v>2360</v>
      </c>
      <c r="D728">
        <v>1</v>
      </c>
      <c r="E728">
        <v>3</v>
      </c>
      <c r="F728" s="10">
        <v>6184.3</v>
      </c>
      <c r="G728" t="s">
        <v>2357</v>
      </c>
      <c r="H728" t="s">
        <v>2358</v>
      </c>
      <c r="I728" t="s">
        <v>2359</v>
      </c>
      <c r="J728" s="8">
        <f t="shared" si="11"/>
        <v>32448</v>
      </c>
    </row>
    <row r="729" spans="1:10" x14ac:dyDescent="0.35">
      <c r="A729" t="s">
        <v>1611</v>
      </c>
      <c r="B729">
        <v>1981</v>
      </c>
      <c r="C729" t="s">
        <v>2360</v>
      </c>
      <c r="D729">
        <v>22</v>
      </c>
      <c r="E729">
        <v>0</v>
      </c>
      <c r="F729" s="10">
        <v>6185.32</v>
      </c>
      <c r="G729" t="s">
        <v>2357</v>
      </c>
      <c r="H729" t="s">
        <v>2361</v>
      </c>
      <c r="I729" t="s">
        <v>2359</v>
      </c>
      <c r="J729" s="8">
        <f t="shared" si="11"/>
        <v>29912</v>
      </c>
    </row>
    <row r="730" spans="1:10" x14ac:dyDescent="0.35">
      <c r="A730" t="s">
        <v>1610</v>
      </c>
      <c r="B730">
        <v>1981</v>
      </c>
      <c r="C730" t="s">
        <v>2367</v>
      </c>
      <c r="D730">
        <v>1</v>
      </c>
      <c r="E730">
        <v>0</v>
      </c>
      <c r="F730" s="10">
        <v>6186.13</v>
      </c>
      <c r="G730" t="s">
        <v>2357</v>
      </c>
      <c r="H730" t="s">
        <v>2358</v>
      </c>
      <c r="I730" t="s">
        <v>2368</v>
      </c>
      <c r="J730" s="8">
        <f t="shared" si="11"/>
        <v>29860</v>
      </c>
    </row>
    <row r="731" spans="1:10" x14ac:dyDescent="0.35">
      <c r="A731" t="s">
        <v>1609</v>
      </c>
      <c r="B731">
        <v>1988</v>
      </c>
      <c r="C731" t="s">
        <v>2367</v>
      </c>
      <c r="D731">
        <v>23</v>
      </c>
      <c r="E731">
        <v>3</v>
      </c>
      <c r="F731" s="10">
        <v>6196.45</v>
      </c>
      <c r="G731" t="s">
        <v>2357</v>
      </c>
      <c r="H731" t="s">
        <v>2361</v>
      </c>
      <c r="I731" t="s">
        <v>2368</v>
      </c>
      <c r="J731" s="8">
        <f t="shared" si="11"/>
        <v>32439</v>
      </c>
    </row>
    <row r="732" spans="1:10" x14ac:dyDescent="0.35">
      <c r="A732" t="s">
        <v>1608</v>
      </c>
      <c r="B732">
        <v>1985</v>
      </c>
      <c r="C732" t="s">
        <v>2356</v>
      </c>
      <c r="D732">
        <v>22</v>
      </c>
      <c r="E732">
        <v>2</v>
      </c>
      <c r="F732" s="10">
        <v>6198.75</v>
      </c>
      <c r="G732" t="s">
        <v>2357</v>
      </c>
      <c r="H732" t="s">
        <v>2361</v>
      </c>
      <c r="I732" t="s">
        <v>2364</v>
      </c>
      <c r="J732" s="8">
        <f t="shared" si="11"/>
        <v>31250</v>
      </c>
    </row>
    <row r="733" spans="1:10" x14ac:dyDescent="0.35">
      <c r="A733" t="s">
        <v>2347</v>
      </c>
      <c r="B733">
        <v>1985</v>
      </c>
      <c r="C733" t="s">
        <v>2365</v>
      </c>
      <c r="D733">
        <v>20</v>
      </c>
      <c r="E733">
        <v>2</v>
      </c>
      <c r="F733" s="10">
        <v>6203.9</v>
      </c>
      <c r="G733" t="s">
        <v>2361</v>
      </c>
      <c r="H733" t="s">
        <v>2357</v>
      </c>
      <c r="I733" t="s">
        <v>2364</v>
      </c>
      <c r="J733" s="8">
        <f t="shared" si="11"/>
        <v>31401</v>
      </c>
    </row>
    <row r="734" spans="1:10" x14ac:dyDescent="0.35">
      <c r="A734" t="s">
        <v>1607</v>
      </c>
      <c r="B734">
        <v>1985</v>
      </c>
      <c r="C734" t="s">
        <v>2363</v>
      </c>
      <c r="D734">
        <v>22</v>
      </c>
      <c r="E734">
        <v>2</v>
      </c>
      <c r="F734" s="10">
        <v>6203.9</v>
      </c>
      <c r="G734" t="s">
        <v>2357</v>
      </c>
      <c r="H734" t="s">
        <v>2357</v>
      </c>
      <c r="I734" t="s">
        <v>2364</v>
      </c>
      <c r="J734" s="8">
        <f t="shared" si="11"/>
        <v>31312</v>
      </c>
    </row>
    <row r="735" spans="1:10" x14ac:dyDescent="0.35">
      <c r="A735" t="s">
        <v>1606</v>
      </c>
      <c r="B735">
        <v>1999</v>
      </c>
      <c r="C735" t="s">
        <v>2363</v>
      </c>
      <c r="D735">
        <v>10</v>
      </c>
      <c r="E735">
        <v>0</v>
      </c>
      <c r="F735" s="10">
        <v>6207.26</v>
      </c>
      <c r="G735" t="s">
        <v>2357</v>
      </c>
      <c r="H735" t="s">
        <v>2357</v>
      </c>
      <c r="I735" t="s">
        <v>2380</v>
      </c>
      <c r="J735" s="8">
        <f t="shared" si="11"/>
        <v>36413</v>
      </c>
    </row>
    <row r="736" spans="1:10" x14ac:dyDescent="0.35">
      <c r="A736" t="s">
        <v>1605</v>
      </c>
      <c r="B736">
        <v>1992</v>
      </c>
      <c r="C736" t="s">
        <v>2366</v>
      </c>
      <c r="D736">
        <v>12</v>
      </c>
      <c r="E736">
        <v>0</v>
      </c>
      <c r="F736" s="10">
        <v>6208.5</v>
      </c>
      <c r="G736" t="s">
        <v>2357</v>
      </c>
      <c r="H736" t="s">
        <v>2361</v>
      </c>
      <c r="I736" t="s">
        <v>2377</v>
      </c>
      <c r="J736" s="8">
        <f t="shared" si="11"/>
        <v>33828</v>
      </c>
    </row>
    <row r="737" spans="1:10" x14ac:dyDescent="0.35">
      <c r="A737" t="s">
        <v>1604</v>
      </c>
      <c r="B737">
        <v>1972</v>
      </c>
      <c r="C737" t="s">
        <v>2362</v>
      </c>
      <c r="D737">
        <v>29</v>
      </c>
      <c r="E737">
        <v>0</v>
      </c>
      <c r="F737" s="10">
        <v>6219.93</v>
      </c>
      <c r="G737" t="s">
        <v>2357</v>
      </c>
      <c r="H737" t="s">
        <v>2357</v>
      </c>
      <c r="I737" t="s">
        <v>2359</v>
      </c>
      <c r="J737" s="8">
        <f t="shared" si="11"/>
        <v>26479</v>
      </c>
    </row>
    <row r="738" spans="1:10" x14ac:dyDescent="0.35">
      <c r="A738" t="s">
        <v>1603</v>
      </c>
      <c r="B738">
        <v>1978</v>
      </c>
      <c r="C738" t="s">
        <v>2363</v>
      </c>
      <c r="D738">
        <v>19</v>
      </c>
      <c r="E738">
        <v>2</v>
      </c>
      <c r="F738" s="10">
        <v>6236.95</v>
      </c>
      <c r="G738" t="s">
        <v>2357</v>
      </c>
      <c r="H738" t="s">
        <v>2357</v>
      </c>
      <c r="I738" t="s">
        <v>2359</v>
      </c>
      <c r="J738" s="8">
        <f t="shared" si="11"/>
        <v>28752</v>
      </c>
    </row>
    <row r="739" spans="1:10" x14ac:dyDescent="0.35">
      <c r="A739" t="s">
        <v>1602</v>
      </c>
      <c r="B739">
        <v>1983</v>
      </c>
      <c r="C739" t="s">
        <v>2366</v>
      </c>
      <c r="D739">
        <v>11</v>
      </c>
      <c r="E739">
        <v>1</v>
      </c>
      <c r="F739" s="10">
        <v>6238.3</v>
      </c>
      <c r="G739" t="s">
        <v>2357</v>
      </c>
      <c r="H739" t="s">
        <v>2361</v>
      </c>
      <c r="I739" t="s">
        <v>2368</v>
      </c>
      <c r="J739" s="8">
        <f t="shared" si="11"/>
        <v>30539</v>
      </c>
    </row>
    <row r="740" spans="1:10" x14ac:dyDescent="0.35">
      <c r="A740" t="s">
        <v>1601</v>
      </c>
      <c r="B740">
        <v>1979</v>
      </c>
      <c r="C740" t="s">
        <v>2367</v>
      </c>
      <c r="D740">
        <v>10</v>
      </c>
      <c r="E740">
        <v>0</v>
      </c>
      <c r="F740" s="10">
        <v>6250.44</v>
      </c>
      <c r="G740" t="s">
        <v>2357</v>
      </c>
      <c r="H740" t="s">
        <v>2361</v>
      </c>
      <c r="I740" t="s">
        <v>2368</v>
      </c>
      <c r="J740" s="8">
        <f t="shared" si="11"/>
        <v>29138</v>
      </c>
    </row>
    <row r="741" spans="1:10" x14ac:dyDescent="0.35">
      <c r="A741" t="s">
        <v>1600</v>
      </c>
      <c r="B741">
        <v>1972</v>
      </c>
      <c r="C741" t="s">
        <v>2360</v>
      </c>
      <c r="D741">
        <v>11</v>
      </c>
      <c r="E741">
        <v>0</v>
      </c>
      <c r="F741" s="10">
        <v>6253.85</v>
      </c>
      <c r="G741" t="s">
        <v>2357</v>
      </c>
      <c r="H741" t="s">
        <v>2357</v>
      </c>
      <c r="I741" t="s">
        <v>2359</v>
      </c>
      <c r="J741" s="8">
        <f t="shared" si="11"/>
        <v>26614</v>
      </c>
    </row>
    <row r="742" spans="1:10" x14ac:dyDescent="0.35">
      <c r="A742" t="s">
        <v>1599</v>
      </c>
      <c r="B742">
        <v>1972</v>
      </c>
      <c r="C742" t="s">
        <v>2363</v>
      </c>
      <c r="D742">
        <v>8</v>
      </c>
      <c r="E742">
        <v>0</v>
      </c>
      <c r="F742" s="10">
        <v>6254.13</v>
      </c>
      <c r="G742" t="s">
        <v>2357</v>
      </c>
      <c r="H742" t="s">
        <v>2357</v>
      </c>
      <c r="I742" t="s">
        <v>2364</v>
      </c>
      <c r="J742" s="8">
        <f t="shared" si="11"/>
        <v>26550</v>
      </c>
    </row>
    <row r="743" spans="1:10" x14ac:dyDescent="0.35">
      <c r="A743" t="s">
        <v>1598</v>
      </c>
      <c r="B743">
        <v>1970</v>
      </c>
      <c r="C743" t="s">
        <v>2367</v>
      </c>
      <c r="D743">
        <v>11</v>
      </c>
      <c r="E743">
        <v>0</v>
      </c>
      <c r="F743" s="10">
        <v>6255.38</v>
      </c>
      <c r="G743" t="s">
        <v>2357</v>
      </c>
      <c r="H743" t="s">
        <v>2357</v>
      </c>
      <c r="I743" t="s">
        <v>2359</v>
      </c>
      <c r="J743" s="8">
        <f t="shared" si="11"/>
        <v>25852</v>
      </c>
    </row>
    <row r="744" spans="1:10" x14ac:dyDescent="0.35">
      <c r="A744" t="s">
        <v>1597</v>
      </c>
      <c r="B744">
        <v>1995</v>
      </c>
      <c r="C744" t="s">
        <v>2367</v>
      </c>
      <c r="D744">
        <v>17</v>
      </c>
      <c r="E744">
        <v>0</v>
      </c>
      <c r="F744" s="10">
        <v>6261.2</v>
      </c>
      <c r="G744" t="s">
        <v>2357</v>
      </c>
      <c r="H744" t="s">
        <v>2361</v>
      </c>
      <c r="I744" t="s">
        <v>2380</v>
      </c>
      <c r="J744" s="8">
        <f t="shared" si="11"/>
        <v>34989</v>
      </c>
    </row>
    <row r="745" spans="1:10" x14ac:dyDescent="0.35">
      <c r="A745" t="s">
        <v>1596</v>
      </c>
      <c r="B745">
        <v>1984</v>
      </c>
      <c r="C745" t="s">
        <v>2363</v>
      </c>
      <c r="D745">
        <v>25</v>
      </c>
      <c r="E745">
        <v>3</v>
      </c>
      <c r="F745" s="10">
        <v>6269.33</v>
      </c>
      <c r="G745" t="s">
        <v>2357</v>
      </c>
      <c r="H745" t="s">
        <v>2361</v>
      </c>
      <c r="I745" t="s">
        <v>2359</v>
      </c>
      <c r="J745" s="8">
        <f t="shared" si="11"/>
        <v>30950</v>
      </c>
    </row>
    <row r="746" spans="1:10" x14ac:dyDescent="0.35">
      <c r="A746" t="s">
        <v>1595</v>
      </c>
      <c r="B746">
        <v>1981</v>
      </c>
      <c r="C746" t="s">
        <v>2362</v>
      </c>
      <c r="D746">
        <v>30</v>
      </c>
      <c r="E746">
        <v>1</v>
      </c>
      <c r="F746" s="10">
        <v>6272.48</v>
      </c>
      <c r="G746" t="s">
        <v>2361</v>
      </c>
      <c r="H746" t="s">
        <v>2358</v>
      </c>
      <c r="I746" t="s">
        <v>2359</v>
      </c>
      <c r="J746" s="8">
        <f t="shared" si="11"/>
        <v>29767</v>
      </c>
    </row>
    <row r="747" spans="1:10" x14ac:dyDescent="0.35">
      <c r="A747" t="s">
        <v>1594</v>
      </c>
      <c r="B747">
        <v>1993</v>
      </c>
      <c r="C747" t="s">
        <v>2367</v>
      </c>
      <c r="D747">
        <v>16</v>
      </c>
      <c r="E747">
        <v>0</v>
      </c>
      <c r="F747" s="10">
        <v>6276.3</v>
      </c>
      <c r="G747" t="s">
        <v>2357</v>
      </c>
      <c r="H747" t="s">
        <v>2361</v>
      </c>
      <c r="I747" t="s">
        <v>2373</v>
      </c>
      <c r="J747" s="8">
        <f t="shared" si="11"/>
        <v>34258</v>
      </c>
    </row>
    <row r="748" spans="1:10" x14ac:dyDescent="0.35">
      <c r="A748" t="s">
        <v>1593</v>
      </c>
      <c r="B748">
        <v>1981</v>
      </c>
      <c r="C748" t="s">
        <v>2360</v>
      </c>
      <c r="D748">
        <v>24</v>
      </c>
      <c r="E748">
        <v>1</v>
      </c>
      <c r="F748" s="10">
        <v>6282.24</v>
      </c>
      <c r="G748" t="s">
        <v>2357</v>
      </c>
      <c r="H748" t="s">
        <v>2361</v>
      </c>
      <c r="I748" t="s">
        <v>2368</v>
      </c>
      <c r="J748" s="8">
        <f t="shared" si="11"/>
        <v>29914</v>
      </c>
    </row>
    <row r="749" spans="1:10" x14ac:dyDescent="0.35">
      <c r="A749" t="s">
        <v>1592</v>
      </c>
      <c r="B749">
        <v>1981</v>
      </c>
      <c r="C749" t="s">
        <v>2366</v>
      </c>
      <c r="D749">
        <v>26</v>
      </c>
      <c r="E749">
        <v>1</v>
      </c>
      <c r="F749" s="10">
        <v>6289.75</v>
      </c>
      <c r="G749" t="s">
        <v>2357</v>
      </c>
      <c r="H749" t="s">
        <v>2358</v>
      </c>
      <c r="I749" t="s">
        <v>2359</v>
      </c>
      <c r="J749" s="8">
        <f t="shared" si="11"/>
        <v>29824</v>
      </c>
    </row>
    <row r="750" spans="1:10" x14ac:dyDescent="0.35">
      <c r="A750" t="s">
        <v>1591</v>
      </c>
      <c r="B750">
        <v>1996</v>
      </c>
      <c r="C750" t="s">
        <v>2356</v>
      </c>
      <c r="D750">
        <v>4</v>
      </c>
      <c r="E750">
        <v>0</v>
      </c>
      <c r="F750" s="10">
        <v>6293.63</v>
      </c>
      <c r="G750" t="s">
        <v>2357</v>
      </c>
      <c r="H750" t="s">
        <v>2358</v>
      </c>
      <c r="I750" t="s">
        <v>2377</v>
      </c>
      <c r="J750" s="8">
        <f t="shared" si="11"/>
        <v>35250</v>
      </c>
    </row>
    <row r="751" spans="1:10" x14ac:dyDescent="0.35">
      <c r="A751" t="s">
        <v>1590</v>
      </c>
      <c r="B751">
        <v>1974</v>
      </c>
      <c r="C751" t="s">
        <v>2363</v>
      </c>
      <c r="D751">
        <v>17</v>
      </c>
      <c r="E751">
        <v>0</v>
      </c>
      <c r="F751" s="10">
        <v>6302.23</v>
      </c>
      <c r="G751" t="s">
        <v>2357</v>
      </c>
      <c r="H751" t="s">
        <v>2361</v>
      </c>
      <c r="I751" t="s">
        <v>2359</v>
      </c>
      <c r="J751" s="8">
        <f t="shared" si="11"/>
        <v>27289</v>
      </c>
    </row>
    <row r="752" spans="1:10" x14ac:dyDescent="0.35">
      <c r="A752" t="s">
        <v>1589</v>
      </c>
      <c r="B752">
        <v>1969</v>
      </c>
      <c r="C752" t="s">
        <v>2363</v>
      </c>
      <c r="D752">
        <v>4</v>
      </c>
      <c r="E752">
        <v>0</v>
      </c>
      <c r="F752" s="10">
        <v>6305.61</v>
      </c>
      <c r="G752" t="s">
        <v>2357</v>
      </c>
      <c r="H752" t="s">
        <v>2357</v>
      </c>
      <c r="I752" t="s">
        <v>2364</v>
      </c>
      <c r="J752" s="8">
        <f t="shared" si="11"/>
        <v>25450</v>
      </c>
    </row>
    <row r="753" spans="1:10" x14ac:dyDescent="0.35">
      <c r="A753" t="s">
        <v>1588</v>
      </c>
      <c r="B753">
        <v>2004</v>
      </c>
      <c r="C753" t="s">
        <v>2356</v>
      </c>
      <c r="D753">
        <v>27</v>
      </c>
      <c r="E753">
        <v>0</v>
      </c>
      <c r="F753" s="10">
        <v>6311.11</v>
      </c>
      <c r="G753" t="s">
        <v>2357</v>
      </c>
      <c r="H753" t="s">
        <v>2357</v>
      </c>
      <c r="I753" t="s">
        <v>2368</v>
      </c>
      <c r="J753" s="8">
        <f t="shared" si="11"/>
        <v>38195</v>
      </c>
    </row>
    <row r="754" spans="1:10" x14ac:dyDescent="0.35">
      <c r="A754" t="s">
        <v>1587</v>
      </c>
      <c r="B754">
        <v>1985</v>
      </c>
      <c r="C754" t="s">
        <v>2360</v>
      </c>
      <c r="D754">
        <v>19</v>
      </c>
      <c r="E754">
        <v>2</v>
      </c>
      <c r="F754" s="10">
        <v>6311.95</v>
      </c>
      <c r="G754" t="s">
        <v>2357</v>
      </c>
      <c r="H754" t="s">
        <v>2361</v>
      </c>
      <c r="I754" t="s">
        <v>2368</v>
      </c>
      <c r="J754" s="8">
        <f t="shared" si="11"/>
        <v>31370</v>
      </c>
    </row>
    <row r="755" spans="1:10" x14ac:dyDescent="0.35">
      <c r="A755" t="s">
        <v>1586</v>
      </c>
      <c r="B755">
        <v>1985</v>
      </c>
      <c r="C755" t="s">
        <v>2365</v>
      </c>
      <c r="D755">
        <v>15</v>
      </c>
      <c r="E755">
        <v>2</v>
      </c>
      <c r="F755" s="10">
        <v>6313.76</v>
      </c>
      <c r="G755" t="s">
        <v>2357</v>
      </c>
      <c r="H755" t="s">
        <v>2361</v>
      </c>
      <c r="I755" t="s">
        <v>2359</v>
      </c>
      <c r="J755" s="8">
        <f t="shared" si="11"/>
        <v>31396</v>
      </c>
    </row>
    <row r="756" spans="1:10" x14ac:dyDescent="0.35">
      <c r="A756" t="s">
        <v>1585</v>
      </c>
      <c r="B756">
        <v>1990</v>
      </c>
      <c r="C756" t="s">
        <v>2366</v>
      </c>
      <c r="D756">
        <v>13</v>
      </c>
      <c r="E756">
        <v>3</v>
      </c>
      <c r="F756" s="10">
        <v>6334.34</v>
      </c>
      <c r="G756" t="s">
        <v>2357</v>
      </c>
      <c r="H756" t="s">
        <v>2357</v>
      </c>
      <c r="I756" t="s">
        <v>2374</v>
      </c>
      <c r="J756" s="8">
        <f t="shared" si="11"/>
        <v>33098</v>
      </c>
    </row>
    <row r="757" spans="1:10" x14ac:dyDescent="0.35">
      <c r="A757" t="s">
        <v>1584</v>
      </c>
      <c r="B757">
        <v>1986</v>
      </c>
      <c r="C757" t="s">
        <v>2363</v>
      </c>
      <c r="D757">
        <v>25</v>
      </c>
      <c r="E757">
        <v>3</v>
      </c>
      <c r="F757" s="10">
        <v>6335.64</v>
      </c>
      <c r="G757" t="s">
        <v>2357</v>
      </c>
      <c r="H757" t="s">
        <v>2357</v>
      </c>
      <c r="I757" t="s">
        <v>2359</v>
      </c>
      <c r="J757" s="8">
        <f t="shared" si="11"/>
        <v>31680</v>
      </c>
    </row>
    <row r="758" spans="1:10" x14ac:dyDescent="0.35">
      <c r="A758" t="s">
        <v>1583</v>
      </c>
      <c r="B758">
        <v>1983</v>
      </c>
      <c r="C758" t="s">
        <v>2367</v>
      </c>
      <c r="D758">
        <v>21</v>
      </c>
      <c r="E758">
        <v>2</v>
      </c>
      <c r="F758" s="10">
        <v>6338.08</v>
      </c>
      <c r="G758" t="s">
        <v>2357</v>
      </c>
      <c r="H758" t="s">
        <v>2361</v>
      </c>
      <c r="I758" t="s">
        <v>2359</v>
      </c>
      <c r="J758" s="8">
        <f t="shared" si="11"/>
        <v>30610</v>
      </c>
    </row>
    <row r="759" spans="1:10" x14ac:dyDescent="0.35">
      <c r="A759" t="s">
        <v>1582</v>
      </c>
      <c r="B759">
        <v>1983</v>
      </c>
      <c r="C759" t="s">
        <v>2366</v>
      </c>
      <c r="D759">
        <v>19</v>
      </c>
      <c r="E759">
        <v>2</v>
      </c>
      <c r="F759" s="10">
        <v>6356.27</v>
      </c>
      <c r="G759" t="s">
        <v>2358</v>
      </c>
      <c r="H759" t="s">
        <v>2357</v>
      </c>
      <c r="I759" t="s">
        <v>2359</v>
      </c>
      <c r="J759" s="8">
        <f t="shared" si="11"/>
        <v>30547</v>
      </c>
    </row>
    <row r="760" spans="1:10" x14ac:dyDescent="0.35">
      <c r="A760" t="s">
        <v>1581</v>
      </c>
      <c r="B760">
        <v>1980</v>
      </c>
      <c r="C760" t="s">
        <v>2367</v>
      </c>
      <c r="D760">
        <v>30</v>
      </c>
      <c r="E760">
        <v>0</v>
      </c>
      <c r="F760" s="10">
        <v>6358.78</v>
      </c>
      <c r="G760" t="s">
        <v>2357</v>
      </c>
      <c r="H760" t="s">
        <v>2361</v>
      </c>
      <c r="I760" t="s">
        <v>2364</v>
      </c>
      <c r="J760" s="8">
        <f t="shared" si="11"/>
        <v>29524</v>
      </c>
    </row>
    <row r="761" spans="1:10" x14ac:dyDescent="0.35">
      <c r="A761" t="s">
        <v>1580</v>
      </c>
      <c r="B761">
        <v>1989</v>
      </c>
      <c r="C761" t="s">
        <v>2362</v>
      </c>
      <c r="D761">
        <v>24</v>
      </c>
      <c r="E761">
        <v>3</v>
      </c>
      <c r="F761" s="10">
        <v>6360.99</v>
      </c>
      <c r="G761" t="s">
        <v>2357</v>
      </c>
      <c r="H761" t="s">
        <v>2357</v>
      </c>
      <c r="I761" t="s">
        <v>2364</v>
      </c>
      <c r="J761" s="8">
        <f t="shared" si="11"/>
        <v>32683</v>
      </c>
    </row>
    <row r="762" spans="1:10" x14ac:dyDescent="0.35">
      <c r="A762" t="s">
        <v>1579</v>
      </c>
      <c r="B762">
        <v>1996</v>
      </c>
      <c r="C762" t="s">
        <v>2356</v>
      </c>
      <c r="D762">
        <v>7</v>
      </c>
      <c r="E762">
        <v>0</v>
      </c>
      <c r="F762" s="10">
        <v>6361.47</v>
      </c>
      <c r="G762" t="s">
        <v>2357</v>
      </c>
      <c r="H762" t="s">
        <v>2358</v>
      </c>
      <c r="I762" t="s">
        <v>2377</v>
      </c>
      <c r="J762" s="8">
        <f t="shared" si="11"/>
        <v>35253</v>
      </c>
    </row>
    <row r="763" spans="1:10" x14ac:dyDescent="0.35">
      <c r="A763" t="s">
        <v>1578</v>
      </c>
      <c r="B763">
        <v>1970</v>
      </c>
      <c r="C763" t="s">
        <v>2360</v>
      </c>
      <c r="D763">
        <v>9</v>
      </c>
      <c r="E763">
        <v>0</v>
      </c>
      <c r="F763" s="10">
        <v>6367.31</v>
      </c>
      <c r="G763" t="s">
        <v>2357</v>
      </c>
      <c r="H763" t="s">
        <v>2361</v>
      </c>
      <c r="I763" t="s">
        <v>2359</v>
      </c>
      <c r="J763" s="8">
        <f t="shared" si="11"/>
        <v>25881</v>
      </c>
    </row>
    <row r="764" spans="1:10" x14ac:dyDescent="0.35">
      <c r="A764" t="s">
        <v>1577</v>
      </c>
      <c r="B764">
        <v>1984</v>
      </c>
      <c r="C764" t="s">
        <v>2366</v>
      </c>
      <c r="D764">
        <v>13</v>
      </c>
      <c r="E764">
        <v>1</v>
      </c>
      <c r="F764" s="10">
        <v>6373.56</v>
      </c>
      <c r="G764" t="s">
        <v>2357</v>
      </c>
      <c r="H764" t="s">
        <v>2361</v>
      </c>
      <c r="I764" t="s">
        <v>2364</v>
      </c>
      <c r="J764" s="8">
        <f t="shared" si="11"/>
        <v>30907</v>
      </c>
    </row>
    <row r="765" spans="1:10" x14ac:dyDescent="0.35">
      <c r="A765" t="s">
        <v>1576</v>
      </c>
      <c r="B765">
        <v>1976</v>
      </c>
      <c r="C765" t="s">
        <v>2360</v>
      </c>
      <c r="D765">
        <v>18</v>
      </c>
      <c r="E765">
        <v>2</v>
      </c>
      <c r="F765" s="10">
        <v>6374.16</v>
      </c>
      <c r="G765" t="s">
        <v>2357</v>
      </c>
      <c r="H765" t="s">
        <v>2357</v>
      </c>
      <c r="I765" t="s">
        <v>2359</v>
      </c>
      <c r="J765" s="8">
        <f t="shared" si="11"/>
        <v>28082</v>
      </c>
    </row>
    <row r="766" spans="1:10" x14ac:dyDescent="0.35">
      <c r="A766" t="s">
        <v>1575</v>
      </c>
      <c r="B766">
        <v>1982</v>
      </c>
      <c r="C766" t="s">
        <v>2366</v>
      </c>
      <c r="D766">
        <v>6</v>
      </c>
      <c r="E766">
        <v>1</v>
      </c>
      <c r="F766" s="10">
        <v>6389.38</v>
      </c>
      <c r="G766" t="s">
        <v>2361</v>
      </c>
      <c r="H766" t="s">
        <v>2357</v>
      </c>
      <c r="I766" t="s">
        <v>2364</v>
      </c>
      <c r="J766" s="8">
        <f t="shared" si="11"/>
        <v>30169</v>
      </c>
    </row>
    <row r="767" spans="1:10" x14ac:dyDescent="0.35">
      <c r="A767" t="s">
        <v>1574</v>
      </c>
      <c r="B767">
        <v>1997</v>
      </c>
      <c r="C767" t="s">
        <v>2366</v>
      </c>
      <c r="D767">
        <v>16</v>
      </c>
      <c r="E767">
        <v>0</v>
      </c>
      <c r="F767" s="10">
        <v>6389.53</v>
      </c>
      <c r="G767" t="s">
        <v>2357</v>
      </c>
      <c r="H767" t="s">
        <v>2357</v>
      </c>
      <c r="I767" t="s">
        <v>2377</v>
      </c>
      <c r="J767" s="8">
        <f t="shared" si="11"/>
        <v>35658</v>
      </c>
    </row>
    <row r="768" spans="1:10" x14ac:dyDescent="0.35">
      <c r="A768" t="s">
        <v>1573</v>
      </c>
      <c r="B768">
        <v>1982</v>
      </c>
      <c r="C768" t="s">
        <v>2367</v>
      </c>
      <c r="D768">
        <v>28</v>
      </c>
      <c r="E768">
        <v>1</v>
      </c>
      <c r="F768" s="10">
        <v>6393.6</v>
      </c>
      <c r="G768" t="s">
        <v>2357</v>
      </c>
      <c r="H768" t="s">
        <v>2361</v>
      </c>
      <c r="I768" t="s">
        <v>2364</v>
      </c>
      <c r="J768" s="8">
        <f t="shared" si="11"/>
        <v>30252</v>
      </c>
    </row>
    <row r="769" spans="1:10" x14ac:dyDescent="0.35">
      <c r="A769" t="s">
        <v>1572</v>
      </c>
      <c r="B769">
        <v>1987</v>
      </c>
      <c r="C769" t="s">
        <v>2363</v>
      </c>
      <c r="D769">
        <v>9</v>
      </c>
      <c r="E769">
        <v>2</v>
      </c>
      <c r="F769" s="10">
        <v>6402.29</v>
      </c>
      <c r="G769" t="s">
        <v>2357</v>
      </c>
      <c r="H769" t="s">
        <v>2358</v>
      </c>
      <c r="I769" t="s">
        <v>2374</v>
      </c>
      <c r="J769" s="8">
        <f t="shared" si="11"/>
        <v>32029</v>
      </c>
    </row>
    <row r="770" spans="1:10" x14ac:dyDescent="0.35">
      <c r="A770" t="s">
        <v>1571</v>
      </c>
      <c r="B770">
        <v>1985</v>
      </c>
      <c r="C770" t="s">
        <v>2365</v>
      </c>
      <c r="D770">
        <v>10</v>
      </c>
      <c r="E770">
        <v>2</v>
      </c>
      <c r="F770" s="10">
        <v>6406.41</v>
      </c>
      <c r="G770" t="s">
        <v>2361</v>
      </c>
      <c r="H770" t="s">
        <v>2358</v>
      </c>
      <c r="I770" t="s">
        <v>2376</v>
      </c>
      <c r="J770" s="8">
        <f t="shared" si="11"/>
        <v>31391</v>
      </c>
    </row>
    <row r="771" spans="1:10" x14ac:dyDescent="0.35">
      <c r="A771" t="s">
        <v>1570</v>
      </c>
      <c r="B771">
        <v>1970</v>
      </c>
      <c r="C771" t="s">
        <v>2366</v>
      </c>
      <c r="D771">
        <v>20</v>
      </c>
      <c r="E771">
        <v>0</v>
      </c>
      <c r="F771" s="10">
        <v>6407.05</v>
      </c>
      <c r="G771" t="s">
        <v>2357</v>
      </c>
      <c r="H771" t="s">
        <v>2361</v>
      </c>
      <c r="I771" t="s">
        <v>2359</v>
      </c>
      <c r="J771" s="8">
        <f t="shared" ref="J771:J834" si="12">DATE(B771,MONTH(1&amp;C771),D771)</f>
        <v>25800</v>
      </c>
    </row>
    <row r="772" spans="1:10" x14ac:dyDescent="0.35">
      <c r="A772" t="s">
        <v>1569</v>
      </c>
      <c r="B772">
        <v>1971</v>
      </c>
      <c r="C772" t="s">
        <v>2366</v>
      </c>
      <c r="D772">
        <v>22</v>
      </c>
      <c r="E772">
        <v>0</v>
      </c>
      <c r="F772" s="10">
        <v>6412.34</v>
      </c>
      <c r="G772" t="s">
        <v>2357</v>
      </c>
      <c r="H772" t="s">
        <v>2358</v>
      </c>
      <c r="I772" t="s">
        <v>2359</v>
      </c>
      <c r="J772" s="8">
        <f t="shared" si="12"/>
        <v>26167</v>
      </c>
    </row>
    <row r="773" spans="1:10" x14ac:dyDescent="0.35">
      <c r="A773" t="s">
        <v>1568</v>
      </c>
      <c r="B773">
        <v>1987</v>
      </c>
      <c r="C773" t="s">
        <v>2363</v>
      </c>
      <c r="D773">
        <v>4</v>
      </c>
      <c r="E773">
        <v>3</v>
      </c>
      <c r="F773" s="10">
        <v>6414.18</v>
      </c>
      <c r="G773" t="s">
        <v>2357</v>
      </c>
      <c r="H773" t="s">
        <v>2357</v>
      </c>
      <c r="I773" t="s">
        <v>2368</v>
      </c>
      <c r="J773" s="8">
        <f t="shared" si="12"/>
        <v>32024</v>
      </c>
    </row>
    <row r="774" spans="1:10" x14ac:dyDescent="0.35">
      <c r="A774" t="s">
        <v>1567</v>
      </c>
      <c r="B774">
        <v>1976</v>
      </c>
      <c r="C774" t="s">
        <v>2365</v>
      </c>
      <c r="D774">
        <v>30</v>
      </c>
      <c r="E774">
        <v>2</v>
      </c>
      <c r="F774" s="10">
        <v>6417.28</v>
      </c>
      <c r="G774" t="s">
        <v>2357</v>
      </c>
      <c r="H774" t="s">
        <v>2358</v>
      </c>
      <c r="I774" t="s">
        <v>2359</v>
      </c>
      <c r="J774" s="8">
        <f t="shared" si="12"/>
        <v>28124</v>
      </c>
    </row>
    <row r="775" spans="1:10" x14ac:dyDescent="0.35">
      <c r="A775" t="s">
        <v>1566</v>
      </c>
      <c r="B775">
        <v>1975</v>
      </c>
      <c r="C775" t="s">
        <v>2366</v>
      </c>
      <c r="D775">
        <v>5</v>
      </c>
      <c r="E775">
        <v>1</v>
      </c>
      <c r="F775" s="10">
        <v>6423.48</v>
      </c>
      <c r="G775" t="s">
        <v>2357</v>
      </c>
      <c r="H775" t="s">
        <v>2358</v>
      </c>
      <c r="I775" t="s">
        <v>2359</v>
      </c>
      <c r="J775" s="8">
        <f t="shared" si="12"/>
        <v>27611</v>
      </c>
    </row>
    <row r="776" spans="1:10" x14ac:dyDescent="0.35">
      <c r="A776" t="s">
        <v>1565</v>
      </c>
      <c r="B776">
        <v>1985</v>
      </c>
      <c r="C776" t="s">
        <v>2356</v>
      </c>
      <c r="D776">
        <v>22</v>
      </c>
      <c r="E776">
        <v>3</v>
      </c>
      <c r="F776" s="10">
        <v>6435.62</v>
      </c>
      <c r="G776" t="s">
        <v>2358</v>
      </c>
      <c r="H776" t="s">
        <v>2357</v>
      </c>
      <c r="I776" t="s">
        <v>2359</v>
      </c>
      <c r="J776" s="8">
        <f t="shared" si="12"/>
        <v>31250</v>
      </c>
    </row>
    <row r="777" spans="1:10" x14ac:dyDescent="0.35">
      <c r="A777" t="s">
        <v>1564</v>
      </c>
      <c r="B777">
        <v>1984</v>
      </c>
      <c r="C777" t="s">
        <v>2366</v>
      </c>
      <c r="D777">
        <v>26</v>
      </c>
      <c r="E777">
        <v>2</v>
      </c>
      <c r="F777" s="10">
        <v>6455.86</v>
      </c>
      <c r="G777" t="s">
        <v>2358</v>
      </c>
      <c r="H777" t="s">
        <v>2358</v>
      </c>
      <c r="I777" t="s">
        <v>2364</v>
      </c>
      <c r="J777" s="8">
        <f t="shared" si="12"/>
        <v>30920</v>
      </c>
    </row>
    <row r="778" spans="1:10" x14ac:dyDescent="0.35">
      <c r="A778" t="s">
        <v>1563</v>
      </c>
      <c r="B778">
        <v>1984</v>
      </c>
      <c r="C778" t="s">
        <v>2360</v>
      </c>
      <c r="D778">
        <v>1</v>
      </c>
      <c r="E778">
        <v>2</v>
      </c>
      <c r="F778" s="10">
        <v>6457.84</v>
      </c>
      <c r="G778" t="s">
        <v>2357</v>
      </c>
      <c r="H778" t="s">
        <v>2358</v>
      </c>
      <c r="I778" t="s">
        <v>2364</v>
      </c>
      <c r="J778" s="8">
        <f t="shared" si="12"/>
        <v>30987</v>
      </c>
    </row>
    <row r="779" spans="1:10" x14ac:dyDescent="0.35">
      <c r="A779" t="s">
        <v>1562</v>
      </c>
      <c r="B779">
        <v>1981</v>
      </c>
      <c r="C779" t="s">
        <v>2356</v>
      </c>
      <c r="D779">
        <v>27</v>
      </c>
      <c r="E779">
        <v>1</v>
      </c>
      <c r="F779" s="10">
        <v>6473.15</v>
      </c>
      <c r="G779" t="s">
        <v>2357</v>
      </c>
      <c r="H779" t="s">
        <v>2357</v>
      </c>
      <c r="I779" t="s">
        <v>2359</v>
      </c>
      <c r="J779" s="8">
        <f t="shared" si="12"/>
        <v>29794</v>
      </c>
    </row>
    <row r="780" spans="1:10" x14ac:dyDescent="0.35">
      <c r="A780" t="s">
        <v>1561</v>
      </c>
      <c r="B780">
        <v>1980</v>
      </c>
      <c r="C780" t="s">
        <v>2362</v>
      </c>
      <c r="D780">
        <v>8</v>
      </c>
      <c r="E780">
        <v>0</v>
      </c>
      <c r="F780" s="10">
        <v>6474.01</v>
      </c>
      <c r="G780" t="s">
        <v>2357</v>
      </c>
      <c r="H780" t="s">
        <v>2358</v>
      </c>
      <c r="I780" t="s">
        <v>2368</v>
      </c>
      <c r="J780" s="8">
        <f t="shared" si="12"/>
        <v>29380</v>
      </c>
    </row>
    <row r="781" spans="1:10" x14ac:dyDescent="0.35">
      <c r="A781" t="s">
        <v>1560</v>
      </c>
      <c r="B781">
        <v>1970</v>
      </c>
      <c r="C781" t="s">
        <v>2365</v>
      </c>
      <c r="D781">
        <v>1</v>
      </c>
      <c r="E781">
        <v>0</v>
      </c>
      <c r="F781" s="10">
        <v>6481.67</v>
      </c>
      <c r="G781" t="s">
        <v>2357</v>
      </c>
      <c r="H781" t="s">
        <v>2357</v>
      </c>
      <c r="I781" t="s">
        <v>2359</v>
      </c>
      <c r="J781" s="8">
        <f t="shared" si="12"/>
        <v>25903</v>
      </c>
    </row>
    <row r="782" spans="1:10" x14ac:dyDescent="0.35">
      <c r="A782" t="s">
        <v>1559</v>
      </c>
      <c r="B782">
        <v>1982</v>
      </c>
      <c r="C782" t="s">
        <v>2367</v>
      </c>
      <c r="D782">
        <v>9</v>
      </c>
      <c r="E782">
        <v>1</v>
      </c>
      <c r="F782" s="10">
        <v>6496.89</v>
      </c>
      <c r="G782" t="s">
        <v>2357</v>
      </c>
      <c r="H782" t="s">
        <v>2358</v>
      </c>
      <c r="I782" t="s">
        <v>2368</v>
      </c>
      <c r="J782" s="8">
        <f t="shared" si="12"/>
        <v>30233</v>
      </c>
    </row>
    <row r="783" spans="1:10" x14ac:dyDescent="0.35">
      <c r="A783" t="s">
        <v>1558</v>
      </c>
      <c r="B783">
        <v>1982</v>
      </c>
      <c r="C783" t="s">
        <v>2366</v>
      </c>
      <c r="D783">
        <v>28</v>
      </c>
      <c r="E783">
        <v>1</v>
      </c>
      <c r="F783" s="10">
        <v>6500.24</v>
      </c>
      <c r="G783" t="s">
        <v>2357</v>
      </c>
      <c r="H783" t="s">
        <v>2357</v>
      </c>
      <c r="I783" t="s">
        <v>2359</v>
      </c>
      <c r="J783" s="8">
        <f t="shared" si="12"/>
        <v>30191</v>
      </c>
    </row>
    <row r="784" spans="1:10" x14ac:dyDescent="0.35">
      <c r="A784" t="s">
        <v>1557</v>
      </c>
      <c r="B784">
        <v>1994</v>
      </c>
      <c r="C784" t="s">
        <v>2356</v>
      </c>
      <c r="D784">
        <v>7</v>
      </c>
      <c r="E784">
        <v>0</v>
      </c>
      <c r="F784" s="10">
        <v>6512.24</v>
      </c>
      <c r="G784" t="s">
        <v>2357</v>
      </c>
      <c r="H784" t="s">
        <v>2361</v>
      </c>
      <c r="I784" t="s">
        <v>2377</v>
      </c>
      <c r="J784" s="8">
        <f t="shared" si="12"/>
        <v>34522</v>
      </c>
    </row>
    <row r="785" spans="1:10" x14ac:dyDescent="0.35">
      <c r="A785" t="s">
        <v>1556</v>
      </c>
      <c r="B785">
        <v>1976</v>
      </c>
      <c r="C785" t="s">
        <v>2367</v>
      </c>
      <c r="D785">
        <v>23</v>
      </c>
      <c r="E785">
        <v>2</v>
      </c>
      <c r="F785" s="10">
        <v>6529.21</v>
      </c>
      <c r="G785" t="s">
        <v>2357</v>
      </c>
      <c r="H785" t="s">
        <v>2361</v>
      </c>
      <c r="I785" t="s">
        <v>2359</v>
      </c>
      <c r="J785" s="8">
        <f t="shared" si="12"/>
        <v>28056</v>
      </c>
    </row>
    <row r="786" spans="1:10" x14ac:dyDescent="0.35">
      <c r="A786" t="s">
        <v>1555</v>
      </c>
      <c r="B786">
        <v>1982</v>
      </c>
      <c r="C786" t="s">
        <v>2366</v>
      </c>
      <c r="D786">
        <v>12</v>
      </c>
      <c r="E786">
        <v>3</v>
      </c>
      <c r="F786" s="10">
        <v>6532.04</v>
      </c>
      <c r="G786" t="s">
        <v>2357</v>
      </c>
      <c r="H786" t="s">
        <v>2361</v>
      </c>
      <c r="I786" t="s">
        <v>2359</v>
      </c>
      <c r="J786" s="8">
        <f t="shared" si="12"/>
        <v>30175</v>
      </c>
    </row>
    <row r="787" spans="1:10" x14ac:dyDescent="0.35">
      <c r="A787" t="s">
        <v>1554</v>
      </c>
      <c r="B787">
        <v>1982</v>
      </c>
      <c r="C787" t="s">
        <v>2367</v>
      </c>
      <c r="D787">
        <v>2</v>
      </c>
      <c r="E787">
        <v>3</v>
      </c>
      <c r="F787" s="10">
        <v>6536.68</v>
      </c>
      <c r="G787" t="s">
        <v>2357</v>
      </c>
      <c r="H787" t="s">
        <v>2357</v>
      </c>
      <c r="I787" t="s">
        <v>2364</v>
      </c>
      <c r="J787" s="8">
        <f t="shared" si="12"/>
        <v>30226</v>
      </c>
    </row>
    <row r="788" spans="1:10" x14ac:dyDescent="0.35">
      <c r="A788" t="s">
        <v>1553</v>
      </c>
      <c r="B788">
        <v>1969</v>
      </c>
      <c r="C788" t="s">
        <v>2365</v>
      </c>
      <c r="D788">
        <v>3</v>
      </c>
      <c r="E788">
        <v>0</v>
      </c>
      <c r="F788" s="10">
        <v>6546.16</v>
      </c>
      <c r="G788" t="s">
        <v>2357</v>
      </c>
      <c r="H788" t="s">
        <v>2358</v>
      </c>
      <c r="I788" t="s">
        <v>2359</v>
      </c>
      <c r="J788" s="8">
        <f t="shared" si="12"/>
        <v>25540</v>
      </c>
    </row>
    <row r="789" spans="1:10" x14ac:dyDescent="0.35">
      <c r="A789" t="s">
        <v>1552</v>
      </c>
      <c r="B789">
        <v>1986</v>
      </c>
      <c r="C789" t="s">
        <v>2365</v>
      </c>
      <c r="D789">
        <v>18</v>
      </c>
      <c r="E789">
        <v>3</v>
      </c>
      <c r="F789" s="10">
        <v>6548.2</v>
      </c>
      <c r="G789" t="s">
        <v>2357</v>
      </c>
      <c r="H789" t="s">
        <v>2358</v>
      </c>
      <c r="I789" t="s">
        <v>2364</v>
      </c>
      <c r="J789" s="8">
        <f t="shared" si="12"/>
        <v>31764</v>
      </c>
    </row>
    <row r="790" spans="1:10" x14ac:dyDescent="0.35">
      <c r="A790" t="s">
        <v>1551</v>
      </c>
      <c r="B790">
        <v>1989</v>
      </c>
      <c r="C790" t="s">
        <v>2366</v>
      </c>
      <c r="D790">
        <v>6</v>
      </c>
      <c r="E790">
        <v>3</v>
      </c>
      <c r="F790" s="10">
        <v>6551.75</v>
      </c>
      <c r="G790" t="s">
        <v>2357</v>
      </c>
      <c r="H790" t="s">
        <v>2357</v>
      </c>
      <c r="I790" t="s">
        <v>2374</v>
      </c>
      <c r="J790" s="8">
        <f t="shared" si="12"/>
        <v>32726</v>
      </c>
    </row>
    <row r="791" spans="1:10" x14ac:dyDescent="0.35">
      <c r="A791" t="s">
        <v>1550</v>
      </c>
      <c r="B791">
        <v>1968</v>
      </c>
      <c r="C791" t="s">
        <v>2365</v>
      </c>
      <c r="D791">
        <v>11</v>
      </c>
      <c r="E791">
        <v>0</v>
      </c>
      <c r="F791" s="10">
        <v>6552.01</v>
      </c>
      <c r="G791" t="s">
        <v>2358</v>
      </c>
      <c r="H791" t="s">
        <v>2357</v>
      </c>
      <c r="I791" t="s">
        <v>2359</v>
      </c>
      <c r="J791" s="8">
        <f t="shared" si="12"/>
        <v>25183</v>
      </c>
    </row>
    <row r="792" spans="1:10" x14ac:dyDescent="0.35">
      <c r="A792" t="s">
        <v>1549</v>
      </c>
      <c r="B792">
        <v>1984</v>
      </c>
      <c r="C792" t="s">
        <v>2363</v>
      </c>
      <c r="D792">
        <v>20</v>
      </c>
      <c r="E792">
        <v>1</v>
      </c>
      <c r="F792" s="10">
        <v>6555.07</v>
      </c>
      <c r="G792" t="s">
        <v>2357</v>
      </c>
      <c r="H792" t="s">
        <v>2357</v>
      </c>
      <c r="I792" t="s">
        <v>2374</v>
      </c>
      <c r="J792" s="8">
        <f t="shared" si="12"/>
        <v>30945</v>
      </c>
    </row>
    <row r="793" spans="1:10" x14ac:dyDescent="0.35">
      <c r="A793" t="s">
        <v>1548</v>
      </c>
      <c r="B793">
        <v>1981</v>
      </c>
      <c r="C793" t="s">
        <v>2356</v>
      </c>
      <c r="D793">
        <v>20</v>
      </c>
      <c r="E793">
        <v>0</v>
      </c>
      <c r="F793" s="10">
        <v>6571.02</v>
      </c>
      <c r="G793" t="s">
        <v>2357</v>
      </c>
      <c r="H793" t="s">
        <v>2361</v>
      </c>
      <c r="I793" t="s">
        <v>2364</v>
      </c>
      <c r="J793" s="8">
        <f t="shared" si="12"/>
        <v>29787</v>
      </c>
    </row>
    <row r="794" spans="1:10" x14ac:dyDescent="0.35">
      <c r="A794" t="s">
        <v>1547</v>
      </c>
      <c r="B794">
        <v>1984</v>
      </c>
      <c r="C794" t="s">
        <v>2367</v>
      </c>
      <c r="D794">
        <v>5</v>
      </c>
      <c r="E794">
        <v>2</v>
      </c>
      <c r="F794" s="10">
        <v>6571.54</v>
      </c>
      <c r="G794" t="s">
        <v>2357</v>
      </c>
      <c r="H794" t="s">
        <v>2358</v>
      </c>
      <c r="I794" t="s">
        <v>2368</v>
      </c>
      <c r="J794" s="8">
        <f t="shared" si="12"/>
        <v>30960</v>
      </c>
    </row>
    <row r="795" spans="1:10" x14ac:dyDescent="0.35">
      <c r="A795" t="s">
        <v>1546</v>
      </c>
      <c r="B795">
        <v>1982</v>
      </c>
      <c r="C795" t="s">
        <v>2360</v>
      </c>
      <c r="D795">
        <v>22</v>
      </c>
      <c r="E795">
        <v>2</v>
      </c>
      <c r="F795" s="10">
        <v>6593.51</v>
      </c>
      <c r="G795" t="s">
        <v>2357</v>
      </c>
      <c r="H795" t="s">
        <v>2361</v>
      </c>
      <c r="I795" t="s">
        <v>2359</v>
      </c>
      <c r="J795" s="8">
        <f t="shared" si="12"/>
        <v>30277</v>
      </c>
    </row>
    <row r="796" spans="1:10" x14ac:dyDescent="0.35">
      <c r="A796" t="s">
        <v>1545</v>
      </c>
      <c r="B796">
        <v>1982</v>
      </c>
      <c r="C796" t="s">
        <v>2365</v>
      </c>
      <c r="D796">
        <v>29</v>
      </c>
      <c r="E796">
        <v>1</v>
      </c>
      <c r="F796" s="10">
        <v>6600.21</v>
      </c>
      <c r="G796" t="s">
        <v>2358</v>
      </c>
      <c r="H796" t="s">
        <v>2357</v>
      </c>
      <c r="I796" t="s">
        <v>2371</v>
      </c>
      <c r="J796" s="8">
        <f t="shared" si="12"/>
        <v>30314</v>
      </c>
    </row>
    <row r="797" spans="1:10" x14ac:dyDescent="0.35">
      <c r="A797" t="s">
        <v>1544</v>
      </c>
      <c r="B797">
        <v>1982</v>
      </c>
      <c r="C797" t="s">
        <v>2360</v>
      </c>
      <c r="D797">
        <v>7</v>
      </c>
      <c r="E797">
        <v>2</v>
      </c>
      <c r="F797" s="10">
        <v>6600.36</v>
      </c>
      <c r="G797" t="s">
        <v>2357</v>
      </c>
      <c r="H797" t="s">
        <v>2358</v>
      </c>
      <c r="I797" t="s">
        <v>2368</v>
      </c>
      <c r="J797" s="8">
        <f t="shared" si="12"/>
        <v>30262</v>
      </c>
    </row>
    <row r="798" spans="1:10" x14ac:dyDescent="0.35">
      <c r="A798" t="s">
        <v>1543</v>
      </c>
      <c r="B798">
        <v>1982</v>
      </c>
      <c r="C798" t="s">
        <v>2366</v>
      </c>
      <c r="D798">
        <v>28</v>
      </c>
      <c r="E798">
        <v>1</v>
      </c>
      <c r="F798" s="10">
        <v>6610.11</v>
      </c>
      <c r="G798" t="s">
        <v>2358</v>
      </c>
      <c r="H798" t="s">
        <v>2357</v>
      </c>
      <c r="I798" t="s">
        <v>2369</v>
      </c>
      <c r="J798" s="8">
        <f t="shared" si="12"/>
        <v>30191</v>
      </c>
    </row>
    <row r="799" spans="1:10" x14ac:dyDescent="0.35">
      <c r="A799" t="s">
        <v>1542</v>
      </c>
      <c r="B799">
        <v>1973</v>
      </c>
      <c r="C799" t="s">
        <v>2366</v>
      </c>
      <c r="D799">
        <v>29</v>
      </c>
      <c r="E799">
        <v>0</v>
      </c>
      <c r="F799" s="10">
        <v>6630.31</v>
      </c>
      <c r="G799" t="s">
        <v>2357</v>
      </c>
      <c r="H799" t="s">
        <v>2361</v>
      </c>
      <c r="I799" t="s">
        <v>2359</v>
      </c>
      <c r="J799" s="8">
        <f t="shared" si="12"/>
        <v>26905</v>
      </c>
    </row>
    <row r="800" spans="1:10" x14ac:dyDescent="0.35">
      <c r="A800" t="s">
        <v>1541</v>
      </c>
      <c r="B800">
        <v>2003</v>
      </c>
      <c r="C800" t="s">
        <v>2363</v>
      </c>
      <c r="D800">
        <v>4</v>
      </c>
      <c r="E800">
        <v>0</v>
      </c>
      <c r="F800" s="10">
        <v>6638.16</v>
      </c>
      <c r="G800" t="s">
        <v>2357</v>
      </c>
      <c r="H800" t="s">
        <v>2361</v>
      </c>
      <c r="I800" t="s">
        <v>2364</v>
      </c>
      <c r="J800" s="8">
        <f t="shared" si="12"/>
        <v>37868</v>
      </c>
    </row>
    <row r="801" spans="1:10" x14ac:dyDescent="0.35">
      <c r="A801" t="s">
        <v>1540</v>
      </c>
      <c r="B801">
        <v>1990</v>
      </c>
      <c r="C801" t="s">
        <v>2362</v>
      </c>
      <c r="D801">
        <v>6</v>
      </c>
      <c r="E801">
        <v>3</v>
      </c>
      <c r="F801" s="10">
        <v>6639.3</v>
      </c>
      <c r="G801" t="s">
        <v>2357</v>
      </c>
      <c r="H801" t="s">
        <v>2357</v>
      </c>
      <c r="I801" t="s">
        <v>2377</v>
      </c>
      <c r="J801" s="8">
        <f t="shared" si="12"/>
        <v>33030</v>
      </c>
    </row>
    <row r="802" spans="1:10" x14ac:dyDescent="0.35">
      <c r="A802" t="s">
        <v>1539</v>
      </c>
      <c r="B802">
        <v>1984</v>
      </c>
      <c r="C802" t="s">
        <v>2365</v>
      </c>
      <c r="D802">
        <v>8</v>
      </c>
      <c r="E802">
        <v>2</v>
      </c>
      <c r="F802" s="10">
        <v>6640.54</v>
      </c>
      <c r="G802" t="s">
        <v>2357</v>
      </c>
      <c r="H802" t="s">
        <v>2358</v>
      </c>
      <c r="I802" t="s">
        <v>2370</v>
      </c>
      <c r="J802" s="8">
        <f t="shared" si="12"/>
        <v>31024</v>
      </c>
    </row>
    <row r="803" spans="1:10" x14ac:dyDescent="0.35">
      <c r="A803" t="s">
        <v>1538</v>
      </c>
      <c r="B803">
        <v>1970</v>
      </c>
      <c r="C803" t="s">
        <v>2360</v>
      </c>
      <c r="D803">
        <v>8</v>
      </c>
      <c r="E803">
        <v>0</v>
      </c>
      <c r="F803" s="10">
        <v>6651.26</v>
      </c>
      <c r="G803" t="s">
        <v>2357</v>
      </c>
      <c r="H803" t="s">
        <v>2358</v>
      </c>
      <c r="I803" t="s">
        <v>2359</v>
      </c>
      <c r="J803" s="8">
        <f t="shared" si="12"/>
        <v>25880</v>
      </c>
    </row>
    <row r="804" spans="1:10" x14ac:dyDescent="0.35">
      <c r="A804" t="s">
        <v>1537</v>
      </c>
      <c r="B804">
        <v>1984</v>
      </c>
      <c r="C804" t="s">
        <v>2356</v>
      </c>
      <c r="D804">
        <v>1</v>
      </c>
      <c r="E804">
        <v>3</v>
      </c>
      <c r="F804" s="10">
        <v>6652.53</v>
      </c>
      <c r="G804" t="s">
        <v>2358</v>
      </c>
      <c r="H804" t="s">
        <v>2357</v>
      </c>
      <c r="I804" t="s">
        <v>2359</v>
      </c>
      <c r="J804" s="8">
        <f t="shared" si="12"/>
        <v>30864</v>
      </c>
    </row>
    <row r="805" spans="1:10" x14ac:dyDescent="0.35">
      <c r="A805" t="s">
        <v>1536</v>
      </c>
      <c r="B805">
        <v>1989</v>
      </c>
      <c r="C805" t="s">
        <v>2360</v>
      </c>
      <c r="D805">
        <v>19</v>
      </c>
      <c r="E805">
        <v>5</v>
      </c>
      <c r="F805" s="10">
        <v>6653.79</v>
      </c>
      <c r="G805" t="s">
        <v>2357</v>
      </c>
      <c r="H805" t="s">
        <v>2361</v>
      </c>
      <c r="I805" t="s">
        <v>2359</v>
      </c>
      <c r="J805" s="8">
        <f t="shared" si="12"/>
        <v>32831</v>
      </c>
    </row>
    <row r="806" spans="1:10" x14ac:dyDescent="0.35">
      <c r="A806" t="s">
        <v>1535</v>
      </c>
      <c r="B806">
        <v>1982</v>
      </c>
      <c r="C806" t="s">
        <v>2363</v>
      </c>
      <c r="D806">
        <v>27</v>
      </c>
      <c r="E806">
        <v>3</v>
      </c>
      <c r="F806" s="10">
        <v>6664.32</v>
      </c>
      <c r="G806" t="s">
        <v>2357</v>
      </c>
      <c r="H806" t="s">
        <v>2357</v>
      </c>
      <c r="I806" t="s">
        <v>2359</v>
      </c>
      <c r="J806" s="8">
        <f t="shared" si="12"/>
        <v>30221</v>
      </c>
    </row>
    <row r="807" spans="1:10" x14ac:dyDescent="0.35">
      <c r="A807" t="s">
        <v>1534</v>
      </c>
      <c r="B807">
        <v>1981</v>
      </c>
      <c r="C807" t="s">
        <v>2363</v>
      </c>
      <c r="D807">
        <v>17</v>
      </c>
      <c r="E807">
        <v>1</v>
      </c>
      <c r="F807" s="10">
        <v>6664.69</v>
      </c>
      <c r="G807" t="s">
        <v>2358</v>
      </c>
      <c r="H807" t="s">
        <v>2361</v>
      </c>
      <c r="I807" t="s">
        <v>2364</v>
      </c>
      <c r="J807" s="8">
        <f t="shared" si="12"/>
        <v>29846</v>
      </c>
    </row>
    <row r="808" spans="1:10" x14ac:dyDescent="0.35">
      <c r="A808" t="s">
        <v>1533</v>
      </c>
      <c r="B808">
        <v>1989</v>
      </c>
      <c r="C808" t="s">
        <v>2367</v>
      </c>
      <c r="D808">
        <v>20</v>
      </c>
      <c r="E808">
        <v>5</v>
      </c>
      <c r="F808" s="10">
        <v>6666.24</v>
      </c>
      <c r="G808" t="s">
        <v>2358</v>
      </c>
      <c r="H808" t="s">
        <v>2361</v>
      </c>
      <c r="I808" t="s">
        <v>2368</v>
      </c>
      <c r="J808" s="8">
        <f t="shared" si="12"/>
        <v>32801</v>
      </c>
    </row>
    <row r="809" spans="1:10" x14ac:dyDescent="0.35">
      <c r="A809" t="s">
        <v>1532</v>
      </c>
      <c r="B809">
        <v>1985</v>
      </c>
      <c r="C809" t="s">
        <v>2356</v>
      </c>
      <c r="D809">
        <v>9</v>
      </c>
      <c r="E809">
        <v>2</v>
      </c>
      <c r="F809" s="10">
        <v>6686.43</v>
      </c>
      <c r="G809" t="s">
        <v>2357</v>
      </c>
      <c r="H809" t="s">
        <v>2358</v>
      </c>
      <c r="I809" t="s">
        <v>2364</v>
      </c>
      <c r="J809" s="8">
        <f t="shared" si="12"/>
        <v>31237</v>
      </c>
    </row>
    <row r="810" spans="1:10" x14ac:dyDescent="0.35">
      <c r="A810" t="s">
        <v>1531</v>
      </c>
      <c r="B810">
        <v>1968</v>
      </c>
      <c r="C810" t="s">
        <v>2356</v>
      </c>
      <c r="D810">
        <v>13</v>
      </c>
      <c r="E810">
        <v>0</v>
      </c>
      <c r="F810" s="10">
        <v>6700.56</v>
      </c>
      <c r="G810" t="s">
        <v>2358</v>
      </c>
      <c r="H810" t="s">
        <v>2361</v>
      </c>
      <c r="I810" t="s">
        <v>2364</v>
      </c>
      <c r="J810" s="8">
        <f t="shared" si="12"/>
        <v>25032</v>
      </c>
    </row>
    <row r="811" spans="1:10" x14ac:dyDescent="0.35">
      <c r="A811" t="s">
        <v>1530</v>
      </c>
      <c r="B811">
        <v>1971</v>
      </c>
      <c r="C811" t="s">
        <v>2365</v>
      </c>
      <c r="D811">
        <v>12</v>
      </c>
      <c r="E811">
        <v>0</v>
      </c>
      <c r="F811" s="10">
        <v>6706.47</v>
      </c>
      <c r="G811" t="s">
        <v>2357</v>
      </c>
      <c r="H811" t="s">
        <v>2361</v>
      </c>
      <c r="I811" t="s">
        <v>2359</v>
      </c>
      <c r="J811" s="8">
        <f t="shared" si="12"/>
        <v>26279</v>
      </c>
    </row>
    <row r="812" spans="1:10" x14ac:dyDescent="0.35">
      <c r="A812" t="s">
        <v>1529</v>
      </c>
      <c r="B812">
        <v>1983</v>
      </c>
      <c r="C812" t="s">
        <v>2362</v>
      </c>
      <c r="D812">
        <v>12</v>
      </c>
      <c r="E812">
        <v>2</v>
      </c>
      <c r="F812" s="10">
        <v>6710.19</v>
      </c>
      <c r="G812" t="s">
        <v>2358</v>
      </c>
      <c r="H812" t="s">
        <v>2358</v>
      </c>
      <c r="I812" t="s">
        <v>2364</v>
      </c>
      <c r="J812" s="8">
        <f t="shared" si="12"/>
        <v>30479</v>
      </c>
    </row>
    <row r="813" spans="1:10" x14ac:dyDescent="0.35">
      <c r="A813" t="s">
        <v>1528</v>
      </c>
      <c r="B813">
        <v>1994</v>
      </c>
      <c r="C813" t="s">
        <v>2362</v>
      </c>
      <c r="D813">
        <v>13</v>
      </c>
      <c r="E813">
        <v>0</v>
      </c>
      <c r="F813" s="10">
        <v>6721.37</v>
      </c>
      <c r="G813" t="s">
        <v>2357</v>
      </c>
      <c r="H813" t="s">
        <v>2361</v>
      </c>
      <c r="I813" t="s">
        <v>2364</v>
      </c>
      <c r="J813" s="8">
        <f t="shared" si="12"/>
        <v>34498</v>
      </c>
    </row>
    <row r="814" spans="1:10" x14ac:dyDescent="0.35">
      <c r="A814" t="s">
        <v>1527</v>
      </c>
      <c r="B814">
        <v>1978</v>
      </c>
      <c r="C814" t="s">
        <v>2367</v>
      </c>
      <c r="D814">
        <v>21</v>
      </c>
      <c r="E814">
        <v>2</v>
      </c>
      <c r="F814" s="10">
        <v>6737.98</v>
      </c>
      <c r="G814" t="s">
        <v>2357</v>
      </c>
      <c r="H814" t="s">
        <v>2358</v>
      </c>
      <c r="I814" t="s">
        <v>2359</v>
      </c>
      <c r="J814" s="8">
        <f t="shared" si="12"/>
        <v>28784</v>
      </c>
    </row>
    <row r="815" spans="1:10" x14ac:dyDescent="0.35">
      <c r="A815" t="s">
        <v>1526</v>
      </c>
      <c r="B815">
        <v>1968</v>
      </c>
      <c r="C815" t="s">
        <v>2356</v>
      </c>
      <c r="D815">
        <v>18</v>
      </c>
      <c r="E815">
        <v>0</v>
      </c>
      <c r="F815" s="10">
        <v>6738.84</v>
      </c>
      <c r="G815" t="s">
        <v>2358</v>
      </c>
      <c r="H815" t="s">
        <v>2361</v>
      </c>
      <c r="I815" t="s">
        <v>2364</v>
      </c>
      <c r="J815" s="8">
        <f t="shared" si="12"/>
        <v>25037</v>
      </c>
    </row>
    <row r="816" spans="1:10" x14ac:dyDescent="0.35">
      <c r="A816" t="s">
        <v>1525</v>
      </c>
      <c r="B816">
        <v>1986</v>
      </c>
      <c r="C816" t="s">
        <v>2366</v>
      </c>
      <c r="D816">
        <v>7</v>
      </c>
      <c r="E816">
        <v>3</v>
      </c>
      <c r="F816" s="10">
        <v>6746.74</v>
      </c>
      <c r="G816" t="s">
        <v>2358</v>
      </c>
      <c r="H816" t="s">
        <v>2357</v>
      </c>
      <c r="I816" t="s">
        <v>2371</v>
      </c>
      <c r="J816" s="8">
        <f t="shared" si="12"/>
        <v>31631</v>
      </c>
    </row>
    <row r="817" spans="1:10" x14ac:dyDescent="0.35">
      <c r="A817" t="s">
        <v>1524</v>
      </c>
      <c r="B817">
        <v>1986</v>
      </c>
      <c r="C817" t="s">
        <v>2362</v>
      </c>
      <c r="D817">
        <v>5</v>
      </c>
      <c r="E817">
        <v>3</v>
      </c>
      <c r="F817" s="10">
        <v>6748.59</v>
      </c>
      <c r="G817" t="s">
        <v>2358</v>
      </c>
      <c r="H817" t="s">
        <v>2361</v>
      </c>
      <c r="I817" t="s">
        <v>2371</v>
      </c>
      <c r="J817" s="8">
        <f t="shared" si="12"/>
        <v>31568</v>
      </c>
    </row>
    <row r="818" spans="1:10" x14ac:dyDescent="0.35">
      <c r="A818" t="s">
        <v>1523</v>
      </c>
      <c r="B818">
        <v>1970</v>
      </c>
      <c r="C818" t="s">
        <v>2362</v>
      </c>
      <c r="D818">
        <v>17</v>
      </c>
      <c r="E818">
        <v>0</v>
      </c>
      <c r="F818" s="10">
        <v>6749.63</v>
      </c>
      <c r="G818" t="s">
        <v>2357</v>
      </c>
      <c r="H818" t="s">
        <v>2361</v>
      </c>
      <c r="I818" t="s">
        <v>2359</v>
      </c>
      <c r="J818" s="8">
        <f t="shared" si="12"/>
        <v>25736</v>
      </c>
    </row>
    <row r="819" spans="1:10" x14ac:dyDescent="0.35">
      <c r="A819" t="s">
        <v>1522</v>
      </c>
      <c r="B819">
        <v>1966</v>
      </c>
      <c r="C819" t="s">
        <v>2365</v>
      </c>
      <c r="D819">
        <v>9</v>
      </c>
      <c r="E819">
        <v>0</v>
      </c>
      <c r="F819" s="10">
        <v>6750.27</v>
      </c>
      <c r="G819" t="s">
        <v>2358</v>
      </c>
      <c r="H819" t="s">
        <v>2357</v>
      </c>
      <c r="I819" t="s">
        <v>2359</v>
      </c>
      <c r="J819" s="8">
        <f t="shared" si="12"/>
        <v>24450</v>
      </c>
    </row>
    <row r="820" spans="1:10" x14ac:dyDescent="0.35">
      <c r="A820" t="s">
        <v>1521</v>
      </c>
      <c r="B820">
        <v>1988</v>
      </c>
      <c r="C820" t="s">
        <v>2367</v>
      </c>
      <c r="D820">
        <v>10</v>
      </c>
      <c r="E820">
        <v>3</v>
      </c>
      <c r="F820" s="10">
        <v>6753.04</v>
      </c>
      <c r="G820" t="s">
        <v>2357</v>
      </c>
      <c r="H820" t="s">
        <v>2357</v>
      </c>
      <c r="I820" t="s">
        <v>2374</v>
      </c>
      <c r="J820" s="8">
        <f t="shared" si="12"/>
        <v>32426</v>
      </c>
    </row>
    <row r="821" spans="1:10" x14ac:dyDescent="0.35">
      <c r="A821" t="s">
        <v>1520</v>
      </c>
      <c r="B821">
        <v>1981</v>
      </c>
      <c r="C821" t="s">
        <v>2363</v>
      </c>
      <c r="D821">
        <v>21</v>
      </c>
      <c r="E821">
        <v>1</v>
      </c>
      <c r="F821" s="10">
        <v>6770.19</v>
      </c>
      <c r="G821" t="s">
        <v>2357</v>
      </c>
      <c r="H821" t="s">
        <v>2358</v>
      </c>
      <c r="I821" t="s">
        <v>2359</v>
      </c>
      <c r="J821" s="8">
        <f t="shared" si="12"/>
        <v>29850</v>
      </c>
    </row>
    <row r="822" spans="1:10" x14ac:dyDescent="0.35">
      <c r="A822" t="s">
        <v>1519</v>
      </c>
      <c r="B822">
        <v>1981</v>
      </c>
      <c r="C822" t="s">
        <v>2363</v>
      </c>
      <c r="D822">
        <v>3</v>
      </c>
      <c r="E822">
        <v>1</v>
      </c>
      <c r="F822" s="10">
        <v>6775.96</v>
      </c>
      <c r="G822" t="s">
        <v>2357</v>
      </c>
      <c r="H822" t="s">
        <v>2358</v>
      </c>
      <c r="I822" t="s">
        <v>2368</v>
      </c>
      <c r="J822" s="8">
        <f t="shared" si="12"/>
        <v>29832</v>
      </c>
    </row>
    <row r="823" spans="1:10" x14ac:dyDescent="0.35">
      <c r="A823" t="s">
        <v>1518</v>
      </c>
      <c r="B823">
        <v>1981</v>
      </c>
      <c r="C823" t="s">
        <v>2367</v>
      </c>
      <c r="D823">
        <v>8</v>
      </c>
      <c r="E823">
        <v>1</v>
      </c>
      <c r="F823" s="10">
        <v>6781.35</v>
      </c>
      <c r="G823" t="s">
        <v>2357</v>
      </c>
      <c r="H823" t="s">
        <v>2361</v>
      </c>
      <c r="I823" t="s">
        <v>2359</v>
      </c>
      <c r="J823" s="8">
        <f t="shared" si="12"/>
        <v>29867</v>
      </c>
    </row>
    <row r="824" spans="1:10" x14ac:dyDescent="0.35">
      <c r="A824" t="s">
        <v>1517</v>
      </c>
      <c r="B824">
        <v>1980</v>
      </c>
      <c r="C824" t="s">
        <v>2360</v>
      </c>
      <c r="D824">
        <v>23</v>
      </c>
      <c r="E824">
        <v>2</v>
      </c>
      <c r="F824" s="10">
        <v>6781.52</v>
      </c>
      <c r="G824" t="s">
        <v>2357</v>
      </c>
      <c r="H824" t="s">
        <v>2357</v>
      </c>
      <c r="I824" t="s">
        <v>2359</v>
      </c>
      <c r="J824" s="8">
        <f t="shared" si="12"/>
        <v>29548</v>
      </c>
    </row>
    <row r="825" spans="1:10" x14ac:dyDescent="0.35">
      <c r="A825" t="s">
        <v>1516</v>
      </c>
      <c r="B825">
        <v>1985</v>
      </c>
      <c r="C825" t="s">
        <v>2365</v>
      </c>
      <c r="D825">
        <v>24</v>
      </c>
      <c r="E825">
        <v>3</v>
      </c>
      <c r="F825" s="10">
        <v>6796.86</v>
      </c>
      <c r="G825" t="s">
        <v>2358</v>
      </c>
      <c r="H825" t="s">
        <v>2358</v>
      </c>
      <c r="I825" t="s">
        <v>2364</v>
      </c>
      <c r="J825" s="8">
        <f t="shared" si="12"/>
        <v>31405</v>
      </c>
    </row>
    <row r="826" spans="1:10" x14ac:dyDescent="0.35">
      <c r="A826" t="s">
        <v>1515</v>
      </c>
      <c r="B826">
        <v>1991</v>
      </c>
      <c r="C826" t="s">
        <v>2362</v>
      </c>
      <c r="D826">
        <v>29</v>
      </c>
      <c r="E826">
        <v>5</v>
      </c>
      <c r="F826" s="10">
        <v>6799.46</v>
      </c>
      <c r="G826" t="s">
        <v>2361</v>
      </c>
      <c r="H826" t="s">
        <v>2357</v>
      </c>
      <c r="I826" t="s">
        <v>2376</v>
      </c>
      <c r="J826" s="8">
        <f t="shared" si="12"/>
        <v>33418</v>
      </c>
    </row>
    <row r="827" spans="1:10" x14ac:dyDescent="0.35">
      <c r="A827" t="s">
        <v>1514</v>
      </c>
      <c r="B827">
        <v>1975</v>
      </c>
      <c r="C827" t="s">
        <v>2366</v>
      </c>
      <c r="D827">
        <v>17</v>
      </c>
      <c r="E827">
        <v>1</v>
      </c>
      <c r="F827" s="10">
        <v>6809.46</v>
      </c>
      <c r="G827" t="s">
        <v>2357</v>
      </c>
      <c r="H827" t="s">
        <v>2361</v>
      </c>
      <c r="I827" t="s">
        <v>2364</v>
      </c>
      <c r="J827" s="8">
        <f t="shared" si="12"/>
        <v>27623</v>
      </c>
    </row>
    <row r="828" spans="1:10" x14ac:dyDescent="0.35">
      <c r="A828" t="s">
        <v>1513</v>
      </c>
      <c r="B828">
        <v>1994</v>
      </c>
      <c r="C828" t="s">
        <v>2356</v>
      </c>
      <c r="D828">
        <v>8</v>
      </c>
      <c r="E828">
        <v>0</v>
      </c>
      <c r="F828" s="10">
        <v>6827.69</v>
      </c>
      <c r="G828" t="s">
        <v>2357</v>
      </c>
      <c r="H828" t="s">
        <v>2357</v>
      </c>
      <c r="I828" t="s">
        <v>2377</v>
      </c>
      <c r="J828" s="8">
        <f t="shared" si="12"/>
        <v>34523</v>
      </c>
    </row>
    <row r="829" spans="1:10" x14ac:dyDescent="0.35">
      <c r="A829" t="s">
        <v>1512</v>
      </c>
      <c r="B829">
        <v>1979</v>
      </c>
      <c r="C829" t="s">
        <v>2356</v>
      </c>
      <c r="D829">
        <v>15</v>
      </c>
      <c r="E829">
        <v>0</v>
      </c>
      <c r="F829" s="10">
        <v>6837.37</v>
      </c>
      <c r="G829" t="s">
        <v>2358</v>
      </c>
      <c r="H829" t="s">
        <v>2361</v>
      </c>
      <c r="I829" t="s">
        <v>2371</v>
      </c>
      <c r="J829" s="8">
        <f t="shared" si="12"/>
        <v>29051</v>
      </c>
    </row>
    <row r="830" spans="1:10" x14ac:dyDescent="0.35">
      <c r="A830" t="s">
        <v>1511</v>
      </c>
      <c r="B830">
        <v>2000</v>
      </c>
      <c r="C830" t="s">
        <v>2360</v>
      </c>
      <c r="D830">
        <v>30</v>
      </c>
      <c r="E830">
        <v>0</v>
      </c>
      <c r="F830" s="10">
        <v>6842.28</v>
      </c>
      <c r="G830" t="s">
        <v>2357</v>
      </c>
      <c r="H830" t="s">
        <v>2361</v>
      </c>
      <c r="I830" t="s">
        <v>2364</v>
      </c>
      <c r="J830" s="8">
        <f t="shared" si="12"/>
        <v>36860</v>
      </c>
    </row>
    <row r="831" spans="1:10" x14ac:dyDescent="0.35">
      <c r="A831" t="s">
        <v>1510</v>
      </c>
      <c r="B831">
        <v>1977</v>
      </c>
      <c r="C831" t="s">
        <v>2362</v>
      </c>
      <c r="D831">
        <v>15</v>
      </c>
      <c r="E831">
        <v>2</v>
      </c>
      <c r="F831" s="10">
        <v>6843.17</v>
      </c>
      <c r="G831" t="s">
        <v>2357</v>
      </c>
      <c r="H831" t="s">
        <v>2361</v>
      </c>
      <c r="I831" t="s">
        <v>2359</v>
      </c>
      <c r="J831" s="8">
        <f t="shared" si="12"/>
        <v>28291</v>
      </c>
    </row>
    <row r="832" spans="1:10" x14ac:dyDescent="0.35">
      <c r="A832" t="s">
        <v>1509</v>
      </c>
      <c r="B832">
        <v>1979</v>
      </c>
      <c r="C832" t="s">
        <v>2360</v>
      </c>
      <c r="D832">
        <v>4</v>
      </c>
      <c r="E832">
        <v>1</v>
      </c>
      <c r="F832" s="10">
        <v>6849.03</v>
      </c>
      <c r="G832" t="s">
        <v>2357</v>
      </c>
      <c r="H832" t="s">
        <v>2357</v>
      </c>
      <c r="I832" t="s">
        <v>2368</v>
      </c>
      <c r="J832" s="8">
        <f t="shared" si="12"/>
        <v>29163</v>
      </c>
    </row>
    <row r="833" spans="1:10" x14ac:dyDescent="0.35">
      <c r="A833" t="s">
        <v>1508</v>
      </c>
      <c r="B833">
        <v>1981</v>
      </c>
      <c r="C833" t="s">
        <v>2362</v>
      </c>
      <c r="D833">
        <v>19</v>
      </c>
      <c r="E833">
        <v>1</v>
      </c>
      <c r="F833" s="10">
        <v>6858.48</v>
      </c>
      <c r="G833" t="s">
        <v>2357</v>
      </c>
      <c r="H833" t="s">
        <v>2357</v>
      </c>
      <c r="I833" t="s">
        <v>2370</v>
      </c>
      <c r="J833" s="8">
        <f t="shared" si="12"/>
        <v>29756</v>
      </c>
    </row>
    <row r="834" spans="1:10" x14ac:dyDescent="0.35">
      <c r="A834" t="s">
        <v>1507</v>
      </c>
      <c r="B834">
        <v>1978</v>
      </c>
      <c r="C834" t="s">
        <v>2366</v>
      </c>
      <c r="D834">
        <v>5</v>
      </c>
      <c r="E834">
        <v>2</v>
      </c>
      <c r="F834" s="10">
        <v>6863.49</v>
      </c>
      <c r="G834" t="s">
        <v>2357</v>
      </c>
      <c r="H834" t="s">
        <v>2361</v>
      </c>
      <c r="I834" t="s">
        <v>2359</v>
      </c>
      <c r="J834" s="8">
        <f t="shared" si="12"/>
        <v>28707</v>
      </c>
    </row>
    <row r="835" spans="1:10" x14ac:dyDescent="0.35">
      <c r="A835" t="s">
        <v>1506</v>
      </c>
      <c r="B835">
        <v>1969</v>
      </c>
      <c r="C835" t="s">
        <v>2367</v>
      </c>
      <c r="D835">
        <v>23</v>
      </c>
      <c r="E835">
        <v>0</v>
      </c>
      <c r="F835" s="10">
        <v>6868.39</v>
      </c>
      <c r="G835" t="s">
        <v>2357</v>
      </c>
      <c r="H835" t="s">
        <v>2357</v>
      </c>
      <c r="I835" t="s">
        <v>2359</v>
      </c>
      <c r="J835" s="8">
        <f t="shared" ref="J835:J898" si="13">DATE(B835,MONTH(1&amp;C835),D835)</f>
        <v>25499</v>
      </c>
    </row>
    <row r="836" spans="1:10" x14ac:dyDescent="0.35">
      <c r="A836" t="s">
        <v>1505</v>
      </c>
      <c r="B836">
        <v>1981</v>
      </c>
      <c r="C836" t="s">
        <v>2362</v>
      </c>
      <c r="D836">
        <v>23</v>
      </c>
      <c r="E836">
        <v>2</v>
      </c>
      <c r="F836" s="10">
        <v>6875.96</v>
      </c>
      <c r="G836" t="s">
        <v>2357</v>
      </c>
      <c r="H836" t="s">
        <v>2357</v>
      </c>
      <c r="I836" t="s">
        <v>2368</v>
      </c>
      <c r="J836" s="8">
        <f t="shared" si="13"/>
        <v>29760</v>
      </c>
    </row>
    <row r="837" spans="1:10" x14ac:dyDescent="0.35">
      <c r="A837" t="s">
        <v>1504</v>
      </c>
      <c r="B837">
        <v>2004</v>
      </c>
      <c r="C837" t="s">
        <v>2365</v>
      </c>
      <c r="D837">
        <v>24</v>
      </c>
      <c r="E837">
        <v>0</v>
      </c>
      <c r="F837" s="10">
        <v>6876.53</v>
      </c>
      <c r="G837" t="s">
        <v>2357</v>
      </c>
      <c r="H837" t="s">
        <v>2361</v>
      </c>
      <c r="I837" t="s">
        <v>2364</v>
      </c>
      <c r="J837" s="8">
        <f t="shared" si="13"/>
        <v>38345</v>
      </c>
    </row>
    <row r="838" spans="1:10" x14ac:dyDescent="0.35">
      <c r="A838" t="s">
        <v>1503</v>
      </c>
      <c r="B838">
        <v>1985</v>
      </c>
      <c r="C838" t="s">
        <v>2363</v>
      </c>
      <c r="D838">
        <v>10</v>
      </c>
      <c r="E838">
        <v>2</v>
      </c>
      <c r="F838" s="10">
        <v>6877.98</v>
      </c>
      <c r="G838" t="s">
        <v>2357</v>
      </c>
      <c r="H838" t="s">
        <v>2361</v>
      </c>
      <c r="I838" t="s">
        <v>2374</v>
      </c>
      <c r="J838" s="8">
        <f t="shared" si="13"/>
        <v>31300</v>
      </c>
    </row>
    <row r="839" spans="1:10" x14ac:dyDescent="0.35">
      <c r="A839" t="s">
        <v>1502</v>
      </c>
      <c r="B839">
        <v>1989</v>
      </c>
      <c r="C839" t="s">
        <v>2365</v>
      </c>
      <c r="D839">
        <v>21</v>
      </c>
      <c r="E839">
        <v>3</v>
      </c>
      <c r="F839" s="10">
        <v>6895.19</v>
      </c>
      <c r="G839" t="s">
        <v>2357</v>
      </c>
      <c r="H839" t="s">
        <v>2358</v>
      </c>
      <c r="I839" t="s">
        <v>2374</v>
      </c>
      <c r="J839" s="8">
        <f t="shared" si="13"/>
        <v>32863</v>
      </c>
    </row>
    <row r="840" spans="1:10" x14ac:dyDescent="0.35">
      <c r="A840" t="s">
        <v>1501</v>
      </c>
      <c r="B840">
        <v>1984</v>
      </c>
      <c r="C840" t="s">
        <v>2363</v>
      </c>
      <c r="D840">
        <v>5</v>
      </c>
      <c r="E840">
        <v>2</v>
      </c>
      <c r="F840" s="10">
        <v>6933.24</v>
      </c>
      <c r="G840" t="s">
        <v>2357</v>
      </c>
      <c r="H840" t="s">
        <v>2358</v>
      </c>
      <c r="I840" t="s">
        <v>2364</v>
      </c>
      <c r="J840" s="8">
        <f t="shared" si="13"/>
        <v>30930</v>
      </c>
    </row>
    <row r="841" spans="1:10" x14ac:dyDescent="0.35">
      <c r="A841" t="s">
        <v>1500</v>
      </c>
      <c r="B841">
        <v>1978</v>
      </c>
      <c r="C841" t="s">
        <v>2360</v>
      </c>
      <c r="D841">
        <v>29</v>
      </c>
      <c r="E841">
        <v>2</v>
      </c>
      <c r="F841" s="10">
        <v>6938.11</v>
      </c>
      <c r="G841" t="s">
        <v>2357</v>
      </c>
      <c r="H841" t="s">
        <v>2357</v>
      </c>
      <c r="I841" t="s">
        <v>2359</v>
      </c>
      <c r="J841" s="8">
        <f t="shared" si="13"/>
        <v>28823</v>
      </c>
    </row>
    <row r="842" spans="1:10" x14ac:dyDescent="0.35">
      <c r="A842" t="s">
        <v>1499</v>
      </c>
      <c r="B842">
        <v>1980</v>
      </c>
      <c r="C842" t="s">
        <v>2366</v>
      </c>
      <c r="D842">
        <v>30</v>
      </c>
      <c r="E842">
        <v>1</v>
      </c>
      <c r="F842" s="10">
        <v>6940.91</v>
      </c>
      <c r="G842" t="s">
        <v>2357</v>
      </c>
      <c r="H842" t="s">
        <v>2357</v>
      </c>
      <c r="I842" t="s">
        <v>2364</v>
      </c>
      <c r="J842" s="8">
        <f t="shared" si="13"/>
        <v>29463</v>
      </c>
    </row>
    <row r="843" spans="1:10" x14ac:dyDescent="0.35">
      <c r="A843" t="s">
        <v>1498</v>
      </c>
      <c r="B843">
        <v>1980</v>
      </c>
      <c r="C843" t="s">
        <v>2367</v>
      </c>
      <c r="D843">
        <v>5</v>
      </c>
      <c r="E843">
        <v>2</v>
      </c>
      <c r="F843" s="10">
        <v>6940.94</v>
      </c>
      <c r="G843" t="s">
        <v>2357</v>
      </c>
      <c r="H843" t="s">
        <v>2358</v>
      </c>
      <c r="I843" t="s">
        <v>2359</v>
      </c>
      <c r="J843" s="8">
        <f t="shared" si="13"/>
        <v>29499</v>
      </c>
    </row>
    <row r="844" spans="1:10" x14ac:dyDescent="0.35">
      <c r="A844" t="s">
        <v>1497</v>
      </c>
      <c r="B844">
        <v>1978</v>
      </c>
      <c r="C844" t="s">
        <v>2365</v>
      </c>
      <c r="D844">
        <v>15</v>
      </c>
      <c r="E844">
        <v>0</v>
      </c>
      <c r="F844" s="10">
        <v>6948.7</v>
      </c>
      <c r="G844" t="s">
        <v>2361</v>
      </c>
      <c r="H844" t="s">
        <v>2357</v>
      </c>
      <c r="I844" t="s">
        <v>2364</v>
      </c>
      <c r="J844" s="8">
        <f t="shared" si="13"/>
        <v>28839</v>
      </c>
    </row>
    <row r="845" spans="1:10" x14ac:dyDescent="0.35">
      <c r="A845" t="s">
        <v>1496</v>
      </c>
      <c r="B845">
        <v>1980</v>
      </c>
      <c r="C845" t="s">
        <v>2366</v>
      </c>
      <c r="D845">
        <v>18</v>
      </c>
      <c r="E845">
        <v>2</v>
      </c>
      <c r="F845" s="10">
        <v>6951.12</v>
      </c>
      <c r="G845" t="s">
        <v>2357</v>
      </c>
      <c r="H845" t="s">
        <v>2357</v>
      </c>
      <c r="I845" t="s">
        <v>2359</v>
      </c>
      <c r="J845" s="8">
        <f t="shared" si="13"/>
        <v>29451</v>
      </c>
    </row>
    <row r="846" spans="1:10" x14ac:dyDescent="0.35">
      <c r="A846" t="s">
        <v>1495</v>
      </c>
      <c r="B846">
        <v>1975</v>
      </c>
      <c r="C846" t="s">
        <v>2362</v>
      </c>
      <c r="D846">
        <v>3</v>
      </c>
      <c r="E846">
        <v>1</v>
      </c>
      <c r="F846" s="10">
        <v>6965.21</v>
      </c>
      <c r="G846" t="s">
        <v>2357</v>
      </c>
      <c r="H846" t="s">
        <v>2358</v>
      </c>
      <c r="I846" t="s">
        <v>2359</v>
      </c>
      <c r="J846" s="8">
        <f t="shared" si="13"/>
        <v>27548</v>
      </c>
    </row>
    <row r="847" spans="1:10" x14ac:dyDescent="0.35">
      <c r="A847" t="s">
        <v>1494</v>
      </c>
      <c r="B847">
        <v>1985</v>
      </c>
      <c r="C847" t="s">
        <v>2365</v>
      </c>
      <c r="D847">
        <v>10</v>
      </c>
      <c r="E847">
        <v>3</v>
      </c>
      <c r="F847" s="10">
        <v>6985.51</v>
      </c>
      <c r="G847" t="s">
        <v>2357</v>
      </c>
      <c r="H847" t="s">
        <v>2357</v>
      </c>
      <c r="I847" t="s">
        <v>2370</v>
      </c>
      <c r="J847" s="8">
        <f t="shared" si="13"/>
        <v>31391</v>
      </c>
    </row>
    <row r="848" spans="1:10" x14ac:dyDescent="0.35">
      <c r="A848" t="s">
        <v>1493</v>
      </c>
      <c r="B848">
        <v>1982</v>
      </c>
      <c r="C848" t="s">
        <v>2367</v>
      </c>
      <c r="D848">
        <v>18</v>
      </c>
      <c r="E848">
        <v>2</v>
      </c>
      <c r="F848" s="10">
        <v>6986.7</v>
      </c>
      <c r="G848" t="s">
        <v>2358</v>
      </c>
      <c r="H848" t="s">
        <v>2361</v>
      </c>
      <c r="I848" t="s">
        <v>2364</v>
      </c>
      <c r="J848" s="8">
        <f t="shared" si="13"/>
        <v>30242</v>
      </c>
    </row>
    <row r="849" spans="1:10" x14ac:dyDescent="0.35">
      <c r="A849" t="s">
        <v>1492</v>
      </c>
      <c r="B849">
        <v>1982</v>
      </c>
      <c r="C849" t="s">
        <v>2363</v>
      </c>
      <c r="D849">
        <v>1</v>
      </c>
      <c r="E849">
        <v>3</v>
      </c>
      <c r="F849" s="10">
        <v>6989.95</v>
      </c>
      <c r="G849" t="s">
        <v>2357</v>
      </c>
      <c r="H849" t="s">
        <v>2361</v>
      </c>
      <c r="I849" t="s">
        <v>2359</v>
      </c>
      <c r="J849" s="8">
        <f t="shared" si="13"/>
        <v>30195</v>
      </c>
    </row>
    <row r="850" spans="1:10" x14ac:dyDescent="0.35">
      <c r="A850" t="s">
        <v>1491</v>
      </c>
      <c r="B850">
        <v>1969</v>
      </c>
      <c r="C850" t="s">
        <v>2356</v>
      </c>
      <c r="D850">
        <v>6</v>
      </c>
      <c r="E850">
        <v>0</v>
      </c>
      <c r="F850" s="10">
        <v>7003.1</v>
      </c>
      <c r="G850" t="s">
        <v>2357</v>
      </c>
      <c r="H850" t="s">
        <v>2358</v>
      </c>
      <c r="I850" t="s">
        <v>2359</v>
      </c>
      <c r="J850" s="8">
        <f t="shared" si="13"/>
        <v>25390</v>
      </c>
    </row>
    <row r="851" spans="1:10" x14ac:dyDescent="0.35">
      <c r="A851" t="s">
        <v>1490</v>
      </c>
      <c r="B851">
        <v>1978</v>
      </c>
      <c r="C851" t="s">
        <v>2362</v>
      </c>
      <c r="D851">
        <v>2</v>
      </c>
      <c r="E851">
        <v>2</v>
      </c>
      <c r="F851" s="10">
        <v>7033.08</v>
      </c>
      <c r="G851" t="s">
        <v>2357</v>
      </c>
      <c r="H851" t="s">
        <v>2357</v>
      </c>
      <c r="I851" t="s">
        <v>2359</v>
      </c>
      <c r="J851" s="8">
        <f t="shared" si="13"/>
        <v>28643</v>
      </c>
    </row>
    <row r="852" spans="1:10" x14ac:dyDescent="0.35">
      <c r="A852" t="s">
        <v>1489</v>
      </c>
      <c r="B852">
        <v>1995</v>
      </c>
      <c r="C852" t="s">
        <v>2367</v>
      </c>
      <c r="D852">
        <v>29</v>
      </c>
      <c r="E852">
        <v>0</v>
      </c>
      <c r="F852" s="10">
        <v>7042.11</v>
      </c>
      <c r="G852" t="s">
        <v>2357</v>
      </c>
      <c r="H852" t="s">
        <v>2358</v>
      </c>
      <c r="I852" t="s">
        <v>2364</v>
      </c>
      <c r="J852" s="8">
        <f t="shared" si="13"/>
        <v>35001</v>
      </c>
    </row>
    <row r="853" spans="1:10" x14ac:dyDescent="0.35">
      <c r="A853" t="s">
        <v>1488</v>
      </c>
      <c r="B853">
        <v>1980</v>
      </c>
      <c r="C853" t="s">
        <v>2356</v>
      </c>
      <c r="D853">
        <v>26</v>
      </c>
      <c r="E853">
        <v>1</v>
      </c>
      <c r="F853" s="10">
        <v>7045.5</v>
      </c>
      <c r="G853" t="s">
        <v>2357</v>
      </c>
      <c r="H853" t="s">
        <v>2361</v>
      </c>
      <c r="I853" t="s">
        <v>2368</v>
      </c>
      <c r="J853" s="8">
        <f t="shared" si="13"/>
        <v>29428</v>
      </c>
    </row>
    <row r="854" spans="1:10" x14ac:dyDescent="0.35">
      <c r="A854" t="s">
        <v>1487</v>
      </c>
      <c r="B854">
        <v>1980</v>
      </c>
      <c r="C854" t="s">
        <v>2367</v>
      </c>
      <c r="D854">
        <v>22</v>
      </c>
      <c r="E854">
        <v>1</v>
      </c>
      <c r="F854" s="10">
        <v>7046.72</v>
      </c>
      <c r="G854" t="s">
        <v>2357</v>
      </c>
      <c r="H854" t="s">
        <v>2358</v>
      </c>
      <c r="I854" t="s">
        <v>2359</v>
      </c>
      <c r="J854" s="8">
        <f t="shared" si="13"/>
        <v>29516</v>
      </c>
    </row>
    <row r="855" spans="1:10" x14ac:dyDescent="0.35">
      <c r="A855" t="s">
        <v>1486</v>
      </c>
      <c r="B855">
        <v>1980</v>
      </c>
      <c r="C855" t="s">
        <v>2356</v>
      </c>
      <c r="D855">
        <v>21</v>
      </c>
      <c r="E855">
        <v>0</v>
      </c>
      <c r="F855" s="10">
        <v>7050.02</v>
      </c>
      <c r="G855" t="s">
        <v>2357</v>
      </c>
      <c r="H855" t="s">
        <v>2361</v>
      </c>
      <c r="I855" t="s">
        <v>2374</v>
      </c>
      <c r="J855" s="8">
        <f t="shared" si="13"/>
        <v>29423</v>
      </c>
    </row>
    <row r="856" spans="1:10" x14ac:dyDescent="0.35">
      <c r="A856" t="s">
        <v>1485</v>
      </c>
      <c r="B856">
        <v>1980</v>
      </c>
      <c r="C856" t="s">
        <v>2362</v>
      </c>
      <c r="D856">
        <v>28</v>
      </c>
      <c r="E856">
        <v>1</v>
      </c>
      <c r="F856" s="10">
        <v>7050.64</v>
      </c>
      <c r="G856" t="s">
        <v>2357</v>
      </c>
      <c r="H856" t="s">
        <v>2358</v>
      </c>
      <c r="I856" t="s">
        <v>2368</v>
      </c>
      <c r="J856" s="8">
        <f t="shared" si="13"/>
        <v>29400</v>
      </c>
    </row>
    <row r="857" spans="1:10" x14ac:dyDescent="0.35">
      <c r="A857" t="s">
        <v>1484</v>
      </c>
      <c r="B857">
        <v>1978</v>
      </c>
      <c r="C857" t="s">
        <v>2362</v>
      </c>
      <c r="D857">
        <v>24</v>
      </c>
      <c r="E857">
        <v>2</v>
      </c>
      <c r="F857" s="10">
        <v>7054.41</v>
      </c>
      <c r="G857" t="s">
        <v>2357</v>
      </c>
      <c r="H857" t="s">
        <v>2357</v>
      </c>
      <c r="I857" t="s">
        <v>2359</v>
      </c>
      <c r="J857" s="8">
        <f t="shared" si="13"/>
        <v>28665</v>
      </c>
    </row>
    <row r="858" spans="1:10" x14ac:dyDescent="0.35">
      <c r="A858" t="s">
        <v>1483</v>
      </c>
      <c r="B858">
        <v>1982</v>
      </c>
      <c r="C858" t="s">
        <v>2367</v>
      </c>
      <c r="D858">
        <v>6</v>
      </c>
      <c r="E858">
        <v>1</v>
      </c>
      <c r="F858" s="10">
        <v>7077.19</v>
      </c>
      <c r="G858" t="s">
        <v>2357</v>
      </c>
      <c r="H858" t="s">
        <v>2358</v>
      </c>
      <c r="I858" t="s">
        <v>2374</v>
      </c>
      <c r="J858" s="8">
        <f t="shared" si="13"/>
        <v>30230</v>
      </c>
    </row>
    <row r="859" spans="1:10" x14ac:dyDescent="0.35">
      <c r="A859" t="s">
        <v>1482</v>
      </c>
      <c r="B859">
        <v>1992</v>
      </c>
      <c r="C859" t="s">
        <v>2362</v>
      </c>
      <c r="D859">
        <v>18</v>
      </c>
      <c r="E859">
        <v>0</v>
      </c>
      <c r="F859" s="10">
        <v>7096.98</v>
      </c>
      <c r="G859" t="s">
        <v>2357</v>
      </c>
      <c r="H859" t="s">
        <v>2357</v>
      </c>
      <c r="I859" t="s">
        <v>2364</v>
      </c>
      <c r="J859" s="8">
        <f t="shared" si="13"/>
        <v>33773</v>
      </c>
    </row>
    <row r="860" spans="1:10" x14ac:dyDescent="0.35">
      <c r="A860" t="s">
        <v>1481</v>
      </c>
      <c r="B860">
        <v>1987</v>
      </c>
      <c r="C860" t="s">
        <v>2366</v>
      </c>
      <c r="D860">
        <v>11</v>
      </c>
      <c r="E860">
        <v>3</v>
      </c>
      <c r="F860" s="10">
        <v>7106.81</v>
      </c>
      <c r="G860" t="s">
        <v>2357</v>
      </c>
      <c r="H860" t="s">
        <v>2361</v>
      </c>
      <c r="I860" t="s">
        <v>2364</v>
      </c>
      <c r="J860" s="8">
        <f t="shared" si="13"/>
        <v>32000</v>
      </c>
    </row>
    <row r="861" spans="1:10" x14ac:dyDescent="0.35">
      <c r="A861" t="s">
        <v>1480</v>
      </c>
      <c r="B861">
        <v>1968</v>
      </c>
      <c r="C861" t="s">
        <v>2362</v>
      </c>
      <c r="D861">
        <v>29</v>
      </c>
      <c r="E861">
        <v>0</v>
      </c>
      <c r="F861" s="10">
        <v>7125.25</v>
      </c>
      <c r="G861" t="s">
        <v>2358</v>
      </c>
      <c r="H861" t="s">
        <v>2357</v>
      </c>
      <c r="I861" t="s">
        <v>2359</v>
      </c>
      <c r="J861" s="8">
        <f t="shared" si="13"/>
        <v>25018</v>
      </c>
    </row>
    <row r="862" spans="1:10" x14ac:dyDescent="0.35">
      <c r="A862" t="s">
        <v>1479</v>
      </c>
      <c r="B862">
        <v>1993</v>
      </c>
      <c r="C862" t="s">
        <v>2366</v>
      </c>
      <c r="D862">
        <v>1</v>
      </c>
      <c r="E862">
        <v>0</v>
      </c>
      <c r="F862" s="10">
        <v>7128.64</v>
      </c>
      <c r="G862" t="s">
        <v>2357</v>
      </c>
      <c r="H862" t="s">
        <v>2357</v>
      </c>
      <c r="I862" t="s">
        <v>2377</v>
      </c>
      <c r="J862" s="8">
        <f t="shared" si="13"/>
        <v>34182</v>
      </c>
    </row>
    <row r="863" spans="1:10" x14ac:dyDescent="0.35">
      <c r="A863" t="s">
        <v>1478</v>
      </c>
      <c r="B863">
        <v>1984</v>
      </c>
      <c r="C863" t="s">
        <v>2356</v>
      </c>
      <c r="D863">
        <v>7</v>
      </c>
      <c r="E863">
        <v>2</v>
      </c>
      <c r="F863" s="10">
        <v>7133.9</v>
      </c>
      <c r="G863" t="s">
        <v>2357</v>
      </c>
      <c r="H863" t="s">
        <v>2361</v>
      </c>
      <c r="I863" t="s">
        <v>2374</v>
      </c>
      <c r="J863" s="8">
        <f t="shared" si="13"/>
        <v>30870</v>
      </c>
    </row>
    <row r="864" spans="1:10" x14ac:dyDescent="0.35">
      <c r="A864" t="s">
        <v>1477</v>
      </c>
      <c r="B864">
        <v>1999</v>
      </c>
      <c r="C864" t="s">
        <v>2366</v>
      </c>
      <c r="D864">
        <v>8</v>
      </c>
      <c r="E864">
        <v>0</v>
      </c>
      <c r="F864" s="10">
        <v>7144.4</v>
      </c>
      <c r="G864" t="s">
        <v>2357</v>
      </c>
      <c r="H864" t="s">
        <v>2361</v>
      </c>
      <c r="I864" t="s">
        <v>2381</v>
      </c>
      <c r="J864" s="8">
        <f t="shared" si="13"/>
        <v>36380</v>
      </c>
    </row>
    <row r="865" spans="1:10" x14ac:dyDescent="0.35">
      <c r="A865" t="s">
        <v>1476</v>
      </c>
      <c r="B865">
        <v>1984</v>
      </c>
      <c r="C865" t="s">
        <v>2360</v>
      </c>
      <c r="D865">
        <v>21</v>
      </c>
      <c r="E865">
        <v>2</v>
      </c>
      <c r="F865" s="10">
        <v>7144.86</v>
      </c>
      <c r="G865" t="s">
        <v>2357</v>
      </c>
      <c r="H865" t="s">
        <v>2357</v>
      </c>
      <c r="I865" t="s">
        <v>2374</v>
      </c>
      <c r="J865" s="8">
        <f t="shared" si="13"/>
        <v>31007</v>
      </c>
    </row>
    <row r="866" spans="1:10" x14ac:dyDescent="0.35">
      <c r="A866" t="s">
        <v>1475</v>
      </c>
      <c r="B866">
        <v>1976</v>
      </c>
      <c r="C866" t="s">
        <v>2362</v>
      </c>
      <c r="D866">
        <v>24</v>
      </c>
      <c r="E866">
        <v>0</v>
      </c>
      <c r="F866" s="10">
        <v>7147.11</v>
      </c>
      <c r="G866" t="s">
        <v>2358</v>
      </c>
      <c r="H866" t="s">
        <v>2357</v>
      </c>
      <c r="I866" t="s">
        <v>2368</v>
      </c>
      <c r="J866" s="8">
        <f t="shared" si="13"/>
        <v>27935</v>
      </c>
    </row>
    <row r="867" spans="1:10" x14ac:dyDescent="0.35">
      <c r="A867" t="s">
        <v>1474</v>
      </c>
      <c r="B867">
        <v>1978</v>
      </c>
      <c r="C867" t="s">
        <v>2356</v>
      </c>
      <c r="D867">
        <v>30</v>
      </c>
      <c r="E867">
        <v>1</v>
      </c>
      <c r="F867" s="10">
        <v>7147.47</v>
      </c>
      <c r="G867" t="s">
        <v>2357</v>
      </c>
      <c r="H867" t="s">
        <v>2358</v>
      </c>
      <c r="I867" t="s">
        <v>2359</v>
      </c>
      <c r="J867" s="8">
        <f t="shared" si="13"/>
        <v>28701</v>
      </c>
    </row>
    <row r="868" spans="1:10" x14ac:dyDescent="0.35">
      <c r="A868" t="s">
        <v>1473</v>
      </c>
      <c r="B868">
        <v>1984</v>
      </c>
      <c r="C868" t="s">
        <v>2362</v>
      </c>
      <c r="D868">
        <v>29</v>
      </c>
      <c r="E868">
        <v>3</v>
      </c>
      <c r="F868" s="10">
        <v>7151.09</v>
      </c>
      <c r="G868" t="s">
        <v>2357</v>
      </c>
      <c r="H868" t="s">
        <v>2357</v>
      </c>
      <c r="I868" t="s">
        <v>2368</v>
      </c>
      <c r="J868" s="8">
        <f t="shared" si="13"/>
        <v>30862</v>
      </c>
    </row>
    <row r="869" spans="1:10" x14ac:dyDescent="0.35">
      <c r="A869" t="s">
        <v>1472</v>
      </c>
      <c r="B869">
        <v>1978</v>
      </c>
      <c r="C869" t="s">
        <v>2363</v>
      </c>
      <c r="D869">
        <v>6</v>
      </c>
      <c r="E869">
        <v>1</v>
      </c>
      <c r="F869" s="10">
        <v>7152.67</v>
      </c>
      <c r="G869" t="s">
        <v>2358</v>
      </c>
      <c r="H869" t="s">
        <v>2357</v>
      </c>
      <c r="I869" t="s">
        <v>2359</v>
      </c>
      <c r="J869" s="8">
        <f t="shared" si="13"/>
        <v>28739</v>
      </c>
    </row>
    <row r="870" spans="1:10" x14ac:dyDescent="0.35">
      <c r="A870" t="s">
        <v>1471</v>
      </c>
      <c r="B870">
        <v>1981</v>
      </c>
      <c r="C870" t="s">
        <v>2356</v>
      </c>
      <c r="D870">
        <v>17</v>
      </c>
      <c r="E870">
        <v>1</v>
      </c>
      <c r="F870" s="10">
        <v>7153.55</v>
      </c>
      <c r="G870" t="s">
        <v>2357</v>
      </c>
      <c r="H870" t="s">
        <v>2361</v>
      </c>
      <c r="I870" t="s">
        <v>2364</v>
      </c>
      <c r="J870" s="8">
        <f t="shared" si="13"/>
        <v>29784</v>
      </c>
    </row>
    <row r="871" spans="1:10" x14ac:dyDescent="0.35">
      <c r="A871" t="s">
        <v>1470</v>
      </c>
      <c r="B871">
        <v>1980</v>
      </c>
      <c r="C871" t="s">
        <v>2362</v>
      </c>
      <c r="D871">
        <v>22</v>
      </c>
      <c r="E871">
        <v>2</v>
      </c>
      <c r="F871" s="10">
        <v>7160.09</v>
      </c>
      <c r="G871" t="s">
        <v>2357</v>
      </c>
      <c r="H871" t="s">
        <v>2357</v>
      </c>
      <c r="I871" t="s">
        <v>2368</v>
      </c>
      <c r="J871" s="8">
        <f t="shared" si="13"/>
        <v>29394</v>
      </c>
    </row>
    <row r="872" spans="1:10" x14ac:dyDescent="0.35">
      <c r="A872" t="s">
        <v>1469</v>
      </c>
      <c r="B872">
        <v>1980</v>
      </c>
      <c r="C872" t="s">
        <v>2367</v>
      </c>
      <c r="D872">
        <v>7</v>
      </c>
      <c r="E872">
        <v>2</v>
      </c>
      <c r="F872" s="10">
        <v>7160.33</v>
      </c>
      <c r="G872" t="s">
        <v>2357</v>
      </c>
      <c r="H872" t="s">
        <v>2361</v>
      </c>
      <c r="I872" t="s">
        <v>2359</v>
      </c>
      <c r="J872" s="8">
        <f t="shared" si="13"/>
        <v>29501</v>
      </c>
    </row>
    <row r="873" spans="1:10" x14ac:dyDescent="0.35">
      <c r="A873" t="s">
        <v>1468</v>
      </c>
      <c r="B873">
        <v>1980</v>
      </c>
      <c r="C873" t="s">
        <v>2363</v>
      </c>
      <c r="D873">
        <v>30</v>
      </c>
      <c r="E873">
        <v>2</v>
      </c>
      <c r="F873" s="10">
        <v>7162.01</v>
      </c>
      <c r="G873" t="s">
        <v>2357</v>
      </c>
      <c r="H873" t="s">
        <v>2358</v>
      </c>
      <c r="I873" t="s">
        <v>2359</v>
      </c>
      <c r="J873" s="8">
        <f t="shared" si="13"/>
        <v>29494</v>
      </c>
    </row>
    <row r="874" spans="1:10" x14ac:dyDescent="0.35">
      <c r="A874" t="s">
        <v>1467</v>
      </c>
      <c r="B874">
        <v>1982</v>
      </c>
      <c r="C874" t="s">
        <v>2366</v>
      </c>
      <c r="D874">
        <v>16</v>
      </c>
      <c r="E874">
        <v>2</v>
      </c>
      <c r="F874" s="10">
        <v>7173.36</v>
      </c>
      <c r="G874" t="s">
        <v>2358</v>
      </c>
      <c r="H874" t="s">
        <v>2357</v>
      </c>
      <c r="I874" t="s">
        <v>2371</v>
      </c>
      <c r="J874" s="8">
        <f t="shared" si="13"/>
        <v>30179</v>
      </c>
    </row>
    <row r="875" spans="1:10" x14ac:dyDescent="0.35">
      <c r="A875" t="s">
        <v>1466</v>
      </c>
      <c r="B875">
        <v>1975</v>
      </c>
      <c r="C875" t="s">
        <v>2356</v>
      </c>
      <c r="D875">
        <v>19</v>
      </c>
      <c r="E875">
        <v>1</v>
      </c>
      <c r="F875" s="10">
        <v>7175.51</v>
      </c>
      <c r="G875" t="s">
        <v>2357</v>
      </c>
      <c r="H875" t="s">
        <v>2358</v>
      </c>
      <c r="I875" t="s">
        <v>2359</v>
      </c>
      <c r="J875" s="8">
        <f t="shared" si="13"/>
        <v>27594</v>
      </c>
    </row>
    <row r="876" spans="1:10" x14ac:dyDescent="0.35">
      <c r="A876" t="s">
        <v>1465</v>
      </c>
      <c r="B876">
        <v>1968</v>
      </c>
      <c r="C876" t="s">
        <v>2366</v>
      </c>
      <c r="D876">
        <v>26</v>
      </c>
      <c r="E876">
        <v>0</v>
      </c>
      <c r="F876" s="10">
        <v>7179.52</v>
      </c>
      <c r="G876" t="s">
        <v>2358</v>
      </c>
      <c r="H876" t="s">
        <v>2358</v>
      </c>
      <c r="I876" t="s">
        <v>2359</v>
      </c>
      <c r="J876" s="8">
        <f t="shared" si="13"/>
        <v>25076</v>
      </c>
    </row>
    <row r="877" spans="1:10" x14ac:dyDescent="0.35">
      <c r="A877" t="s">
        <v>1464</v>
      </c>
      <c r="B877">
        <v>1982</v>
      </c>
      <c r="C877" t="s">
        <v>2363</v>
      </c>
      <c r="D877">
        <v>14</v>
      </c>
      <c r="E877">
        <v>3</v>
      </c>
      <c r="F877" s="10">
        <v>7196.87</v>
      </c>
      <c r="G877" t="s">
        <v>2358</v>
      </c>
      <c r="H877" t="s">
        <v>2357</v>
      </c>
      <c r="I877" t="s">
        <v>2368</v>
      </c>
      <c r="J877" s="8">
        <f t="shared" si="13"/>
        <v>30208</v>
      </c>
    </row>
    <row r="878" spans="1:10" x14ac:dyDescent="0.35">
      <c r="A878" t="s">
        <v>1463</v>
      </c>
      <c r="B878">
        <v>1983</v>
      </c>
      <c r="C878" t="s">
        <v>2366</v>
      </c>
      <c r="D878">
        <v>11</v>
      </c>
      <c r="E878">
        <v>2</v>
      </c>
      <c r="F878" s="10">
        <v>7201.7</v>
      </c>
      <c r="G878" t="s">
        <v>2357</v>
      </c>
      <c r="H878" t="s">
        <v>2358</v>
      </c>
      <c r="I878" t="s">
        <v>2364</v>
      </c>
      <c r="J878" s="8">
        <f t="shared" si="13"/>
        <v>30539</v>
      </c>
    </row>
    <row r="879" spans="1:10" x14ac:dyDescent="0.35">
      <c r="A879" t="s">
        <v>1462</v>
      </c>
      <c r="B879">
        <v>1983</v>
      </c>
      <c r="C879" t="s">
        <v>2360</v>
      </c>
      <c r="D879">
        <v>21</v>
      </c>
      <c r="E879">
        <v>2</v>
      </c>
      <c r="F879" s="10">
        <v>7209.49</v>
      </c>
      <c r="G879" t="s">
        <v>2357</v>
      </c>
      <c r="H879" t="s">
        <v>2358</v>
      </c>
      <c r="I879" t="s">
        <v>2364</v>
      </c>
      <c r="J879" s="8">
        <f t="shared" si="13"/>
        <v>30641</v>
      </c>
    </row>
    <row r="880" spans="1:10" x14ac:dyDescent="0.35">
      <c r="A880" t="s">
        <v>1461</v>
      </c>
      <c r="B880">
        <v>1991</v>
      </c>
      <c r="C880" t="s">
        <v>2362</v>
      </c>
      <c r="D880">
        <v>28</v>
      </c>
      <c r="E880">
        <v>3</v>
      </c>
      <c r="F880" s="10">
        <v>7220.25</v>
      </c>
      <c r="G880" t="s">
        <v>2357</v>
      </c>
      <c r="H880" t="s">
        <v>2357</v>
      </c>
      <c r="I880" t="s">
        <v>2377</v>
      </c>
      <c r="J880" s="8">
        <f t="shared" si="13"/>
        <v>33417</v>
      </c>
    </row>
    <row r="881" spans="1:10" x14ac:dyDescent="0.35">
      <c r="A881" t="s">
        <v>1460</v>
      </c>
      <c r="B881">
        <v>1977</v>
      </c>
      <c r="C881" t="s">
        <v>2363</v>
      </c>
      <c r="D881">
        <v>15</v>
      </c>
      <c r="E881">
        <v>0</v>
      </c>
      <c r="F881" s="10">
        <v>7222.79</v>
      </c>
      <c r="G881" t="s">
        <v>2358</v>
      </c>
      <c r="H881" t="s">
        <v>2358</v>
      </c>
      <c r="I881" t="s">
        <v>2364</v>
      </c>
      <c r="J881" s="8">
        <f t="shared" si="13"/>
        <v>28383</v>
      </c>
    </row>
    <row r="882" spans="1:10" x14ac:dyDescent="0.35">
      <c r="A882" t="s">
        <v>1459</v>
      </c>
      <c r="B882">
        <v>1986</v>
      </c>
      <c r="C882" t="s">
        <v>2356</v>
      </c>
      <c r="D882">
        <v>13</v>
      </c>
      <c r="E882">
        <v>3</v>
      </c>
      <c r="F882" s="10">
        <v>7228.22</v>
      </c>
      <c r="G882" t="s">
        <v>2357</v>
      </c>
      <c r="H882" t="s">
        <v>2361</v>
      </c>
      <c r="I882" t="s">
        <v>2374</v>
      </c>
      <c r="J882" s="8">
        <f t="shared" si="13"/>
        <v>31606</v>
      </c>
    </row>
    <row r="883" spans="1:10" x14ac:dyDescent="0.35">
      <c r="A883" t="s">
        <v>1458</v>
      </c>
      <c r="B883">
        <v>1986</v>
      </c>
      <c r="C883" t="s">
        <v>2363</v>
      </c>
      <c r="D883">
        <v>2</v>
      </c>
      <c r="E883">
        <v>4</v>
      </c>
      <c r="F883" s="10">
        <v>7243.81</v>
      </c>
      <c r="G883" t="s">
        <v>2357</v>
      </c>
      <c r="H883" t="s">
        <v>2358</v>
      </c>
      <c r="I883" t="s">
        <v>2359</v>
      </c>
      <c r="J883" s="8">
        <f t="shared" si="13"/>
        <v>31657</v>
      </c>
    </row>
    <row r="884" spans="1:10" x14ac:dyDescent="0.35">
      <c r="A884" t="s">
        <v>1457</v>
      </c>
      <c r="B884">
        <v>1982</v>
      </c>
      <c r="C884" t="s">
        <v>2356</v>
      </c>
      <c r="D884">
        <v>24</v>
      </c>
      <c r="E884">
        <v>3</v>
      </c>
      <c r="F884" s="10">
        <v>7248.71</v>
      </c>
      <c r="G884" t="s">
        <v>2357</v>
      </c>
      <c r="H884" t="s">
        <v>2361</v>
      </c>
      <c r="I884" t="s">
        <v>2359</v>
      </c>
      <c r="J884" s="8">
        <f t="shared" si="13"/>
        <v>30156</v>
      </c>
    </row>
    <row r="885" spans="1:10" x14ac:dyDescent="0.35">
      <c r="A885" t="s">
        <v>1456</v>
      </c>
      <c r="B885">
        <v>1981</v>
      </c>
      <c r="C885" t="s">
        <v>2366</v>
      </c>
      <c r="D885">
        <v>14</v>
      </c>
      <c r="E885">
        <v>2</v>
      </c>
      <c r="F885" s="10">
        <v>7256.72</v>
      </c>
      <c r="G885" t="s">
        <v>2358</v>
      </c>
      <c r="H885" t="s">
        <v>2357</v>
      </c>
      <c r="I885" t="s">
        <v>2364</v>
      </c>
      <c r="J885" s="8">
        <f t="shared" si="13"/>
        <v>29812</v>
      </c>
    </row>
    <row r="886" spans="1:10" x14ac:dyDescent="0.35">
      <c r="A886" t="s">
        <v>1455</v>
      </c>
      <c r="B886">
        <v>1981</v>
      </c>
      <c r="C886" t="s">
        <v>2362</v>
      </c>
      <c r="D886">
        <v>13</v>
      </c>
      <c r="E886">
        <v>2</v>
      </c>
      <c r="F886" s="10">
        <v>7261.74</v>
      </c>
      <c r="G886" t="s">
        <v>2358</v>
      </c>
      <c r="H886" t="s">
        <v>2358</v>
      </c>
      <c r="I886" t="s">
        <v>2364</v>
      </c>
      <c r="J886" s="8">
        <f t="shared" si="13"/>
        <v>29750</v>
      </c>
    </row>
    <row r="887" spans="1:10" x14ac:dyDescent="0.35">
      <c r="A887" t="s">
        <v>1454</v>
      </c>
      <c r="B887">
        <v>1973</v>
      </c>
      <c r="C887" t="s">
        <v>2367</v>
      </c>
      <c r="D887">
        <v>25</v>
      </c>
      <c r="E887">
        <v>0</v>
      </c>
      <c r="F887" s="10">
        <v>7265.58</v>
      </c>
      <c r="G887" t="s">
        <v>2357</v>
      </c>
      <c r="H887" t="s">
        <v>2357</v>
      </c>
      <c r="I887" t="s">
        <v>2359</v>
      </c>
      <c r="J887" s="8">
        <f t="shared" si="13"/>
        <v>26962</v>
      </c>
    </row>
    <row r="888" spans="1:10" x14ac:dyDescent="0.35">
      <c r="A888" t="s">
        <v>1453</v>
      </c>
      <c r="B888">
        <v>1981</v>
      </c>
      <c r="C888" t="s">
        <v>2366</v>
      </c>
      <c r="D888">
        <v>4</v>
      </c>
      <c r="E888">
        <v>2</v>
      </c>
      <c r="F888" s="10">
        <v>7265.7</v>
      </c>
      <c r="G888" t="s">
        <v>2358</v>
      </c>
      <c r="H888" t="s">
        <v>2358</v>
      </c>
      <c r="I888" t="s">
        <v>2364</v>
      </c>
      <c r="J888" s="8">
        <f t="shared" si="13"/>
        <v>29802</v>
      </c>
    </row>
    <row r="889" spans="1:10" x14ac:dyDescent="0.35">
      <c r="A889" t="s">
        <v>1452</v>
      </c>
      <c r="B889">
        <v>1976</v>
      </c>
      <c r="C889" t="s">
        <v>2365</v>
      </c>
      <c r="D889">
        <v>18</v>
      </c>
      <c r="E889">
        <v>2</v>
      </c>
      <c r="F889" s="10">
        <v>7273.02</v>
      </c>
      <c r="G889" t="s">
        <v>2357</v>
      </c>
      <c r="H889" t="s">
        <v>2361</v>
      </c>
      <c r="I889" t="s">
        <v>2359</v>
      </c>
      <c r="J889" s="8">
        <f t="shared" si="13"/>
        <v>28112</v>
      </c>
    </row>
    <row r="890" spans="1:10" x14ac:dyDescent="0.35">
      <c r="A890" t="s">
        <v>1451</v>
      </c>
      <c r="B890">
        <v>1985</v>
      </c>
      <c r="C890" t="s">
        <v>2360</v>
      </c>
      <c r="D890">
        <v>2</v>
      </c>
      <c r="E890">
        <v>3</v>
      </c>
      <c r="F890" s="10">
        <v>7281.51</v>
      </c>
      <c r="G890" t="s">
        <v>2357</v>
      </c>
      <c r="H890" t="s">
        <v>2361</v>
      </c>
      <c r="I890" t="s">
        <v>2364</v>
      </c>
      <c r="J890" s="8">
        <f t="shared" si="13"/>
        <v>31353</v>
      </c>
    </row>
    <row r="891" spans="1:10" x14ac:dyDescent="0.35">
      <c r="A891" t="s">
        <v>1450</v>
      </c>
      <c r="B891">
        <v>1966</v>
      </c>
      <c r="C891" t="s">
        <v>2365</v>
      </c>
      <c r="D891">
        <v>26</v>
      </c>
      <c r="E891">
        <v>0</v>
      </c>
      <c r="F891" s="10">
        <v>7302.46</v>
      </c>
      <c r="G891" t="s">
        <v>2358</v>
      </c>
      <c r="H891" t="s">
        <v>2361</v>
      </c>
      <c r="I891" t="s">
        <v>2364</v>
      </c>
      <c r="J891" s="8">
        <f t="shared" si="13"/>
        <v>24467</v>
      </c>
    </row>
    <row r="892" spans="1:10" x14ac:dyDescent="0.35">
      <c r="A892" t="s">
        <v>1449</v>
      </c>
      <c r="B892">
        <v>1965</v>
      </c>
      <c r="C892" t="s">
        <v>2362</v>
      </c>
      <c r="D892">
        <v>6</v>
      </c>
      <c r="E892">
        <v>0</v>
      </c>
      <c r="F892" s="10">
        <v>7304.65</v>
      </c>
      <c r="G892" t="s">
        <v>2358</v>
      </c>
      <c r="H892" t="s">
        <v>2358</v>
      </c>
      <c r="I892" t="s">
        <v>2359</v>
      </c>
      <c r="J892" s="8">
        <f t="shared" si="13"/>
        <v>23899</v>
      </c>
    </row>
    <row r="893" spans="1:10" x14ac:dyDescent="0.35">
      <c r="A893" t="s">
        <v>1448</v>
      </c>
      <c r="B893">
        <v>1965</v>
      </c>
      <c r="C893" t="s">
        <v>2362</v>
      </c>
      <c r="D893">
        <v>25</v>
      </c>
      <c r="E893">
        <v>0</v>
      </c>
      <c r="F893" s="10">
        <v>7318.21</v>
      </c>
      <c r="G893" t="s">
        <v>2358</v>
      </c>
      <c r="H893" t="s">
        <v>2361</v>
      </c>
      <c r="I893" t="s">
        <v>2359</v>
      </c>
      <c r="J893" s="8">
        <f t="shared" si="13"/>
        <v>23918</v>
      </c>
    </row>
    <row r="894" spans="1:10" x14ac:dyDescent="0.35">
      <c r="A894" t="s">
        <v>1447</v>
      </c>
      <c r="B894">
        <v>1972</v>
      </c>
      <c r="C894" t="s">
        <v>2366</v>
      </c>
      <c r="D894">
        <v>11</v>
      </c>
      <c r="E894">
        <v>0</v>
      </c>
      <c r="F894" s="10">
        <v>7318.22</v>
      </c>
      <c r="G894" t="s">
        <v>2357</v>
      </c>
      <c r="H894" t="s">
        <v>2358</v>
      </c>
      <c r="I894" t="s">
        <v>2364</v>
      </c>
      <c r="J894" s="8">
        <f t="shared" si="13"/>
        <v>26522</v>
      </c>
    </row>
    <row r="895" spans="1:10" x14ac:dyDescent="0.35">
      <c r="A895" t="s">
        <v>1446</v>
      </c>
      <c r="B895">
        <v>1965</v>
      </c>
      <c r="C895" t="s">
        <v>2356</v>
      </c>
      <c r="D895">
        <v>11</v>
      </c>
      <c r="E895">
        <v>0</v>
      </c>
      <c r="F895" s="10">
        <v>7322.86</v>
      </c>
      <c r="G895" t="s">
        <v>2358</v>
      </c>
      <c r="H895" t="s">
        <v>2358</v>
      </c>
      <c r="I895" t="s">
        <v>2364</v>
      </c>
      <c r="J895" s="8">
        <f t="shared" si="13"/>
        <v>23934</v>
      </c>
    </row>
    <row r="896" spans="1:10" x14ac:dyDescent="0.35">
      <c r="A896" t="s">
        <v>1445</v>
      </c>
      <c r="B896">
        <v>2004</v>
      </c>
      <c r="C896" t="s">
        <v>2360</v>
      </c>
      <c r="D896">
        <v>15</v>
      </c>
      <c r="E896">
        <v>0</v>
      </c>
      <c r="F896" s="10">
        <v>7323.73</v>
      </c>
      <c r="G896" t="s">
        <v>2357</v>
      </c>
      <c r="H896" t="s">
        <v>2357</v>
      </c>
      <c r="I896" t="s">
        <v>2374</v>
      </c>
      <c r="J896" s="8">
        <f t="shared" si="13"/>
        <v>38306</v>
      </c>
    </row>
    <row r="897" spans="1:10" x14ac:dyDescent="0.35">
      <c r="A897" t="s">
        <v>1444</v>
      </c>
      <c r="B897">
        <v>1979</v>
      </c>
      <c r="C897" t="s">
        <v>2362</v>
      </c>
      <c r="D897">
        <v>19</v>
      </c>
      <c r="E897">
        <v>0</v>
      </c>
      <c r="F897" s="10">
        <v>7325.05</v>
      </c>
      <c r="G897" t="s">
        <v>2357</v>
      </c>
      <c r="H897" t="s">
        <v>2358</v>
      </c>
      <c r="I897" t="s">
        <v>2374</v>
      </c>
      <c r="J897" s="8">
        <f t="shared" si="13"/>
        <v>29025</v>
      </c>
    </row>
    <row r="898" spans="1:10" x14ac:dyDescent="0.35">
      <c r="A898" t="s">
        <v>1443</v>
      </c>
      <c r="B898">
        <v>1984</v>
      </c>
      <c r="C898" t="s">
        <v>2356</v>
      </c>
      <c r="D898">
        <v>25</v>
      </c>
      <c r="E898">
        <v>3</v>
      </c>
      <c r="F898" s="10">
        <v>7325.47</v>
      </c>
      <c r="G898" t="s">
        <v>2357</v>
      </c>
      <c r="H898" t="s">
        <v>2361</v>
      </c>
      <c r="I898" t="s">
        <v>2364</v>
      </c>
      <c r="J898" s="8">
        <f t="shared" si="13"/>
        <v>30888</v>
      </c>
    </row>
    <row r="899" spans="1:10" x14ac:dyDescent="0.35">
      <c r="A899" t="s">
        <v>1442</v>
      </c>
      <c r="B899">
        <v>1979</v>
      </c>
      <c r="C899" t="s">
        <v>2363</v>
      </c>
      <c r="D899">
        <v>19</v>
      </c>
      <c r="E899">
        <v>1</v>
      </c>
      <c r="F899" s="10">
        <v>7337.75</v>
      </c>
      <c r="G899" t="s">
        <v>2357</v>
      </c>
      <c r="H899" t="s">
        <v>2358</v>
      </c>
      <c r="I899" t="s">
        <v>2368</v>
      </c>
      <c r="J899" s="8">
        <f t="shared" ref="J899:J962" si="14">DATE(B899,MONTH(1&amp;C899),D899)</f>
        <v>29117</v>
      </c>
    </row>
    <row r="900" spans="1:10" x14ac:dyDescent="0.35">
      <c r="A900" t="s">
        <v>1441</v>
      </c>
      <c r="B900">
        <v>1986</v>
      </c>
      <c r="C900" t="s">
        <v>2362</v>
      </c>
      <c r="D900">
        <v>15</v>
      </c>
      <c r="E900">
        <v>3</v>
      </c>
      <c r="F900" s="10">
        <v>7339.93</v>
      </c>
      <c r="G900" t="s">
        <v>2357</v>
      </c>
      <c r="H900" t="s">
        <v>2357</v>
      </c>
      <c r="I900" t="s">
        <v>2364</v>
      </c>
      <c r="J900" s="8">
        <f t="shared" si="14"/>
        <v>31578</v>
      </c>
    </row>
    <row r="901" spans="1:10" x14ac:dyDescent="0.35">
      <c r="A901" t="s">
        <v>1440</v>
      </c>
      <c r="B901">
        <v>1977</v>
      </c>
      <c r="C901" t="s">
        <v>2365</v>
      </c>
      <c r="D901">
        <v>18</v>
      </c>
      <c r="E901">
        <v>0</v>
      </c>
      <c r="F901" s="10">
        <v>7345.08</v>
      </c>
      <c r="G901" t="s">
        <v>2357</v>
      </c>
      <c r="H901" t="s">
        <v>2361</v>
      </c>
      <c r="I901" t="s">
        <v>2368</v>
      </c>
      <c r="J901" s="8">
        <f t="shared" si="14"/>
        <v>28477</v>
      </c>
    </row>
    <row r="902" spans="1:10" x14ac:dyDescent="0.35">
      <c r="A902" t="s">
        <v>1439</v>
      </c>
      <c r="B902">
        <v>1979</v>
      </c>
      <c r="C902" t="s">
        <v>2362</v>
      </c>
      <c r="D902">
        <v>26</v>
      </c>
      <c r="E902">
        <v>1</v>
      </c>
      <c r="F902" s="10">
        <v>7345.73</v>
      </c>
      <c r="G902" t="s">
        <v>2357</v>
      </c>
      <c r="H902" t="s">
        <v>2361</v>
      </c>
      <c r="I902" t="s">
        <v>2359</v>
      </c>
      <c r="J902" s="8">
        <f t="shared" si="14"/>
        <v>29032</v>
      </c>
    </row>
    <row r="903" spans="1:10" x14ac:dyDescent="0.35">
      <c r="A903" t="s">
        <v>1438</v>
      </c>
      <c r="B903">
        <v>1977</v>
      </c>
      <c r="C903" t="s">
        <v>2365</v>
      </c>
      <c r="D903">
        <v>1</v>
      </c>
      <c r="E903">
        <v>0</v>
      </c>
      <c r="F903" s="10">
        <v>7348.14</v>
      </c>
      <c r="G903" t="s">
        <v>2357</v>
      </c>
      <c r="H903" t="s">
        <v>2361</v>
      </c>
      <c r="I903" t="s">
        <v>2368</v>
      </c>
      <c r="J903" s="8">
        <f t="shared" si="14"/>
        <v>28460</v>
      </c>
    </row>
    <row r="904" spans="1:10" x14ac:dyDescent="0.35">
      <c r="A904" t="s">
        <v>1437</v>
      </c>
      <c r="B904">
        <v>1993</v>
      </c>
      <c r="C904" t="s">
        <v>2367</v>
      </c>
      <c r="D904">
        <v>5</v>
      </c>
      <c r="E904">
        <v>0</v>
      </c>
      <c r="F904" s="10">
        <v>7349.12</v>
      </c>
      <c r="G904" t="s">
        <v>2357</v>
      </c>
      <c r="H904" t="s">
        <v>2357</v>
      </c>
      <c r="I904" t="s">
        <v>2377</v>
      </c>
      <c r="J904" s="8">
        <f t="shared" si="14"/>
        <v>34247</v>
      </c>
    </row>
    <row r="905" spans="1:10" x14ac:dyDescent="0.35">
      <c r="A905" t="s">
        <v>1436</v>
      </c>
      <c r="B905">
        <v>1983</v>
      </c>
      <c r="C905" t="s">
        <v>2362</v>
      </c>
      <c r="D905">
        <v>21</v>
      </c>
      <c r="E905">
        <v>3</v>
      </c>
      <c r="F905" s="10">
        <v>7357.49</v>
      </c>
      <c r="G905" t="s">
        <v>2357</v>
      </c>
      <c r="H905" t="s">
        <v>2357</v>
      </c>
      <c r="I905" t="s">
        <v>2364</v>
      </c>
      <c r="J905" s="8">
        <f t="shared" si="14"/>
        <v>30488</v>
      </c>
    </row>
    <row r="906" spans="1:10" x14ac:dyDescent="0.35">
      <c r="A906" t="s">
        <v>1435</v>
      </c>
      <c r="B906">
        <v>1981</v>
      </c>
      <c r="C906" t="s">
        <v>2356</v>
      </c>
      <c r="D906">
        <v>16</v>
      </c>
      <c r="E906">
        <v>1</v>
      </c>
      <c r="F906" s="10">
        <v>7358.18</v>
      </c>
      <c r="G906" t="s">
        <v>2357</v>
      </c>
      <c r="H906" t="s">
        <v>2358</v>
      </c>
      <c r="I906" t="s">
        <v>2374</v>
      </c>
      <c r="J906" s="8">
        <f t="shared" si="14"/>
        <v>29783</v>
      </c>
    </row>
    <row r="907" spans="1:10" x14ac:dyDescent="0.35">
      <c r="A907" t="s">
        <v>1434</v>
      </c>
      <c r="B907">
        <v>1965</v>
      </c>
      <c r="C907" t="s">
        <v>2365</v>
      </c>
      <c r="D907">
        <v>9</v>
      </c>
      <c r="E907">
        <v>0</v>
      </c>
      <c r="F907" s="10">
        <v>7362.31</v>
      </c>
      <c r="G907" t="s">
        <v>2358</v>
      </c>
      <c r="H907" t="s">
        <v>2358</v>
      </c>
      <c r="I907" t="s">
        <v>2359</v>
      </c>
      <c r="J907" s="8">
        <f t="shared" si="14"/>
        <v>24085</v>
      </c>
    </row>
    <row r="908" spans="1:10" x14ac:dyDescent="0.35">
      <c r="A908" t="s">
        <v>1433</v>
      </c>
      <c r="B908">
        <v>1981</v>
      </c>
      <c r="C908" t="s">
        <v>2360</v>
      </c>
      <c r="D908">
        <v>24</v>
      </c>
      <c r="E908">
        <v>2</v>
      </c>
      <c r="F908" s="10">
        <v>7371.77</v>
      </c>
      <c r="G908" t="s">
        <v>2357</v>
      </c>
      <c r="H908" t="s">
        <v>2361</v>
      </c>
      <c r="I908" t="s">
        <v>2368</v>
      </c>
      <c r="J908" s="8">
        <f t="shared" si="14"/>
        <v>29914</v>
      </c>
    </row>
    <row r="909" spans="1:10" x14ac:dyDescent="0.35">
      <c r="A909" t="s">
        <v>1432</v>
      </c>
      <c r="B909">
        <v>1993</v>
      </c>
      <c r="C909" t="s">
        <v>2356</v>
      </c>
      <c r="D909">
        <v>22</v>
      </c>
      <c r="E909">
        <v>0</v>
      </c>
      <c r="F909" s="10">
        <v>7388.85</v>
      </c>
      <c r="G909" t="s">
        <v>2357</v>
      </c>
      <c r="H909" t="s">
        <v>2357</v>
      </c>
      <c r="I909" t="s">
        <v>2380</v>
      </c>
      <c r="J909" s="8">
        <f t="shared" si="14"/>
        <v>34172</v>
      </c>
    </row>
    <row r="910" spans="1:10" x14ac:dyDescent="0.35">
      <c r="A910" t="s">
        <v>1431</v>
      </c>
      <c r="B910">
        <v>1965</v>
      </c>
      <c r="C910" t="s">
        <v>2365</v>
      </c>
      <c r="D910">
        <v>5</v>
      </c>
      <c r="E910">
        <v>0</v>
      </c>
      <c r="F910" s="10">
        <v>7403.98</v>
      </c>
      <c r="G910" t="s">
        <v>2358</v>
      </c>
      <c r="H910" t="s">
        <v>2357</v>
      </c>
      <c r="I910" t="s">
        <v>2359</v>
      </c>
      <c r="J910" s="8">
        <f t="shared" si="14"/>
        <v>24081</v>
      </c>
    </row>
    <row r="911" spans="1:10" x14ac:dyDescent="0.35">
      <c r="A911" t="s">
        <v>1430</v>
      </c>
      <c r="B911">
        <v>1983</v>
      </c>
      <c r="C911" t="s">
        <v>2363</v>
      </c>
      <c r="D911">
        <v>19</v>
      </c>
      <c r="E911">
        <v>3</v>
      </c>
      <c r="F911" s="10">
        <v>7418.52</v>
      </c>
      <c r="G911" t="s">
        <v>2357</v>
      </c>
      <c r="H911" t="s">
        <v>2357</v>
      </c>
      <c r="I911" t="s">
        <v>2368</v>
      </c>
      <c r="J911" s="8">
        <f t="shared" si="14"/>
        <v>30578</v>
      </c>
    </row>
    <row r="912" spans="1:10" x14ac:dyDescent="0.35">
      <c r="A912" t="s">
        <v>1429</v>
      </c>
      <c r="B912">
        <v>1978</v>
      </c>
      <c r="C912" t="s">
        <v>2360</v>
      </c>
      <c r="D912">
        <v>12</v>
      </c>
      <c r="E912">
        <v>0</v>
      </c>
      <c r="F912" s="10">
        <v>7419.48</v>
      </c>
      <c r="G912" t="s">
        <v>2357</v>
      </c>
      <c r="H912" t="s">
        <v>2357</v>
      </c>
      <c r="I912" t="s">
        <v>2364</v>
      </c>
      <c r="J912" s="8">
        <f t="shared" si="14"/>
        <v>28806</v>
      </c>
    </row>
    <row r="913" spans="1:10" x14ac:dyDescent="0.35">
      <c r="A913" t="s">
        <v>1428</v>
      </c>
      <c r="B913">
        <v>1978</v>
      </c>
      <c r="C913" t="s">
        <v>2365</v>
      </c>
      <c r="D913">
        <v>2</v>
      </c>
      <c r="E913">
        <v>0</v>
      </c>
      <c r="F913" s="10">
        <v>7421.19</v>
      </c>
      <c r="G913" t="s">
        <v>2357</v>
      </c>
      <c r="H913" t="s">
        <v>2358</v>
      </c>
      <c r="I913" t="s">
        <v>2364</v>
      </c>
      <c r="J913" s="8">
        <f t="shared" si="14"/>
        <v>28826</v>
      </c>
    </row>
    <row r="914" spans="1:10" x14ac:dyDescent="0.35">
      <c r="A914" t="s">
        <v>1427</v>
      </c>
      <c r="B914">
        <v>1977</v>
      </c>
      <c r="C914" t="s">
        <v>2366</v>
      </c>
      <c r="D914">
        <v>25</v>
      </c>
      <c r="E914">
        <v>1</v>
      </c>
      <c r="F914" s="10">
        <v>7441.05</v>
      </c>
      <c r="G914" t="s">
        <v>2358</v>
      </c>
      <c r="H914" t="s">
        <v>2357</v>
      </c>
      <c r="I914" t="s">
        <v>2368</v>
      </c>
      <c r="J914" s="8">
        <f t="shared" si="14"/>
        <v>28362</v>
      </c>
    </row>
    <row r="915" spans="1:10" x14ac:dyDescent="0.35">
      <c r="A915" t="s">
        <v>1426</v>
      </c>
      <c r="B915">
        <v>1979</v>
      </c>
      <c r="C915" t="s">
        <v>2363</v>
      </c>
      <c r="D915">
        <v>1</v>
      </c>
      <c r="E915">
        <v>2</v>
      </c>
      <c r="F915" s="10">
        <v>7441.5</v>
      </c>
      <c r="G915" t="s">
        <v>2358</v>
      </c>
      <c r="H915" t="s">
        <v>2357</v>
      </c>
      <c r="I915" t="s">
        <v>2368</v>
      </c>
      <c r="J915" s="8">
        <f t="shared" si="14"/>
        <v>29099</v>
      </c>
    </row>
    <row r="916" spans="1:10" x14ac:dyDescent="0.35">
      <c r="A916" t="s">
        <v>1425</v>
      </c>
      <c r="B916">
        <v>1980</v>
      </c>
      <c r="C916" t="s">
        <v>2356</v>
      </c>
      <c r="D916">
        <v>7</v>
      </c>
      <c r="E916">
        <v>1</v>
      </c>
      <c r="F916" s="10">
        <v>7443.64</v>
      </c>
      <c r="G916" t="s">
        <v>2357</v>
      </c>
      <c r="H916" t="s">
        <v>2358</v>
      </c>
      <c r="I916" t="s">
        <v>2364</v>
      </c>
      <c r="J916" s="8">
        <f t="shared" si="14"/>
        <v>29409</v>
      </c>
    </row>
    <row r="917" spans="1:10" x14ac:dyDescent="0.35">
      <c r="A917" t="s">
        <v>1424</v>
      </c>
      <c r="B917">
        <v>1977</v>
      </c>
      <c r="C917" t="s">
        <v>2363</v>
      </c>
      <c r="D917">
        <v>25</v>
      </c>
      <c r="E917">
        <v>1</v>
      </c>
      <c r="F917" s="10">
        <v>7445.92</v>
      </c>
      <c r="G917" t="s">
        <v>2358</v>
      </c>
      <c r="H917" t="s">
        <v>2361</v>
      </c>
      <c r="I917" t="s">
        <v>2368</v>
      </c>
      <c r="J917" s="8">
        <f t="shared" si="14"/>
        <v>28393</v>
      </c>
    </row>
    <row r="918" spans="1:10" x14ac:dyDescent="0.35">
      <c r="A918" t="s">
        <v>1423</v>
      </c>
      <c r="B918">
        <v>1977</v>
      </c>
      <c r="C918" t="s">
        <v>2363</v>
      </c>
      <c r="D918">
        <v>30</v>
      </c>
      <c r="E918">
        <v>0</v>
      </c>
      <c r="F918" s="10">
        <v>7448.4</v>
      </c>
      <c r="G918" t="s">
        <v>2358</v>
      </c>
      <c r="H918" t="s">
        <v>2358</v>
      </c>
      <c r="I918" t="s">
        <v>2378</v>
      </c>
      <c r="J918" s="8">
        <f t="shared" si="14"/>
        <v>28398</v>
      </c>
    </row>
    <row r="919" spans="1:10" x14ac:dyDescent="0.35">
      <c r="A919" t="s">
        <v>1422</v>
      </c>
      <c r="B919">
        <v>2001</v>
      </c>
      <c r="C919" t="s">
        <v>2362</v>
      </c>
      <c r="D919">
        <v>1</v>
      </c>
      <c r="E919">
        <v>0</v>
      </c>
      <c r="F919" s="10">
        <v>7450.36</v>
      </c>
      <c r="G919" t="s">
        <v>2357</v>
      </c>
      <c r="H919" t="s">
        <v>2357</v>
      </c>
      <c r="I919" t="s">
        <v>2364</v>
      </c>
      <c r="J919" s="8">
        <f t="shared" si="14"/>
        <v>37043</v>
      </c>
    </row>
    <row r="920" spans="1:10" x14ac:dyDescent="0.35">
      <c r="A920" t="s">
        <v>1421</v>
      </c>
      <c r="B920">
        <v>1967</v>
      </c>
      <c r="C920" t="s">
        <v>2366</v>
      </c>
      <c r="D920">
        <v>4</v>
      </c>
      <c r="E920">
        <v>0</v>
      </c>
      <c r="F920" s="10">
        <v>7463.51</v>
      </c>
      <c r="G920" t="s">
        <v>2358</v>
      </c>
      <c r="H920" t="s">
        <v>2358</v>
      </c>
      <c r="I920" t="s">
        <v>2359</v>
      </c>
      <c r="J920" s="8">
        <f t="shared" si="14"/>
        <v>24688</v>
      </c>
    </row>
    <row r="921" spans="1:10" x14ac:dyDescent="0.35">
      <c r="A921" t="s">
        <v>1420</v>
      </c>
      <c r="B921">
        <v>1996</v>
      </c>
      <c r="C921" t="s">
        <v>2362</v>
      </c>
      <c r="D921">
        <v>14</v>
      </c>
      <c r="E921">
        <v>0</v>
      </c>
      <c r="F921" s="10">
        <v>7487.38</v>
      </c>
      <c r="G921" t="s">
        <v>2357</v>
      </c>
      <c r="H921" t="s">
        <v>2358</v>
      </c>
      <c r="I921" t="s">
        <v>2364</v>
      </c>
      <c r="J921" s="8">
        <f t="shared" si="14"/>
        <v>35230</v>
      </c>
    </row>
    <row r="922" spans="1:10" x14ac:dyDescent="0.35">
      <c r="A922" t="s">
        <v>1419</v>
      </c>
      <c r="B922">
        <v>1988</v>
      </c>
      <c r="C922" t="s">
        <v>2365</v>
      </c>
      <c r="D922">
        <v>15</v>
      </c>
      <c r="E922">
        <v>3</v>
      </c>
      <c r="F922" s="10">
        <v>7494.63</v>
      </c>
      <c r="G922" t="s">
        <v>2357</v>
      </c>
      <c r="H922" t="s">
        <v>2358</v>
      </c>
      <c r="I922" t="s">
        <v>2373</v>
      </c>
      <c r="J922" s="8">
        <f t="shared" si="14"/>
        <v>32492</v>
      </c>
    </row>
    <row r="923" spans="1:10" x14ac:dyDescent="0.35">
      <c r="A923" t="s">
        <v>1418</v>
      </c>
      <c r="B923">
        <v>1997</v>
      </c>
      <c r="C923" t="s">
        <v>2367</v>
      </c>
      <c r="D923">
        <v>28</v>
      </c>
      <c r="E923">
        <v>0</v>
      </c>
      <c r="F923" s="10">
        <v>7504.3</v>
      </c>
      <c r="G923" t="s">
        <v>2357</v>
      </c>
      <c r="H923" t="s">
        <v>2361</v>
      </c>
      <c r="I923" t="s">
        <v>2364</v>
      </c>
      <c r="J923" s="8">
        <f t="shared" si="14"/>
        <v>35731</v>
      </c>
    </row>
    <row r="924" spans="1:10" x14ac:dyDescent="0.35">
      <c r="A924" t="s">
        <v>1417</v>
      </c>
      <c r="B924">
        <v>1983</v>
      </c>
      <c r="C924" t="s">
        <v>2356</v>
      </c>
      <c r="D924">
        <v>10</v>
      </c>
      <c r="E924">
        <v>4</v>
      </c>
      <c r="F924" s="10">
        <v>7512.27</v>
      </c>
      <c r="G924" t="s">
        <v>2358</v>
      </c>
      <c r="H924" t="s">
        <v>2357</v>
      </c>
      <c r="I924" t="s">
        <v>2368</v>
      </c>
      <c r="J924" s="8">
        <f t="shared" si="14"/>
        <v>30507</v>
      </c>
    </row>
    <row r="925" spans="1:10" x14ac:dyDescent="0.35">
      <c r="A925" t="s">
        <v>1416</v>
      </c>
      <c r="B925">
        <v>1978</v>
      </c>
      <c r="C925" t="s">
        <v>2367</v>
      </c>
      <c r="D925">
        <v>18</v>
      </c>
      <c r="E925">
        <v>1</v>
      </c>
      <c r="F925" s="10">
        <v>7518.03</v>
      </c>
      <c r="G925" t="s">
        <v>2357</v>
      </c>
      <c r="H925" t="s">
        <v>2358</v>
      </c>
      <c r="I925" t="s">
        <v>2364</v>
      </c>
      <c r="J925" s="8">
        <f t="shared" si="14"/>
        <v>28781</v>
      </c>
    </row>
    <row r="926" spans="1:10" x14ac:dyDescent="0.35">
      <c r="A926" t="s">
        <v>1415</v>
      </c>
      <c r="B926">
        <v>1976</v>
      </c>
      <c r="C926" t="s">
        <v>2367</v>
      </c>
      <c r="D926">
        <v>10</v>
      </c>
      <c r="E926">
        <v>0</v>
      </c>
      <c r="F926" s="10">
        <v>7526.71</v>
      </c>
      <c r="G926" t="s">
        <v>2358</v>
      </c>
      <c r="H926" t="s">
        <v>2361</v>
      </c>
      <c r="I926" t="s">
        <v>2364</v>
      </c>
      <c r="J926" s="8">
        <f t="shared" si="14"/>
        <v>28043</v>
      </c>
    </row>
    <row r="927" spans="1:10" x14ac:dyDescent="0.35">
      <c r="A927" t="s">
        <v>1414</v>
      </c>
      <c r="B927">
        <v>1978</v>
      </c>
      <c r="C927" t="s">
        <v>2365</v>
      </c>
      <c r="D927">
        <v>14</v>
      </c>
      <c r="E927">
        <v>2</v>
      </c>
      <c r="F927" s="10">
        <v>7531.7</v>
      </c>
      <c r="G927" t="s">
        <v>2357</v>
      </c>
      <c r="H927" t="s">
        <v>2361</v>
      </c>
      <c r="I927" t="s">
        <v>2359</v>
      </c>
      <c r="J927" s="8">
        <f t="shared" si="14"/>
        <v>28838</v>
      </c>
    </row>
    <row r="928" spans="1:10" x14ac:dyDescent="0.35">
      <c r="A928" t="s">
        <v>1413</v>
      </c>
      <c r="B928">
        <v>1984</v>
      </c>
      <c r="C928" t="s">
        <v>2366</v>
      </c>
      <c r="D928">
        <v>22</v>
      </c>
      <c r="E928">
        <v>3</v>
      </c>
      <c r="F928" s="10">
        <v>7537.16</v>
      </c>
      <c r="G928" t="s">
        <v>2357</v>
      </c>
      <c r="H928" t="s">
        <v>2357</v>
      </c>
      <c r="I928" t="s">
        <v>2364</v>
      </c>
      <c r="J928" s="8">
        <f t="shared" si="14"/>
        <v>30916</v>
      </c>
    </row>
    <row r="929" spans="1:10" x14ac:dyDescent="0.35">
      <c r="A929" t="s">
        <v>1412</v>
      </c>
      <c r="B929">
        <v>1988</v>
      </c>
      <c r="C929" t="s">
        <v>2365</v>
      </c>
      <c r="D929">
        <v>15</v>
      </c>
      <c r="E929">
        <v>3</v>
      </c>
      <c r="F929" s="10">
        <v>7538.52</v>
      </c>
      <c r="G929" t="s">
        <v>2357</v>
      </c>
      <c r="H929" t="s">
        <v>2357</v>
      </c>
      <c r="I929" t="s">
        <v>2364</v>
      </c>
      <c r="J929" s="8">
        <f t="shared" si="14"/>
        <v>32492</v>
      </c>
    </row>
    <row r="930" spans="1:10" x14ac:dyDescent="0.35">
      <c r="A930" t="s">
        <v>1411</v>
      </c>
      <c r="B930">
        <v>1994</v>
      </c>
      <c r="C930" t="s">
        <v>2366</v>
      </c>
      <c r="D930">
        <v>14</v>
      </c>
      <c r="E930">
        <v>0</v>
      </c>
      <c r="F930" s="10">
        <v>7567.13</v>
      </c>
      <c r="G930" t="s">
        <v>2357</v>
      </c>
      <c r="H930" t="s">
        <v>2357</v>
      </c>
      <c r="I930" t="s">
        <v>2377</v>
      </c>
      <c r="J930" s="8">
        <f t="shared" si="14"/>
        <v>34560</v>
      </c>
    </row>
    <row r="931" spans="1:10" x14ac:dyDescent="0.35">
      <c r="A931" t="s">
        <v>1410</v>
      </c>
      <c r="B931">
        <v>1967</v>
      </c>
      <c r="C931" t="s">
        <v>2356</v>
      </c>
      <c r="D931">
        <v>17</v>
      </c>
      <c r="E931">
        <v>0</v>
      </c>
      <c r="F931" s="10">
        <v>7585.62</v>
      </c>
      <c r="G931" t="s">
        <v>2358</v>
      </c>
      <c r="H931" t="s">
        <v>2357</v>
      </c>
      <c r="I931" t="s">
        <v>2359</v>
      </c>
      <c r="J931" s="8">
        <f t="shared" si="14"/>
        <v>24670</v>
      </c>
    </row>
    <row r="932" spans="1:10" x14ac:dyDescent="0.35">
      <c r="A932" t="s">
        <v>1409</v>
      </c>
      <c r="B932">
        <v>1997</v>
      </c>
      <c r="C932" t="s">
        <v>2363</v>
      </c>
      <c r="D932">
        <v>30</v>
      </c>
      <c r="E932">
        <v>0</v>
      </c>
      <c r="F932" s="10">
        <v>7607.03</v>
      </c>
      <c r="G932" t="s">
        <v>2357</v>
      </c>
      <c r="H932" t="s">
        <v>2357</v>
      </c>
      <c r="I932" t="s">
        <v>2364</v>
      </c>
      <c r="J932" s="8">
        <f t="shared" si="14"/>
        <v>35703</v>
      </c>
    </row>
    <row r="933" spans="1:10" x14ac:dyDescent="0.35">
      <c r="A933" t="s">
        <v>1408</v>
      </c>
      <c r="B933">
        <v>1968</v>
      </c>
      <c r="C933" t="s">
        <v>2356</v>
      </c>
      <c r="D933">
        <v>3</v>
      </c>
      <c r="E933">
        <v>0</v>
      </c>
      <c r="F933" s="10">
        <v>7609.6</v>
      </c>
      <c r="G933" t="s">
        <v>2358</v>
      </c>
      <c r="H933" t="s">
        <v>2357</v>
      </c>
      <c r="I933" t="s">
        <v>2364</v>
      </c>
      <c r="J933" s="8">
        <f t="shared" si="14"/>
        <v>25022</v>
      </c>
    </row>
    <row r="934" spans="1:10" x14ac:dyDescent="0.35">
      <c r="A934" t="s">
        <v>1407</v>
      </c>
      <c r="B934">
        <v>1996</v>
      </c>
      <c r="C934" t="s">
        <v>2363</v>
      </c>
      <c r="D934">
        <v>17</v>
      </c>
      <c r="E934">
        <v>0</v>
      </c>
      <c r="F934" s="10">
        <v>7623.13</v>
      </c>
      <c r="G934" t="s">
        <v>2357</v>
      </c>
      <c r="H934" t="s">
        <v>2358</v>
      </c>
      <c r="I934" t="s">
        <v>2368</v>
      </c>
      <c r="J934" s="8">
        <f t="shared" si="14"/>
        <v>35325</v>
      </c>
    </row>
    <row r="935" spans="1:10" x14ac:dyDescent="0.35">
      <c r="A935" t="s">
        <v>1406</v>
      </c>
      <c r="B935">
        <v>1978</v>
      </c>
      <c r="C935" t="s">
        <v>2360</v>
      </c>
      <c r="D935">
        <v>28</v>
      </c>
      <c r="E935">
        <v>1</v>
      </c>
      <c r="F935" s="10">
        <v>7623.52</v>
      </c>
      <c r="G935" t="s">
        <v>2357</v>
      </c>
      <c r="H935" t="s">
        <v>2361</v>
      </c>
      <c r="I935" t="s">
        <v>2368</v>
      </c>
      <c r="J935" s="8">
        <f t="shared" si="14"/>
        <v>28822</v>
      </c>
    </row>
    <row r="936" spans="1:10" x14ac:dyDescent="0.35">
      <c r="A936" t="s">
        <v>1405</v>
      </c>
      <c r="B936">
        <v>1978</v>
      </c>
      <c r="C936" t="s">
        <v>2360</v>
      </c>
      <c r="D936">
        <v>6</v>
      </c>
      <c r="E936">
        <v>1</v>
      </c>
      <c r="F936" s="10">
        <v>7624.63</v>
      </c>
      <c r="G936" t="s">
        <v>2357</v>
      </c>
      <c r="H936" t="s">
        <v>2361</v>
      </c>
      <c r="I936" t="s">
        <v>2368</v>
      </c>
      <c r="J936" s="8">
        <f t="shared" si="14"/>
        <v>28800</v>
      </c>
    </row>
    <row r="937" spans="1:10" x14ac:dyDescent="0.35">
      <c r="A937" t="s">
        <v>1404</v>
      </c>
      <c r="B937">
        <v>1978</v>
      </c>
      <c r="C937" t="s">
        <v>2360</v>
      </c>
      <c r="D937">
        <v>29</v>
      </c>
      <c r="E937">
        <v>1</v>
      </c>
      <c r="F937" s="10">
        <v>7626.99</v>
      </c>
      <c r="G937" t="s">
        <v>2357</v>
      </c>
      <c r="H937" t="s">
        <v>2357</v>
      </c>
      <c r="I937" t="s">
        <v>2368</v>
      </c>
      <c r="J937" s="8">
        <f t="shared" si="14"/>
        <v>28823</v>
      </c>
    </row>
    <row r="938" spans="1:10" x14ac:dyDescent="0.35">
      <c r="A938" t="s">
        <v>1403</v>
      </c>
      <c r="B938">
        <v>1978</v>
      </c>
      <c r="C938" t="s">
        <v>2366</v>
      </c>
      <c r="D938">
        <v>24</v>
      </c>
      <c r="E938">
        <v>1</v>
      </c>
      <c r="F938" s="10">
        <v>7633.72</v>
      </c>
      <c r="G938" t="s">
        <v>2357</v>
      </c>
      <c r="H938" t="s">
        <v>2361</v>
      </c>
      <c r="I938" t="s">
        <v>2359</v>
      </c>
      <c r="J938" s="8">
        <f t="shared" si="14"/>
        <v>28726</v>
      </c>
    </row>
    <row r="939" spans="1:10" x14ac:dyDescent="0.35">
      <c r="A939" t="s">
        <v>1402</v>
      </c>
      <c r="B939">
        <v>2001</v>
      </c>
      <c r="C939" t="s">
        <v>2365</v>
      </c>
      <c r="D939">
        <v>13</v>
      </c>
      <c r="E939">
        <v>0</v>
      </c>
      <c r="F939" s="10">
        <v>7636.92</v>
      </c>
      <c r="G939" t="s">
        <v>2357</v>
      </c>
      <c r="H939" t="s">
        <v>2358</v>
      </c>
      <c r="I939" t="s">
        <v>2364</v>
      </c>
      <c r="J939" s="8">
        <f t="shared" si="14"/>
        <v>37238</v>
      </c>
    </row>
    <row r="940" spans="1:10" x14ac:dyDescent="0.35">
      <c r="A940" t="s">
        <v>1401</v>
      </c>
      <c r="B940">
        <v>1980</v>
      </c>
      <c r="C940" t="s">
        <v>2362</v>
      </c>
      <c r="D940">
        <v>20</v>
      </c>
      <c r="E940">
        <v>1</v>
      </c>
      <c r="F940" s="10">
        <v>7639.42</v>
      </c>
      <c r="G940" t="s">
        <v>2357</v>
      </c>
      <c r="H940" t="s">
        <v>2357</v>
      </c>
      <c r="I940" t="s">
        <v>2374</v>
      </c>
      <c r="J940" s="8">
        <f t="shared" si="14"/>
        <v>29392</v>
      </c>
    </row>
    <row r="941" spans="1:10" x14ac:dyDescent="0.35">
      <c r="A941" t="s">
        <v>1400</v>
      </c>
      <c r="B941">
        <v>1980</v>
      </c>
      <c r="C941" t="s">
        <v>2356</v>
      </c>
      <c r="D941">
        <v>24</v>
      </c>
      <c r="E941">
        <v>2</v>
      </c>
      <c r="F941" s="10">
        <v>7640.31</v>
      </c>
      <c r="G941" t="s">
        <v>2357</v>
      </c>
      <c r="H941" t="s">
        <v>2361</v>
      </c>
      <c r="I941" t="s">
        <v>2359</v>
      </c>
      <c r="J941" s="8">
        <f t="shared" si="14"/>
        <v>29426</v>
      </c>
    </row>
    <row r="942" spans="1:10" x14ac:dyDescent="0.35">
      <c r="A942" t="s">
        <v>1399</v>
      </c>
      <c r="B942">
        <v>1999</v>
      </c>
      <c r="C942" t="s">
        <v>2362</v>
      </c>
      <c r="D942">
        <v>15</v>
      </c>
      <c r="E942">
        <v>0</v>
      </c>
      <c r="F942" s="10">
        <v>7642.05</v>
      </c>
      <c r="G942" t="s">
        <v>2357</v>
      </c>
      <c r="H942" t="s">
        <v>2357</v>
      </c>
      <c r="I942" t="s">
        <v>2380</v>
      </c>
      <c r="J942" s="8">
        <f t="shared" si="14"/>
        <v>36326</v>
      </c>
    </row>
    <row r="943" spans="1:10" x14ac:dyDescent="0.35">
      <c r="A943" t="s">
        <v>1398</v>
      </c>
      <c r="B943">
        <v>1980</v>
      </c>
      <c r="C943" t="s">
        <v>2367</v>
      </c>
      <c r="D943">
        <v>16</v>
      </c>
      <c r="E943">
        <v>1</v>
      </c>
      <c r="F943" s="10">
        <v>7650.77</v>
      </c>
      <c r="G943" t="s">
        <v>2357</v>
      </c>
      <c r="H943" t="s">
        <v>2357</v>
      </c>
      <c r="I943" t="s">
        <v>2374</v>
      </c>
      <c r="J943" s="8">
        <f t="shared" si="14"/>
        <v>29510</v>
      </c>
    </row>
    <row r="944" spans="1:10" x14ac:dyDescent="0.35">
      <c r="A944" t="s">
        <v>1397</v>
      </c>
      <c r="B944">
        <v>1993</v>
      </c>
      <c r="C944" t="s">
        <v>2366</v>
      </c>
      <c r="D944">
        <v>10</v>
      </c>
      <c r="E944">
        <v>0</v>
      </c>
      <c r="F944" s="10">
        <v>7650.8</v>
      </c>
      <c r="G944" t="s">
        <v>2357</v>
      </c>
      <c r="H944" t="s">
        <v>2357</v>
      </c>
      <c r="I944" t="s">
        <v>2364</v>
      </c>
      <c r="J944" s="8">
        <f t="shared" si="14"/>
        <v>34191</v>
      </c>
    </row>
    <row r="945" spans="1:10" x14ac:dyDescent="0.35">
      <c r="A945" t="s">
        <v>1396</v>
      </c>
      <c r="B945">
        <v>1998</v>
      </c>
      <c r="C945" t="s">
        <v>2363</v>
      </c>
      <c r="D945">
        <v>30</v>
      </c>
      <c r="E945">
        <v>0</v>
      </c>
      <c r="F945" s="10">
        <v>7652.26</v>
      </c>
      <c r="G945" t="s">
        <v>2357</v>
      </c>
      <c r="H945" t="s">
        <v>2358</v>
      </c>
      <c r="I945" t="s">
        <v>2375</v>
      </c>
      <c r="J945" s="8">
        <f t="shared" si="14"/>
        <v>36068</v>
      </c>
    </row>
    <row r="946" spans="1:10" x14ac:dyDescent="0.35">
      <c r="A946" t="s">
        <v>1395</v>
      </c>
      <c r="B946">
        <v>1965</v>
      </c>
      <c r="C946" t="s">
        <v>2365</v>
      </c>
      <c r="D946">
        <v>27</v>
      </c>
      <c r="E946">
        <v>0</v>
      </c>
      <c r="F946" s="10">
        <v>7657.69</v>
      </c>
      <c r="G946" t="s">
        <v>2358</v>
      </c>
      <c r="H946" t="s">
        <v>2358</v>
      </c>
      <c r="I946" t="s">
        <v>2364</v>
      </c>
      <c r="J946" s="8">
        <f t="shared" si="14"/>
        <v>24103</v>
      </c>
    </row>
    <row r="947" spans="1:10" x14ac:dyDescent="0.35">
      <c r="A947" t="s">
        <v>1394</v>
      </c>
      <c r="B947">
        <v>1976</v>
      </c>
      <c r="C947" t="s">
        <v>2367</v>
      </c>
      <c r="D947">
        <v>9</v>
      </c>
      <c r="E947">
        <v>2</v>
      </c>
      <c r="F947" s="10">
        <v>7662.47</v>
      </c>
      <c r="G947" t="s">
        <v>2357</v>
      </c>
      <c r="H947" t="s">
        <v>2361</v>
      </c>
      <c r="I947" t="s">
        <v>2368</v>
      </c>
      <c r="J947" s="8">
        <f t="shared" si="14"/>
        <v>28042</v>
      </c>
    </row>
    <row r="948" spans="1:10" x14ac:dyDescent="0.35">
      <c r="A948" t="s">
        <v>1393</v>
      </c>
      <c r="B948">
        <v>1996</v>
      </c>
      <c r="C948" t="s">
        <v>2360</v>
      </c>
      <c r="D948">
        <v>24</v>
      </c>
      <c r="E948">
        <v>0</v>
      </c>
      <c r="F948" s="10">
        <v>7670.75</v>
      </c>
      <c r="G948" t="s">
        <v>2357</v>
      </c>
      <c r="H948" t="s">
        <v>2357</v>
      </c>
      <c r="I948" t="s">
        <v>2381</v>
      </c>
      <c r="J948" s="8">
        <f t="shared" si="14"/>
        <v>35393</v>
      </c>
    </row>
    <row r="949" spans="1:10" x14ac:dyDescent="0.35">
      <c r="A949" t="s">
        <v>1392</v>
      </c>
      <c r="B949">
        <v>1995</v>
      </c>
      <c r="C949" t="s">
        <v>2363</v>
      </c>
      <c r="D949">
        <v>13</v>
      </c>
      <c r="E949">
        <v>0</v>
      </c>
      <c r="F949" s="10">
        <v>7676.4</v>
      </c>
      <c r="G949" t="s">
        <v>2357</v>
      </c>
      <c r="H949" t="s">
        <v>2361</v>
      </c>
      <c r="I949" t="s">
        <v>2364</v>
      </c>
      <c r="J949" s="8">
        <f t="shared" si="14"/>
        <v>34955</v>
      </c>
    </row>
    <row r="950" spans="1:10" x14ac:dyDescent="0.35">
      <c r="A950" t="s">
        <v>1391</v>
      </c>
      <c r="B950">
        <v>1971</v>
      </c>
      <c r="C950" t="s">
        <v>2367</v>
      </c>
      <c r="D950">
        <v>11</v>
      </c>
      <c r="E950">
        <v>0</v>
      </c>
      <c r="F950" s="10">
        <v>7680.92</v>
      </c>
      <c r="G950" t="s">
        <v>2357</v>
      </c>
      <c r="H950" t="s">
        <v>2361</v>
      </c>
      <c r="I950" t="s">
        <v>2359</v>
      </c>
      <c r="J950" s="8">
        <f t="shared" si="14"/>
        <v>26217</v>
      </c>
    </row>
    <row r="951" spans="1:10" x14ac:dyDescent="0.35">
      <c r="A951" t="s">
        <v>1390</v>
      </c>
      <c r="B951">
        <v>1981</v>
      </c>
      <c r="C951" t="s">
        <v>2365</v>
      </c>
      <c r="D951">
        <v>19</v>
      </c>
      <c r="E951">
        <v>1</v>
      </c>
      <c r="F951" s="10">
        <v>7681.17</v>
      </c>
      <c r="G951" t="s">
        <v>2357</v>
      </c>
      <c r="H951" t="s">
        <v>2357</v>
      </c>
      <c r="I951" t="s">
        <v>2379</v>
      </c>
      <c r="J951" s="8">
        <f t="shared" si="14"/>
        <v>29939</v>
      </c>
    </row>
    <row r="952" spans="1:10" x14ac:dyDescent="0.35">
      <c r="A952" t="s">
        <v>1389</v>
      </c>
      <c r="B952">
        <v>1982</v>
      </c>
      <c r="C952" t="s">
        <v>2365</v>
      </c>
      <c r="D952">
        <v>18</v>
      </c>
      <c r="E952">
        <v>3</v>
      </c>
      <c r="F952" s="10">
        <v>7682.67</v>
      </c>
      <c r="G952" t="s">
        <v>2357</v>
      </c>
      <c r="H952" t="s">
        <v>2361</v>
      </c>
      <c r="I952" t="s">
        <v>2359</v>
      </c>
      <c r="J952" s="8">
        <f t="shared" si="14"/>
        <v>30303</v>
      </c>
    </row>
    <row r="953" spans="1:10" x14ac:dyDescent="0.35">
      <c r="A953" t="s">
        <v>1388</v>
      </c>
      <c r="B953">
        <v>1987</v>
      </c>
      <c r="C953" t="s">
        <v>2356</v>
      </c>
      <c r="D953">
        <v>12</v>
      </c>
      <c r="E953">
        <v>3</v>
      </c>
      <c r="F953" s="10">
        <v>7684.62</v>
      </c>
      <c r="G953" t="s">
        <v>2357</v>
      </c>
      <c r="H953" t="s">
        <v>2358</v>
      </c>
      <c r="I953" t="s">
        <v>2377</v>
      </c>
      <c r="J953" s="8">
        <f t="shared" si="14"/>
        <v>31970</v>
      </c>
    </row>
    <row r="954" spans="1:10" x14ac:dyDescent="0.35">
      <c r="A954" t="s">
        <v>1387</v>
      </c>
      <c r="B954">
        <v>1978</v>
      </c>
      <c r="C954" t="s">
        <v>2365</v>
      </c>
      <c r="D954">
        <v>29</v>
      </c>
      <c r="E954">
        <v>2</v>
      </c>
      <c r="F954" s="10">
        <v>7726.85</v>
      </c>
      <c r="G954" t="s">
        <v>2361</v>
      </c>
      <c r="H954" t="s">
        <v>2357</v>
      </c>
      <c r="I954" t="s">
        <v>2368</v>
      </c>
      <c r="J954" s="8">
        <f t="shared" si="14"/>
        <v>28853</v>
      </c>
    </row>
    <row r="955" spans="1:10" x14ac:dyDescent="0.35">
      <c r="A955" t="s">
        <v>1386</v>
      </c>
      <c r="B955">
        <v>1979</v>
      </c>
      <c r="C955" t="s">
        <v>2362</v>
      </c>
      <c r="D955">
        <v>2</v>
      </c>
      <c r="E955">
        <v>1</v>
      </c>
      <c r="F955" s="10">
        <v>7727.25</v>
      </c>
      <c r="G955" t="s">
        <v>2357</v>
      </c>
      <c r="H955" t="s">
        <v>2358</v>
      </c>
      <c r="I955" t="s">
        <v>2364</v>
      </c>
      <c r="J955" s="8">
        <f t="shared" si="14"/>
        <v>29008</v>
      </c>
    </row>
    <row r="956" spans="1:10" x14ac:dyDescent="0.35">
      <c r="A956" t="s">
        <v>1385</v>
      </c>
      <c r="B956">
        <v>1980</v>
      </c>
      <c r="C956" t="s">
        <v>2363</v>
      </c>
      <c r="D956">
        <v>10</v>
      </c>
      <c r="E956">
        <v>2</v>
      </c>
      <c r="F956" s="10">
        <v>7729.65</v>
      </c>
      <c r="G956" t="s">
        <v>2358</v>
      </c>
      <c r="H956" t="s">
        <v>2361</v>
      </c>
      <c r="I956" t="s">
        <v>2371</v>
      </c>
      <c r="J956" s="8">
        <f t="shared" si="14"/>
        <v>29474</v>
      </c>
    </row>
    <row r="957" spans="1:10" x14ac:dyDescent="0.35">
      <c r="A957" t="s">
        <v>1384</v>
      </c>
      <c r="B957">
        <v>1978</v>
      </c>
      <c r="C957" t="s">
        <v>2365</v>
      </c>
      <c r="D957">
        <v>4</v>
      </c>
      <c r="E957">
        <v>2</v>
      </c>
      <c r="F957" s="10">
        <v>7731.43</v>
      </c>
      <c r="G957" t="s">
        <v>2358</v>
      </c>
      <c r="H957" t="s">
        <v>2357</v>
      </c>
      <c r="I957" t="s">
        <v>2359</v>
      </c>
      <c r="J957" s="8">
        <f t="shared" si="14"/>
        <v>28828</v>
      </c>
    </row>
    <row r="958" spans="1:10" x14ac:dyDescent="0.35">
      <c r="A958" t="s">
        <v>1383</v>
      </c>
      <c r="B958">
        <v>1977</v>
      </c>
      <c r="C958" t="s">
        <v>2366</v>
      </c>
      <c r="D958">
        <v>29</v>
      </c>
      <c r="E958">
        <v>0</v>
      </c>
      <c r="F958" s="10">
        <v>7731.86</v>
      </c>
      <c r="G958" t="s">
        <v>2357</v>
      </c>
      <c r="H958" t="s">
        <v>2358</v>
      </c>
      <c r="I958" t="s">
        <v>2364</v>
      </c>
      <c r="J958" s="8">
        <f t="shared" si="14"/>
        <v>28366</v>
      </c>
    </row>
    <row r="959" spans="1:10" x14ac:dyDescent="0.35">
      <c r="A959" t="s">
        <v>1382</v>
      </c>
      <c r="B959">
        <v>1965</v>
      </c>
      <c r="C959" t="s">
        <v>2356</v>
      </c>
      <c r="D959">
        <v>18</v>
      </c>
      <c r="E959">
        <v>0</v>
      </c>
      <c r="F959" s="10">
        <v>7736.39</v>
      </c>
      <c r="G959" t="s">
        <v>2358</v>
      </c>
      <c r="H959" t="s">
        <v>2357</v>
      </c>
      <c r="I959" t="s">
        <v>2359</v>
      </c>
      <c r="J959" s="8">
        <f t="shared" si="14"/>
        <v>23941</v>
      </c>
    </row>
    <row r="960" spans="1:10" x14ac:dyDescent="0.35">
      <c r="A960" t="s">
        <v>1381</v>
      </c>
      <c r="B960">
        <v>1978</v>
      </c>
      <c r="C960" t="s">
        <v>2363</v>
      </c>
      <c r="D960">
        <v>4</v>
      </c>
      <c r="E960">
        <v>2</v>
      </c>
      <c r="F960" s="10">
        <v>7740.34</v>
      </c>
      <c r="G960" t="s">
        <v>2361</v>
      </c>
      <c r="H960" t="s">
        <v>2361</v>
      </c>
      <c r="I960" t="s">
        <v>2368</v>
      </c>
      <c r="J960" s="8">
        <f t="shared" si="14"/>
        <v>28737</v>
      </c>
    </row>
    <row r="961" spans="1:10" x14ac:dyDescent="0.35">
      <c r="A961" t="s">
        <v>1380</v>
      </c>
      <c r="B961">
        <v>1976</v>
      </c>
      <c r="C961" t="s">
        <v>2365</v>
      </c>
      <c r="D961">
        <v>12</v>
      </c>
      <c r="E961">
        <v>1</v>
      </c>
      <c r="F961" s="10">
        <v>7742.11</v>
      </c>
      <c r="G961" t="s">
        <v>2358</v>
      </c>
      <c r="H961" t="s">
        <v>2357</v>
      </c>
      <c r="I961" t="s">
        <v>2359</v>
      </c>
      <c r="J961" s="8">
        <f t="shared" si="14"/>
        <v>28106</v>
      </c>
    </row>
    <row r="962" spans="1:10" x14ac:dyDescent="0.35">
      <c r="A962" t="s">
        <v>1379</v>
      </c>
      <c r="B962">
        <v>1981</v>
      </c>
      <c r="C962" t="s">
        <v>2362</v>
      </c>
      <c r="D962">
        <v>30</v>
      </c>
      <c r="E962">
        <v>2</v>
      </c>
      <c r="F962" s="10">
        <v>7749.16</v>
      </c>
      <c r="G962" t="s">
        <v>2357</v>
      </c>
      <c r="H962" t="s">
        <v>2361</v>
      </c>
      <c r="I962" t="s">
        <v>2364</v>
      </c>
      <c r="J962" s="8">
        <f t="shared" si="14"/>
        <v>29767</v>
      </c>
    </row>
    <row r="963" spans="1:10" x14ac:dyDescent="0.35">
      <c r="A963" t="s">
        <v>1378</v>
      </c>
      <c r="B963">
        <v>1997</v>
      </c>
      <c r="C963" t="s">
        <v>2365</v>
      </c>
      <c r="D963">
        <v>21</v>
      </c>
      <c r="E963">
        <v>0</v>
      </c>
      <c r="F963" s="10">
        <v>7763.06</v>
      </c>
      <c r="G963" t="s">
        <v>2357</v>
      </c>
      <c r="H963" t="s">
        <v>2361</v>
      </c>
      <c r="I963" t="s">
        <v>2364</v>
      </c>
      <c r="J963" s="8">
        <f t="shared" ref="J963:J1026" si="15">DATE(B963,MONTH(1&amp;C963),D963)</f>
        <v>35785</v>
      </c>
    </row>
    <row r="964" spans="1:10" x14ac:dyDescent="0.35">
      <c r="A964" t="s">
        <v>1377</v>
      </c>
      <c r="B964">
        <v>1974</v>
      </c>
      <c r="C964" t="s">
        <v>2365</v>
      </c>
      <c r="D964">
        <v>6</v>
      </c>
      <c r="E964">
        <v>0</v>
      </c>
      <c r="F964" s="10">
        <v>7789.64</v>
      </c>
      <c r="G964" t="s">
        <v>2361</v>
      </c>
      <c r="H964" t="s">
        <v>2358</v>
      </c>
      <c r="I964" t="s">
        <v>2359</v>
      </c>
      <c r="J964" s="8">
        <f t="shared" si="15"/>
        <v>27369</v>
      </c>
    </row>
    <row r="965" spans="1:10" x14ac:dyDescent="0.35">
      <c r="A965" t="s">
        <v>1376</v>
      </c>
      <c r="B965">
        <v>1999</v>
      </c>
      <c r="C965" t="s">
        <v>2365</v>
      </c>
      <c r="D965">
        <v>25</v>
      </c>
      <c r="E965">
        <v>0</v>
      </c>
      <c r="F965" s="10">
        <v>7794.68</v>
      </c>
      <c r="G965" t="s">
        <v>2357</v>
      </c>
      <c r="H965" t="s">
        <v>2357</v>
      </c>
      <c r="I965" t="s">
        <v>2380</v>
      </c>
      <c r="J965" s="8">
        <f t="shared" si="15"/>
        <v>36519</v>
      </c>
    </row>
    <row r="966" spans="1:10" x14ac:dyDescent="0.35">
      <c r="A966" t="s">
        <v>1375</v>
      </c>
      <c r="B966">
        <v>1997</v>
      </c>
      <c r="C966" t="s">
        <v>2365</v>
      </c>
      <c r="D966">
        <v>2</v>
      </c>
      <c r="E966">
        <v>0</v>
      </c>
      <c r="F966" s="10">
        <v>7803.77</v>
      </c>
      <c r="G966" t="s">
        <v>2357</v>
      </c>
      <c r="H966" t="s">
        <v>2358</v>
      </c>
      <c r="I966" t="s">
        <v>2364</v>
      </c>
      <c r="J966" s="8">
        <f t="shared" si="15"/>
        <v>35766</v>
      </c>
    </row>
    <row r="967" spans="1:10" x14ac:dyDescent="0.35">
      <c r="A967" t="s">
        <v>1374</v>
      </c>
      <c r="B967">
        <v>1974</v>
      </c>
      <c r="C967" t="s">
        <v>2360</v>
      </c>
      <c r="D967">
        <v>9</v>
      </c>
      <c r="E967">
        <v>0</v>
      </c>
      <c r="F967" s="10">
        <v>7804.16</v>
      </c>
      <c r="G967" t="s">
        <v>2357</v>
      </c>
      <c r="H967" t="s">
        <v>2358</v>
      </c>
      <c r="I967" t="s">
        <v>2359</v>
      </c>
      <c r="J967" s="8">
        <f t="shared" si="15"/>
        <v>27342</v>
      </c>
    </row>
    <row r="968" spans="1:10" x14ac:dyDescent="0.35">
      <c r="A968" t="s">
        <v>1373</v>
      </c>
      <c r="B968">
        <v>1991</v>
      </c>
      <c r="C968" t="s">
        <v>2365</v>
      </c>
      <c r="D968">
        <v>21</v>
      </c>
      <c r="E968">
        <v>3</v>
      </c>
      <c r="F968" s="10">
        <v>7812.67</v>
      </c>
      <c r="G968" t="s">
        <v>2357</v>
      </c>
      <c r="H968" t="s">
        <v>2361</v>
      </c>
      <c r="I968" t="s">
        <v>2364</v>
      </c>
      <c r="J968" s="8">
        <f t="shared" si="15"/>
        <v>33593</v>
      </c>
    </row>
    <row r="969" spans="1:10" x14ac:dyDescent="0.35">
      <c r="A969" t="s">
        <v>1372</v>
      </c>
      <c r="B969">
        <v>1989</v>
      </c>
      <c r="C969" t="s">
        <v>2367</v>
      </c>
      <c r="D969">
        <v>12</v>
      </c>
      <c r="E969">
        <v>3</v>
      </c>
      <c r="F969" s="10">
        <v>7824.37</v>
      </c>
      <c r="G969" t="s">
        <v>2357</v>
      </c>
      <c r="H969" t="s">
        <v>2357</v>
      </c>
      <c r="I969" t="s">
        <v>2364</v>
      </c>
      <c r="J969" s="8">
        <f t="shared" si="15"/>
        <v>32793</v>
      </c>
    </row>
    <row r="970" spans="1:10" x14ac:dyDescent="0.35">
      <c r="A970" t="s">
        <v>1371</v>
      </c>
      <c r="B970">
        <v>2001</v>
      </c>
      <c r="C970" t="s">
        <v>2367</v>
      </c>
      <c r="D970">
        <v>5</v>
      </c>
      <c r="E970">
        <v>0</v>
      </c>
      <c r="F970" s="10">
        <v>7844.8</v>
      </c>
      <c r="G970" t="s">
        <v>2357</v>
      </c>
      <c r="H970" t="s">
        <v>2357</v>
      </c>
      <c r="I970" t="s">
        <v>2364</v>
      </c>
      <c r="J970" s="8">
        <f t="shared" si="15"/>
        <v>37169</v>
      </c>
    </row>
    <row r="971" spans="1:10" x14ac:dyDescent="0.35">
      <c r="A971" t="s">
        <v>1370</v>
      </c>
      <c r="B971">
        <v>1994</v>
      </c>
      <c r="C971" t="s">
        <v>2360</v>
      </c>
      <c r="D971">
        <v>17</v>
      </c>
      <c r="E971">
        <v>0</v>
      </c>
      <c r="F971" s="10">
        <v>7851.85</v>
      </c>
      <c r="G971" t="s">
        <v>2357</v>
      </c>
      <c r="H971" t="s">
        <v>2358</v>
      </c>
      <c r="I971" t="s">
        <v>2364</v>
      </c>
      <c r="J971" s="8">
        <f t="shared" si="15"/>
        <v>34655</v>
      </c>
    </row>
    <row r="972" spans="1:10" x14ac:dyDescent="0.35">
      <c r="A972" t="s">
        <v>1369</v>
      </c>
      <c r="B972">
        <v>1962</v>
      </c>
      <c r="C972" t="s">
        <v>2367</v>
      </c>
      <c r="D972">
        <v>10</v>
      </c>
      <c r="E972">
        <v>0</v>
      </c>
      <c r="F972" s="10">
        <v>7896.41</v>
      </c>
      <c r="G972" t="s">
        <v>2358</v>
      </c>
      <c r="H972" t="s">
        <v>2357</v>
      </c>
      <c r="I972" t="s">
        <v>2359</v>
      </c>
      <c r="J972" s="8">
        <f t="shared" si="15"/>
        <v>22929</v>
      </c>
    </row>
    <row r="973" spans="1:10" x14ac:dyDescent="0.35">
      <c r="A973" t="s">
        <v>1368</v>
      </c>
      <c r="B973">
        <v>1977</v>
      </c>
      <c r="C973" t="s">
        <v>2356</v>
      </c>
      <c r="D973">
        <v>20</v>
      </c>
      <c r="E973">
        <v>0</v>
      </c>
      <c r="F973" s="10">
        <v>7935.29</v>
      </c>
      <c r="G973" t="s">
        <v>2357</v>
      </c>
      <c r="H973" t="s">
        <v>2361</v>
      </c>
      <c r="I973" t="s">
        <v>2374</v>
      </c>
      <c r="J973" s="8">
        <f t="shared" si="15"/>
        <v>28326</v>
      </c>
    </row>
    <row r="974" spans="1:10" x14ac:dyDescent="0.35">
      <c r="A974" t="s">
        <v>1367</v>
      </c>
      <c r="B974">
        <v>1987</v>
      </c>
      <c r="C974" t="s">
        <v>2367</v>
      </c>
      <c r="D974">
        <v>29</v>
      </c>
      <c r="E974">
        <v>3</v>
      </c>
      <c r="F974" s="10">
        <v>7948.22</v>
      </c>
      <c r="G974" t="s">
        <v>2357</v>
      </c>
      <c r="H974" t="s">
        <v>2358</v>
      </c>
      <c r="I974" t="s">
        <v>2373</v>
      </c>
      <c r="J974" s="8">
        <f t="shared" si="15"/>
        <v>32079</v>
      </c>
    </row>
    <row r="975" spans="1:10" x14ac:dyDescent="0.35">
      <c r="A975" t="s">
        <v>1366</v>
      </c>
      <c r="B975">
        <v>1966</v>
      </c>
      <c r="C975" t="s">
        <v>2356</v>
      </c>
      <c r="D975">
        <v>9</v>
      </c>
      <c r="E975">
        <v>0</v>
      </c>
      <c r="F975" s="10">
        <v>7953.72</v>
      </c>
      <c r="G975" t="s">
        <v>2358</v>
      </c>
      <c r="H975" t="s">
        <v>2358</v>
      </c>
      <c r="I975" t="s">
        <v>2364</v>
      </c>
      <c r="J975" s="8">
        <f t="shared" si="15"/>
        <v>24297</v>
      </c>
    </row>
    <row r="976" spans="1:10" x14ac:dyDescent="0.35">
      <c r="A976" t="s">
        <v>1365</v>
      </c>
      <c r="B976">
        <v>1981</v>
      </c>
      <c r="C976" t="s">
        <v>2365</v>
      </c>
      <c r="D976">
        <v>28</v>
      </c>
      <c r="E976">
        <v>3</v>
      </c>
      <c r="F976" s="10">
        <v>7954.52</v>
      </c>
      <c r="G976" t="s">
        <v>2357</v>
      </c>
      <c r="H976" t="s">
        <v>2357</v>
      </c>
      <c r="I976" t="s">
        <v>2368</v>
      </c>
      <c r="J976" s="8">
        <f t="shared" si="15"/>
        <v>29948</v>
      </c>
    </row>
    <row r="977" spans="1:10" x14ac:dyDescent="0.35">
      <c r="A977" t="s">
        <v>1364</v>
      </c>
      <c r="B977">
        <v>1970</v>
      </c>
      <c r="C977" t="s">
        <v>2362</v>
      </c>
      <c r="D977">
        <v>19</v>
      </c>
      <c r="E977">
        <v>0</v>
      </c>
      <c r="F977" s="10">
        <v>7958.13</v>
      </c>
      <c r="G977" t="s">
        <v>2357</v>
      </c>
      <c r="H977" t="s">
        <v>2357</v>
      </c>
      <c r="I977" t="s">
        <v>2359</v>
      </c>
      <c r="J977" s="8">
        <f t="shared" si="15"/>
        <v>25738</v>
      </c>
    </row>
    <row r="978" spans="1:10" x14ac:dyDescent="0.35">
      <c r="A978" t="s">
        <v>1363</v>
      </c>
      <c r="B978">
        <v>1975</v>
      </c>
      <c r="C978" t="s">
        <v>2366</v>
      </c>
      <c r="D978">
        <v>10</v>
      </c>
      <c r="E978">
        <v>1</v>
      </c>
      <c r="F978" s="10">
        <v>7966.81</v>
      </c>
      <c r="G978" t="s">
        <v>2357</v>
      </c>
      <c r="H978" t="s">
        <v>2357</v>
      </c>
      <c r="I978" t="s">
        <v>2359</v>
      </c>
      <c r="J978" s="8">
        <f t="shared" si="15"/>
        <v>27616</v>
      </c>
    </row>
    <row r="979" spans="1:10" x14ac:dyDescent="0.35">
      <c r="A979" t="s">
        <v>1362</v>
      </c>
      <c r="B979">
        <v>1972</v>
      </c>
      <c r="C979" t="s">
        <v>2360</v>
      </c>
      <c r="D979">
        <v>23</v>
      </c>
      <c r="E979">
        <v>0</v>
      </c>
      <c r="F979" s="10">
        <v>7980.34</v>
      </c>
      <c r="G979" t="s">
        <v>2357</v>
      </c>
      <c r="H979" t="s">
        <v>2357</v>
      </c>
      <c r="I979" t="s">
        <v>2359</v>
      </c>
      <c r="J979" s="8">
        <f t="shared" si="15"/>
        <v>26626</v>
      </c>
    </row>
    <row r="980" spans="1:10" x14ac:dyDescent="0.35">
      <c r="A980" t="s">
        <v>1361</v>
      </c>
      <c r="B980">
        <v>1983</v>
      </c>
      <c r="C980" t="s">
        <v>2366</v>
      </c>
      <c r="D980">
        <v>28</v>
      </c>
      <c r="E980">
        <v>3</v>
      </c>
      <c r="F980" s="10">
        <v>7985.82</v>
      </c>
      <c r="G980" t="s">
        <v>2357</v>
      </c>
      <c r="H980" t="s">
        <v>2361</v>
      </c>
      <c r="I980" t="s">
        <v>2374</v>
      </c>
      <c r="J980" s="8">
        <f t="shared" si="15"/>
        <v>30556</v>
      </c>
    </row>
    <row r="981" spans="1:10" x14ac:dyDescent="0.35">
      <c r="A981" t="s">
        <v>1360</v>
      </c>
      <c r="B981">
        <v>1983</v>
      </c>
      <c r="C981" t="s">
        <v>2366</v>
      </c>
      <c r="D981">
        <v>20</v>
      </c>
      <c r="E981">
        <v>3</v>
      </c>
      <c r="F981" s="10">
        <v>7986.48</v>
      </c>
      <c r="G981" t="s">
        <v>2357</v>
      </c>
      <c r="H981" t="s">
        <v>2358</v>
      </c>
      <c r="I981" t="s">
        <v>2374</v>
      </c>
      <c r="J981" s="8">
        <f t="shared" si="15"/>
        <v>30548</v>
      </c>
    </row>
    <row r="982" spans="1:10" x14ac:dyDescent="0.35">
      <c r="A982" t="s">
        <v>1359</v>
      </c>
      <c r="B982">
        <v>1962</v>
      </c>
      <c r="C982" t="s">
        <v>2366</v>
      </c>
      <c r="D982">
        <v>22</v>
      </c>
      <c r="E982">
        <v>0</v>
      </c>
      <c r="F982" s="10">
        <v>8004.96</v>
      </c>
      <c r="G982" t="s">
        <v>2358</v>
      </c>
      <c r="H982" t="s">
        <v>2361</v>
      </c>
      <c r="I982" t="s">
        <v>2359</v>
      </c>
      <c r="J982" s="8">
        <f t="shared" si="15"/>
        <v>22880</v>
      </c>
    </row>
    <row r="983" spans="1:10" x14ac:dyDescent="0.35">
      <c r="A983" t="s">
        <v>1358</v>
      </c>
      <c r="B983">
        <v>1995</v>
      </c>
      <c r="C983" t="s">
        <v>2363</v>
      </c>
      <c r="D983">
        <v>18</v>
      </c>
      <c r="E983">
        <v>0</v>
      </c>
      <c r="F983" s="10">
        <v>8014.62</v>
      </c>
      <c r="G983" t="s">
        <v>2357</v>
      </c>
      <c r="H983" t="s">
        <v>2358</v>
      </c>
      <c r="I983" t="s">
        <v>2364</v>
      </c>
      <c r="J983" s="8">
        <f t="shared" si="15"/>
        <v>34960</v>
      </c>
    </row>
    <row r="984" spans="1:10" x14ac:dyDescent="0.35">
      <c r="A984" t="s">
        <v>1357</v>
      </c>
      <c r="B984">
        <v>1980</v>
      </c>
      <c r="C984" t="s">
        <v>2360</v>
      </c>
      <c r="D984">
        <v>8</v>
      </c>
      <c r="E984">
        <v>2</v>
      </c>
      <c r="F984" s="10">
        <v>8017.06</v>
      </c>
      <c r="G984" t="s">
        <v>2357</v>
      </c>
      <c r="H984" t="s">
        <v>2357</v>
      </c>
      <c r="I984" t="s">
        <v>2364</v>
      </c>
      <c r="J984" s="8">
        <f t="shared" si="15"/>
        <v>29533</v>
      </c>
    </row>
    <row r="985" spans="1:10" x14ac:dyDescent="0.35">
      <c r="A985" t="s">
        <v>1356</v>
      </c>
      <c r="B985">
        <v>1989</v>
      </c>
      <c r="C985" t="s">
        <v>2360</v>
      </c>
      <c r="D985">
        <v>3</v>
      </c>
      <c r="E985">
        <v>3</v>
      </c>
      <c r="F985" s="10">
        <v>8021.11</v>
      </c>
      <c r="G985" t="s">
        <v>2357</v>
      </c>
      <c r="H985" t="s">
        <v>2361</v>
      </c>
      <c r="I985" t="s">
        <v>2364</v>
      </c>
      <c r="J985" s="8">
        <f t="shared" si="15"/>
        <v>32815</v>
      </c>
    </row>
    <row r="986" spans="1:10" x14ac:dyDescent="0.35">
      <c r="A986" t="s">
        <v>1355</v>
      </c>
      <c r="B986">
        <v>1978</v>
      </c>
      <c r="C986" t="s">
        <v>2356</v>
      </c>
      <c r="D986">
        <v>17</v>
      </c>
      <c r="E986">
        <v>1</v>
      </c>
      <c r="F986" s="10">
        <v>8023.14</v>
      </c>
      <c r="G986" t="s">
        <v>2357</v>
      </c>
      <c r="H986" t="s">
        <v>2358</v>
      </c>
      <c r="I986" t="s">
        <v>2364</v>
      </c>
      <c r="J986" s="8">
        <f t="shared" si="15"/>
        <v>28688</v>
      </c>
    </row>
    <row r="987" spans="1:10" x14ac:dyDescent="0.35">
      <c r="A987" t="s">
        <v>1354</v>
      </c>
      <c r="B987">
        <v>1976</v>
      </c>
      <c r="C987" t="s">
        <v>2365</v>
      </c>
      <c r="D987">
        <v>20</v>
      </c>
      <c r="E987">
        <v>0</v>
      </c>
      <c r="F987" s="10">
        <v>8026.67</v>
      </c>
      <c r="G987" t="s">
        <v>2357</v>
      </c>
      <c r="H987" t="s">
        <v>2357</v>
      </c>
      <c r="I987" t="s">
        <v>2364</v>
      </c>
      <c r="J987" s="8">
        <f t="shared" si="15"/>
        <v>28114</v>
      </c>
    </row>
    <row r="988" spans="1:10" x14ac:dyDescent="0.35">
      <c r="A988" t="s">
        <v>1353</v>
      </c>
      <c r="B988">
        <v>1977</v>
      </c>
      <c r="C988" t="s">
        <v>2360</v>
      </c>
      <c r="D988">
        <v>6</v>
      </c>
      <c r="E988">
        <v>2</v>
      </c>
      <c r="F988" s="10">
        <v>8027.97</v>
      </c>
      <c r="G988" t="s">
        <v>2358</v>
      </c>
      <c r="H988" t="s">
        <v>2357</v>
      </c>
      <c r="I988" t="s">
        <v>2368</v>
      </c>
      <c r="J988" s="8">
        <f t="shared" si="15"/>
        <v>28435</v>
      </c>
    </row>
    <row r="989" spans="1:10" x14ac:dyDescent="0.35">
      <c r="A989" t="s">
        <v>1352</v>
      </c>
      <c r="B989">
        <v>2003</v>
      </c>
      <c r="C989" t="s">
        <v>2365</v>
      </c>
      <c r="D989">
        <v>12</v>
      </c>
      <c r="E989">
        <v>0</v>
      </c>
      <c r="F989" s="10">
        <v>8035.64</v>
      </c>
      <c r="G989" t="s">
        <v>2357</v>
      </c>
      <c r="H989" t="s">
        <v>2357</v>
      </c>
      <c r="I989" t="s">
        <v>2364</v>
      </c>
      <c r="J989" s="8">
        <f t="shared" si="15"/>
        <v>37967</v>
      </c>
    </row>
    <row r="990" spans="1:10" x14ac:dyDescent="0.35">
      <c r="A990" t="s">
        <v>1351</v>
      </c>
      <c r="B990">
        <v>1985</v>
      </c>
      <c r="C990" t="s">
        <v>2360</v>
      </c>
      <c r="D990">
        <v>28</v>
      </c>
      <c r="E990">
        <v>3</v>
      </c>
      <c r="F990" s="10">
        <v>8059.06</v>
      </c>
      <c r="G990" t="s">
        <v>2357</v>
      </c>
      <c r="H990" t="s">
        <v>2358</v>
      </c>
      <c r="I990" t="s">
        <v>2364</v>
      </c>
      <c r="J990" s="8">
        <f t="shared" si="15"/>
        <v>31379</v>
      </c>
    </row>
    <row r="991" spans="1:10" x14ac:dyDescent="0.35">
      <c r="A991" t="s">
        <v>1350</v>
      </c>
      <c r="B991">
        <v>1982</v>
      </c>
      <c r="C991" t="s">
        <v>2365</v>
      </c>
      <c r="D991">
        <v>27</v>
      </c>
      <c r="E991">
        <v>3</v>
      </c>
      <c r="F991" s="10">
        <v>8059.68</v>
      </c>
      <c r="G991" t="s">
        <v>2357</v>
      </c>
      <c r="H991" t="s">
        <v>2358</v>
      </c>
      <c r="I991" t="s">
        <v>2364</v>
      </c>
      <c r="J991" s="8">
        <f t="shared" si="15"/>
        <v>30312</v>
      </c>
    </row>
    <row r="992" spans="1:10" x14ac:dyDescent="0.35">
      <c r="A992" t="s">
        <v>1349</v>
      </c>
      <c r="B992">
        <v>1970</v>
      </c>
      <c r="C992" t="s">
        <v>2365</v>
      </c>
      <c r="D992">
        <v>12</v>
      </c>
      <c r="E992">
        <v>0</v>
      </c>
      <c r="F992" s="10">
        <v>8062.31</v>
      </c>
      <c r="G992" t="s">
        <v>2357</v>
      </c>
      <c r="H992" t="s">
        <v>2361</v>
      </c>
      <c r="I992" t="s">
        <v>2359</v>
      </c>
      <c r="J992" s="8">
        <f t="shared" si="15"/>
        <v>25914</v>
      </c>
    </row>
    <row r="993" spans="1:10" x14ac:dyDescent="0.35">
      <c r="A993" t="s">
        <v>1348</v>
      </c>
      <c r="B993">
        <v>1975</v>
      </c>
      <c r="C993" t="s">
        <v>2362</v>
      </c>
      <c r="D993">
        <v>28</v>
      </c>
      <c r="E993">
        <v>1</v>
      </c>
      <c r="F993" s="10">
        <v>8062.76</v>
      </c>
      <c r="G993" t="s">
        <v>2358</v>
      </c>
      <c r="H993" t="s">
        <v>2358</v>
      </c>
      <c r="I993" t="s">
        <v>2368</v>
      </c>
      <c r="J993" s="8">
        <f t="shared" si="15"/>
        <v>27573</v>
      </c>
    </row>
    <row r="994" spans="1:10" x14ac:dyDescent="0.35">
      <c r="A994" t="s">
        <v>1347</v>
      </c>
      <c r="B994">
        <v>1965</v>
      </c>
      <c r="C994" t="s">
        <v>2366</v>
      </c>
      <c r="D994">
        <v>11</v>
      </c>
      <c r="E994">
        <v>0</v>
      </c>
      <c r="F994" s="10">
        <v>8067.83</v>
      </c>
      <c r="G994" t="s">
        <v>2358</v>
      </c>
      <c r="H994" t="s">
        <v>2361</v>
      </c>
      <c r="I994" t="s">
        <v>2359</v>
      </c>
      <c r="J994" s="8">
        <f t="shared" si="15"/>
        <v>23965</v>
      </c>
    </row>
    <row r="995" spans="1:10" x14ac:dyDescent="0.35">
      <c r="A995" t="s">
        <v>1346</v>
      </c>
      <c r="B995">
        <v>1975</v>
      </c>
      <c r="C995" t="s">
        <v>2365</v>
      </c>
      <c r="D995">
        <v>15</v>
      </c>
      <c r="E995">
        <v>1</v>
      </c>
      <c r="F995" s="10">
        <v>8068.19</v>
      </c>
      <c r="G995" t="s">
        <v>2358</v>
      </c>
      <c r="H995" t="s">
        <v>2357</v>
      </c>
      <c r="I995" t="s">
        <v>2368</v>
      </c>
      <c r="J995" s="8">
        <f t="shared" si="15"/>
        <v>27743</v>
      </c>
    </row>
    <row r="996" spans="1:10" x14ac:dyDescent="0.35">
      <c r="A996" t="s">
        <v>1345</v>
      </c>
      <c r="B996">
        <v>1965</v>
      </c>
      <c r="C996" t="s">
        <v>2367</v>
      </c>
      <c r="D996">
        <v>21</v>
      </c>
      <c r="E996">
        <v>0</v>
      </c>
      <c r="F996" s="10">
        <v>8071.57</v>
      </c>
      <c r="G996" t="s">
        <v>2358</v>
      </c>
      <c r="H996" t="s">
        <v>2361</v>
      </c>
      <c r="I996" t="s">
        <v>2368</v>
      </c>
      <c r="J996" s="8">
        <f t="shared" si="15"/>
        <v>24036</v>
      </c>
    </row>
    <row r="997" spans="1:10" x14ac:dyDescent="0.35">
      <c r="A997" t="s">
        <v>1344</v>
      </c>
      <c r="B997">
        <v>1993</v>
      </c>
      <c r="C997" t="s">
        <v>2360</v>
      </c>
      <c r="D997">
        <v>7</v>
      </c>
      <c r="E997">
        <v>0</v>
      </c>
      <c r="F997" s="10">
        <v>8077.41</v>
      </c>
      <c r="G997" t="s">
        <v>2357</v>
      </c>
      <c r="H997" t="s">
        <v>2361</v>
      </c>
      <c r="I997" t="s">
        <v>2380</v>
      </c>
      <c r="J997" s="8">
        <f t="shared" si="15"/>
        <v>34280</v>
      </c>
    </row>
    <row r="998" spans="1:10" x14ac:dyDescent="0.35">
      <c r="A998" t="s">
        <v>1343</v>
      </c>
      <c r="B998">
        <v>2001</v>
      </c>
      <c r="C998" t="s">
        <v>2366</v>
      </c>
      <c r="D998">
        <v>28</v>
      </c>
      <c r="E998">
        <v>0</v>
      </c>
      <c r="F998" s="10">
        <v>8081.26</v>
      </c>
      <c r="G998" t="s">
        <v>2357</v>
      </c>
      <c r="H998" t="s">
        <v>2357</v>
      </c>
      <c r="I998" t="s">
        <v>2364</v>
      </c>
      <c r="J998" s="8">
        <f t="shared" si="15"/>
        <v>37131</v>
      </c>
    </row>
    <row r="999" spans="1:10" x14ac:dyDescent="0.35">
      <c r="A999" t="s">
        <v>1342</v>
      </c>
      <c r="B999">
        <v>1994</v>
      </c>
      <c r="C999" t="s">
        <v>2367</v>
      </c>
      <c r="D999">
        <v>12</v>
      </c>
      <c r="E999">
        <v>0</v>
      </c>
      <c r="F999" s="10">
        <v>8081.74</v>
      </c>
      <c r="G999" t="s">
        <v>2357</v>
      </c>
      <c r="H999" t="s">
        <v>2357</v>
      </c>
      <c r="I999" t="s">
        <v>2380</v>
      </c>
      <c r="J999" s="8">
        <f t="shared" si="15"/>
        <v>34619</v>
      </c>
    </row>
    <row r="1000" spans="1:10" x14ac:dyDescent="0.35">
      <c r="A1000" t="s">
        <v>1341</v>
      </c>
      <c r="B1000">
        <v>1975</v>
      </c>
      <c r="C1000" t="s">
        <v>2365</v>
      </c>
      <c r="D1000">
        <v>21</v>
      </c>
      <c r="E1000">
        <v>1</v>
      </c>
      <c r="F1000" s="10">
        <v>8083.92</v>
      </c>
      <c r="G1000" t="s">
        <v>2358</v>
      </c>
      <c r="H1000" t="s">
        <v>2358</v>
      </c>
      <c r="I1000" t="s">
        <v>2359</v>
      </c>
      <c r="J1000" s="8">
        <f t="shared" si="15"/>
        <v>27749</v>
      </c>
    </row>
    <row r="1001" spans="1:10" x14ac:dyDescent="0.35">
      <c r="A1001" t="s">
        <v>1340</v>
      </c>
      <c r="B1001">
        <v>1967</v>
      </c>
      <c r="C1001" t="s">
        <v>2362</v>
      </c>
      <c r="D1001">
        <v>10</v>
      </c>
      <c r="E1001">
        <v>0</v>
      </c>
      <c r="F1001" s="10">
        <v>8091.3</v>
      </c>
      <c r="G1001" t="s">
        <v>2358</v>
      </c>
      <c r="H1001" t="s">
        <v>2361</v>
      </c>
      <c r="I1001" t="s">
        <v>2364</v>
      </c>
      <c r="J1001" s="8">
        <f t="shared" si="15"/>
        <v>24633</v>
      </c>
    </row>
    <row r="1002" spans="1:10" x14ac:dyDescent="0.35">
      <c r="A1002" t="s">
        <v>1339</v>
      </c>
      <c r="B1002">
        <v>1973</v>
      </c>
      <c r="C1002" t="s">
        <v>2367</v>
      </c>
      <c r="D1002">
        <v>11</v>
      </c>
      <c r="E1002">
        <v>0</v>
      </c>
      <c r="F1002" s="10">
        <v>8112.59</v>
      </c>
      <c r="G1002" t="s">
        <v>2357</v>
      </c>
      <c r="H1002" t="s">
        <v>2357</v>
      </c>
      <c r="I1002" t="s">
        <v>2359</v>
      </c>
      <c r="J1002" s="8">
        <f t="shared" si="15"/>
        <v>26948</v>
      </c>
    </row>
    <row r="1003" spans="1:10" x14ac:dyDescent="0.35">
      <c r="A1003" t="s">
        <v>1338</v>
      </c>
      <c r="B1003">
        <v>1978</v>
      </c>
      <c r="C1003" t="s">
        <v>2363</v>
      </c>
      <c r="D1003">
        <v>1</v>
      </c>
      <c r="E1003">
        <v>2</v>
      </c>
      <c r="F1003" s="10">
        <v>8116.27</v>
      </c>
      <c r="G1003" t="s">
        <v>2358</v>
      </c>
      <c r="H1003" t="s">
        <v>2361</v>
      </c>
      <c r="I1003" t="s">
        <v>2364</v>
      </c>
      <c r="J1003" s="8">
        <f t="shared" si="15"/>
        <v>28734</v>
      </c>
    </row>
    <row r="1004" spans="1:10" x14ac:dyDescent="0.35">
      <c r="A1004" t="s">
        <v>1337</v>
      </c>
      <c r="B1004">
        <v>1973</v>
      </c>
      <c r="C1004" t="s">
        <v>2365</v>
      </c>
      <c r="D1004">
        <v>16</v>
      </c>
      <c r="E1004">
        <v>0</v>
      </c>
      <c r="F1004" s="10">
        <v>8116.68</v>
      </c>
      <c r="G1004" t="s">
        <v>2358</v>
      </c>
      <c r="H1004" t="s">
        <v>2361</v>
      </c>
      <c r="I1004" t="s">
        <v>2368</v>
      </c>
      <c r="J1004" s="8">
        <f t="shared" si="15"/>
        <v>27014</v>
      </c>
    </row>
    <row r="1005" spans="1:10" x14ac:dyDescent="0.35">
      <c r="A1005" t="s">
        <v>1336</v>
      </c>
      <c r="B1005">
        <v>1973</v>
      </c>
      <c r="C1005" t="s">
        <v>2366</v>
      </c>
      <c r="D1005">
        <v>30</v>
      </c>
      <c r="E1005">
        <v>0</v>
      </c>
      <c r="F1005" s="10">
        <v>8124.41</v>
      </c>
      <c r="G1005" t="s">
        <v>2358</v>
      </c>
      <c r="H1005" t="s">
        <v>2361</v>
      </c>
      <c r="I1005" t="s">
        <v>2359</v>
      </c>
      <c r="J1005" s="8">
        <f t="shared" si="15"/>
        <v>26906</v>
      </c>
    </row>
    <row r="1006" spans="1:10" x14ac:dyDescent="0.35">
      <c r="A1006" t="s">
        <v>1335</v>
      </c>
      <c r="B1006">
        <v>1973</v>
      </c>
      <c r="C1006" t="s">
        <v>2363</v>
      </c>
      <c r="D1006">
        <v>3</v>
      </c>
      <c r="E1006">
        <v>0</v>
      </c>
      <c r="F1006" s="10">
        <v>8125.78</v>
      </c>
      <c r="G1006" t="s">
        <v>2357</v>
      </c>
      <c r="H1006" t="s">
        <v>2357</v>
      </c>
      <c r="I1006" t="s">
        <v>2359</v>
      </c>
      <c r="J1006" s="8">
        <f t="shared" si="15"/>
        <v>26910</v>
      </c>
    </row>
    <row r="1007" spans="1:10" x14ac:dyDescent="0.35">
      <c r="A1007" t="s">
        <v>1334</v>
      </c>
      <c r="B1007">
        <v>1990</v>
      </c>
      <c r="C1007" t="s">
        <v>2362</v>
      </c>
      <c r="D1007">
        <v>21</v>
      </c>
      <c r="E1007">
        <v>3</v>
      </c>
      <c r="F1007" s="10">
        <v>8157.92</v>
      </c>
      <c r="G1007" t="s">
        <v>2357</v>
      </c>
      <c r="H1007" t="s">
        <v>2358</v>
      </c>
      <c r="I1007" t="s">
        <v>2373</v>
      </c>
      <c r="J1007" s="8">
        <f t="shared" si="15"/>
        <v>33045</v>
      </c>
    </row>
    <row r="1008" spans="1:10" x14ac:dyDescent="0.35">
      <c r="A1008" t="s">
        <v>1333</v>
      </c>
      <c r="B1008">
        <v>1982</v>
      </c>
      <c r="C1008" t="s">
        <v>2362</v>
      </c>
      <c r="D1008">
        <v>28</v>
      </c>
      <c r="E1008">
        <v>4</v>
      </c>
      <c r="F1008" s="10">
        <v>8162.72</v>
      </c>
      <c r="G1008" t="s">
        <v>2358</v>
      </c>
      <c r="H1008" t="s">
        <v>2358</v>
      </c>
      <c r="I1008" t="s">
        <v>2364</v>
      </c>
      <c r="J1008" s="8">
        <f t="shared" si="15"/>
        <v>30130</v>
      </c>
    </row>
    <row r="1009" spans="1:10" x14ac:dyDescent="0.35">
      <c r="A1009" t="s">
        <v>1332</v>
      </c>
      <c r="B1009">
        <v>1963</v>
      </c>
      <c r="C1009" t="s">
        <v>2360</v>
      </c>
      <c r="D1009">
        <v>5</v>
      </c>
      <c r="E1009">
        <v>0</v>
      </c>
      <c r="F1009" s="10">
        <v>8177.9</v>
      </c>
      <c r="G1009" t="s">
        <v>2358</v>
      </c>
      <c r="H1009" t="s">
        <v>2361</v>
      </c>
      <c r="I1009" t="s">
        <v>2359</v>
      </c>
      <c r="J1009" s="8">
        <f t="shared" si="15"/>
        <v>23320</v>
      </c>
    </row>
    <row r="1010" spans="1:10" x14ac:dyDescent="0.35">
      <c r="A1010" t="s">
        <v>1331</v>
      </c>
      <c r="B1010">
        <v>1983</v>
      </c>
      <c r="C1010" t="s">
        <v>2362</v>
      </c>
      <c r="D1010">
        <v>8</v>
      </c>
      <c r="E1010">
        <v>3</v>
      </c>
      <c r="F1010" s="10">
        <v>8179.51</v>
      </c>
      <c r="G1010" t="s">
        <v>2357</v>
      </c>
      <c r="H1010" t="s">
        <v>2357</v>
      </c>
      <c r="I1010" t="s">
        <v>2379</v>
      </c>
      <c r="J1010" s="8">
        <f t="shared" si="15"/>
        <v>30475</v>
      </c>
    </row>
    <row r="1011" spans="1:10" x14ac:dyDescent="0.35">
      <c r="A1011" t="s">
        <v>1330</v>
      </c>
      <c r="B1011">
        <v>1997</v>
      </c>
      <c r="C1011" t="s">
        <v>2367</v>
      </c>
      <c r="D1011">
        <v>21</v>
      </c>
      <c r="E1011">
        <v>0</v>
      </c>
      <c r="F1011" s="10">
        <v>8182.89</v>
      </c>
      <c r="G1011" t="s">
        <v>2357</v>
      </c>
      <c r="H1011" t="s">
        <v>2361</v>
      </c>
      <c r="I1011" t="s">
        <v>2380</v>
      </c>
      <c r="J1011" s="8">
        <f t="shared" si="15"/>
        <v>35724</v>
      </c>
    </row>
    <row r="1012" spans="1:10" x14ac:dyDescent="0.35">
      <c r="A1012" t="s">
        <v>1329</v>
      </c>
      <c r="B1012">
        <v>1962</v>
      </c>
      <c r="C1012" t="s">
        <v>2360</v>
      </c>
      <c r="D1012">
        <v>23</v>
      </c>
      <c r="E1012">
        <v>0</v>
      </c>
      <c r="F1012" s="10">
        <v>8188.12</v>
      </c>
      <c r="G1012" t="s">
        <v>2358</v>
      </c>
      <c r="H1012" t="s">
        <v>2358</v>
      </c>
      <c r="I1012" t="s">
        <v>2359</v>
      </c>
      <c r="J1012" s="8">
        <f t="shared" si="15"/>
        <v>22973</v>
      </c>
    </row>
    <row r="1013" spans="1:10" x14ac:dyDescent="0.35">
      <c r="A1013" t="s">
        <v>1328</v>
      </c>
      <c r="B1013">
        <v>1978</v>
      </c>
      <c r="C1013" t="s">
        <v>2367</v>
      </c>
      <c r="D1013">
        <v>24</v>
      </c>
      <c r="E1013">
        <v>2</v>
      </c>
      <c r="F1013" s="10">
        <v>8211.1</v>
      </c>
      <c r="G1013" t="s">
        <v>2357</v>
      </c>
      <c r="H1013" t="s">
        <v>2358</v>
      </c>
      <c r="I1013" t="s">
        <v>2359</v>
      </c>
      <c r="J1013" s="8">
        <f t="shared" si="15"/>
        <v>28787</v>
      </c>
    </row>
    <row r="1014" spans="1:10" x14ac:dyDescent="0.35">
      <c r="A1014" t="s">
        <v>1327</v>
      </c>
      <c r="B1014">
        <v>1978</v>
      </c>
      <c r="C1014" t="s">
        <v>2362</v>
      </c>
      <c r="D1014">
        <v>30</v>
      </c>
      <c r="E1014">
        <v>2</v>
      </c>
      <c r="F1014" s="10">
        <v>8219.2000000000007</v>
      </c>
      <c r="G1014" t="s">
        <v>2357</v>
      </c>
      <c r="H1014" t="s">
        <v>2357</v>
      </c>
      <c r="I1014" t="s">
        <v>2359</v>
      </c>
      <c r="J1014" s="8">
        <f t="shared" si="15"/>
        <v>28671</v>
      </c>
    </row>
    <row r="1015" spans="1:10" x14ac:dyDescent="0.35">
      <c r="A1015" t="s">
        <v>1326</v>
      </c>
      <c r="B1015">
        <v>1976</v>
      </c>
      <c r="C1015" t="s">
        <v>2363</v>
      </c>
      <c r="D1015">
        <v>3</v>
      </c>
      <c r="E1015">
        <v>1</v>
      </c>
      <c r="F1015" s="10">
        <v>8232.64</v>
      </c>
      <c r="G1015" t="s">
        <v>2357</v>
      </c>
      <c r="H1015" t="s">
        <v>2358</v>
      </c>
      <c r="I1015" t="s">
        <v>2359</v>
      </c>
      <c r="J1015" s="8">
        <f t="shared" si="15"/>
        <v>28006</v>
      </c>
    </row>
    <row r="1016" spans="1:10" x14ac:dyDescent="0.35">
      <c r="A1016" t="s">
        <v>1325</v>
      </c>
      <c r="B1016">
        <v>1976</v>
      </c>
      <c r="C1016" t="s">
        <v>2362</v>
      </c>
      <c r="D1016">
        <v>30</v>
      </c>
      <c r="E1016">
        <v>1</v>
      </c>
      <c r="F1016" s="10">
        <v>8233.1</v>
      </c>
      <c r="G1016" t="s">
        <v>2357</v>
      </c>
      <c r="H1016" t="s">
        <v>2357</v>
      </c>
      <c r="I1016" t="s">
        <v>2359</v>
      </c>
      <c r="J1016" s="8">
        <f t="shared" si="15"/>
        <v>27941</v>
      </c>
    </row>
    <row r="1017" spans="1:10" x14ac:dyDescent="0.35">
      <c r="A1017" t="s">
        <v>1324</v>
      </c>
      <c r="B1017">
        <v>1976</v>
      </c>
      <c r="C1017" t="s">
        <v>2363</v>
      </c>
      <c r="D1017">
        <v>2</v>
      </c>
      <c r="E1017">
        <v>1</v>
      </c>
      <c r="F1017" s="10">
        <v>8240.59</v>
      </c>
      <c r="G1017" t="s">
        <v>2357</v>
      </c>
      <c r="H1017" t="s">
        <v>2357</v>
      </c>
      <c r="I1017" t="s">
        <v>2359</v>
      </c>
      <c r="J1017" s="8">
        <f t="shared" si="15"/>
        <v>28005</v>
      </c>
    </row>
    <row r="1018" spans="1:10" x14ac:dyDescent="0.35">
      <c r="A1018" t="s">
        <v>1323</v>
      </c>
      <c r="B1018">
        <v>1982</v>
      </c>
      <c r="C1018" t="s">
        <v>2363</v>
      </c>
      <c r="D1018">
        <v>27</v>
      </c>
      <c r="E1018">
        <v>3</v>
      </c>
      <c r="F1018" s="10">
        <v>8252.2800000000007</v>
      </c>
      <c r="G1018" t="s">
        <v>2357</v>
      </c>
      <c r="H1018" t="s">
        <v>2357</v>
      </c>
      <c r="I1018" t="s">
        <v>2374</v>
      </c>
      <c r="J1018" s="8">
        <f t="shared" si="15"/>
        <v>30221</v>
      </c>
    </row>
    <row r="1019" spans="1:10" x14ac:dyDescent="0.35">
      <c r="A1019" t="s">
        <v>1322</v>
      </c>
      <c r="B1019">
        <v>1964</v>
      </c>
      <c r="C1019" t="s">
        <v>2363</v>
      </c>
      <c r="D1019">
        <v>5</v>
      </c>
      <c r="E1019">
        <v>0</v>
      </c>
      <c r="F1019" s="10">
        <v>8268</v>
      </c>
      <c r="G1019" t="s">
        <v>2358</v>
      </c>
      <c r="H1019" t="s">
        <v>2358</v>
      </c>
      <c r="I1019" t="s">
        <v>2359</v>
      </c>
      <c r="J1019" s="8">
        <f t="shared" si="15"/>
        <v>23625</v>
      </c>
    </row>
    <row r="1020" spans="1:10" x14ac:dyDescent="0.35">
      <c r="A1020" t="s">
        <v>1321</v>
      </c>
      <c r="B1020">
        <v>1974</v>
      </c>
      <c r="C1020" t="s">
        <v>2366</v>
      </c>
      <c r="D1020">
        <v>5</v>
      </c>
      <c r="E1020">
        <v>0</v>
      </c>
      <c r="F1020" s="10">
        <v>8269.0400000000009</v>
      </c>
      <c r="G1020" t="s">
        <v>2357</v>
      </c>
      <c r="H1020" t="s">
        <v>2361</v>
      </c>
      <c r="I1020" t="s">
        <v>2368</v>
      </c>
      <c r="J1020" s="8">
        <f t="shared" si="15"/>
        <v>27246</v>
      </c>
    </row>
    <row r="1021" spans="1:10" x14ac:dyDescent="0.35">
      <c r="A1021" t="s">
        <v>1320</v>
      </c>
      <c r="B1021">
        <v>2000</v>
      </c>
      <c r="C1021" t="s">
        <v>2360</v>
      </c>
      <c r="D1021">
        <v>28</v>
      </c>
      <c r="E1021">
        <v>0</v>
      </c>
      <c r="F1021" s="10">
        <v>8271.4599999999991</v>
      </c>
      <c r="G1021" t="s">
        <v>2357</v>
      </c>
      <c r="H1021" t="s">
        <v>2361</v>
      </c>
      <c r="I1021" t="s">
        <v>2375</v>
      </c>
      <c r="J1021" s="8">
        <f t="shared" si="15"/>
        <v>36858</v>
      </c>
    </row>
    <row r="1022" spans="1:10" x14ac:dyDescent="0.35">
      <c r="A1022" t="s">
        <v>1319</v>
      </c>
      <c r="B1022">
        <v>1974</v>
      </c>
      <c r="C1022" t="s">
        <v>2363</v>
      </c>
      <c r="D1022">
        <v>26</v>
      </c>
      <c r="E1022">
        <v>0</v>
      </c>
      <c r="F1022" s="10">
        <v>8277.52</v>
      </c>
      <c r="G1022" t="s">
        <v>2357</v>
      </c>
      <c r="H1022" t="s">
        <v>2357</v>
      </c>
      <c r="I1022" t="s">
        <v>2368</v>
      </c>
      <c r="J1022" s="8">
        <f t="shared" si="15"/>
        <v>27298</v>
      </c>
    </row>
    <row r="1023" spans="1:10" x14ac:dyDescent="0.35">
      <c r="A1023" t="s">
        <v>1318</v>
      </c>
      <c r="B1023">
        <v>1974</v>
      </c>
      <c r="C1023" t="s">
        <v>2365</v>
      </c>
      <c r="D1023">
        <v>22</v>
      </c>
      <c r="E1023">
        <v>0</v>
      </c>
      <c r="F1023" s="10">
        <v>8280.6200000000008</v>
      </c>
      <c r="G1023" t="s">
        <v>2357</v>
      </c>
      <c r="H1023" t="s">
        <v>2357</v>
      </c>
      <c r="I1023" t="s">
        <v>2359</v>
      </c>
      <c r="J1023" s="8">
        <f t="shared" si="15"/>
        <v>27385</v>
      </c>
    </row>
    <row r="1024" spans="1:10" x14ac:dyDescent="0.35">
      <c r="A1024" t="s">
        <v>1317</v>
      </c>
      <c r="B1024">
        <v>1974</v>
      </c>
      <c r="C1024" t="s">
        <v>2362</v>
      </c>
      <c r="D1024">
        <v>6</v>
      </c>
      <c r="E1024">
        <v>0</v>
      </c>
      <c r="F1024" s="10">
        <v>8283.68</v>
      </c>
      <c r="G1024" t="s">
        <v>2357</v>
      </c>
      <c r="H1024" t="s">
        <v>2358</v>
      </c>
      <c r="I1024" t="s">
        <v>2359</v>
      </c>
      <c r="J1024" s="8">
        <f t="shared" si="15"/>
        <v>27186</v>
      </c>
    </row>
    <row r="1025" spans="1:10" x14ac:dyDescent="0.35">
      <c r="A1025" t="s">
        <v>1316</v>
      </c>
      <c r="B1025">
        <v>1978</v>
      </c>
      <c r="C1025" t="s">
        <v>2362</v>
      </c>
      <c r="D1025">
        <v>26</v>
      </c>
      <c r="E1025">
        <v>2</v>
      </c>
      <c r="F1025" s="10">
        <v>8302.5400000000009</v>
      </c>
      <c r="G1025" t="s">
        <v>2358</v>
      </c>
      <c r="H1025" t="s">
        <v>2358</v>
      </c>
      <c r="I1025" t="s">
        <v>2371</v>
      </c>
      <c r="J1025" s="8">
        <f t="shared" si="15"/>
        <v>28667</v>
      </c>
    </row>
    <row r="1026" spans="1:10" x14ac:dyDescent="0.35">
      <c r="A1026" t="s">
        <v>1315</v>
      </c>
      <c r="B1026">
        <v>1979</v>
      </c>
      <c r="C1026" t="s">
        <v>2366</v>
      </c>
      <c r="D1026">
        <v>7</v>
      </c>
      <c r="E1026">
        <v>2</v>
      </c>
      <c r="F1026" s="10">
        <v>8310.84</v>
      </c>
      <c r="G1026" t="s">
        <v>2357</v>
      </c>
      <c r="H1026" t="s">
        <v>2357</v>
      </c>
      <c r="I1026" t="s">
        <v>2364</v>
      </c>
      <c r="J1026" s="8">
        <f t="shared" si="15"/>
        <v>29074</v>
      </c>
    </row>
    <row r="1027" spans="1:10" x14ac:dyDescent="0.35">
      <c r="A1027" t="s">
        <v>1314</v>
      </c>
      <c r="B1027">
        <v>1993</v>
      </c>
      <c r="C1027" t="s">
        <v>2362</v>
      </c>
      <c r="D1027">
        <v>22</v>
      </c>
      <c r="E1027">
        <v>0</v>
      </c>
      <c r="F1027" s="10">
        <v>8314.65</v>
      </c>
      <c r="G1027" t="s">
        <v>2357</v>
      </c>
      <c r="H1027" t="s">
        <v>2361</v>
      </c>
      <c r="I1027" t="s">
        <v>2364</v>
      </c>
      <c r="J1027" s="8">
        <f t="shared" ref="J1027:J1090" si="16">DATE(B1027,MONTH(1&amp;C1027),D1027)</f>
        <v>34142</v>
      </c>
    </row>
    <row r="1028" spans="1:10" x14ac:dyDescent="0.35">
      <c r="A1028" t="s">
        <v>1313</v>
      </c>
      <c r="B1028">
        <v>1976</v>
      </c>
      <c r="C1028" t="s">
        <v>2356</v>
      </c>
      <c r="D1028">
        <v>12</v>
      </c>
      <c r="E1028">
        <v>1</v>
      </c>
      <c r="F1028" s="10">
        <v>8334.4599999999991</v>
      </c>
      <c r="G1028" t="s">
        <v>2358</v>
      </c>
      <c r="H1028" t="s">
        <v>2357</v>
      </c>
      <c r="I1028" t="s">
        <v>2371</v>
      </c>
      <c r="J1028" s="8">
        <f t="shared" si="16"/>
        <v>27953</v>
      </c>
    </row>
    <row r="1029" spans="1:10" x14ac:dyDescent="0.35">
      <c r="A1029" t="s">
        <v>1312</v>
      </c>
      <c r="B1029">
        <v>1976</v>
      </c>
      <c r="C1029" t="s">
        <v>2356</v>
      </c>
      <c r="D1029">
        <v>20</v>
      </c>
      <c r="E1029">
        <v>1</v>
      </c>
      <c r="F1029" s="10">
        <v>8334.59</v>
      </c>
      <c r="G1029" t="s">
        <v>2358</v>
      </c>
      <c r="H1029" t="s">
        <v>2357</v>
      </c>
      <c r="I1029" t="s">
        <v>2371</v>
      </c>
      <c r="J1029" s="8">
        <f t="shared" si="16"/>
        <v>27961</v>
      </c>
    </row>
    <row r="1030" spans="1:10" x14ac:dyDescent="0.35">
      <c r="A1030" t="s">
        <v>1311</v>
      </c>
      <c r="B1030">
        <v>1976</v>
      </c>
      <c r="C1030" t="s">
        <v>2356</v>
      </c>
      <c r="D1030">
        <v>7</v>
      </c>
      <c r="E1030">
        <v>1</v>
      </c>
      <c r="F1030" s="10">
        <v>8342.91</v>
      </c>
      <c r="G1030" t="s">
        <v>2358</v>
      </c>
      <c r="H1030" t="s">
        <v>2361</v>
      </c>
      <c r="I1030" t="s">
        <v>2371</v>
      </c>
      <c r="J1030" s="8">
        <f t="shared" si="16"/>
        <v>27948</v>
      </c>
    </row>
    <row r="1031" spans="1:10" x14ac:dyDescent="0.35">
      <c r="A1031" t="s">
        <v>1310</v>
      </c>
      <c r="B1031">
        <v>1976</v>
      </c>
      <c r="C1031" t="s">
        <v>2362</v>
      </c>
      <c r="D1031">
        <v>12</v>
      </c>
      <c r="E1031">
        <v>2</v>
      </c>
      <c r="F1031" s="10">
        <v>8347.16</v>
      </c>
      <c r="G1031" t="s">
        <v>2357</v>
      </c>
      <c r="H1031" t="s">
        <v>2361</v>
      </c>
      <c r="I1031" t="s">
        <v>2359</v>
      </c>
      <c r="J1031" s="8">
        <f t="shared" si="16"/>
        <v>27923</v>
      </c>
    </row>
    <row r="1032" spans="1:10" x14ac:dyDescent="0.35">
      <c r="A1032" t="s">
        <v>1309</v>
      </c>
      <c r="B1032">
        <v>1963</v>
      </c>
      <c r="C1032" t="s">
        <v>2363</v>
      </c>
      <c r="D1032">
        <v>21</v>
      </c>
      <c r="E1032">
        <v>0</v>
      </c>
      <c r="F1032" s="10">
        <v>8355.5400000000009</v>
      </c>
      <c r="G1032" t="s">
        <v>2358</v>
      </c>
      <c r="H1032" t="s">
        <v>2358</v>
      </c>
      <c r="I1032" t="s">
        <v>2364</v>
      </c>
      <c r="J1032" s="8">
        <f t="shared" si="16"/>
        <v>23275</v>
      </c>
    </row>
    <row r="1033" spans="1:10" x14ac:dyDescent="0.35">
      <c r="A1033" t="s">
        <v>1308</v>
      </c>
      <c r="B1033">
        <v>1971</v>
      </c>
      <c r="C1033" t="s">
        <v>2363</v>
      </c>
      <c r="D1033">
        <v>4</v>
      </c>
      <c r="E1033">
        <v>0</v>
      </c>
      <c r="F1033" s="10">
        <v>8396.6200000000008</v>
      </c>
      <c r="G1033" t="s">
        <v>2357</v>
      </c>
      <c r="H1033" t="s">
        <v>2358</v>
      </c>
      <c r="I1033" t="s">
        <v>2359</v>
      </c>
      <c r="J1033" s="8">
        <f t="shared" si="16"/>
        <v>26180</v>
      </c>
    </row>
    <row r="1034" spans="1:10" x14ac:dyDescent="0.35">
      <c r="A1034" t="s">
        <v>1307</v>
      </c>
      <c r="B1034">
        <v>1971</v>
      </c>
      <c r="C1034" t="s">
        <v>2363</v>
      </c>
      <c r="D1034">
        <v>18</v>
      </c>
      <c r="E1034">
        <v>0</v>
      </c>
      <c r="F1034" s="10">
        <v>8400.01</v>
      </c>
      <c r="G1034" t="s">
        <v>2357</v>
      </c>
      <c r="H1034" t="s">
        <v>2358</v>
      </c>
      <c r="I1034" t="s">
        <v>2359</v>
      </c>
      <c r="J1034" s="8">
        <f t="shared" si="16"/>
        <v>26194</v>
      </c>
    </row>
    <row r="1035" spans="1:10" x14ac:dyDescent="0.35">
      <c r="A1035" t="s">
        <v>1306</v>
      </c>
      <c r="B1035">
        <v>1979</v>
      </c>
      <c r="C1035" t="s">
        <v>2362</v>
      </c>
      <c r="D1035">
        <v>11</v>
      </c>
      <c r="E1035">
        <v>3</v>
      </c>
      <c r="F1035" s="10">
        <v>8410.0499999999993</v>
      </c>
      <c r="G1035" t="s">
        <v>2357</v>
      </c>
      <c r="H1035" t="s">
        <v>2357</v>
      </c>
      <c r="I1035" t="s">
        <v>2364</v>
      </c>
      <c r="J1035" s="8">
        <f t="shared" si="16"/>
        <v>29017</v>
      </c>
    </row>
    <row r="1036" spans="1:10" x14ac:dyDescent="0.35">
      <c r="A1036" t="s">
        <v>1305</v>
      </c>
      <c r="B1036">
        <v>1977</v>
      </c>
      <c r="C1036" t="s">
        <v>2363</v>
      </c>
      <c r="D1036">
        <v>4</v>
      </c>
      <c r="E1036">
        <v>2</v>
      </c>
      <c r="F1036" s="10">
        <v>8413.4599999999991</v>
      </c>
      <c r="G1036" t="s">
        <v>2358</v>
      </c>
      <c r="H1036" t="s">
        <v>2361</v>
      </c>
      <c r="I1036" t="s">
        <v>2364</v>
      </c>
      <c r="J1036" s="8">
        <f t="shared" si="16"/>
        <v>28372</v>
      </c>
    </row>
    <row r="1037" spans="1:10" x14ac:dyDescent="0.35">
      <c r="A1037" t="s">
        <v>1304</v>
      </c>
      <c r="B1037">
        <v>1975</v>
      </c>
      <c r="C1037" t="s">
        <v>2363</v>
      </c>
      <c r="D1037">
        <v>28</v>
      </c>
      <c r="E1037">
        <v>1</v>
      </c>
      <c r="F1037" s="10">
        <v>8428.07</v>
      </c>
      <c r="G1037" t="s">
        <v>2358</v>
      </c>
      <c r="H1037" t="s">
        <v>2357</v>
      </c>
      <c r="I1037" t="s">
        <v>2364</v>
      </c>
      <c r="J1037" s="8">
        <f t="shared" si="16"/>
        <v>27665</v>
      </c>
    </row>
    <row r="1038" spans="1:10" x14ac:dyDescent="0.35">
      <c r="A1038" t="s">
        <v>1303</v>
      </c>
      <c r="B1038">
        <v>1963</v>
      </c>
      <c r="C1038" t="s">
        <v>2363</v>
      </c>
      <c r="D1038">
        <v>24</v>
      </c>
      <c r="E1038">
        <v>0</v>
      </c>
      <c r="F1038" s="10">
        <v>8440.0499999999993</v>
      </c>
      <c r="G1038" t="s">
        <v>2358</v>
      </c>
      <c r="H1038" t="s">
        <v>2357</v>
      </c>
      <c r="I1038" t="s">
        <v>2359</v>
      </c>
      <c r="J1038" s="8">
        <f t="shared" si="16"/>
        <v>23278</v>
      </c>
    </row>
    <row r="1039" spans="1:10" x14ac:dyDescent="0.35">
      <c r="A1039" t="s">
        <v>1302</v>
      </c>
      <c r="B1039">
        <v>1972</v>
      </c>
      <c r="C1039" t="s">
        <v>2363</v>
      </c>
      <c r="D1039">
        <v>9</v>
      </c>
      <c r="E1039">
        <v>0</v>
      </c>
      <c r="F1039" s="10">
        <v>8442.67</v>
      </c>
      <c r="G1039" t="s">
        <v>2357</v>
      </c>
      <c r="H1039" t="s">
        <v>2358</v>
      </c>
      <c r="I1039" t="s">
        <v>2359</v>
      </c>
      <c r="J1039" s="8">
        <f t="shared" si="16"/>
        <v>26551</v>
      </c>
    </row>
    <row r="1040" spans="1:10" x14ac:dyDescent="0.35">
      <c r="A1040" t="s">
        <v>1301</v>
      </c>
      <c r="B1040">
        <v>1972</v>
      </c>
      <c r="C1040" t="s">
        <v>2363</v>
      </c>
      <c r="D1040">
        <v>4</v>
      </c>
      <c r="E1040">
        <v>0</v>
      </c>
      <c r="F1040" s="10">
        <v>8444.4699999999993</v>
      </c>
      <c r="G1040" t="s">
        <v>2358</v>
      </c>
      <c r="H1040" t="s">
        <v>2361</v>
      </c>
      <c r="I1040" t="s">
        <v>2368</v>
      </c>
      <c r="J1040" s="8">
        <f t="shared" si="16"/>
        <v>26546</v>
      </c>
    </row>
    <row r="1041" spans="1:10" x14ac:dyDescent="0.35">
      <c r="A1041" t="s">
        <v>1300</v>
      </c>
      <c r="B1041">
        <v>1966</v>
      </c>
      <c r="C1041" t="s">
        <v>2362</v>
      </c>
      <c r="D1041">
        <v>12</v>
      </c>
      <c r="E1041">
        <v>0</v>
      </c>
      <c r="F1041" s="10">
        <v>8448.66</v>
      </c>
      <c r="G1041" t="s">
        <v>2358</v>
      </c>
      <c r="H1041" t="s">
        <v>2361</v>
      </c>
      <c r="I1041" t="s">
        <v>2359</v>
      </c>
      <c r="J1041" s="8">
        <f t="shared" si="16"/>
        <v>24270</v>
      </c>
    </row>
    <row r="1042" spans="1:10" x14ac:dyDescent="0.35">
      <c r="A1042" t="s">
        <v>1299</v>
      </c>
      <c r="B1042">
        <v>1984</v>
      </c>
      <c r="C1042" t="s">
        <v>2362</v>
      </c>
      <c r="D1042">
        <v>19</v>
      </c>
      <c r="E1042">
        <v>3</v>
      </c>
      <c r="F1042" s="10">
        <v>8450.82</v>
      </c>
      <c r="G1042" t="s">
        <v>2357</v>
      </c>
      <c r="H1042" t="s">
        <v>2357</v>
      </c>
      <c r="I1042" t="s">
        <v>2373</v>
      </c>
      <c r="J1042" s="8">
        <f t="shared" si="16"/>
        <v>30852</v>
      </c>
    </row>
    <row r="1043" spans="1:10" x14ac:dyDescent="0.35">
      <c r="A1043" t="s">
        <v>1298</v>
      </c>
      <c r="B1043">
        <v>1972</v>
      </c>
      <c r="C1043" t="s">
        <v>2365</v>
      </c>
      <c r="D1043">
        <v>26</v>
      </c>
      <c r="E1043">
        <v>0</v>
      </c>
      <c r="F1043" s="10">
        <v>8457.82</v>
      </c>
      <c r="G1043" t="s">
        <v>2357</v>
      </c>
      <c r="H1043" t="s">
        <v>2358</v>
      </c>
      <c r="I1043" t="s">
        <v>2368</v>
      </c>
      <c r="J1043" s="8">
        <f t="shared" si="16"/>
        <v>26659</v>
      </c>
    </row>
    <row r="1044" spans="1:10" x14ac:dyDescent="0.35">
      <c r="A1044" t="s">
        <v>1297</v>
      </c>
      <c r="B1044">
        <v>1992</v>
      </c>
      <c r="C1044" t="s">
        <v>2363</v>
      </c>
      <c r="D1044">
        <v>9</v>
      </c>
      <c r="E1044">
        <v>0</v>
      </c>
      <c r="F1044" s="10">
        <v>8466.35</v>
      </c>
      <c r="G1044" t="s">
        <v>2357</v>
      </c>
      <c r="H1044" t="s">
        <v>2357</v>
      </c>
      <c r="I1044" t="s">
        <v>2364</v>
      </c>
      <c r="J1044" s="8">
        <f t="shared" si="16"/>
        <v>33856</v>
      </c>
    </row>
    <row r="1045" spans="1:10" x14ac:dyDescent="0.35">
      <c r="A1045" t="s">
        <v>1296</v>
      </c>
      <c r="B1045">
        <v>1993</v>
      </c>
      <c r="C1045" t="s">
        <v>2360</v>
      </c>
      <c r="D1045">
        <v>10</v>
      </c>
      <c r="E1045">
        <v>0</v>
      </c>
      <c r="F1045" s="10">
        <v>8471.65</v>
      </c>
      <c r="G1045" t="s">
        <v>2357</v>
      </c>
      <c r="H1045" t="s">
        <v>2361</v>
      </c>
      <c r="I1045" t="s">
        <v>2364</v>
      </c>
      <c r="J1045" s="8">
        <f t="shared" si="16"/>
        <v>34283</v>
      </c>
    </row>
    <row r="1046" spans="1:10" x14ac:dyDescent="0.35">
      <c r="A1046" t="s">
        <v>1295</v>
      </c>
      <c r="B1046">
        <v>1977</v>
      </c>
      <c r="C1046" t="s">
        <v>2365</v>
      </c>
      <c r="D1046">
        <v>26</v>
      </c>
      <c r="E1046">
        <v>2</v>
      </c>
      <c r="F1046" s="10">
        <v>8515.76</v>
      </c>
      <c r="G1046" t="s">
        <v>2357</v>
      </c>
      <c r="H1046" t="s">
        <v>2357</v>
      </c>
      <c r="I1046" t="s">
        <v>2359</v>
      </c>
      <c r="J1046" s="8">
        <f t="shared" si="16"/>
        <v>28485</v>
      </c>
    </row>
    <row r="1047" spans="1:10" x14ac:dyDescent="0.35">
      <c r="A1047" t="s">
        <v>1294</v>
      </c>
      <c r="B1047">
        <v>1977</v>
      </c>
      <c r="C1047" t="s">
        <v>2362</v>
      </c>
      <c r="D1047">
        <v>21</v>
      </c>
      <c r="E1047">
        <v>2</v>
      </c>
      <c r="F1047" s="10">
        <v>8516.83</v>
      </c>
      <c r="G1047" t="s">
        <v>2357</v>
      </c>
      <c r="H1047" t="s">
        <v>2361</v>
      </c>
      <c r="I1047" t="s">
        <v>2359</v>
      </c>
      <c r="J1047" s="8">
        <f t="shared" si="16"/>
        <v>28297</v>
      </c>
    </row>
    <row r="1048" spans="1:10" x14ac:dyDescent="0.35">
      <c r="A1048" t="s">
        <v>1293</v>
      </c>
      <c r="B1048">
        <v>1977</v>
      </c>
      <c r="C1048" t="s">
        <v>2365</v>
      </c>
      <c r="D1048">
        <v>29</v>
      </c>
      <c r="E1048">
        <v>2</v>
      </c>
      <c r="F1048" s="10">
        <v>8520.0300000000007</v>
      </c>
      <c r="G1048" t="s">
        <v>2357</v>
      </c>
      <c r="H1048" t="s">
        <v>2358</v>
      </c>
      <c r="I1048" t="s">
        <v>2368</v>
      </c>
      <c r="J1048" s="8">
        <f t="shared" si="16"/>
        <v>28488</v>
      </c>
    </row>
    <row r="1049" spans="1:10" x14ac:dyDescent="0.35">
      <c r="A1049" t="s">
        <v>1292</v>
      </c>
      <c r="B1049">
        <v>1979</v>
      </c>
      <c r="C1049" t="s">
        <v>2366</v>
      </c>
      <c r="D1049">
        <v>13</v>
      </c>
      <c r="E1049">
        <v>3</v>
      </c>
      <c r="F1049" s="10">
        <v>8522</v>
      </c>
      <c r="G1049" t="s">
        <v>2357</v>
      </c>
      <c r="H1049" t="s">
        <v>2357</v>
      </c>
      <c r="I1049" t="s">
        <v>2368</v>
      </c>
      <c r="J1049" s="8">
        <f t="shared" si="16"/>
        <v>29080</v>
      </c>
    </row>
    <row r="1050" spans="1:10" x14ac:dyDescent="0.35">
      <c r="A1050" t="s">
        <v>1291</v>
      </c>
      <c r="B1050">
        <v>1977</v>
      </c>
      <c r="C1050" t="s">
        <v>2356</v>
      </c>
      <c r="D1050">
        <v>26</v>
      </c>
      <c r="E1050">
        <v>2</v>
      </c>
      <c r="F1050" s="10">
        <v>8527.5300000000007</v>
      </c>
      <c r="G1050" t="s">
        <v>2357</v>
      </c>
      <c r="H1050" t="s">
        <v>2357</v>
      </c>
      <c r="I1050" t="s">
        <v>2359</v>
      </c>
      <c r="J1050" s="8">
        <f t="shared" si="16"/>
        <v>28332</v>
      </c>
    </row>
    <row r="1051" spans="1:10" x14ac:dyDescent="0.35">
      <c r="A1051" t="s">
        <v>1290</v>
      </c>
      <c r="B1051" t="s">
        <v>2347</v>
      </c>
      <c r="C1051" t="s">
        <v>2356</v>
      </c>
      <c r="D1051">
        <v>24</v>
      </c>
      <c r="E1051">
        <v>0</v>
      </c>
      <c r="F1051" s="10">
        <v>8534.67</v>
      </c>
      <c r="G1051" t="s">
        <v>2357</v>
      </c>
      <c r="H1051" t="s">
        <v>2358</v>
      </c>
      <c r="I1051" t="s">
        <v>2374</v>
      </c>
      <c r="J1051" s="8" t="e">
        <f t="shared" si="16"/>
        <v>#VALUE!</v>
      </c>
    </row>
    <row r="1052" spans="1:10" x14ac:dyDescent="0.35">
      <c r="A1052" t="s">
        <v>1289</v>
      </c>
      <c r="B1052">
        <v>1981</v>
      </c>
      <c r="C1052" t="s">
        <v>2365</v>
      </c>
      <c r="D1052">
        <v>27</v>
      </c>
      <c r="E1052">
        <v>3</v>
      </c>
      <c r="F1052" s="10">
        <v>8538.2900000000009</v>
      </c>
      <c r="G1052" t="s">
        <v>2357</v>
      </c>
      <c r="H1052" t="s">
        <v>2358</v>
      </c>
      <c r="I1052" t="s">
        <v>2374</v>
      </c>
      <c r="J1052" s="8">
        <f t="shared" si="16"/>
        <v>29947</v>
      </c>
    </row>
    <row r="1053" spans="1:10" x14ac:dyDescent="0.35">
      <c r="A1053" t="s">
        <v>1288</v>
      </c>
      <c r="B1053">
        <v>1975</v>
      </c>
      <c r="C1053" t="s">
        <v>2360</v>
      </c>
      <c r="D1053">
        <v>6</v>
      </c>
      <c r="E1053">
        <v>1</v>
      </c>
      <c r="F1053" s="10">
        <v>8539.67</v>
      </c>
      <c r="G1053" t="s">
        <v>2357</v>
      </c>
      <c r="H1053" t="s">
        <v>2358</v>
      </c>
      <c r="I1053" t="s">
        <v>2368</v>
      </c>
      <c r="J1053" s="8">
        <f t="shared" si="16"/>
        <v>27704</v>
      </c>
    </row>
    <row r="1054" spans="1:10" x14ac:dyDescent="0.35">
      <c r="A1054" t="s">
        <v>1287</v>
      </c>
      <c r="B1054" t="s">
        <v>2347</v>
      </c>
      <c r="C1054" t="s">
        <v>2365</v>
      </c>
      <c r="D1054">
        <v>12</v>
      </c>
      <c r="E1054">
        <v>1</v>
      </c>
      <c r="F1054" s="10">
        <v>8547.69</v>
      </c>
      <c r="G1054" t="s">
        <v>2357</v>
      </c>
      <c r="H1054" t="s">
        <v>2361</v>
      </c>
      <c r="I1054" t="s">
        <v>2359</v>
      </c>
      <c r="J1054" s="8" t="e">
        <f t="shared" si="16"/>
        <v>#VALUE!</v>
      </c>
    </row>
    <row r="1055" spans="1:10" x14ac:dyDescent="0.35">
      <c r="A1055" t="s">
        <v>1286</v>
      </c>
      <c r="B1055">
        <v>1975</v>
      </c>
      <c r="C1055" t="s">
        <v>2366</v>
      </c>
      <c r="D1055">
        <v>6</v>
      </c>
      <c r="E1055">
        <v>1</v>
      </c>
      <c r="F1055" s="10">
        <v>8551.35</v>
      </c>
      <c r="G1055" t="s">
        <v>2357</v>
      </c>
      <c r="H1055" t="s">
        <v>2357</v>
      </c>
      <c r="I1055" t="s">
        <v>2368</v>
      </c>
      <c r="J1055" s="8">
        <f t="shared" si="16"/>
        <v>27612</v>
      </c>
    </row>
    <row r="1056" spans="1:10" x14ac:dyDescent="0.35">
      <c r="A1056" t="s">
        <v>1285</v>
      </c>
      <c r="B1056">
        <v>1975</v>
      </c>
      <c r="C1056" t="s">
        <v>2366</v>
      </c>
      <c r="D1056">
        <v>21</v>
      </c>
      <c r="E1056">
        <v>1</v>
      </c>
      <c r="F1056" s="10">
        <v>8556.91</v>
      </c>
      <c r="G1056" t="s">
        <v>2357</v>
      </c>
      <c r="H1056" t="s">
        <v>2361</v>
      </c>
      <c r="I1056" t="s">
        <v>2368</v>
      </c>
      <c r="J1056" s="8">
        <f t="shared" si="16"/>
        <v>27627</v>
      </c>
    </row>
    <row r="1057" spans="1:10" x14ac:dyDescent="0.35">
      <c r="A1057" t="s">
        <v>1284</v>
      </c>
      <c r="B1057">
        <v>1988</v>
      </c>
      <c r="C1057" t="s">
        <v>2363</v>
      </c>
      <c r="D1057">
        <v>21</v>
      </c>
      <c r="E1057">
        <v>3</v>
      </c>
      <c r="F1057" s="10">
        <v>8567.25</v>
      </c>
      <c r="G1057" t="s">
        <v>2357</v>
      </c>
      <c r="H1057" t="s">
        <v>2361</v>
      </c>
      <c r="I1057" t="s">
        <v>2364</v>
      </c>
      <c r="J1057" s="8">
        <f t="shared" si="16"/>
        <v>32407</v>
      </c>
    </row>
    <row r="1058" spans="1:10" x14ac:dyDescent="0.35">
      <c r="A1058" t="s">
        <v>1283</v>
      </c>
      <c r="B1058">
        <v>1975</v>
      </c>
      <c r="C1058" t="s">
        <v>2363</v>
      </c>
      <c r="D1058">
        <v>26</v>
      </c>
      <c r="E1058">
        <v>1</v>
      </c>
      <c r="F1058" s="10">
        <v>8569.86</v>
      </c>
      <c r="G1058" t="s">
        <v>2357</v>
      </c>
      <c r="H1058" t="s">
        <v>2358</v>
      </c>
      <c r="I1058" t="s">
        <v>2359</v>
      </c>
      <c r="J1058" s="8">
        <f t="shared" si="16"/>
        <v>27663</v>
      </c>
    </row>
    <row r="1059" spans="1:10" x14ac:dyDescent="0.35">
      <c r="A1059" t="s">
        <v>1282</v>
      </c>
      <c r="B1059">
        <v>1982</v>
      </c>
      <c r="C1059" t="s">
        <v>2365</v>
      </c>
      <c r="D1059">
        <v>6</v>
      </c>
      <c r="E1059">
        <v>3</v>
      </c>
      <c r="F1059" s="10">
        <v>8572.0400000000009</v>
      </c>
      <c r="G1059" t="s">
        <v>2357</v>
      </c>
      <c r="H1059" t="s">
        <v>2357</v>
      </c>
      <c r="I1059" t="s">
        <v>2377</v>
      </c>
      <c r="J1059" s="8">
        <f t="shared" si="16"/>
        <v>30291</v>
      </c>
    </row>
    <row r="1060" spans="1:10" x14ac:dyDescent="0.35">
      <c r="A1060" t="s">
        <v>1281</v>
      </c>
      <c r="B1060">
        <v>1987</v>
      </c>
      <c r="C1060" t="s">
        <v>2360</v>
      </c>
      <c r="D1060">
        <v>11</v>
      </c>
      <c r="E1060">
        <v>3</v>
      </c>
      <c r="F1060" s="10">
        <v>8573.2999999999993</v>
      </c>
      <c r="G1060" t="s">
        <v>2357</v>
      </c>
      <c r="H1060" t="s">
        <v>2357</v>
      </c>
      <c r="I1060" t="s">
        <v>2377</v>
      </c>
      <c r="J1060" s="8">
        <f t="shared" si="16"/>
        <v>32092</v>
      </c>
    </row>
    <row r="1061" spans="1:10" x14ac:dyDescent="0.35">
      <c r="A1061" t="s">
        <v>1280</v>
      </c>
      <c r="B1061">
        <v>1983</v>
      </c>
      <c r="C1061" t="s">
        <v>2365</v>
      </c>
      <c r="D1061">
        <v>30</v>
      </c>
      <c r="E1061">
        <v>5</v>
      </c>
      <c r="F1061" s="10">
        <v>8582.2999999999993</v>
      </c>
      <c r="G1061" t="s">
        <v>2357</v>
      </c>
      <c r="H1061" t="s">
        <v>2361</v>
      </c>
      <c r="I1061" t="s">
        <v>2359</v>
      </c>
      <c r="J1061" s="8">
        <f t="shared" si="16"/>
        <v>30680</v>
      </c>
    </row>
    <row r="1062" spans="1:10" x14ac:dyDescent="0.35">
      <c r="A1062" t="s">
        <v>1279</v>
      </c>
      <c r="B1062">
        <v>1983</v>
      </c>
      <c r="C1062" t="s">
        <v>2356</v>
      </c>
      <c r="D1062">
        <v>25</v>
      </c>
      <c r="E1062">
        <v>5</v>
      </c>
      <c r="F1062" s="10">
        <v>8596.83</v>
      </c>
      <c r="G1062" t="s">
        <v>2357</v>
      </c>
      <c r="H1062" t="s">
        <v>2358</v>
      </c>
      <c r="I1062" t="s">
        <v>2359</v>
      </c>
      <c r="J1062" s="8">
        <f t="shared" si="16"/>
        <v>30522</v>
      </c>
    </row>
    <row r="1063" spans="1:10" x14ac:dyDescent="0.35">
      <c r="A1063" t="s">
        <v>1278</v>
      </c>
      <c r="B1063">
        <v>1973</v>
      </c>
      <c r="C1063" t="s">
        <v>2356</v>
      </c>
      <c r="D1063">
        <v>11</v>
      </c>
      <c r="E1063">
        <v>0</v>
      </c>
      <c r="F1063" s="10">
        <v>8601.33</v>
      </c>
      <c r="G1063" t="s">
        <v>2357</v>
      </c>
      <c r="H1063" t="s">
        <v>2361</v>
      </c>
      <c r="I1063" t="s">
        <v>2359</v>
      </c>
      <c r="J1063" s="8">
        <f t="shared" si="16"/>
        <v>26856</v>
      </c>
    </row>
    <row r="1064" spans="1:10" x14ac:dyDescent="0.35">
      <c r="A1064" t="s">
        <v>1277</v>
      </c>
      <c r="B1064">
        <v>1977</v>
      </c>
      <c r="C1064" t="s">
        <v>2363</v>
      </c>
      <c r="D1064">
        <v>24</v>
      </c>
      <c r="E1064">
        <v>2</v>
      </c>
      <c r="F1064" s="10">
        <v>8603.82</v>
      </c>
      <c r="G1064" t="s">
        <v>2357</v>
      </c>
      <c r="H1064" t="s">
        <v>2361</v>
      </c>
      <c r="I1064" t="s">
        <v>2370</v>
      </c>
      <c r="J1064" s="8">
        <f t="shared" si="16"/>
        <v>28392</v>
      </c>
    </row>
    <row r="1065" spans="1:10" x14ac:dyDescent="0.35">
      <c r="A1065" t="s">
        <v>1276</v>
      </c>
      <c r="B1065">
        <v>1977</v>
      </c>
      <c r="C1065" t="s">
        <v>2360</v>
      </c>
      <c r="D1065">
        <v>12</v>
      </c>
      <c r="E1065">
        <v>2</v>
      </c>
      <c r="F1065" s="10">
        <v>8604.48</v>
      </c>
      <c r="G1065" t="s">
        <v>2358</v>
      </c>
      <c r="H1065" t="s">
        <v>2357</v>
      </c>
      <c r="I1065" t="s">
        <v>2371</v>
      </c>
      <c r="J1065" s="8">
        <f t="shared" si="16"/>
        <v>28441</v>
      </c>
    </row>
    <row r="1066" spans="1:10" x14ac:dyDescent="0.35">
      <c r="A1066" t="s">
        <v>1275</v>
      </c>
      <c r="B1066">
        <v>1977</v>
      </c>
      <c r="C1066" t="s">
        <v>2367</v>
      </c>
      <c r="D1066">
        <v>15</v>
      </c>
      <c r="E1066">
        <v>3</v>
      </c>
      <c r="F1066" s="10">
        <v>8605.36</v>
      </c>
      <c r="G1066" t="s">
        <v>2357</v>
      </c>
      <c r="H1066" t="s">
        <v>2357</v>
      </c>
      <c r="I1066" t="s">
        <v>2359</v>
      </c>
      <c r="J1066" s="8">
        <f t="shared" si="16"/>
        <v>28413</v>
      </c>
    </row>
    <row r="1067" spans="1:10" x14ac:dyDescent="0.35">
      <c r="A1067" t="s">
        <v>1274</v>
      </c>
      <c r="B1067">
        <v>1979</v>
      </c>
      <c r="C1067" t="s">
        <v>2356</v>
      </c>
      <c r="D1067">
        <v>17</v>
      </c>
      <c r="E1067">
        <v>3</v>
      </c>
      <c r="F1067" s="10">
        <v>8606.2199999999993</v>
      </c>
      <c r="G1067" t="s">
        <v>2361</v>
      </c>
      <c r="H1067" t="s">
        <v>2357</v>
      </c>
      <c r="I1067" t="s">
        <v>2376</v>
      </c>
      <c r="J1067" s="8">
        <f t="shared" si="16"/>
        <v>29053</v>
      </c>
    </row>
    <row r="1068" spans="1:10" x14ac:dyDescent="0.35">
      <c r="A1068" t="s">
        <v>1273</v>
      </c>
      <c r="B1068">
        <v>1977</v>
      </c>
      <c r="C1068" t="s">
        <v>2363</v>
      </c>
      <c r="D1068">
        <v>2</v>
      </c>
      <c r="E1068">
        <v>3</v>
      </c>
      <c r="F1068" s="10">
        <v>8615.2999999999993</v>
      </c>
      <c r="G1068" t="s">
        <v>2357</v>
      </c>
      <c r="H1068" t="s">
        <v>2358</v>
      </c>
      <c r="I1068" t="s">
        <v>2368</v>
      </c>
      <c r="J1068" s="8">
        <f t="shared" si="16"/>
        <v>28370</v>
      </c>
    </row>
    <row r="1069" spans="1:10" x14ac:dyDescent="0.35">
      <c r="A1069" t="s">
        <v>1272</v>
      </c>
      <c r="B1069">
        <v>1975</v>
      </c>
      <c r="C1069" t="s">
        <v>2366</v>
      </c>
      <c r="D1069">
        <v>3</v>
      </c>
      <c r="E1069">
        <v>1</v>
      </c>
      <c r="F1069" s="10">
        <v>8627.5400000000009</v>
      </c>
      <c r="G1069" t="s">
        <v>2357</v>
      </c>
      <c r="H1069" t="s">
        <v>2357</v>
      </c>
      <c r="I1069" t="s">
        <v>2378</v>
      </c>
      <c r="J1069" s="8">
        <f t="shared" si="16"/>
        <v>27609</v>
      </c>
    </row>
    <row r="1070" spans="1:10" x14ac:dyDescent="0.35">
      <c r="A1070" t="s">
        <v>1271</v>
      </c>
      <c r="B1070">
        <v>1965</v>
      </c>
      <c r="C1070" t="s">
        <v>2367</v>
      </c>
      <c r="D1070">
        <v>21</v>
      </c>
      <c r="E1070">
        <v>0</v>
      </c>
      <c r="F1070" s="10">
        <v>8665.09</v>
      </c>
      <c r="G1070" t="s">
        <v>2358</v>
      </c>
      <c r="H1070" t="s">
        <v>2357</v>
      </c>
      <c r="I1070" t="s">
        <v>2364</v>
      </c>
      <c r="J1070" s="8">
        <f t="shared" si="16"/>
        <v>24036</v>
      </c>
    </row>
    <row r="1071" spans="1:10" x14ac:dyDescent="0.35">
      <c r="A1071" t="s">
        <v>1270</v>
      </c>
      <c r="B1071">
        <v>1969</v>
      </c>
      <c r="C1071" t="s">
        <v>2366</v>
      </c>
      <c r="D1071">
        <v>10</v>
      </c>
      <c r="E1071">
        <v>0</v>
      </c>
      <c r="F1071" s="10">
        <v>8665.14</v>
      </c>
      <c r="G1071" t="s">
        <v>2357</v>
      </c>
      <c r="H1071" t="s">
        <v>2358</v>
      </c>
      <c r="I1071" t="s">
        <v>2359</v>
      </c>
      <c r="J1071" s="8">
        <f t="shared" si="16"/>
        <v>25425</v>
      </c>
    </row>
    <row r="1072" spans="1:10" x14ac:dyDescent="0.35">
      <c r="A1072" t="s">
        <v>1269</v>
      </c>
      <c r="B1072">
        <v>1974</v>
      </c>
      <c r="C1072" t="s">
        <v>2366</v>
      </c>
      <c r="D1072">
        <v>16</v>
      </c>
      <c r="E1072">
        <v>0</v>
      </c>
      <c r="F1072" s="10">
        <v>8671.19</v>
      </c>
      <c r="G1072" t="s">
        <v>2357</v>
      </c>
      <c r="H1072" t="s">
        <v>2361</v>
      </c>
      <c r="I1072" t="s">
        <v>2364</v>
      </c>
      <c r="J1072" s="8">
        <f t="shared" si="16"/>
        <v>27257</v>
      </c>
    </row>
    <row r="1073" spans="1:10" x14ac:dyDescent="0.35">
      <c r="A1073" t="s">
        <v>1268</v>
      </c>
      <c r="B1073">
        <v>1973</v>
      </c>
      <c r="C1073" t="s">
        <v>2367</v>
      </c>
      <c r="D1073">
        <v>11</v>
      </c>
      <c r="E1073">
        <v>0</v>
      </c>
      <c r="F1073" s="10">
        <v>8688.86</v>
      </c>
      <c r="G1073" t="s">
        <v>2357</v>
      </c>
      <c r="H1073" t="s">
        <v>2361</v>
      </c>
      <c r="I1073" t="s">
        <v>2378</v>
      </c>
      <c r="J1073" s="8">
        <f t="shared" si="16"/>
        <v>26948</v>
      </c>
    </row>
    <row r="1074" spans="1:10" x14ac:dyDescent="0.35">
      <c r="A1074" t="s">
        <v>1267</v>
      </c>
      <c r="B1074">
        <v>1980</v>
      </c>
      <c r="C1074" t="s">
        <v>2367</v>
      </c>
      <c r="D1074">
        <v>28</v>
      </c>
      <c r="E1074">
        <v>2</v>
      </c>
      <c r="F1074" s="10">
        <v>8701.84</v>
      </c>
      <c r="G1074" t="s">
        <v>2357</v>
      </c>
      <c r="H1074" t="s">
        <v>2358</v>
      </c>
      <c r="I1074" t="s">
        <v>2377</v>
      </c>
      <c r="J1074" s="8">
        <f t="shared" si="16"/>
        <v>29522</v>
      </c>
    </row>
    <row r="1075" spans="1:10" x14ac:dyDescent="0.35">
      <c r="A1075" t="s">
        <v>1266</v>
      </c>
      <c r="B1075">
        <v>1973</v>
      </c>
      <c r="C1075" t="s">
        <v>2362</v>
      </c>
      <c r="D1075">
        <v>25</v>
      </c>
      <c r="E1075">
        <v>1</v>
      </c>
      <c r="F1075" s="10">
        <v>8703.4599999999991</v>
      </c>
      <c r="G1075" t="s">
        <v>2358</v>
      </c>
      <c r="H1075" t="s">
        <v>2358</v>
      </c>
      <c r="I1075" t="s">
        <v>2368</v>
      </c>
      <c r="J1075" s="8">
        <f t="shared" si="16"/>
        <v>26840</v>
      </c>
    </row>
    <row r="1076" spans="1:10" x14ac:dyDescent="0.35">
      <c r="A1076" t="s">
        <v>1265</v>
      </c>
      <c r="B1076">
        <v>1976</v>
      </c>
      <c r="C1076" t="s">
        <v>2362</v>
      </c>
      <c r="D1076">
        <v>17</v>
      </c>
      <c r="E1076">
        <v>2</v>
      </c>
      <c r="F1076" s="10">
        <v>8733.23</v>
      </c>
      <c r="G1076" t="s">
        <v>2357</v>
      </c>
      <c r="H1076" t="s">
        <v>2358</v>
      </c>
      <c r="I1076" t="s">
        <v>2364</v>
      </c>
      <c r="J1076" s="8">
        <f t="shared" si="16"/>
        <v>27928</v>
      </c>
    </row>
    <row r="1077" spans="1:10" x14ac:dyDescent="0.35">
      <c r="A1077" t="s">
        <v>1264</v>
      </c>
      <c r="B1077">
        <v>1999</v>
      </c>
      <c r="C1077" t="s">
        <v>2366</v>
      </c>
      <c r="D1077">
        <v>23</v>
      </c>
      <c r="E1077">
        <v>0</v>
      </c>
      <c r="F1077" s="10">
        <v>8747.68</v>
      </c>
      <c r="G1077" t="s">
        <v>2357</v>
      </c>
      <c r="H1077" t="s">
        <v>2358</v>
      </c>
      <c r="I1077" t="s">
        <v>2368</v>
      </c>
      <c r="J1077" s="8">
        <f t="shared" si="16"/>
        <v>36395</v>
      </c>
    </row>
    <row r="1078" spans="1:10" x14ac:dyDescent="0.35">
      <c r="A1078" t="s">
        <v>1263</v>
      </c>
      <c r="B1078">
        <v>1969</v>
      </c>
      <c r="C1078" t="s">
        <v>2363</v>
      </c>
      <c r="D1078">
        <v>9</v>
      </c>
      <c r="E1078">
        <v>0</v>
      </c>
      <c r="F1078" s="10">
        <v>8760.1200000000008</v>
      </c>
      <c r="G1078" t="s">
        <v>2357</v>
      </c>
      <c r="H1078" t="s">
        <v>2361</v>
      </c>
      <c r="I1078" t="s">
        <v>2359</v>
      </c>
      <c r="J1078" s="8">
        <f t="shared" si="16"/>
        <v>25455</v>
      </c>
    </row>
    <row r="1079" spans="1:10" x14ac:dyDescent="0.35">
      <c r="A1079" t="s">
        <v>1262</v>
      </c>
      <c r="B1079">
        <v>1974</v>
      </c>
      <c r="C1079" t="s">
        <v>2363</v>
      </c>
      <c r="D1079">
        <v>6</v>
      </c>
      <c r="E1079">
        <v>1</v>
      </c>
      <c r="F1079" s="10">
        <v>8765.25</v>
      </c>
      <c r="G1079" t="s">
        <v>2357</v>
      </c>
      <c r="H1079" t="s">
        <v>2358</v>
      </c>
      <c r="I1079" t="s">
        <v>2364</v>
      </c>
      <c r="J1079" s="8">
        <f t="shared" si="16"/>
        <v>27278</v>
      </c>
    </row>
    <row r="1080" spans="1:10" x14ac:dyDescent="0.35">
      <c r="A1080" t="s">
        <v>1261</v>
      </c>
      <c r="B1080">
        <v>1971</v>
      </c>
      <c r="C1080" t="s">
        <v>2366</v>
      </c>
      <c r="D1080">
        <v>23</v>
      </c>
      <c r="E1080">
        <v>0</v>
      </c>
      <c r="F1080" s="10">
        <v>8782.4699999999993</v>
      </c>
      <c r="G1080" t="s">
        <v>2357</v>
      </c>
      <c r="H1080" t="s">
        <v>2358</v>
      </c>
      <c r="I1080" t="s">
        <v>2368</v>
      </c>
      <c r="J1080" s="8">
        <f t="shared" si="16"/>
        <v>26168</v>
      </c>
    </row>
    <row r="1081" spans="1:10" x14ac:dyDescent="0.35">
      <c r="A1081" t="s">
        <v>1260</v>
      </c>
      <c r="B1081">
        <v>1971</v>
      </c>
      <c r="C1081" t="s">
        <v>2362</v>
      </c>
      <c r="D1081">
        <v>18</v>
      </c>
      <c r="E1081">
        <v>0</v>
      </c>
      <c r="F1081" s="10">
        <v>8798.59</v>
      </c>
      <c r="G1081" t="s">
        <v>2357</v>
      </c>
      <c r="H1081" t="s">
        <v>2361</v>
      </c>
      <c r="I1081" t="s">
        <v>2368</v>
      </c>
      <c r="J1081" s="8">
        <f t="shared" si="16"/>
        <v>26102</v>
      </c>
    </row>
    <row r="1082" spans="1:10" x14ac:dyDescent="0.35">
      <c r="A1082" t="s">
        <v>1259</v>
      </c>
      <c r="B1082">
        <v>1965</v>
      </c>
      <c r="C1082" t="s">
        <v>2366</v>
      </c>
      <c r="D1082">
        <v>29</v>
      </c>
      <c r="E1082">
        <v>0</v>
      </c>
      <c r="F1082" s="10">
        <v>8800.49</v>
      </c>
      <c r="G1082" t="s">
        <v>2358</v>
      </c>
      <c r="H1082" t="s">
        <v>2357</v>
      </c>
      <c r="I1082" t="s">
        <v>2359</v>
      </c>
      <c r="J1082" s="8">
        <f t="shared" si="16"/>
        <v>23983</v>
      </c>
    </row>
    <row r="1083" spans="1:10" x14ac:dyDescent="0.35">
      <c r="A1083" t="s">
        <v>1258</v>
      </c>
      <c r="B1083">
        <v>2001</v>
      </c>
      <c r="C1083" t="s">
        <v>2360</v>
      </c>
      <c r="D1083">
        <v>7</v>
      </c>
      <c r="E1083">
        <v>0</v>
      </c>
      <c r="F1083" s="10">
        <v>8821.8799999999992</v>
      </c>
      <c r="G1083" t="s">
        <v>2357</v>
      </c>
      <c r="H1083" t="s">
        <v>2358</v>
      </c>
      <c r="I1083" t="s">
        <v>2375</v>
      </c>
      <c r="J1083" s="8">
        <f t="shared" si="16"/>
        <v>37202</v>
      </c>
    </row>
    <row r="1084" spans="1:10" x14ac:dyDescent="0.35">
      <c r="A1084" t="s">
        <v>1257</v>
      </c>
      <c r="B1084">
        <v>1976</v>
      </c>
      <c r="C1084" t="s">
        <v>2362</v>
      </c>
      <c r="D1084">
        <v>14</v>
      </c>
      <c r="E1084">
        <v>2</v>
      </c>
      <c r="F1084" s="10">
        <v>8823.2800000000007</v>
      </c>
      <c r="G1084" t="s">
        <v>2357</v>
      </c>
      <c r="H1084" t="s">
        <v>2361</v>
      </c>
      <c r="I1084" t="s">
        <v>2368</v>
      </c>
      <c r="J1084" s="8">
        <f t="shared" si="16"/>
        <v>27925</v>
      </c>
    </row>
    <row r="1085" spans="1:10" x14ac:dyDescent="0.35">
      <c r="A1085" t="s">
        <v>1256</v>
      </c>
      <c r="B1085">
        <v>1976</v>
      </c>
      <c r="C1085" t="s">
        <v>2367</v>
      </c>
      <c r="D1085">
        <v>19</v>
      </c>
      <c r="E1085">
        <v>1</v>
      </c>
      <c r="F1085" s="10">
        <v>8823.99</v>
      </c>
      <c r="G1085" t="s">
        <v>2357</v>
      </c>
      <c r="H1085" t="s">
        <v>2358</v>
      </c>
      <c r="I1085" t="s">
        <v>2374</v>
      </c>
      <c r="J1085" s="8">
        <f t="shared" si="16"/>
        <v>28052</v>
      </c>
    </row>
    <row r="1086" spans="1:10" x14ac:dyDescent="0.35">
      <c r="A1086" t="s">
        <v>1255</v>
      </c>
      <c r="B1086">
        <v>1988</v>
      </c>
      <c r="C1086" t="s">
        <v>2366</v>
      </c>
      <c r="D1086">
        <v>22</v>
      </c>
      <c r="E1086">
        <v>3</v>
      </c>
      <c r="F1086" s="10">
        <v>8824.27</v>
      </c>
      <c r="G1086" t="s">
        <v>2357</v>
      </c>
      <c r="H1086" t="s">
        <v>2361</v>
      </c>
      <c r="I1086" t="s">
        <v>2373</v>
      </c>
      <c r="J1086" s="8">
        <f t="shared" si="16"/>
        <v>32377</v>
      </c>
    </row>
    <row r="1087" spans="1:10" x14ac:dyDescent="0.35">
      <c r="A1087" t="s">
        <v>1254</v>
      </c>
      <c r="B1087">
        <v>1976</v>
      </c>
      <c r="C1087" t="s">
        <v>2356</v>
      </c>
      <c r="D1087">
        <v>14</v>
      </c>
      <c r="E1087">
        <v>2</v>
      </c>
      <c r="F1087" s="10">
        <v>8825.09</v>
      </c>
      <c r="G1087" t="s">
        <v>2357</v>
      </c>
      <c r="H1087" t="s">
        <v>2358</v>
      </c>
      <c r="I1087" t="s">
        <v>2368</v>
      </c>
      <c r="J1087" s="8">
        <f t="shared" si="16"/>
        <v>27955</v>
      </c>
    </row>
    <row r="1088" spans="1:10" x14ac:dyDescent="0.35">
      <c r="A1088" t="s">
        <v>1253</v>
      </c>
      <c r="B1088">
        <v>1972</v>
      </c>
      <c r="C1088" t="s">
        <v>2360</v>
      </c>
      <c r="D1088">
        <v>14</v>
      </c>
      <c r="E1088">
        <v>0</v>
      </c>
      <c r="F1088" s="10">
        <v>8827.2099999999991</v>
      </c>
      <c r="G1088" t="s">
        <v>2358</v>
      </c>
      <c r="H1088" t="s">
        <v>2361</v>
      </c>
      <c r="I1088" t="s">
        <v>2364</v>
      </c>
      <c r="J1088" s="8">
        <f t="shared" si="16"/>
        <v>26617</v>
      </c>
    </row>
    <row r="1089" spans="1:10" x14ac:dyDescent="0.35">
      <c r="A1089" t="s">
        <v>1252</v>
      </c>
      <c r="B1089">
        <v>1972</v>
      </c>
      <c r="C1089" t="s">
        <v>2360</v>
      </c>
      <c r="D1089">
        <v>22</v>
      </c>
      <c r="E1089">
        <v>0</v>
      </c>
      <c r="F1089" s="10">
        <v>8835.26</v>
      </c>
      <c r="G1089" t="s">
        <v>2358</v>
      </c>
      <c r="H1089" t="s">
        <v>2357</v>
      </c>
      <c r="I1089" t="s">
        <v>2364</v>
      </c>
      <c r="J1089" s="8">
        <f t="shared" si="16"/>
        <v>26625</v>
      </c>
    </row>
    <row r="1090" spans="1:10" x14ac:dyDescent="0.35">
      <c r="A1090" t="s">
        <v>1251</v>
      </c>
      <c r="B1090">
        <v>1974</v>
      </c>
      <c r="C1090" t="s">
        <v>2362</v>
      </c>
      <c r="D1090">
        <v>18</v>
      </c>
      <c r="E1090">
        <v>1</v>
      </c>
      <c r="F1090" s="10">
        <v>8871.15</v>
      </c>
      <c r="G1090" t="s">
        <v>2357</v>
      </c>
      <c r="H1090" t="s">
        <v>2358</v>
      </c>
      <c r="I1090" t="s">
        <v>2359</v>
      </c>
      <c r="J1090" s="8">
        <f t="shared" si="16"/>
        <v>27198</v>
      </c>
    </row>
    <row r="1091" spans="1:10" x14ac:dyDescent="0.35">
      <c r="A1091" t="s">
        <v>1250</v>
      </c>
      <c r="B1091">
        <v>1973</v>
      </c>
      <c r="C1091" t="s">
        <v>2363</v>
      </c>
      <c r="D1091">
        <v>9</v>
      </c>
      <c r="E1091">
        <v>0</v>
      </c>
      <c r="F1091" s="10">
        <v>8890.59</v>
      </c>
      <c r="G1091" t="s">
        <v>2357</v>
      </c>
      <c r="H1091" t="s">
        <v>2358</v>
      </c>
      <c r="I1091" t="s">
        <v>2364</v>
      </c>
      <c r="J1091" s="8">
        <f t="shared" ref="J1091:J1154" si="17">DATE(B1091,MONTH(1&amp;C1091),D1091)</f>
        <v>26916</v>
      </c>
    </row>
    <row r="1092" spans="1:10" x14ac:dyDescent="0.35">
      <c r="A1092" t="s">
        <v>1249</v>
      </c>
      <c r="B1092">
        <v>1978</v>
      </c>
      <c r="C1092" t="s">
        <v>2365</v>
      </c>
      <c r="D1092">
        <v>16</v>
      </c>
      <c r="E1092">
        <v>3</v>
      </c>
      <c r="F1092" s="10">
        <v>8891.14</v>
      </c>
      <c r="G1092" t="s">
        <v>2357</v>
      </c>
      <c r="H1092" t="s">
        <v>2358</v>
      </c>
      <c r="I1092" t="s">
        <v>2378</v>
      </c>
      <c r="J1092" s="8">
        <f t="shared" si="17"/>
        <v>28840</v>
      </c>
    </row>
    <row r="1093" spans="1:10" x14ac:dyDescent="0.35">
      <c r="A1093" t="s">
        <v>1248</v>
      </c>
      <c r="B1093">
        <v>1997</v>
      </c>
      <c r="C1093" t="s">
        <v>2360</v>
      </c>
      <c r="D1093">
        <v>28</v>
      </c>
      <c r="E1093">
        <v>0</v>
      </c>
      <c r="F1093" s="10">
        <v>8906.14</v>
      </c>
      <c r="G1093" t="s">
        <v>2357</v>
      </c>
      <c r="H1093" t="s">
        <v>2357</v>
      </c>
      <c r="I1093" t="s">
        <v>2364</v>
      </c>
      <c r="J1093" s="8">
        <f t="shared" si="17"/>
        <v>35762</v>
      </c>
    </row>
    <row r="1094" spans="1:10" x14ac:dyDescent="0.35">
      <c r="A1094" t="s">
        <v>1247</v>
      </c>
      <c r="B1094">
        <v>1967</v>
      </c>
      <c r="C1094" t="s">
        <v>2363</v>
      </c>
      <c r="D1094">
        <v>6</v>
      </c>
      <c r="E1094">
        <v>0</v>
      </c>
      <c r="F1094" s="10">
        <v>8908.4699999999993</v>
      </c>
      <c r="G1094" t="s">
        <v>2358</v>
      </c>
      <c r="H1094" t="s">
        <v>2357</v>
      </c>
      <c r="I1094" t="s">
        <v>2359</v>
      </c>
      <c r="J1094" s="8">
        <f t="shared" si="17"/>
        <v>24721</v>
      </c>
    </row>
    <row r="1095" spans="1:10" x14ac:dyDescent="0.35">
      <c r="A1095" t="s">
        <v>1246</v>
      </c>
      <c r="B1095">
        <v>1975</v>
      </c>
      <c r="C1095" t="s">
        <v>2356</v>
      </c>
      <c r="D1095">
        <v>7</v>
      </c>
      <c r="E1095">
        <v>1</v>
      </c>
      <c r="F1095" s="10">
        <v>8930.93</v>
      </c>
      <c r="G1095" t="s">
        <v>2357</v>
      </c>
      <c r="H1095" t="s">
        <v>2357</v>
      </c>
      <c r="I1095" t="s">
        <v>2364</v>
      </c>
      <c r="J1095" s="8">
        <f t="shared" si="17"/>
        <v>27582</v>
      </c>
    </row>
    <row r="1096" spans="1:10" x14ac:dyDescent="0.35">
      <c r="A1096" t="s">
        <v>1245</v>
      </c>
      <c r="B1096">
        <v>1972</v>
      </c>
      <c r="C1096" t="s">
        <v>2362</v>
      </c>
      <c r="D1096">
        <v>6</v>
      </c>
      <c r="E1096">
        <v>0</v>
      </c>
      <c r="F1096" s="10">
        <v>8932.08</v>
      </c>
      <c r="G1096" t="s">
        <v>2357</v>
      </c>
      <c r="H1096" t="s">
        <v>2361</v>
      </c>
      <c r="I1096" t="s">
        <v>2368</v>
      </c>
      <c r="J1096" s="8">
        <f t="shared" si="17"/>
        <v>26456</v>
      </c>
    </row>
    <row r="1097" spans="1:10" x14ac:dyDescent="0.35">
      <c r="A1097" t="s">
        <v>1244</v>
      </c>
      <c r="B1097">
        <v>1976</v>
      </c>
      <c r="C1097" t="s">
        <v>2365</v>
      </c>
      <c r="D1097">
        <v>25</v>
      </c>
      <c r="E1097">
        <v>3</v>
      </c>
      <c r="F1097" s="10">
        <v>8944.1200000000008</v>
      </c>
      <c r="G1097" t="s">
        <v>2358</v>
      </c>
      <c r="H1097" t="s">
        <v>2357</v>
      </c>
      <c r="I1097" t="s">
        <v>2359</v>
      </c>
      <c r="J1097" s="8">
        <f t="shared" si="17"/>
        <v>28119</v>
      </c>
    </row>
    <row r="1098" spans="1:10" x14ac:dyDescent="0.35">
      <c r="A1098" t="s">
        <v>1243</v>
      </c>
      <c r="B1098">
        <v>1992</v>
      </c>
      <c r="C1098" t="s">
        <v>2363</v>
      </c>
      <c r="D1098">
        <v>27</v>
      </c>
      <c r="E1098">
        <v>0</v>
      </c>
      <c r="F1098" s="10">
        <v>8954.99</v>
      </c>
      <c r="G1098" t="s">
        <v>2357</v>
      </c>
      <c r="H1098" t="s">
        <v>2358</v>
      </c>
      <c r="I1098" t="s">
        <v>2380</v>
      </c>
      <c r="J1098" s="8">
        <f t="shared" si="17"/>
        <v>33874</v>
      </c>
    </row>
    <row r="1099" spans="1:10" x14ac:dyDescent="0.35">
      <c r="A1099" t="s">
        <v>1242</v>
      </c>
      <c r="B1099">
        <v>1974</v>
      </c>
      <c r="C1099" t="s">
        <v>2366</v>
      </c>
      <c r="D1099">
        <v>17</v>
      </c>
      <c r="E1099">
        <v>1</v>
      </c>
      <c r="F1099" s="10">
        <v>8964.06</v>
      </c>
      <c r="G1099" t="s">
        <v>2358</v>
      </c>
      <c r="H1099" t="s">
        <v>2357</v>
      </c>
      <c r="I1099" t="s">
        <v>2371</v>
      </c>
      <c r="J1099" s="8">
        <f t="shared" si="17"/>
        <v>27258</v>
      </c>
    </row>
    <row r="1100" spans="1:10" x14ac:dyDescent="0.35">
      <c r="A1100" t="s">
        <v>1241</v>
      </c>
      <c r="B1100">
        <v>1983</v>
      </c>
      <c r="C1100" t="s">
        <v>2356</v>
      </c>
      <c r="D1100">
        <v>15</v>
      </c>
      <c r="E1100">
        <v>5</v>
      </c>
      <c r="F1100" s="10">
        <v>8965.7999999999993</v>
      </c>
      <c r="G1100" t="s">
        <v>2357</v>
      </c>
      <c r="H1100" t="s">
        <v>2358</v>
      </c>
      <c r="I1100" t="s">
        <v>2364</v>
      </c>
      <c r="J1100" s="8">
        <f t="shared" si="17"/>
        <v>30512</v>
      </c>
    </row>
    <row r="1101" spans="1:10" x14ac:dyDescent="0.35">
      <c r="A1101" t="s">
        <v>1240</v>
      </c>
      <c r="B1101">
        <v>1974</v>
      </c>
      <c r="C1101" t="s">
        <v>2363</v>
      </c>
      <c r="D1101">
        <v>8</v>
      </c>
      <c r="E1101">
        <v>2</v>
      </c>
      <c r="F1101" s="10">
        <v>8968.33</v>
      </c>
      <c r="G1101" t="s">
        <v>2358</v>
      </c>
      <c r="H1101" t="s">
        <v>2357</v>
      </c>
      <c r="I1101" t="s">
        <v>2368</v>
      </c>
      <c r="J1101" s="8">
        <f t="shared" si="17"/>
        <v>27280</v>
      </c>
    </row>
    <row r="1102" spans="1:10" x14ac:dyDescent="0.35">
      <c r="A1102" t="s">
        <v>1239</v>
      </c>
      <c r="B1102">
        <v>1974</v>
      </c>
      <c r="C1102" t="s">
        <v>2356</v>
      </c>
      <c r="D1102">
        <v>21</v>
      </c>
      <c r="E1102">
        <v>2</v>
      </c>
      <c r="F1102" s="10">
        <v>8978.19</v>
      </c>
      <c r="G1102" t="s">
        <v>2357</v>
      </c>
      <c r="H1102" t="s">
        <v>2357</v>
      </c>
      <c r="I1102" t="s">
        <v>2359</v>
      </c>
      <c r="J1102" s="8">
        <f t="shared" si="17"/>
        <v>27231</v>
      </c>
    </row>
    <row r="1103" spans="1:10" x14ac:dyDescent="0.35">
      <c r="A1103" t="s">
        <v>1238</v>
      </c>
      <c r="B1103">
        <v>1973</v>
      </c>
      <c r="C1103" t="s">
        <v>2367</v>
      </c>
      <c r="D1103">
        <v>11</v>
      </c>
      <c r="E1103">
        <v>0</v>
      </c>
      <c r="F1103" s="10">
        <v>8988.16</v>
      </c>
      <c r="G1103" t="s">
        <v>2357</v>
      </c>
      <c r="H1103" t="s">
        <v>2361</v>
      </c>
      <c r="I1103" t="s">
        <v>2364</v>
      </c>
      <c r="J1103" s="8">
        <f t="shared" si="17"/>
        <v>26948</v>
      </c>
    </row>
    <row r="1104" spans="1:10" x14ac:dyDescent="0.35">
      <c r="A1104" t="s">
        <v>1237</v>
      </c>
      <c r="B1104">
        <v>1979</v>
      </c>
      <c r="C1104" t="s">
        <v>2365</v>
      </c>
      <c r="D1104">
        <v>16</v>
      </c>
      <c r="E1104">
        <v>2</v>
      </c>
      <c r="F1104" s="10">
        <v>8998.43</v>
      </c>
      <c r="G1104" t="s">
        <v>2357</v>
      </c>
      <c r="H1104" t="s">
        <v>2361</v>
      </c>
      <c r="I1104" t="s">
        <v>2373</v>
      </c>
      <c r="J1104" s="8">
        <f t="shared" si="17"/>
        <v>29205</v>
      </c>
    </row>
    <row r="1105" spans="1:10" x14ac:dyDescent="0.35">
      <c r="A1105" t="s">
        <v>1236</v>
      </c>
      <c r="B1105">
        <v>1993</v>
      </c>
      <c r="C1105" t="s">
        <v>2365</v>
      </c>
      <c r="D1105">
        <v>1</v>
      </c>
      <c r="E1105">
        <v>0</v>
      </c>
      <c r="F1105" s="10">
        <v>9010.2000000000007</v>
      </c>
      <c r="G1105" t="s">
        <v>2357</v>
      </c>
      <c r="H1105" t="s">
        <v>2358</v>
      </c>
      <c r="I1105" t="s">
        <v>2380</v>
      </c>
      <c r="J1105" s="8">
        <f t="shared" si="17"/>
        <v>34304</v>
      </c>
    </row>
    <row r="1106" spans="1:10" x14ac:dyDescent="0.35">
      <c r="A1106" t="s">
        <v>1235</v>
      </c>
      <c r="B1106">
        <v>1972</v>
      </c>
      <c r="C1106" t="s">
        <v>2365</v>
      </c>
      <c r="D1106">
        <v>7</v>
      </c>
      <c r="E1106">
        <v>1</v>
      </c>
      <c r="F1106" s="10">
        <v>9048.0300000000007</v>
      </c>
      <c r="G1106" t="s">
        <v>2357</v>
      </c>
      <c r="H1106" t="s">
        <v>2357</v>
      </c>
      <c r="I1106" t="s">
        <v>2359</v>
      </c>
      <c r="J1106" s="8">
        <f t="shared" si="17"/>
        <v>26640</v>
      </c>
    </row>
    <row r="1107" spans="1:10" x14ac:dyDescent="0.35">
      <c r="A1107" t="s">
        <v>1234</v>
      </c>
      <c r="B1107">
        <v>1972</v>
      </c>
      <c r="C1107" t="s">
        <v>2365</v>
      </c>
      <c r="D1107">
        <v>2</v>
      </c>
      <c r="E1107">
        <v>1</v>
      </c>
      <c r="F1107" s="10">
        <v>9058.73</v>
      </c>
      <c r="G1107" t="s">
        <v>2358</v>
      </c>
      <c r="H1107" t="s">
        <v>2357</v>
      </c>
      <c r="I1107" t="s">
        <v>2359</v>
      </c>
      <c r="J1107" s="8">
        <f t="shared" si="17"/>
        <v>26635</v>
      </c>
    </row>
    <row r="1108" spans="1:10" x14ac:dyDescent="0.35">
      <c r="A1108" t="s">
        <v>1233</v>
      </c>
      <c r="B1108">
        <v>1977</v>
      </c>
      <c r="C1108" t="s">
        <v>2360</v>
      </c>
      <c r="D1108">
        <v>4</v>
      </c>
      <c r="E1108">
        <v>2</v>
      </c>
      <c r="F1108" s="10">
        <v>9095.07</v>
      </c>
      <c r="G1108" t="s">
        <v>2357</v>
      </c>
      <c r="H1108" t="s">
        <v>2357</v>
      </c>
      <c r="I1108" t="s">
        <v>2374</v>
      </c>
      <c r="J1108" s="8">
        <f t="shared" si="17"/>
        <v>28433</v>
      </c>
    </row>
    <row r="1109" spans="1:10" x14ac:dyDescent="0.35">
      <c r="A1109" t="s">
        <v>1232</v>
      </c>
      <c r="B1109">
        <v>1965</v>
      </c>
      <c r="C1109" t="s">
        <v>2360</v>
      </c>
      <c r="D1109">
        <v>9</v>
      </c>
      <c r="E1109">
        <v>0</v>
      </c>
      <c r="F1109" s="10">
        <v>9095.94</v>
      </c>
      <c r="G1109" t="s">
        <v>2358</v>
      </c>
      <c r="H1109" t="s">
        <v>2361</v>
      </c>
      <c r="I1109" t="s">
        <v>2368</v>
      </c>
      <c r="J1109" s="8">
        <f t="shared" si="17"/>
        <v>24055</v>
      </c>
    </row>
    <row r="1110" spans="1:10" x14ac:dyDescent="0.35">
      <c r="A1110" t="s">
        <v>1231</v>
      </c>
      <c r="B1110">
        <v>1977</v>
      </c>
      <c r="C1110" t="s">
        <v>2365</v>
      </c>
      <c r="D1110">
        <v>2</v>
      </c>
      <c r="E1110">
        <v>3</v>
      </c>
      <c r="F1110" s="10">
        <v>9101.7999999999993</v>
      </c>
      <c r="G1110" t="s">
        <v>2357</v>
      </c>
      <c r="H1110" t="s">
        <v>2361</v>
      </c>
      <c r="I1110" t="s">
        <v>2368</v>
      </c>
      <c r="J1110" s="8">
        <f t="shared" si="17"/>
        <v>28461</v>
      </c>
    </row>
    <row r="1111" spans="1:10" x14ac:dyDescent="0.35">
      <c r="A1111" t="s">
        <v>1230</v>
      </c>
      <c r="B1111">
        <v>1970</v>
      </c>
      <c r="C1111" t="s">
        <v>2366</v>
      </c>
      <c r="D1111">
        <v>12</v>
      </c>
      <c r="E1111">
        <v>0</v>
      </c>
      <c r="F1111" s="10">
        <v>9140.9500000000007</v>
      </c>
      <c r="G1111" t="s">
        <v>2358</v>
      </c>
      <c r="H1111" t="s">
        <v>2358</v>
      </c>
      <c r="I1111" t="s">
        <v>2359</v>
      </c>
      <c r="J1111" s="8">
        <f t="shared" si="17"/>
        <v>25792</v>
      </c>
    </row>
    <row r="1112" spans="1:10" x14ac:dyDescent="0.35">
      <c r="A1112" t="s">
        <v>1229</v>
      </c>
      <c r="B1112">
        <v>1970</v>
      </c>
      <c r="C1112" t="s">
        <v>2367</v>
      </c>
      <c r="D1112">
        <v>18</v>
      </c>
      <c r="E1112">
        <v>0</v>
      </c>
      <c r="F1112" s="10">
        <v>9144.57</v>
      </c>
      <c r="G1112" t="s">
        <v>2358</v>
      </c>
      <c r="H1112" t="s">
        <v>2357</v>
      </c>
      <c r="I1112" t="s">
        <v>2368</v>
      </c>
      <c r="J1112" s="8">
        <f t="shared" si="17"/>
        <v>25859</v>
      </c>
    </row>
    <row r="1113" spans="1:10" x14ac:dyDescent="0.35">
      <c r="A1113" t="s">
        <v>1228</v>
      </c>
      <c r="B1113">
        <v>1982</v>
      </c>
      <c r="C1113" t="s">
        <v>2365</v>
      </c>
      <c r="D1113">
        <v>8</v>
      </c>
      <c r="E1113">
        <v>3</v>
      </c>
      <c r="F1113" s="10">
        <v>9147.5</v>
      </c>
      <c r="G1113" t="s">
        <v>2357</v>
      </c>
      <c r="H1113" t="s">
        <v>2361</v>
      </c>
      <c r="I1113" t="s">
        <v>2364</v>
      </c>
      <c r="J1113" s="8">
        <f t="shared" si="17"/>
        <v>30293</v>
      </c>
    </row>
    <row r="1114" spans="1:10" x14ac:dyDescent="0.35">
      <c r="A1114" t="s">
        <v>1227</v>
      </c>
      <c r="B1114">
        <v>1990</v>
      </c>
      <c r="C1114" t="s">
        <v>2366</v>
      </c>
      <c r="D1114">
        <v>23</v>
      </c>
      <c r="E1114">
        <v>3</v>
      </c>
      <c r="F1114" s="10">
        <v>9159.51</v>
      </c>
      <c r="G1114" t="s">
        <v>2357</v>
      </c>
      <c r="H1114" t="s">
        <v>2357</v>
      </c>
      <c r="I1114" t="s">
        <v>2377</v>
      </c>
      <c r="J1114" s="8">
        <f t="shared" si="17"/>
        <v>33108</v>
      </c>
    </row>
    <row r="1115" spans="1:10" x14ac:dyDescent="0.35">
      <c r="A1115" t="s">
        <v>1226</v>
      </c>
      <c r="B1115">
        <v>1970</v>
      </c>
      <c r="C1115" t="s">
        <v>2367</v>
      </c>
      <c r="D1115">
        <v>24</v>
      </c>
      <c r="E1115">
        <v>0</v>
      </c>
      <c r="F1115" s="10">
        <v>9171.75</v>
      </c>
      <c r="G1115" t="s">
        <v>2357</v>
      </c>
      <c r="H1115" t="s">
        <v>2357</v>
      </c>
      <c r="I1115" t="s">
        <v>2364</v>
      </c>
      <c r="J1115" s="8">
        <f t="shared" si="17"/>
        <v>25865</v>
      </c>
    </row>
    <row r="1116" spans="1:10" x14ac:dyDescent="0.35">
      <c r="A1116" t="s">
        <v>1225</v>
      </c>
      <c r="B1116">
        <v>1971</v>
      </c>
      <c r="C1116" t="s">
        <v>2365</v>
      </c>
      <c r="D1116">
        <v>29</v>
      </c>
      <c r="E1116">
        <v>0</v>
      </c>
      <c r="F1116" s="10">
        <v>9174.14</v>
      </c>
      <c r="G1116" t="s">
        <v>2358</v>
      </c>
      <c r="H1116" t="s">
        <v>2361</v>
      </c>
      <c r="I1116" t="s">
        <v>2364</v>
      </c>
      <c r="J1116" s="8">
        <f t="shared" si="17"/>
        <v>26296</v>
      </c>
    </row>
    <row r="1117" spans="1:10" x14ac:dyDescent="0.35">
      <c r="A1117" t="s">
        <v>1224</v>
      </c>
      <c r="B1117">
        <v>1973</v>
      </c>
      <c r="C1117" t="s">
        <v>2365</v>
      </c>
      <c r="D1117">
        <v>25</v>
      </c>
      <c r="E1117">
        <v>1</v>
      </c>
      <c r="F1117" s="10">
        <v>9182.17</v>
      </c>
      <c r="G1117" t="s">
        <v>2357</v>
      </c>
      <c r="H1117" t="s">
        <v>2358</v>
      </c>
      <c r="I1117" t="s">
        <v>2368</v>
      </c>
      <c r="J1117" s="8">
        <f t="shared" si="17"/>
        <v>27023</v>
      </c>
    </row>
    <row r="1118" spans="1:10" x14ac:dyDescent="0.35">
      <c r="A1118" t="s">
        <v>1223</v>
      </c>
      <c r="B1118">
        <v>1976</v>
      </c>
      <c r="C1118" t="s">
        <v>2363</v>
      </c>
      <c r="D1118">
        <v>10</v>
      </c>
      <c r="E1118">
        <v>2</v>
      </c>
      <c r="F1118" s="10">
        <v>9193.84</v>
      </c>
      <c r="G1118" t="s">
        <v>2357</v>
      </c>
      <c r="H1118" t="s">
        <v>2361</v>
      </c>
      <c r="I1118" t="s">
        <v>2364</v>
      </c>
      <c r="J1118" s="8">
        <f t="shared" si="17"/>
        <v>28013</v>
      </c>
    </row>
    <row r="1119" spans="1:10" x14ac:dyDescent="0.35">
      <c r="A1119" t="s">
        <v>1222</v>
      </c>
      <c r="B1119">
        <v>1986</v>
      </c>
      <c r="C1119" t="s">
        <v>2365</v>
      </c>
      <c r="D1119">
        <v>25</v>
      </c>
      <c r="E1119">
        <v>3</v>
      </c>
      <c r="F1119" s="10">
        <v>9210.06</v>
      </c>
      <c r="G1119" t="s">
        <v>2357</v>
      </c>
      <c r="H1119" t="s">
        <v>2358</v>
      </c>
      <c r="I1119" t="s">
        <v>2377</v>
      </c>
      <c r="J1119" s="8">
        <f t="shared" si="17"/>
        <v>31771</v>
      </c>
    </row>
    <row r="1120" spans="1:10" x14ac:dyDescent="0.35">
      <c r="A1120" t="s">
        <v>1221</v>
      </c>
      <c r="B1120">
        <v>1981</v>
      </c>
      <c r="C1120" t="s">
        <v>2365</v>
      </c>
      <c r="D1120">
        <v>5</v>
      </c>
      <c r="E1120">
        <v>5</v>
      </c>
      <c r="F1120" s="10">
        <v>9222.4</v>
      </c>
      <c r="G1120" t="s">
        <v>2357</v>
      </c>
      <c r="H1120" t="s">
        <v>2358</v>
      </c>
      <c r="I1120" t="s">
        <v>2370</v>
      </c>
      <c r="J1120" s="8">
        <f t="shared" si="17"/>
        <v>29925</v>
      </c>
    </row>
    <row r="1121" spans="1:10" x14ac:dyDescent="0.35">
      <c r="A1121" t="s">
        <v>1220</v>
      </c>
      <c r="B1121">
        <v>1975</v>
      </c>
      <c r="C1121" t="s">
        <v>2365</v>
      </c>
      <c r="D1121">
        <v>6</v>
      </c>
      <c r="E1121">
        <v>2</v>
      </c>
      <c r="F1121" s="10">
        <v>9225.26</v>
      </c>
      <c r="G1121" t="s">
        <v>2358</v>
      </c>
      <c r="H1121" t="s">
        <v>2358</v>
      </c>
      <c r="I1121" t="s">
        <v>2369</v>
      </c>
      <c r="J1121" s="8">
        <f t="shared" si="17"/>
        <v>27734</v>
      </c>
    </row>
    <row r="1122" spans="1:10" x14ac:dyDescent="0.35">
      <c r="A1122" t="s">
        <v>1219</v>
      </c>
      <c r="B1122">
        <v>1980</v>
      </c>
      <c r="C1122" t="s">
        <v>2367</v>
      </c>
      <c r="D1122">
        <v>5</v>
      </c>
      <c r="E1122">
        <v>2</v>
      </c>
      <c r="F1122" s="10">
        <v>9247.94</v>
      </c>
      <c r="G1122" t="s">
        <v>2357</v>
      </c>
      <c r="H1122" t="s">
        <v>2361</v>
      </c>
      <c r="I1122" t="s">
        <v>2377</v>
      </c>
      <c r="J1122" s="8">
        <f t="shared" si="17"/>
        <v>29499</v>
      </c>
    </row>
    <row r="1123" spans="1:10" x14ac:dyDescent="0.35">
      <c r="A1123" t="s">
        <v>1218</v>
      </c>
      <c r="B1123">
        <v>1974</v>
      </c>
      <c r="C1123" t="s">
        <v>2366</v>
      </c>
      <c r="D1123">
        <v>21</v>
      </c>
      <c r="E1123">
        <v>1</v>
      </c>
      <c r="F1123" s="10">
        <v>9249.5</v>
      </c>
      <c r="G1123" t="s">
        <v>2357</v>
      </c>
      <c r="H1123" t="s">
        <v>2361</v>
      </c>
      <c r="I1123" t="s">
        <v>2364</v>
      </c>
      <c r="J1123" s="8">
        <f t="shared" si="17"/>
        <v>27262</v>
      </c>
    </row>
    <row r="1124" spans="1:10" x14ac:dyDescent="0.35">
      <c r="A1124" t="s">
        <v>1217</v>
      </c>
      <c r="B1124">
        <v>1971</v>
      </c>
      <c r="C1124" t="s">
        <v>2366</v>
      </c>
      <c r="D1124">
        <v>6</v>
      </c>
      <c r="E1124">
        <v>0</v>
      </c>
      <c r="F1124" s="10">
        <v>9264.7999999999993</v>
      </c>
      <c r="G1124" t="s">
        <v>2357</v>
      </c>
      <c r="H1124" t="s">
        <v>2361</v>
      </c>
      <c r="I1124" t="s">
        <v>2368</v>
      </c>
      <c r="J1124" s="8">
        <f t="shared" si="17"/>
        <v>26151</v>
      </c>
    </row>
    <row r="1125" spans="1:10" x14ac:dyDescent="0.35">
      <c r="A1125" t="s">
        <v>1216</v>
      </c>
      <c r="B1125">
        <v>1973</v>
      </c>
      <c r="C1125" t="s">
        <v>2367</v>
      </c>
      <c r="D1125">
        <v>27</v>
      </c>
      <c r="E1125">
        <v>1</v>
      </c>
      <c r="F1125" s="10">
        <v>9282.48</v>
      </c>
      <c r="G1125" t="s">
        <v>2358</v>
      </c>
      <c r="H1125" t="s">
        <v>2357</v>
      </c>
      <c r="I1125" t="s">
        <v>2371</v>
      </c>
      <c r="J1125" s="8">
        <f t="shared" si="17"/>
        <v>26964</v>
      </c>
    </row>
    <row r="1126" spans="1:10" x14ac:dyDescent="0.35">
      <c r="A1126" t="s">
        <v>1215</v>
      </c>
      <c r="B1126">
        <v>1971</v>
      </c>
      <c r="C1126" t="s">
        <v>2356</v>
      </c>
      <c r="D1126">
        <v>2</v>
      </c>
      <c r="E1126">
        <v>0</v>
      </c>
      <c r="F1126" s="10">
        <v>9283.56</v>
      </c>
      <c r="G1126" t="s">
        <v>2357</v>
      </c>
      <c r="H1126" t="s">
        <v>2358</v>
      </c>
      <c r="I1126" t="s">
        <v>2359</v>
      </c>
      <c r="J1126" s="8">
        <f t="shared" si="17"/>
        <v>26116</v>
      </c>
    </row>
    <row r="1127" spans="1:10" x14ac:dyDescent="0.35">
      <c r="A1127" t="s">
        <v>1214</v>
      </c>
      <c r="B1127">
        <v>1969</v>
      </c>
      <c r="C1127" t="s">
        <v>2360</v>
      </c>
      <c r="D1127">
        <v>26</v>
      </c>
      <c r="E1127">
        <v>0</v>
      </c>
      <c r="F1127" s="10">
        <v>9285.8700000000008</v>
      </c>
      <c r="G1127" t="s">
        <v>2357</v>
      </c>
      <c r="H1127" t="s">
        <v>2358</v>
      </c>
      <c r="I1127" t="s">
        <v>2359</v>
      </c>
      <c r="J1127" s="8">
        <f t="shared" si="17"/>
        <v>25533</v>
      </c>
    </row>
    <row r="1128" spans="1:10" x14ac:dyDescent="0.35">
      <c r="A1128" t="s">
        <v>1213</v>
      </c>
      <c r="B1128">
        <v>1973</v>
      </c>
      <c r="C1128" t="s">
        <v>2367</v>
      </c>
      <c r="D1128">
        <v>16</v>
      </c>
      <c r="E1128">
        <v>1</v>
      </c>
      <c r="F1128" s="10">
        <v>9288.0300000000007</v>
      </c>
      <c r="G1128" t="s">
        <v>2357</v>
      </c>
      <c r="H1128" t="s">
        <v>2358</v>
      </c>
      <c r="I1128" t="s">
        <v>2372</v>
      </c>
      <c r="J1128" s="8">
        <f t="shared" si="17"/>
        <v>26953</v>
      </c>
    </row>
    <row r="1129" spans="1:10" x14ac:dyDescent="0.35">
      <c r="A1129" t="s">
        <v>1212</v>
      </c>
      <c r="B1129">
        <v>1973</v>
      </c>
      <c r="C1129" t="s">
        <v>2363</v>
      </c>
      <c r="D1129">
        <v>18</v>
      </c>
      <c r="E1129">
        <v>1</v>
      </c>
      <c r="F1129" s="10">
        <v>9290.14</v>
      </c>
      <c r="G1129" t="s">
        <v>2358</v>
      </c>
      <c r="H1129" t="s">
        <v>2358</v>
      </c>
      <c r="I1129" t="s">
        <v>2371</v>
      </c>
      <c r="J1129" s="8">
        <f t="shared" si="17"/>
        <v>26925</v>
      </c>
    </row>
    <row r="1130" spans="1:10" x14ac:dyDescent="0.35">
      <c r="A1130" t="s">
        <v>1211</v>
      </c>
      <c r="B1130">
        <v>1976</v>
      </c>
      <c r="C1130" t="s">
        <v>2360</v>
      </c>
      <c r="D1130">
        <v>3</v>
      </c>
      <c r="E1130">
        <v>3</v>
      </c>
      <c r="F1130" s="10">
        <v>9301.89</v>
      </c>
      <c r="G1130" t="s">
        <v>2357</v>
      </c>
      <c r="H1130" t="s">
        <v>2361</v>
      </c>
      <c r="I1130" t="s">
        <v>2364</v>
      </c>
      <c r="J1130" s="8">
        <f t="shared" si="17"/>
        <v>28067</v>
      </c>
    </row>
    <row r="1131" spans="1:10" x14ac:dyDescent="0.35">
      <c r="A1131" t="s">
        <v>1210</v>
      </c>
      <c r="B1131">
        <v>1973</v>
      </c>
      <c r="C1131" t="s">
        <v>2367</v>
      </c>
      <c r="D1131">
        <v>16</v>
      </c>
      <c r="E1131">
        <v>2</v>
      </c>
      <c r="F1131" s="10">
        <v>9304.7000000000007</v>
      </c>
      <c r="G1131" t="s">
        <v>2358</v>
      </c>
      <c r="H1131" t="s">
        <v>2358</v>
      </c>
      <c r="I1131" t="s">
        <v>2359</v>
      </c>
      <c r="J1131" s="8">
        <f t="shared" si="17"/>
        <v>26953</v>
      </c>
    </row>
    <row r="1132" spans="1:10" x14ac:dyDescent="0.35">
      <c r="A1132" t="s">
        <v>1209</v>
      </c>
      <c r="B1132">
        <v>1963</v>
      </c>
      <c r="C1132" t="s">
        <v>2362</v>
      </c>
      <c r="D1132">
        <v>8</v>
      </c>
      <c r="E1132">
        <v>0</v>
      </c>
      <c r="F1132" s="10">
        <v>9310.81</v>
      </c>
      <c r="G1132" t="s">
        <v>2358</v>
      </c>
      <c r="H1132" t="s">
        <v>2361</v>
      </c>
      <c r="I1132" t="s">
        <v>2359</v>
      </c>
      <c r="J1132" s="8">
        <f t="shared" si="17"/>
        <v>23170</v>
      </c>
    </row>
    <row r="1133" spans="1:10" x14ac:dyDescent="0.35">
      <c r="A1133" t="s">
        <v>1208</v>
      </c>
      <c r="B1133">
        <v>1977</v>
      </c>
      <c r="C1133" t="s">
        <v>2367</v>
      </c>
      <c r="D1133">
        <v>12</v>
      </c>
      <c r="E1133">
        <v>2</v>
      </c>
      <c r="F1133" s="10">
        <v>9315.41</v>
      </c>
      <c r="G1133" t="s">
        <v>2357</v>
      </c>
      <c r="H1133" t="s">
        <v>2361</v>
      </c>
      <c r="I1133" t="s">
        <v>2374</v>
      </c>
      <c r="J1133" s="8">
        <f t="shared" si="17"/>
        <v>28410</v>
      </c>
    </row>
    <row r="1134" spans="1:10" x14ac:dyDescent="0.35">
      <c r="A1134" t="s">
        <v>1207</v>
      </c>
      <c r="B1134">
        <v>1988</v>
      </c>
      <c r="C1134" t="s">
        <v>2356</v>
      </c>
      <c r="D1134">
        <v>9</v>
      </c>
      <c r="E1134">
        <v>3</v>
      </c>
      <c r="F1134" s="10">
        <v>9320.26</v>
      </c>
      <c r="G1134" t="s">
        <v>2357</v>
      </c>
      <c r="H1134" t="s">
        <v>2361</v>
      </c>
      <c r="I1134" t="s">
        <v>2364</v>
      </c>
      <c r="J1134" s="8">
        <f t="shared" si="17"/>
        <v>32333</v>
      </c>
    </row>
    <row r="1135" spans="1:10" x14ac:dyDescent="0.35">
      <c r="A1135" t="s">
        <v>1206</v>
      </c>
      <c r="B1135">
        <v>1996</v>
      </c>
      <c r="C1135" t="s">
        <v>2367</v>
      </c>
      <c r="D1135">
        <v>12</v>
      </c>
      <c r="E1135">
        <v>0</v>
      </c>
      <c r="F1135" s="10">
        <v>9338.61</v>
      </c>
      <c r="G1135" t="s">
        <v>2357</v>
      </c>
      <c r="H1135" t="s">
        <v>2361</v>
      </c>
      <c r="I1135" t="s">
        <v>2380</v>
      </c>
      <c r="J1135" s="8">
        <f t="shared" si="17"/>
        <v>35350</v>
      </c>
    </row>
    <row r="1136" spans="1:10" x14ac:dyDescent="0.35">
      <c r="A1136" t="s">
        <v>1205</v>
      </c>
      <c r="B1136">
        <v>1988</v>
      </c>
      <c r="C1136" t="s">
        <v>2356</v>
      </c>
      <c r="D1136">
        <v>1</v>
      </c>
      <c r="E1136">
        <v>3</v>
      </c>
      <c r="F1136" s="10">
        <v>9344.2000000000007</v>
      </c>
      <c r="G1136" t="s">
        <v>2357</v>
      </c>
      <c r="H1136" t="s">
        <v>2361</v>
      </c>
      <c r="I1136" t="s">
        <v>2377</v>
      </c>
      <c r="J1136" s="8">
        <f t="shared" si="17"/>
        <v>32325</v>
      </c>
    </row>
    <row r="1137" spans="1:10" x14ac:dyDescent="0.35">
      <c r="A1137" t="s">
        <v>1204</v>
      </c>
      <c r="B1137">
        <v>1971</v>
      </c>
      <c r="C1137" t="s">
        <v>2367</v>
      </c>
      <c r="D1137">
        <v>8</v>
      </c>
      <c r="E1137">
        <v>0</v>
      </c>
      <c r="F1137" s="10">
        <v>9361.33</v>
      </c>
      <c r="G1137" t="s">
        <v>2358</v>
      </c>
      <c r="H1137" t="s">
        <v>2361</v>
      </c>
      <c r="I1137" t="s">
        <v>2371</v>
      </c>
      <c r="J1137" s="8">
        <f t="shared" si="17"/>
        <v>26214</v>
      </c>
    </row>
    <row r="1138" spans="1:10" x14ac:dyDescent="0.35">
      <c r="A1138" t="s">
        <v>1203</v>
      </c>
      <c r="B1138">
        <v>1969</v>
      </c>
      <c r="C1138" t="s">
        <v>2360</v>
      </c>
      <c r="D1138">
        <v>24</v>
      </c>
      <c r="E1138">
        <v>0</v>
      </c>
      <c r="F1138" s="10">
        <v>9377.4500000000007</v>
      </c>
      <c r="G1138" t="s">
        <v>2357</v>
      </c>
      <c r="H1138" t="s">
        <v>2358</v>
      </c>
      <c r="I1138" t="s">
        <v>2359</v>
      </c>
      <c r="J1138" s="8">
        <f t="shared" si="17"/>
        <v>25531</v>
      </c>
    </row>
    <row r="1139" spans="1:10" x14ac:dyDescent="0.35">
      <c r="A1139" t="s">
        <v>1202</v>
      </c>
      <c r="B1139">
        <v>1971</v>
      </c>
      <c r="C1139" t="s">
        <v>2360</v>
      </c>
      <c r="D1139">
        <v>26</v>
      </c>
      <c r="E1139">
        <v>1</v>
      </c>
      <c r="F1139" s="10">
        <v>9377.9</v>
      </c>
      <c r="G1139" t="s">
        <v>2357</v>
      </c>
      <c r="H1139" t="s">
        <v>2361</v>
      </c>
      <c r="I1139" t="s">
        <v>2359</v>
      </c>
      <c r="J1139" s="8">
        <f t="shared" si="17"/>
        <v>26263</v>
      </c>
    </row>
    <row r="1140" spans="1:10" x14ac:dyDescent="0.35">
      <c r="A1140" t="s">
        <v>1201</v>
      </c>
      <c r="B1140">
        <v>1975</v>
      </c>
      <c r="C1140" t="s">
        <v>2365</v>
      </c>
      <c r="D1140">
        <v>2</v>
      </c>
      <c r="E1140">
        <v>1</v>
      </c>
      <c r="F1140" s="10">
        <v>9380.75</v>
      </c>
      <c r="G1140" t="s">
        <v>2357</v>
      </c>
      <c r="H1140" t="s">
        <v>2357</v>
      </c>
      <c r="I1140" t="s">
        <v>2374</v>
      </c>
      <c r="J1140" s="8">
        <f t="shared" si="17"/>
        <v>27730</v>
      </c>
    </row>
    <row r="1141" spans="1:10" x14ac:dyDescent="0.35">
      <c r="A1141" t="s">
        <v>1200</v>
      </c>
      <c r="B1141">
        <v>1971</v>
      </c>
      <c r="C1141" t="s">
        <v>2365</v>
      </c>
      <c r="D1141">
        <v>29</v>
      </c>
      <c r="E1141">
        <v>1</v>
      </c>
      <c r="F1141" s="10">
        <v>9386.16</v>
      </c>
      <c r="G1141" t="s">
        <v>2358</v>
      </c>
      <c r="H1141" t="s">
        <v>2357</v>
      </c>
      <c r="I1141" t="s">
        <v>2359</v>
      </c>
      <c r="J1141" s="8">
        <f t="shared" si="17"/>
        <v>26296</v>
      </c>
    </row>
    <row r="1142" spans="1:10" x14ac:dyDescent="0.35">
      <c r="A1142" t="s">
        <v>1199</v>
      </c>
      <c r="B1142">
        <v>1971</v>
      </c>
      <c r="C1142" t="s">
        <v>2367</v>
      </c>
      <c r="D1142">
        <v>20</v>
      </c>
      <c r="E1142">
        <v>1</v>
      </c>
      <c r="F1142" s="10">
        <v>9391.35</v>
      </c>
      <c r="G1142" t="s">
        <v>2358</v>
      </c>
      <c r="H1142" t="s">
        <v>2358</v>
      </c>
      <c r="I1142" t="s">
        <v>2368</v>
      </c>
      <c r="J1142" s="8">
        <f t="shared" si="17"/>
        <v>26226</v>
      </c>
    </row>
    <row r="1143" spans="1:10" x14ac:dyDescent="0.35">
      <c r="A1143" t="s">
        <v>1198</v>
      </c>
      <c r="B1143">
        <v>1976</v>
      </c>
      <c r="C1143" t="s">
        <v>2367</v>
      </c>
      <c r="D1143">
        <v>17</v>
      </c>
      <c r="E1143">
        <v>2</v>
      </c>
      <c r="F1143" s="10">
        <v>9411.01</v>
      </c>
      <c r="G1143" t="s">
        <v>2357</v>
      </c>
      <c r="H1143" t="s">
        <v>2358</v>
      </c>
      <c r="I1143" t="s">
        <v>2374</v>
      </c>
      <c r="J1143" s="8">
        <f t="shared" si="17"/>
        <v>28050</v>
      </c>
    </row>
    <row r="1144" spans="1:10" x14ac:dyDescent="0.35">
      <c r="A1144" t="s">
        <v>1197</v>
      </c>
      <c r="B1144">
        <v>1976</v>
      </c>
      <c r="C1144" t="s">
        <v>2367</v>
      </c>
      <c r="D1144">
        <v>30</v>
      </c>
      <c r="E1144">
        <v>3</v>
      </c>
      <c r="F1144" s="10">
        <v>9414.92</v>
      </c>
      <c r="G1144" t="s">
        <v>2357</v>
      </c>
      <c r="H1144" t="s">
        <v>2357</v>
      </c>
      <c r="I1144" t="s">
        <v>2368</v>
      </c>
      <c r="J1144" s="8">
        <f t="shared" si="17"/>
        <v>28063</v>
      </c>
    </row>
    <row r="1145" spans="1:10" x14ac:dyDescent="0.35">
      <c r="A1145" t="s">
        <v>1196</v>
      </c>
      <c r="B1145">
        <v>1976</v>
      </c>
      <c r="C1145" t="s">
        <v>2360</v>
      </c>
      <c r="D1145">
        <v>3</v>
      </c>
      <c r="E1145">
        <v>2</v>
      </c>
      <c r="F1145" s="10">
        <v>9432.93</v>
      </c>
      <c r="G1145" t="s">
        <v>2357</v>
      </c>
      <c r="H1145" t="s">
        <v>2361</v>
      </c>
      <c r="I1145" t="s">
        <v>2374</v>
      </c>
      <c r="J1145" s="8">
        <f t="shared" si="17"/>
        <v>28067</v>
      </c>
    </row>
    <row r="1146" spans="1:10" x14ac:dyDescent="0.35">
      <c r="A1146" t="s">
        <v>1195</v>
      </c>
      <c r="B1146">
        <v>1974</v>
      </c>
      <c r="C1146" t="s">
        <v>2360</v>
      </c>
      <c r="D1146">
        <v>27</v>
      </c>
      <c r="E1146">
        <v>1</v>
      </c>
      <c r="F1146" s="10">
        <v>9447.25</v>
      </c>
      <c r="G1146" t="s">
        <v>2357</v>
      </c>
      <c r="H1146" t="s">
        <v>2361</v>
      </c>
      <c r="I1146" t="s">
        <v>2374</v>
      </c>
      <c r="J1146" s="8">
        <f t="shared" si="17"/>
        <v>27360</v>
      </c>
    </row>
    <row r="1147" spans="1:10" x14ac:dyDescent="0.35">
      <c r="A1147" t="s">
        <v>1194</v>
      </c>
      <c r="B1147">
        <v>1974</v>
      </c>
      <c r="C1147" t="s">
        <v>2362</v>
      </c>
      <c r="D1147">
        <v>8</v>
      </c>
      <c r="E1147">
        <v>1</v>
      </c>
      <c r="F1147" s="10">
        <v>9447.3799999999992</v>
      </c>
      <c r="G1147" t="s">
        <v>2357</v>
      </c>
      <c r="H1147" t="s">
        <v>2358</v>
      </c>
      <c r="I1147" t="s">
        <v>2374</v>
      </c>
      <c r="J1147" s="8">
        <f t="shared" si="17"/>
        <v>27188</v>
      </c>
    </row>
    <row r="1148" spans="1:10" x14ac:dyDescent="0.35">
      <c r="A1148" t="s">
        <v>1193</v>
      </c>
      <c r="B1148">
        <v>1987</v>
      </c>
      <c r="C1148" t="s">
        <v>2360</v>
      </c>
      <c r="D1148">
        <v>14</v>
      </c>
      <c r="E1148">
        <v>3</v>
      </c>
      <c r="F1148" s="10">
        <v>9448.42</v>
      </c>
      <c r="G1148" t="s">
        <v>2357</v>
      </c>
      <c r="H1148" t="s">
        <v>2358</v>
      </c>
      <c r="I1148" t="s">
        <v>2377</v>
      </c>
      <c r="J1148" s="8">
        <f t="shared" si="17"/>
        <v>32095</v>
      </c>
    </row>
    <row r="1149" spans="1:10" x14ac:dyDescent="0.35">
      <c r="A1149" t="s">
        <v>1192</v>
      </c>
      <c r="B1149">
        <v>1979</v>
      </c>
      <c r="C1149" t="s">
        <v>2356</v>
      </c>
      <c r="D1149">
        <v>17</v>
      </c>
      <c r="E1149">
        <v>2</v>
      </c>
      <c r="F1149" s="10">
        <v>9453.92</v>
      </c>
      <c r="G1149" t="s">
        <v>2357</v>
      </c>
      <c r="H1149" t="s">
        <v>2357</v>
      </c>
      <c r="I1149" t="s">
        <v>2377</v>
      </c>
      <c r="J1149" s="8">
        <f t="shared" si="17"/>
        <v>29053</v>
      </c>
    </row>
    <row r="1150" spans="1:10" x14ac:dyDescent="0.35">
      <c r="A1150" t="s">
        <v>1191</v>
      </c>
      <c r="B1150">
        <v>1969</v>
      </c>
      <c r="C1150" t="s">
        <v>2362</v>
      </c>
      <c r="D1150">
        <v>4</v>
      </c>
      <c r="E1150">
        <v>0</v>
      </c>
      <c r="F1150" s="10">
        <v>9487.64</v>
      </c>
      <c r="G1150" t="s">
        <v>2357</v>
      </c>
      <c r="H1150" t="s">
        <v>2357</v>
      </c>
      <c r="I1150" t="s">
        <v>2359</v>
      </c>
      <c r="J1150" s="8">
        <f t="shared" si="17"/>
        <v>25358</v>
      </c>
    </row>
    <row r="1151" spans="1:10" x14ac:dyDescent="0.35">
      <c r="A1151" t="s">
        <v>1190</v>
      </c>
      <c r="B1151">
        <v>1976</v>
      </c>
      <c r="C1151" t="s">
        <v>2360</v>
      </c>
      <c r="D1151">
        <v>28</v>
      </c>
      <c r="E1151">
        <v>3</v>
      </c>
      <c r="F1151" s="10">
        <v>9500.57</v>
      </c>
      <c r="G1151" t="s">
        <v>2357</v>
      </c>
      <c r="H1151" t="s">
        <v>2358</v>
      </c>
      <c r="I1151" t="s">
        <v>2378</v>
      </c>
      <c r="J1151" s="8">
        <f t="shared" si="17"/>
        <v>28092</v>
      </c>
    </row>
    <row r="1152" spans="1:10" x14ac:dyDescent="0.35">
      <c r="A1152" t="s">
        <v>1189</v>
      </c>
      <c r="B1152">
        <v>1969</v>
      </c>
      <c r="C1152" t="s">
        <v>2366</v>
      </c>
      <c r="D1152">
        <v>24</v>
      </c>
      <c r="E1152">
        <v>0</v>
      </c>
      <c r="F1152" s="10">
        <v>9504.31</v>
      </c>
      <c r="G1152" t="s">
        <v>2358</v>
      </c>
      <c r="H1152" t="s">
        <v>2357</v>
      </c>
      <c r="I1152" t="s">
        <v>2359</v>
      </c>
      <c r="J1152" s="8">
        <f t="shared" si="17"/>
        <v>25439</v>
      </c>
    </row>
    <row r="1153" spans="1:10" x14ac:dyDescent="0.35">
      <c r="A1153" t="s">
        <v>1188</v>
      </c>
      <c r="B1153">
        <v>1992</v>
      </c>
      <c r="C1153" t="s">
        <v>2366</v>
      </c>
      <c r="D1153">
        <v>22</v>
      </c>
      <c r="E1153">
        <v>0</v>
      </c>
      <c r="F1153" s="10">
        <v>9507.68</v>
      </c>
      <c r="G1153" t="s">
        <v>2357</v>
      </c>
      <c r="H1153" t="s">
        <v>2361</v>
      </c>
      <c r="I1153" t="s">
        <v>2364</v>
      </c>
      <c r="J1153" s="8">
        <f t="shared" si="17"/>
        <v>33838</v>
      </c>
    </row>
    <row r="1154" spans="1:10" x14ac:dyDescent="0.35">
      <c r="A1154" t="s">
        <v>1187</v>
      </c>
      <c r="B1154">
        <v>1971</v>
      </c>
      <c r="C1154" t="s">
        <v>2360</v>
      </c>
      <c r="D1154">
        <v>29</v>
      </c>
      <c r="E1154">
        <v>0</v>
      </c>
      <c r="F1154" s="10">
        <v>9528.9</v>
      </c>
      <c r="G1154" t="s">
        <v>2357</v>
      </c>
      <c r="H1154" t="s">
        <v>2357</v>
      </c>
      <c r="I1154" t="s">
        <v>2368</v>
      </c>
      <c r="J1154" s="8">
        <f t="shared" si="17"/>
        <v>26266</v>
      </c>
    </row>
    <row r="1155" spans="1:10" x14ac:dyDescent="0.35">
      <c r="A1155" t="s">
        <v>1186</v>
      </c>
      <c r="B1155">
        <v>1973</v>
      </c>
      <c r="C1155" t="s">
        <v>2365</v>
      </c>
      <c r="D1155">
        <v>21</v>
      </c>
      <c r="E1155">
        <v>0</v>
      </c>
      <c r="F1155" s="10">
        <v>9538.65</v>
      </c>
      <c r="G1155" t="s">
        <v>2357</v>
      </c>
      <c r="H1155" t="s">
        <v>2358</v>
      </c>
      <c r="I1155" t="s">
        <v>2377</v>
      </c>
      <c r="J1155" s="8">
        <f t="shared" ref="J1155:J1218" si="18">DATE(B1155,MONTH(1&amp;C1155),D1155)</f>
        <v>27019</v>
      </c>
    </row>
    <row r="1156" spans="1:10" x14ac:dyDescent="0.35">
      <c r="A1156" t="s">
        <v>1185</v>
      </c>
      <c r="B1156">
        <v>1975</v>
      </c>
      <c r="C1156" t="s">
        <v>2356</v>
      </c>
      <c r="D1156">
        <v>28</v>
      </c>
      <c r="E1156">
        <v>1</v>
      </c>
      <c r="F1156" s="10">
        <v>9540.17</v>
      </c>
      <c r="G1156" t="s">
        <v>2357</v>
      </c>
      <c r="H1156" t="s">
        <v>2357</v>
      </c>
      <c r="I1156" t="s">
        <v>2374</v>
      </c>
      <c r="J1156" s="8">
        <f t="shared" si="18"/>
        <v>27603</v>
      </c>
    </row>
    <row r="1157" spans="1:10" x14ac:dyDescent="0.35">
      <c r="A1157" t="s">
        <v>1184</v>
      </c>
      <c r="B1157">
        <v>1972</v>
      </c>
      <c r="C1157" t="s">
        <v>2363</v>
      </c>
      <c r="D1157">
        <v>22</v>
      </c>
      <c r="E1157">
        <v>0</v>
      </c>
      <c r="F1157" s="10">
        <v>9541.7000000000007</v>
      </c>
      <c r="G1157" t="s">
        <v>2357</v>
      </c>
      <c r="H1157" t="s">
        <v>2361</v>
      </c>
      <c r="I1157" t="s">
        <v>2374</v>
      </c>
      <c r="J1157" s="8">
        <f t="shared" si="18"/>
        <v>26564</v>
      </c>
    </row>
    <row r="1158" spans="1:10" x14ac:dyDescent="0.35">
      <c r="A1158" t="s">
        <v>1183</v>
      </c>
      <c r="B1158">
        <v>1972</v>
      </c>
      <c r="C1158" t="s">
        <v>2363</v>
      </c>
      <c r="D1158">
        <v>22</v>
      </c>
      <c r="E1158">
        <v>1</v>
      </c>
      <c r="F1158" s="10">
        <v>9549.57</v>
      </c>
      <c r="G1158" t="s">
        <v>2357</v>
      </c>
      <c r="H1158" t="s">
        <v>2361</v>
      </c>
      <c r="I1158" t="s">
        <v>2359</v>
      </c>
      <c r="J1158" s="8">
        <f t="shared" si="18"/>
        <v>26564</v>
      </c>
    </row>
    <row r="1159" spans="1:10" x14ac:dyDescent="0.35">
      <c r="A1159" t="s">
        <v>1182</v>
      </c>
      <c r="B1159">
        <v>1974</v>
      </c>
      <c r="C1159" t="s">
        <v>2366</v>
      </c>
      <c r="D1159">
        <v>14</v>
      </c>
      <c r="E1159">
        <v>3</v>
      </c>
      <c r="F1159" s="10">
        <v>9563.0300000000007</v>
      </c>
      <c r="G1159" t="s">
        <v>2358</v>
      </c>
      <c r="H1159" t="s">
        <v>2361</v>
      </c>
      <c r="I1159" t="s">
        <v>2368</v>
      </c>
      <c r="J1159" s="8">
        <f t="shared" si="18"/>
        <v>27255</v>
      </c>
    </row>
    <row r="1160" spans="1:10" x14ac:dyDescent="0.35">
      <c r="A1160" t="s">
        <v>1181</v>
      </c>
      <c r="B1160">
        <v>1973</v>
      </c>
      <c r="C1160" t="s">
        <v>2365</v>
      </c>
      <c r="D1160">
        <v>1</v>
      </c>
      <c r="E1160">
        <v>1</v>
      </c>
      <c r="F1160" s="10">
        <v>9566.99</v>
      </c>
      <c r="G1160" t="s">
        <v>2357</v>
      </c>
      <c r="H1160" t="s">
        <v>2361</v>
      </c>
      <c r="I1160" t="s">
        <v>2364</v>
      </c>
      <c r="J1160" s="8">
        <f t="shared" si="18"/>
        <v>26999</v>
      </c>
    </row>
    <row r="1161" spans="1:10" x14ac:dyDescent="0.35">
      <c r="A1161" t="s">
        <v>1180</v>
      </c>
      <c r="B1161">
        <v>1966</v>
      </c>
      <c r="C1161" t="s">
        <v>2365</v>
      </c>
      <c r="D1161">
        <v>4</v>
      </c>
      <c r="E1161">
        <v>0</v>
      </c>
      <c r="F1161" s="10">
        <v>9582.5400000000009</v>
      </c>
      <c r="G1161" t="s">
        <v>2358</v>
      </c>
      <c r="H1161" t="s">
        <v>2357</v>
      </c>
      <c r="I1161" t="s">
        <v>2359</v>
      </c>
      <c r="J1161" s="8">
        <f t="shared" si="18"/>
        <v>24445</v>
      </c>
    </row>
    <row r="1162" spans="1:10" x14ac:dyDescent="0.35">
      <c r="A1162" t="s">
        <v>1179</v>
      </c>
      <c r="B1162">
        <v>1973</v>
      </c>
      <c r="C1162" t="s">
        <v>2360</v>
      </c>
      <c r="D1162">
        <v>28</v>
      </c>
      <c r="E1162">
        <v>1</v>
      </c>
      <c r="F1162" s="10">
        <v>9583.89</v>
      </c>
      <c r="G1162" t="s">
        <v>2357</v>
      </c>
      <c r="H1162" t="s">
        <v>2358</v>
      </c>
      <c r="I1162" t="s">
        <v>2364</v>
      </c>
      <c r="J1162" s="8">
        <f t="shared" si="18"/>
        <v>26996</v>
      </c>
    </row>
    <row r="1163" spans="1:10" x14ac:dyDescent="0.35">
      <c r="A1163" t="s">
        <v>1178</v>
      </c>
      <c r="B1163">
        <v>1981</v>
      </c>
      <c r="C1163" t="s">
        <v>2367</v>
      </c>
      <c r="D1163">
        <v>18</v>
      </c>
      <c r="E1163">
        <v>1</v>
      </c>
      <c r="F1163" s="10">
        <v>9584.0400000000009</v>
      </c>
      <c r="G1163" t="s">
        <v>2357</v>
      </c>
      <c r="H1163" t="s">
        <v>2361</v>
      </c>
      <c r="I1163" t="s">
        <v>2377</v>
      </c>
      <c r="J1163" s="8">
        <f t="shared" si="18"/>
        <v>29877</v>
      </c>
    </row>
    <row r="1164" spans="1:10" x14ac:dyDescent="0.35">
      <c r="A1164" t="s">
        <v>1177</v>
      </c>
      <c r="B1164">
        <v>1964</v>
      </c>
      <c r="C1164" t="s">
        <v>2365</v>
      </c>
      <c r="D1164">
        <v>15</v>
      </c>
      <c r="E1164">
        <v>0</v>
      </c>
      <c r="F1164" s="10">
        <v>9597.6299999999992</v>
      </c>
      <c r="G1164" t="s">
        <v>2358</v>
      </c>
      <c r="H1164" t="s">
        <v>2358</v>
      </c>
      <c r="I1164" t="s">
        <v>2359</v>
      </c>
      <c r="J1164" s="8">
        <f t="shared" si="18"/>
        <v>23726</v>
      </c>
    </row>
    <row r="1165" spans="1:10" x14ac:dyDescent="0.35">
      <c r="A1165" t="s">
        <v>1176</v>
      </c>
      <c r="B1165">
        <v>1972</v>
      </c>
      <c r="C1165" t="s">
        <v>2365</v>
      </c>
      <c r="D1165">
        <v>27</v>
      </c>
      <c r="E1165">
        <v>1</v>
      </c>
      <c r="F1165" s="10">
        <v>9617.66</v>
      </c>
      <c r="G1165" t="s">
        <v>2358</v>
      </c>
      <c r="H1165" t="s">
        <v>2358</v>
      </c>
      <c r="I1165" t="s">
        <v>2371</v>
      </c>
      <c r="J1165" s="8">
        <f t="shared" si="18"/>
        <v>26660</v>
      </c>
    </row>
    <row r="1166" spans="1:10" x14ac:dyDescent="0.35">
      <c r="A1166" t="s">
        <v>1175</v>
      </c>
      <c r="B1166">
        <v>1982</v>
      </c>
      <c r="C1166" t="s">
        <v>2366</v>
      </c>
      <c r="D1166">
        <v>29</v>
      </c>
      <c r="E1166">
        <v>3</v>
      </c>
      <c r="F1166" s="10">
        <v>9619.18</v>
      </c>
      <c r="G1166" t="s">
        <v>2357</v>
      </c>
      <c r="H1166" t="s">
        <v>2361</v>
      </c>
      <c r="I1166" t="s">
        <v>2373</v>
      </c>
      <c r="J1166" s="8">
        <f t="shared" si="18"/>
        <v>30192</v>
      </c>
    </row>
    <row r="1167" spans="1:10" x14ac:dyDescent="0.35">
      <c r="A1167" t="s">
        <v>1174</v>
      </c>
      <c r="B1167">
        <v>1975</v>
      </c>
      <c r="C1167" t="s">
        <v>2367</v>
      </c>
      <c r="D1167">
        <v>29</v>
      </c>
      <c r="E1167">
        <v>3</v>
      </c>
      <c r="F1167" s="10">
        <v>9620.33</v>
      </c>
      <c r="G1167" t="s">
        <v>2358</v>
      </c>
      <c r="H1167" t="s">
        <v>2358</v>
      </c>
      <c r="I1167" t="s">
        <v>2364</v>
      </c>
      <c r="J1167" s="8">
        <f t="shared" si="18"/>
        <v>27696</v>
      </c>
    </row>
    <row r="1168" spans="1:10" x14ac:dyDescent="0.35">
      <c r="A1168" t="s">
        <v>1173</v>
      </c>
      <c r="B1168">
        <v>1970</v>
      </c>
      <c r="C1168" t="s">
        <v>2365</v>
      </c>
      <c r="D1168">
        <v>16</v>
      </c>
      <c r="E1168">
        <v>0</v>
      </c>
      <c r="F1168" s="10">
        <v>9625.92</v>
      </c>
      <c r="G1168" t="s">
        <v>2357</v>
      </c>
      <c r="H1168" t="s">
        <v>2358</v>
      </c>
      <c r="I1168" t="s">
        <v>2368</v>
      </c>
      <c r="J1168" s="8">
        <f t="shared" si="18"/>
        <v>25918</v>
      </c>
    </row>
    <row r="1169" spans="1:10" x14ac:dyDescent="0.35">
      <c r="A1169" t="s">
        <v>1172</v>
      </c>
      <c r="B1169">
        <v>1998</v>
      </c>
      <c r="C1169" t="s">
        <v>2362</v>
      </c>
      <c r="D1169">
        <v>23</v>
      </c>
      <c r="E1169">
        <v>0</v>
      </c>
      <c r="F1169" s="10">
        <v>9628.7900000000009</v>
      </c>
      <c r="G1169" t="s">
        <v>2357</v>
      </c>
      <c r="H1169" t="s">
        <v>2357</v>
      </c>
      <c r="I1169" t="s">
        <v>2380</v>
      </c>
      <c r="J1169" s="8">
        <f t="shared" si="18"/>
        <v>35969</v>
      </c>
    </row>
    <row r="1170" spans="1:10" x14ac:dyDescent="0.35">
      <c r="A1170" t="s">
        <v>1171</v>
      </c>
      <c r="B1170">
        <v>1979</v>
      </c>
      <c r="C1170" t="s">
        <v>2365</v>
      </c>
      <c r="D1170">
        <v>19</v>
      </c>
      <c r="E1170">
        <v>2</v>
      </c>
      <c r="F1170" s="10">
        <v>9630.2999999999993</v>
      </c>
      <c r="G1170" t="s">
        <v>2357</v>
      </c>
      <c r="H1170" t="s">
        <v>2357</v>
      </c>
      <c r="I1170" t="s">
        <v>2377</v>
      </c>
      <c r="J1170" s="8">
        <f t="shared" si="18"/>
        <v>29208</v>
      </c>
    </row>
    <row r="1171" spans="1:10" x14ac:dyDescent="0.35">
      <c r="A1171" t="s">
        <v>1170</v>
      </c>
      <c r="B1171">
        <v>1972</v>
      </c>
      <c r="C1171" t="s">
        <v>2367</v>
      </c>
      <c r="D1171">
        <v>23</v>
      </c>
      <c r="E1171">
        <v>2</v>
      </c>
      <c r="F1171" s="10">
        <v>9630.4</v>
      </c>
      <c r="G1171" t="s">
        <v>2357</v>
      </c>
      <c r="H1171" t="s">
        <v>2357</v>
      </c>
      <c r="I1171" t="s">
        <v>2368</v>
      </c>
      <c r="J1171" s="8">
        <f t="shared" si="18"/>
        <v>26595</v>
      </c>
    </row>
    <row r="1172" spans="1:10" x14ac:dyDescent="0.35">
      <c r="A1172" t="s">
        <v>1169</v>
      </c>
      <c r="B1172">
        <v>1968</v>
      </c>
      <c r="C1172" t="s">
        <v>2362</v>
      </c>
      <c r="D1172">
        <v>22</v>
      </c>
      <c r="E1172">
        <v>0</v>
      </c>
      <c r="F1172" s="10">
        <v>9630.91</v>
      </c>
      <c r="G1172" t="s">
        <v>2358</v>
      </c>
      <c r="H1172" t="s">
        <v>2357</v>
      </c>
      <c r="I1172" t="s">
        <v>2359</v>
      </c>
      <c r="J1172" s="8">
        <f t="shared" si="18"/>
        <v>25011</v>
      </c>
    </row>
    <row r="1173" spans="1:10" x14ac:dyDescent="0.35">
      <c r="A1173" t="s">
        <v>1168</v>
      </c>
      <c r="B1173">
        <v>1970</v>
      </c>
      <c r="C1173" t="s">
        <v>2363</v>
      </c>
      <c r="D1173">
        <v>30</v>
      </c>
      <c r="E1173">
        <v>0</v>
      </c>
      <c r="F1173" s="10">
        <v>9634.5400000000009</v>
      </c>
      <c r="G1173" t="s">
        <v>2357</v>
      </c>
      <c r="H1173" t="s">
        <v>2357</v>
      </c>
      <c r="I1173" t="s">
        <v>2368</v>
      </c>
      <c r="J1173" s="8">
        <f t="shared" si="18"/>
        <v>25841</v>
      </c>
    </row>
    <row r="1174" spans="1:10" x14ac:dyDescent="0.35">
      <c r="A1174" t="s">
        <v>1167</v>
      </c>
      <c r="B1174">
        <v>1971</v>
      </c>
      <c r="C1174" t="s">
        <v>2356</v>
      </c>
      <c r="D1174">
        <v>19</v>
      </c>
      <c r="E1174">
        <v>0</v>
      </c>
      <c r="F1174" s="10">
        <v>9644.25</v>
      </c>
      <c r="G1174" t="s">
        <v>2357</v>
      </c>
      <c r="H1174" t="s">
        <v>2361</v>
      </c>
      <c r="I1174" t="s">
        <v>2364</v>
      </c>
      <c r="J1174" s="8">
        <f t="shared" si="18"/>
        <v>26133</v>
      </c>
    </row>
    <row r="1175" spans="1:10" x14ac:dyDescent="0.35">
      <c r="A1175" t="s">
        <v>1166</v>
      </c>
      <c r="B1175">
        <v>1974</v>
      </c>
      <c r="C1175" t="s">
        <v>2356</v>
      </c>
      <c r="D1175">
        <v>8</v>
      </c>
      <c r="E1175">
        <v>0</v>
      </c>
      <c r="F1175" s="10">
        <v>9653.81</v>
      </c>
      <c r="G1175" t="s">
        <v>2357</v>
      </c>
      <c r="H1175" t="s">
        <v>2357</v>
      </c>
      <c r="I1175" t="s">
        <v>2368</v>
      </c>
      <c r="J1175" s="8">
        <f t="shared" si="18"/>
        <v>27218</v>
      </c>
    </row>
    <row r="1176" spans="1:10" x14ac:dyDescent="0.35">
      <c r="A1176" t="s">
        <v>1165</v>
      </c>
      <c r="B1176">
        <v>1981</v>
      </c>
      <c r="C1176" t="s">
        <v>2366</v>
      </c>
      <c r="D1176">
        <v>8</v>
      </c>
      <c r="E1176">
        <v>1</v>
      </c>
      <c r="F1176" s="10">
        <v>9664.34</v>
      </c>
      <c r="G1176" t="s">
        <v>2357</v>
      </c>
      <c r="H1176" t="s">
        <v>2358</v>
      </c>
      <c r="I1176" t="s">
        <v>2368</v>
      </c>
      <c r="J1176" s="8">
        <f t="shared" si="18"/>
        <v>29806</v>
      </c>
    </row>
    <row r="1177" spans="1:10" x14ac:dyDescent="0.35">
      <c r="A1177" t="s">
        <v>1164</v>
      </c>
      <c r="B1177">
        <v>1966</v>
      </c>
      <c r="C1177" t="s">
        <v>2363</v>
      </c>
      <c r="D1177">
        <v>16</v>
      </c>
      <c r="E1177">
        <v>0</v>
      </c>
      <c r="F1177" s="10">
        <v>9684.2900000000009</v>
      </c>
      <c r="G1177" t="s">
        <v>2358</v>
      </c>
      <c r="H1177" t="s">
        <v>2357</v>
      </c>
      <c r="I1177" t="s">
        <v>2359</v>
      </c>
      <c r="J1177" s="8">
        <f t="shared" si="18"/>
        <v>24366</v>
      </c>
    </row>
    <row r="1178" spans="1:10" x14ac:dyDescent="0.35">
      <c r="A1178" t="s">
        <v>1163</v>
      </c>
      <c r="B1178">
        <v>1964</v>
      </c>
      <c r="C1178" t="s">
        <v>2360</v>
      </c>
      <c r="D1178">
        <v>7</v>
      </c>
      <c r="E1178">
        <v>0</v>
      </c>
      <c r="F1178" s="10">
        <v>9698.42</v>
      </c>
      <c r="G1178" t="s">
        <v>2358</v>
      </c>
      <c r="H1178" t="s">
        <v>2358</v>
      </c>
      <c r="I1178" t="s">
        <v>2359</v>
      </c>
      <c r="J1178" s="8">
        <f t="shared" si="18"/>
        <v>23688</v>
      </c>
    </row>
    <row r="1179" spans="1:10" x14ac:dyDescent="0.35">
      <c r="A1179" t="s">
        <v>1162</v>
      </c>
      <c r="B1179">
        <v>1977</v>
      </c>
      <c r="C1179" t="s">
        <v>2363</v>
      </c>
      <c r="D1179">
        <v>19</v>
      </c>
      <c r="E1179">
        <v>3</v>
      </c>
      <c r="F1179" s="10">
        <v>9704.67</v>
      </c>
      <c r="G1179" t="s">
        <v>2357</v>
      </c>
      <c r="H1179" t="s">
        <v>2358</v>
      </c>
      <c r="I1179" t="s">
        <v>2374</v>
      </c>
      <c r="J1179" s="8">
        <f t="shared" si="18"/>
        <v>28387</v>
      </c>
    </row>
    <row r="1180" spans="1:10" x14ac:dyDescent="0.35">
      <c r="A1180" t="s">
        <v>1161</v>
      </c>
      <c r="B1180">
        <v>1972</v>
      </c>
      <c r="C1180" t="s">
        <v>2356</v>
      </c>
      <c r="D1180">
        <v>10</v>
      </c>
      <c r="E1180">
        <v>0</v>
      </c>
      <c r="F1180" s="10">
        <v>9710.7099999999991</v>
      </c>
      <c r="G1180" t="s">
        <v>2357</v>
      </c>
      <c r="H1180" t="s">
        <v>2361</v>
      </c>
      <c r="I1180" t="s">
        <v>2377</v>
      </c>
      <c r="J1180" s="8">
        <f t="shared" si="18"/>
        <v>26490</v>
      </c>
    </row>
    <row r="1181" spans="1:10" x14ac:dyDescent="0.35">
      <c r="A1181" t="s">
        <v>1160</v>
      </c>
      <c r="B1181">
        <v>1975</v>
      </c>
      <c r="C1181" t="s">
        <v>2362</v>
      </c>
      <c r="D1181">
        <v>27</v>
      </c>
      <c r="E1181">
        <v>2</v>
      </c>
      <c r="F1181" s="10">
        <v>9715.84</v>
      </c>
      <c r="G1181" t="s">
        <v>2357</v>
      </c>
      <c r="H1181" t="s">
        <v>2361</v>
      </c>
      <c r="I1181" t="s">
        <v>2374</v>
      </c>
      <c r="J1181" s="8">
        <f t="shared" si="18"/>
        <v>27572</v>
      </c>
    </row>
    <row r="1182" spans="1:10" x14ac:dyDescent="0.35">
      <c r="A1182" t="s">
        <v>1159</v>
      </c>
      <c r="B1182">
        <v>1970</v>
      </c>
      <c r="C1182" t="s">
        <v>2363</v>
      </c>
      <c r="D1182">
        <v>12</v>
      </c>
      <c r="E1182">
        <v>0</v>
      </c>
      <c r="F1182" s="10">
        <v>9722.77</v>
      </c>
      <c r="G1182" t="s">
        <v>2358</v>
      </c>
      <c r="H1182" t="s">
        <v>2361</v>
      </c>
      <c r="I1182" t="s">
        <v>2371</v>
      </c>
      <c r="J1182" s="8">
        <f t="shared" si="18"/>
        <v>25823</v>
      </c>
    </row>
    <row r="1183" spans="1:10" x14ac:dyDescent="0.35">
      <c r="A1183" t="s">
        <v>1158</v>
      </c>
      <c r="B1183">
        <v>1970</v>
      </c>
      <c r="C1183" t="s">
        <v>2366</v>
      </c>
      <c r="D1183">
        <v>18</v>
      </c>
      <c r="E1183">
        <v>1</v>
      </c>
      <c r="F1183" s="10">
        <v>9724.5300000000007</v>
      </c>
      <c r="G1183" t="s">
        <v>2358</v>
      </c>
      <c r="H1183" t="s">
        <v>2361</v>
      </c>
      <c r="I1183" t="s">
        <v>2368</v>
      </c>
      <c r="J1183" s="8">
        <f t="shared" si="18"/>
        <v>25798</v>
      </c>
    </row>
    <row r="1184" spans="1:10" x14ac:dyDescent="0.35">
      <c r="A1184" t="s">
        <v>1157</v>
      </c>
      <c r="B1184">
        <v>1970</v>
      </c>
      <c r="C1184" t="s">
        <v>2356</v>
      </c>
      <c r="D1184">
        <v>4</v>
      </c>
      <c r="E1184">
        <v>1</v>
      </c>
      <c r="F1184" s="10">
        <v>9748.91</v>
      </c>
      <c r="G1184" t="s">
        <v>2357</v>
      </c>
      <c r="H1184" t="s">
        <v>2361</v>
      </c>
      <c r="I1184" t="s">
        <v>2359</v>
      </c>
      <c r="J1184" s="8">
        <f t="shared" si="18"/>
        <v>25753</v>
      </c>
    </row>
    <row r="1185" spans="1:10" x14ac:dyDescent="0.35">
      <c r="A1185" t="s">
        <v>1156</v>
      </c>
      <c r="B1185">
        <v>2001</v>
      </c>
      <c r="C1185" t="s">
        <v>2356</v>
      </c>
      <c r="D1185">
        <v>14</v>
      </c>
      <c r="E1185">
        <v>0</v>
      </c>
      <c r="F1185" s="10">
        <v>9753.49</v>
      </c>
      <c r="G1185" t="s">
        <v>2357</v>
      </c>
      <c r="H1185" t="s">
        <v>2357</v>
      </c>
      <c r="I1185" t="s">
        <v>2364</v>
      </c>
      <c r="J1185" s="8">
        <f t="shared" si="18"/>
        <v>37086</v>
      </c>
    </row>
    <row r="1186" spans="1:10" x14ac:dyDescent="0.35">
      <c r="A1186" t="s">
        <v>1155</v>
      </c>
      <c r="B1186">
        <v>1965</v>
      </c>
      <c r="C1186" t="s">
        <v>2363</v>
      </c>
      <c r="D1186">
        <v>5</v>
      </c>
      <c r="E1186">
        <v>0</v>
      </c>
      <c r="F1186" s="10">
        <v>9764.08</v>
      </c>
      <c r="G1186" t="s">
        <v>2358</v>
      </c>
      <c r="H1186" t="s">
        <v>2361</v>
      </c>
      <c r="I1186" t="s">
        <v>2364</v>
      </c>
      <c r="J1186" s="8">
        <f t="shared" si="18"/>
        <v>23990</v>
      </c>
    </row>
    <row r="1187" spans="1:10" x14ac:dyDescent="0.35">
      <c r="A1187" t="s">
        <v>1154</v>
      </c>
      <c r="B1187">
        <v>1973</v>
      </c>
      <c r="C1187" t="s">
        <v>2356</v>
      </c>
      <c r="D1187">
        <v>7</v>
      </c>
      <c r="E1187">
        <v>1</v>
      </c>
      <c r="F1187" s="10">
        <v>9778.35</v>
      </c>
      <c r="G1187" t="s">
        <v>2357</v>
      </c>
      <c r="H1187" t="s">
        <v>2357</v>
      </c>
      <c r="I1187" t="s">
        <v>2374</v>
      </c>
      <c r="J1187" s="8">
        <f t="shared" si="18"/>
        <v>26852</v>
      </c>
    </row>
    <row r="1188" spans="1:10" x14ac:dyDescent="0.35">
      <c r="A1188" t="s">
        <v>1153</v>
      </c>
      <c r="B1188">
        <v>1996</v>
      </c>
      <c r="C1188" t="s">
        <v>2366</v>
      </c>
      <c r="D1188">
        <v>8</v>
      </c>
      <c r="E1188">
        <v>0</v>
      </c>
      <c r="F1188" s="10">
        <v>9787.32</v>
      </c>
      <c r="G1188" t="s">
        <v>2357</v>
      </c>
      <c r="H1188" t="s">
        <v>2358</v>
      </c>
      <c r="I1188" t="s">
        <v>2375</v>
      </c>
      <c r="J1188" s="8">
        <f t="shared" si="18"/>
        <v>35285</v>
      </c>
    </row>
    <row r="1189" spans="1:10" x14ac:dyDescent="0.35">
      <c r="A1189" t="s">
        <v>1152</v>
      </c>
      <c r="B1189">
        <v>1977</v>
      </c>
      <c r="C1189" t="s">
        <v>2362</v>
      </c>
      <c r="D1189">
        <v>7</v>
      </c>
      <c r="E1189">
        <v>5</v>
      </c>
      <c r="F1189" s="10">
        <v>9788.8700000000008</v>
      </c>
      <c r="G1189" t="s">
        <v>2358</v>
      </c>
      <c r="H1189" t="s">
        <v>2357</v>
      </c>
      <c r="I1189" t="s">
        <v>2359</v>
      </c>
      <c r="J1189" s="8">
        <f t="shared" si="18"/>
        <v>28283</v>
      </c>
    </row>
    <row r="1190" spans="1:10" x14ac:dyDescent="0.35">
      <c r="A1190" t="s">
        <v>1151</v>
      </c>
      <c r="B1190">
        <v>1973</v>
      </c>
      <c r="C1190" t="s">
        <v>2363</v>
      </c>
      <c r="D1190">
        <v>17</v>
      </c>
      <c r="E1190">
        <v>2</v>
      </c>
      <c r="F1190" s="10">
        <v>9800.89</v>
      </c>
      <c r="G1190" t="s">
        <v>2357</v>
      </c>
      <c r="H1190" t="s">
        <v>2361</v>
      </c>
      <c r="I1190" t="s">
        <v>2359</v>
      </c>
      <c r="J1190" s="8">
        <f t="shared" si="18"/>
        <v>26924</v>
      </c>
    </row>
    <row r="1191" spans="1:10" x14ac:dyDescent="0.35">
      <c r="A1191" t="s">
        <v>1150</v>
      </c>
      <c r="B1191">
        <v>1972</v>
      </c>
      <c r="C1191" t="s">
        <v>2362</v>
      </c>
      <c r="D1191">
        <v>28</v>
      </c>
      <c r="E1191">
        <v>0</v>
      </c>
      <c r="F1191" s="10">
        <v>9819.25</v>
      </c>
      <c r="G1191" t="s">
        <v>2357</v>
      </c>
      <c r="H1191" t="s">
        <v>2357</v>
      </c>
      <c r="I1191" t="s">
        <v>2377</v>
      </c>
      <c r="J1191" s="8">
        <f t="shared" si="18"/>
        <v>26478</v>
      </c>
    </row>
    <row r="1192" spans="1:10" x14ac:dyDescent="0.35">
      <c r="A1192" t="s">
        <v>1149</v>
      </c>
      <c r="B1192">
        <v>1972</v>
      </c>
      <c r="C1192" t="s">
        <v>2363</v>
      </c>
      <c r="D1192">
        <v>26</v>
      </c>
      <c r="E1192">
        <v>0</v>
      </c>
      <c r="F1192" s="10">
        <v>9836.2099999999991</v>
      </c>
      <c r="G1192" t="s">
        <v>2357</v>
      </c>
      <c r="H1192" t="s">
        <v>2358</v>
      </c>
      <c r="I1192" t="s">
        <v>2377</v>
      </c>
      <c r="J1192" s="8">
        <f t="shared" si="18"/>
        <v>26568</v>
      </c>
    </row>
    <row r="1193" spans="1:10" x14ac:dyDescent="0.35">
      <c r="A1193" t="s">
        <v>1148</v>
      </c>
      <c r="B1193">
        <v>1992</v>
      </c>
      <c r="C1193" t="s">
        <v>2366</v>
      </c>
      <c r="D1193">
        <v>13</v>
      </c>
      <c r="E1193">
        <v>0</v>
      </c>
      <c r="F1193" s="10">
        <v>9844.4500000000007</v>
      </c>
      <c r="G1193" t="s">
        <v>2357</v>
      </c>
      <c r="H1193" t="s">
        <v>2361</v>
      </c>
      <c r="I1193" t="s">
        <v>2364</v>
      </c>
      <c r="J1193" s="8">
        <f t="shared" si="18"/>
        <v>33829</v>
      </c>
    </row>
    <row r="1194" spans="1:10" x14ac:dyDescent="0.35">
      <c r="A1194" t="s">
        <v>1147</v>
      </c>
      <c r="B1194">
        <v>1968</v>
      </c>
      <c r="C1194" t="s">
        <v>2360</v>
      </c>
      <c r="D1194">
        <v>4</v>
      </c>
      <c r="E1194">
        <v>0</v>
      </c>
      <c r="F1194" s="10">
        <v>9850.43</v>
      </c>
      <c r="G1194" t="s">
        <v>2358</v>
      </c>
      <c r="H1194" t="s">
        <v>2358</v>
      </c>
      <c r="I1194" t="s">
        <v>2368</v>
      </c>
      <c r="J1194" s="8">
        <f t="shared" si="18"/>
        <v>25146</v>
      </c>
    </row>
    <row r="1195" spans="1:10" x14ac:dyDescent="0.35">
      <c r="A1195" t="s">
        <v>1146</v>
      </c>
      <c r="B1195">
        <v>1971</v>
      </c>
      <c r="C1195" t="s">
        <v>2367</v>
      </c>
      <c r="D1195">
        <v>23</v>
      </c>
      <c r="E1195">
        <v>1</v>
      </c>
      <c r="F1195" s="10">
        <v>9855.1299999999992</v>
      </c>
      <c r="G1195" t="s">
        <v>2357</v>
      </c>
      <c r="H1195" t="s">
        <v>2358</v>
      </c>
      <c r="I1195" t="s">
        <v>2359</v>
      </c>
      <c r="J1195" s="8">
        <f t="shared" si="18"/>
        <v>26229</v>
      </c>
    </row>
    <row r="1196" spans="1:10" x14ac:dyDescent="0.35">
      <c r="A1196" t="s">
        <v>1145</v>
      </c>
      <c r="B1196">
        <v>1971</v>
      </c>
      <c r="C1196" t="s">
        <v>2356</v>
      </c>
      <c r="D1196">
        <v>17</v>
      </c>
      <c r="E1196">
        <v>1</v>
      </c>
      <c r="F1196" s="10">
        <v>9861.0300000000007</v>
      </c>
      <c r="G1196" t="s">
        <v>2357</v>
      </c>
      <c r="H1196" t="s">
        <v>2357</v>
      </c>
      <c r="I1196" t="s">
        <v>2368</v>
      </c>
      <c r="J1196" s="8">
        <f t="shared" si="18"/>
        <v>26131</v>
      </c>
    </row>
    <row r="1197" spans="1:10" x14ac:dyDescent="0.35">
      <c r="A1197" t="s">
        <v>1144</v>
      </c>
      <c r="B1197">
        <v>1969</v>
      </c>
      <c r="C1197" t="s">
        <v>2367</v>
      </c>
      <c r="D1197">
        <v>20</v>
      </c>
      <c r="E1197">
        <v>0</v>
      </c>
      <c r="F1197" s="10">
        <v>9863.4699999999993</v>
      </c>
      <c r="G1197" t="s">
        <v>2358</v>
      </c>
      <c r="H1197" t="s">
        <v>2358</v>
      </c>
      <c r="I1197" t="s">
        <v>2364</v>
      </c>
      <c r="J1197" s="8">
        <f t="shared" si="18"/>
        <v>25496</v>
      </c>
    </row>
    <row r="1198" spans="1:10" x14ac:dyDescent="0.35">
      <c r="A1198" t="s">
        <v>1143</v>
      </c>
      <c r="B1198">
        <v>1971</v>
      </c>
      <c r="C1198" t="s">
        <v>2360</v>
      </c>
      <c r="D1198">
        <v>9</v>
      </c>
      <c r="E1198">
        <v>0</v>
      </c>
      <c r="F1198" s="10">
        <v>9866.2999999999993</v>
      </c>
      <c r="G1198" t="s">
        <v>2357</v>
      </c>
      <c r="H1198" t="s">
        <v>2358</v>
      </c>
      <c r="I1198" t="s">
        <v>2374</v>
      </c>
      <c r="J1198" s="8">
        <f t="shared" si="18"/>
        <v>26246</v>
      </c>
    </row>
    <row r="1199" spans="1:10" x14ac:dyDescent="0.35">
      <c r="A1199" t="s">
        <v>1142</v>
      </c>
      <c r="B1199">
        <v>1969</v>
      </c>
      <c r="C1199" t="s">
        <v>2366</v>
      </c>
      <c r="D1199">
        <v>13</v>
      </c>
      <c r="E1199">
        <v>0</v>
      </c>
      <c r="F1199" s="10">
        <v>9869.81</v>
      </c>
      <c r="G1199" t="s">
        <v>2358</v>
      </c>
      <c r="H1199" t="s">
        <v>2358</v>
      </c>
      <c r="I1199" t="s">
        <v>2364</v>
      </c>
      <c r="J1199" s="8">
        <f t="shared" si="18"/>
        <v>25428</v>
      </c>
    </row>
    <row r="1200" spans="1:10" x14ac:dyDescent="0.35">
      <c r="A1200" t="s">
        <v>1141</v>
      </c>
      <c r="B1200">
        <v>1998</v>
      </c>
      <c r="C1200" t="s">
        <v>2356</v>
      </c>
      <c r="D1200">
        <v>6</v>
      </c>
      <c r="E1200">
        <v>0</v>
      </c>
      <c r="F1200" s="10">
        <v>9870.59</v>
      </c>
      <c r="G1200" t="s">
        <v>2357</v>
      </c>
      <c r="H1200" t="s">
        <v>2357</v>
      </c>
      <c r="I1200" t="s">
        <v>2375</v>
      </c>
      <c r="J1200" s="8">
        <f t="shared" si="18"/>
        <v>35982</v>
      </c>
    </row>
    <row r="1201" spans="1:10" x14ac:dyDescent="0.35">
      <c r="A1201" t="s">
        <v>1140</v>
      </c>
      <c r="B1201">
        <v>1971</v>
      </c>
      <c r="C1201" t="s">
        <v>2365</v>
      </c>
      <c r="D1201">
        <v>22</v>
      </c>
      <c r="E1201">
        <v>1</v>
      </c>
      <c r="F1201" s="10">
        <v>9872.7000000000007</v>
      </c>
      <c r="G1201" t="s">
        <v>2357</v>
      </c>
      <c r="H1201" t="s">
        <v>2357</v>
      </c>
      <c r="I1201" t="s">
        <v>2368</v>
      </c>
      <c r="J1201" s="8">
        <f t="shared" si="18"/>
        <v>26289</v>
      </c>
    </row>
    <row r="1202" spans="1:10" x14ac:dyDescent="0.35">
      <c r="A1202" t="s">
        <v>1139</v>
      </c>
      <c r="B1202">
        <v>1971</v>
      </c>
      <c r="C1202" t="s">
        <v>2356</v>
      </c>
      <c r="D1202">
        <v>3</v>
      </c>
      <c r="E1202">
        <v>0</v>
      </c>
      <c r="F1202" s="10">
        <v>9875.68</v>
      </c>
      <c r="G1202" t="s">
        <v>2357</v>
      </c>
      <c r="H1202" t="s">
        <v>2358</v>
      </c>
      <c r="I1202" t="s">
        <v>2374</v>
      </c>
      <c r="J1202" s="8">
        <f t="shared" si="18"/>
        <v>26117</v>
      </c>
    </row>
    <row r="1203" spans="1:10" x14ac:dyDescent="0.35">
      <c r="A1203" t="s">
        <v>1138</v>
      </c>
      <c r="B1203">
        <v>1971</v>
      </c>
      <c r="C1203" t="s">
        <v>2367</v>
      </c>
      <c r="D1203">
        <v>3</v>
      </c>
      <c r="E1203">
        <v>1</v>
      </c>
      <c r="F1203" s="10">
        <v>9877.61</v>
      </c>
      <c r="G1203" t="s">
        <v>2357</v>
      </c>
      <c r="H1203" t="s">
        <v>2361</v>
      </c>
      <c r="I1203" t="s">
        <v>2359</v>
      </c>
      <c r="J1203" s="8">
        <f t="shared" si="18"/>
        <v>26209</v>
      </c>
    </row>
    <row r="1204" spans="1:10" x14ac:dyDescent="0.35">
      <c r="A1204" t="s">
        <v>1137</v>
      </c>
      <c r="B1204">
        <v>1971</v>
      </c>
      <c r="C1204" t="s">
        <v>2360</v>
      </c>
      <c r="D1204">
        <v>8</v>
      </c>
      <c r="E1204">
        <v>1</v>
      </c>
      <c r="F1204" s="10">
        <v>9880.07</v>
      </c>
      <c r="G1204" t="s">
        <v>2357</v>
      </c>
      <c r="H1204" t="s">
        <v>2358</v>
      </c>
      <c r="I1204" t="s">
        <v>2368</v>
      </c>
      <c r="J1204" s="8">
        <f t="shared" si="18"/>
        <v>26245</v>
      </c>
    </row>
    <row r="1205" spans="1:10" x14ac:dyDescent="0.35">
      <c r="A1205" t="s">
        <v>1136</v>
      </c>
      <c r="B1205">
        <v>1966</v>
      </c>
      <c r="C1205" t="s">
        <v>2360</v>
      </c>
      <c r="D1205">
        <v>5</v>
      </c>
      <c r="E1205">
        <v>0</v>
      </c>
      <c r="F1205" s="10">
        <v>9890.23</v>
      </c>
      <c r="G1205" t="s">
        <v>2358</v>
      </c>
      <c r="H1205" t="s">
        <v>2358</v>
      </c>
      <c r="I1205" t="s">
        <v>2359</v>
      </c>
      <c r="J1205" s="8">
        <f t="shared" si="18"/>
        <v>24416</v>
      </c>
    </row>
    <row r="1206" spans="1:10" x14ac:dyDescent="0.35">
      <c r="A1206" t="s">
        <v>1135</v>
      </c>
      <c r="B1206">
        <v>1996</v>
      </c>
      <c r="C1206" t="s">
        <v>2356</v>
      </c>
      <c r="D1206">
        <v>8</v>
      </c>
      <c r="E1206">
        <v>0</v>
      </c>
      <c r="F1206" s="10">
        <v>9894.69</v>
      </c>
      <c r="G1206" t="s">
        <v>2357</v>
      </c>
      <c r="H1206" t="s">
        <v>2358</v>
      </c>
      <c r="I1206" t="s">
        <v>2364</v>
      </c>
      <c r="J1206" s="8">
        <f t="shared" si="18"/>
        <v>35254</v>
      </c>
    </row>
    <row r="1207" spans="1:10" x14ac:dyDescent="0.35">
      <c r="A1207" t="s">
        <v>1134</v>
      </c>
      <c r="B1207">
        <v>1962</v>
      </c>
      <c r="C1207" t="s">
        <v>2366</v>
      </c>
      <c r="D1207">
        <v>17</v>
      </c>
      <c r="E1207">
        <v>0</v>
      </c>
      <c r="F1207" s="10">
        <v>9907.83</v>
      </c>
      <c r="G1207" t="s">
        <v>2358</v>
      </c>
      <c r="H1207" t="s">
        <v>2357</v>
      </c>
      <c r="I1207" t="s">
        <v>2359</v>
      </c>
      <c r="J1207" s="8">
        <f t="shared" si="18"/>
        <v>22875</v>
      </c>
    </row>
    <row r="1208" spans="1:10" x14ac:dyDescent="0.35">
      <c r="A1208" t="s">
        <v>1133</v>
      </c>
      <c r="B1208">
        <v>1972</v>
      </c>
      <c r="C1208" t="s">
        <v>2363</v>
      </c>
      <c r="D1208">
        <v>14</v>
      </c>
      <c r="E1208">
        <v>1</v>
      </c>
      <c r="F1208" s="10">
        <v>9910.36</v>
      </c>
      <c r="G1208" t="s">
        <v>2357</v>
      </c>
      <c r="H1208" t="s">
        <v>2358</v>
      </c>
      <c r="I1208" t="s">
        <v>2364</v>
      </c>
      <c r="J1208" s="8">
        <f t="shared" si="18"/>
        <v>26556</v>
      </c>
    </row>
    <row r="1209" spans="1:10" x14ac:dyDescent="0.35">
      <c r="A1209" t="s">
        <v>1132</v>
      </c>
      <c r="B1209">
        <v>1985</v>
      </c>
      <c r="C1209" t="s">
        <v>2366</v>
      </c>
      <c r="D1209">
        <v>19</v>
      </c>
      <c r="E1209">
        <v>3</v>
      </c>
      <c r="F1209" s="10">
        <v>9930.64</v>
      </c>
      <c r="G1209" t="s">
        <v>2357</v>
      </c>
      <c r="H1209" t="s">
        <v>2358</v>
      </c>
      <c r="I1209" t="s">
        <v>2373</v>
      </c>
      <c r="J1209" s="8">
        <f t="shared" si="18"/>
        <v>31278</v>
      </c>
    </row>
    <row r="1210" spans="1:10" x14ac:dyDescent="0.35">
      <c r="A1210" t="s">
        <v>1131</v>
      </c>
      <c r="B1210">
        <v>1983</v>
      </c>
      <c r="C1210" t="s">
        <v>2365</v>
      </c>
      <c r="D1210">
        <v>3</v>
      </c>
      <c r="E1210">
        <v>3</v>
      </c>
      <c r="F1210" s="10">
        <v>9931.9599999999991</v>
      </c>
      <c r="G1210" t="s">
        <v>2357</v>
      </c>
      <c r="H1210" t="s">
        <v>2357</v>
      </c>
      <c r="I1210" t="s">
        <v>2364</v>
      </c>
      <c r="J1210" s="8">
        <f t="shared" si="18"/>
        <v>30653</v>
      </c>
    </row>
    <row r="1211" spans="1:10" x14ac:dyDescent="0.35">
      <c r="A1211" t="s">
        <v>1130</v>
      </c>
      <c r="B1211">
        <v>1964</v>
      </c>
      <c r="C1211" t="s">
        <v>2363</v>
      </c>
      <c r="D1211">
        <v>11</v>
      </c>
      <c r="E1211">
        <v>0</v>
      </c>
      <c r="F1211" s="10">
        <v>9933.44</v>
      </c>
      <c r="G1211" t="s">
        <v>2358</v>
      </c>
      <c r="H1211" t="s">
        <v>2358</v>
      </c>
      <c r="I1211" t="s">
        <v>2359</v>
      </c>
      <c r="J1211" s="8">
        <f t="shared" si="18"/>
        <v>23631</v>
      </c>
    </row>
    <row r="1212" spans="1:10" x14ac:dyDescent="0.35">
      <c r="A1212" t="s">
        <v>1129</v>
      </c>
      <c r="B1212">
        <v>1971</v>
      </c>
      <c r="C1212" t="s">
        <v>2365</v>
      </c>
      <c r="D1212">
        <v>26</v>
      </c>
      <c r="E1212">
        <v>1</v>
      </c>
      <c r="F1212" s="10">
        <v>9957.7199999999993</v>
      </c>
      <c r="G1212" t="s">
        <v>2357</v>
      </c>
      <c r="H1212" t="s">
        <v>2358</v>
      </c>
      <c r="I1212" t="s">
        <v>2372</v>
      </c>
      <c r="J1212" s="8">
        <f t="shared" si="18"/>
        <v>26293</v>
      </c>
    </row>
    <row r="1213" spans="1:10" x14ac:dyDescent="0.35">
      <c r="A1213" t="s">
        <v>1128</v>
      </c>
      <c r="B1213">
        <v>1971</v>
      </c>
      <c r="C1213" t="s">
        <v>2367</v>
      </c>
      <c r="D1213">
        <v>6</v>
      </c>
      <c r="E1213">
        <v>1</v>
      </c>
      <c r="F1213" s="10">
        <v>9964.06</v>
      </c>
      <c r="G1213" t="s">
        <v>2357</v>
      </c>
      <c r="H1213" t="s">
        <v>2357</v>
      </c>
      <c r="I1213" t="s">
        <v>2370</v>
      </c>
      <c r="J1213" s="8">
        <f t="shared" si="18"/>
        <v>26212</v>
      </c>
    </row>
    <row r="1214" spans="1:10" x14ac:dyDescent="0.35">
      <c r="A1214" t="s">
        <v>1127</v>
      </c>
      <c r="B1214">
        <v>1970</v>
      </c>
      <c r="C1214" t="s">
        <v>2366</v>
      </c>
      <c r="D1214">
        <v>11</v>
      </c>
      <c r="E1214">
        <v>0</v>
      </c>
      <c r="F1214" s="10">
        <v>9991.0400000000009</v>
      </c>
      <c r="G1214" t="s">
        <v>2357</v>
      </c>
      <c r="H1214" t="s">
        <v>2358</v>
      </c>
      <c r="I1214" t="s">
        <v>2364</v>
      </c>
      <c r="J1214" s="8">
        <f t="shared" si="18"/>
        <v>25791</v>
      </c>
    </row>
    <row r="1215" spans="1:10" x14ac:dyDescent="0.35">
      <c r="A1215" t="s">
        <v>1126</v>
      </c>
      <c r="B1215">
        <v>1988</v>
      </c>
      <c r="C1215" t="s">
        <v>2356</v>
      </c>
      <c r="D1215">
        <v>3</v>
      </c>
      <c r="E1215">
        <v>3</v>
      </c>
      <c r="F1215" s="10">
        <v>10011.44</v>
      </c>
      <c r="G1215" t="s">
        <v>2358</v>
      </c>
      <c r="H1215" t="s">
        <v>2358</v>
      </c>
      <c r="I1215" t="s">
        <v>2380</v>
      </c>
      <c r="J1215" s="8">
        <f t="shared" si="18"/>
        <v>32327</v>
      </c>
    </row>
    <row r="1216" spans="1:10" x14ac:dyDescent="0.35">
      <c r="A1216" t="s">
        <v>1125</v>
      </c>
      <c r="B1216">
        <v>1979</v>
      </c>
      <c r="C1216" t="s">
        <v>2365</v>
      </c>
      <c r="D1216">
        <v>28</v>
      </c>
      <c r="E1216">
        <v>2</v>
      </c>
      <c r="F1216" s="10">
        <v>10027.15</v>
      </c>
      <c r="G1216" t="s">
        <v>2358</v>
      </c>
      <c r="H1216" t="s">
        <v>2361</v>
      </c>
      <c r="I1216" t="s">
        <v>2377</v>
      </c>
      <c r="J1216" s="8">
        <f t="shared" si="18"/>
        <v>29217</v>
      </c>
    </row>
    <row r="1217" spans="1:10" x14ac:dyDescent="0.35">
      <c r="A1217" t="s">
        <v>1124</v>
      </c>
      <c r="B1217">
        <v>1974</v>
      </c>
      <c r="C1217" t="s">
        <v>2366</v>
      </c>
      <c r="D1217">
        <v>30</v>
      </c>
      <c r="E1217">
        <v>2</v>
      </c>
      <c r="F1217" s="10">
        <v>10043.25</v>
      </c>
      <c r="G1217" t="s">
        <v>2358</v>
      </c>
      <c r="H1217" t="s">
        <v>2357</v>
      </c>
      <c r="I1217" t="s">
        <v>2374</v>
      </c>
      <c r="J1217" s="8">
        <f t="shared" si="18"/>
        <v>27271</v>
      </c>
    </row>
    <row r="1218" spans="1:10" x14ac:dyDescent="0.35">
      <c r="A1218" t="s">
        <v>1123</v>
      </c>
      <c r="B1218">
        <v>1969</v>
      </c>
      <c r="C1218" t="s">
        <v>2366</v>
      </c>
      <c r="D1218">
        <v>22</v>
      </c>
      <c r="E1218">
        <v>1</v>
      </c>
      <c r="F1218" s="10">
        <v>10065.41</v>
      </c>
      <c r="G1218" t="s">
        <v>2358</v>
      </c>
      <c r="H1218" t="s">
        <v>2357</v>
      </c>
      <c r="I1218" t="s">
        <v>2368</v>
      </c>
      <c r="J1218" s="8">
        <f t="shared" si="18"/>
        <v>25437</v>
      </c>
    </row>
    <row r="1219" spans="1:10" x14ac:dyDescent="0.35">
      <c r="A1219" t="s">
        <v>1122</v>
      </c>
      <c r="B1219">
        <v>1969</v>
      </c>
      <c r="C1219" t="s">
        <v>2367</v>
      </c>
      <c r="D1219">
        <v>27</v>
      </c>
      <c r="E1219">
        <v>0</v>
      </c>
      <c r="F1219" s="10">
        <v>10072.06</v>
      </c>
      <c r="G1219" t="s">
        <v>2358</v>
      </c>
      <c r="H1219" t="s">
        <v>2361</v>
      </c>
      <c r="I1219" t="s">
        <v>2378</v>
      </c>
      <c r="J1219" s="8">
        <f t="shared" ref="J1219:J1282" si="19">DATE(B1219,MONTH(1&amp;C1219),D1219)</f>
        <v>25503</v>
      </c>
    </row>
    <row r="1220" spans="1:10" x14ac:dyDescent="0.35">
      <c r="A1220" t="s">
        <v>1121</v>
      </c>
      <c r="B1220">
        <v>1969</v>
      </c>
      <c r="C1220" t="s">
        <v>2356</v>
      </c>
      <c r="D1220">
        <v>3</v>
      </c>
      <c r="E1220">
        <v>1</v>
      </c>
      <c r="F1220" s="10">
        <v>10085.85</v>
      </c>
      <c r="G1220" t="s">
        <v>2358</v>
      </c>
      <c r="H1220" t="s">
        <v>2358</v>
      </c>
      <c r="I1220" t="s">
        <v>2368</v>
      </c>
      <c r="J1220" s="8">
        <f t="shared" si="19"/>
        <v>25387</v>
      </c>
    </row>
    <row r="1221" spans="1:10" x14ac:dyDescent="0.35">
      <c r="A1221" t="s">
        <v>1120</v>
      </c>
      <c r="B1221">
        <v>1976</v>
      </c>
      <c r="C1221" t="s">
        <v>2365</v>
      </c>
      <c r="D1221">
        <v>19</v>
      </c>
      <c r="E1221">
        <v>5</v>
      </c>
      <c r="F1221" s="10">
        <v>10096.969999999999</v>
      </c>
      <c r="G1221" t="s">
        <v>2358</v>
      </c>
      <c r="H1221" t="s">
        <v>2357</v>
      </c>
      <c r="I1221" t="s">
        <v>2368</v>
      </c>
      <c r="J1221" s="8">
        <f t="shared" si="19"/>
        <v>28113</v>
      </c>
    </row>
    <row r="1222" spans="1:10" x14ac:dyDescent="0.35">
      <c r="A1222" t="s">
        <v>1119</v>
      </c>
      <c r="B1222">
        <v>1972</v>
      </c>
      <c r="C1222" t="s">
        <v>2367</v>
      </c>
      <c r="D1222">
        <v>19</v>
      </c>
      <c r="E1222">
        <v>1</v>
      </c>
      <c r="F1222" s="10">
        <v>10106.129999999999</v>
      </c>
      <c r="G1222" t="s">
        <v>2358</v>
      </c>
      <c r="H1222" t="s">
        <v>2361</v>
      </c>
      <c r="I1222" t="s">
        <v>2374</v>
      </c>
      <c r="J1222" s="8">
        <f t="shared" si="19"/>
        <v>26591</v>
      </c>
    </row>
    <row r="1223" spans="1:10" x14ac:dyDescent="0.35">
      <c r="A1223" t="s">
        <v>1118</v>
      </c>
      <c r="B1223">
        <v>1972</v>
      </c>
      <c r="C1223" t="s">
        <v>2366</v>
      </c>
      <c r="D1223">
        <v>8</v>
      </c>
      <c r="E1223">
        <v>2</v>
      </c>
      <c r="F1223" s="10">
        <v>10107.219999999999</v>
      </c>
      <c r="G1223" t="s">
        <v>2358</v>
      </c>
      <c r="H1223" t="s">
        <v>2361</v>
      </c>
      <c r="I1223" t="s">
        <v>2359</v>
      </c>
      <c r="J1223" s="8">
        <f t="shared" si="19"/>
        <v>26519</v>
      </c>
    </row>
    <row r="1224" spans="1:10" x14ac:dyDescent="0.35">
      <c r="A1224" t="s">
        <v>1117</v>
      </c>
      <c r="B1224">
        <v>1975</v>
      </c>
      <c r="C1224" t="s">
        <v>2356</v>
      </c>
      <c r="D1224">
        <v>2</v>
      </c>
      <c r="E1224">
        <v>3</v>
      </c>
      <c r="F1224" s="10">
        <v>10115.01</v>
      </c>
      <c r="G1224" t="s">
        <v>2358</v>
      </c>
      <c r="H1224" t="s">
        <v>2358</v>
      </c>
      <c r="I1224" t="s">
        <v>2364</v>
      </c>
      <c r="J1224" s="8">
        <f t="shared" si="19"/>
        <v>27577</v>
      </c>
    </row>
    <row r="1225" spans="1:10" x14ac:dyDescent="0.35">
      <c r="A1225" t="s">
        <v>1116</v>
      </c>
      <c r="B1225">
        <v>1972</v>
      </c>
      <c r="C1225" t="s">
        <v>2360</v>
      </c>
      <c r="D1225">
        <v>16</v>
      </c>
      <c r="E1225">
        <v>2</v>
      </c>
      <c r="F1225" s="10">
        <v>10118.42</v>
      </c>
      <c r="G1225" t="s">
        <v>2358</v>
      </c>
      <c r="H1225" t="s">
        <v>2358</v>
      </c>
      <c r="I1225" t="s">
        <v>2368</v>
      </c>
      <c r="J1225" s="8">
        <f t="shared" si="19"/>
        <v>26619</v>
      </c>
    </row>
    <row r="1226" spans="1:10" x14ac:dyDescent="0.35">
      <c r="A1226" t="s">
        <v>1115</v>
      </c>
      <c r="B1226">
        <v>1997</v>
      </c>
      <c r="C1226" t="s">
        <v>2363</v>
      </c>
      <c r="D1226">
        <v>5</v>
      </c>
      <c r="E1226">
        <v>0</v>
      </c>
      <c r="F1226" s="10">
        <v>10139.84</v>
      </c>
      <c r="G1226" t="s">
        <v>2358</v>
      </c>
      <c r="H1226" t="s">
        <v>2357</v>
      </c>
      <c r="I1226" t="s">
        <v>2364</v>
      </c>
      <c r="J1226" s="8">
        <f t="shared" si="19"/>
        <v>35678</v>
      </c>
    </row>
    <row r="1227" spans="1:10" x14ac:dyDescent="0.35">
      <c r="A1227" t="s">
        <v>1114</v>
      </c>
      <c r="B1227">
        <v>1974</v>
      </c>
      <c r="C1227" t="s">
        <v>2365</v>
      </c>
      <c r="D1227">
        <v>30</v>
      </c>
      <c r="E1227">
        <v>3</v>
      </c>
      <c r="F1227" s="10">
        <v>10141.14</v>
      </c>
      <c r="G1227" t="s">
        <v>2358</v>
      </c>
      <c r="H1227" t="s">
        <v>2361</v>
      </c>
      <c r="I1227" t="s">
        <v>2371</v>
      </c>
      <c r="J1227" s="8">
        <f t="shared" si="19"/>
        <v>27393</v>
      </c>
    </row>
    <row r="1228" spans="1:10" x14ac:dyDescent="0.35">
      <c r="A1228" t="s">
        <v>1113</v>
      </c>
      <c r="B1228">
        <v>1981</v>
      </c>
      <c r="C1228" t="s">
        <v>2362</v>
      </c>
      <c r="D1228">
        <v>12</v>
      </c>
      <c r="E1228">
        <v>1</v>
      </c>
      <c r="F1228" s="10">
        <v>10146.129999999999</v>
      </c>
      <c r="G1228" t="s">
        <v>2358</v>
      </c>
      <c r="H1228" t="s">
        <v>2361</v>
      </c>
      <c r="I1228" t="s">
        <v>2373</v>
      </c>
      <c r="J1228" s="8">
        <f t="shared" si="19"/>
        <v>29749</v>
      </c>
    </row>
    <row r="1229" spans="1:10" x14ac:dyDescent="0.35">
      <c r="A1229" t="s">
        <v>1112</v>
      </c>
      <c r="B1229">
        <v>1973</v>
      </c>
      <c r="C1229" t="s">
        <v>2367</v>
      </c>
      <c r="D1229">
        <v>13</v>
      </c>
      <c r="E1229">
        <v>2</v>
      </c>
      <c r="F1229" s="10">
        <v>10156.780000000001</v>
      </c>
      <c r="G1229" t="s">
        <v>2358</v>
      </c>
      <c r="H1229" t="s">
        <v>2357</v>
      </c>
      <c r="I1229" t="s">
        <v>2364</v>
      </c>
      <c r="J1229" s="8">
        <f t="shared" si="19"/>
        <v>26950</v>
      </c>
    </row>
    <row r="1230" spans="1:10" x14ac:dyDescent="0.35">
      <c r="A1230" t="s">
        <v>1111</v>
      </c>
      <c r="B1230">
        <v>1972</v>
      </c>
      <c r="C1230" t="s">
        <v>2356</v>
      </c>
      <c r="D1230">
        <v>10</v>
      </c>
      <c r="E1230">
        <v>0</v>
      </c>
      <c r="F1230" s="10">
        <v>10160.870000000001</v>
      </c>
      <c r="G1230" t="s">
        <v>2358</v>
      </c>
      <c r="H1230" t="s">
        <v>2358</v>
      </c>
      <c r="I1230" t="s">
        <v>2373</v>
      </c>
      <c r="J1230" s="8">
        <f t="shared" si="19"/>
        <v>26490</v>
      </c>
    </row>
    <row r="1231" spans="1:10" x14ac:dyDescent="0.35">
      <c r="A1231" t="s">
        <v>1110</v>
      </c>
      <c r="B1231">
        <v>1985</v>
      </c>
      <c r="C1231" t="s">
        <v>2367</v>
      </c>
      <c r="D1231">
        <v>16</v>
      </c>
      <c r="E1231">
        <v>3</v>
      </c>
      <c r="F1231" s="10">
        <v>10191.82</v>
      </c>
      <c r="G1231" t="s">
        <v>2358</v>
      </c>
      <c r="H1231" t="s">
        <v>2357</v>
      </c>
      <c r="I1231" t="s">
        <v>2380</v>
      </c>
      <c r="J1231" s="8">
        <f t="shared" si="19"/>
        <v>31336</v>
      </c>
    </row>
    <row r="1232" spans="1:10" x14ac:dyDescent="0.35">
      <c r="A1232" t="s">
        <v>1109</v>
      </c>
      <c r="B1232">
        <v>1970</v>
      </c>
      <c r="C1232" t="s">
        <v>2365</v>
      </c>
      <c r="D1232">
        <v>24</v>
      </c>
      <c r="E1232">
        <v>0</v>
      </c>
      <c r="F1232" s="10">
        <v>10197.77</v>
      </c>
      <c r="G1232" t="s">
        <v>2358</v>
      </c>
      <c r="H1232" t="s">
        <v>2361</v>
      </c>
      <c r="I1232" t="s">
        <v>2374</v>
      </c>
      <c r="J1232" s="8">
        <f t="shared" si="19"/>
        <v>25926</v>
      </c>
    </row>
    <row r="1233" spans="1:10" x14ac:dyDescent="0.35">
      <c r="A1233" t="s">
        <v>1108</v>
      </c>
      <c r="B1233">
        <v>1967</v>
      </c>
      <c r="C1233" t="s">
        <v>2363</v>
      </c>
      <c r="D1233">
        <v>26</v>
      </c>
      <c r="E1233">
        <v>0</v>
      </c>
      <c r="F1233" s="10">
        <v>10214.64</v>
      </c>
      <c r="G1233" t="s">
        <v>2358</v>
      </c>
      <c r="H1233" t="s">
        <v>2357</v>
      </c>
      <c r="I1233" t="s">
        <v>2368</v>
      </c>
      <c r="J1233" s="8">
        <f t="shared" si="19"/>
        <v>24741</v>
      </c>
    </row>
    <row r="1234" spans="1:10" x14ac:dyDescent="0.35">
      <c r="A1234" t="s">
        <v>1107</v>
      </c>
      <c r="B1234">
        <v>1967</v>
      </c>
      <c r="C1234" t="s">
        <v>2362</v>
      </c>
      <c r="D1234">
        <v>28</v>
      </c>
      <c r="E1234">
        <v>0</v>
      </c>
      <c r="F1234" s="10">
        <v>10226.280000000001</v>
      </c>
      <c r="G1234" t="s">
        <v>2358</v>
      </c>
      <c r="H1234" t="s">
        <v>2358</v>
      </c>
      <c r="I1234" t="s">
        <v>2359</v>
      </c>
      <c r="J1234" s="8">
        <f t="shared" si="19"/>
        <v>24651</v>
      </c>
    </row>
    <row r="1235" spans="1:10" x14ac:dyDescent="0.35">
      <c r="A1235" t="s">
        <v>1106</v>
      </c>
      <c r="B1235">
        <v>1968</v>
      </c>
      <c r="C1235" t="s">
        <v>2363</v>
      </c>
      <c r="D1235">
        <v>23</v>
      </c>
      <c r="E1235">
        <v>0</v>
      </c>
      <c r="F1235" s="10">
        <v>10231.5</v>
      </c>
      <c r="G1235" t="s">
        <v>2358</v>
      </c>
      <c r="H1235" t="s">
        <v>2361</v>
      </c>
      <c r="I1235" t="s">
        <v>2364</v>
      </c>
      <c r="J1235" s="8">
        <f t="shared" si="19"/>
        <v>25104</v>
      </c>
    </row>
    <row r="1236" spans="1:10" x14ac:dyDescent="0.35">
      <c r="A1236" t="s">
        <v>1105</v>
      </c>
      <c r="B1236">
        <v>1975</v>
      </c>
      <c r="C1236" t="s">
        <v>2366</v>
      </c>
      <c r="D1236">
        <v>15</v>
      </c>
      <c r="E1236">
        <v>1</v>
      </c>
      <c r="F1236" s="10">
        <v>10259.129999999999</v>
      </c>
      <c r="G1236" t="s">
        <v>2358</v>
      </c>
      <c r="H1236" t="s">
        <v>2357</v>
      </c>
      <c r="I1236" t="s">
        <v>2368</v>
      </c>
      <c r="J1236" s="8">
        <f t="shared" si="19"/>
        <v>27621</v>
      </c>
    </row>
    <row r="1237" spans="1:10" x14ac:dyDescent="0.35">
      <c r="A1237" t="s">
        <v>1104</v>
      </c>
      <c r="B1237">
        <v>1973</v>
      </c>
      <c r="C1237" t="s">
        <v>2363</v>
      </c>
      <c r="D1237">
        <v>5</v>
      </c>
      <c r="E1237">
        <v>3</v>
      </c>
      <c r="F1237" s="10">
        <v>10264.44</v>
      </c>
      <c r="G1237" t="s">
        <v>2358</v>
      </c>
      <c r="H1237" t="s">
        <v>2357</v>
      </c>
      <c r="I1237" t="s">
        <v>2364</v>
      </c>
      <c r="J1237" s="8">
        <f t="shared" si="19"/>
        <v>26912</v>
      </c>
    </row>
    <row r="1238" spans="1:10" x14ac:dyDescent="0.35">
      <c r="A1238" t="s">
        <v>1103</v>
      </c>
      <c r="B1238">
        <v>1973</v>
      </c>
      <c r="C1238" t="s">
        <v>2360</v>
      </c>
      <c r="D1238">
        <v>27</v>
      </c>
      <c r="E1238">
        <v>3</v>
      </c>
      <c r="F1238" s="10">
        <v>10269.459999999999</v>
      </c>
      <c r="G1238" t="s">
        <v>2358</v>
      </c>
      <c r="H1238" t="s">
        <v>2358</v>
      </c>
      <c r="I1238" t="s">
        <v>2364</v>
      </c>
      <c r="J1238" s="8">
        <f t="shared" si="19"/>
        <v>26995</v>
      </c>
    </row>
    <row r="1239" spans="1:10" x14ac:dyDescent="0.35">
      <c r="A1239" t="s">
        <v>1102</v>
      </c>
      <c r="B1239">
        <v>1970</v>
      </c>
      <c r="C1239" t="s">
        <v>2362</v>
      </c>
      <c r="D1239">
        <v>21</v>
      </c>
      <c r="E1239">
        <v>0</v>
      </c>
      <c r="F1239" s="10">
        <v>10274.33</v>
      </c>
      <c r="G1239" t="s">
        <v>2358</v>
      </c>
      <c r="H1239" t="s">
        <v>2361</v>
      </c>
      <c r="I1239" t="s">
        <v>2374</v>
      </c>
      <c r="J1239" s="8">
        <f t="shared" si="19"/>
        <v>25740</v>
      </c>
    </row>
    <row r="1240" spans="1:10" x14ac:dyDescent="0.35">
      <c r="A1240" t="s">
        <v>1101</v>
      </c>
      <c r="B1240">
        <v>1988</v>
      </c>
      <c r="C1240" t="s">
        <v>2363</v>
      </c>
      <c r="D1240">
        <v>14</v>
      </c>
      <c r="E1240">
        <v>3</v>
      </c>
      <c r="F1240" s="10">
        <v>10276.99</v>
      </c>
      <c r="G1240" t="s">
        <v>2358</v>
      </c>
      <c r="H1240" t="s">
        <v>2361</v>
      </c>
      <c r="I1240" t="s">
        <v>2377</v>
      </c>
      <c r="J1240" s="8">
        <f t="shared" si="19"/>
        <v>32400</v>
      </c>
    </row>
    <row r="1241" spans="1:10" x14ac:dyDescent="0.35">
      <c r="A1241" t="s">
        <v>1100</v>
      </c>
      <c r="B1241">
        <v>1963</v>
      </c>
      <c r="C1241" t="s">
        <v>2363</v>
      </c>
      <c r="D1241">
        <v>24</v>
      </c>
      <c r="E1241">
        <v>0</v>
      </c>
      <c r="F1241" s="10">
        <v>10308.040000000001</v>
      </c>
      <c r="G1241" t="s">
        <v>2358</v>
      </c>
      <c r="H1241" t="s">
        <v>2361</v>
      </c>
      <c r="I1241" t="s">
        <v>2359</v>
      </c>
      <c r="J1241" s="8">
        <f t="shared" si="19"/>
        <v>23278</v>
      </c>
    </row>
    <row r="1242" spans="1:10" x14ac:dyDescent="0.35">
      <c r="A1242" t="s">
        <v>1099</v>
      </c>
      <c r="B1242">
        <v>1962</v>
      </c>
      <c r="C1242" t="s">
        <v>2356</v>
      </c>
      <c r="D1242">
        <v>12</v>
      </c>
      <c r="E1242">
        <v>0</v>
      </c>
      <c r="F1242" s="10">
        <v>10310.780000000001</v>
      </c>
      <c r="G1242" t="s">
        <v>2358</v>
      </c>
      <c r="H1242" t="s">
        <v>2358</v>
      </c>
      <c r="I1242" t="s">
        <v>2364</v>
      </c>
      <c r="J1242" s="8">
        <f t="shared" si="19"/>
        <v>22839</v>
      </c>
    </row>
    <row r="1243" spans="1:10" x14ac:dyDescent="0.35">
      <c r="A1243" t="s">
        <v>1098</v>
      </c>
      <c r="B1243">
        <v>1991</v>
      </c>
      <c r="C1243" t="s">
        <v>2360</v>
      </c>
      <c r="D1243">
        <v>17</v>
      </c>
      <c r="E1243">
        <v>3</v>
      </c>
      <c r="F1243" s="10">
        <v>10315.91</v>
      </c>
      <c r="G1243" t="s">
        <v>2358</v>
      </c>
      <c r="H1243" t="s">
        <v>2357</v>
      </c>
      <c r="I1243" t="s">
        <v>2364</v>
      </c>
      <c r="J1243" s="8">
        <f t="shared" si="19"/>
        <v>33559</v>
      </c>
    </row>
    <row r="1244" spans="1:10" x14ac:dyDescent="0.35">
      <c r="A1244" t="s">
        <v>1097</v>
      </c>
      <c r="B1244">
        <v>1991</v>
      </c>
      <c r="C1244" t="s">
        <v>2366</v>
      </c>
      <c r="D1244">
        <v>21</v>
      </c>
      <c r="E1244">
        <v>3</v>
      </c>
      <c r="F1244" s="10">
        <v>10322.9</v>
      </c>
      <c r="G1244" t="s">
        <v>2358</v>
      </c>
      <c r="H1244" t="s">
        <v>2361</v>
      </c>
      <c r="I1244" t="s">
        <v>2380</v>
      </c>
      <c r="J1244" s="8">
        <f t="shared" si="19"/>
        <v>33471</v>
      </c>
    </row>
    <row r="1245" spans="1:10" x14ac:dyDescent="0.35">
      <c r="A1245" t="s">
        <v>1096</v>
      </c>
      <c r="B1245">
        <v>1970</v>
      </c>
      <c r="C1245" t="s">
        <v>2365</v>
      </c>
      <c r="D1245">
        <v>1</v>
      </c>
      <c r="E1245">
        <v>2</v>
      </c>
      <c r="F1245" s="10">
        <v>10325.209999999999</v>
      </c>
      <c r="G1245" t="s">
        <v>2358</v>
      </c>
      <c r="H1245" t="s">
        <v>2358</v>
      </c>
      <c r="I1245" t="s">
        <v>2368</v>
      </c>
      <c r="J1245" s="8">
        <f t="shared" si="19"/>
        <v>25903</v>
      </c>
    </row>
    <row r="1246" spans="1:10" x14ac:dyDescent="0.35">
      <c r="A1246" t="s">
        <v>1095</v>
      </c>
      <c r="B1246">
        <v>1982</v>
      </c>
      <c r="C1246" t="s">
        <v>2356</v>
      </c>
      <c r="D1246">
        <v>21</v>
      </c>
      <c r="E1246">
        <v>3</v>
      </c>
      <c r="F1246" s="10">
        <v>10329.06</v>
      </c>
      <c r="G1246" t="s">
        <v>2358</v>
      </c>
      <c r="H1246" t="s">
        <v>2361</v>
      </c>
      <c r="I1246" t="s">
        <v>2377</v>
      </c>
      <c r="J1246" s="8">
        <f t="shared" si="19"/>
        <v>30153</v>
      </c>
    </row>
    <row r="1247" spans="1:10" x14ac:dyDescent="0.35">
      <c r="A1247" t="s">
        <v>1094</v>
      </c>
      <c r="B1247">
        <v>1968</v>
      </c>
      <c r="C1247" t="s">
        <v>2356</v>
      </c>
      <c r="D1247">
        <v>19</v>
      </c>
      <c r="E1247">
        <v>0</v>
      </c>
      <c r="F1247" s="10">
        <v>10338.93</v>
      </c>
      <c r="G1247" t="s">
        <v>2358</v>
      </c>
      <c r="H1247" t="s">
        <v>2361</v>
      </c>
      <c r="I1247" t="s">
        <v>2359</v>
      </c>
      <c r="J1247" s="8">
        <f t="shared" si="19"/>
        <v>25038</v>
      </c>
    </row>
    <row r="1248" spans="1:10" x14ac:dyDescent="0.35">
      <c r="A1248" t="s">
        <v>1093</v>
      </c>
      <c r="B1248">
        <v>1973</v>
      </c>
      <c r="C1248" t="s">
        <v>2366</v>
      </c>
      <c r="D1248">
        <v>8</v>
      </c>
      <c r="E1248">
        <v>0</v>
      </c>
      <c r="F1248" s="10">
        <v>10345.93</v>
      </c>
      <c r="G1248" t="s">
        <v>2358</v>
      </c>
      <c r="H1248" t="s">
        <v>2357</v>
      </c>
      <c r="I1248" t="s">
        <v>2377</v>
      </c>
      <c r="J1248" s="8">
        <f t="shared" si="19"/>
        <v>26884</v>
      </c>
    </row>
    <row r="1249" spans="1:10" x14ac:dyDescent="0.35">
      <c r="A1249" t="s">
        <v>1092</v>
      </c>
      <c r="B1249">
        <v>1974</v>
      </c>
      <c r="C1249" t="s">
        <v>2363</v>
      </c>
      <c r="D1249">
        <v>29</v>
      </c>
      <c r="E1249">
        <v>0</v>
      </c>
      <c r="F1249" s="10">
        <v>10352.48</v>
      </c>
      <c r="G1249" t="s">
        <v>2358</v>
      </c>
      <c r="H1249" t="s">
        <v>2361</v>
      </c>
      <c r="I1249" t="s">
        <v>2364</v>
      </c>
      <c r="J1249" s="8">
        <f t="shared" si="19"/>
        <v>27301</v>
      </c>
    </row>
    <row r="1250" spans="1:10" x14ac:dyDescent="0.35">
      <c r="A1250" t="s">
        <v>1091</v>
      </c>
      <c r="B1250">
        <v>1969</v>
      </c>
      <c r="C1250" t="s">
        <v>2362</v>
      </c>
      <c r="D1250">
        <v>17</v>
      </c>
      <c r="E1250">
        <v>0</v>
      </c>
      <c r="F1250" s="10">
        <v>10355.64</v>
      </c>
      <c r="G1250" t="s">
        <v>2358</v>
      </c>
      <c r="H1250" t="s">
        <v>2361</v>
      </c>
      <c r="I1250" t="s">
        <v>2364</v>
      </c>
      <c r="J1250" s="8">
        <f t="shared" si="19"/>
        <v>25371</v>
      </c>
    </row>
    <row r="1251" spans="1:10" x14ac:dyDescent="0.35">
      <c r="A1251" t="s">
        <v>1090</v>
      </c>
      <c r="B1251">
        <v>1971</v>
      </c>
      <c r="C1251" t="s">
        <v>2363</v>
      </c>
      <c r="D1251">
        <v>6</v>
      </c>
      <c r="E1251">
        <v>0</v>
      </c>
      <c r="F1251" s="10">
        <v>10356.67</v>
      </c>
      <c r="G1251" t="s">
        <v>2358</v>
      </c>
      <c r="H1251" t="s">
        <v>2361</v>
      </c>
      <c r="I1251" t="s">
        <v>2373</v>
      </c>
      <c r="J1251" s="8">
        <f t="shared" si="19"/>
        <v>26182</v>
      </c>
    </row>
    <row r="1252" spans="1:10" x14ac:dyDescent="0.35">
      <c r="A1252" t="s">
        <v>1089</v>
      </c>
      <c r="B1252">
        <v>1973</v>
      </c>
      <c r="C1252" t="s">
        <v>2363</v>
      </c>
      <c r="D1252">
        <v>29</v>
      </c>
      <c r="E1252">
        <v>2</v>
      </c>
      <c r="F1252" s="10">
        <v>10370.91</v>
      </c>
      <c r="G1252" t="s">
        <v>2358</v>
      </c>
      <c r="H1252" t="s">
        <v>2358</v>
      </c>
      <c r="I1252" t="s">
        <v>2374</v>
      </c>
      <c r="J1252" s="8">
        <f t="shared" si="19"/>
        <v>26936</v>
      </c>
    </row>
    <row r="1253" spans="1:10" x14ac:dyDescent="0.35">
      <c r="A1253" t="s">
        <v>1088</v>
      </c>
      <c r="B1253">
        <v>1973</v>
      </c>
      <c r="C1253" t="s">
        <v>2363</v>
      </c>
      <c r="D1253">
        <v>19</v>
      </c>
      <c r="E1253">
        <v>3</v>
      </c>
      <c r="F1253" s="10">
        <v>10381.48</v>
      </c>
      <c r="G1253" t="s">
        <v>2358</v>
      </c>
      <c r="H1253" t="s">
        <v>2358</v>
      </c>
      <c r="I1253" t="s">
        <v>2359</v>
      </c>
      <c r="J1253" s="8">
        <f t="shared" si="19"/>
        <v>26926</v>
      </c>
    </row>
    <row r="1254" spans="1:10" x14ac:dyDescent="0.35">
      <c r="A1254" t="s">
        <v>1087</v>
      </c>
      <c r="B1254">
        <v>1969</v>
      </c>
      <c r="C1254" t="s">
        <v>2356</v>
      </c>
      <c r="D1254">
        <v>7</v>
      </c>
      <c r="E1254">
        <v>0</v>
      </c>
      <c r="F1254" s="10">
        <v>10403.27</v>
      </c>
      <c r="G1254" t="s">
        <v>2358</v>
      </c>
      <c r="H1254" t="s">
        <v>2357</v>
      </c>
      <c r="I1254" t="s">
        <v>2379</v>
      </c>
      <c r="J1254" s="8">
        <f t="shared" si="19"/>
        <v>25391</v>
      </c>
    </row>
    <row r="1255" spans="1:10" x14ac:dyDescent="0.35">
      <c r="A1255" t="s">
        <v>1086</v>
      </c>
      <c r="B1255">
        <v>1975</v>
      </c>
      <c r="C1255" t="s">
        <v>2362</v>
      </c>
      <c r="D1255">
        <v>5</v>
      </c>
      <c r="E1255">
        <v>4</v>
      </c>
      <c r="F1255" s="10">
        <v>10407.09</v>
      </c>
      <c r="G1255" t="s">
        <v>2358</v>
      </c>
      <c r="H1255" t="s">
        <v>2361</v>
      </c>
      <c r="I1255" t="s">
        <v>2369</v>
      </c>
      <c r="J1255" s="8">
        <f t="shared" si="19"/>
        <v>27550</v>
      </c>
    </row>
    <row r="1256" spans="1:10" x14ac:dyDescent="0.35">
      <c r="A1256" t="s">
        <v>1085</v>
      </c>
      <c r="B1256">
        <v>1980</v>
      </c>
      <c r="C1256" t="s">
        <v>2367</v>
      </c>
      <c r="D1256">
        <v>24</v>
      </c>
      <c r="E1256">
        <v>2</v>
      </c>
      <c r="F1256" s="10">
        <v>10407.98</v>
      </c>
      <c r="G1256" t="s">
        <v>2358</v>
      </c>
      <c r="H1256" t="s">
        <v>2361</v>
      </c>
      <c r="I1256" t="s">
        <v>2377</v>
      </c>
      <c r="J1256" s="8">
        <f t="shared" si="19"/>
        <v>29518</v>
      </c>
    </row>
    <row r="1257" spans="1:10" x14ac:dyDescent="0.35">
      <c r="A1257" t="s">
        <v>1084</v>
      </c>
      <c r="B1257">
        <v>1973</v>
      </c>
      <c r="C1257" t="s">
        <v>2367</v>
      </c>
      <c r="D1257">
        <v>11</v>
      </c>
      <c r="E1257">
        <v>0</v>
      </c>
      <c r="F1257" s="10">
        <v>10419.59</v>
      </c>
      <c r="G1257" t="s">
        <v>2358</v>
      </c>
      <c r="H1257" t="s">
        <v>2357</v>
      </c>
      <c r="I1257" t="s">
        <v>2373</v>
      </c>
      <c r="J1257" s="8">
        <f t="shared" si="19"/>
        <v>26948</v>
      </c>
    </row>
    <row r="1258" spans="1:10" x14ac:dyDescent="0.35">
      <c r="A1258" t="s">
        <v>1083</v>
      </c>
      <c r="B1258">
        <v>1979</v>
      </c>
      <c r="C1258" t="s">
        <v>2360</v>
      </c>
      <c r="D1258">
        <v>25</v>
      </c>
      <c r="E1258">
        <v>2</v>
      </c>
      <c r="F1258" s="10">
        <v>10419.65</v>
      </c>
      <c r="G1258" t="s">
        <v>2358</v>
      </c>
      <c r="H1258" t="s">
        <v>2357</v>
      </c>
      <c r="I1258" t="s">
        <v>2373</v>
      </c>
      <c r="J1258" s="8">
        <f t="shared" si="19"/>
        <v>29184</v>
      </c>
    </row>
    <row r="1259" spans="1:10" x14ac:dyDescent="0.35">
      <c r="A1259" t="s">
        <v>1082</v>
      </c>
      <c r="B1259">
        <v>1968</v>
      </c>
      <c r="C1259" t="s">
        <v>2365</v>
      </c>
      <c r="D1259">
        <v>27</v>
      </c>
      <c r="E1259">
        <v>0</v>
      </c>
      <c r="F1259" s="10">
        <v>10422.92</v>
      </c>
      <c r="G1259" t="s">
        <v>2358</v>
      </c>
      <c r="H1259" t="s">
        <v>2361</v>
      </c>
      <c r="I1259" t="s">
        <v>2378</v>
      </c>
      <c r="J1259" s="8">
        <f t="shared" si="19"/>
        <v>25199</v>
      </c>
    </row>
    <row r="1260" spans="1:10" x14ac:dyDescent="0.35">
      <c r="A1260" t="s">
        <v>1081</v>
      </c>
      <c r="B1260">
        <v>1968</v>
      </c>
      <c r="C1260" t="s">
        <v>2366</v>
      </c>
      <c r="D1260">
        <v>23</v>
      </c>
      <c r="E1260">
        <v>0</v>
      </c>
      <c r="F1260" s="10">
        <v>10435.07</v>
      </c>
      <c r="G1260" t="s">
        <v>2358</v>
      </c>
      <c r="H1260" t="s">
        <v>2361</v>
      </c>
      <c r="I1260" t="s">
        <v>2371</v>
      </c>
      <c r="J1260" s="8">
        <f t="shared" si="19"/>
        <v>25073</v>
      </c>
    </row>
    <row r="1261" spans="1:10" x14ac:dyDescent="0.35">
      <c r="A1261" t="s">
        <v>1080</v>
      </c>
      <c r="B1261">
        <v>1968</v>
      </c>
      <c r="C1261" t="s">
        <v>2366</v>
      </c>
      <c r="D1261">
        <v>29</v>
      </c>
      <c r="E1261">
        <v>1</v>
      </c>
      <c r="F1261" s="10">
        <v>10436.1</v>
      </c>
      <c r="G1261" t="s">
        <v>2358</v>
      </c>
      <c r="H1261" t="s">
        <v>2358</v>
      </c>
      <c r="I1261" t="s">
        <v>2368</v>
      </c>
      <c r="J1261" s="8">
        <f t="shared" si="19"/>
        <v>25079</v>
      </c>
    </row>
    <row r="1262" spans="1:10" x14ac:dyDescent="0.35">
      <c r="A1262" t="s">
        <v>1079</v>
      </c>
      <c r="B1262">
        <v>1968</v>
      </c>
      <c r="C1262" t="s">
        <v>2360</v>
      </c>
      <c r="D1262">
        <v>8</v>
      </c>
      <c r="E1262">
        <v>1</v>
      </c>
      <c r="F1262" s="10">
        <v>10450.549999999999</v>
      </c>
      <c r="G1262" t="s">
        <v>2358</v>
      </c>
      <c r="H1262" t="s">
        <v>2361</v>
      </c>
      <c r="I1262" t="s">
        <v>2368</v>
      </c>
      <c r="J1262" s="8">
        <f t="shared" si="19"/>
        <v>25150</v>
      </c>
    </row>
    <row r="1263" spans="1:10" x14ac:dyDescent="0.35">
      <c r="A1263" t="s">
        <v>1078</v>
      </c>
      <c r="B1263">
        <v>1964</v>
      </c>
      <c r="C1263" t="s">
        <v>2367</v>
      </c>
      <c r="D1263">
        <v>14</v>
      </c>
      <c r="E1263">
        <v>0</v>
      </c>
      <c r="F1263" s="10">
        <v>10455.1</v>
      </c>
      <c r="G1263" t="s">
        <v>2358</v>
      </c>
      <c r="H1263" t="s">
        <v>2361</v>
      </c>
      <c r="I1263" t="s">
        <v>2364</v>
      </c>
      <c r="J1263" s="8">
        <f t="shared" si="19"/>
        <v>23664</v>
      </c>
    </row>
    <row r="1264" spans="1:10" x14ac:dyDescent="0.35">
      <c r="A1264" t="s">
        <v>1077</v>
      </c>
      <c r="B1264">
        <v>1976</v>
      </c>
      <c r="C1264" t="s">
        <v>2366</v>
      </c>
      <c r="D1264">
        <v>3</v>
      </c>
      <c r="E1264">
        <v>2</v>
      </c>
      <c r="F1264" s="10">
        <v>10455.14</v>
      </c>
      <c r="G1264" t="s">
        <v>2358</v>
      </c>
      <c r="H1264" t="s">
        <v>2357</v>
      </c>
      <c r="I1264" t="s">
        <v>2377</v>
      </c>
      <c r="J1264" s="8">
        <f t="shared" si="19"/>
        <v>27975</v>
      </c>
    </row>
    <row r="1265" spans="1:10" x14ac:dyDescent="0.35">
      <c r="A1265" t="s">
        <v>1076</v>
      </c>
      <c r="B1265">
        <v>1964</v>
      </c>
      <c r="C1265" t="s">
        <v>2356</v>
      </c>
      <c r="D1265">
        <v>27</v>
      </c>
      <c r="E1265">
        <v>0</v>
      </c>
      <c r="F1265" s="10">
        <v>10459.19</v>
      </c>
      <c r="G1265" t="s">
        <v>2358</v>
      </c>
      <c r="H1265" t="s">
        <v>2361</v>
      </c>
      <c r="I1265" t="s">
        <v>2359</v>
      </c>
      <c r="J1265" s="8">
        <f t="shared" si="19"/>
        <v>23585</v>
      </c>
    </row>
    <row r="1266" spans="1:10" x14ac:dyDescent="0.35">
      <c r="A1266" t="s">
        <v>1075</v>
      </c>
      <c r="B1266">
        <v>1969</v>
      </c>
      <c r="C1266" t="s">
        <v>2363</v>
      </c>
      <c r="D1266">
        <v>22</v>
      </c>
      <c r="E1266">
        <v>1</v>
      </c>
      <c r="F1266" s="10">
        <v>10461.98</v>
      </c>
      <c r="G1266" t="s">
        <v>2358</v>
      </c>
      <c r="H1266" t="s">
        <v>2361</v>
      </c>
      <c r="I1266" t="s">
        <v>2364</v>
      </c>
      <c r="J1266" s="8">
        <f t="shared" si="19"/>
        <v>25468</v>
      </c>
    </row>
    <row r="1267" spans="1:10" x14ac:dyDescent="0.35">
      <c r="A1267" t="s">
        <v>1074</v>
      </c>
      <c r="B1267">
        <v>1987</v>
      </c>
      <c r="C1267" t="s">
        <v>2362</v>
      </c>
      <c r="D1267">
        <v>28</v>
      </c>
      <c r="E1267">
        <v>3</v>
      </c>
      <c r="F1267" s="10">
        <v>10464.83</v>
      </c>
      <c r="G1267" t="s">
        <v>2358</v>
      </c>
      <c r="H1267" t="s">
        <v>2361</v>
      </c>
      <c r="I1267" t="s">
        <v>2364</v>
      </c>
      <c r="J1267" s="8">
        <f t="shared" si="19"/>
        <v>31956</v>
      </c>
    </row>
    <row r="1268" spans="1:10" x14ac:dyDescent="0.35">
      <c r="A1268" t="s">
        <v>1073</v>
      </c>
      <c r="B1268">
        <v>1978</v>
      </c>
      <c r="C1268" t="s">
        <v>2366</v>
      </c>
      <c r="D1268">
        <v>21</v>
      </c>
      <c r="E1268">
        <v>2</v>
      </c>
      <c r="F1268" s="10">
        <v>10486.55</v>
      </c>
      <c r="G1268" t="s">
        <v>2358</v>
      </c>
      <c r="H1268" t="s">
        <v>2358</v>
      </c>
      <c r="I1268" t="s">
        <v>2373</v>
      </c>
      <c r="J1268" s="8">
        <f t="shared" si="19"/>
        <v>28723</v>
      </c>
    </row>
    <row r="1269" spans="1:10" x14ac:dyDescent="0.35">
      <c r="A1269" t="s">
        <v>1072</v>
      </c>
      <c r="B1269">
        <v>1972</v>
      </c>
      <c r="C1269" t="s">
        <v>2367</v>
      </c>
      <c r="D1269">
        <v>19</v>
      </c>
      <c r="E1269">
        <v>2</v>
      </c>
      <c r="F1269" s="10">
        <v>10493.95</v>
      </c>
      <c r="G1269" t="s">
        <v>2358</v>
      </c>
      <c r="H1269" t="s">
        <v>2361</v>
      </c>
      <c r="I1269" t="s">
        <v>2364</v>
      </c>
      <c r="J1269" s="8">
        <f t="shared" si="19"/>
        <v>26591</v>
      </c>
    </row>
    <row r="1270" spans="1:10" x14ac:dyDescent="0.35">
      <c r="A1270" t="s">
        <v>1071</v>
      </c>
      <c r="B1270">
        <v>1977</v>
      </c>
      <c r="C1270" t="s">
        <v>2367</v>
      </c>
      <c r="D1270">
        <v>25</v>
      </c>
      <c r="E1270">
        <v>2</v>
      </c>
      <c r="F1270" s="10">
        <v>10495.6</v>
      </c>
      <c r="G1270" t="s">
        <v>2358</v>
      </c>
      <c r="H1270" t="s">
        <v>2361</v>
      </c>
      <c r="I1270" t="s">
        <v>2364</v>
      </c>
      <c r="J1270" s="8">
        <f t="shared" si="19"/>
        <v>28423</v>
      </c>
    </row>
    <row r="1271" spans="1:10" x14ac:dyDescent="0.35">
      <c r="A1271" t="s">
        <v>1070</v>
      </c>
      <c r="B1271">
        <v>1971</v>
      </c>
      <c r="C1271" t="s">
        <v>2363</v>
      </c>
      <c r="D1271">
        <v>26</v>
      </c>
      <c r="E1271">
        <v>0</v>
      </c>
      <c r="F1271" s="10">
        <v>10546.48</v>
      </c>
      <c r="G1271" t="s">
        <v>2358</v>
      </c>
      <c r="H1271" t="s">
        <v>2358</v>
      </c>
      <c r="I1271" t="s">
        <v>2368</v>
      </c>
      <c r="J1271" s="8">
        <f t="shared" si="19"/>
        <v>26202</v>
      </c>
    </row>
    <row r="1272" spans="1:10" x14ac:dyDescent="0.35">
      <c r="A1272" t="s">
        <v>1069</v>
      </c>
      <c r="B1272">
        <v>1971</v>
      </c>
      <c r="C1272" t="s">
        <v>2362</v>
      </c>
      <c r="D1272">
        <v>29</v>
      </c>
      <c r="E1272">
        <v>3</v>
      </c>
      <c r="F1272" s="10">
        <v>10560.49</v>
      </c>
      <c r="G1272" t="s">
        <v>2358</v>
      </c>
      <c r="H1272" t="s">
        <v>2357</v>
      </c>
      <c r="I1272" t="s">
        <v>2359</v>
      </c>
      <c r="J1272" s="8">
        <f t="shared" si="19"/>
        <v>26113</v>
      </c>
    </row>
    <row r="1273" spans="1:10" x14ac:dyDescent="0.35">
      <c r="A1273" t="s">
        <v>1068</v>
      </c>
      <c r="B1273">
        <v>1969</v>
      </c>
      <c r="C1273" t="s">
        <v>2356</v>
      </c>
      <c r="D1273">
        <v>17</v>
      </c>
      <c r="E1273">
        <v>0</v>
      </c>
      <c r="F1273" s="10">
        <v>10564.88</v>
      </c>
      <c r="G1273" t="s">
        <v>2358</v>
      </c>
      <c r="H1273" t="s">
        <v>2361</v>
      </c>
      <c r="I1273" t="s">
        <v>2374</v>
      </c>
      <c r="J1273" s="8">
        <f t="shared" si="19"/>
        <v>25401</v>
      </c>
    </row>
    <row r="1274" spans="1:10" x14ac:dyDescent="0.35">
      <c r="A1274" t="s">
        <v>1067</v>
      </c>
      <c r="B1274">
        <v>1966</v>
      </c>
      <c r="C1274" t="s">
        <v>2365</v>
      </c>
      <c r="D1274">
        <v>11</v>
      </c>
      <c r="E1274">
        <v>0</v>
      </c>
      <c r="F1274" s="10">
        <v>10577.09</v>
      </c>
      <c r="G1274" t="s">
        <v>2358</v>
      </c>
      <c r="H1274" t="s">
        <v>2358</v>
      </c>
      <c r="I1274" t="s">
        <v>2368</v>
      </c>
      <c r="J1274" s="8">
        <f t="shared" si="19"/>
        <v>24452</v>
      </c>
    </row>
    <row r="1275" spans="1:10" x14ac:dyDescent="0.35">
      <c r="A1275" t="s">
        <v>1066</v>
      </c>
      <c r="B1275">
        <v>1969</v>
      </c>
      <c r="C1275" t="s">
        <v>2365</v>
      </c>
      <c r="D1275">
        <v>25</v>
      </c>
      <c r="E1275">
        <v>1</v>
      </c>
      <c r="F1275" s="10">
        <v>10579.71</v>
      </c>
      <c r="G1275" t="s">
        <v>2358</v>
      </c>
      <c r="H1275" t="s">
        <v>2358</v>
      </c>
      <c r="I1275" t="s">
        <v>2359</v>
      </c>
      <c r="J1275" s="8">
        <f t="shared" si="19"/>
        <v>25562</v>
      </c>
    </row>
    <row r="1276" spans="1:10" x14ac:dyDescent="0.35">
      <c r="A1276" t="s">
        <v>1065</v>
      </c>
      <c r="B1276">
        <v>1966</v>
      </c>
      <c r="C1276" t="s">
        <v>2360</v>
      </c>
      <c r="D1276">
        <v>3</v>
      </c>
      <c r="E1276">
        <v>0</v>
      </c>
      <c r="F1276" s="10">
        <v>10594.23</v>
      </c>
      <c r="G1276" t="s">
        <v>2358</v>
      </c>
      <c r="H1276" t="s">
        <v>2358</v>
      </c>
      <c r="I1276" t="s">
        <v>2359</v>
      </c>
      <c r="J1276" s="8">
        <f t="shared" si="19"/>
        <v>24414</v>
      </c>
    </row>
    <row r="1277" spans="1:10" x14ac:dyDescent="0.35">
      <c r="A1277" t="s">
        <v>1064</v>
      </c>
      <c r="B1277">
        <v>1967</v>
      </c>
      <c r="C1277" t="s">
        <v>2360</v>
      </c>
      <c r="D1277">
        <v>29</v>
      </c>
      <c r="E1277">
        <v>0</v>
      </c>
      <c r="F1277" s="10">
        <v>10594.5</v>
      </c>
      <c r="G1277" t="s">
        <v>2358</v>
      </c>
      <c r="H1277" t="s">
        <v>2361</v>
      </c>
      <c r="I1277" t="s">
        <v>2364</v>
      </c>
      <c r="J1277" s="8">
        <f t="shared" si="19"/>
        <v>24805</v>
      </c>
    </row>
    <row r="1278" spans="1:10" x14ac:dyDescent="0.35">
      <c r="A1278" t="s">
        <v>1063</v>
      </c>
      <c r="B1278">
        <v>1972</v>
      </c>
      <c r="C1278" t="s">
        <v>2365</v>
      </c>
      <c r="D1278">
        <v>14</v>
      </c>
      <c r="E1278">
        <v>3</v>
      </c>
      <c r="F1278" s="10">
        <v>10600.55</v>
      </c>
      <c r="G1278" t="s">
        <v>2358</v>
      </c>
      <c r="H1278" t="s">
        <v>2361</v>
      </c>
      <c r="I1278" t="s">
        <v>2364</v>
      </c>
      <c r="J1278" s="8">
        <f t="shared" si="19"/>
        <v>26647</v>
      </c>
    </row>
    <row r="1279" spans="1:10" x14ac:dyDescent="0.35">
      <c r="A1279" t="s">
        <v>1062</v>
      </c>
      <c r="B1279">
        <v>1966</v>
      </c>
      <c r="C1279" t="s">
        <v>2356</v>
      </c>
      <c r="D1279">
        <v>20</v>
      </c>
      <c r="E1279">
        <v>0</v>
      </c>
      <c r="F1279" s="10">
        <v>10601.41</v>
      </c>
      <c r="G1279" t="s">
        <v>2358</v>
      </c>
      <c r="H1279" t="s">
        <v>2357</v>
      </c>
      <c r="I1279" t="s">
        <v>2368</v>
      </c>
      <c r="J1279" s="8">
        <f t="shared" si="19"/>
        <v>24308</v>
      </c>
    </row>
    <row r="1280" spans="1:10" x14ac:dyDescent="0.35">
      <c r="A1280" t="s">
        <v>1061</v>
      </c>
      <c r="B1280">
        <v>1967</v>
      </c>
      <c r="C1280" t="s">
        <v>2362</v>
      </c>
      <c r="D1280">
        <v>23</v>
      </c>
      <c r="E1280">
        <v>0</v>
      </c>
      <c r="F1280" s="10">
        <v>10601.63</v>
      </c>
      <c r="G1280" t="s">
        <v>2358</v>
      </c>
      <c r="H1280" t="s">
        <v>2357</v>
      </c>
      <c r="I1280" t="s">
        <v>2364</v>
      </c>
      <c r="J1280" s="8">
        <f t="shared" si="19"/>
        <v>24646</v>
      </c>
    </row>
    <row r="1281" spans="1:10" x14ac:dyDescent="0.35">
      <c r="A1281" t="s">
        <v>1060</v>
      </c>
      <c r="B1281">
        <v>1966</v>
      </c>
      <c r="C1281" t="s">
        <v>2356</v>
      </c>
      <c r="D1281">
        <v>2</v>
      </c>
      <c r="E1281">
        <v>0</v>
      </c>
      <c r="F1281" s="10">
        <v>10602.39</v>
      </c>
      <c r="G1281" t="s">
        <v>2358</v>
      </c>
      <c r="H1281" t="s">
        <v>2358</v>
      </c>
      <c r="I1281" t="s">
        <v>2368</v>
      </c>
      <c r="J1281" s="8">
        <f t="shared" si="19"/>
        <v>24290</v>
      </c>
    </row>
    <row r="1282" spans="1:10" x14ac:dyDescent="0.35">
      <c r="A1282" t="s">
        <v>1059</v>
      </c>
      <c r="B1282">
        <v>1965</v>
      </c>
      <c r="C1282" t="s">
        <v>2362</v>
      </c>
      <c r="D1282">
        <v>27</v>
      </c>
      <c r="E1282">
        <v>0</v>
      </c>
      <c r="F1282" s="10">
        <v>10608.67</v>
      </c>
      <c r="G1282" t="s">
        <v>2358</v>
      </c>
      <c r="H1282" t="s">
        <v>2358</v>
      </c>
      <c r="I1282" t="s">
        <v>2364</v>
      </c>
      <c r="J1282" s="8">
        <f t="shared" si="19"/>
        <v>23920</v>
      </c>
    </row>
    <row r="1283" spans="1:10" x14ac:dyDescent="0.35">
      <c r="A1283" t="s">
        <v>1058</v>
      </c>
      <c r="B1283">
        <v>1992</v>
      </c>
      <c r="C1283" t="s">
        <v>2356</v>
      </c>
      <c r="D1283">
        <v>23</v>
      </c>
      <c r="E1283">
        <v>0</v>
      </c>
      <c r="F1283" s="10">
        <v>10617.04</v>
      </c>
      <c r="G1283" t="s">
        <v>2358</v>
      </c>
      <c r="H1283" t="s">
        <v>2358</v>
      </c>
      <c r="I1283" t="s">
        <v>2380</v>
      </c>
      <c r="J1283" s="8">
        <f t="shared" ref="J1283:J1346" si="20">DATE(B1283,MONTH(1&amp;C1283),D1283)</f>
        <v>33808</v>
      </c>
    </row>
    <row r="1284" spans="1:10" x14ac:dyDescent="0.35">
      <c r="A1284" t="s">
        <v>1057</v>
      </c>
      <c r="B1284">
        <v>1990</v>
      </c>
      <c r="C1284" t="s">
        <v>2356</v>
      </c>
      <c r="D1284">
        <v>6</v>
      </c>
      <c r="E1284">
        <v>3</v>
      </c>
      <c r="F1284" s="10">
        <v>10620.26</v>
      </c>
      <c r="G1284" t="s">
        <v>2358</v>
      </c>
      <c r="H1284" t="s">
        <v>2358</v>
      </c>
      <c r="I1284" t="s">
        <v>2364</v>
      </c>
      <c r="J1284" s="8">
        <f t="shared" si="20"/>
        <v>33060</v>
      </c>
    </row>
    <row r="1285" spans="1:10" x14ac:dyDescent="0.35">
      <c r="A1285" t="s">
        <v>1056</v>
      </c>
      <c r="B1285">
        <v>1964</v>
      </c>
      <c r="C1285" t="s">
        <v>2366</v>
      </c>
      <c r="D1285">
        <v>8</v>
      </c>
      <c r="E1285">
        <v>0</v>
      </c>
      <c r="F1285" s="10">
        <v>10627.81</v>
      </c>
      <c r="G1285" t="s">
        <v>2358</v>
      </c>
      <c r="H1285" t="s">
        <v>2358</v>
      </c>
      <c r="I1285" t="s">
        <v>2359</v>
      </c>
      <c r="J1285" s="8">
        <f t="shared" si="20"/>
        <v>23597</v>
      </c>
    </row>
    <row r="1286" spans="1:10" x14ac:dyDescent="0.35">
      <c r="A1286" t="s">
        <v>1055</v>
      </c>
      <c r="B1286">
        <v>1976</v>
      </c>
      <c r="C1286" t="s">
        <v>2360</v>
      </c>
      <c r="D1286">
        <v>22</v>
      </c>
      <c r="E1286">
        <v>2</v>
      </c>
      <c r="F1286" s="10">
        <v>10665.44</v>
      </c>
      <c r="G1286" t="s">
        <v>2358</v>
      </c>
      <c r="H1286" t="s">
        <v>2357</v>
      </c>
      <c r="I1286" t="s">
        <v>2377</v>
      </c>
      <c r="J1286" s="8">
        <f t="shared" si="20"/>
        <v>28086</v>
      </c>
    </row>
    <row r="1287" spans="1:10" x14ac:dyDescent="0.35">
      <c r="A1287" t="s">
        <v>1054</v>
      </c>
      <c r="B1287">
        <v>1962</v>
      </c>
      <c r="C1287" t="s">
        <v>2363</v>
      </c>
      <c r="D1287">
        <v>7</v>
      </c>
      <c r="E1287">
        <v>0</v>
      </c>
      <c r="F1287" s="10">
        <v>10676.83</v>
      </c>
      <c r="G1287" t="s">
        <v>2358</v>
      </c>
      <c r="H1287" t="s">
        <v>2358</v>
      </c>
      <c r="I1287" t="s">
        <v>2359</v>
      </c>
      <c r="J1287" s="8">
        <f t="shared" si="20"/>
        <v>22896</v>
      </c>
    </row>
    <row r="1288" spans="1:10" x14ac:dyDescent="0.35">
      <c r="A1288" t="s">
        <v>1053</v>
      </c>
      <c r="B1288">
        <v>1977</v>
      </c>
      <c r="C1288" t="s">
        <v>2366</v>
      </c>
      <c r="D1288">
        <v>2</v>
      </c>
      <c r="E1288">
        <v>2</v>
      </c>
      <c r="F1288" s="10">
        <v>10690.11</v>
      </c>
      <c r="G1288" t="s">
        <v>2358</v>
      </c>
      <c r="H1288" t="s">
        <v>2357</v>
      </c>
      <c r="I1288" t="s">
        <v>2377</v>
      </c>
      <c r="J1288" s="8">
        <f t="shared" si="20"/>
        <v>28339</v>
      </c>
    </row>
    <row r="1289" spans="1:10" x14ac:dyDescent="0.35">
      <c r="A1289" t="s">
        <v>1052</v>
      </c>
      <c r="B1289">
        <v>1976</v>
      </c>
      <c r="C1289" t="s">
        <v>2363</v>
      </c>
      <c r="D1289">
        <v>30</v>
      </c>
      <c r="E1289">
        <v>2</v>
      </c>
      <c r="F1289" s="10">
        <v>10698.38</v>
      </c>
      <c r="G1289" t="s">
        <v>2358</v>
      </c>
      <c r="H1289" t="s">
        <v>2361</v>
      </c>
      <c r="I1289" t="s">
        <v>2373</v>
      </c>
      <c r="J1289" s="8">
        <f t="shared" si="20"/>
        <v>28033</v>
      </c>
    </row>
    <row r="1290" spans="1:10" x14ac:dyDescent="0.35">
      <c r="A1290" t="s">
        <v>1051</v>
      </c>
      <c r="B1290">
        <v>1972</v>
      </c>
      <c r="C1290" t="s">
        <v>2367</v>
      </c>
      <c r="D1290">
        <v>24</v>
      </c>
      <c r="E1290">
        <v>3</v>
      </c>
      <c r="F1290" s="10">
        <v>10702.64</v>
      </c>
      <c r="G1290" t="s">
        <v>2358</v>
      </c>
      <c r="H1290" t="s">
        <v>2358</v>
      </c>
      <c r="I1290" t="s">
        <v>2359</v>
      </c>
      <c r="J1290" s="8">
        <f t="shared" si="20"/>
        <v>26596</v>
      </c>
    </row>
    <row r="1291" spans="1:10" x14ac:dyDescent="0.35">
      <c r="A1291" t="s">
        <v>1050</v>
      </c>
      <c r="B1291">
        <v>1967</v>
      </c>
      <c r="C1291" t="s">
        <v>2356</v>
      </c>
      <c r="D1291">
        <v>30</v>
      </c>
      <c r="E1291">
        <v>0</v>
      </c>
      <c r="F1291" s="10">
        <v>10704.47</v>
      </c>
      <c r="G1291" t="s">
        <v>2358</v>
      </c>
      <c r="H1291" t="s">
        <v>2357</v>
      </c>
      <c r="I1291" t="s">
        <v>2368</v>
      </c>
      <c r="J1291" s="8">
        <f t="shared" si="20"/>
        <v>24683</v>
      </c>
    </row>
    <row r="1292" spans="1:10" x14ac:dyDescent="0.35">
      <c r="A1292" t="s">
        <v>1049</v>
      </c>
      <c r="B1292">
        <v>1967</v>
      </c>
      <c r="C1292" t="s">
        <v>2367</v>
      </c>
      <c r="D1292">
        <v>5</v>
      </c>
      <c r="E1292">
        <v>0</v>
      </c>
      <c r="F1292" s="10">
        <v>10713.64</v>
      </c>
      <c r="G1292" t="s">
        <v>2358</v>
      </c>
      <c r="H1292" t="s">
        <v>2358</v>
      </c>
      <c r="I1292" t="s">
        <v>2368</v>
      </c>
      <c r="J1292" s="8">
        <f t="shared" si="20"/>
        <v>24750</v>
      </c>
    </row>
    <row r="1293" spans="1:10" x14ac:dyDescent="0.35">
      <c r="A1293" t="s">
        <v>1048</v>
      </c>
      <c r="B1293">
        <v>1992</v>
      </c>
      <c r="C1293" t="s">
        <v>2362</v>
      </c>
      <c r="D1293">
        <v>25</v>
      </c>
      <c r="E1293">
        <v>0</v>
      </c>
      <c r="F1293" s="10">
        <v>10719.57</v>
      </c>
      <c r="G1293" t="s">
        <v>2358</v>
      </c>
      <c r="H1293" t="s">
        <v>2361</v>
      </c>
      <c r="I1293" t="s">
        <v>2364</v>
      </c>
      <c r="J1293" s="8">
        <f t="shared" si="20"/>
        <v>33780</v>
      </c>
    </row>
    <row r="1294" spans="1:10" x14ac:dyDescent="0.35">
      <c r="A1294" t="s">
        <v>1047</v>
      </c>
      <c r="B1294">
        <v>1974</v>
      </c>
      <c r="C1294" t="s">
        <v>2365</v>
      </c>
      <c r="D1294">
        <v>9</v>
      </c>
      <c r="E1294">
        <v>4</v>
      </c>
      <c r="F1294" s="10">
        <v>10736.87</v>
      </c>
      <c r="G1294" t="s">
        <v>2358</v>
      </c>
      <c r="H1294" t="s">
        <v>2361</v>
      </c>
      <c r="I1294" t="s">
        <v>2371</v>
      </c>
      <c r="J1294" s="8">
        <f t="shared" si="20"/>
        <v>27372</v>
      </c>
    </row>
    <row r="1295" spans="1:10" x14ac:dyDescent="0.35">
      <c r="A1295" t="s">
        <v>1046</v>
      </c>
      <c r="B1295">
        <v>1986</v>
      </c>
      <c r="C1295" t="s">
        <v>2366</v>
      </c>
      <c r="D1295">
        <v>29</v>
      </c>
      <c r="E1295">
        <v>3</v>
      </c>
      <c r="F1295" s="10">
        <v>10749.02</v>
      </c>
      <c r="G1295" t="s">
        <v>2358</v>
      </c>
      <c r="H1295" t="s">
        <v>2361</v>
      </c>
      <c r="I1295" t="s">
        <v>2380</v>
      </c>
      <c r="J1295" s="8">
        <f t="shared" si="20"/>
        <v>31653</v>
      </c>
    </row>
    <row r="1296" spans="1:10" x14ac:dyDescent="0.35">
      <c r="A1296" t="s">
        <v>1045</v>
      </c>
      <c r="B1296">
        <v>1989</v>
      </c>
      <c r="C1296" t="s">
        <v>2360</v>
      </c>
      <c r="D1296">
        <v>25</v>
      </c>
      <c r="E1296">
        <v>3</v>
      </c>
      <c r="F1296" s="10">
        <v>10769.75</v>
      </c>
      <c r="G1296" t="s">
        <v>2358</v>
      </c>
      <c r="H1296" t="s">
        <v>2357</v>
      </c>
      <c r="I1296" t="s">
        <v>2381</v>
      </c>
      <c r="J1296" s="8">
        <f t="shared" si="20"/>
        <v>32837</v>
      </c>
    </row>
    <row r="1297" spans="1:10" x14ac:dyDescent="0.35">
      <c r="A1297" t="s">
        <v>1044</v>
      </c>
      <c r="B1297">
        <v>1967</v>
      </c>
      <c r="C1297" t="s">
        <v>2360</v>
      </c>
      <c r="D1297">
        <v>11</v>
      </c>
      <c r="E1297">
        <v>1</v>
      </c>
      <c r="F1297" s="10">
        <v>10791.96</v>
      </c>
      <c r="G1297" t="s">
        <v>2358</v>
      </c>
      <c r="H1297" t="s">
        <v>2357</v>
      </c>
      <c r="I1297" t="s">
        <v>2368</v>
      </c>
      <c r="J1297" s="8">
        <f t="shared" si="20"/>
        <v>24787</v>
      </c>
    </row>
    <row r="1298" spans="1:10" x14ac:dyDescent="0.35">
      <c r="A1298" t="s">
        <v>1043</v>
      </c>
      <c r="B1298">
        <v>1999</v>
      </c>
      <c r="C1298" t="s">
        <v>2365</v>
      </c>
      <c r="D1298">
        <v>24</v>
      </c>
      <c r="E1298">
        <v>0</v>
      </c>
      <c r="F1298" s="10">
        <v>10795.94</v>
      </c>
      <c r="G1298" t="s">
        <v>2358</v>
      </c>
      <c r="H1298" t="s">
        <v>2361</v>
      </c>
      <c r="I1298" t="s">
        <v>2368</v>
      </c>
      <c r="J1298" s="8">
        <f t="shared" si="20"/>
        <v>36518</v>
      </c>
    </row>
    <row r="1299" spans="1:10" x14ac:dyDescent="0.35">
      <c r="A1299" t="s">
        <v>1042</v>
      </c>
      <c r="B1299">
        <v>1967</v>
      </c>
      <c r="C1299" t="s">
        <v>2367</v>
      </c>
      <c r="D1299">
        <v>23</v>
      </c>
      <c r="E1299">
        <v>0</v>
      </c>
      <c r="F1299" s="10">
        <v>10796.35</v>
      </c>
      <c r="G1299" t="s">
        <v>2358</v>
      </c>
      <c r="H1299" t="s">
        <v>2361</v>
      </c>
      <c r="I1299" t="s">
        <v>2370</v>
      </c>
      <c r="J1299" s="8">
        <f t="shared" si="20"/>
        <v>24768</v>
      </c>
    </row>
    <row r="1300" spans="1:10" x14ac:dyDescent="0.35">
      <c r="A1300" t="s">
        <v>1041</v>
      </c>
      <c r="B1300">
        <v>1970</v>
      </c>
      <c r="C1300" t="s">
        <v>2367</v>
      </c>
      <c r="D1300">
        <v>28</v>
      </c>
      <c r="E1300">
        <v>1</v>
      </c>
      <c r="F1300" s="10">
        <v>10797.34</v>
      </c>
      <c r="G1300" t="s">
        <v>2358</v>
      </c>
      <c r="H1300" t="s">
        <v>2357</v>
      </c>
      <c r="I1300" t="s">
        <v>2375</v>
      </c>
      <c r="J1300" s="8">
        <f t="shared" si="20"/>
        <v>25869</v>
      </c>
    </row>
    <row r="1301" spans="1:10" x14ac:dyDescent="0.35">
      <c r="A1301" t="s">
        <v>1040</v>
      </c>
      <c r="B1301">
        <v>1970</v>
      </c>
      <c r="C1301" t="s">
        <v>2365</v>
      </c>
      <c r="D1301">
        <v>18</v>
      </c>
      <c r="E1301">
        <v>2</v>
      </c>
      <c r="F1301" s="10">
        <v>10806.84</v>
      </c>
      <c r="G1301" t="s">
        <v>2358</v>
      </c>
      <c r="H1301" t="s">
        <v>2357</v>
      </c>
      <c r="I1301" t="s">
        <v>2368</v>
      </c>
      <c r="J1301" s="8">
        <f t="shared" si="20"/>
        <v>25920</v>
      </c>
    </row>
    <row r="1302" spans="1:10" x14ac:dyDescent="0.35">
      <c r="A1302" t="s">
        <v>1039</v>
      </c>
      <c r="B1302">
        <v>1967</v>
      </c>
      <c r="C1302" t="s">
        <v>2367</v>
      </c>
      <c r="D1302">
        <v>2</v>
      </c>
      <c r="E1302">
        <v>1</v>
      </c>
      <c r="F1302" s="10">
        <v>10807.49</v>
      </c>
      <c r="G1302" t="s">
        <v>2358</v>
      </c>
      <c r="H1302" t="s">
        <v>2357</v>
      </c>
      <c r="I1302" t="s">
        <v>2359</v>
      </c>
      <c r="J1302" s="8">
        <f t="shared" si="20"/>
        <v>24747</v>
      </c>
    </row>
    <row r="1303" spans="1:10" x14ac:dyDescent="0.35">
      <c r="A1303" t="s">
        <v>1038</v>
      </c>
      <c r="B1303">
        <v>1968</v>
      </c>
      <c r="C1303" t="s">
        <v>2356</v>
      </c>
      <c r="D1303">
        <v>28</v>
      </c>
      <c r="E1303">
        <v>1</v>
      </c>
      <c r="F1303" s="10">
        <v>10825.25</v>
      </c>
      <c r="G1303" t="s">
        <v>2358</v>
      </c>
      <c r="H1303" t="s">
        <v>2358</v>
      </c>
      <c r="I1303" t="s">
        <v>2364</v>
      </c>
      <c r="J1303" s="8">
        <f t="shared" si="20"/>
        <v>25047</v>
      </c>
    </row>
    <row r="1304" spans="1:10" x14ac:dyDescent="0.35">
      <c r="A1304" t="s">
        <v>1037</v>
      </c>
      <c r="B1304">
        <v>1971</v>
      </c>
      <c r="C1304" t="s">
        <v>2365</v>
      </c>
      <c r="D1304">
        <v>20</v>
      </c>
      <c r="E1304">
        <v>2</v>
      </c>
      <c r="F1304" s="10">
        <v>10848.13</v>
      </c>
      <c r="G1304" t="s">
        <v>2358</v>
      </c>
      <c r="H1304" t="s">
        <v>2358</v>
      </c>
      <c r="I1304" t="s">
        <v>2364</v>
      </c>
      <c r="J1304" s="8">
        <f t="shared" si="20"/>
        <v>26287</v>
      </c>
    </row>
    <row r="1305" spans="1:10" x14ac:dyDescent="0.35">
      <c r="A1305" t="s">
        <v>1036</v>
      </c>
      <c r="B1305">
        <v>1994</v>
      </c>
      <c r="C1305" t="s">
        <v>2363</v>
      </c>
      <c r="D1305">
        <v>6</v>
      </c>
      <c r="E1305">
        <v>0</v>
      </c>
      <c r="F1305" s="10">
        <v>10886.66</v>
      </c>
      <c r="G1305" t="s">
        <v>2358</v>
      </c>
      <c r="H1305" t="s">
        <v>2358</v>
      </c>
      <c r="I1305" t="s">
        <v>2364</v>
      </c>
      <c r="J1305" s="8">
        <f t="shared" si="20"/>
        <v>34583</v>
      </c>
    </row>
    <row r="1306" spans="1:10" x14ac:dyDescent="0.35">
      <c r="A1306" t="s">
        <v>1035</v>
      </c>
      <c r="B1306">
        <v>1968</v>
      </c>
      <c r="C1306" t="s">
        <v>2360</v>
      </c>
      <c r="D1306">
        <v>13</v>
      </c>
      <c r="E1306">
        <v>0</v>
      </c>
      <c r="F1306" s="10">
        <v>10923.93</v>
      </c>
      <c r="G1306" t="s">
        <v>2358</v>
      </c>
      <c r="H1306" t="s">
        <v>2361</v>
      </c>
      <c r="I1306" t="s">
        <v>2374</v>
      </c>
      <c r="J1306" s="8">
        <f t="shared" si="20"/>
        <v>25155</v>
      </c>
    </row>
    <row r="1307" spans="1:10" x14ac:dyDescent="0.35">
      <c r="A1307" t="s">
        <v>1034</v>
      </c>
      <c r="B1307">
        <v>1968</v>
      </c>
      <c r="C1307" t="s">
        <v>2360</v>
      </c>
      <c r="D1307">
        <v>12</v>
      </c>
      <c r="E1307">
        <v>1</v>
      </c>
      <c r="F1307" s="10">
        <v>10928.85</v>
      </c>
      <c r="G1307" t="s">
        <v>2358</v>
      </c>
      <c r="H1307" t="s">
        <v>2358</v>
      </c>
      <c r="I1307" t="s">
        <v>2359</v>
      </c>
      <c r="J1307" s="8">
        <f t="shared" si="20"/>
        <v>25154</v>
      </c>
    </row>
    <row r="1308" spans="1:10" x14ac:dyDescent="0.35">
      <c r="A1308" t="s">
        <v>1033</v>
      </c>
      <c r="B1308">
        <v>1969</v>
      </c>
      <c r="C1308" t="s">
        <v>2360</v>
      </c>
      <c r="D1308">
        <v>10</v>
      </c>
      <c r="E1308">
        <v>1</v>
      </c>
      <c r="F1308" s="10">
        <v>10942.13</v>
      </c>
      <c r="G1308" t="s">
        <v>2358</v>
      </c>
      <c r="H1308" t="s">
        <v>2358</v>
      </c>
      <c r="I1308" t="s">
        <v>2364</v>
      </c>
      <c r="J1308" s="8">
        <f t="shared" si="20"/>
        <v>25517</v>
      </c>
    </row>
    <row r="1309" spans="1:10" x14ac:dyDescent="0.35">
      <c r="A1309" t="s">
        <v>1032</v>
      </c>
      <c r="B1309">
        <v>1965</v>
      </c>
      <c r="C1309" t="s">
        <v>2365</v>
      </c>
      <c r="D1309">
        <v>4</v>
      </c>
      <c r="E1309">
        <v>0</v>
      </c>
      <c r="F1309" s="10">
        <v>10959.33</v>
      </c>
      <c r="G1309" t="s">
        <v>2358</v>
      </c>
      <c r="H1309" t="s">
        <v>2358</v>
      </c>
      <c r="I1309" t="s">
        <v>2368</v>
      </c>
      <c r="J1309" s="8">
        <f t="shared" si="20"/>
        <v>24080</v>
      </c>
    </row>
    <row r="1310" spans="1:10" x14ac:dyDescent="0.35">
      <c r="A1310" t="s">
        <v>1031</v>
      </c>
      <c r="B1310">
        <v>1969</v>
      </c>
      <c r="C1310" t="s">
        <v>2366</v>
      </c>
      <c r="D1310">
        <v>14</v>
      </c>
      <c r="E1310">
        <v>1</v>
      </c>
      <c r="F1310" s="10">
        <v>10959.69</v>
      </c>
      <c r="G1310" t="s">
        <v>2358</v>
      </c>
      <c r="H1310" t="s">
        <v>2358</v>
      </c>
      <c r="I1310" t="s">
        <v>2364</v>
      </c>
      <c r="J1310" s="8">
        <f t="shared" si="20"/>
        <v>25429</v>
      </c>
    </row>
    <row r="1311" spans="1:10" x14ac:dyDescent="0.35">
      <c r="A1311" t="s">
        <v>1030</v>
      </c>
      <c r="B1311">
        <v>1965</v>
      </c>
      <c r="C1311" t="s">
        <v>2362</v>
      </c>
      <c r="D1311">
        <v>19</v>
      </c>
      <c r="E1311">
        <v>0</v>
      </c>
      <c r="F1311" s="10">
        <v>10965.45</v>
      </c>
      <c r="G1311" t="s">
        <v>2358</v>
      </c>
      <c r="H1311" t="s">
        <v>2357</v>
      </c>
      <c r="I1311" t="s">
        <v>2368</v>
      </c>
      <c r="J1311" s="8">
        <f t="shared" si="20"/>
        <v>23912</v>
      </c>
    </row>
    <row r="1312" spans="1:10" x14ac:dyDescent="0.35">
      <c r="A1312" t="s">
        <v>1029</v>
      </c>
      <c r="B1312">
        <v>1966</v>
      </c>
      <c r="C1312" t="s">
        <v>2356</v>
      </c>
      <c r="D1312">
        <v>9</v>
      </c>
      <c r="E1312">
        <v>0</v>
      </c>
      <c r="F1312" s="10">
        <v>10976.25</v>
      </c>
      <c r="G1312" t="s">
        <v>2358</v>
      </c>
      <c r="H1312" t="s">
        <v>2357</v>
      </c>
      <c r="I1312" t="s">
        <v>2364</v>
      </c>
      <c r="J1312" s="8">
        <f t="shared" si="20"/>
        <v>24297</v>
      </c>
    </row>
    <row r="1313" spans="1:10" x14ac:dyDescent="0.35">
      <c r="A1313" t="s">
        <v>1028</v>
      </c>
      <c r="B1313">
        <v>1973</v>
      </c>
      <c r="C1313" t="s">
        <v>2367</v>
      </c>
      <c r="D1313">
        <v>21</v>
      </c>
      <c r="E1313">
        <v>4</v>
      </c>
      <c r="F1313" s="10">
        <v>10977.21</v>
      </c>
      <c r="G1313" t="s">
        <v>2358</v>
      </c>
      <c r="H1313" t="s">
        <v>2361</v>
      </c>
      <c r="I1313" t="s">
        <v>2359</v>
      </c>
      <c r="J1313" s="8">
        <f t="shared" si="20"/>
        <v>26958</v>
      </c>
    </row>
    <row r="1314" spans="1:10" x14ac:dyDescent="0.35">
      <c r="A1314" t="s">
        <v>1027</v>
      </c>
      <c r="B1314">
        <v>1965</v>
      </c>
      <c r="C1314" t="s">
        <v>2365</v>
      </c>
      <c r="D1314">
        <v>18</v>
      </c>
      <c r="E1314">
        <v>0</v>
      </c>
      <c r="F1314" s="10">
        <v>10982.5</v>
      </c>
      <c r="G1314" t="s">
        <v>2358</v>
      </c>
      <c r="H1314" t="s">
        <v>2358</v>
      </c>
      <c r="I1314" t="s">
        <v>2359</v>
      </c>
      <c r="J1314" s="8">
        <f t="shared" si="20"/>
        <v>24094</v>
      </c>
    </row>
    <row r="1315" spans="1:10" x14ac:dyDescent="0.35">
      <c r="A1315" t="s">
        <v>1026</v>
      </c>
      <c r="B1315">
        <v>2000</v>
      </c>
      <c r="C1315" t="s">
        <v>2363</v>
      </c>
      <c r="D1315">
        <v>17</v>
      </c>
      <c r="E1315">
        <v>0</v>
      </c>
      <c r="F1315" s="10">
        <v>10991.58</v>
      </c>
      <c r="G1315" t="s">
        <v>2358</v>
      </c>
      <c r="H1315" t="s">
        <v>2358</v>
      </c>
      <c r="I1315" t="s">
        <v>2364</v>
      </c>
      <c r="J1315" s="8">
        <f t="shared" si="20"/>
        <v>36786</v>
      </c>
    </row>
    <row r="1316" spans="1:10" x14ac:dyDescent="0.35">
      <c r="A1316" t="s">
        <v>1025</v>
      </c>
      <c r="B1316">
        <v>1968</v>
      </c>
      <c r="C1316" t="s">
        <v>2367</v>
      </c>
      <c r="D1316">
        <v>24</v>
      </c>
      <c r="E1316">
        <v>2</v>
      </c>
      <c r="F1316" s="10">
        <v>11013.71</v>
      </c>
      <c r="G1316" t="s">
        <v>2358</v>
      </c>
      <c r="H1316" t="s">
        <v>2361</v>
      </c>
      <c r="I1316" t="s">
        <v>2359</v>
      </c>
      <c r="J1316" s="8">
        <f t="shared" si="20"/>
        <v>25135</v>
      </c>
    </row>
    <row r="1317" spans="1:10" x14ac:dyDescent="0.35">
      <c r="A1317" t="s">
        <v>1024</v>
      </c>
      <c r="B1317">
        <v>1974</v>
      </c>
      <c r="C1317" t="s">
        <v>2365</v>
      </c>
      <c r="D1317">
        <v>15</v>
      </c>
      <c r="E1317">
        <v>4</v>
      </c>
      <c r="F1317" s="10">
        <v>11015.17</v>
      </c>
      <c r="G1317" t="s">
        <v>2358</v>
      </c>
      <c r="H1317" t="s">
        <v>2361</v>
      </c>
      <c r="I1317" t="s">
        <v>2364</v>
      </c>
      <c r="J1317" s="8">
        <f t="shared" si="20"/>
        <v>27378</v>
      </c>
    </row>
    <row r="1318" spans="1:10" x14ac:dyDescent="0.35">
      <c r="A1318" t="s">
        <v>1023</v>
      </c>
      <c r="B1318">
        <v>1991</v>
      </c>
      <c r="C1318" t="s">
        <v>2362</v>
      </c>
      <c r="D1318">
        <v>26</v>
      </c>
      <c r="E1318">
        <v>3</v>
      </c>
      <c r="F1318" s="10">
        <v>11018.05</v>
      </c>
      <c r="G1318" t="s">
        <v>2358</v>
      </c>
      <c r="H1318" t="s">
        <v>2357</v>
      </c>
      <c r="I1318" t="s">
        <v>2364</v>
      </c>
      <c r="J1318" s="8">
        <f t="shared" si="20"/>
        <v>33415</v>
      </c>
    </row>
    <row r="1319" spans="1:10" x14ac:dyDescent="0.35">
      <c r="A1319" t="s">
        <v>1022</v>
      </c>
      <c r="B1319">
        <v>1996</v>
      </c>
      <c r="C1319" t="s">
        <v>2356</v>
      </c>
      <c r="D1319">
        <v>21</v>
      </c>
      <c r="E1319">
        <v>0</v>
      </c>
      <c r="F1319" s="10">
        <v>11028.56</v>
      </c>
      <c r="G1319" t="s">
        <v>2358</v>
      </c>
      <c r="H1319" t="s">
        <v>2358</v>
      </c>
      <c r="I1319" t="s">
        <v>2364</v>
      </c>
      <c r="J1319" s="8">
        <f t="shared" si="20"/>
        <v>35267</v>
      </c>
    </row>
    <row r="1320" spans="1:10" x14ac:dyDescent="0.35">
      <c r="A1320" t="s">
        <v>1021</v>
      </c>
      <c r="B1320">
        <v>1974</v>
      </c>
      <c r="C1320" t="s">
        <v>2365</v>
      </c>
      <c r="D1320">
        <v>10</v>
      </c>
      <c r="E1320">
        <v>4</v>
      </c>
      <c r="F1320" s="10">
        <v>11033.66</v>
      </c>
      <c r="G1320" t="s">
        <v>2358</v>
      </c>
      <c r="H1320" t="s">
        <v>2358</v>
      </c>
      <c r="I1320" t="s">
        <v>2364</v>
      </c>
      <c r="J1320" s="8">
        <f t="shared" si="20"/>
        <v>27373</v>
      </c>
    </row>
    <row r="1321" spans="1:10" x14ac:dyDescent="0.35">
      <c r="A1321" t="s">
        <v>1020</v>
      </c>
      <c r="B1321">
        <v>1989</v>
      </c>
      <c r="C1321" t="s">
        <v>2367</v>
      </c>
      <c r="D1321">
        <v>25</v>
      </c>
      <c r="E1321">
        <v>3</v>
      </c>
      <c r="F1321" s="10">
        <v>11037.51</v>
      </c>
      <c r="G1321" t="s">
        <v>2358</v>
      </c>
      <c r="H1321" t="s">
        <v>2361</v>
      </c>
      <c r="I1321" t="s">
        <v>2364</v>
      </c>
      <c r="J1321" s="8">
        <f t="shared" si="20"/>
        <v>32806</v>
      </c>
    </row>
    <row r="1322" spans="1:10" x14ac:dyDescent="0.35">
      <c r="A1322" t="s">
        <v>1019</v>
      </c>
      <c r="B1322">
        <v>1974</v>
      </c>
      <c r="C1322" t="s">
        <v>2366</v>
      </c>
      <c r="D1322">
        <v>30</v>
      </c>
      <c r="E1322">
        <v>0</v>
      </c>
      <c r="F1322" s="10">
        <v>11037.85</v>
      </c>
      <c r="G1322" t="s">
        <v>2358</v>
      </c>
      <c r="H1322" t="s">
        <v>2357</v>
      </c>
      <c r="I1322" t="s">
        <v>2373</v>
      </c>
      <c r="J1322" s="8">
        <f t="shared" si="20"/>
        <v>27271</v>
      </c>
    </row>
    <row r="1323" spans="1:10" x14ac:dyDescent="0.35">
      <c r="A1323" t="s">
        <v>1018</v>
      </c>
      <c r="B1323">
        <v>2001</v>
      </c>
      <c r="C1323" t="s">
        <v>2365</v>
      </c>
      <c r="D1323">
        <v>17</v>
      </c>
      <c r="E1323">
        <v>0</v>
      </c>
      <c r="F1323" s="10">
        <v>11046.02</v>
      </c>
      <c r="G1323" t="s">
        <v>2358</v>
      </c>
      <c r="H1323" t="s">
        <v>2361</v>
      </c>
      <c r="I1323" t="s">
        <v>2380</v>
      </c>
      <c r="J1323" s="8">
        <f t="shared" si="20"/>
        <v>37242</v>
      </c>
    </row>
    <row r="1324" spans="1:10" x14ac:dyDescent="0.35">
      <c r="A1324" t="s">
        <v>1017</v>
      </c>
      <c r="B1324">
        <v>2000</v>
      </c>
      <c r="C1324" t="s">
        <v>2363</v>
      </c>
      <c r="D1324">
        <v>18</v>
      </c>
      <c r="E1324">
        <v>0</v>
      </c>
      <c r="F1324" s="10">
        <v>11068.7</v>
      </c>
      <c r="G1324" t="s">
        <v>2358</v>
      </c>
      <c r="H1324" t="s">
        <v>2361</v>
      </c>
      <c r="I1324" t="s">
        <v>2368</v>
      </c>
      <c r="J1324" s="8">
        <f t="shared" si="20"/>
        <v>36787</v>
      </c>
    </row>
    <row r="1325" spans="1:10" x14ac:dyDescent="0.35">
      <c r="A1325" t="s">
        <v>1016</v>
      </c>
      <c r="B1325">
        <v>1971</v>
      </c>
      <c r="C1325" t="s">
        <v>2360</v>
      </c>
      <c r="D1325">
        <v>9</v>
      </c>
      <c r="E1325">
        <v>0</v>
      </c>
      <c r="F1325" s="10">
        <v>11068.77</v>
      </c>
      <c r="G1325" t="s">
        <v>2358</v>
      </c>
      <c r="H1325" t="s">
        <v>2357</v>
      </c>
      <c r="I1325" t="s">
        <v>2364</v>
      </c>
      <c r="J1325" s="8">
        <f t="shared" si="20"/>
        <v>26246</v>
      </c>
    </row>
    <row r="1326" spans="1:10" x14ac:dyDescent="0.35">
      <c r="A1326" t="s">
        <v>1015</v>
      </c>
      <c r="B1326">
        <v>1966</v>
      </c>
      <c r="C1326" t="s">
        <v>2360</v>
      </c>
      <c r="D1326">
        <v>7</v>
      </c>
      <c r="E1326">
        <v>0</v>
      </c>
      <c r="F1326" s="10">
        <v>11070.54</v>
      </c>
      <c r="G1326" t="s">
        <v>2358</v>
      </c>
      <c r="H1326" t="s">
        <v>2358</v>
      </c>
      <c r="I1326" t="s">
        <v>2368</v>
      </c>
      <c r="J1326" s="8">
        <f t="shared" si="20"/>
        <v>24418</v>
      </c>
    </row>
    <row r="1327" spans="1:10" x14ac:dyDescent="0.35">
      <c r="A1327" t="s">
        <v>1014</v>
      </c>
      <c r="B1327">
        <v>1966</v>
      </c>
      <c r="C1327" t="s">
        <v>2360</v>
      </c>
      <c r="D1327">
        <v>20</v>
      </c>
      <c r="E1327">
        <v>0</v>
      </c>
      <c r="F1327" s="10">
        <v>11073.18</v>
      </c>
      <c r="G1327" t="s">
        <v>2358</v>
      </c>
      <c r="H1327" t="s">
        <v>2358</v>
      </c>
      <c r="I1327" t="s">
        <v>2368</v>
      </c>
      <c r="J1327" s="8">
        <f t="shared" si="20"/>
        <v>24431</v>
      </c>
    </row>
    <row r="1328" spans="1:10" x14ac:dyDescent="0.35">
      <c r="A1328" t="s">
        <v>1013</v>
      </c>
      <c r="B1328">
        <v>1967</v>
      </c>
      <c r="C1328" t="s">
        <v>2363</v>
      </c>
      <c r="D1328">
        <v>4</v>
      </c>
      <c r="E1328">
        <v>0</v>
      </c>
      <c r="F1328" s="10">
        <v>11082.58</v>
      </c>
      <c r="G1328" t="s">
        <v>2358</v>
      </c>
      <c r="H1328" t="s">
        <v>2357</v>
      </c>
      <c r="I1328" t="s">
        <v>2364</v>
      </c>
      <c r="J1328" s="8">
        <f t="shared" si="20"/>
        <v>24719</v>
      </c>
    </row>
    <row r="1329" spans="1:10" x14ac:dyDescent="0.35">
      <c r="A1329" t="s">
        <v>1012</v>
      </c>
      <c r="B1329">
        <v>1972</v>
      </c>
      <c r="C1329" t="s">
        <v>2367</v>
      </c>
      <c r="D1329">
        <v>7</v>
      </c>
      <c r="E1329">
        <v>3</v>
      </c>
      <c r="F1329" s="10">
        <v>11085.59</v>
      </c>
      <c r="G1329" t="s">
        <v>2358</v>
      </c>
      <c r="H1329" t="s">
        <v>2357</v>
      </c>
      <c r="I1329" t="s">
        <v>2364</v>
      </c>
      <c r="J1329" s="8">
        <f t="shared" si="20"/>
        <v>26579</v>
      </c>
    </row>
    <row r="1330" spans="1:10" x14ac:dyDescent="0.35">
      <c r="A1330" t="s">
        <v>1011</v>
      </c>
      <c r="B1330">
        <v>1966</v>
      </c>
      <c r="C1330" t="s">
        <v>2363</v>
      </c>
      <c r="D1330">
        <v>9</v>
      </c>
      <c r="E1330">
        <v>0</v>
      </c>
      <c r="F1330" s="10">
        <v>11090.72</v>
      </c>
      <c r="G1330" t="s">
        <v>2358</v>
      </c>
      <c r="H1330" t="s">
        <v>2361</v>
      </c>
      <c r="I1330" t="s">
        <v>2359</v>
      </c>
      <c r="J1330" s="8">
        <f t="shared" si="20"/>
        <v>24359</v>
      </c>
    </row>
    <row r="1331" spans="1:10" x14ac:dyDescent="0.35">
      <c r="A1331" t="s">
        <v>1010</v>
      </c>
      <c r="B1331">
        <v>1966</v>
      </c>
      <c r="C1331" t="s">
        <v>2356</v>
      </c>
      <c r="D1331">
        <v>5</v>
      </c>
      <c r="E1331">
        <v>0</v>
      </c>
      <c r="F1331" s="10">
        <v>11093.62</v>
      </c>
      <c r="G1331" t="s">
        <v>2358</v>
      </c>
      <c r="H1331" t="s">
        <v>2361</v>
      </c>
      <c r="I1331" t="s">
        <v>2359</v>
      </c>
      <c r="J1331" s="8">
        <f t="shared" si="20"/>
        <v>24293</v>
      </c>
    </row>
    <row r="1332" spans="1:10" x14ac:dyDescent="0.35">
      <c r="A1332" t="s">
        <v>1009</v>
      </c>
      <c r="B1332">
        <v>1980</v>
      </c>
      <c r="C1332" t="s">
        <v>2366</v>
      </c>
      <c r="D1332">
        <v>20</v>
      </c>
      <c r="E1332">
        <v>2</v>
      </c>
      <c r="F1332" s="10">
        <v>11103.33</v>
      </c>
      <c r="G1332" t="s">
        <v>2358</v>
      </c>
      <c r="H1332" t="s">
        <v>2361</v>
      </c>
      <c r="I1332" t="s">
        <v>2377</v>
      </c>
      <c r="J1332" s="8">
        <f t="shared" si="20"/>
        <v>29453</v>
      </c>
    </row>
    <row r="1333" spans="1:10" x14ac:dyDescent="0.35">
      <c r="A1333" t="s">
        <v>1008</v>
      </c>
      <c r="B1333">
        <v>1969</v>
      </c>
      <c r="C1333" t="s">
        <v>2360</v>
      </c>
      <c r="D1333">
        <v>30</v>
      </c>
      <c r="E1333">
        <v>2</v>
      </c>
      <c r="F1333" s="10">
        <v>11150.78</v>
      </c>
      <c r="G1333" t="s">
        <v>2358</v>
      </c>
      <c r="H1333" t="s">
        <v>2357</v>
      </c>
      <c r="I1333" t="s">
        <v>2368</v>
      </c>
      <c r="J1333" s="8">
        <f t="shared" si="20"/>
        <v>25537</v>
      </c>
    </row>
    <row r="1334" spans="1:10" x14ac:dyDescent="0.35">
      <c r="A1334" t="s">
        <v>1007</v>
      </c>
      <c r="B1334">
        <v>1969</v>
      </c>
      <c r="C1334" t="s">
        <v>2362</v>
      </c>
      <c r="D1334">
        <v>25</v>
      </c>
      <c r="E1334">
        <v>2</v>
      </c>
      <c r="F1334" s="10">
        <v>11163.57</v>
      </c>
      <c r="G1334" t="s">
        <v>2358</v>
      </c>
      <c r="H1334" t="s">
        <v>2357</v>
      </c>
      <c r="I1334" t="s">
        <v>2368</v>
      </c>
      <c r="J1334" s="8">
        <f t="shared" si="20"/>
        <v>25379</v>
      </c>
    </row>
    <row r="1335" spans="1:10" x14ac:dyDescent="0.35">
      <c r="A1335" t="s">
        <v>1006</v>
      </c>
      <c r="B1335">
        <v>1966</v>
      </c>
      <c r="C1335" t="s">
        <v>2366</v>
      </c>
      <c r="D1335">
        <v>6</v>
      </c>
      <c r="E1335">
        <v>0</v>
      </c>
      <c r="F1335" s="10">
        <v>11165.42</v>
      </c>
      <c r="G1335" t="s">
        <v>2358</v>
      </c>
      <c r="H1335" t="s">
        <v>2361</v>
      </c>
      <c r="I1335" t="s">
        <v>2371</v>
      </c>
      <c r="J1335" s="8">
        <f t="shared" si="20"/>
        <v>24325</v>
      </c>
    </row>
    <row r="1336" spans="1:10" x14ac:dyDescent="0.35">
      <c r="A1336" t="s">
        <v>1005</v>
      </c>
      <c r="B1336">
        <v>1972</v>
      </c>
      <c r="C1336" t="s">
        <v>2363</v>
      </c>
      <c r="D1336">
        <v>3</v>
      </c>
      <c r="E1336">
        <v>0</v>
      </c>
      <c r="F1336" s="10">
        <v>11186.2</v>
      </c>
      <c r="G1336" t="s">
        <v>2358</v>
      </c>
      <c r="H1336" t="s">
        <v>2357</v>
      </c>
      <c r="I1336" t="s">
        <v>2377</v>
      </c>
      <c r="J1336" s="8">
        <f t="shared" si="20"/>
        <v>26545</v>
      </c>
    </row>
    <row r="1337" spans="1:10" x14ac:dyDescent="0.35">
      <c r="A1337" t="s">
        <v>1004</v>
      </c>
      <c r="B1337">
        <v>1970</v>
      </c>
      <c r="C1337" t="s">
        <v>2362</v>
      </c>
      <c r="D1337">
        <v>14</v>
      </c>
      <c r="E1337">
        <v>2</v>
      </c>
      <c r="F1337" s="10">
        <v>11187.66</v>
      </c>
      <c r="G1337" t="s">
        <v>2358</v>
      </c>
      <c r="H1337" t="s">
        <v>2357</v>
      </c>
      <c r="I1337" t="s">
        <v>2364</v>
      </c>
      <c r="J1337" s="8">
        <f t="shared" si="20"/>
        <v>25733</v>
      </c>
    </row>
    <row r="1338" spans="1:10" x14ac:dyDescent="0.35">
      <c r="A1338" t="s">
        <v>1003</v>
      </c>
      <c r="B1338">
        <v>1976</v>
      </c>
      <c r="C1338" t="s">
        <v>2362</v>
      </c>
      <c r="D1338">
        <v>28</v>
      </c>
      <c r="E1338">
        <v>2</v>
      </c>
      <c r="F1338" s="10">
        <v>11217.35</v>
      </c>
      <c r="G1338" t="s">
        <v>2358</v>
      </c>
      <c r="H1338" t="s">
        <v>2357</v>
      </c>
      <c r="I1338" t="s">
        <v>2373</v>
      </c>
      <c r="J1338" s="8">
        <f t="shared" si="20"/>
        <v>27939</v>
      </c>
    </row>
    <row r="1339" spans="1:10" x14ac:dyDescent="0.35">
      <c r="A1339" t="s">
        <v>1002</v>
      </c>
      <c r="B1339">
        <v>1969</v>
      </c>
      <c r="C1339" t="s">
        <v>2365</v>
      </c>
      <c r="D1339">
        <v>30</v>
      </c>
      <c r="E1339">
        <v>2</v>
      </c>
      <c r="F1339" s="10">
        <v>11244.38</v>
      </c>
      <c r="G1339" t="s">
        <v>2358</v>
      </c>
      <c r="H1339" t="s">
        <v>2361</v>
      </c>
      <c r="I1339" t="s">
        <v>2371</v>
      </c>
      <c r="J1339" s="8">
        <f t="shared" si="20"/>
        <v>25567</v>
      </c>
    </row>
    <row r="1340" spans="1:10" x14ac:dyDescent="0.35">
      <c r="A1340" t="s">
        <v>1001</v>
      </c>
      <c r="B1340">
        <v>1989</v>
      </c>
      <c r="C1340" t="s">
        <v>2365</v>
      </c>
      <c r="D1340">
        <v>17</v>
      </c>
      <c r="E1340">
        <v>3</v>
      </c>
      <c r="F1340" s="10">
        <v>11250.43</v>
      </c>
      <c r="G1340" t="s">
        <v>2358</v>
      </c>
      <c r="H1340" t="s">
        <v>2357</v>
      </c>
      <c r="I1340" t="s">
        <v>2380</v>
      </c>
      <c r="J1340" s="8">
        <f t="shared" si="20"/>
        <v>32859</v>
      </c>
    </row>
    <row r="1341" spans="1:10" x14ac:dyDescent="0.35">
      <c r="A1341" t="s">
        <v>1000</v>
      </c>
      <c r="B1341">
        <v>1969</v>
      </c>
      <c r="C1341" t="s">
        <v>2366</v>
      </c>
      <c r="D1341">
        <v>20</v>
      </c>
      <c r="E1341">
        <v>3</v>
      </c>
      <c r="F1341" s="10">
        <v>11253.42</v>
      </c>
      <c r="G1341" t="s">
        <v>2358</v>
      </c>
      <c r="H1341" t="s">
        <v>2361</v>
      </c>
      <c r="I1341" t="s">
        <v>2368</v>
      </c>
      <c r="J1341" s="8">
        <f t="shared" si="20"/>
        <v>25435</v>
      </c>
    </row>
    <row r="1342" spans="1:10" x14ac:dyDescent="0.35">
      <c r="A1342" t="s">
        <v>999</v>
      </c>
      <c r="B1342">
        <v>1981</v>
      </c>
      <c r="C1342" t="s">
        <v>2367</v>
      </c>
      <c r="D1342">
        <v>2</v>
      </c>
      <c r="E1342">
        <v>1</v>
      </c>
      <c r="F1342" s="10">
        <v>11255.29</v>
      </c>
      <c r="G1342" t="s">
        <v>2358</v>
      </c>
      <c r="H1342" t="s">
        <v>2361</v>
      </c>
      <c r="I1342" t="s">
        <v>2380</v>
      </c>
      <c r="J1342" s="8">
        <f t="shared" si="20"/>
        <v>29861</v>
      </c>
    </row>
    <row r="1343" spans="1:10" x14ac:dyDescent="0.35">
      <c r="A1343" t="s">
        <v>998</v>
      </c>
      <c r="B1343">
        <v>1969</v>
      </c>
      <c r="C1343" t="s">
        <v>2367</v>
      </c>
      <c r="D1343">
        <v>11</v>
      </c>
      <c r="E1343">
        <v>3</v>
      </c>
      <c r="F1343" s="10">
        <v>11264.54</v>
      </c>
      <c r="G1343" t="s">
        <v>2358</v>
      </c>
      <c r="H1343" t="s">
        <v>2357</v>
      </c>
      <c r="I1343" t="s">
        <v>2368</v>
      </c>
      <c r="J1343" s="8">
        <f t="shared" si="20"/>
        <v>25487</v>
      </c>
    </row>
    <row r="1344" spans="1:10" x14ac:dyDescent="0.35">
      <c r="A1344" t="s">
        <v>997</v>
      </c>
      <c r="B1344">
        <v>1971</v>
      </c>
      <c r="C1344" t="s">
        <v>2365</v>
      </c>
      <c r="D1344">
        <v>26</v>
      </c>
      <c r="E1344">
        <v>0</v>
      </c>
      <c r="F1344" s="10">
        <v>11265.71</v>
      </c>
      <c r="G1344" t="s">
        <v>2358</v>
      </c>
      <c r="H1344" t="s">
        <v>2361</v>
      </c>
      <c r="I1344" t="s">
        <v>2373</v>
      </c>
      <c r="J1344" s="8">
        <f t="shared" si="20"/>
        <v>26293</v>
      </c>
    </row>
    <row r="1345" spans="1:10" x14ac:dyDescent="0.35">
      <c r="A1345" t="s">
        <v>996</v>
      </c>
      <c r="B1345">
        <v>2004</v>
      </c>
      <c r="C1345" t="s">
        <v>2367</v>
      </c>
      <c r="D1345">
        <v>4</v>
      </c>
      <c r="E1345">
        <v>1</v>
      </c>
      <c r="F1345" s="10">
        <v>11272.33</v>
      </c>
      <c r="G1345" t="s">
        <v>2358</v>
      </c>
      <c r="H1345" t="s">
        <v>2357</v>
      </c>
      <c r="I1345" t="s">
        <v>2370</v>
      </c>
      <c r="J1345" s="8">
        <f t="shared" si="20"/>
        <v>38264</v>
      </c>
    </row>
    <row r="1346" spans="1:10" x14ac:dyDescent="0.35">
      <c r="A1346" t="s">
        <v>995</v>
      </c>
      <c r="B1346">
        <v>1967</v>
      </c>
      <c r="C1346" t="s">
        <v>2362</v>
      </c>
      <c r="D1346">
        <v>14</v>
      </c>
      <c r="E1346">
        <v>0</v>
      </c>
      <c r="F1346" s="10">
        <v>11286.54</v>
      </c>
      <c r="G1346" t="s">
        <v>2358</v>
      </c>
      <c r="H1346" t="s">
        <v>2358</v>
      </c>
      <c r="I1346" t="s">
        <v>2374</v>
      </c>
      <c r="J1346" s="8">
        <f t="shared" si="20"/>
        <v>24637</v>
      </c>
    </row>
    <row r="1347" spans="1:10" x14ac:dyDescent="0.35">
      <c r="A1347" t="s">
        <v>994</v>
      </c>
      <c r="B1347">
        <v>1970</v>
      </c>
      <c r="C1347" t="s">
        <v>2362</v>
      </c>
      <c r="D1347">
        <v>22</v>
      </c>
      <c r="E1347">
        <v>3</v>
      </c>
      <c r="F1347" s="10">
        <v>11289.11</v>
      </c>
      <c r="G1347" t="s">
        <v>2358</v>
      </c>
      <c r="H1347" t="s">
        <v>2361</v>
      </c>
      <c r="I1347" t="s">
        <v>2364</v>
      </c>
      <c r="J1347" s="8">
        <f t="shared" ref="J1347:J1410" si="21">DATE(B1347,MONTH(1&amp;C1347),D1347)</f>
        <v>25741</v>
      </c>
    </row>
    <row r="1348" spans="1:10" x14ac:dyDescent="0.35">
      <c r="A1348" t="s">
        <v>993</v>
      </c>
      <c r="B1348">
        <v>1988</v>
      </c>
      <c r="C1348" t="s">
        <v>2360</v>
      </c>
      <c r="D1348">
        <v>14</v>
      </c>
      <c r="E1348">
        <v>3</v>
      </c>
      <c r="F1348" s="10">
        <v>11294.57</v>
      </c>
      <c r="G1348" t="s">
        <v>2358</v>
      </c>
      <c r="H1348" t="s">
        <v>2361</v>
      </c>
      <c r="I1348" t="s">
        <v>2381</v>
      </c>
      <c r="J1348" s="8">
        <f t="shared" si="21"/>
        <v>32461</v>
      </c>
    </row>
    <row r="1349" spans="1:10" x14ac:dyDescent="0.35">
      <c r="A1349" t="s">
        <v>992</v>
      </c>
      <c r="B1349">
        <v>1972</v>
      </c>
      <c r="C1349" t="s">
        <v>2363</v>
      </c>
      <c r="D1349">
        <v>25</v>
      </c>
      <c r="E1349">
        <v>4</v>
      </c>
      <c r="F1349" s="10">
        <v>11299.34</v>
      </c>
      <c r="G1349" t="s">
        <v>2358</v>
      </c>
      <c r="H1349" t="s">
        <v>2357</v>
      </c>
      <c r="I1349" t="s">
        <v>2368</v>
      </c>
      <c r="J1349" s="8">
        <f t="shared" si="21"/>
        <v>26567</v>
      </c>
    </row>
    <row r="1350" spans="1:10" x14ac:dyDescent="0.35">
      <c r="A1350" t="s">
        <v>991</v>
      </c>
      <c r="B1350">
        <v>1968</v>
      </c>
      <c r="C1350" t="s">
        <v>2367</v>
      </c>
      <c r="D1350">
        <v>6</v>
      </c>
      <c r="E1350">
        <v>1</v>
      </c>
      <c r="F1350" s="10">
        <v>11305.93</v>
      </c>
      <c r="G1350" t="s">
        <v>2358</v>
      </c>
      <c r="H1350" t="s">
        <v>2361</v>
      </c>
      <c r="I1350" t="s">
        <v>2364</v>
      </c>
      <c r="J1350" s="8">
        <f t="shared" si="21"/>
        <v>25117</v>
      </c>
    </row>
    <row r="1351" spans="1:10" x14ac:dyDescent="0.35">
      <c r="A1351" t="s">
        <v>990</v>
      </c>
      <c r="B1351">
        <v>1963</v>
      </c>
      <c r="C1351" t="s">
        <v>2360</v>
      </c>
      <c r="D1351">
        <v>22</v>
      </c>
      <c r="E1351">
        <v>0</v>
      </c>
      <c r="F1351" s="10">
        <v>11312.33</v>
      </c>
      <c r="G1351" t="s">
        <v>2358</v>
      </c>
      <c r="H1351" t="s">
        <v>2358</v>
      </c>
      <c r="I1351" t="s">
        <v>2364</v>
      </c>
      <c r="J1351" s="8">
        <f t="shared" si="21"/>
        <v>23337</v>
      </c>
    </row>
    <row r="1352" spans="1:10" x14ac:dyDescent="0.35">
      <c r="A1352" t="s">
        <v>989</v>
      </c>
      <c r="B1352">
        <v>1995</v>
      </c>
      <c r="C1352" t="s">
        <v>2365</v>
      </c>
      <c r="D1352">
        <v>10</v>
      </c>
      <c r="E1352">
        <v>0</v>
      </c>
      <c r="F1352" s="10">
        <v>11318.57</v>
      </c>
      <c r="G1352" t="s">
        <v>2358</v>
      </c>
      <c r="H1352" t="s">
        <v>2357</v>
      </c>
      <c r="I1352" t="s">
        <v>2380</v>
      </c>
      <c r="J1352" s="8">
        <f t="shared" si="21"/>
        <v>35043</v>
      </c>
    </row>
    <row r="1353" spans="1:10" x14ac:dyDescent="0.35">
      <c r="A1353" t="s">
        <v>988</v>
      </c>
      <c r="B1353">
        <v>1963</v>
      </c>
      <c r="C1353" t="s">
        <v>2356</v>
      </c>
      <c r="D1353">
        <v>11</v>
      </c>
      <c r="E1353">
        <v>0</v>
      </c>
      <c r="F1353" s="10">
        <v>11319.12</v>
      </c>
      <c r="G1353" t="s">
        <v>2358</v>
      </c>
      <c r="H1353" t="s">
        <v>2361</v>
      </c>
      <c r="I1353" t="s">
        <v>2364</v>
      </c>
      <c r="J1353" s="8">
        <f t="shared" si="21"/>
        <v>23203</v>
      </c>
    </row>
    <row r="1354" spans="1:10" x14ac:dyDescent="0.35">
      <c r="A1354" t="s">
        <v>987</v>
      </c>
      <c r="B1354">
        <v>2002</v>
      </c>
      <c r="C1354" t="s">
        <v>2363</v>
      </c>
      <c r="D1354">
        <v>20</v>
      </c>
      <c r="E1354">
        <v>0</v>
      </c>
      <c r="F1354" s="10">
        <v>11321.49</v>
      </c>
      <c r="G1354" t="s">
        <v>2358</v>
      </c>
      <c r="H1354" t="s">
        <v>2358</v>
      </c>
      <c r="I1354" t="s">
        <v>2364</v>
      </c>
      <c r="J1354" s="8">
        <f t="shared" si="21"/>
        <v>37519</v>
      </c>
    </row>
    <row r="1355" spans="1:10" x14ac:dyDescent="0.35">
      <c r="A1355" t="s">
        <v>986</v>
      </c>
      <c r="B1355">
        <v>1989</v>
      </c>
      <c r="C1355" t="s">
        <v>2366</v>
      </c>
      <c r="D1355">
        <v>19</v>
      </c>
      <c r="E1355">
        <v>1</v>
      </c>
      <c r="F1355" s="10">
        <v>11326.71</v>
      </c>
      <c r="G1355" t="s">
        <v>2358</v>
      </c>
      <c r="H1355" t="s">
        <v>2358</v>
      </c>
      <c r="I1355" t="s">
        <v>2359</v>
      </c>
      <c r="J1355" s="8">
        <f t="shared" si="21"/>
        <v>32739</v>
      </c>
    </row>
    <row r="1356" spans="1:10" x14ac:dyDescent="0.35">
      <c r="A1356" t="s">
        <v>985</v>
      </c>
      <c r="B1356">
        <v>1968</v>
      </c>
      <c r="C1356" t="s">
        <v>2360</v>
      </c>
      <c r="D1356">
        <v>2</v>
      </c>
      <c r="E1356">
        <v>0</v>
      </c>
      <c r="F1356" s="10">
        <v>11344.32</v>
      </c>
      <c r="G1356" t="s">
        <v>2358</v>
      </c>
      <c r="H1356" t="s">
        <v>2357</v>
      </c>
      <c r="I1356" t="s">
        <v>2373</v>
      </c>
      <c r="J1356" s="8">
        <f t="shared" si="21"/>
        <v>25144</v>
      </c>
    </row>
    <row r="1357" spans="1:10" x14ac:dyDescent="0.35">
      <c r="A1357" t="s">
        <v>984</v>
      </c>
      <c r="B1357">
        <v>1964</v>
      </c>
      <c r="C1357" t="s">
        <v>2356</v>
      </c>
      <c r="D1357">
        <v>12</v>
      </c>
      <c r="E1357">
        <v>0</v>
      </c>
      <c r="F1357" s="10">
        <v>11345.52</v>
      </c>
      <c r="G1357" t="s">
        <v>2358</v>
      </c>
      <c r="H1357" t="s">
        <v>2358</v>
      </c>
      <c r="I1357" t="s">
        <v>2368</v>
      </c>
      <c r="J1357" s="8">
        <f t="shared" si="21"/>
        <v>23570</v>
      </c>
    </row>
    <row r="1358" spans="1:10" x14ac:dyDescent="0.35">
      <c r="A1358" t="s">
        <v>983</v>
      </c>
      <c r="B1358">
        <v>1965</v>
      </c>
      <c r="C1358" t="s">
        <v>2360</v>
      </c>
      <c r="D1358">
        <v>29</v>
      </c>
      <c r="E1358">
        <v>0</v>
      </c>
      <c r="F1358" s="10">
        <v>11353.23</v>
      </c>
      <c r="G1358" t="s">
        <v>2358</v>
      </c>
      <c r="H1358" t="s">
        <v>2361</v>
      </c>
      <c r="I1358" t="s">
        <v>2364</v>
      </c>
      <c r="J1358" s="8">
        <f t="shared" si="21"/>
        <v>24075</v>
      </c>
    </row>
    <row r="1359" spans="1:10" x14ac:dyDescent="0.35">
      <c r="A1359" t="s">
        <v>982</v>
      </c>
      <c r="B1359">
        <v>1965</v>
      </c>
      <c r="C1359" t="s">
        <v>2363</v>
      </c>
      <c r="D1359">
        <v>26</v>
      </c>
      <c r="E1359">
        <v>0</v>
      </c>
      <c r="F1359" s="10">
        <v>11356.66</v>
      </c>
      <c r="G1359" t="s">
        <v>2358</v>
      </c>
      <c r="H1359" t="s">
        <v>2358</v>
      </c>
      <c r="I1359" t="s">
        <v>2364</v>
      </c>
      <c r="J1359" s="8">
        <f t="shared" si="21"/>
        <v>24011</v>
      </c>
    </row>
    <row r="1360" spans="1:10" x14ac:dyDescent="0.35">
      <c r="A1360" t="s">
        <v>981</v>
      </c>
      <c r="B1360">
        <v>1964</v>
      </c>
      <c r="C1360" t="s">
        <v>2356</v>
      </c>
      <c r="D1360">
        <v>4</v>
      </c>
      <c r="E1360">
        <v>0</v>
      </c>
      <c r="F1360" s="10">
        <v>11362.76</v>
      </c>
      <c r="G1360" t="s">
        <v>2358</v>
      </c>
      <c r="H1360" t="s">
        <v>2361</v>
      </c>
      <c r="I1360" t="s">
        <v>2368</v>
      </c>
      <c r="J1360" s="8">
        <f t="shared" si="21"/>
        <v>23562</v>
      </c>
    </row>
    <row r="1361" spans="1:10" x14ac:dyDescent="0.35">
      <c r="A1361" t="s">
        <v>980</v>
      </c>
      <c r="B1361">
        <v>1964</v>
      </c>
      <c r="C1361" t="s">
        <v>2356</v>
      </c>
      <c r="D1361">
        <v>3</v>
      </c>
      <c r="E1361">
        <v>0</v>
      </c>
      <c r="F1361" s="10">
        <v>11363.28</v>
      </c>
      <c r="G1361" t="s">
        <v>2358</v>
      </c>
      <c r="H1361" t="s">
        <v>2361</v>
      </c>
      <c r="I1361" t="s">
        <v>2359</v>
      </c>
      <c r="J1361" s="8">
        <f t="shared" si="21"/>
        <v>23561</v>
      </c>
    </row>
    <row r="1362" spans="1:10" x14ac:dyDescent="0.35">
      <c r="A1362" t="s">
        <v>979</v>
      </c>
      <c r="B1362">
        <v>1964</v>
      </c>
      <c r="C1362" t="s">
        <v>2365</v>
      </c>
      <c r="D1362">
        <v>13</v>
      </c>
      <c r="E1362">
        <v>0</v>
      </c>
      <c r="F1362" s="10">
        <v>11365.95</v>
      </c>
      <c r="G1362" t="s">
        <v>2358</v>
      </c>
      <c r="H1362" t="s">
        <v>2357</v>
      </c>
      <c r="I1362" t="s">
        <v>2368</v>
      </c>
      <c r="J1362" s="8">
        <f t="shared" si="21"/>
        <v>23724</v>
      </c>
    </row>
    <row r="1363" spans="1:10" x14ac:dyDescent="0.35">
      <c r="A1363" t="s">
        <v>978</v>
      </c>
      <c r="B1363">
        <v>1979</v>
      </c>
      <c r="C1363" t="s">
        <v>2362</v>
      </c>
      <c r="D1363">
        <v>7</v>
      </c>
      <c r="E1363">
        <v>2</v>
      </c>
      <c r="F1363" s="10">
        <v>11369.39</v>
      </c>
      <c r="G1363" t="s">
        <v>2358</v>
      </c>
      <c r="H1363" t="s">
        <v>2361</v>
      </c>
      <c r="I1363" t="s">
        <v>2380</v>
      </c>
      <c r="J1363" s="8">
        <f t="shared" si="21"/>
        <v>29013</v>
      </c>
    </row>
    <row r="1364" spans="1:10" x14ac:dyDescent="0.35">
      <c r="A1364" t="s">
        <v>977</v>
      </c>
      <c r="B1364">
        <v>1972</v>
      </c>
      <c r="C1364" t="s">
        <v>2365</v>
      </c>
      <c r="D1364">
        <v>6</v>
      </c>
      <c r="E1364">
        <v>0</v>
      </c>
      <c r="F1364" s="10">
        <v>11378.57</v>
      </c>
      <c r="G1364" t="s">
        <v>2358</v>
      </c>
      <c r="H1364" t="s">
        <v>2357</v>
      </c>
      <c r="I1364" t="s">
        <v>2373</v>
      </c>
      <c r="J1364" s="8">
        <f t="shared" si="21"/>
        <v>26639</v>
      </c>
    </row>
    <row r="1365" spans="1:10" x14ac:dyDescent="0.35">
      <c r="A1365" t="s">
        <v>976</v>
      </c>
      <c r="B1365">
        <v>1964</v>
      </c>
      <c r="C1365" t="s">
        <v>2362</v>
      </c>
      <c r="D1365">
        <v>13</v>
      </c>
      <c r="E1365">
        <v>0</v>
      </c>
      <c r="F1365" s="10">
        <v>11381.33</v>
      </c>
      <c r="G1365" t="s">
        <v>2358</v>
      </c>
      <c r="H1365" t="s">
        <v>2357</v>
      </c>
      <c r="I1365" t="s">
        <v>2359</v>
      </c>
      <c r="J1365" s="8">
        <f t="shared" si="21"/>
        <v>23541</v>
      </c>
    </row>
    <row r="1366" spans="1:10" x14ac:dyDescent="0.35">
      <c r="A1366" t="s">
        <v>975</v>
      </c>
      <c r="B1366">
        <v>1997</v>
      </c>
      <c r="C1366" t="s">
        <v>2356</v>
      </c>
      <c r="D1366">
        <v>28</v>
      </c>
      <c r="E1366">
        <v>0</v>
      </c>
      <c r="F1366" s="10">
        <v>11388.27</v>
      </c>
      <c r="G1366" t="s">
        <v>2358</v>
      </c>
      <c r="H1366" t="s">
        <v>2357</v>
      </c>
      <c r="I1366" t="s">
        <v>2380</v>
      </c>
      <c r="J1366" s="8">
        <f t="shared" si="21"/>
        <v>35639</v>
      </c>
    </row>
    <row r="1367" spans="1:10" x14ac:dyDescent="0.35">
      <c r="A1367" t="s">
        <v>974</v>
      </c>
      <c r="B1367">
        <v>1967</v>
      </c>
      <c r="C1367" t="s">
        <v>2365</v>
      </c>
      <c r="D1367">
        <v>19</v>
      </c>
      <c r="E1367">
        <v>1</v>
      </c>
      <c r="F1367" s="10">
        <v>11394.07</v>
      </c>
      <c r="G1367" t="s">
        <v>2358</v>
      </c>
      <c r="H1367" t="s">
        <v>2361</v>
      </c>
      <c r="I1367" t="s">
        <v>2372</v>
      </c>
      <c r="J1367" s="8">
        <f t="shared" si="21"/>
        <v>24825</v>
      </c>
    </row>
    <row r="1368" spans="1:10" x14ac:dyDescent="0.35">
      <c r="A1368" t="s">
        <v>973</v>
      </c>
      <c r="B1368">
        <v>1970</v>
      </c>
      <c r="C1368" t="s">
        <v>2367</v>
      </c>
      <c r="D1368">
        <v>2</v>
      </c>
      <c r="E1368">
        <v>2</v>
      </c>
      <c r="F1368" s="10">
        <v>11396.9</v>
      </c>
      <c r="G1368" t="s">
        <v>2358</v>
      </c>
      <c r="H1368" t="s">
        <v>2358</v>
      </c>
      <c r="I1368" t="s">
        <v>2374</v>
      </c>
      <c r="J1368" s="8">
        <f t="shared" si="21"/>
        <v>25843</v>
      </c>
    </row>
    <row r="1369" spans="1:10" x14ac:dyDescent="0.35">
      <c r="A1369" t="s">
        <v>972</v>
      </c>
      <c r="B1369">
        <v>1970</v>
      </c>
      <c r="C1369" t="s">
        <v>2367</v>
      </c>
      <c r="D1369">
        <v>7</v>
      </c>
      <c r="E1369">
        <v>3</v>
      </c>
      <c r="F1369" s="10">
        <v>11411.69</v>
      </c>
      <c r="G1369" t="s">
        <v>2358</v>
      </c>
      <c r="H1369" t="s">
        <v>2357</v>
      </c>
      <c r="I1369" t="s">
        <v>2368</v>
      </c>
      <c r="J1369" s="8">
        <f t="shared" si="21"/>
        <v>25848</v>
      </c>
    </row>
    <row r="1370" spans="1:10" x14ac:dyDescent="0.35">
      <c r="A1370" t="s">
        <v>971</v>
      </c>
      <c r="B1370">
        <v>1983</v>
      </c>
      <c r="C1370" t="s">
        <v>2367</v>
      </c>
      <c r="D1370">
        <v>23</v>
      </c>
      <c r="E1370">
        <v>3</v>
      </c>
      <c r="F1370" s="10">
        <v>11412.02</v>
      </c>
      <c r="G1370" t="s">
        <v>2358</v>
      </c>
      <c r="H1370" t="s">
        <v>2361</v>
      </c>
      <c r="I1370" t="s">
        <v>2377</v>
      </c>
      <c r="J1370" s="8">
        <f t="shared" si="21"/>
        <v>30612</v>
      </c>
    </row>
    <row r="1371" spans="1:10" x14ac:dyDescent="0.35">
      <c r="A1371" t="s">
        <v>970</v>
      </c>
      <c r="B1371">
        <v>1985</v>
      </c>
      <c r="C1371" t="s">
        <v>2362</v>
      </c>
      <c r="D1371">
        <v>9</v>
      </c>
      <c r="E1371">
        <v>3</v>
      </c>
      <c r="F1371" s="10">
        <v>11419.49</v>
      </c>
      <c r="G1371" t="s">
        <v>2358</v>
      </c>
      <c r="H1371" t="s">
        <v>2361</v>
      </c>
      <c r="I1371" t="s">
        <v>2364</v>
      </c>
      <c r="J1371" s="8">
        <f t="shared" si="21"/>
        <v>31207</v>
      </c>
    </row>
    <row r="1372" spans="1:10" x14ac:dyDescent="0.35">
      <c r="A1372" t="s">
        <v>969</v>
      </c>
      <c r="B1372">
        <v>1980</v>
      </c>
      <c r="C1372" t="s">
        <v>2356</v>
      </c>
      <c r="D1372">
        <v>17</v>
      </c>
      <c r="E1372">
        <v>2</v>
      </c>
      <c r="F1372" s="10">
        <v>11435.74</v>
      </c>
      <c r="G1372" t="s">
        <v>2358</v>
      </c>
      <c r="H1372" t="s">
        <v>2358</v>
      </c>
      <c r="I1372" t="s">
        <v>2377</v>
      </c>
      <c r="J1372" s="8">
        <f t="shared" si="21"/>
        <v>29419</v>
      </c>
    </row>
    <row r="1373" spans="1:10" x14ac:dyDescent="0.35">
      <c r="A1373" t="s">
        <v>968</v>
      </c>
      <c r="B1373">
        <v>1971</v>
      </c>
      <c r="C1373" t="s">
        <v>2363</v>
      </c>
      <c r="D1373">
        <v>12</v>
      </c>
      <c r="E1373">
        <v>3</v>
      </c>
      <c r="F1373" s="10">
        <v>11436.74</v>
      </c>
      <c r="G1373" t="s">
        <v>2358</v>
      </c>
      <c r="H1373" t="s">
        <v>2358</v>
      </c>
      <c r="I1373" t="s">
        <v>2364</v>
      </c>
      <c r="J1373" s="8">
        <f t="shared" si="21"/>
        <v>26188</v>
      </c>
    </row>
    <row r="1374" spans="1:10" x14ac:dyDescent="0.35">
      <c r="A1374" t="s">
        <v>967</v>
      </c>
      <c r="B1374">
        <v>1966</v>
      </c>
      <c r="C1374" t="s">
        <v>2362</v>
      </c>
      <c r="D1374">
        <v>14</v>
      </c>
      <c r="E1374">
        <v>0</v>
      </c>
      <c r="F1374" s="10">
        <v>11454.02</v>
      </c>
      <c r="G1374" t="s">
        <v>2358</v>
      </c>
      <c r="H1374" t="s">
        <v>2361</v>
      </c>
      <c r="I1374" t="s">
        <v>2364</v>
      </c>
      <c r="J1374" s="8">
        <f t="shared" si="21"/>
        <v>24272</v>
      </c>
    </row>
    <row r="1375" spans="1:10" x14ac:dyDescent="0.35">
      <c r="A1375" t="s">
        <v>966</v>
      </c>
      <c r="B1375">
        <v>1965</v>
      </c>
      <c r="C1375" t="s">
        <v>2362</v>
      </c>
      <c r="D1375">
        <v>23</v>
      </c>
      <c r="E1375">
        <v>0</v>
      </c>
      <c r="F1375" s="10">
        <v>11455.28</v>
      </c>
      <c r="G1375" t="s">
        <v>2358</v>
      </c>
      <c r="H1375" t="s">
        <v>2357</v>
      </c>
      <c r="I1375" t="s">
        <v>2368</v>
      </c>
      <c r="J1375" s="8">
        <f t="shared" si="21"/>
        <v>23916</v>
      </c>
    </row>
    <row r="1376" spans="1:10" x14ac:dyDescent="0.35">
      <c r="A1376" t="s">
        <v>965</v>
      </c>
      <c r="B1376">
        <v>1966</v>
      </c>
      <c r="C1376" t="s">
        <v>2363</v>
      </c>
      <c r="D1376">
        <v>7</v>
      </c>
      <c r="E1376">
        <v>0</v>
      </c>
      <c r="F1376" s="10">
        <v>11478.14</v>
      </c>
      <c r="G1376" t="s">
        <v>2358</v>
      </c>
      <c r="H1376" t="s">
        <v>2357</v>
      </c>
      <c r="I1376" t="s">
        <v>2373</v>
      </c>
      <c r="J1376" s="8">
        <f t="shared" si="21"/>
        <v>24357</v>
      </c>
    </row>
    <row r="1377" spans="1:10" x14ac:dyDescent="0.35">
      <c r="A1377" t="s">
        <v>964</v>
      </c>
      <c r="B1377">
        <v>2004</v>
      </c>
      <c r="C1377" t="s">
        <v>2363</v>
      </c>
      <c r="D1377">
        <v>10</v>
      </c>
      <c r="E1377">
        <v>0</v>
      </c>
      <c r="F1377" s="10">
        <v>11482.63</v>
      </c>
      <c r="G1377" t="s">
        <v>2358</v>
      </c>
      <c r="H1377" t="s">
        <v>2357</v>
      </c>
      <c r="I1377" t="s">
        <v>2359</v>
      </c>
      <c r="J1377" s="8">
        <f t="shared" si="21"/>
        <v>38240</v>
      </c>
    </row>
    <row r="1378" spans="1:10" x14ac:dyDescent="0.35">
      <c r="A1378" t="s">
        <v>963</v>
      </c>
      <c r="B1378">
        <v>1970</v>
      </c>
      <c r="C1378" t="s">
        <v>2367</v>
      </c>
      <c r="D1378">
        <v>13</v>
      </c>
      <c r="E1378">
        <v>3</v>
      </c>
      <c r="F1378" s="10">
        <v>11488.32</v>
      </c>
      <c r="G1378" t="s">
        <v>2358</v>
      </c>
      <c r="H1378" t="s">
        <v>2361</v>
      </c>
      <c r="I1378" t="s">
        <v>2376</v>
      </c>
      <c r="J1378" s="8">
        <f t="shared" si="21"/>
        <v>25854</v>
      </c>
    </row>
    <row r="1379" spans="1:10" x14ac:dyDescent="0.35">
      <c r="A1379" t="s">
        <v>962</v>
      </c>
      <c r="B1379">
        <v>1983</v>
      </c>
      <c r="C1379" t="s">
        <v>2362</v>
      </c>
      <c r="D1379">
        <v>7</v>
      </c>
      <c r="E1379">
        <v>3</v>
      </c>
      <c r="F1379" s="10">
        <v>11492.46</v>
      </c>
      <c r="G1379" t="s">
        <v>2358</v>
      </c>
      <c r="H1379" t="s">
        <v>2358</v>
      </c>
      <c r="I1379" t="s">
        <v>2380</v>
      </c>
      <c r="J1379" s="8">
        <f t="shared" si="21"/>
        <v>30474</v>
      </c>
    </row>
    <row r="1380" spans="1:10" x14ac:dyDescent="0.35">
      <c r="A1380" t="s">
        <v>961</v>
      </c>
      <c r="B1380">
        <v>1969</v>
      </c>
      <c r="C1380" t="s">
        <v>2366</v>
      </c>
      <c r="D1380">
        <v>11</v>
      </c>
      <c r="E1380">
        <v>0</v>
      </c>
      <c r="F1380" s="10">
        <v>11497.69</v>
      </c>
      <c r="G1380" t="s">
        <v>2358</v>
      </c>
      <c r="H1380" t="s">
        <v>2361</v>
      </c>
      <c r="I1380" t="s">
        <v>2364</v>
      </c>
      <c r="J1380" s="8">
        <f t="shared" si="21"/>
        <v>25426</v>
      </c>
    </row>
    <row r="1381" spans="1:10" x14ac:dyDescent="0.35">
      <c r="A1381" t="s">
        <v>960</v>
      </c>
      <c r="B1381">
        <v>1989</v>
      </c>
      <c r="C1381" t="s">
        <v>2367</v>
      </c>
      <c r="D1381">
        <v>6</v>
      </c>
      <c r="E1381">
        <v>3</v>
      </c>
      <c r="F1381" s="10">
        <v>11511.61</v>
      </c>
      <c r="G1381" t="s">
        <v>2358</v>
      </c>
      <c r="H1381" t="s">
        <v>2358</v>
      </c>
      <c r="I1381" t="s">
        <v>2380</v>
      </c>
      <c r="J1381" s="8">
        <f t="shared" si="21"/>
        <v>32787</v>
      </c>
    </row>
    <row r="1382" spans="1:10" x14ac:dyDescent="0.35">
      <c r="A1382" t="s">
        <v>959</v>
      </c>
      <c r="B1382">
        <v>1968</v>
      </c>
      <c r="C1382" t="s">
        <v>2362</v>
      </c>
      <c r="D1382">
        <v>24</v>
      </c>
      <c r="E1382">
        <v>1</v>
      </c>
      <c r="F1382" s="10">
        <v>11512.41</v>
      </c>
      <c r="G1382" t="s">
        <v>2358</v>
      </c>
      <c r="H1382" t="s">
        <v>2361</v>
      </c>
      <c r="I1382" t="s">
        <v>2374</v>
      </c>
      <c r="J1382" s="8">
        <f t="shared" si="21"/>
        <v>25013</v>
      </c>
    </row>
    <row r="1383" spans="1:10" x14ac:dyDescent="0.35">
      <c r="A1383" t="s">
        <v>958</v>
      </c>
      <c r="B1383">
        <v>1971</v>
      </c>
      <c r="C1383" t="s">
        <v>2365</v>
      </c>
      <c r="D1383">
        <v>19</v>
      </c>
      <c r="E1383">
        <v>4</v>
      </c>
      <c r="F1383" s="10">
        <v>11520.1</v>
      </c>
      <c r="G1383" t="s">
        <v>2358</v>
      </c>
      <c r="H1383" t="s">
        <v>2361</v>
      </c>
      <c r="I1383" t="s">
        <v>2364</v>
      </c>
      <c r="J1383" s="8">
        <f t="shared" si="21"/>
        <v>26286</v>
      </c>
    </row>
    <row r="1384" spans="1:10" x14ac:dyDescent="0.35">
      <c r="A1384" t="s">
        <v>957</v>
      </c>
      <c r="B1384">
        <v>1988</v>
      </c>
      <c r="C1384" t="s">
        <v>2362</v>
      </c>
      <c r="D1384">
        <v>12</v>
      </c>
      <c r="E1384">
        <v>3</v>
      </c>
      <c r="F1384" s="10">
        <v>11524.25</v>
      </c>
      <c r="G1384" t="s">
        <v>2358</v>
      </c>
      <c r="H1384" t="s">
        <v>2361</v>
      </c>
      <c r="I1384" t="s">
        <v>2380</v>
      </c>
      <c r="J1384" s="8">
        <f t="shared" si="21"/>
        <v>32306</v>
      </c>
    </row>
    <row r="1385" spans="1:10" x14ac:dyDescent="0.35">
      <c r="A1385" t="s">
        <v>956</v>
      </c>
      <c r="B1385">
        <v>1970</v>
      </c>
      <c r="C1385" t="s">
        <v>2356</v>
      </c>
      <c r="D1385">
        <v>23</v>
      </c>
      <c r="E1385">
        <v>0</v>
      </c>
      <c r="F1385" s="10">
        <v>11530.12</v>
      </c>
      <c r="G1385" t="s">
        <v>2358</v>
      </c>
      <c r="H1385" t="s">
        <v>2361</v>
      </c>
      <c r="I1385" t="s">
        <v>2364</v>
      </c>
      <c r="J1385" s="8">
        <f t="shared" si="21"/>
        <v>25772</v>
      </c>
    </row>
    <row r="1386" spans="1:10" x14ac:dyDescent="0.35">
      <c r="A1386" t="s">
        <v>955</v>
      </c>
      <c r="B1386">
        <v>1965</v>
      </c>
      <c r="C1386" t="s">
        <v>2367</v>
      </c>
      <c r="D1386">
        <v>3</v>
      </c>
      <c r="E1386">
        <v>0</v>
      </c>
      <c r="F1386" s="10">
        <v>11534.87</v>
      </c>
      <c r="G1386" t="s">
        <v>2358</v>
      </c>
      <c r="H1386" t="s">
        <v>2361</v>
      </c>
      <c r="I1386" t="s">
        <v>2378</v>
      </c>
      <c r="J1386" s="8">
        <f t="shared" si="21"/>
        <v>24018</v>
      </c>
    </row>
    <row r="1387" spans="1:10" x14ac:dyDescent="0.35">
      <c r="A1387" t="s">
        <v>954</v>
      </c>
      <c r="B1387">
        <v>1968</v>
      </c>
      <c r="C1387" t="s">
        <v>2360</v>
      </c>
      <c r="D1387">
        <v>14</v>
      </c>
      <c r="E1387">
        <v>2</v>
      </c>
      <c r="F1387" s="10">
        <v>11538.42</v>
      </c>
      <c r="G1387" t="s">
        <v>2358</v>
      </c>
      <c r="H1387" t="s">
        <v>2361</v>
      </c>
      <c r="I1387" t="s">
        <v>2368</v>
      </c>
      <c r="J1387" s="8">
        <f t="shared" si="21"/>
        <v>25156</v>
      </c>
    </row>
    <row r="1388" spans="1:10" x14ac:dyDescent="0.35">
      <c r="A1388" t="s">
        <v>953</v>
      </c>
      <c r="B1388">
        <v>1971</v>
      </c>
      <c r="C1388" t="s">
        <v>2365</v>
      </c>
      <c r="D1388">
        <v>1</v>
      </c>
      <c r="E1388">
        <v>0</v>
      </c>
      <c r="F1388" s="10">
        <v>11540.25</v>
      </c>
      <c r="G1388" t="s">
        <v>2358</v>
      </c>
      <c r="H1388" t="s">
        <v>2361</v>
      </c>
      <c r="I1388" t="s">
        <v>2364</v>
      </c>
      <c r="J1388" s="8">
        <f t="shared" si="21"/>
        <v>26268</v>
      </c>
    </row>
    <row r="1389" spans="1:10" x14ac:dyDescent="0.35">
      <c r="A1389" t="s">
        <v>952</v>
      </c>
      <c r="B1389">
        <v>1973</v>
      </c>
      <c r="C1389" t="s">
        <v>2356</v>
      </c>
      <c r="D1389">
        <v>23</v>
      </c>
      <c r="E1389">
        <v>5</v>
      </c>
      <c r="F1389" s="10">
        <v>11552.9</v>
      </c>
      <c r="G1389" t="s">
        <v>2358</v>
      </c>
      <c r="H1389" t="s">
        <v>2357</v>
      </c>
      <c r="I1389" t="s">
        <v>2368</v>
      </c>
      <c r="J1389" s="8">
        <f t="shared" si="21"/>
        <v>26868</v>
      </c>
    </row>
    <row r="1390" spans="1:10" x14ac:dyDescent="0.35">
      <c r="A1390" t="s">
        <v>951</v>
      </c>
      <c r="B1390">
        <v>1965</v>
      </c>
      <c r="C1390" t="s">
        <v>2367</v>
      </c>
      <c r="D1390">
        <v>27</v>
      </c>
      <c r="E1390">
        <v>1</v>
      </c>
      <c r="F1390" s="10">
        <v>11554.22</v>
      </c>
      <c r="G1390" t="s">
        <v>2358</v>
      </c>
      <c r="H1390" t="s">
        <v>2361</v>
      </c>
      <c r="I1390" t="s">
        <v>2359</v>
      </c>
      <c r="J1390" s="8">
        <f t="shared" si="21"/>
        <v>24042</v>
      </c>
    </row>
    <row r="1391" spans="1:10" x14ac:dyDescent="0.35">
      <c r="A1391" t="s">
        <v>950</v>
      </c>
      <c r="B1391">
        <v>1965</v>
      </c>
      <c r="C1391" t="s">
        <v>2365</v>
      </c>
      <c r="D1391">
        <v>25</v>
      </c>
      <c r="E1391">
        <v>0</v>
      </c>
      <c r="F1391" s="10">
        <v>11566.3</v>
      </c>
      <c r="G1391" t="s">
        <v>2358</v>
      </c>
      <c r="H1391" t="s">
        <v>2358</v>
      </c>
      <c r="I1391" t="s">
        <v>2371</v>
      </c>
      <c r="J1391" s="8">
        <f t="shared" si="21"/>
        <v>24101</v>
      </c>
    </row>
    <row r="1392" spans="1:10" x14ac:dyDescent="0.35">
      <c r="A1392" t="s">
        <v>949</v>
      </c>
      <c r="B1392">
        <v>1965</v>
      </c>
      <c r="C1392" t="s">
        <v>2360</v>
      </c>
      <c r="D1392">
        <v>6</v>
      </c>
      <c r="E1392">
        <v>1</v>
      </c>
      <c r="F1392" s="10">
        <v>11576.13</v>
      </c>
      <c r="G1392" t="s">
        <v>2358</v>
      </c>
      <c r="H1392" t="s">
        <v>2358</v>
      </c>
      <c r="I1392" t="s">
        <v>2368</v>
      </c>
      <c r="J1392" s="8">
        <f t="shared" si="21"/>
        <v>24052</v>
      </c>
    </row>
    <row r="1393" spans="1:10" x14ac:dyDescent="0.35">
      <c r="A1393" t="s">
        <v>948</v>
      </c>
      <c r="B1393">
        <v>1964</v>
      </c>
      <c r="C1393" t="s">
        <v>2362</v>
      </c>
      <c r="D1393">
        <v>20</v>
      </c>
      <c r="E1393">
        <v>0</v>
      </c>
      <c r="F1393" s="10">
        <v>11602.75</v>
      </c>
      <c r="G1393" t="s">
        <v>2358</v>
      </c>
      <c r="H1393" t="s">
        <v>2361</v>
      </c>
      <c r="I1393" t="s">
        <v>2379</v>
      </c>
      <c r="J1393" s="8">
        <f t="shared" si="21"/>
        <v>23548</v>
      </c>
    </row>
    <row r="1394" spans="1:10" x14ac:dyDescent="0.35">
      <c r="A1394" t="s">
        <v>947</v>
      </c>
      <c r="B1394">
        <v>1986</v>
      </c>
      <c r="C1394" t="s">
        <v>2356</v>
      </c>
      <c r="D1394">
        <v>17</v>
      </c>
      <c r="E1394">
        <v>3</v>
      </c>
      <c r="F1394" s="10">
        <v>11625.11</v>
      </c>
      <c r="G1394" t="s">
        <v>2358</v>
      </c>
      <c r="H1394" t="s">
        <v>2358</v>
      </c>
      <c r="I1394" t="s">
        <v>2381</v>
      </c>
      <c r="J1394" s="8">
        <f t="shared" si="21"/>
        <v>31610</v>
      </c>
    </row>
    <row r="1395" spans="1:10" x14ac:dyDescent="0.35">
      <c r="A1395" t="s">
        <v>946</v>
      </c>
      <c r="B1395">
        <v>1966</v>
      </c>
      <c r="C1395" t="s">
        <v>2367</v>
      </c>
      <c r="D1395">
        <v>4</v>
      </c>
      <c r="E1395">
        <v>0</v>
      </c>
      <c r="F1395" s="10">
        <v>11657.72</v>
      </c>
      <c r="G1395" t="s">
        <v>2358</v>
      </c>
      <c r="H1395" t="s">
        <v>2357</v>
      </c>
      <c r="I1395" t="s">
        <v>2374</v>
      </c>
      <c r="J1395" s="8">
        <f t="shared" si="21"/>
        <v>24384</v>
      </c>
    </row>
    <row r="1396" spans="1:10" x14ac:dyDescent="0.35">
      <c r="A1396" t="s">
        <v>945</v>
      </c>
      <c r="B1396">
        <v>1994</v>
      </c>
      <c r="C1396" t="s">
        <v>2356</v>
      </c>
      <c r="D1396">
        <v>20</v>
      </c>
      <c r="E1396">
        <v>0</v>
      </c>
      <c r="F1396" s="10">
        <v>11657.81</v>
      </c>
      <c r="G1396" t="s">
        <v>2358</v>
      </c>
      <c r="H1396" t="s">
        <v>2357</v>
      </c>
      <c r="I1396" t="s">
        <v>2375</v>
      </c>
      <c r="J1396" s="8">
        <f t="shared" si="21"/>
        <v>34535</v>
      </c>
    </row>
    <row r="1397" spans="1:10" x14ac:dyDescent="0.35">
      <c r="A1397" t="s">
        <v>944</v>
      </c>
      <c r="B1397">
        <v>1966</v>
      </c>
      <c r="C1397" t="s">
        <v>2356</v>
      </c>
      <c r="D1397">
        <v>6</v>
      </c>
      <c r="E1397">
        <v>0</v>
      </c>
      <c r="F1397" s="10">
        <v>11658.12</v>
      </c>
      <c r="G1397" t="s">
        <v>2358</v>
      </c>
      <c r="H1397" t="s">
        <v>2361</v>
      </c>
      <c r="I1397" t="s">
        <v>2374</v>
      </c>
      <c r="J1397" s="8">
        <f t="shared" si="21"/>
        <v>24294</v>
      </c>
    </row>
    <row r="1398" spans="1:10" x14ac:dyDescent="0.35">
      <c r="A1398" t="s">
        <v>943</v>
      </c>
      <c r="B1398">
        <v>1966</v>
      </c>
      <c r="C1398" t="s">
        <v>2366</v>
      </c>
      <c r="D1398">
        <v>23</v>
      </c>
      <c r="E1398">
        <v>0</v>
      </c>
      <c r="F1398" s="10">
        <v>11658.38</v>
      </c>
      <c r="G1398" t="s">
        <v>2358</v>
      </c>
      <c r="H1398" t="s">
        <v>2358</v>
      </c>
      <c r="I1398" t="s">
        <v>2374</v>
      </c>
      <c r="J1398" s="8">
        <f t="shared" si="21"/>
        <v>24342</v>
      </c>
    </row>
    <row r="1399" spans="1:10" x14ac:dyDescent="0.35">
      <c r="A1399" t="s">
        <v>942</v>
      </c>
      <c r="B1399">
        <v>1966</v>
      </c>
      <c r="C1399" t="s">
        <v>2360</v>
      </c>
      <c r="D1399">
        <v>9</v>
      </c>
      <c r="E1399">
        <v>1</v>
      </c>
      <c r="F1399" s="10">
        <v>11674.13</v>
      </c>
      <c r="G1399" t="s">
        <v>2358</v>
      </c>
      <c r="H1399" t="s">
        <v>2361</v>
      </c>
      <c r="I1399" t="s">
        <v>2368</v>
      </c>
      <c r="J1399" s="8">
        <f t="shared" si="21"/>
        <v>24420</v>
      </c>
    </row>
    <row r="1400" spans="1:10" x14ac:dyDescent="0.35">
      <c r="A1400" t="s">
        <v>941</v>
      </c>
      <c r="B1400">
        <v>1970</v>
      </c>
      <c r="C1400" t="s">
        <v>2365</v>
      </c>
      <c r="D1400">
        <v>1</v>
      </c>
      <c r="E1400">
        <v>0</v>
      </c>
      <c r="F1400" s="10">
        <v>11696.52</v>
      </c>
      <c r="G1400" t="s">
        <v>2358</v>
      </c>
      <c r="H1400" t="s">
        <v>2361</v>
      </c>
      <c r="I1400" t="s">
        <v>2377</v>
      </c>
      <c r="J1400" s="8">
        <f t="shared" si="21"/>
        <v>25903</v>
      </c>
    </row>
    <row r="1401" spans="1:10" x14ac:dyDescent="0.35">
      <c r="A1401" t="s">
        <v>940</v>
      </c>
      <c r="B1401">
        <v>1982</v>
      </c>
      <c r="C1401" t="s">
        <v>2367</v>
      </c>
      <c r="D1401">
        <v>21</v>
      </c>
      <c r="E1401">
        <v>3</v>
      </c>
      <c r="F1401" s="10">
        <v>11712.97</v>
      </c>
      <c r="G1401" t="s">
        <v>2358</v>
      </c>
      <c r="H1401" t="s">
        <v>2357</v>
      </c>
      <c r="I1401" t="s">
        <v>2377</v>
      </c>
      <c r="J1401" s="8">
        <f t="shared" si="21"/>
        <v>30245</v>
      </c>
    </row>
    <row r="1402" spans="1:10" x14ac:dyDescent="0.35">
      <c r="A1402" t="s">
        <v>939</v>
      </c>
      <c r="B1402">
        <v>1969</v>
      </c>
      <c r="C1402" t="s">
        <v>2367</v>
      </c>
      <c r="D1402">
        <v>12</v>
      </c>
      <c r="E1402">
        <v>2</v>
      </c>
      <c r="F1402" s="10">
        <v>11729.68</v>
      </c>
      <c r="G1402" t="s">
        <v>2358</v>
      </c>
      <c r="H1402" t="s">
        <v>2361</v>
      </c>
      <c r="I1402" t="s">
        <v>2374</v>
      </c>
      <c r="J1402" s="8">
        <f t="shared" si="21"/>
        <v>25488</v>
      </c>
    </row>
    <row r="1403" spans="1:10" x14ac:dyDescent="0.35">
      <c r="A1403" t="s">
        <v>938</v>
      </c>
      <c r="B1403">
        <v>1984</v>
      </c>
      <c r="C1403" t="s">
        <v>2360</v>
      </c>
      <c r="D1403">
        <v>26</v>
      </c>
      <c r="E1403">
        <v>3</v>
      </c>
      <c r="F1403" s="10">
        <v>11730.82</v>
      </c>
      <c r="G1403" t="s">
        <v>2358</v>
      </c>
      <c r="H1403" t="s">
        <v>2358</v>
      </c>
      <c r="I1403" t="s">
        <v>2380</v>
      </c>
      <c r="J1403" s="8">
        <f t="shared" si="21"/>
        <v>31012</v>
      </c>
    </row>
    <row r="1404" spans="1:10" x14ac:dyDescent="0.35">
      <c r="A1404" t="s">
        <v>937</v>
      </c>
      <c r="B1404">
        <v>1964</v>
      </c>
      <c r="C1404" t="s">
        <v>2360</v>
      </c>
      <c r="D1404">
        <v>9</v>
      </c>
      <c r="E1404">
        <v>0</v>
      </c>
      <c r="F1404" s="10">
        <v>11735.88</v>
      </c>
      <c r="G1404" t="s">
        <v>2358</v>
      </c>
      <c r="H1404" t="s">
        <v>2361</v>
      </c>
      <c r="I1404" t="s">
        <v>2364</v>
      </c>
      <c r="J1404" s="8">
        <f t="shared" si="21"/>
        <v>23690</v>
      </c>
    </row>
    <row r="1405" spans="1:10" x14ac:dyDescent="0.35">
      <c r="A1405" t="s">
        <v>936</v>
      </c>
      <c r="B1405">
        <v>1988</v>
      </c>
      <c r="C1405" t="s">
        <v>2363</v>
      </c>
      <c r="D1405">
        <v>5</v>
      </c>
      <c r="E1405">
        <v>2</v>
      </c>
      <c r="F1405" s="10">
        <v>11737.85</v>
      </c>
      <c r="G1405" t="s">
        <v>2358</v>
      </c>
      <c r="H1405" t="s">
        <v>2361</v>
      </c>
      <c r="I1405" t="s">
        <v>2368</v>
      </c>
      <c r="J1405" s="8">
        <f t="shared" si="21"/>
        <v>32391</v>
      </c>
    </row>
    <row r="1406" spans="1:10" x14ac:dyDescent="0.35">
      <c r="A1406" t="s">
        <v>935</v>
      </c>
      <c r="B1406">
        <v>1969</v>
      </c>
      <c r="C1406" t="s">
        <v>2360</v>
      </c>
      <c r="D1406">
        <v>12</v>
      </c>
      <c r="E1406">
        <v>3</v>
      </c>
      <c r="F1406" s="10">
        <v>11741.73</v>
      </c>
      <c r="G1406" t="s">
        <v>2358</v>
      </c>
      <c r="H1406" t="s">
        <v>2361</v>
      </c>
      <c r="I1406" t="s">
        <v>2368</v>
      </c>
      <c r="J1406" s="8">
        <f t="shared" si="21"/>
        <v>25519</v>
      </c>
    </row>
    <row r="1407" spans="1:10" x14ac:dyDescent="0.35">
      <c r="A1407" t="s">
        <v>934</v>
      </c>
      <c r="B1407">
        <v>1963</v>
      </c>
      <c r="C1407" t="s">
        <v>2362</v>
      </c>
      <c r="D1407">
        <v>9</v>
      </c>
      <c r="E1407">
        <v>0</v>
      </c>
      <c r="F1407" s="10">
        <v>11743.3</v>
      </c>
      <c r="G1407" t="s">
        <v>2358</v>
      </c>
      <c r="H1407" t="s">
        <v>2358</v>
      </c>
      <c r="I1407" t="s">
        <v>2359</v>
      </c>
      <c r="J1407" s="8">
        <f t="shared" si="21"/>
        <v>23171</v>
      </c>
    </row>
    <row r="1408" spans="1:10" x14ac:dyDescent="0.35">
      <c r="A1408" t="s">
        <v>933</v>
      </c>
      <c r="B1408">
        <v>1964</v>
      </c>
      <c r="C1408" t="s">
        <v>2365</v>
      </c>
      <c r="D1408">
        <v>2</v>
      </c>
      <c r="E1408">
        <v>0</v>
      </c>
      <c r="F1408" s="10">
        <v>11743.93</v>
      </c>
      <c r="G1408" t="s">
        <v>2358</v>
      </c>
      <c r="H1408" t="s">
        <v>2361</v>
      </c>
      <c r="I1408" t="s">
        <v>2364</v>
      </c>
      <c r="J1408" s="8">
        <f t="shared" si="21"/>
        <v>23713</v>
      </c>
    </row>
    <row r="1409" spans="1:10" x14ac:dyDescent="0.35">
      <c r="A1409" t="s">
        <v>932</v>
      </c>
      <c r="B1409">
        <v>1979</v>
      </c>
      <c r="C1409" t="s">
        <v>2360</v>
      </c>
      <c r="D1409">
        <v>6</v>
      </c>
      <c r="E1409">
        <v>2</v>
      </c>
      <c r="F1409" s="10">
        <v>11752.68</v>
      </c>
      <c r="G1409" t="s">
        <v>2358</v>
      </c>
      <c r="H1409" t="s">
        <v>2361</v>
      </c>
      <c r="I1409" t="s">
        <v>2380</v>
      </c>
      <c r="J1409" s="8">
        <f t="shared" si="21"/>
        <v>29165</v>
      </c>
    </row>
    <row r="1410" spans="1:10" x14ac:dyDescent="0.35">
      <c r="A1410" t="s">
        <v>931</v>
      </c>
      <c r="B1410">
        <v>1966</v>
      </c>
      <c r="C1410" t="s">
        <v>2356</v>
      </c>
      <c r="D1410">
        <v>25</v>
      </c>
      <c r="E1410">
        <v>1</v>
      </c>
      <c r="F1410" s="10">
        <v>11763</v>
      </c>
      <c r="G1410" t="s">
        <v>2358</v>
      </c>
      <c r="H1410" t="s">
        <v>2358</v>
      </c>
      <c r="I1410" t="s">
        <v>2371</v>
      </c>
      <c r="J1410" s="8">
        <f t="shared" si="21"/>
        <v>24313</v>
      </c>
    </row>
    <row r="1411" spans="1:10" x14ac:dyDescent="0.35">
      <c r="A1411" t="s">
        <v>930</v>
      </c>
      <c r="B1411">
        <v>1982</v>
      </c>
      <c r="C1411" t="s">
        <v>2360</v>
      </c>
      <c r="D1411">
        <v>20</v>
      </c>
      <c r="E1411">
        <v>3</v>
      </c>
      <c r="F1411" s="10">
        <v>11773.06</v>
      </c>
      <c r="G1411" t="s">
        <v>2358</v>
      </c>
      <c r="H1411" t="s">
        <v>2358</v>
      </c>
      <c r="I1411" t="s">
        <v>2380</v>
      </c>
      <c r="J1411" s="8">
        <f t="shared" ref="J1411:J1474" si="22">DATE(B1411,MONTH(1&amp;C1411),D1411)</f>
        <v>30275</v>
      </c>
    </row>
    <row r="1412" spans="1:10" x14ac:dyDescent="0.35">
      <c r="A1412" t="s">
        <v>929</v>
      </c>
      <c r="B1412">
        <v>1965</v>
      </c>
      <c r="C1412" t="s">
        <v>2367</v>
      </c>
      <c r="D1412">
        <v>3</v>
      </c>
      <c r="E1412">
        <v>0</v>
      </c>
      <c r="F1412" s="10">
        <v>11830.61</v>
      </c>
      <c r="G1412" t="s">
        <v>2358</v>
      </c>
      <c r="H1412" t="s">
        <v>2361</v>
      </c>
      <c r="I1412" t="s">
        <v>2364</v>
      </c>
      <c r="J1412" s="8">
        <f t="shared" si="22"/>
        <v>24018</v>
      </c>
    </row>
    <row r="1413" spans="1:10" x14ac:dyDescent="0.35">
      <c r="A1413" t="s">
        <v>928</v>
      </c>
      <c r="B1413">
        <v>1964</v>
      </c>
      <c r="C1413" t="s">
        <v>2362</v>
      </c>
      <c r="D1413">
        <v>27</v>
      </c>
      <c r="E1413">
        <v>0</v>
      </c>
      <c r="F1413" s="10">
        <v>11833.78</v>
      </c>
      <c r="G1413" t="s">
        <v>2358</v>
      </c>
      <c r="H1413" t="s">
        <v>2358</v>
      </c>
      <c r="I1413" t="s">
        <v>2359</v>
      </c>
      <c r="J1413" s="8">
        <f t="shared" si="22"/>
        <v>23555</v>
      </c>
    </row>
    <row r="1414" spans="1:10" x14ac:dyDescent="0.35">
      <c r="A1414" t="s">
        <v>927</v>
      </c>
      <c r="B1414">
        <v>1964</v>
      </c>
      <c r="C1414" t="s">
        <v>2363</v>
      </c>
      <c r="D1414">
        <v>11</v>
      </c>
      <c r="E1414">
        <v>0</v>
      </c>
      <c r="F1414" s="10">
        <v>11837.16</v>
      </c>
      <c r="G1414" t="s">
        <v>2358</v>
      </c>
      <c r="H1414" t="s">
        <v>2358</v>
      </c>
      <c r="I1414" t="s">
        <v>2368</v>
      </c>
      <c r="J1414" s="8">
        <f t="shared" si="22"/>
        <v>23631</v>
      </c>
    </row>
    <row r="1415" spans="1:10" x14ac:dyDescent="0.35">
      <c r="A1415" t="s">
        <v>926</v>
      </c>
      <c r="B1415">
        <v>1965</v>
      </c>
      <c r="C1415" t="s">
        <v>2363</v>
      </c>
      <c r="D1415">
        <v>25</v>
      </c>
      <c r="E1415">
        <v>0</v>
      </c>
      <c r="F1415" s="10">
        <v>11840.78</v>
      </c>
      <c r="G1415" t="s">
        <v>2358</v>
      </c>
      <c r="H1415" t="s">
        <v>2357</v>
      </c>
      <c r="I1415" t="s">
        <v>2364</v>
      </c>
      <c r="J1415" s="8">
        <f t="shared" si="22"/>
        <v>24010</v>
      </c>
    </row>
    <row r="1416" spans="1:10" x14ac:dyDescent="0.35">
      <c r="A1416" t="s">
        <v>925</v>
      </c>
      <c r="B1416">
        <v>1964</v>
      </c>
      <c r="C1416" t="s">
        <v>2356</v>
      </c>
      <c r="D1416">
        <v>11</v>
      </c>
      <c r="E1416">
        <v>0</v>
      </c>
      <c r="F1416" s="10">
        <v>11842.44</v>
      </c>
      <c r="G1416" t="s">
        <v>2358</v>
      </c>
      <c r="H1416" t="s">
        <v>2357</v>
      </c>
      <c r="I1416" t="s">
        <v>2368</v>
      </c>
      <c r="J1416" s="8">
        <f t="shared" si="22"/>
        <v>23569</v>
      </c>
    </row>
    <row r="1417" spans="1:10" x14ac:dyDescent="0.35">
      <c r="A1417" t="s">
        <v>924</v>
      </c>
      <c r="B1417">
        <v>1965</v>
      </c>
      <c r="C1417" t="s">
        <v>2360</v>
      </c>
      <c r="D1417">
        <v>10</v>
      </c>
      <c r="E1417">
        <v>0</v>
      </c>
      <c r="F1417" s="10">
        <v>11842.62</v>
      </c>
      <c r="G1417" t="s">
        <v>2358</v>
      </c>
      <c r="H1417" t="s">
        <v>2358</v>
      </c>
      <c r="I1417" t="s">
        <v>2364</v>
      </c>
      <c r="J1417" s="8">
        <f t="shared" si="22"/>
        <v>24056</v>
      </c>
    </row>
    <row r="1418" spans="1:10" x14ac:dyDescent="0.35">
      <c r="A1418" t="s">
        <v>923</v>
      </c>
      <c r="B1418">
        <v>1964</v>
      </c>
      <c r="C1418" t="s">
        <v>2362</v>
      </c>
      <c r="D1418">
        <v>27</v>
      </c>
      <c r="E1418">
        <v>0</v>
      </c>
      <c r="F1418" s="10">
        <v>11848.14</v>
      </c>
      <c r="G1418" t="s">
        <v>2358</v>
      </c>
      <c r="H1418" t="s">
        <v>2357</v>
      </c>
      <c r="I1418" t="s">
        <v>2368</v>
      </c>
      <c r="J1418" s="8">
        <f t="shared" si="22"/>
        <v>23555</v>
      </c>
    </row>
    <row r="1419" spans="1:10" x14ac:dyDescent="0.35">
      <c r="A1419" t="s">
        <v>922</v>
      </c>
      <c r="B1419">
        <v>1964</v>
      </c>
      <c r="C1419" t="s">
        <v>2363</v>
      </c>
      <c r="D1419">
        <v>29</v>
      </c>
      <c r="E1419">
        <v>0</v>
      </c>
      <c r="F1419" s="10">
        <v>11856.41</v>
      </c>
      <c r="G1419" t="s">
        <v>2358</v>
      </c>
      <c r="H1419" t="s">
        <v>2357</v>
      </c>
      <c r="I1419" t="s">
        <v>2359</v>
      </c>
      <c r="J1419" s="8">
        <f t="shared" si="22"/>
        <v>23649</v>
      </c>
    </row>
    <row r="1420" spans="1:10" x14ac:dyDescent="0.35">
      <c r="A1420" t="s">
        <v>921</v>
      </c>
      <c r="B1420">
        <v>1974</v>
      </c>
      <c r="C1420" t="s">
        <v>2356</v>
      </c>
      <c r="D1420">
        <v>7</v>
      </c>
      <c r="E1420">
        <v>0</v>
      </c>
      <c r="F1420" s="10">
        <v>11858.56</v>
      </c>
      <c r="G1420" t="s">
        <v>2358</v>
      </c>
      <c r="H1420" t="s">
        <v>2358</v>
      </c>
      <c r="I1420" t="s">
        <v>2368</v>
      </c>
      <c r="J1420" s="8">
        <f t="shared" si="22"/>
        <v>27217</v>
      </c>
    </row>
    <row r="1421" spans="1:10" x14ac:dyDescent="0.35">
      <c r="A1421" t="s">
        <v>920</v>
      </c>
      <c r="B1421">
        <v>1967</v>
      </c>
      <c r="C1421" t="s">
        <v>2366</v>
      </c>
      <c r="D1421">
        <v>24</v>
      </c>
      <c r="E1421">
        <v>1</v>
      </c>
      <c r="F1421" s="10">
        <v>11879.1</v>
      </c>
      <c r="G1421" t="s">
        <v>2358</v>
      </c>
      <c r="H1421" t="s">
        <v>2358</v>
      </c>
      <c r="I1421" t="s">
        <v>2374</v>
      </c>
      <c r="J1421" s="8">
        <f t="shared" si="22"/>
        <v>24708</v>
      </c>
    </row>
    <row r="1422" spans="1:10" x14ac:dyDescent="0.35">
      <c r="A1422" t="s">
        <v>919</v>
      </c>
      <c r="B1422">
        <v>1967</v>
      </c>
      <c r="C1422" t="s">
        <v>2356</v>
      </c>
      <c r="D1422">
        <v>14</v>
      </c>
      <c r="E1422">
        <v>2</v>
      </c>
      <c r="F1422" s="10">
        <v>11881.36</v>
      </c>
      <c r="G1422" t="s">
        <v>2358</v>
      </c>
      <c r="H1422" t="s">
        <v>2357</v>
      </c>
      <c r="I1422" t="s">
        <v>2368</v>
      </c>
      <c r="J1422" s="8">
        <f t="shared" si="22"/>
        <v>24667</v>
      </c>
    </row>
    <row r="1423" spans="1:10" x14ac:dyDescent="0.35">
      <c r="A1423" t="s">
        <v>918</v>
      </c>
      <c r="B1423">
        <v>1967</v>
      </c>
      <c r="C1423" t="s">
        <v>2367</v>
      </c>
      <c r="D1423">
        <v>29</v>
      </c>
      <c r="E1423">
        <v>2</v>
      </c>
      <c r="F1423" s="10">
        <v>11881.97</v>
      </c>
      <c r="G1423" t="s">
        <v>2358</v>
      </c>
      <c r="H1423" t="s">
        <v>2361</v>
      </c>
      <c r="I1423" t="s">
        <v>2359</v>
      </c>
      <c r="J1423" s="8">
        <f t="shared" si="22"/>
        <v>24774</v>
      </c>
    </row>
    <row r="1424" spans="1:10" x14ac:dyDescent="0.35">
      <c r="A1424" t="s">
        <v>917</v>
      </c>
      <c r="B1424">
        <v>2004</v>
      </c>
      <c r="C1424" t="s">
        <v>2362</v>
      </c>
      <c r="D1424">
        <v>2</v>
      </c>
      <c r="E1424">
        <v>2</v>
      </c>
      <c r="F1424" s="10">
        <v>11884.05</v>
      </c>
      <c r="G1424" t="s">
        <v>2358</v>
      </c>
      <c r="H1424" t="s">
        <v>2358</v>
      </c>
      <c r="I1424" t="s">
        <v>2359</v>
      </c>
      <c r="J1424" s="8">
        <f t="shared" si="22"/>
        <v>38140</v>
      </c>
    </row>
    <row r="1425" spans="1:10" x14ac:dyDescent="0.35">
      <c r="A1425" t="s">
        <v>916</v>
      </c>
      <c r="B1425">
        <v>1964</v>
      </c>
      <c r="C1425" t="s">
        <v>2360</v>
      </c>
      <c r="D1425">
        <v>19</v>
      </c>
      <c r="E1425">
        <v>0</v>
      </c>
      <c r="F1425" s="10">
        <v>11918.2</v>
      </c>
      <c r="G1425" t="s">
        <v>2358</v>
      </c>
      <c r="H1425" t="s">
        <v>2361</v>
      </c>
      <c r="I1425" t="s">
        <v>2377</v>
      </c>
      <c r="J1425" s="8">
        <f t="shared" si="22"/>
        <v>23700</v>
      </c>
    </row>
    <row r="1426" spans="1:10" x14ac:dyDescent="0.35">
      <c r="A1426" t="s">
        <v>915</v>
      </c>
      <c r="B1426">
        <v>1964</v>
      </c>
      <c r="C1426" t="s">
        <v>2365</v>
      </c>
      <c r="D1426">
        <v>20</v>
      </c>
      <c r="E1426">
        <v>0</v>
      </c>
      <c r="F1426" s="10">
        <v>11931.13</v>
      </c>
      <c r="G1426" t="s">
        <v>2358</v>
      </c>
      <c r="H1426" t="s">
        <v>2361</v>
      </c>
      <c r="I1426" t="s">
        <v>2370</v>
      </c>
      <c r="J1426" s="8">
        <f t="shared" si="22"/>
        <v>23731</v>
      </c>
    </row>
    <row r="1427" spans="1:10" x14ac:dyDescent="0.35">
      <c r="A1427" t="s">
        <v>914</v>
      </c>
      <c r="B1427">
        <v>1964</v>
      </c>
      <c r="C1427" t="s">
        <v>2366</v>
      </c>
      <c r="D1427">
        <v>2</v>
      </c>
      <c r="E1427">
        <v>0</v>
      </c>
      <c r="F1427" s="10">
        <v>11938.26</v>
      </c>
      <c r="G1427" t="s">
        <v>2358</v>
      </c>
      <c r="H1427" t="s">
        <v>2358</v>
      </c>
      <c r="I1427" t="s">
        <v>2370</v>
      </c>
      <c r="J1427" s="8">
        <f t="shared" si="22"/>
        <v>23591</v>
      </c>
    </row>
    <row r="1428" spans="1:10" x14ac:dyDescent="0.35">
      <c r="A1428" t="s">
        <v>913</v>
      </c>
      <c r="B1428">
        <v>1991</v>
      </c>
      <c r="C1428" t="s">
        <v>2367</v>
      </c>
      <c r="D1428">
        <v>19</v>
      </c>
      <c r="E1428">
        <v>3</v>
      </c>
      <c r="F1428" s="10">
        <v>11941.83</v>
      </c>
      <c r="G1428" t="s">
        <v>2358</v>
      </c>
      <c r="H1428" t="s">
        <v>2361</v>
      </c>
      <c r="I1428" t="s">
        <v>2375</v>
      </c>
      <c r="J1428" s="8">
        <f t="shared" si="22"/>
        <v>33530</v>
      </c>
    </row>
    <row r="1429" spans="1:10" x14ac:dyDescent="0.35">
      <c r="A1429" t="s">
        <v>912</v>
      </c>
      <c r="B1429">
        <v>1964</v>
      </c>
      <c r="C1429" t="s">
        <v>2365</v>
      </c>
      <c r="D1429">
        <v>25</v>
      </c>
      <c r="E1429">
        <v>0</v>
      </c>
      <c r="F1429" s="10">
        <v>11944.59</v>
      </c>
      <c r="G1429" t="s">
        <v>2358</v>
      </c>
      <c r="H1429" t="s">
        <v>2357</v>
      </c>
      <c r="I1429" t="s">
        <v>2371</v>
      </c>
      <c r="J1429" s="8">
        <f t="shared" si="22"/>
        <v>23736</v>
      </c>
    </row>
    <row r="1430" spans="1:10" x14ac:dyDescent="0.35">
      <c r="A1430" t="s">
        <v>911</v>
      </c>
      <c r="B1430">
        <v>1965</v>
      </c>
      <c r="C1430" t="s">
        <v>2360</v>
      </c>
      <c r="D1430">
        <v>1</v>
      </c>
      <c r="E1430">
        <v>1</v>
      </c>
      <c r="F1430" s="10">
        <v>11945.13</v>
      </c>
      <c r="G1430" t="s">
        <v>2358</v>
      </c>
      <c r="H1430" t="s">
        <v>2357</v>
      </c>
      <c r="I1430" t="s">
        <v>2364</v>
      </c>
      <c r="J1430" s="8">
        <f t="shared" si="22"/>
        <v>24047</v>
      </c>
    </row>
    <row r="1431" spans="1:10" x14ac:dyDescent="0.35">
      <c r="A1431" t="s">
        <v>910</v>
      </c>
      <c r="B1431">
        <v>1964</v>
      </c>
      <c r="C1431" t="s">
        <v>2363</v>
      </c>
      <c r="D1431">
        <v>29</v>
      </c>
      <c r="E1431">
        <v>1</v>
      </c>
      <c r="F1431" s="10">
        <v>11946.63</v>
      </c>
      <c r="G1431" t="s">
        <v>2358</v>
      </c>
      <c r="H1431" t="s">
        <v>2357</v>
      </c>
      <c r="I1431" t="s">
        <v>2359</v>
      </c>
      <c r="J1431" s="8">
        <f t="shared" si="22"/>
        <v>23649</v>
      </c>
    </row>
    <row r="1432" spans="1:10" x14ac:dyDescent="0.35">
      <c r="A1432" t="s">
        <v>909</v>
      </c>
      <c r="B1432">
        <v>1967</v>
      </c>
      <c r="C1432" t="s">
        <v>2365</v>
      </c>
      <c r="D1432">
        <v>22</v>
      </c>
      <c r="E1432">
        <v>3</v>
      </c>
      <c r="F1432" s="10">
        <v>11987.17</v>
      </c>
      <c r="G1432" t="s">
        <v>2358</v>
      </c>
      <c r="H1432" t="s">
        <v>2358</v>
      </c>
      <c r="I1432" t="s">
        <v>2359</v>
      </c>
      <c r="J1432" s="8">
        <f t="shared" si="22"/>
        <v>24828</v>
      </c>
    </row>
    <row r="1433" spans="1:10" x14ac:dyDescent="0.35">
      <c r="A1433" t="s">
        <v>908</v>
      </c>
      <c r="B1433">
        <v>1983</v>
      </c>
      <c r="C1433" t="s">
        <v>2356</v>
      </c>
      <c r="D1433">
        <v>4</v>
      </c>
      <c r="E1433">
        <v>3</v>
      </c>
      <c r="F1433" s="10">
        <v>11987.68</v>
      </c>
      <c r="G1433" t="s">
        <v>2358</v>
      </c>
      <c r="H1433" t="s">
        <v>2357</v>
      </c>
      <c r="I1433" t="s">
        <v>2380</v>
      </c>
      <c r="J1433" s="8">
        <f t="shared" si="22"/>
        <v>30501</v>
      </c>
    </row>
    <row r="1434" spans="1:10" x14ac:dyDescent="0.35">
      <c r="A1434" t="s">
        <v>907</v>
      </c>
      <c r="B1434">
        <v>1993</v>
      </c>
      <c r="C1434" t="s">
        <v>2365</v>
      </c>
      <c r="D1434">
        <v>12</v>
      </c>
      <c r="E1434">
        <v>0</v>
      </c>
      <c r="F1434" s="10">
        <v>11994.89</v>
      </c>
      <c r="G1434" t="s">
        <v>2358</v>
      </c>
      <c r="H1434" t="s">
        <v>2357</v>
      </c>
      <c r="I1434" t="s">
        <v>2364</v>
      </c>
      <c r="J1434" s="8">
        <f t="shared" si="22"/>
        <v>34315</v>
      </c>
    </row>
    <row r="1435" spans="1:10" x14ac:dyDescent="0.35">
      <c r="A1435" t="s">
        <v>906</v>
      </c>
      <c r="B1435">
        <v>1982</v>
      </c>
      <c r="C1435" t="s">
        <v>2367</v>
      </c>
      <c r="D1435">
        <v>17</v>
      </c>
      <c r="E1435">
        <v>3</v>
      </c>
      <c r="F1435" s="10">
        <v>12001.29</v>
      </c>
      <c r="G1435" t="s">
        <v>2358</v>
      </c>
      <c r="H1435" t="s">
        <v>2358</v>
      </c>
      <c r="I1435" t="s">
        <v>2377</v>
      </c>
      <c r="J1435" s="8">
        <f t="shared" si="22"/>
        <v>30241</v>
      </c>
    </row>
    <row r="1436" spans="1:10" x14ac:dyDescent="0.35">
      <c r="A1436" t="s">
        <v>905</v>
      </c>
      <c r="B1436">
        <v>1965</v>
      </c>
      <c r="C1436" t="s">
        <v>2362</v>
      </c>
      <c r="D1436">
        <v>9</v>
      </c>
      <c r="E1436">
        <v>0</v>
      </c>
      <c r="F1436" s="10">
        <v>12029.29</v>
      </c>
      <c r="G1436" t="s">
        <v>2358</v>
      </c>
      <c r="H1436" t="s">
        <v>2357</v>
      </c>
      <c r="I1436" t="s">
        <v>2374</v>
      </c>
      <c r="J1436" s="8">
        <f t="shared" si="22"/>
        <v>23902</v>
      </c>
    </row>
    <row r="1437" spans="1:10" x14ac:dyDescent="0.35">
      <c r="A1437" t="s">
        <v>904</v>
      </c>
      <c r="B1437">
        <v>1965</v>
      </c>
      <c r="C1437" t="s">
        <v>2367</v>
      </c>
      <c r="D1437">
        <v>29</v>
      </c>
      <c r="E1437">
        <v>1</v>
      </c>
      <c r="F1437" s="10">
        <v>12032.33</v>
      </c>
      <c r="G1437" t="s">
        <v>2358</v>
      </c>
      <c r="H1437" t="s">
        <v>2361</v>
      </c>
      <c r="I1437" t="s">
        <v>2368</v>
      </c>
      <c r="J1437" s="8">
        <f t="shared" si="22"/>
        <v>24044</v>
      </c>
    </row>
    <row r="1438" spans="1:10" x14ac:dyDescent="0.35">
      <c r="A1438" t="s">
        <v>903</v>
      </c>
      <c r="B1438">
        <v>1979</v>
      </c>
      <c r="C1438" t="s">
        <v>2367</v>
      </c>
      <c r="D1438">
        <v>16</v>
      </c>
      <c r="E1438">
        <v>2</v>
      </c>
      <c r="F1438" s="10">
        <v>12035.18</v>
      </c>
      <c r="G1438" t="s">
        <v>2358</v>
      </c>
      <c r="H1438" t="s">
        <v>2358</v>
      </c>
      <c r="I1438" t="s">
        <v>2377</v>
      </c>
      <c r="J1438" s="8">
        <f t="shared" si="22"/>
        <v>29144</v>
      </c>
    </row>
    <row r="1439" spans="1:10" x14ac:dyDescent="0.35">
      <c r="A1439" t="s">
        <v>902</v>
      </c>
      <c r="B1439">
        <v>1966</v>
      </c>
      <c r="C1439" t="s">
        <v>2360</v>
      </c>
      <c r="D1439">
        <v>24</v>
      </c>
      <c r="E1439">
        <v>1</v>
      </c>
      <c r="F1439" s="10">
        <v>12044.34</v>
      </c>
      <c r="G1439" t="s">
        <v>2358</v>
      </c>
      <c r="H1439" t="s">
        <v>2361</v>
      </c>
      <c r="I1439" t="s">
        <v>2364</v>
      </c>
      <c r="J1439" s="8">
        <f t="shared" si="22"/>
        <v>24435</v>
      </c>
    </row>
    <row r="1440" spans="1:10" x14ac:dyDescent="0.35">
      <c r="A1440" t="s">
        <v>901</v>
      </c>
      <c r="B1440">
        <v>1986</v>
      </c>
      <c r="C1440" t="s">
        <v>2363</v>
      </c>
      <c r="D1440">
        <v>7</v>
      </c>
      <c r="E1440">
        <v>3</v>
      </c>
      <c r="F1440" s="10">
        <v>12048.13</v>
      </c>
      <c r="G1440" t="s">
        <v>2358</v>
      </c>
      <c r="H1440" t="s">
        <v>2357</v>
      </c>
      <c r="I1440" t="s">
        <v>2380</v>
      </c>
      <c r="J1440" s="8">
        <f t="shared" si="22"/>
        <v>31662</v>
      </c>
    </row>
    <row r="1441" spans="1:10" x14ac:dyDescent="0.35">
      <c r="A1441" t="s">
        <v>900</v>
      </c>
      <c r="B1441">
        <v>1984</v>
      </c>
      <c r="C1441" t="s">
        <v>2363</v>
      </c>
      <c r="D1441">
        <v>2</v>
      </c>
      <c r="E1441">
        <v>3</v>
      </c>
      <c r="F1441" s="10">
        <v>12091.34</v>
      </c>
      <c r="G1441" t="s">
        <v>2358</v>
      </c>
      <c r="H1441" t="s">
        <v>2357</v>
      </c>
      <c r="I1441" t="s">
        <v>2381</v>
      </c>
      <c r="J1441" s="8">
        <f t="shared" si="22"/>
        <v>30927</v>
      </c>
    </row>
    <row r="1442" spans="1:10" x14ac:dyDescent="0.35">
      <c r="A1442" t="s">
        <v>899</v>
      </c>
      <c r="B1442">
        <v>1968</v>
      </c>
      <c r="C1442" t="s">
        <v>2362</v>
      </c>
      <c r="D1442">
        <v>21</v>
      </c>
      <c r="E1442">
        <v>3</v>
      </c>
      <c r="F1442" s="10">
        <v>12094.48</v>
      </c>
      <c r="G1442" t="s">
        <v>2358</v>
      </c>
      <c r="H1442" t="s">
        <v>2358</v>
      </c>
      <c r="I1442" t="s">
        <v>2368</v>
      </c>
      <c r="J1442" s="8">
        <f t="shared" si="22"/>
        <v>25010</v>
      </c>
    </row>
    <row r="1443" spans="1:10" x14ac:dyDescent="0.35">
      <c r="A1443" t="s">
        <v>898</v>
      </c>
      <c r="B1443">
        <v>1968</v>
      </c>
      <c r="C1443" t="s">
        <v>2365</v>
      </c>
      <c r="D1443">
        <v>9</v>
      </c>
      <c r="E1443">
        <v>2</v>
      </c>
      <c r="F1443" s="10">
        <v>12096.65</v>
      </c>
      <c r="G1443" t="s">
        <v>2358</v>
      </c>
      <c r="H1443" t="s">
        <v>2361</v>
      </c>
      <c r="I1443" t="s">
        <v>2374</v>
      </c>
      <c r="J1443" s="8">
        <f t="shared" si="22"/>
        <v>25181</v>
      </c>
    </row>
    <row r="1444" spans="1:10" x14ac:dyDescent="0.35">
      <c r="A1444" t="s">
        <v>897</v>
      </c>
      <c r="B1444">
        <v>1968</v>
      </c>
      <c r="C1444" t="s">
        <v>2367</v>
      </c>
      <c r="D1444">
        <v>25</v>
      </c>
      <c r="E1444">
        <v>3</v>
      </c>
      <c r="F1444" s="10">
        <v>12105.32</v>
      </c>
      <c r="G1444" t="s">
        <v>2358</v>
      </c>
      <c r="H1444" t="s">
        <v>2358</v>
      </c>
      <c r="I1444" t="s">
        <v>2368</v>
      </c>
      <c r="J1444" s="8">
        <f t="shared" si="22"/>
        <v>25136</v>
      </c>
    </row>
    <row r="1445" spans="1:10" x14ac:dyDescent="0.35">
      <c r="A1445" t="s">
        <v>896</v>
      </c>
      <c r="B1445">
        <v>1963</v>
      </c>
      <c r="C1445" t="s">
        <v>2356</v>
      </c>
      <c r="D1445">
        <v>20</v>
      </c>
      <c r="E1445">
        <v>0</v>
      </c>
      <c r="F1445" s="10">
        <v>12124.99</v>
      </c>
      <c r="G1445" t="s">
        <v>2358</v>
      </c>
      <c r="H1445" t="s">
        <v>2361</v>
      </c>
      <c r="I1445" t="s">
        <v>2364</v>
      </c>
      <c r="J1445" s="8">
        <f t="shared" si="22"/>
        <v>23212</v>
      </c>
    </row>
    <row r="1446" spans="1:10" x14ac:dyDescent="0.35">
      <c r="A1446" t="s">
        <v>895</v>
      </c>
      <c r="B1446">
        <v>1963</v>
      </c>
      <c r="C1446" t="s">
        <v>2362</v>
      </c>
      <c r="D1446">
        <v>4</v>
      </c>
      <c r="E1446">
        <v>0</v>
      </c>
      <c r="F1446" s="10">
        <v>12129.61</v>
      </c>
      <c r="G1446" t="s">
        <v>2358</v>
      </c>
      <c r="H1446" t="s">
        <v>2361</v>
      </c>
      <c r="I1446" t="s">
        <v>2364</v>
      </c>
      <c r="J1446" s="8">
        <f t="shared" si="22"/>
        <v>23166</v>
      </c>
    </row>
    <row r="1447" spans="1:10" x14ac:dyDescent="0.35">
      <c r="A1447" t="s">
        <v>894</v>
      </c>
      <c r="B1447">
        <v>1991</v>
      </c>
      <c r="C1447" t="s">
        <v>2360</v>
      </c>
      <c r="D1447">
        <v>6</v>
      </c>
      <c r="E1447">
        <v>3</v>
      </c>
      <c r="F1447" s="10">
        <v>12130.8</v>
      </c>
      <c r="G1447" t="s">
        <v>2358</v>
      </c>
      <c r="H1447" t="s">
        <v>2358</v>
      </c>
      <c r="I1447" t="s">
        <v>2380</v>
      </c>
      <c r="J1447" s="8">
        <f t="shared" si="22"/>
        <v>33548</v>
      </c>
    </row>
    <row r="1448" spans="1:10" x14ac:dyDescent="0.35">
      <c r="A1448" t="s">
        <v>893</v>
      </c>
      <c r="B1448">
        <v>1974</v>
      </c>
      <c r="C1448" t="s">
        <v>2363</v>
      </c>
      <c r="D1448">
        <v>16</v>
      </c>
      <c r="E1448">
        <v>0</v>
      </c>
      <c r="F1448" s="10">
        <v>12137.6</v>
      </c>
      <c r="G1448" t="s">
        <v>2358</v>
      </c>
      <c r="H1448" t="s">
        <v>2358</v>
      </c>
      <c r="I1448" t="s">
        <v>2364</v>
      </c>
      <c r="J1448" s="8">
        <f t="shared" si="22"/>
        <v>27288</v>
      </c>
    </row>
    <row r="1449" spans="1:10" x14ac:dyDescent="0.35">
      <c r="A1449" t="s">
        <v>892</v>
      </c>
      <c r="B1449">
        <v>1962</v>
      </c>
      <c r="C1449" t="s">
        <v>2360</v>
      </c>
      <c r="D1449">
        <v>4</v>
      </c>
      <c r="E1449">
        <v>0</v>
      </c>
      <c r="F1449" s="10">
        <v>12142.58</v>
      </c>
      <c r="G1449" t="s">
        <v>2358</v>
      </c>
      <c r="H1449" t="s">
        <v>2357</v>
      </c>
      <c r="I1449" t="s">
        <v>2359</v>
      </c>
      <c r="J1449" s="8">
        <f t="shared" si="22"/>
        <v>22954</v>
      </c>
    </row>
    <row r="1450" spans="1:10" x14ac:dyDescent="0.35">
      <c r="A1450" t="s">
        <v>891</v>
      </c>
      <c r="B1450">
        <v>1962</v>
      </c>
      <c r="C1450" t="s">
        <v>2363</v>
      </c>
      <c r="D1450">
        <v>15</v>
      </c>
      <c r="E1450">
        <v>0</v>
      </c>
      <c r="F1450" s="10">
        <v>12146.97</v>
      </c>
      <c r="G1450" t="s">
        <v>2358</v>
      </c>
      <c r="H1450" t="s">
        <v>2358</v>
      </c>
      <c r="I1450" t="s">
        <v>2368</v>
      </c>
      <c r="J1450" s="8">
        <f t="shared" si="22"/>
        <v>22904</v>
      </c>
    </row>
    <row r="1451" spans="1:10" x14ac:dyDescent="0.35">
      <c r="A1451" t="s">
        <v>890</v>
      </c>
      <c r="B1451">
        <v>1987</v>
      </c>
      <c r="C1451" t="s">
        <v>2367</v>
      </c>
      <c r="D1451">
        <v>5</v>
      </c>
      <c r="E1451">
        <v>3</v>
      </c>
      <c r="F1451" s="10">
        <v>12148.2</v>
      </c>
      <c r="G1451" t="s">
        <v>2358</v>
      </c>
      <c r="H1451" t="s">
        <v>2358</v>
      </c>
      <c r="I1451" t="s">
        <v>2364</v>
      </c>
      <c r="J1451" s="8">
        <f t="shared" si="22"/>
        <v>32055</v>
      </c>
    </row>
    <row r="1452" spans="1:10" x14ac:dyDescent="0.35">
      <c r="A1452" t="s">
        <v>889</v>
      </c>
      <c r="B1452">
        <v>1991</v>
      </c>
      <c r="C1452" t="s">
        <v>2366</v>
      </c>
      <c r="D1452">
        <v>29</v>
      </c>
      <c r="E1452">
        <v>3</v>
      </c>
      <c r="F1452" s="10">
        <v>12198.64</v>
      </c>
      <c r="G1452" t="s">
        <v>2358</v>
      </c>
      <c r="H1452" t="s">
        <v>2358</v>
      </c>
      <c r="I1452" t="s">
        <v>2380</v>
      </c>
      <c r="J1452" s="8">
        <f t="shared" si="22"/>
        <v>33479</v>
      </c>
    </row>
    <row r="1453" spans="1:10" x14ac:dyDescent="0.35">
      <c r="A1453" t="s">
        <v>888</v>
      </c>
      <c r="B1453">
        <v>1977</v>
      </c>
      <c r="C1453" t="s">
        <v>2366</v>
      </c>
      <c r="D1453">
        <v>14</v>
      </c>
      <c r="E1453">
        <v>2</v>
      </c>
      <c r="F1453" s="10">
        <v>12218.7</v>
      </c>
      <c r="G1453" t="s">
        <v>2358</v>
      </c>
      <c r="H1453" t="s">
        <v>2361</v>
      </c>
      <c r="I1453" t="s">
        <v>2364</v>
      </c>
      <c r="J1453" s="8">
        <f t="shared" si="22"/>
        <v>28351</v>
      </c>
    </row>
    <row r="1454" spans="1:10" x14ac:dyDescent="0.35">
      <c r="A1454" t="s">
        <v>887</v>
      </c>
      <c r="B1454">
        <v>1964</v>
      </c>
      <c r="C1454" t="s">
        <v>2356</v>
      </c>
      <c r="D1454">
        <v>20</v>
      </c>
      <c r="E1454">
        <v>0</v>
      </c>
      <c r="F1454" s="10">
        <v>12222.9</v>
      </c>
      <c r="G1454" t="s">
        <v>2358</v>
      </c>
      <c r="H1454" t="s">
        <v>2357</v>
      </c>
      <c r="I1454" t="s">
        <v>2364</v>
      </c>
      <c r="J1454" s="8">
        <f t="shared" si="22"/>
        <v>23578</v>
      </c>
    </row>
    <row r="1455" spans="1:10" x14ac:dyDescent="0.35">
      <c r="A1455" t="s">
        <v>886</v>
      </c>
      <c r="B1455">
        <v>1964</v>
      </c>
      <c r="C1455" t="s">
        <v>2356</v>
      </c>
      <c r="D1455">
        <v>2</v>
      </c>
      <c r="E1455">
        <v>0</v>
      </c>
      <c r="F1455" s="10">
        <v>12224.35</v>
      </c>
      <c r="G1455" t="s">
        <v>2358</v>
      </c>
      <c r="H1455" t="s">
        <v>2361</v>
      </c>
      <c r="I1455" t="s">
        <v>2364</v>
      </c>
      <c r="J1455" s="8">
        <f t="shared" si="22"/>
        <v>23560</v>
      </c>
    </row>
    <row r="1456" spans="1:10" x14ac:dyDescent="0.35">
      <c r="A1456" t="s">
        <v>885</v>
      </c>
      <c r="B1456">
        <v>1964</v>
      </c>
      <c r="C1456" t="s">
        <v>2362</v>
      </c>
      <c r="D1456">
        <v>24</v>
      </c>
      <c r="E1456">
        <v>0</v>
      </c>
      <c r="F1456" s="10">
        <v>12231.61</v>
      </c>
      <c r="G1456" t="s">
        <v>2358</v>
      </c>
      <c r="H1456" t="s">
        <v>2358</v>
      </c>
      <c r="I1456" t="s">
        <v>2364</v>
      </c>
      <c r="J1456" s="8">
        <f t="shared" si="22"/>
        <v>23552</v>
      </c>
    </row>
    <row r="1457" spans="1:10" x14ac:dyDescent="0.35">
      <c r="A1457" t="s">
        <v>884</v>
      </c>
      <c r="B1457">
        <v>1963</v>
      </c>
      <c r="C1457" t="s">
        <v>2356</v>
      </c>
      <c r="D1457">
        <v>19</v>
      </c>
      <c r="E1457">
        <v>0</v>
      </c>
      <c r="F1457" s="10">
        <v>12233.83</v>
      </c>
      <c r="G1457" t="s">
        <v>2358</v>
      </c>
      <c r="H1457" t="s">
        <v>2361</v>
      </c>
      <c r="I1457" t="s">
        <v>2368</v>
      </c>
      <c r="J1457" s="8">
        <f t="shared" si="22"/>
        <v>23211</v>
      </c>
    </row>
    <row r="1458" spans="1:10" x14ac:dyDescent="0.35">
      <c r="A1458" t="s">
        <v>883</v>
      </c>
      <c r="B1458">
        <v>1964</v>
      </c>
      <c r="C1458" t="s">
        <v>2367</v>
      </c>
      <c r="D1458">
        <v>15</v>
      </c>
      <c r="E1458">
        <v>0</v>
      </c>
      <c r="F1458" s="10">
        <v>12235.84</v>
      </c>
      <c r="G1458" t="s">
        <v>2358</v>
      </c>
      <c r="H1458" t="s">
        <v>2358</v>
      </c>
      <c r="I1458" t="s">
        <v>2364</v>
      </c>
      <c r="J1458" s="8">
        <f t="shared" si="22"/>
        <v>23665</v>
      </c>
    </row>
    <row r="1459" spans="1:10" x14ac:dyDescent="0.35">
      <c r="A1459" t="s">
        <v>882</v>
      </c>
      <c r="B1459">
        <v>1966</v>
      </c>
      <c r="C1459" t="s">
        <v>2356</v>
      </c>
      <c r="D1459">
        <v>29</v>
      </c>
      <c r="E1459">
        <v>0</v>
      </c>
      <c r="F1459" s="10">
        <v>12237.73</v>
      </c>
      <c r="G1459" t="s">
        <v>2358</v>
      </c>
      <c r="H1459" t="s">
        <v>2358</v>
      </c>
      <c r="I1459" t="s">
        <v>2364</v>
      </c>
      <c r="J1459" s="8">
        <f t="shared" si="22"/>
        <v>24317</v>
      </c>
    </row>
    <row r="1460" spans="1:10" x14ac:dyDescent="0.35">
      <c r="A1460" t="s">
        <v>881</v>
      </c>
      <c r="B1460">
        <v>1963</v>
      </c>
      <c r="C1460" t="s">
        <v>2356</v>
      </c>
      <c r="D1460">
        <v>17</v>
      </c>
      <c r="E1460">
        <v>0</v>
      </c>
      <c r="F1460" s="10">
        <v>12244.53</v>
      </c>
      <c r="G1460" t="s">
        <v>2358</v>
      </c>
      <c r="H1460" t="s">
        <v>2361</v>
      </c>
      <c r="I1460" t="s">
        <v>2359</v>
      </c>
      <c r="J1460" s="8">
        <f t="shared" si="22"/>
        <v>23209</v>
      </c>
    </row>
    <row r="1461" spans="1:10" x14ac:dyDescent="0.35">
      <c r="A1461" t="s">
        <v>880</v>
      </c>
      <c r="B1461">
        <v>1974</v>
      </c>
      <c r="C1461" t="s">
        <v>2362</v>
      </c>
      <c r="D1461">
        <v>23</v>
      </c>
      <c r="E1461">
        <v>0</v>
      </c>
      <c r="F1461" s="10">
        <v>12245.17</v>
      </c>
      <c r="G1461" t="s">
        <v>2358</v>
      </c>
      <c r="H1461" t="s">
        <v>2361</v>
      </c>
      <c r="I1461" t="s">
        <v>2364</v>
      </c>
      <c r="J1461" s="8">
        <f t="shared" si="22"/>
        <v>27203</v>
      </c>
    </row>
    <row r="1462" spans="1:10" x14ac:dyDescent="0.35">
      <c r="A1462" t="s">
        <v>879</v>
      </c>
      <c r="B1462">
        <v>1989</v>
      </c>
      <c r="C1462" t="s">
        <v>2360</v>
      </c>
      <c r="D1462">
        <v>23</v>
      </c>
      <c r="E1462">
        <v>3</v>
      </c>
      <c r="F1462" s="10">
        <v>12254.44</v>
      </c>
      <c r="G1462" t="s">
        <v>2358</v>
      </c>
      <c r="H1462" t="s">
        <v>2358</v>
      </c>
      <c r="I1462" t="s">
        <v>2380</v>
      </c>
      <c r="J1462" s="8">
        <f t="shared" si="22"/>
        <v>32835</v>
      </c>
    </row>
    <row r="1463" spans="1:10" x14ac:dyDescent="0.35">
      <c r="A1463" t="s">
        <v>878</v>
      </c>
      <c r="B1463">
        <v>1986</v>
      </c>
      <c r="C1463" t="s">
        <v>2366</v>
      </c>
      <c r="D1463">
        <v>13</v>
      </c>
      <c r="E1463">
        <v>3</v>
      </c>
      <c r="F1463" s="10">
        <v>12255.04</v>
      </c>
      <c r="G1463" t="s">
        <v>2358</v>
      </c>
      <c r="H1463" t="s">
        <v>2357</v>
      </c>
      <c r="I1463" t="s">
        <v>2380</v>
      </c>
      <c r="J1463" s="8">
        <f t="shared" si="22"/>
        <v>31637</v>
      </c>
    </row>
    <row r="1464" spans="1:10" x14ac:dyDescent="0.35">
      <c r="A1464" t="s">
        <v>877</v>
      </c>
      <c r="B1464">
        <v>1966</v>
      </c>
      <c r="C1464" t="s">
        <v>2365</v>
      </c>
      <c r="D1464">
        <v>6</v>
      </c>
      <c r="E1464">
        <v>2</v>
      </c>
      <c r="F1464" s="10">
        <v>12265.51</v>
      </c>
      <c r="G1464" t="s">
        <v>2358</v>
      </c>
      <c r="H1464" t="s">
        <v>2358</v>
      </c>
      <c r="I1464" t="s">
        <v>2359</v>
      </c>
      <c r="J1464" s="8">
        <f t="shared" si="22"/>
        <v>24447</v>
      </c>
    </row>
    <row r="1465" spans="1:10" x14ac:dyDescent="0.35">
      <c r="A1465" t="s">
        <v>876</v>
      </c>
      <c r="B1465">
        <v>1967</v>
      </c>
      <c r="C1465" t="s">
        <v>2365</v>
      </c>
      <c r="D1465">
        <v>30</v>
      </c>
      <c r="E1465">
        <v>2</v>
      </c>
      <c r="F1465" s="10">
        <v>12268.63</v>
      </c>
      <c r="G1465" t="s">
        <v>2358</v>
      </c>
      <c r="H1465" t="s">
        <v>2361</v>
      </c>
      <c r="I1465" t="s">
        <v>2364</v>
      </c>
      <c r="J1465" s="8">
        <f t="shared" si="22"/>
        <v>24836</v>
      </c>
    </row>
    <row r="1466" spans="1:10" x14ac:dyDescent="0.35">
      <c r="A1466" t="s">
        <v>875</v>
      </c>
      <c r="B1466">
        <v>1967</v>
      </c>
      <c r="C1466" t="s">
        <v>2366</v>
      </c>
      <c r="D1466">
        <v>28</v>
      </c>
      <c r="E1466">
        <v>2</v>
      </c>
      <c r="F1466" s="10">
        <v>12269.69</v>
      </c>
      <c r="G1466" t="s">
        <v>2358</v>
      </c>
      <c r="H1466" t="s">
        <v>2357</v>
      </c>
      <c r="I1466" t="s">
        <v>2364</v>
      </c>
      <c r="J1466" s="8">
        <f t="shared" si="22"/>
        <v>24712</v>
      </c>
    </row>
    <row r="1467" spans="1:10" x14ac:dyDescent="0.35">
      <c r="A1467" t="s">
        <v>874</v>
      </c>
      <c r="B1467">
        <v>1966</v>
      </c>
      <c r="C1467" t="s">
        <v>2360</v>
      </c>
      <c r="D1467">
        <v>16</v>
      </c>
      <c r="E1467">
        <v>0</v>
      </c>
      <c r="F1467" s="10">
        <v>12282.03</v>
      </c>
      <c r="G1467" t="s">
        <v>2358</v>
      </c>
      <c r="H1467" t="s">
        <v>2361</v>
      </c>
      <c r="I1467" t="s">
        <v>2373</v>
      </c>
      <c r="J1467" s="8">
        <f t="shared" si="22"/>
        <v>24427</v>
      </c>
    </row>
    <row r="1468" spans="1:10" x14ac:dyDescent="0.35">
      <c r="A1468" t="s">
        <v>873</v>
      </c>
      <c r="B1468">
        <v>1990</v>
      </c>
      <c r="C1468" t="s">
        <v>2367</v>
      </c>
      <c r="D1468">
        <v>29</v>
      </c>
      <c r="E1468">
        <v>3</v>
      </c>
      <c r="F1468" s="10">
        <v>12282.38</v>
      </c>
      <c r="G1468" t="s">
        <v>2358</v>
      </c>
      <c r="H1468" t="s">
        <v>2361</v>
      </c>
      <c r="I1468" t="s">
        <v>2368</v>
      </c>
      <c r="J1468" s="8">
        <f t="shared" si="22"/>
        <v>33175</v>
      </c>
    </row>
    <row r="1469" spans="1:10" x14ac:dyDescent="0.35">
      <c r="A1469" t="s">
        <v>872</v>
      </c>
      <c r="B1469">
        <v>1963</v>
      </c>
      <c r="C1469" t="s">
        <v>2367</v>
      </c>
      <c r="D1469">
        <v>28</v>
      </c>
      <c r="E1469">
        <v>0</v>
      </c>
      <c r="F1469" s="10">
        <v>12299.59</v>
      </c>
      <c r="G1469" t="s">
        <v>2358</v>
      </c>
      <c r="H1469" t="s">
        <v>2361</v>
      </c>
      <c r="I1469" t="s">
        <v>2373</v>
      </c>
      <c r="J1469" s="8">
        <f t="shared" si="22"/>
        <v>23312</v>
      </c>
    </row>
    <row r="1470" spans="1:10" x14ac:dyDescent="0.35">
      <c r="A1470" t="s">
        <v>871</v>
      </c>
      <c r="B1470">
        <v>1963</v>
      </c>
      <c r="C1470" t="s">
        <v>2366</v>
      </c>
      <c r="D1470">
        <v>29</v>
      </c>
      <c r="E1470">
        <v>0</v>
      </c>
      <c r="F1470" s="10">
        <v>12323.94</v>
      </c>
      <c r="G1470" t="s">
        <v>2358</v>
      </c>
      <c r="H1470" t="s">
        <v>2358</v>
      </c>
      <c r="I1470" t="s">
        <v>2378</v>
      </c>
      <c r="J1470" s="8">
        <f t="shared" si="22"/>
        <v>23252</v>
      </c>
    </row>
    <row r="1471" spans="1:10" x14ac:dyDescent="0.35">
      <c r="A1471" t="s">
        <v>870</v>
      </c>
      <c r="B1471">
        <v>1963</v>
      </c>
      <c r="C1471" t="s">
        <v>2366</v>
      </c>
      <c r="D1471">
        <v>2</v>
      </c>
      <c r="E1471">
        <v>1</v>
      </c>
      <c r="F1471" s="10">
        <v>12333.83</v>
      </c>
      <c r="G1471" t="s">
        <v>2358</v>
      </c>
      <c r="H1471" t="s">
        <v>2357</v>
      </c>
      <c r="I1471" t="s">
        <v>2368</v>
      </c>
      <c r="J1471" s="8">
        <f t="shared" si="22"/>
        <v>23225</v>
      </c>
    </row>
    <row r="1472" spans="1:10" x14ac:dyDescent="0.35">
      <c r="A1472" t="s">
        <v>869</v>
      </c>
      <c r="B1472">
        <v>1963</v>
      </c>
      <c r="C1472" t="s">
        <v>2363</v>
      </c>
      <c r="D1472">
        <v>22</v>
      </c>
      <c r="E1472">
        <v>1</v>
      </c>
      <c r="F1472" s="10">
        <v>12347.17</v>
      </c>
      <c r="G1472" t="s">
        <v>2358</v>
      </c>
      <c r="H1472" t="s">
        <v>2358</v>
      </c>
      <c r="I1472" t="s">
        <v>2368</v>
      </c>
      <c r="J1472" s="8">
        <f t="shared" si="22"/>
        <v>23276</v>
      </c>
    </row>
    <row r="1473" spans="1:10" x14ac:dyDescent="0.35">
      <c r="A1473" t="s">
        <v>868</v>
      </c>
      <c r="B1473">
        <v>1966</v>
      </c>
      <c r="C1473" t="s">
        <v>2365</v>
      </c>
      <c r="D1473">
        <v>29</v>
      </c>
      <c r="E1473">
        <v>3</v>
      </c>
      <c r="F1473" s="10">
        <v>12363.55</v>
      </c>
      <c r="G1473" t="s">
        <v>2358</v>
      </c>
      <c r="H1473" t="s">
        <v>2358</v>
      </c>
      <c r="I1473" t="s">
        <v>2368</v>
      </c>
      <c r="J1473" s="8">
        <f t="shared" si="22"/>
        <v>24470</v>
      </c>
    </row>
    <row r="1474" spans="1:10" x14ac:dyDescent="0.35">
      <c r="A1474" t="s">
        <v>867</v>
      </c>
      <c r="B1474">
        <v>1962</v>
      </c>
      <c r="C1474" t="s">
        <v>2363</v>
      </c>
      <c r="D1474">
        <v>26</v>
      </c>
      <c r="E1474">
        <v>0</v>
      </c>
      <c r="F1474" s="10">
        <v>12369.89</v>
      </c>
      <c r="G1474" t="s">
        <v>2358</v>
      </c>
      <c r="H1474" t="s">
        <v>2357</v>
      </c>
      <c r="I1474" t="s">
        <v>2374</v>
      </c>
      <c r="J1474" s="8">
        <f t="shared" si="22"/>
        <v>22915</v>
      </c>
    </row>
    <row r="1475" spans="1:10" x14ac:dyDescent="0.35">
      <c r="A1475" t="s">
        <v>866</v>
      </c>
      <c r="B1475">
        <v>1989</v>
      </c>
      <c r="C1475" t="s">
        <v>2365</v>
      </c>
      <c r="D1475">
        <v>29</v>
      </c>
      <c r="E1475">
        <v>0</v>
      </c>
      <c r="F1475" s="10">
        <v>12404.88</v>
      </c>
      <c r="G1475" t="s">
        <v>2358</v>
      </c>
      <c r="H1475" t="s">
        <v>2358</v>
      </c>
      <c r="I1475" t="s">
        <v>2371</v>
      </c>
      <c r="J1475" s="8">
        <f t="shared" ref="J1475:J1538" si="23">DATE(B1475,MONTH(1&amp;C1475),D1475)</f>
        <v>32871</v>
      </c>
    </row>
    <row r="1476" spans="1:10" x14ac:dyDescent="0.35">
      <c r="A1476" t="s">
        <v>865</v>
      </c>
      <c r="B1476">
        <v>1972</v>
      </c>
      <c r="C1476" t="s">
        <v>2366</v>
      </c>
      <c r="D1476">
        <v>21</v>
      </c>
      <c r="E1476">
        <v>0</v>
      </c>
      <c r="F1476" s="10">
        <v>12407.3</v>
      </c>
      <c r="G1476" t="s">
        <v>2358</v>
      </c>
      <c r="H1476" t="s">
        <v>2357</v>
      </c>
      <c r="I1476" t="s">
        <v>2377</v>
      </c>
      <c r="J1476" s="8">
        <f t="shared" si="23"/>
        <v>26532</v>
      </c>
    </row>
    <row r="1477" spans="1:10" x14ac:dyDescent="0.35">
      <c r="A1477" t="s">
        <v>864</v>
      </c>
      <c r="B1477">
        <v>1979</v>
      </c>
      <c r="C1477" t="s">
        <v>2356</v>
      </c>
      <c r="D1477">
        <v>14</v>
      </c>
      <c r="E1477">
        <v>2</v>
      </c>
      <c r="F1477" s="10">
        <v>12408.29</v>
      </c>
      <c r="G1477" t="s">
        <v>2358</v>
      </c>
      <c r="H1477" t="s">
        <v>2361</v>
      </c>
      <c r="I1477" t="s">
        <v>2381</v>
      </c>
      <c r="J1477" s="8">
        <f t="shared" si="23"/>
        <v>29050</v>
      </c>
    </row>
    <row r="1478" spans="1:10" x14ac:dyDescent="0.35">
      <c r="A1478" t="s">
        <v>863</v>
      </c>
      <c r="B1478">
        <v>1964</v>
      </c>
      <c r="C1478" t="s">
        <v>2366</v>
      </c>
      <c r="D1478">
        <v>4</v>
      </c>
      <c r="E1478">
        <v>0</v>
      </c>
      <c r="F1478" s="10">
        <v>12430.95</v>
      </c>
      <c r="G1478" t="s">
        <v>2358</v>
      </c>
      <c r="H1478" t="s">
        <v>2358</v>
      </c>
      <c r="I1478" t="s">
        <v>2374</v>
      </c>
      <c r="J1478" s="8">
        <f t="shared" si="23"/>
        <v>23593</v>
      </c>
    </row>
    <row r="1479" spans="1:10" x14ac:dyDescent="0.35">
      <c r="A1479" t="s">
        <v>862</v>
      </c>
      <c r="B1479">
        <v>1995</v>
      </c>
      <c r="C1479" t="s">
        <v>2366</v>
      </c>
      <c r="D1479">
        <v>9</v>
      </c>
      <c r="E1479">
        <v>0</v>
      </c>
      <c r="F1479" s="10">
        <v>12452.25</v>
      </c>
      <c r="G1479" t="s">
        <v>2358</v>
      </c>
      <c r="H1479" t="s">
        <v>2358</v>
      </c>
      <c r="I1479" t="s">
        <v>2364</v>
      </c>
      <c r="J1479" s="8">
        <f t="shared" si="23"/>
        <v>34920</v>
      </c>
    </row>
    <row r="1480" spans="1:10" x14ac:dyDescent="0.35">
      <c r="A1480" t="s">
        <v>861</v>
      </c>
      <c r="B1480">
        <v>1968</v>
      </c>
      <c r="C1480" t="s">
        <v>2360</v>
      </c>
      <c r="D1480">
        <v>26</v>
      </c>
      <c r="E1480">
        <v>3</v>
      </c>
      <c r="F1480" s="10">
        <v>12475.35</v>
      </c>
      <c r="G1480" t="s">
        <v>2358</v>
      </c>
      <c r="H1480" t="s">
        <v>2361</v>
      </c>
      <c r="I1480" t="s">
        <v>2364</v>
      </c>
      <c r="J1480" s="8">
        <f t="shared" si="23"/>
        <v>25168</v>
      </c>
    </row>
    <row r="1481" spans="1:10" x14ac:dyDescent="0.35">
      <c r="A1481" t="s">
        <v>860</v>
      </c>
      <c r="B1481">
        <v>1968</v>
      </c>
      <c r="C1481" t="s">
        <v>2360</v>
      </c>
      <c r="D1481">
        <v>12</v>
      </c>
      <c r="E1481">
        <v>3</v>
      </c>
      <c r="F1481" s="10">
        <v>12479.71</v>
      </c>
      <c r="G1481" t="s">
        <v>2358</v>
      </c>
      <c r="H1481" t="s">
        <v>2358</v>
      </c>
      <c r="I1481" t="s">
        <v>2364</v>
      </c>
      <c r="J1481" s="8">
        <f t="shared" si="23"/>
        <v>25154</v>
      </c>
    </row>
    <row r="1482" spans="1:10" x14ac:dyDescent="0.35">
      <c r="A1482" t="s">
        <v>859</v>
      </c>
      <c r="B1482">
        <v>1967</v>
      </c>
      <c r="C1482" t="s">
        <v>2363</v>
      </c>
      <c r="D1482">
        <v>1</v>
      </c>
      <c r="E1482">
        <v>3</v>
      </c>
      <c r="F1482" s="10">
        <v>12485.8</v>
      </c>
      <c r="G1482" t="s">
        <v>2358</v>
      </c>
      <c r="H1482" t="s">
        <v>2358</v>
      </c>
      <c r="I1482" t="s">
        <v>2359</v>
      </c>
      <c r="J1482" s="8">
        <f t="shared" si="23"/>
        <v>24716</v>
      </c>
    </row>
    <row r="1483" spans="1:10" x14ac:dyDescent="0.35">
      <c r="A1483" t="s">
        <v>858</v>
      </c>
      <c r="B1483">
        <v>1968</v>
      </c>
      <c r="C1483" t="s">
        <v>2365</v>
      </c>
      <c r="D1483">
        <v>3</v>
      </c>
      <c r="E1483">
        <v>3</v>
      </c>
      <c r="F1483" s="10">
        <v>12495.29</v>
      </c>
      <c r="G1483" t="s">
        <v>2358</v>
      </c>
      <c r="H1483" t="s">
        <v>2358</v>
      </c>
      <c r="I1483" t="s">
        <v>2364</v>
      </c>
      <c r="J1483" s="8">
        <f t="shared" si="23"/>
        <v>25175</v>
      </c>
    </row>
    <row r="1484" spans="1:10" x14ac:dyDescent="0.35">
      <c r="A1484" t="s">
        <v>857</v>
      </c>
      <c r="B1484">
        <v>1966</v>
      </c>
      <c r="C1484" t="s">
        <v>2356</v>
      </c>
      <c r="D1484">
        <v>12</v>
      </c>
      <c r="E1484">
        <v>0</v>
      </c>
      <c r="F1484" s="10">
        <v>12499.88</v>
      </c>
      <c r="G1484" t="s">
        <v>2358</v>
      </c>
      <c r="H1484" t="s">
        <v>2357</v>
      </c>
      <c r="I1484" t="s">
        <v>2364</v>
      </c>
      <c r="J1484" s="8">
        <f t="shared" si="23"/>
        <v>24300</v>
      </c>
    </row>
    <row r="1485" spans="1:10" x14ac:dyDescent="0.35">
      <c r="A1485" t="s">
        <v>856</v>
      </c>
      <c r="B1485">
        <v>1962</v>
      </c>
      <c r="C1485" t="s">
        <v>2367</v>
      </c>
      <c r="D1485">
        <v>16</v>
      </c>
      <c r="E1485">
        <v>0</v>
      </c>
      <c r="F1485" s="10">
        <v>12523.6</v>
      </c>
      <c r="G1485" t="s">
        <v>2358</v>
      </c>
      <c r="H1485" t="s">
        <v>2358</v>
      </c>
      <c r="I1485" t="s">
        <v>2364</v>
      </c>
      <c r="J1485" s="8">
        <f t="shared" si="23"/>
        <v>22935</v>
      </c>
    </row>
    <row r="1486" spans="1:10" x14ac:dyDescent="0.35">
      <c r="A1486" t="s">
        <v>855</v>
      </c>
      <c r="B1486">
        <v>1961</v>
      </c>
      <c r="C1486" t="s">
        <v>2360</v>
      </c>
      <c r="D1486">
        <v>28</v>
      </c>
      <c r="E1486">
        <v>0</v>
      </c>
      <c r="F1486" s="10">
        <v>12557.61</v>
      </c>
      <c r="G1486" t="s">
        <v>2358</v>
      </c>
      <c r="H1486" t="s">
        <v>2358</v>
      </c>
      <c r="I1486" t="s">
        <v>2359</v>
      </c>
      <c r="J1486" s="8">
        <f t="shared" si="23"/>
        <v>22613</v>
      </c>
    </row>
    <row r="1487" spans="1:10" x14ac:dyDescent="0.35">
      <c r="A1487" t="s">
        <v>854</v>
      </c>
      <c r="B1487">
        <v>1961</v>
      </c>
      <c r="C1487" t="s">
        <v>2360</v>
      </c>
      <c r="D1487">
        <v>28</v>
      </c>
      <c r="E1487">
        <v>0</v>
      </c>
      <c r="F1487" s="10">
        <v>12574.05</v>
      </c>
      <c r="G1487" t="s">
        <v>2358</v>
      </c>
      <c r="H1487" t="s">
        <v>2361</v>
      </c>
      <c r="I1487" t="s">
        <v>2368</v>
      </c>
      <c r="J1487" s="8">
        <f t="shared" si="23"/>
        <v>22613</v>
      </c>
    </row>
    <row r="1488" spans="1:10" x14ac:dyDescent="0.35">
      <c r="A1488" t="s">
        <v>853</v>
      </c>
      <c r="B1488">
        <v>1969</v>
      </c>
      <c r="C1488" t="s">
        <v>2360</v>
      </c>
      <c r="D1488">
        <v>26</v>
      </c>
      <c r="E1488">
        <v>0</v>
      </c>
      <c r="F1488" s="10">
        <v>12579.92</v>
      </c>
      <c r="G1488" t="s">
        <v>2358</v>
      </c>
      <c r="H1488" t="s">
        <v>2361</v>
      </c>
      <c r="I1488" t="s">
        <v>2373</v>
      </c>
      <c r="J1488" s="8">
        <f t="shared" si="23"/>
        <v>25533</v>
      </c>
    </row>
    <row r="1489" spans="1:10" x14ac:dyDescent="0.35">
      <c r="A1489" t="s">
        <v>852</v>
      </c>
      <c r="B1489">
        <v>1970</v>
      </c>
      <c r="C1489" t="s">
        <v>2362</v>
      </c>
      <c r="D1489">
        <v>18</v>
      </c>
      <c r="E1489">
        <v>5</v>
      </c>
      <c r="F1489" s="10">
        <v>12592.53</v>
      </c>
      <c r="G1489" t="s">
        <v>2358</v>
      </c>
      <c r="H1489" t="s">
        <v>2357</v>
      </c>
      <c r="I1489" t="s">
        <v>2359</v>
      </c>
      <c r="J1489" s="8">
        <f t="shared" si="23"/>
        <v>25737</v>
      </c>
    </row>
    <row r="1490" spans="1:10" x14ac:dyDescent="0.35">
      <c r="A1490" t="s">
        <v>851</v>
      </c>
      <c r="B1490">
        <v>1988</v>
      </c>
      <c r="C1490" t="s">
        <v>2366</v>
      </c>
      <c r="D1490">
        <v>11</v>
      </c>
      <c r="E1490">
        <v>3</v>
      </c>
      <c r="F1490" s="10">
        <v>12600.46</v>
      </c>
      <c r="G1490" t="s">
        <v>2358</v>
      </c>
      <c r="H1490" t="s">
        <v>2361</v>
      </c>
      <c r="I1490" t="s">
        <v>2375</v>
      </c>
      <c r="J1490" s="8">
        <f t="shared" si="23"/>
        <v>32366</v>
      </c>
    </row>
    <row r="1491" spans="1:10" x14ac:dyDescent="0.35">
      <c r="A1491" t="s">
        <v>850</v>
      </c>
      <c r="B1491">
        <v>1998</v>
      </c>
      <c r="C1491" t="s">
        <v>2360</v>
      </c>
      <c r="D1491">
        <v>18</v>
      </c>
      <c r="E1491">
        <v>1</v>
      </c>
      <c r="F1491" s="10">
        <v>12609.89</v>
      </c>
      <c r="G1491" t="s">
        <v>2358</v>
      </c>
      <c r="H1491" t="s">
        <v>2358</v>
      </c>
      <c r="I1491" t="s">
        <v>2364</v>
      </c>
      <c r="J1491" s="8">
        <f t="shared" si="23"/>
        <v>36117</v>
      </c>
    </row>
    <row r="1492" spans="1:10" x14ac:dyDescent="0.35">
      <c r="A1492" t="s">
        <v>849</v>
      </c>
      <c r="B1492">
        <v>1963</v>
      </c>
      <c r="C1492" t="s">
        <v>2366</v>
      </c>
      <c r="D1492">
        <v>19</v>
      </c>
      <c r="E1492">
        <v>0</v>
      </c>
      <c r="F1492" s="10">
        <v>12622.18</v>
      </c>
      <c r="G1492" t="s">
        <v>2358</v>
      </c>
      <c r="H1492" t="s">
        <v>2361</v>
      </c>
      <c r="I1492" t="s">
        <v>2364</v>
      </c>
      <c r="J1492" s="8">
        <f t="shared" si="23"/>
        <v>23242</v>
      </c>
    </row>
    <row r="1493" spans="1:10" x14ac:dyDescent="0.35">
      <c r="A1493" t="s">
        <v>848</v>
      </c>
      <c r="B1493">
        <v>1970</v>
      </c>
      <c r="C1493" t="s">
        <v>2365</v>
      </c>
      <c r="D1493">
        <v>28</v>
      </c>
      <c r="E1493">
        <v>0</v>
      </c>
      <c r="F1493" s="10">
        <v>12624.74</v>
      </c>
      <c r="G1493" t="s">
        <v>2358</v>
      </c>
      <c r="H1493" t="s">
        <v>2361</v>
      </c>
      <c r="I1493" t="s">
        <v>2364</v>
      </c>
      <c r="J1493" s="8">
        <f t="shared" si="23"/>
        <v>25930</v>
      </c>
    </row>
    <row r="1494" spans="1:10" x14ac:dyDescent="0.35">
      <c r="A1494" t="s">
        <v>847</v>
      </c>
      <c r="B1494">
        <v>1965</v>
      </c>
      <c r="C1494" t="s">
        <v>2367</v>
      </c>
      <c r="D1494">
        <v>4</v>
      </c>
      <c r="E1494">
        <v>2</v>
      </c>
      <c r="F1494" s="10">
        <v>12629.17</v>
      </c>
      <c r="G1494" t="s">
        <v>2358</v>
      </c>
      <c r="H1494" t="s">
        <v>2361</v>
      </c>
      <c r="I1494" t="s">
        <v>2359</v>
      </c>
      <c r="J1494" s="8">
        <f t="shared" si="23"/>
        <v>24019</v>
      </c>
    </row>
    <row r="1495" spans="1:10" x14ac:dyDescent="0.35">
      <c r="A1495" t="s">
        <v>846</v>
      </c>
      <c r="B1495">
        <v>1962</v>
      </c>
      <c r="C1495" t="s">
        <v>2360</v>
      </c>
      <c r="D1495">
        <v>22</v>
      </c>
      <c r="E1495">
        <v>0</v>
      </c>
      <c r="F1495" s="10">
        <v>12629.9</v>
      </c>
      <c r="G1495" t="s">
        <v>2358</v>
      </c>
      <c r="H1495" t="s">
        <v>2358</v>
      </c>
      <c r="I1495" t="s">
        <v>2359</v>
      </c>
      <c r="J1495" s="8">
        <f t="shared" si="23"/>
        <v>22972</v>
      </c>
    </row>
    <row r="1496" spans="1:10" x14ac:dyDescent="0.35">
      <c r="A1496" t="s">
        <v>845</v>
      </c>
      <c r="B1496">
        <v>1962</v>
      </c>
      <c r="C1496" t="s">
        <v>2356</v>
      </c>
      <c r="D1496">
        <v>22</v>
      </c>
      <c r="E1496">
        <v>0</v>
      </c>
      <c r="F1496" s="10">
        <v>12638.2</v>
      </c>
      <c r="G1496" t="s">
        <v>2358</v>
      </c>
      <c r="H1496" t="s">
        <v>2361</v>
      </c>
      <c r="I1496" t="s">
        <v>2368</v>
      </c>
      <c r="J1496" s="8">
        <f t="shared" si="23"/>
        <v>22849</v>
      </c>
    </row>
    <row r="1497" spans="1:10" x14ac:dyDescent="0.35">
      <c r="A1497" t="s">
        <v>844</v>
      </c>
      <c r="B1497">
        <v>1972</v>
      </c>
      <c r="C1497" t="s">
        <v>2363</v>
      </c>
      <c r="D1497">
        <v>5</v>
      </c>
      <c r="E1497">
        <v>0</v>
      </c>
      <c r="F1497" s="10">
        <v>12640.24</v>
      </c>
      <c r="G1497" t="s">
        <v>2358</v>
      </c>
      <c r="H1497" t="s">
        <v>2361</v>
      </c>
      <c r="I1497" t="s">
        <v>2368</v>
      </c>
      <c r="J1497" s="8">
        <f t="shared" si="23"/>
        <v>26547</v>
      </c>
    </row>
    <row r="1498" spans="1:10" x14ac:dyDescent="0.35">
      <c r="A1498" t="s">
        <v>843</v>
      </c>
      <c r="B1498">
        <v>1966</v>
      </c>
      <c r="C1498" t="s">
        <v>2365</v>
      </c>
      <c r="D1498">
        <v>17</v>
      </c>
      <c r="E1498">
        <v>2</v>
      </c>
      <c r="F1498" s="10">
        <v>12643.38</v>
      </c>
      <c r="G1498" t="s">
        <v>2358</v>
      </c>
      <c r="H1498" t="s">
        <v>2361</v>
      </c>
      <c r="I1498" t="s">
        <v>2364</v>
      </c>
      <c r="J1498" s="8">
        <f t="shared" si="23"/>
        <v>24458</v>
      </c>
    </row>
    <row r="1499" spans="1:10" x14ac:dyDescent="0.35">
      <c r="A1499" t="s">
        <v>842</v>
      </c>
      <c r="B1499">
        <v>1962</v>
      </c>
      <c r="C1499" t="s">
        <v>2356</v>
      </c>
      <c r="D1499">
        <v>11</v>
      </c>
      <c r="E1499">
        <v>0</v>
      </c>
      <c r="F1499" s="10">
        <v>12644.59</v>
      </c>
      <c r="G1499" t="s">
        <v>2358</v>
      </c>
      <c r="H1499" t="s">
        <v>2357</v>
      </c>
      <c r="I1499" t="s">
        <v>2368</v>
      </c>
      <c r="J1499" s="8">
        <f t="shared" si="23"/>
        <v>22838</v>
      </c>
    </row>
    <row r="1500" spans="1:10" x14ac:dyDescent="0.35">
      <c r="A1500" t="s">
        <v>841</v>
      </c>
      <c r="B1500">
        <v>1965</v>
      </c>
      <c r="C1500" t="s">
        <v>2363</v>
      </c>
      <c r="D1500">
        <v>14</v>
      </c>
      <c r="E1500">
        <v>2</v>
      </c>
      <c r="F1500" s="10">
        <v>12646.21</v>
      </c>
      <c r="G1500" t="s">
        <v>2358</v>
      </c>
      <c r="H1500" t="s">
        <v>2357</v>
      </c>
      <c r="I1500" t="s">
        <v>2368</v>
      </c>
      <c r="J1500" s="8">
        <f t="shared" si="23"/>
        <v>23999</v>
      </c>
    </row>
    <row r="1501" spans="1:10" x14ac:dyDescent="0.35">
      <c r="A1501" t="s">
        <v>840</v>
      </c>
      <c r="B1501">
        <v>1962</v>
      </c>
      <c r="C1501" t="s">
        <v>2366</v>
      </c>
      <c r="D1501">
        <v>27</v>
      </c>
      <c r="E1501">
        <v>0</v>
      </c>
      <c r="F1501" s="10">
        <v>12648.7</v>
      </c>
      <c r="G1501" t="s">
        <v>2358</v>
      </c>
      <c r="H1501" t="s">
        <v>2357</v>
      </c>
      <c r="I1501" t="s">
        <v>2359</v>
      </c>
      <c r="J1501" s="8">
        <f t="shared" si="23"/>
        <v>22885</v>
      </c>
    </row>
    <row r="1502" spans="1:10" x14ac:dyDescent="0.35">
      <c r="A1502" t="s">
        <v>839</v>
      </c>
      <c r="B1502">
        <v>1974</v>
      </c>
      <c r="C1502" t="s">
        <v>2363</v>
      </c>
      <c r="D1502">
        <v>24</v>
      </c>
      <c r="E1502">
        <v>0</v>
      </c>
      <c r="F1502" s="10">
        <v>12697.48</v>
      </c>
      <c r="G1502" t="s">
        <v>2358</v>
      </c>
      <c r="H1502" t="s">
        <v>2358</v>
      </c>
      <c r="I1502" t="s">
        <v>2377</v>
      </c>
      <c r="J1502" s="8">
        <f t="shared" si="23"/>
        <v>27296</v>
      </c>
    </row>
    <row r="1503" spans="1:10" x14ac:dyDescent="0.35">
      <c r="A1503" t="s">
        <v>838</v>
      </c>
      <c r="B1503">
        <v>1992</v>
      </c>
      <c r="C1503" t="s">
        <v>2356</v>
      </c>
      <c r="D1503">
        <v>7</v>
      </c>
      <c r="E1503">
        <v>0</v>
      </c>
      <c r="F1503" s="10">
        <v>12699.56</v>
      </c>
      <c r="G1503" t="s">
        <v>2358</v>
      </c>
      <c r="H1503" t="s">
        <v>2357</v>
      </c>
      <c r="I1503" t="s">
        <v>2368</v>
      </c>
      <c r="J1503" s="8">
        <f t="shared" si="23"/>
        <v>33792</v>
      </c>
    </row>
    <row r="1504" spans="1:10" x14ac:dyDescent="0.35">
      <c r="A1504" t="s">
        <v>837</v>
      </c>
      <c r="B1504">
        <v>1964</v>
      </c>
      <c r="C1504" t="s">
        <v>2360</v>
      </c>
      <c r="D1504">
        <v>28</v>
      </c>
      <c r="E1504">
        <v>0</v>
      </c>
      <c r="F1504" s="10">
        <v>12700.63</v>
      </c>
      <c r="G1504" t="s">
        <v>2358</v>
      </c>
      <c r="H1504" t="s">
        <v>2358</v>
      </c>
      <c r="I1504" t="s">
        <v>2368</v>
      </c>
      <c r="J1504" s="8">
        <f t="shared" si="23"/>
        <v>23709</v>
      </c>
    </row>
    <row r="1505" spans="1:10" x14ac:dyDescent="0.35">
      <c r="A1505" t="s">
        <v>836</v>
      </c>
      <c r="B1505">
        <v>1970</v>
      </c>
      <c r="C1505" t="s">
        <v>2356</v>
      </c>
      <c r="D1505">
        <v>8</v>
      </c>
      <c r="E1505">
        <v>0</v>
      </c>
      <c r="F1505" s="10">
        <v>12713</v>
      </c>
      <c r="G1505" t="s">
        <v>2358</v>
      </c>
      <c r="H1505" t="s">
        <v>2361</v>
      </c>
      <c r="I1505" t="s">
        <v>2368</v>
      </c>
      <c r="J1505" s="8">
        <f t="shared" si="23"/>
        <v>25757</v>
      </c>
    </row>
    <row r="1506" spans="1:10" x14ac:dyDescent="0.35">
      <c r="A1506" t="s">
        <v>835</v>
      </c>
      <c r="B1506">
        <v>1988</v>
      </c>
      <c r="C1506" t="s">
        <v>2356</v>
      </c>
      <c r="D1506">
        <v>17</v>
      </c>
      <c r="E1506">
        <v>3</v>
      </c>
      <c r="F1506" s="10">
        <v>12718.21</v>
      </c>
      <c r="G1506" t="s">
        <v>2358</v>
      </c>
      <c r="H1506" t="s">
        <v>2361</v>
      </c>
      <c r="I1506" t="s">
        <v>2380</v>
      </c>
      <c r="J1506" s="8">
        <f t="shared" si="23"/>
        <v>32341</v>
      </c>
    </row>
    <row r="1507" spans="1:10" x14ac:dyDescent="0.35">
      <c r="A1507" t="s">
        <v>834</v>
      </c>
      <c r="B1507">
        <v>1962</v>
      </c>
      <c r="C1507" t="s">
        <v>2363</v>
      </c>
      <c r="D1507">
        <v>2</v>
      </c>
      <c r="E1507">
        <v>0</v>
      </c>
      <c r="F1507" s="10">
        <v>12731</v>
      </c>
      <c r="G1507" t="s">
        <v>2358</v>
      </c>
      <c r="H1507" t="s">
        <v>2358</v>
      </c>
      <c r="I1507" t="s">
        <v>2371</v>
      </c>
      <c r="J1507" s="8">
        <f t="shared" si="23"/>
        <v>22891</v>
      </c>
    </row>
    <row r="1508" spans="1:10" x14ac:dyDescent="0.35">
      <c r="A1508" t="s">
        <v>833</v>
      </c>
      <c r="B1508">
        <v>1962</v>
      </c>
      <c r="C1508" t="s">
        <v>2367</v>
      </c>
      <c r="D1508">
        <v>1</v>
      </c>
      <c r="E1508">
        <v>0</v>
      </c>
      <c r="F1508" s="10">
        <v>12741.17</v>
      </c>
      <c r="G1508" t="s">
        <v>2358</v>
      </c>
      <c r="H1508" t="s">
        <v>2361</v>
      </c>
      <c r="I1508" t="s">
        <v>2378</v>
      </c>
      <c r="J1508" s="8">
        <f t="shared" si="23"/>
        <v>22920</v>
      </c>
    </row>
    <row r="1509" spans="1:10" x14ac:dyDescent="0.35">
      <c r="A1509" t="s">
        <v>832</v>
      </c>
      <c r="B1509">
        <v>1975</v>
      </c>
      <c r="C1509" t="s">
        <v>2363</v>
      </c>
      <c r="D1509">
        <v>25</v>
      </c>
      <c r="E1509">
        <v>1</v>
      </c>
      <c r="F1509" s="10">
        <v>12770.27</v>
      </c>
      <c r="G1509" t="s">
        <v>2358</v>
      </c>
      <c r="H1509" t="s">
        <v>2358</v>
      </c>
      <c r="I1509" t="s">
        <v>2377</v>
      </c>
      <c r="J1509" s="8">
        <f t="shared" si="23"/>
        <v>27662</v>
      </c>
    </row>
    <row r="1510" spans="1:10" x14ac:dyDescent="0.35">
      <c r="A1510" t="s">
        <v>831</v>
      </c>
      <c r="B1510">
        <v>1972</v>
      </c>
      <c r="C1510" t="s">
        <v>2367</v>
      </c>
      <c r="D1510">
        <v>7</v>
      </c>
      <c r="E1510">
        <v>0</v>
      </c>
      <c r="F1510" s="10">
        <v>12776.05</v>
      </c>
      <c r="G1510" t="s">
        <v>2358</v>
      </c>
      <c r="H1510" t="s">
        <v>2358</v>
      </c>
      <c r="I1510" t="s">
        <v>2380</v>
      </c>
      <c r="J1510" s="8">
        <f t="shared" si="23"/>
        <v>26579</v>
      </c>
    </row>
    <row r="1511" spans="1:10" x14ac:dyDescent="0.35">
      <c r="A1511" t="s">
        <v>830</v>
      </c>
      <c r="B1511">
        <v>1963</v>
      </c>
      <c r="C1511" t="s">
        <v>2365</v>
      </c>
      <c r="D1511">
        <v>5</v>
      </c>
      <c r="E1511">
        <v>0</v>
      </c>
      <c r="F1511" s="10">
        <v>12788.03</v>
      </c>
      <c r="G1511" t="s">
        <v>2358</v>
      </c>
      <c r="H1511" t="s">
        <v>2358</v>
      </c>
      <c r="I1511" t="s">
        <v>2373</v>
      </c>
      <c r="J1511" s="8">
        <f t="shared" si="23"/>
        <v>23350</v>
      </c>
    </row>
    <row r="1512" spans="1:10" x14ac:dyDescent="0.35">
      <c r="A1512" t="s">
        <v>829</v>
      </c>
      <c r="B1512">
        <v>1983</v>
      </c>
      <c r="C1512" t="s">
        <v>2367</v>
      </c>
      <c r="D1512">
        <v>29</v>
      </c>
      <c r="E1512">
        <v>3</v>
      </c>
      <c r="F1512" s="10">
        <v>12788.18</v>
      </c>
      <c r="G1512" t="s">
        <v>2358</v>
      </c>
      <c r="H1512" t="s">
        <v>2361</v>
      </c>
      <c r="I1512" t="s">
        <v>2380</v>
      </c>
      <c r="J1512" s="8">
        <f t="shared" si="23"/>
        <v>30618</v>
      </c>
    </row>
    <row r="1513" spans="1:10" x14ac:dyDescent="0.35">
      <c r="A1513" t="s">
        <v>828</v>
      </c>
      <c r="B1513">
        <v>1978</v>
      </c>
      <c r="C1513" t="s">
        <v>2356</v>
      </c>
      <c r="D1513">
        <v>24</v>
      </c>
      <c r="E1513">
        <v>0</v>
      </c>
      <c r="F1513" s="10">
        <v>12797.21</v>
      </c>
      <c r="G1513" t="s">
        <v>2358</v>
      </c>
      <c r="H1513" t="s">
        <v>2361</v>
      </c>
      <c r="I1513" t="s">
        <v>2374</v>
      </c>
      <c r="J1513" s="8">
        <f t="shared" si="23"/>
        <v>28695</v>
      </c>
    </row>
    <row r="1514" spans="1:10" x14ac:dyDescent="0.35">
      <c r="A1514" t="s">
        <v>827</v>
      </c>
      <c r="B1514">
        <v>1963</v>
      </c>
      <c r="C1514" t="s">
        <v>2356</v>
      </c>
      <c r="D1514">
        <v>20</v>
      </c>
      <c r="E1514">
        <v>0</v>
      </c>
      <c r="F1514" s="10">
        <v>12815.44</v>
      </c>
      <c r="G1514" t="s">
        <v>2358</v>
      </c>
      <c r="H1514" t="s">
        <v>2358</v>
      </c>
      <c r="I1514" t="s">
        <v>2374</v>
      </c>
      <c r="J1514" s="8">
        <f t="shared" si="23"/>
        <v>23212</v>
      </c>
    </row>
    <row r="1515" spans="1:10" x14ac:dyDescent="0.35">
      <c r="A1515" t="s">
        <v>826</v>
      </c>
      <c r="B1515">
        <v>1967</v>
      </c>
      <c r="C1515" t="s">
        <v>2363</v>
      </c>
      <c r="D1515">
        <v>25</v>
      </c>
      <c r="E1515">
        <v>0</v>
      </c>
      <c r="F1515" s="10">
        <v>12823.25</v>
      </c>
      <c r="G1515" t="s">
        <v>2358</v>
      </c>
      <c r="H1515" t="s">
        <v>2358</v>
      </c>
      <c r="I1515" t="s">
        <v>2377</v>
      </c>
      <c r="J1515" s="8">
        <f t="shared" si="23"/>
        <v>24740</v>
      </c>
    </row>
    <row r="1516" spans="1:10" x14ac:dyDescent="0.35">
      <c r="A1516" t="s">
        <v>825</v>
      </c>
      <c r="B1516">
        <v>2004</v>
      </c>
      <c r="C1516" t="s">
        <v>2360</v>
      </c>
      <c r="D1516">
        <v>9</v>
      </c>
      <c r="E1516">
        <v>2</v>
      </c>
      <c r="F1516" s="10">
        <v>12829.46</v>
      </c>
      <c r="G1516" t="s">
        <v>2358</v>
      </c>
      <c r="H1516" t="s">
        <v>2358</v>
      </c>
      <c r="I1516" t="s">
        <v>2371</v>
      </c>
      <c r="J1516" s="8">
        <f t="shared" si="23"/>
        <v>38300</v>
      </c>
    </row>
    <row r="1517" spans="1:10" x14ac:dyDescent="0.35">
      <c r="A1517" t="s">
        <v>824</v>
      </c>
      <c r="B1517">
        <v>1993</v>
      </c>
      <c r="C1517" t="s">
        <v>2363</v>
      </c>
      <c r="D1517">
        <v>27</v>
      </c>
      <c r="E1517">
        <v>0</v>
      </c>
      <c r="F1517" s="10">
        <v>12847.24</v>
      </c>
      <c r="G1517" t="s">
        <v>2358</v>
      </c>
      <c r="H1517" t="s">
        <v>2357</v>
      </c>
      <c r="I1517" t="s">
        <v>2364</v>
      </c>
      <c r="J1517" s="8">
        <f t="shared" si="23"/>
        <v>34239</v>
      </c>
    </row>
    <row r="1518" spans="1:10" x14ac:dyDescent="0.35">
      <c r="A1518" t="s">
        <v>823</v>
      </c>
      <c r="B1518">
        <v>1973</v>
      </c>
      <c r="C1518" t="s">
        <v>2363</v>
      </c>
      <c r="D1518">
        <v>22</v>
      </c>
      <c r="E1518">
        <v>0</v>
      </c>
      <c r="F1518" s="10">
        <v>12852.37</v>
      </c>
      <c r="G1518" t="s">
        <v>2358</v>
      </c>
      <c r="H1518" t="s">
        <v>2361</v>
      </c>
      <c r="I1518" t="s">
        <v>2364</v>
      </c>
      <c r="J1518" s="8">
        <f t="shared" si="23"/>
        <v>26929</v>
      </c>
    </row>
    <row r="1519" spans="1:10" x14ac:dyDescent="0.35">
      <c r="A1519" t="s">
        <v>822</v>
      </c>
      <c r="B1519">
        <v>1963</v>
      </c>
      <c r="C1519" t="s">
        <v>2363</v>
      </c>
      <c r="D1519">
        <v>27</v>
      </c>
      <c r="E1519">
        <v>0</v>
      </c>
      <c r="F1519" s="10">
        <v>12856.84</v>
      </c>
      <c r="G1519" t="s">
        <v>2358</v>
      </c>
      <c r="H1519" t="s">
        <v>2358</v>
      </c>
      <c r="I1519" t="s">
        <v>2377</v>
      </c>
      <c r="J1519" s="8">
        <f t="shared" si="23"/>
        <v>23281</v>
      </c>
    </row>
    <row r="1520" spans="1:10" x14ac:dyDescent="0.35">
      <c r="A1520" t="s">
        <v>821</v>
      </c>
      <c r="B1520">
        <v>1984</v>
      </c>
      <c r="C1520" t="s">
        <v>2366</v>
      </c>
      <c r="D1520">
        <v>6</v>
      </c>
      <c r="E1520">
        <v>3</v>
      </c>
      <c r="F1520" s="10">
        <v>12870.31</v>
      </c>
      <c r="G1520" t="s">
        <v>2358</v>
      </c>
      <c r="H1520" t="s">
        <v>2358</v>
      </c>
      <c r="I1520" t="s">
        <v>2364</v>
      </c>
      <c r="J1520" s="8">
        <f t="shared" si="23"/>
        <v>30900</v>
      </c>
    </row>
    <row r="1521" spans="1:10" x14ac:dyDescent="0.35">
      <c r="A1521" t="s">
        <v>820</v>
      </c>
      <c r="B1521">
        <v>2004</v>
      </c>
      <c r="C1521" t="s">
        <v>2356</v>
      </c>
      <c r="D1521">
        <v>9</v>
      </c>
      <c r="E1521">
        <v>0</v>
      </c>
      <c r="F1521" s="10">
        <v>12890.06</v>
      </c>
      <c r="G1521" t="s">
        <v>2358</v>
      </c>
      <c r="H1521" t="s">
        <v>2361</v>
      </c>
      <c r="I1521" t="s">
        <v>2370</v>
      </c>
      <c r="J1521" s="8">
        <f t="shared" si="23"/>
        <v>38177</v>
      </c>
    </row>
    <row r="1522" spans="1:10" x14ac:dyDescent="0.35">
      <c r="A1522" t="s">
        <v>819</v>
      </c>
      <c r="B1522">
        <v>1963</v>
      </c>
      <c r="C1522" t="s">
        <v>2366</v>
      </c>
      <c r="D1522">
        <v>16</v>
      </c>
      <c r="E1522">
        <v>1</v>
      </c>
      <c r="F1522" s="10">
        <v>12913.99</v>
      </c>
      <c r="G1522" t="s">
        <v>2358</v>
      </c>
      <c r="H1522" t="s">
        <v>2357</v>
      </c>
      <c r="I1522" t="s">
        <v>2371</v>
      </c>
      <c r="J1522" s="8">
        <f t="shared" si="23"/>
        <v>23239</v>
      </c>
    </row>
    <row r="1523" spans="1:10" x14ac:dyDescent="0.35">
      <c r="A1523" t="s">
        <v>818</v>
      </c>
      <c r="B1523">
        <v>1963</v>
      </c>
      <c r="C1523" t="s">
        <v>2363</v>
      </c>
      <c r="D1523">
        <v>1</v>
      </c>
      <c r="E1523">
        <v>2</v>
      </c>
      <c r="F1523" s="10">
        <v>12925.89</v>
      </c>
      <c r="G1523" t="s">
        <v>2358</v>
      </c>
      <c r="H1523" t="s">
        <v>2357</v>
      </c>
      <c r="I1523" t="s">
        <v>2359</v>
      </c>
      <c r="J1523" s="8">
        <f t="shared" si="23"/>
        <v>23255</v>
      </c>
    </row>
    <row r="1524" spans="1:10" x14ac:dyDescent="0.35">
      <c r="A1524" t="s">
        <v>817</v>
      </c>
      <c r="B1524">
        <v>1963</v>
      </c>
      <c r="C1524" t="s">
        <v>2366</v>
      </c>
      <c r="D1524">
        <v>14</v>
      </c>
      <c r="E1524">
        <v>2</v>
      </c>
      <c r="F1524" s="10">
        <v>12928.79</v>
      </c>
      <c r="G1524" t="s">
        <v>2358</v>
      </c>
      <c r="H1524" t="s">
        <v>2357</v>
      </c>
      <c r="I1524" t="s">
        <v>2359</v>
      </c>
      <c r="J1524" s="8">
        <f t="shared" si="23"/>
        <v>23237</v>
      </c>
    </row>
    <row r="1525" spans="1:10" x14ac:dyDescent="0.35">
      <c r="A1525" t="s">
        <v>816</v>
      </c>
      <c r="B1525">
        <v>1966</v>
      </c>
      <c r="C1525" t="s">
        <v>2365</v>
      </c>
      <c r="D1525">
        <v>22</v>
      </c>
      <c r="E1525">
        <v>4</v>
      </c>
      <c r="F1525" s="10">
        <v>12949.16</v>
      </c>
      <c r="G1525" t="s">
        <v>2358</v>
      </c>
      <c r="H1525" t="s">
        <v>2358</v>
      </c>
      <c r="I1525" t="s">
        <v>2359</v>
      </c>
      <c r="J1525" s="8">
        <f t="shared" si="23"/>
        <v>24463</v>
      </c>
    </row>
    <row r="1526" spans="1:10" x14ac:dyDescent="0.35">
      <c r="A1526" t="s">
        <v>815</v>
      </c>
      <c r="B1526">
        <v>1961</v>
      </c>
      <c r="C1526" t="s">
        <v>2366</v>
      </c>
      <c r="D1526">
        <v>20</v>
      </c>
      <c r="E1526">
        <v>0</v>
      </c>
      <c r="F1526" s="10">
        <v>12950.07</v>
      </c>
      <c r="G1526" t="s">
        <v>2358</v>
      </c>
      <c r="H1526" t="s">
        <v>2361</v>
      </c>
      <c r="I1526" t="s">
        <v>2364</v>
      </c>
      <c r="J1526" s="8">
        <f t="shared" si="23"/>
        <v>22513</v>
      </c>
    </row>
    <row r="1527" spans="1:10" x14ac:dyDescent="0.35">
      <c r="A1527" t="s">
        <v>814</v>
      </c>
      <c r="B1527">
        <v>1960</v>
      </c>
      <c r="C1527" t="s">
        <v>2360</v>
      </c>
      <c r="D1527">
        <v>4</v>
      </c>
      <c r="E1527">
        <v>0</v>
      </c>
      <c r="F1527" s="10">
        <v>12957.12</v>
      </c>
      <c r="G1527" t="s">
        <v>2358</v>
      </c>
      <c r="H1527" t="s">
        <v>2361</v>
      </c>
      <c r="I1527" t="s">
        <v>2368</v>
      </c>
      <c r="J1527" s="8">
        <f t="shared" si="23"/>
        <v>22224</v>
      </c>
    </row>
    <row r="1528" spans="1:10" x14ac:dyDescent="0.35">
      <c r="A1528" t="s">
        <v>813</v>
      </c>
      <c r="B1528">
        <v>1960</v>
      </c>
      <c r="C1528" t="s">
        <v>2362</v>
      </c>
      <c r="D1528">
        <v>22</v>
      </c>
      <c r="E1528">
        <v>0</v>
      </c>
      <c r="F1528" s="10">
        <v>12979.36</v>
      </c>
      <c r="G1528" t="s">
        <v>2358</v>
      </c>
      <c r="H1528" t="s">
        <v>2361</v>
      </c>
      <c r="I1528" t="s">
        <v>2368</v>
      </c>
      <c r="J1528" s="8">
        <f t="shared" si="23"/>
        <v>22089</v>
      </c>
    </row>
    <row r="1529" spans="1:10" x14ac:dyDescent="0.35">
      <c r="A1529" t="s">
        <v>812</v>
      </c>
      <c r="B1529">
        <v>1960</v>
      </c>
      <c r="C1529" t="s">
        <v>2363</v>
      </c>
      <c r="D1529">
        <v>23</v>
      </c>
      <c r="E1529">
        <v>0</v>
      </c>
      <c r="F1529" s="10">
        <v>12981.35</v>
      </c>
      <c r="G1529" t="s">
        <v>2358</v>
      </c>
      <c r="H1529" t="s">
        <v>2358</v>
      </c>
      <c r="I1529" t="s">
        <v>2359</v>
      </c>
      <c r="J1529" s="8">
        <f t="shared" si="23"/>
        <v>22182</v>
      </c>
    </row>
    <row r="1530" spans="1:10" x14ac:dyDescent="0.35">
      <c r="A1530" t="s">
        <v>811</v>
      </c>
      <c r="B1530">
        <v>1960</v>
      </c>
      <c r="C1530" t="s">
        <v>2360</v>
      </c>
      <c r="D1530">
        <v>28</v>
      </c>
      <c r="E1530">
        <v>0</v>
      </c>
      <c r="F1530" s="10">
        <v>12982.87</v>
      </c>
      <c r="G1530" t="s">
        <v>2358</v>
      </c>
      <c r="H1530" t="s">
        <v>2361</v>
      </c>
      <c r="I1530" t="s">
        <v>2359</v>
      </c>
      <c r="J1530" s="8">
        <f t="shared" si="23"/>
        <v>22248</v>
      </c>
    </row>
    <row r="1531" spans="1:10" x14ac:dyDescent="0.35">
      <c r="A1531" t="s">
        <v>810</v>
      </c>
      <c r="B1531">
        <v>1979</v>
      </c>
      <c r="C1531" t="s">
        <v>2360</v>
      </c>
      <c r="D1531">
        <v>27</v>
      </c>
      <c r="E1531">
        <v>2</v>
      </c>
      <c r="F1531" s="10">
        <v>12994.12</v>
      </c>
      <c r="G1531" t="s">
        <v>2358</v>
      </c>
      <c r="H1531" t="s">
        <v>2357</v>
      </c>
      <c r="I1531" t="s">
        <v>2380</v>
      </c>
      <c r="J1531" s="8">
        <f t="shared" si="23"/>
        <v>29186</v>
      </c>
    </row>
    <row r="1532" spans="1:10" x14ac:dyDescent="0.35">
      <c r="A1532" t="s">
        <v>809</v>
      </c>
      <c r="B1532">
        <v>1981</v>
      </c>
      <c r="C1532" t="s">
        <v>2367</v>
      </c>
      <c r="D1532">
        <v>30</v>
      </c>
      <c r="E1532">
        <v>1</v>
      </c>
      <c r="F1532" s="10">
        <v>13002.91</v>
      </c>
      <c r="G1532" t="s">
        <v>2358</v>
      </c>
      <c r="H1532" t="s">
        <v>2361</v>
      </c>
      <c r="I1532" t="s">
        <v>2364</v>
      </c>
      <c r="J1532" s="8">
        <f t="shared" si="23"/>
        <v>29889</v>
      </c>
    </row>
    <row r="1533" spans="1:10" x14ac:dyDescent="0.35">
      <c r="A1533" t="s">
        <v>808</v>
      </c>
      <c r="B1533">
        <v>1962</v>
      </c>
      <c r="C1533" t="s">
        <v>2362</v>
      </c>
      <c r="D1533">
        <v>24</v>
      </c>
      <c r="E1533">
        <v>0</v>
      </c>
      <c r="F1533" s="10">
        <v>13004.95</v>
      </c>
      <c r="G1533" t="s">
        <v>2358</v>
      </c>
      <c r="H1533" t="s">
        <v>2361</v>
      </c>
      <c r="I1533" t="s">
        <v>2364</v>
      </c>
      <c r="J1533" s="8">
        <f t="shared" si="23"/>
        <v>22821</v>
      </c>
    </row>
    <row r="1534" spans="1:10" x14ac:dyDescent="0.35">
      <c r="A1534" t="s">
        <v>807</v>
      </c>
      <c r="B1534">
        <v>1969</v>
      </c>
      <c r="C1534" t="s">
        <v>2365</v>
      </c>
      <c r="D1534">
        <v>13</v>
      </c>
      <c r="E1534">
        <v>0</v>
      </c>
      <c r="F1534" s="10">
        <v>13008.07</v>
      </c>
      <c r="G1534" t="s">
        <v>2358</v>
      </c>
      <c r="H1534" t="s">
        <v>2358</v>
      </c>
      <c r="I1534" t="s">
        <v>2364</v>
      </c>
      <c r="J1534" s="8">
        <f t="shared" si="23"/>
        <v>25550</v>
      </c>
    </row>
    <row r="1535" spans="1:10" x14ac:dyDescent="0.35">
      <c r="A1535" t="s">
        <v>806</v>
      </c>
      <c r="B1535">
        <v>1972</v>
      </c>
      <c r="C1535" t="s">
        <v>2363</v>
      </c>
      <c r="D1535">
        <v>27</v>
      </c>
      <c r="E1535">
        <v>0</v>
      </c>
      <c r="F1535" s="10">
        <v>13010.86</v>
      </c>
      <c r="G1535" t="s">
        <v>2358</v>
      </c>
      <c r="H1535" t="s">
        <v>2357</v>
      </c>
      <c r="I1535" t="s">
        <v>2364</v>
      </c>
      <c r="J1535" s="8">
        <f t="shared" si="23"/>
        <v>26569</v>
      </c>
    </row>
    <row r="1536" spans="1:10" x14ac:dyDescent="0.35">
      <c r="A1536" t="s">
        <v>805</v>
      </c>
      <c r="B1536">
        <v>1962</v>
      </c>
      <c r="C1536" t="s">
        <v>2356</v>
      </c>
      <c r="D1536">
        <v>20</v>
      </c>
      <c r="E1536">
        <v>0</v>
      </c>
      <c r="F1536" s="10">
        <v>13012.21</v>
      </c>
      <c r="G1536" t="s">
        <v>2358</v>
      </c>
      <c r="H1536" t="s">
        <v>2361</v>
      </c>
      <c r="I1536" t="s">
        <v>2364</v>
      </c>
      <c r="J1536" s="8">
        <f t="shared" si="23"/>
        <v>22847</v>
      </c>
    </row>
    <row r="1537" spans="1:10" x14ac:dyDescent="0.35">
      <c r="A1537" t="s">
        <v>804</v>
      </c>
      <c r="B1537">
        <v>1964</v>
      </c>
      <c r="C1537" t="s">
        <v>2363</v>
      </c>
      <c r="D1537">
        <v>23</v>
      </c>
      <c r="E1537">
        <v>1</v>
      </c>
      <c r="F1537" s="10">
        <v>13019.16</v>
      </c>
      <c r="G1537" t="s">
        <v>2358</v>
      </c>
      <c r="H1537" t="s">
        <v>2361</v>
      </c>
      <c r="I1537" t="s">
        <v>2374</v>
      </c>
      <c r="J1537" s="8">
        <f t="shared" si="23"/>
        <v>23643</v>
      </c>
    </row>
    <row r="1538" spans="1:10" x14ac:dyDescent="0.35">
      <c r="A1538" t="s">
        <v>803</v>
      </c>
      <c r="B1538">
        <v>1965</v>
      </c>
      <c r="C1538" t="s">
        <v>2360</v>
      </c>
      <c r="D1538">
        <v>4</v>
      </c>
      <c r="E1538">
        <v>0</v>
      </c>
      <c r="F1538" s="10">
        <v>13023.93</v>
      </c>
      <c r="G1538" t="s">
        <v>2358</v>
      </c>
      <c r="H1538" t="s">
        <v>2357</v>
      </c>
      <c r="I1538" t="s">
        <v>2373</v>
      </c>
      <c r="J1538" s="8">
        <f t="shared" si="23"/>
        <v>24050</v>
      </c>
    </row>
    <row r="1539" spans="1:10" x14ac:dyDescent="0.35">
      <c r="A1539" t="s">
        <v>802</v>
      </c>
      <c r="B1539">
        <v>1961</v>
      </c>
      <c r="C1539" t="s">
        <v>2360</v>
      </c>
      <c r="D1539">
        <v>9</v>
      </c>
      <c r="E1539">
        <v>0</v>
      </c>
      <c r="F1539" s="10">
        <v>13041.92</v>
      </c>
      <c r="G1539" t="s">
        <v>2358</v>
      </c>
      <c r="H1539" t="s">
        <v>2361</v>
      </c>
      <c r="I1539" t="s">
        <v>2368</v>
      </c>
      <c r="J1539" s="8">
        <f t="shared" ref="J1539:J1602" si="24">DATE(B1539,MONTH(1&amp;C1539),D1539)</f>
        <v>22594</v>
      </c>
    </row>
    <row r="1540" spans="1:10" x14ac:dyDescent="0.35">
      <c r="A1540" t="s">
        <v>801</v>
      </c>
      <c r="B1540">
        <v>1969</v>
      </c>
      <c r="C1540" t="s">
        <v>2363</v>
      </c>
      <c r="D1540">
        <v>23</v>
      </c>
      <c r="E1540">
        <v>0</v>
      </c>
      <c r="F1540" s="10">
        <v>13044.41</v>
      </c>
      <c r="G1540" t="s">
        <v>2358</v>
      </c>
      <c r="H1540" t="s">
        <v>2361</v>
      </c>
      <c r="I1540" t="s">
        <v>2364</v>
      </c>
      <c r="J1540" s="8">
        <f t="shared" si="24"/>
        <v>25469</v>
      </c>
    </row>
    <row r="1541" spans="1:10" x14ac:dyDescent="0.35">
      <c r="A1541" t="s">
        <v>800</v>
      </c>
      <c r="B1541">
        <v>1967</v>
      </c>
      <c r="C1541" t="s">
        <v>2366</v>
      </c>
      <c r="D1541">
        <v>6</v>
      </c>
      <c r="E1541">
        <v>3</v>
      </c>
      <c r="F1541" s="10">
        <v>13047.33</v>
      </c>
      <c r="G1541" t="s">
        <v>2358</v>
      </c>
      <c r="H1541" t="s">
        <v>2358</v>
      </c>
      <c r="I1541" t="s">
        <v>2374</v>
      </c>
      <c r="J1541" s="8">
        <f t="shared" si="24"/>
        <v>24690</v>
      </c>
    </row>
    <row r="1542" spans="1:10" x14ac:dyDescent="0.35">
      <c r="A1542" t="s">
        <v>799</v>
      </c>
      <c r="B1542">
        <v>1985</v>
      </c>
      <c r="C1542" t="s">
        <v>2367</v>
      </c>
      <c r="D1542">
        <v>26</v>
      </c>
      <c r="E1542">
        <v>3</v>
      </c>
      <c r="F1542" s="10">
        <v>13051.22</v>
      </c>
      <c r="G1542" t="s">
        <v>2358</v>
      </c>
      <c r="H1542" t="s">
        <v>2361</v>
      </c>
      <c r="I1542" t="s">
        <v>2380</v>
      </c>
      <c r="J1542" s="8">
        <f t="shared" si="24"/>
        <v>31346</v>
      </c>
    </row>
    <row r="1543" spans="1:10" x14ac:dyDescent="0.35">
      <c r="A1543" t="s">
        <v>798</v>
      </c>
      <c r="B1543">
        <v>1961</v>
      </c>
      <c r="C1543" t="s">
        <v>2360</v>
      </c>
      <c r="D1543">
        <v>6</v>
      </c>
      <c r="E1543">
        <v>0</v>
      </c>
      <c r="F1543" s="10">
        <v>13063.88</v>
      </c>
      <c r="G1543" t="s">
        <v>2358</v>
      </c>
      <c r="H1543" t="s">
        <v>2357</v>
      </c>
      <c r="I1543" t="s">
        <v>2368</v>
      </c>
      <c r="J1543" s="8">
        <f t="shared" si="24"/>
        <v>22591</v>
      </c>
    </row>
    <row r="1544" spans="1:10" x14ac:dyDescent="0.35">
      <c r="A1544" t="s">
        <v>797</v>
      </c>
      <c r="B1544">
        <v>1978</v>
      </c>
      <c r="C1544" t="s">
        <v>2356</v>
      </c>
      <c r="D1544">
        <v>17</v>
      </c>
      <c r="E1544">
        <v>2</v>
      </c>
      <c r="F1544" s="10">
        <v>13101.74</v>
      </c>
      <c r="G1544" t="s">
        <v>2358</v>
      </c>
      <c r="H1544" t="s">
        <v>2357</v>
      </c>
      <c r="I1544" t="s">
        <v>2380</v>
      </c>
      <c r="J1544" s="8">
        <f t="shared" si="24"/>
        <v>28688</v>
      </c>
    </row>
    <row r="1545" spans="1:10" x14ac:dyDescent="0.35">
      <c r="A1545" t="s">
        <v>796</v>
      </c>
      <c r="B1545">
        <v>1971</v>
      </c>
      <c r="C1545" t="s">
        <v>2367</v>
      </c>
      <c r="D1545">
        <v>30</v>
      </c>
      <c r="E1545">
        <v>0</v>
      </c>
      <c r="F1545" s="10">
        <v>13110.79</v>
      </c>
      <c r="G1545" t="s">
        <v>2358</v>
      </c>
      <c r="H1545" t="s">
        <v>2357</v>
      </c>
      <c r="I1545" t="s">
        <v>2368</v>
      </c>
      <c r="J1545" s="8">
        <f t="shared" si="24"/>
        <v>26236</v>
      </c>
    </row>
    <row r="1546" spans="1:10" x14ac:dyDescent="0.35">
      <c r="A1546" t="s">
        <v>795</v>
      </c>
      <c r="B1546">
        <v>1962</v>
      </c>
      <c r="C1546" t="s">
        <v>2366</v>
      </c>
      <c r="D1546">
        <v>2</v>
      </c>
      <c r="E1546">
        <v>1</v>
      </c>
      <c r="F1546" s="10">
        <v>13112.6</v>
      </c>
      <c r="G1546" t="s">
        <v>2358</v>
      </c>
      <c r="H1546" t="s">
        <v>2358</v>
      </c>
      <c r="I1546" t="s">
        <v>2364</v>
      </c>
      <c r="J1546" s="8">
        <f t="shared" si="24"/>
        <v>22860</v>
      </c>
    </row>
    <row r="1547" spans="1:10" x14ac:dyDescent="0.35">
      <c r="A1547" t="s">
        <v>794</v>
      </c>
      <c r="B1547">
        <v>1992</v>
      </c>
      <c r="C1547" t="s">
        <v>2366</v>
      </c>
      <c r="D1547">
        <v>12</v>
      </c>
      <c r="E1547">
        <v>0</v>
      </c>
      <c r="F1547" s="10">
        <v>13113.51</v>
      </c>
      <c r="G1547" t="s">
        <v>2358</v>
      </c>
      <c r="H1547" t="s">
        <v>2357</v>
      </c>
      <c r="I1547" t="s">
        <v>2380</v>
      </c>
      <c r="J1547" s="8">
        <f t="shared" si="24"/>
        <v>33828</v>
      </c>
    </row>
    <row r="1548" spans="1:10" x14ac:dyDescent="0.35">
      <c r="A1548" t="s">
        <v>793</v>
      </c>
      <c r="B1548">
        <v>1963</v>
      </c>
      <c r="C1548" t="s">
        <v>2363</v>
      </c>
      <c r="D1548">
        <v>14</v>
      </c>
      <c r="E1548">
        <v>0</v>
      </c>
      <c r="F1548" s="10">
        <v>13116.84</v>
      </c>
      <c r="G1548" t="s">
        <v>2358</v>
      </c>
      <c r="H1548" t="s">
        <v>2361</v>
      </c>
      <c r="I1548" t="s">
        <v>2364</v>
      </c>
      <c r="J1548" s="8">
        <f t="shared" si="24"/>
        <v>23268</v>
      </c>
    </row>
    <row r="1549" spans="1:10" x14ac:dyDescent="0.35">
      <c r="A1549" t="s">
        <v>792</v>
      </c>
      <c r="B1549">
        <v>1999</v>
      </c>
      <c r="C1549" t="s">
        <v>2366</v>
      </c>
      <c r="D1549">
        <v>16</v>
      </c>
      <c r="E1549">
        <v>0</v>
      </c>
      <c r="F1549" s="10">
        <v>13126.68</v>
      </c>
      <c r="G1549" t="s">
        <v>2358</v>
      </c>
      <c r="H1549" t="s">
        <v>2358</v>
      </c>
      <c r="I1549" t="s">
        <v>2368</v>
      </c>
      <c r="J1549" s="8">
        <f t="shared" si="24"/>
        <v>36388</v>
      </c>
    </row>
    <row r="1550" spans="1:10" x14ac:dyDescent="0.35">
      <c r="A1550" t="s">
        <v>791</v>
      </c>
      <c r="B1550">
        <v>1961</v>
      </c>
      <c r="C1550" t="s">
        <v>2363</v>
      </c>
      <c r="D1550">
        <v>7</v>
      </c>
      <c r="E1550">
        <v>0</v>
      </c>
      <c r="F1550" s="10">
        <v>13129.6</v>
      </c>
      <c r="G1550" t="s">
        <v>2358</v>
      </c>
      <c r="H1550" t="s">
        <v>2357</v>
      </c>
      <c r="I1550" t="s">
        <v>2378</v>
      </c>
      <c r="J1550" s="8">
        <f t="shared" si="24"/>
        <v>22531</v>
      </c>
    </row>
    <row r="1551" spans="1:10" x14ac:dyDescent="0.35">
      <c r="A1551" t="s">
        <v>790</v>
      </c>
      <c r="B1551">
        <v>1961</v>
      </c>
      <c r="C1551" t="s">
        <v>2365</v>
      </c>
      <c r="D1551">
        <v>6</v>
      </c>
      <c r="E1551">
        <v>0</v>
      </c>
      <c r="F1551" s="10">
        <v>13143.34</v>
      </c>
      <c r="G1551" t="s">
        <v>2358</v>
      </c>
      <c r="H1551" t="s">
        <v>2357</v>
      </c>
      <c r="I1551" t="s">
        <v>2379</v>
      </c>
      <c r="J1551" s="8">
        <f t="shared" si="24"/>
        <v>22621</v>
      </c>
    </row>
    <row r="1552" spans="1:10" x14ac:dyDescent="0.35">
      <c r="A1552" t="s">
        <v>789</v>
      </c>
      <c r="B1552">
        <v>1961</v>
      </c>
      <c r="C1552" t="s">
        <v>2365</v>
      </c>
      <c r="D1552">
        <v>6</v>
      </c>
      <c r="E1552">
        <v>0</v>
      </c>
      <c r="F1552" s="10">
        <v>13143.86</v>
      </c>
      <c r="G1552" t="s">
        <v>2358</v>
      </c>
      <c r="H1552" t="s">
        <v>2357</v>
      </c>
      <c r="I1552" t="s">
        <v>2371</v>
      </c>
      <c r="J1552" s="8">
        <f t="shared" si="24"/>
        <v>22621</v>
      </c>
    </row>
    <row r="1553" spans="1:10" x14ac:dyDescent="0.35">
      <c r="A1553" t="s">
        <v>788</v>
      </c>
      <c r="B1553">
        <v>1962</v>
      </c>
      <c r="C1553" t="s">
        <v>2366</v>
      </c>
      <c r="D1553">
        <v>5</v>
      </c>
      <c r="E1553">
        <v>0</v>
      </c>
      <c r="F1553" s="10">
        <v>13204.29</v>
      </c>
      <c r="G1553" t="s">
        <v>2358</v>
      </c>
      <c r="H1553" t="s">
        <v>2361</v>
      </c>
      <c r="I1553" t="s">
        <v>2374</v>
      </c>
      <c r="J1553" s="8">
        <f t="shared" si="24"/>
        <v>22863</v>
      </c>
    </row>
    <row r="1554" spans="1:10" x14ac:dyDescent="0.35">
      <c r="A1554" t="s">
        <v>787</v>
      </c>
      <c r="B1554">
        <v>1982</v>
      </c>
      <c r="C1554" t="s">
        <v>2367</v>
      </c>
      <c r="D1554">
        <v>15</v>
      </c>
      <c r="E1554">
        <v>3</v>
      </c>
      <c r="F1554" s="10">
        <v>13214.43</v>
      </c>
      <c r="G1554" t="s">
        <v>2358</v>
      </c>
      <c r="H1554" t="s">
        <v>2357</v>
      </c>
      <c r="I1554" t="s">
        <v>2364</v>
      </c>
      <c r="J1554" s="8">
        <f t="shared" si="24"/>
        <v>30239</v>
      </c>
    </row>
    <row r="1555" spans="1:10" x14ac:dyDescent="0.35">
      <c r="A1555" t="s">
        <v>786</v>
      </c>
      <c r="B1555">
        <v>1962</v>
      </c>
      <c r="C1555" t="s">
        <v>2365</v>
      </c>
      <c r="D1555">
        <v>7</v>
      </c>
      <c r="E1555">
        <v>0</v>
      </c>
      <c r="F1555" s="10">
        <v>13217.09</v>
      </c>
      <c r="G1555" t="s">
        <v>2358</v>
      </c>
      <c r="H1555" t="s">
        <v>2361</v>
      </c>
      <c r="I1555" t="s">
        <v>2374</v>
      </c>
      <c r="J1555" s="8">
        <f t="shared" si="24"/>
        <v>22987</v>
      </c>
    </row>
    <row r="1556" spans="1:10" x14ac:dyDescent="0.35">
      <c r="A1556" t="s">
        <v>785</v>
      </c>
      <c r="B1556">
        <v>1965</v>
      </c>
      <c r="C1556" t="s">
        <v>2360</v>
      </c>
      <c r="D1556">
        <v>13</v>
      </c>
      <c r="E1556">
        <v>2</v>
      </c>
      <c r="F1556" s="10">
        <v>13224.06</v>
      </c>
      <c r="G1556" t="s">
        <v>2358</v>
      </c>
      <c r="H1556" t="s">
        <v>2358</v>
      </c>
      <c r="I1556" t="s">
        <v>2374</v>
      </c>
      <c r="J1556" s="8">
        <f t="shared" si="24"/>
        <v>24059</v>
      </c>
    </row>
    <row r="1557" spans="1:10" x14ac:dyDescent="0.35">
      <c r="A1557" t="s">
        <v>784</v>
      </c>
      <c r="B1557">
        <v>1962</v>
      </c>
      <c r="C1557" t="s">
        <v>2360</v>
      </c>
      <c r="D1557">
        <v>24</v>
      </c>
      <c r="E1557">
        <v>1</v>
      </c>
      <c r="F1557" s="10">
        <v>13224.69</v>
      </c>
      <c r="G1557" t="s">
        <v>2358</v>
      </c>
      <c r="H1557" t="s">
        <v>2357</v>
      </c>
      <c r="I1557" t="s">
        <v>2368</v>
      </c>
      <c r="J1557" s="8">
        <f t="shared" si="24"/>
        <v>22974</v>
      </c>
    </row>
    <row r="1558" spans="1:10" x14ac:dyDescent="0.35">
      <c r="A1558" t="s">
        <v>783</v>
      </c>
      <c r="B1558">
        <v>1962</v>
      </c>
      <c r="C1558" t="s">
        <v>2367</v>
      </c>
      <c r="D1558">
        <v>11</v>
      </c>
      <c r="E1558">
        <v>0</v>
      </c>
      <c r="F1558" s="10">
        <v>13228.85</v>
      </c>
      <c r="G1558" t="s">
        <v>2358</v>
      </c>
      <c r="H1558" t="s">
        <v>2358</v>
      </c>
      <c r="I1558" t="s">
        <v>2375</v>
      </c>
      <c r="J1558" s="8">
        <f t="shared" si="24"/>
        <v>22930</v>
      </c>
    </row>
    <row r="1559" spans="1:10" x14ac:dyDescent="0.35">
      <c r="A1559" t="s">
        <v>782</v>
      </c>
      <c r="B1559">
        <v>1994</v>
      </c>
      <c r="C1559" t="s">
        <v>2356</v>
      </c>
      <c r="D1559">
        <v>1</v>
      </c>
      <c r="E1559">
        <v>0</v>
      </c>
      <c r="F1559" s="10">
        <v>13292.52</v>
      </c>
      <c r="G1559" t="s">
        <v>2358</v>
      </c>
      <c r="H1559" t="s">
        <v>2358</v>
      </c>
      <c r="I1559" t="s">
        <v>2364</v>
      </c>
      <c r="J1559" s="8">
        <f t="shared" si="24"/>
        <v>34516</v>
      </c>
    </row>
    <row r="1560" spans="1:10" x14ac:dyDescent="0.35">
      <c r="A1560" t="s">
        <v>781</v>
      </c>
      <c r="B1560">
        <v>1976</v>
      </c>
      <c r="C1560" t="s">
        <v>2366</v>
      </c>
      <c r="D1560">
        <v>23</v>
      </c>
      <c r="E1560">
        <v>2</v>
      </c>
      <c r="F1560" s="10">
        <v>13333.71</v>
      </c>
      <c r="G1560" t="s">
        <v>2358</v>
      </c>
      <c r="H1560" t="s">
        <v>2357</v>
      </c>
      <c r="I1560" t="s">
        <v>2364</v>
      </c>
      <c r="J1560" s="8">
        <f t="shared" si="24"/>
        <v>27995</v>
      </c>
    </row>
    <row r="1561" spans="1:10" x14ac:dyDescent="0.35">
      <c r="A1561" t="s">
        <v>780</v>
      </c>
      <c r="B1561">
        <v>1960</v>
      </c>
      <c r="C1561" t="s">
        <v>2360</v>
      </c>
      <c r="D1561">
        <v>11</v>
      </c>
      <c r="E1561">
        <v>0</v>
      </c>
      <c r="F1561" s="10">
        <v>13352.1</v>
      </c>
      <c r="G1561" t="s">
        <v>2358</v>
      </c>
      <c r="H1561" t="s">
        <v>2361</v>
      </c>
      <c r="I1561" t="s">
        <v>2364</v>
      </c>
      <c r="J1561" s="8">
        <f t="shared" si="24"/>
        <v>22231</v>
      </c>
    </row>
    <row r="1562" spans="1:10" x14ac:dyDescent="0.35">
      <c r="A1562" t="s">
        <v>779</v>
      </c>
      <c r="B1562">
        <v>1990</v>
      </c>
      <c r="C1562" t="s">
        <v>2367</v>
      </c>
      <c r="D1562">
        <v>2</v>
      </c>
      <c r="E1562">
        <v>3</v>
      </c>
      <c r="F1562" s="10">
        <v>13360.94</v>
      </c>
      <c r="G1562" t="s">
        <v>2358</v>
      </c>
      <c r="H1562" t="s">
        <v>2361</v>
      </c>
      <c r="I1562" t="s">
        <v>2364</v>
      </c>
      <c r="J1562" s="8">
        <f t="shared" si="24"/>
        <v>33148</v>
      </c>
    </row>
    <row r="1563" spans="1:10" x14ac:dyDescent="0.35">
      <c r="A1563" t="s">
        <v>778</v>
      </c>
      <c r="B1563">
        <v>1964</v>
      </c>
      <c r="C1563" t="s">
        <v>2363</v>
      </c>
      <c r="D1563">
        <v>24</v>
      </c>
      <c r="E1563">
        <v>0</v>
      </c>
      <c r="F1563" s="10">
        <v>13375.76</v>
      </c>
      <c r="G1563" t="s">
        <v>2358</v>
      </c>
      <c r="H1563" t="s">
        <v>2357</v>
      </c>
      <c r="I1563" t="s">
        <v>2373</v>
      </c>
      <c r="J1563" s="8">
        <f t="shared" si="24"/>
        <v>23644</v>
      </c>
    </row>
    <row r="1564" spans="1:10" x14ac:dyDescent="0.35">
      <c r="A1564" t="s">
        <v>777</v>
      </c>
      <c r="B1564">
        <v>1979</v>
      </c>
      <c r="C1564" t="s">
        <v>2363</v>
      </c>
      <c r="D1564">
        <v>30</v>
      </c>
      <c r="E1564">
        <v>2</v>
      </c>
      <c r="F1564" s="10">
        <v>13377.41</v>
      </c>
      <c r="G1564" t="s">
        <v>2358</v>
      </c>
      <c r="H1564" t="s">
        <v>2358</v>
      </c>
      <c r="I1564" t="s">
        <v>2380</v>
      </c>
      <c r="J1564" s="8">
        <f t="shared" si="24"/>
        <v>29128</v>
      </c>
    </row>
    <row r="1565" spans="1:10" x14ac:dyDescent="0.35">
      <c r="A1565" t="s">
        <v>776</v>
      </c>
      <c r="B1565">
        <v>1984</v>
      </c>
      <c r="C1565" t="s">
        <v>2362</v>
      </c>
      <c r="D1565">
        <v>6</v>
      </c>
      <c r="E1565">
        <v>3</v>
      </c>
      <c r="F1565" s="10">
        <v>13383.67</v>
      </c>
      <c r="G1565" t="s">
        <v>2358</v>
      </c>
      <c r="H1565" t="s">
        <v>2357</v>
      </c>
      <c r="I1565" t="s">
        <v>2375</v>
      </c>
      <c r="J1565" s="8">
        <f t="shared" si="24"/>
        <v>30839</v>
      </c>
    </row>
    <row r="1566" spans="1:10" x14ac:dyDescent="0.35">
      <c r="A1566" t="s">
        <v>775</v>
      </c>
      <c r="B1566">
        <v>1959</v>
      </c>
      <c r="C1566" t="s">
        <v>2365</v>
      </c>
      <c r="D1566">
        <v>9</v>
      </c>
      <c r="E1566">
        <v>0</v>
      </c>
      <c r="F1566" s="10">
        <v>13390.56</v>
      </c>
      <c r="G1566" t="s">
        <v>2358</v>
      </c>
      <c r="H1566" t="s">
        <v>2358</v>
      </c>
      <c r="I1566" t="s">
        <v>2368</v>
      </c>
      <c r="J1566" s="8">
        <f t="shared" si="24"/>
        <v>21893</v>
      </c>
    </row>
    <row r="1567" spans="1:10" x14ac:dyDescent="0.35">
      <c r="A1567" t="s">
        <v>774</v>
      </c>
      <c r="B1567">
        <v>1959</v>
      </c>
      <c r="C1567" t="s">
        <v>2360</v>
      </c>
      <c r="D1567">
        <v>25</v>
      </c>
      <c r="E1567">
        <v>0</v>
      </c>
      <c r="F1567" s="10">
        <v>13393.76</v>
      </c>
      <c r="G1567" t="s">
        <v>2358</v>
      </c>
      <c r="H1567" t="s">
        <v>2361</v>
      </c>
      <c r="I1567" t="s">
        <v>2368</v>
      </c>
      <c r="J1567" s="8">
        <f t="shared" si="24"/>
        <v>21879</v>
      </c>
    </row>
    <row r="1568" spans="1:10" x14ac:dyDescent="0.35">
      <c r="A1568" t="s">
        <v>773</v>
      </c>
      <c r="B1568">
        <v>1959</v>
      </c>
      <c r="C1568" t="s">
        <v>2365</v>
      </c>
      <c r="D1568">
        <v>20</v>
      </c>
      <c r="E1568">
        <v>0</v>
      </c>
      <c r="F1568" s="10">
        <v>13405.39</v>
      </c>
      <c r="G1568" t="s">
        <v>2358</v>
      </c>
      <c r="H1568" t="s">
        <v>2358</v>
      </c>
      <c r="I1568" t="s">
        <v>2359</v>
      </c>
      <c r="J1568" s="8">
        <f t="shared" si="24"/>
        <v>21904</v>
      </c>
    </row>
    <row r="1569" spans="1:10" x14ac:dyDescent="0.35">
      <c r="A1569" t="s">
        <v>772</v>
      </c>
      <c r="B1569">
        <v>1992</v>
      </c>
      <c r="C1569" t="s">
        <v>2365</v>
      </c>
      <c r="D1569">
        <v>19</v>
      </c>
      <c r="E1569">
        <v>0</v>
      </c>
      <c r="F1569" s="10">
        <v>13412.97</v>
      </c>
      <c r="G1569" t="s">
        <v>2358</v>
      </c>
      <c r="H1569" t="s">
        <v>2358</v>
      </c>
      <c r="I1569" t="s">
        <v>2375</v>
      </c>
      <c r="J1569" s="8">
        <f t="shared" si="24"/>
        <v>33957</v>
      </c>
    </row>
    <row r="1570" spans="1:10" x14ac:dyDescent="0.35">
      <c r="A1570" t="s">
        <v>771</v>
      </c>
      <c r="B1570">
        <v>1961</v>
      </c>
      <c r="C1570" t="s">
        <v>2356</v>
      </c>
      <c r="D1570">
        <v>22</v>
      </c>
      <c r="E1570">
        <v>0</v>
      </c>
      <c r="F1570" s="10">
        <v>13415.04</v>
      </c>
      <c r="G1570" t="s">
        <v>2358</v>
      </c>
      <c r="H1570" t="s">
        <v>2357</v>
      </c>
      <c r="I1570" t="s">
        <v>2364</v>
      </c>
      <c r="J1570" s="8">
        <f t="shared" si="24"/>
        <v>22484</v>
      </c>
    </row>
    <row r="1571" spans="1:10" x14ac:dyDescent="0.35">
      <c r="A1571" t="s">
        <v>770</v>
      </c>
      <c r="B1571">
        <v>1994</v>
      </c>
      <c r="C1571" t="s">
        <v>2362</v>
      </c>
      <c r="D1571">
        <v>17</v>
      </c>
      <c r="E1571">
        <v>0</v>
      </c>
      <c r="F1571" s="10">
        <v>13417.05</v>
      </c>
      <c r="G1571" t="s">
        <v>2358</v>
      </c>
      <c r="H1571" t="s">
        <v>2358</v>
      </c>
      <c r="I1571" t="s">
        <v>2364</v>
      </c>
      <c r="J1571" s="8">
        <f t="shared" si="24"/>
        <v>34502</v>
      </c>
    </row>
    <row r="1572" spans="1:10" x14ac:dyDescent="0.35">
      <c r="A1572" t="s">
        <v>769</v>
      </c>
      <c r="B1572">
        <v>1961</v>
      </c>
      <c r="C1572" t="s">
        <v>2360</v>
      </c>
      <c r="D1572">
        <v>3</v>
      </c>
      <c r="E1572">
        <v>0</v>
      </c>
      <c r="F1572" s="10">
        <v>13429.04</v>
      </c>
      <c r="G1572" t="s">
        <v>2358</v>
      </c>
      <c r="H1572" t="s">
        <v>2358</v>
      </c>
      <c r="I1572" t="s">
        <v>2364</v>
      </c>
      <c r="J1572" s="8">
        <f t="shared" si="24"/>
        <v>22588</v>
      </c>
    </row>
    <row r="1573" spans="1:10" x14ac:dyDescent="0.35">
      <c r="A1573" t="s">
        <v>768</v>
      </c>
      <c r="B1573">
        <v>1966</v>
      </c>
      <c r="C1573" t="s">
        <v>2360</v>
      </c>
      <c r="D1573">
        <v>14</v>
      </c>
      <c r="E1573">
        <v>3</v>
      </c>
      <c r="F1573" s="10">
        <v>13430.27</v>
      </c>
      <c r="G1573" t="s">
        <v>2358</v>
      </c>
      <c r="H1573" t="s">
        <v>2358</v>
      </c>
      <c r="I1573" t="s">
        <v>2374</v>
      </c>
      <c r="J1573" s="8">
        <f t="shared" si="24"/>
        <v>24425</v>
      </c>
    </row>
    <row r="1574" spans="1:10" x14ac:dyDescent="0.35">
      <c r="A1574" t="s">
        <v>767</v>
      </c>
      <c r="B1574">
        <v>1975</v>
      </c>
      <c r="C1574" t="s">
        <v>2362</v>
      </c>
      <c r="D1574">
        <v>29</v>
      </c>
      <c r="E1574">
        <v>1</v>
      </c>
      <c r="F1574" s="10">
        <v>13440.7</v>
      </c>
      <c r="G1574" t="s">
        <v>2358</v>
      </c>
      <c r="H1574" t="s">
        <v>2357</v>
      </c>
      <c r="I1574" t="s">
        <v>2364</v>
      </c>
      <c r="J1574" s="8">
        <f t="shared" si="24"/>
        <v>27574</v>
      </c>
    </row>
    <row r="1575" spans="1:10" x14ac:dyDescent="0.35">
      <c r="A1575" t="s">
        <v>766</v>
      </c>
      <c r="B1575">
        <v>1960</v>
      </c>
      <c r="C1575" t="s">
        <v>2366</v>
      </c>
      <c r="D1575">
        <v>13</v>
      </c>
      <c r="E1575">
        <v>0</v>
      </c>
      <c r="F1575" s="10">
        <v>13451.12</v>
      </c>
      <c r="G1575" t="s">
        <v>2358</v>
      </c>
      <c r="H1575" t="s">
        <v>2361</v>
      </c>
      <c r="I1575" t="s">
        <v>2368</v>
      </c>
      <c r="J1575" s="8">
        <f t="shared" si="24"/>
        <v>22141</v>
      </c>
    </row>
    <row r="1576" spans="1:10" x14ac:dyDescent="0.35">
      <c r="A1576" t="s">
        <v>765</v>
      </c>
      <c r="B1576">
        <v>1960</v>
      </c>
      <c r="C1576" t="s">
        <v>2356</v>
      </c>
      <c r="D1576">
        <v>11</v>
      </c>
      <c r="E1576">
        <v>0</v>
      </c>
      <c r="F1576" s="10">
        <v>13457.96</v>
      </c>
      <c r="G1576" t="s">
        <v>2358</v>
      </c>
      <c r="H1576" t="s">
        <v>2361</v>
      </c>
      <c r="I1576" t="s">
        <v>2359</v>
      </c>
      <c r="J1576" s="8">
        <f t="shared" si="24"/>
        <v>22108</v>
      </c>
    </row>
    <row r="1577" spans="1:10" x14ac:dyDescent="0.35">
      <c r="A1577" t="s">
        <v>764</v>
      </c>
      <c r="B1577">
        <v>1960</v>
      </c>
      <c r="C1577" t="s">
        <v>2365</v>
      </c>
      <c r="D1577">
        <v>16</v>
      </c>
      <c r="E1577">
        <v>0</v>
      </c>
      <c r="F1577" s="10">
        <v>13462.52</v>
      </c>
      <c r="G1577" t="s">
        <v>2358</v>
      </c>
      <c r="H1577" t="s">
        <v>2357</v>
      </c>
      <c r="I1577" t="s">
        <v>2368</v>
      </c>
      <c r="J1577" s="8">
        <f t="shared" si="24"/>
        <v>22266</v>
      </c>
    </row>
    <row r="1578" spans="1:10" x14ac:dyDescent="0.35">
      <c r="A1578" t="s">
        <v>763</v>
      </c>
      <c r="B1578">
        <v>1985</v>
      </c>
      <c r="C1578" t="s">
        <v>2366</v>
      </c>
      <c r="D1578">
        <v>19</v>
      </c>
      <c r="E1578">
        <v>3</v>
      </c>
      <c r="F1578" s="10">
        <v>13465.8</v>
      </c>
      <c r="G1578" t="s">
        <v>2358</v>
      </c>
      <c r="H1578" t="s">
        <v>2361</v>
      </c>
      <c r="I1578" t="s">
        <v>2364</v>
      </c>
      <c r="J1578" s="8">
        <f t="shared" si="24"/>
        <v>31278</v>
      </c>
    </row>
    <row r="1579" spans="1:10" x14ac:dyDescent="0.35">
      <c r="A1579" t="s">
        <v>762</v>
      </c>
      <c r="B1579">
        <v>1960</v>
      </c>
      <c r="C1579" t="s">
        <v>2356</v>
      </c>
      <c r="D1579">
        <v>28</v>
      </c>
      <c r="E1579">
        <v>0</v>
      </c>
      <c r="F1579" s="10">
        <v>13470.8</v>
      </c>
      <c r="G1579" t="s">
        <v>2358</v>
      </c>
      <c r="H1579" t="s">
        <v>2357</v>
      </c>
      <c r="I1579" t="s">
        <v>2359</v>
      </c>
      <c r="J1579" s="8">
        <f t="shared" si="24"/>
        <v>22125</v>
      </c>
    </row>
    <row r="1580" spans="1:10" x14ac:dyDescent="0.35">
      <c r="A1580" t="s">
        <v>761</v>
      </c>
      <c r="B1580">
        <v>1960</v>
      </c>
      <c r="C1580" t="s">
        <v>2356</v>
      </c>
      <c r="D1580">
        <v>24</v>
      </c>
      <c r="E1580">
        <v>0</v>
      </c>
      <c r="F1580" s="10">
        <v>13470.86</v>
      </c>
      <c r="G1580" t="s">
        <v>2358</v>
      </c>
      <c r="H1580" t="s">
        <v>2358</v>
      </c>
      <c r="I1580" t="s">
        <v>2368</v>
      </c>
      <c r="J1580" s="8">
        <f t="shared" si="24"/>
        <v>22121</v>
      </c>
    </row>
    <row r="1581" spans="1:10" x14ac:dyDescent="0.35">
      <c r="A1581" t="s">
        <v>760</v>
      </c>
      <c r="B1581">
        <v>1975</v>
      </c>
      <c r="C1581" t="s">
        <v>2366</v>
      </c>
      <c r="D1581">
        <v>7</v>
      </c>
      <c r="E1581">
        <v>1</v>
      </c>
      <c r="F1581" s="10">
        <v>13472.19</v>
      </c>
      <c r="G1581" t="s">
        <v>2358</v>
      </c>
      <c r="H1581" t="s">
        <v>2357</v>
      </c>
      <c r="I1581" t="s">
        <v>2364</v>
      </c>
      <c r="J1581" s="8">
        <f t="shared" si="24"/>
        <v>27613</v>
      </c>
    </row>
    <row r="1582" spans="1:10" x14ac:dyDescent="0.35">
      <c r="A1582" t="s">
        <v>759</v>
      </c>
      <c r="B1582">
        <v>1990</v>
      </c>
      <c r="C1582" t="s">
        <v>2366</v>
      </c>
      <c r="D1582">
        <v>30</v>
      </c>
      <c r="E1582">
        <v>3</v>
      </c>
      <c r="F1582" s="10">
        <v>13480.83</v>
      </c>
      <c r="G1582" t="s">
        <v>2358</v>
      </c>
      <c r="H1582" t="s">
        <v>2357</v>
      </c>
      <c r="I1582" t="s">
        <v>2375</v>
      </c>
      <c r="J1582" s="8">
        <f t="shared" si="24"/>
        <v>33115</v>
      </c>
    </row>
    <row r="1583" spans="1:10" x14ac:dyDescent="0.35">
      <c r="A1583" t="s">
        <v>758</v>
      </c>
      <c r="B1583">
        <v>1963</v>
      </c>
      <c r="C1583" t="s">
        <v>2367</v>
      </c>
      <c r="D1583">
        <v>14</v>
      </c>
      <c r="E1583">
        <v>0</v>
      </c>
      <c r="F1583" s="10">
        <v>13511.28</v>
      </c>
      <c r="G1583" t="s">
        <v>2358</v>
      </c>
      <c r="H1583" t="s">
        <v>2361</v>
      </c>
      <c r="I1583" t="s">
        <v>2364</v>
      </c>
      <c r="J1583" s="8">
        <f t="shared" si="24"/>
        <v>23298</v>
      </c>
    </row>
    <row r="1584" spans="1:10" x14ac:dyDescent="0.35">
      <c r="A1584" t="s">
        <v>757</v>
      </c>
      <c r="B1584">
        <v>1960</v>
      </c>
      <c r="C1584" t="s">
        <v>2356</v>
      </c>
      <c r="D1584">
        <v>11</v>
      </c>
      <c r="E1584">
        <v>0</v>
      </c>
      <c r="F1584" s="10">
        <v>13555</v>
      </c>
      <c r="G1584" t="s">
        <v>2358</v>
      </c>
      <c r="H1584" t="s">
        <v>2358</v>
      </c>
      <c r="I1584" t="s">
        <v>2378</v>
      </c>
      <c r="J1584" s="8">
        <f t="shared" si="24"/>
        <v>22108</v>
      </c>
    </row>
    <row r="1585" spans="1:10" x14ac:dyDescent="0.35">
      <c r="A1585" t="s">
        <v>756</v>
      </c>
      <c r="B1585">
        <v>1968</v>
      </c>
      <c r="C1585" t="s">
        <v>2356</v>
      </c>
      <c r="D1585">
        <v>15</v>
      </c>
      <c r="E1585">
        <v>0</v>
      </c>
      <c r="F1585" s="10">
        <v>13566.04</v>
      </c>
      <c r="G1585" t="s">
        <v>2358</v>
      </c>
      <c r="H1585" t="s">
        <v>2358</v>
      </c>
      <c r="I1585" t="s">
        <v>2380</v>
      </c>
      <c r="J1585" s="8">
        <f t="shared" si="24"/>
        <v>25034</v>
      </c>
    </row>
    <row r="1586" spans="1:10" x14ac:dyDescent="0.35">
      <c r="A1586" t="s">
        <v>755</v>
      </c>
      <c r="B1586">
        <v>1992</v>
      </c>
      <c r="C1586" t="s">
        <v>2366</v>
      </c>
      <c r="D1586">
        <v>14</v>
      </c>
      <c r="E1586">
        <v>0</v>
      </c>
      <c r="F1586" s="10">
        <v>13588.17</v>
      </c>
      <c r="G1586" t="s">
        <v>2358</v>
      </c>
      <c r="H1586" t="s">
        <v>2361</v>
      </c>
      <c r="I1586" t="s">
        <v>2364</v>
      </c>
      <c r="J1586" s="8">
        <f t="shared" si="24"/>
        <v>33830</v>
      </c>
    </row>
    <row r="1587" spans="1:10" x14ac:dyDescent="0.35">
      <c r="A1587" t="s">
        <v>754</v>
      </c>
      <c r="B1587">
        <v>1964</v>
      </c>
      <c r="C1587" t="s">
        <v>2363</v>
      </c>
      <c r="D1587">
        <v>10</v>
      </c>
      <c r="E1587">
        <v>2</v>
      </c>
      <c r="F1587" s="10">
        <v>13607.37</v>
      </c>
      <c r="G1587" t="s">
        <v>2358</v>
      </c>
      <c r="H1587" t="s">
        <v>2361</v>
      </c>
      <c r="I1587" t="s">
        <v>2374</v>
      </c>
      <c r="J1587" s="8">
        <f t="shared" si="24"/>
        <v>23630</v>
      </c>
    </row>
    <row r="1588" spans="1:10" x14ac:dyDescent="0.35">
      <c r="A1588" t="s">
        <v>753</v>
      </c>
      <c r="B1588">
        <v>1961</v>
      </c>
      <c r="C1588" t="s">
        <v>2360</v>
      </c>
      <c r="D1588">
        <v>18</v>
      </c>
      <c r="E1588">
        <v>0</v>
      </c>
      <c r="F1588" s="10">
        <v>13616.36</v>
      </c>
      <c r="G1588" t="s">
        <v>2358</v>
      </c>
      <c r="H1588" t="s">
        <v>2358</v>
      </c>
      <c r="I1588" t="s">
        <v>2374</v>
      </c>
      <c r="J1588" s="8">
        <f t="shared" si="24"/>
        <v>22603</v>
      </c>
    </row>
    <row r="1589" spans="1:10" x14ac:dyDescent="0.35">
      <c r="A1589" t="s">
        <v>752</v>
      </c>
      <c r="B1589">
        <v>1969</v>
      </c>
      <c r="C1589" t="s">
        <v>2356</v>
      </c>
      <c r="D1589">
        <v>26</v>
      </c>
      <c r="E1589">
        <v>0</v>
      </c>
      <c r="F1589" s="10">
        <v>13622.01</v>
      </c>
      <c r="G1589" t="s">
        <v>2358</v>
      </c>
      <c r="H1589" t="s">
        <v>2358</v>
      </c>
      <c r="I1589" t="s">
        <v>2364</v>
      </c>
      <c r="J1589" s="8">
        <f t="shared" si="24"/>
        <v>25410</v>
      </c>
    </row>
    <row r="1590" spans="1:10" x14ac:dyDescent="0.35">
      <c r="A1590" t="s">
        <v>751</v>
      </c>
      <c r="B1590">
        <v>1961</v>
      </c>
      <c r="C1590" t="s">
        <v>2365</v>
      </c>
      <c r="D1590">
        <v>24</v>
      </c>
      <c r="E1590">
        <v>0</v>
      </c>
      <c r="F1590" s="10">
        <v>13635.64</v>
      </c>
      <c r="G1590" t="s">
        <v>2358</v>
      </c>
      <c r="H1590" t="s">
        <v>2358</v>
      </c>
      <c r="I1590" t="s">
        <v>2374</v>
      </c>
      <c r="J1590" s="8">
        <f t="shared" si="24"/>
        <v>22639</v>
      </c>
    </row>
    <row r="1591" spans="1:10" x14ac:dyDescent="0.35">
      <c r="A1591" t="s">
        <v>750</v>
      </c>
      <c r="B1591">
        <v>1984</v>
      </c>
      <c r="C1591" t="s">
        <v>2356</v>
      </c>
      <c r="D1591">
        <v>20</v>
      </c>
      <c r="E1591">
        <v>3</v>
      </c>
      <c r="F1591" s="10">
        <v>13638.06</v>
      </c>
      <c r="G1591" t="s">
        <v>2358</v>
      </c>
      <c r="H1591" t="s">
        <v>2358</v>
      </c>
      <c r="I1591" t="s">
        <v>2375</v>
      </c>
      <c r="J1591" s="8">
        <f t="shared" si="24"/>
        <v>30883</v>
      </c>
    </row>
    <row r="1592" spans="1:10" x14ac:dyDescent="0.35">
      <c r="A1592" t="s">
        <v>749</v>
      </c>
      <c r="B1592">
        <v>1963</v>
      </c>
      <c r="C1592" t="s">
        <v>2366</v>
      </c>
      <c r="D1592">
        <v>4</v>
      </c>
      <c r="E1592">
        <v>0</v>
      </c>
      <c r="F1592" s="10">
        <v>13677.68</v>
      </c>
      <c r="G1592" t="s">
        <v>2358</v>
      </c>
      <c r="H1592" t="s">
        <v>2357</v>
      </c>
      <c r="I1592" t="s">
        <v>2377</v>
      </c>
      <c r="J1592" s="8">
        <f t="shared" si="24"/>
        <v>23227</v>
      </c>
    </row>
    <row r="1593" spans="1:10" x14ac:dyDescent="0.35">
      <c r="A1593" t="s">
        <v>748</v>
      </c>
      <c r="B1593">
        <v>1985</v>
      </c>
      <c r="C1593" t="s">
        <v>2363</v>
      </c>
      <c r="D1593">
        <v>14</v>
      </c>
      <c r="E1593">
        <v>3</v>
      </c>
      <c r="F1593" s="10">
        <v>13685.51</v>
      </c>
      <c r="G1593" t="s">
        <v>2358</v>
      </c>
      <c r="H1593" t="s">
        <v>2361</v>
      </c>
      <c r="I1593" t="s">
        <v>2380</v>
      </c>
      <c r="J1593" s="8">
        <f t="shared" si="24"/>
        <v>31304</v>
      </c>
    </row>
    <row r="1594" spans="1:10" x14ac:dyDescent="0.35">
      <c r="A1594" t="s">
        <v>747</v>
      </c>
      <c r="B1594">
        <v>1986</v>
      </c>
      <c r="C1594" t="s">
        <v>2360</v>
      </c>
      <c r="D1594">
        <v>24</v>
      </c>
      <c r="E1594">
        <v>3</v>
      </c>
      <c r="F1594" s="10">
        <v>13714.55</v>
      </c>
      <c r="G1594" t="s">
        <v>2358</v>
      </c>
      <c r="H1594" t="s">
        <v>2357</v>
      </c>
      <c r="I1594" t="s">
        <v>2375</v>
      </c>
      <c r="J1594" s="8">
        <f t="shared" si="24"/>
        <v>31740</v>
      </c>
    </row>
    <row r="1595" spans="1:10" x14ac:dyDescent="0.35">
      <c r="A1595" t="s">
        <v>746</v>
      </c>
      <c r="B1595">
        <v>1981</v>
      </c>
      <c r="C1595" t="s">
        <v>2366</v>
      </c>
      <c r="D1595">
        <v>2</v>
      </c>
      <c r="E1595">
        <v>1</v>
      </c>
      <c r="F1595" s="10">
        <v>13725.47</v>
      </c>
      <c r="G1595" t="s">
        <v>2358</v>
      </c>
      <c r="H1595" t="s">
        <v>2357</v>
      </c>
      <c r="I1595" t="s">
        <v>2374</v>
      </c>
      <c r="J1595" s="8">
        <f t="shared" si="24"/>
        <v>29800</v>
      </c>
    </row>
    <row r="1596" spans="1:10" x14ac:dyDescent="0.35">
      <c r="A1596" t="s">
        <v>745</v>
      </c>
      <c r="B1596">
        <v>1985</v>
      </c>
      <c r="C1596" t="s">
        <v>2366</v>
      </c>
      <c r="D1596">
        <v>29</v>
      </c>
      <c r="E1596">
        <v>3</v>
      </c>
      <c r="F1596" s="10">
        <v>13726.21</v>
      </c>
      <c r="G1596" t="s">
        <v>2358</v>
      </c>
      <c r="H1596" t="s">
        <v>2358</v>
      </c>
      <c r="I1596" t="s">
        <v>2380</v>
      </c>
      <c r="J1596" s="8">
        <f t="shared" si="24"/>
        <v>31288</v>
      </c>
    </row>
    <row r="1597" spans="1:10" x14ac:dyDescent="0.35">
      <c r="A1597" t="s">
        <v>744</v>
      </c>
      <c r="B1597">
        <v>1969</v>
      </c>
      <c r="C1597" t="s">
        <v>2367</v>
      </c>
      <c r="D1597">
        <v>23</v>
      </c>
      <c r="E1597">
        <v>0</v>
      </c>
      <c r="F1597" s="10">
        <v>13746.74</v>
      </c>
      <c r="G1597" t="s">
        <v>2358</v>
      </c>
      <c r="H1597" t="s">
        <v>2357</v>
      </c>
      <c r="I1597" t="s">
        <v>2380</v>
      </c>
      <c r="J1597" s="8">
        <f t="shared" si="24"/>
        <v>25499</v>
      </c>
    </row>
    <row r="1598" spans="1:10" x14ac:dyDescent="0.35">
      <c r="A1598" t="s">
        <v>743</v>
      </c>
      <c r="B1598">
        <v>2004</v>
      </c>
      <c r="C1598" t="s">
        <v>2356</v>
      </c>
      <c r="D1598">
        <v>16</v>
      </c>
      <c r="E1598">
        <v>0</v>
      </c>
      <c r="F1598" s="10">
        <v>13747.87</v>
      </c>
      <c r="G1598" t="s">
        <v>2358</v>
      </c>
      <c r="H1598" t="s">
        <v>2357</v>
      </c>
      <c r="I1598" t="s">
        <v>2372</v>
      </c>
      <c r="J1598" s="8">
        <f t="shared" si="24"/>
        <v>38184</v>
      </c>
    </row>
    <row r="1599" spans="1:10" x14ac:dyDescent="0.35">
      <c r="A1599" t="s">
        <v>742</v>
      </c>
      <c r="B1599">
        <v>1959</v>
      </c>
      <c r="C1599" t="s">
        <v>2366</v>
      </c>
      <c r="D1599">
        <v>6</v>
      </c>
      <c r="E1599">
        <v>0</v>
      </c>
      <c r="F1599" s="10">
        <v>13770.1</v>
      </c>
      <c r="G1599" t="s">
        <v>2358</v>
      </c>
      <c r="H1599" t="s">
        <v>2361</v>
      </c>
      <c r="I1599" t="s">
        <v>2364</v>
      </c>
      <c r="J1599" s="8">
        <f t="shared" si="24"/>
        <v>21768</v>
      </c>
    </row>
    <row r="1600" spans="1:10" x14ac:dyDescent="0.35">
      <c r="A1600" t="s">
        <v>741</v>
      </c>
      <c r="B1600">
        <v>1966</v>
      </c>
      <c r="C1600" t="s">
        <v>2360</v>
      </c>
      <c r="D1600">
        <v>10</v>
      </c>
      <c r="E1600">
        <v>0</v>
      </c>
      <c r="F1600" s="10">
        <v>13801.61</v>
      </c>
      <c r="G1600" t="s">
        <v>2358</v>
      </c>
      <c r="H1600" t="s">
        <v>2358</v>
      </c>
      <c r="I1600" t="s">
        <v>2380</v>
      </c>
      <c r="J1600" s="8">
        <f t="shared" si="24"/>
        <v>24421</v>
      </c>
    </row>
    <row r="1601" spans="1:10" x14ac:dyDescent="0.35">
      <c r="A1601" t="s">
        <v>740</v>
      </c>
      <c r="B1601">
        <v>1986</v>
      </c>
      <c r="C1601" t="s">
        <v>2365</v>
      </c>
      <c r="D1601">
        <v>8</v>
      </c>
      <c r="E1601">
        <v>3</v>
      </c>
      <c r="F1601" s="10">
        <v>13819.49</v>
      </c>
      <c r="G1601" t="s">
        <v>2358</v>
      </c>
      <c r="H1601" t="s">
        <v>2357</v>
      </c>
      <c r="I1601" t="s">
        <v>2364</v>
      </c>
      <c r="J1601" s="8">
        <f t="shared" si="24"/>
        <v>31754</v>
      </c>
    </row>
    <row r="1602" spans="1:10" x14ac:dyDescent="0.35">
      <c r="A1602" t="s">
        <v>739</v>
      </c>
      <c r="B1602">
        <v>1958</v>
      </c>
      <c r="C1602" t="s">
        <v>2360</v>
      </c>
      <c r="D1602">
        <v>25</v>
      </c>
      <c r="E1602">
        <v>0</v>
      </c>
      <c r="F1602" s="10">
        <v>13822.8</v>
      </c>
      <c r="G1602" t="s">
        <v>2358</v>
      </c>
      <c r="H1602" t="s">
        <v>2358</v>
      </c>
      <c r="I1602" t="s">
        <v>2368</v>
      </c>
      <c r="J1602" s="8">
        <f t="shared" si="24"/>
        <v>21514</v>
      </c>
    </row>
    <row r="1603" spans="1:10" x14ac:dyDescent="0.35">
      <c r="A1603" t="s">
        <v>738</v>
      </c>
      <c r="B1603">
        <v>1958</v>
      </c>
      <c r="C1603" t="s">
        <v>2365</v>
      </c>
      <c r="D1603">
        <v>10</v>
      </c>
      <c r="E1603">
        <v>0</v>
      </c>
      <c r="F1603" s="10">
        <v>13831.12</v>
      </c>
      <c r="G1603" t="s">
        <v>2358</v>
      </c>
      <c r="H1603" t="s">
        <v>2361</v>
      </c>
      <c r="I1603" t="s">
        <v>2359</v>
      </c>
      <c r="J1603" s="8">
        <f t="shared" ref="J1603:J1666" si="25">DATE(B1603,MONTH(1&amp;C1603),D1603)</f>
        <v>21529</v>
      </c>
    </row>
    <row r="1604" spans="1:10" x14ac:dyDescent="0.35">
      <c r="A1604" t="s">
        <v>737</v>
      </c>
      <c r="B1604">
        <v>2003</v>
      </c>
      <c r="C1604" t="s">
        <v>2362</v>
      </c>
      <c r="D1604">
        <v>7</v>
      </c>
      <c r="E1604">
        <v>0</v>
      </c>
      <c r="F1604" s="10">
        <v>13844.51</v>
      </c>
      <c r="G1604" t="s">
        <v>2357</v>
      </c>
      <c r="H1604" t="s">
        <v>2361</v>
      </c>
      <c r="I1604" t="s">
        <v>2368</v>
      </c>
      <c r="J1604" s="8">
        <f t="shared" si="25"/>
        <v>37779</v>
      </c>
    </row>
    <row r="1605" spans="1:10" x14ac:dyDescent="0.35">
      <c r="A1605" t="s">
        <v>736</v>
      </c>
      <c r="B1605">
        <v>1960</v>
      </c>
      <c r="C1605" t="s">
        <v>2356</v>
      </c>
      <c r="D1605">
        <v>21</v>
      </c>
      <c r="E1605">
        <v>0</v>
      </c>
      <c r="F1605" s="10">
        <v>13844.8</v>
      </c>
      <c r="G1605" t="s">
        <v>2357</v>
      </c>
      <c r="H1605" t="s">
        <v>2357</v>
      </c>
      <c r="I1605" t="s">
        <v>2364</v>
      </c>
      <c r="J1605" s="8">
        <f t="shared" si="25"/>
        <v>22118</v>
      </c>
    </row>
    <row r="1606" spans="1:10" x14ac:dyDescent="0.35">
      <c r="A1606" t="s">
        <v>735</v>
      </c>
      <c r="B1606">
        <v>1978</v>
      </c>
      <c r="C1606" t="s">
        <v>2365</v>
      </c>
      <c r="D1606">
        <v>19</v>
      </c>
      <c r="E1606">
        <v>2</v>
      </c>
      <c r="F1606" s="10">
        <v>13874.89</v>
      </c>
      <c r="G1606" t="s">
        <v>2357</v>
      </c>
      <c r="H1606" t="s">
        <v>2361</v>
      </c>
      <c r="I1606" t="s">
        <v>2364</v>
      </c>
      <c r="J1606" s="8">
        <f t="shared" si="25"/>
        <v>28843</v>
      </c>
    </row>
    <row r="1607" spans="1:10" x14ac:dyDescent="0.35">
      <c r="A1607" t="s">
        <v>734</v>
      </c>
      <c r="B1607">
        <v>1959</v>
      </c>
      <c r="C1607" t="s">
        <v>2367</v>
      </c>
      <c r="D1607">
        <v>5</v>
      </c>
      <c r="E1607">
        <v>0</v>
      </c>
      <c r="F1607" s="10">
        <v>13880.95</v>
      </c>
      <c r="G1607" t="s">
        <v>2357</v>
      </c>
      <c r="H1607" t="s">
        <v>2357</v>
      </c>
      <c r="I1607" t="s">
        <v>2368</v>
      </c>
      <c r="J1607" s="8">
        <f t="shared" si="25"/>
        <v>21828</v>
      </c>
    </row>
    <row r="1608" spans="1:10" x14ac:dyDescent="0.35">
      <c r="A1608" t="s">
        <v>733</v>
      </c>
      <c r="B1608">
        <v>1985</v>
      </c>
      <c r="C1608" t="s">
        <v>2363</v>
      </c>
      <c r="D1608">
        <v>25</v>
      </c>
      <c r="E1608">
        <v>3</v>
      </c>
      <c r="F1608" s="10">
        <v>13886.4</v>
      </c>
      <c r="G1608" t="s">
        <v>2357</v>
      </c>
      <c r="H1608" t="s">
        <v>2357</v>
      </c>
      <c r="I1608" t="s">
        <v>2364</v>
      </c>
      <c r="J1608" s="8">
        <f t="shared" si="25"/>
        <v>31315</v>
      </c>
    </row>
    <row r="1609" spans="1:10" x14ac:dyDescent="0.35">
      <c r="A1609" t="s">
        <v>732</v>
      </c>
      <c r="B1609">
        <v>1959</v>
      </c>
      <c r="C1609" t="s">
        <v>2365</v>
      </c>
      <c r="D1609">
        <v>29</v>
      </c>
      <c r="E1609">
        <v>0</v>
      </c>
      <c r="F1609" s="10">
        <v>13887.2</v>
      </c>
      <c r="G1609" t="s">
        <v>2357</v>
      </c>
      <c r="H1609" t="s">
        <v>2358</v>
      </c>
      <c r="I1609" t="s">
        <v>2359</v>
      </c>
      <c r="J1609" s="8">
        <f t="shared" si="25"/>
        <v>21913</v>
      </c>
    </row>
    <row r="1610" spans="1:10" x14ac:dyDescent="0.35">
      <c r="A1610" t="s">
        <v>731</v>
      </c>
      <c r="B1610">
        <v>1959</v>
      </c>
      <c r="C1610" t="s">
        <v>2356</v>
      </c>
      <c r="D1610">
        <v>7</v>
      </c>
      <c r="E1610">
        <v>0</v>
      </c>
      <c r="F1610" s="10">
        <v>13887.97</v>
      </c>
      <c r="G1610" t="s">
        <v>2357</v>
      </c>
      <c r="H1610" t="s">
        <v>2357</v>
      </c>
      <c r="I1610" t="s">
        <v>2359</v>
      </c>
      <c r="J1610" s="8">
        <f t="shared" si="25"/>
        <v>21738</v>
      </c>
    </row>
    <row r="1611" spans="1:10" x14ac:dyDescent="0.35">
      <c r="A1611" t="s">
        <v>730</v>
      </c>
      <c r="B1611">
        <v>1962</v>
      </c>
      <c r="C1611" t="s">
        <v>2356</v>
      </c>
      <c r="D1611">
        <v>27</v>
      </c>
      <c r="E1611">
        <v>3</v>
      </c>
      <c r="F1611" s="10">
        <v>13919.82</v>
      </c>
      <c r="G1611" t="s">
        <v>2357</v>
      </c>
      <c r="H1611" t="s">
        <v>2357</v>
      </c>
      <c r="I1611" t="s">
        <v>2359</v>
      </c>
      <c r="J1611" s="8">
        <f t="shared" si="25"/>
        <v>22854</v>
      </c>
    </row>
    <row r="1612" spans="1:10" x14ac:dyDescent="0.35">
      <c r="A1612" t="s">
        <v>729</v>
      </c>
      <c r="B1612">
        <v>1960</v>
      </c>
      <c r="C1612" t="s">
        <v>2362</v>
      </c>
      <c r="D1612">
        <v>18</v>
      </c>
      <c r="E1612">
        <v>1</v>
      </c>
      <c r="F1612" s="10">
        <v>13937.67</v>
      </c>
      <c r="G1612" t="s">
        <v>2357</v>
      </c>
      <c r="H1612" t="s">
        <v>2361</v>
      </c>
      <c r="I1612" t="s">
        <v>2364</v>
      </c>
      <c r="J1612" s="8">
        <f t="shared" si="25"/>
        <v>22085</v>
      </c>
    </row>
    <row r="1613" spans="1:10" x14ac:dyDescent="0.35">
      <c r="A1613" t="s">
        <v>728</v>
      </c>
      <c r="B1613">
        <v>1959</v>
      </c>
      <c r="C1613" t="s">
        <v>2366</v>
      </c>
      <c r="D1613">
        <v>29</v>
      </c>
      <c r="E1613">
        <v>0</v>
      </c>
      <c r="F1613" s="10">
        <v>13974.46</v>
      </c>
      <c r="G1613" t="s">
        <v>2357</v>
      </c>
      <c r="H1613" t="s">
        <v>2357</v>
      </c>
      <c r="I1613" t="s">
        <v>2370</v>
      </c>
      <c r="J1613" s="8">
        <f t="shared" si="25"/>
        <v>21791</v>
      </c>
    </row>
    <row r="1614" spans="1:10" x14ac:dyDescent="0.35">
      <c r="A1614" t="s">
        <v>727</v>
      </c>
      <c r="B1614">
        <v>1990</v>
      </c>
      <c r="C1614" t="s">
        <v>2356</v>
      </c>
      <c r="D1614">
        <v>13</v>
      </c>
      <c r="E1614">
        <v>3</v>
      </c>
      <c r="F1614" s="10">
        <v>13979.45</v>
      </c>
      <c r="G1614" t="s">
        <v>2357</v>
      </c>
      <c r="H1614" t="s">
        <v>2361</v>
      </c>
      <c r="I1614" t="s">
        <v>2375</v>
      </c>
      <c r="J1614" s="8">
        <f t="shared" si="25"/>
        <v>33067</v>
      </c>
    </row>
    <row r="1615" spans="1:10" x14ac:dyDescent="0.35">
      <c r="A1615" t="s">
        <v>726</v>
      </c>
      <c r="B1615">
        <v>1959</v>
      </c>
      <c r="C1615" t="s">
        <v>2363</v>
      </c>
      <c r="D1615">
        <v>6</v>
      </c>
      <c r="E1615">
        <v>0</v>
      </c>
      <c r="F1615" s="10">
        <v>13981.85</v>
      </c>
      <c r="G1615" t="s">
        <v>2357</v>
      </c>
      <c r="H1615" t="s">
        <v>2361</v>
      </c>
      <c r="I1615" t="s">
        <v>2371</v>
      </c>
      <c r="J1615" s="8">
        <f t="shared" si="25"/>
        <v>21799</v>
      </c>
    </row>
    <row r="1616" spans="1:10" x14ac:dyDescent="0.35">
      <c r="A1616" t="s">
        <v>725</v>
      </c>
      <c r="B1616">
        <v>1963</v>
      </c>
      <c r="C1616" t="s">
        <v>2365</v>
      </c>
      <c r="D1616">
        <v>23</v>
      </c>
      <c r="E1616">
        <v>3</v>
      </c>
      <c r="F1616" s="10">
        <v>14001.13</v>
      </c>
      <c r="G1616" t="s">
        <v>2357</v>
      </c>
      <c r="H1616" t="s">
        <v>2361</v>
      </c>
      <c r="I1616" t="s">
        <v>2359</v>
      </c>
      <c r="J1616" s="8">
        <f t="shared" si="25"/>
        <v>23368</v>
      </c>
    </row>
    <row r="1617" spans="1:10" x14ac:dyDescent="0.35">
      <c r="A1617" t="s">
        <v>724</v>
      </c>
      <c r="B1617">
        <v>1963</v>
      </c>
      <c r="C1617" t="s">
        <v>2356</v>
      </c>
      <c r="D1617">
        <v>6</v>
      </c>
      <c r="E1617">
        <v>3</v>
      </c>
      <c r="F1617" s="10">
        <v>14001.29</v>
      </c>
      <c r="G1617" t="s">
        <v>2357</v>
      </c>
      <c r="H1617" t="s">
        <v>2357</v>
      </c>
      <c r="I1617" t="s">
        <v>2359</v>
      </c>
      <c r="J1617" s="8">
        <f t="shared" si="25"/>
        <v>23198</v>
      </c>
    </row>
    <row r="1618" spans="1:10" x14ac:dyDescent="0.35">
      <c r="A1618" t="s">
        <v>723</v>
      </c>
      <c r="B1618">
        <v>1963</v>
      </c>
      <c r="C1618" t="s">
        <v>2356</v>
      </c>
      <c r="D1618">
        <v>8</v>
      </c>
      <c r="E1618">
        <v>3</v>
      </c>
      <c r="F1618" s="10">
        <v>14007.22</v>
      </c>
      <c r="G1618" t="s">
        <v>2357</v>
      </c>
      <c r="H1618" t="s">
        <v>2358</v>
      </c>
      <c r="I1618" t="s">
        <v>2368</v>
      </c>
      <c r="J1618" s="8">
        <f t="shared" si="25"/>
        <v>23200</v>
      </c>
    </row>
    <row r="1619" spans="1:10" x14ac:dyDescent="0.35">
      <c r="A1619" t="s">
        <v>722</v>
      </c>
      <c r="B1619">
        <v>1960</v>
      </c>
      <c r="C1619" t="s">
        <v>2360</v>
      </c>
      <c r="D1619">
        <v>8</v>
      </c>
      <c r="E1619">
        <v>0</v>
      </c>
      <c r="F1619" s="10">
        <v>14043.48</v>
      </c>
      <c r="G1619" t="s">
        <v>2357</v>
      </c>
      <c r="H1619" t="s">
        <v>2358</v>
      </c>
      <c r="I1619" t="s">
        <v>2374</v>
      </c>
      <c r="J1619" s="8">
        <f t="shared" si="25"/>
        <v>22228</v>
      </c>
    </row>
    <row r="1620" spans="1:10" x14ac:dyDescent="0.35">
      <c r="A1620" t="s">
        <v>721</v>
      </c>
      <c r="B1620">
        <v>1991</v>
      </c>
      <c r="C1620" t="s">
        <v>2363</v>
      </c>
      <c r="D1620">
        <v>12</v>
      </c>
      <c r="E1620">
        <v>3</v>
      </c>
      <c r="F1620" s="10">
        <v>14081.93</v>
      </c>
      <c r="G1620" t="s">
        <v>2357</v>
      </c>
      <c r="H1620" t="s">
        <v>2358</v>
      </c>
      <c r="I1620" t="s">
        <v>2364</v>
      </c>
      <c r="J1620" s="8">
        <f t="shared" si="25"/>
        <v>33493</v>
      </c>
    </row>
    <row r="1621" spans="1:10" x14ac:dyDescent="0.35">
      <c r="A1621" t="s">
        <v>720</v>
      </c>
      <c r="B1621">
        <v>1976</v>
      </c>
      <c r="C1621" t="s">
        <v>2363</v>
      </c>
      <c r="D1621">
        <v>26</v>
      </c>
      <c r="E1621">
        <v>2</v>
      </c>
      <c r="F1621" s="10">
        <v>14098.07</v>
      </c>
      <c r="G1621" t="s">
        <v>2357</v>
      </c>
      <c r="H1621" t="s">
        <v>2358</v>
      </c>
      <c r="I1621" t="s">
        <v>2375</v>
      </c>
      <c r="J1621" s="8">
        <f t="shared" si="25"/>
        <v>28029</v>
      </c>
    </row>
    <row r="1622" spans="1:10" x14ac:dyDescent="0.35">
      <c r="A1622" t="s">
        <v>719</v>
      </c>
      <c r="B1622">
        <v>1961</v>
      </c>
      <c r="C1622" t="s">
        <v>2362</v>
      </c>
      <c r="D1622">
        <v>14</v>
      </c>
      <c r="E1622">
        <v>2</v>
      </c>
      <c r="F1622" s="10">
        <v>14119.62</v>
      </c>
      <c r="G1622" t="s">
        <v>2357</v>
      </c>
      <c r="H1622" t="s">
        <v>2361</v>
      </c>
      <c r="I1622" t="s">
        <v>2364</v>
      </c>
      <c r="J1622" s="8">
        <f t="shared" si="25"/>
        <v>22446</v>
      </c>
    </row>
    <row r="1623" spans="1:10" x14ac:dyDescent="0.35">
      <c r="A1623" t="s">
        <v>718</v>
      </c>
      <c r="B1623">
        <v>2004</v>
      </c>
      <c r="C1623" t="s">
        <v>2356</v>
      </c>
      <c r="D1623">
        <v>6</v>
      </c>
      <c r="E1623">
        <v>0</v>
      </c>
      <c r="F1623" s="10">
        <v>14133.04</v>
      </c>
      <c r="G1623" t="s">
        <v>2357</v>
      </c>
      <c r="H1623" t="s">
        <v>2358</v>
      </c>
      <c r="I1623" t="s">
        <v>2359</v>
      </c>
      <c r="J1623" s="8">
        <f t="shared" si="25"/>
        <v>38174</v>
      </c>
    </row>
    <row r="1624" spans="1:10" x14ac:dyDescent="0.35">
      <c r="A1624" t="s">
        <v>717</v>
      </c>
      <c r="B1624">
        <v>1984</v>
      </c>
      <c r="C1624" t="s">
        <v>2356</v>
      </c>
      <c r="D1624">
        <v>7</v>
      </c>
      <c r="E1624">
        <v>3</v>
      </c>
      <c r="F1624" s="10">
        <v>14152.46</v>
      </c>
      <c r="G1624" t="s">
        <v>2357</v>
      </c>
      <c r="H1624" t="s">
        <v>2361</v>
      </c>
      <c r="I1624" t="s">
        <v>2364</v>
      </c>
      <c r="J1624" s="8">
        <f t="shared" si="25"/>
        <v>30870</v>
      </c>
    </row>
    <row r="1625" spans="1:10" x14ac:dyDescent="0.35">
      <c r="A1625" t="s">
        <v>716</v>
      </c>
      <c r="B1625">
        <v>1968</v>
      </c>
      <c r="C1625" t="s">
        <v>2365</v>
      </c>
      <c r="D1625">
        <v>25</v>
      </c>
      <c r="E1625">
        <v>0</v>
      </c>
      <c r="F1625" s="10">
        <v>14193.55</v>
      </c>
      <c r="G1625" t="s">
        <v>2357</v>
      </c>
      <c r="H1625" t="s">
        <v>2361</v>
      </c>
      <c r="I1625" t="s">
        <v>2380</v>
      </c>
      <c r="J1625" s="8">
        <f t="shared" si="25"/>
        <v>25197</v>
      </c>
    </row>
    <row r="1626" spans="1:10" x14ac:dyDescent="0.35">
      <c r="A1626" t="s">
        <v>715</v>
      </c>
      <c r="B1626">
        <v>1983</v>
      </c>
      <c r="C1626" t="s">
        <v>2360</v>
      </c>
      <c r="D1626">
        <v>17</v>
      </c>
      <c r="E1626">
        <v>3</v>
      </c>
      <c r="F1626" s="10">
        <v>14209.4</v>
      </c>
      <c r="G1626" t="s">
        <v>2357</v>
      </c>
      <c r="H1626" t="s">
        <v>2361</v>
      </c>
      <c r="I1626" t="s">
        <v>2380</v>
      </c>
      <c r="J1626" s="8">
        <f t="shared" si="25"/>
        <v>30637</v>
      </c>
    </row>
    <row r="1627" spans="1:10" x14ac:dyDescent="0.35">
      <c r="A1627" t="s">
        <v>714</v>
      </c>
      <c r="B1627">
        <v>1958</v>
      </c>
      <c r="C1627" t="s">
        <v>2363</v>
      </c>
      <c r="D1627">
        <v>21</v>
      </c>
      <c r="E1627">
        <v>0</v>
      </c>
      <c r="F1627" s="10">
        <v>14210.54</v>
      </c>
      <c r="G1627" t="s">
        <v>2357</v>
      </c>
      <c r="H1627" t="s">
        <v>2357</v>
      </c>
      <c r="I1627" t="s">
        <v>2364</v>
      </c>
      <c r="J1627" s="8">
        <f t="shared" si="25"/>
        <v>21449</v>
      </c>
    </row>
    <row r="1628" spans="1:10" x14ac:dyDescent="0.35">
      <c r="A1628" t="s">
        <v>713</v>
      </c>
      <c r="B1628">
        <v>1961</v>
      </c>
      <c r="C1628" t="s">
        <v>2363</v>
      </c>
      <c r="D1628">
        <v>25</v>
      </c>
      <c r="E1628">
        <v>2</v>
      </c>
      <c r="F1628" s="10">
        <v>14235.07</v>
      </c>
      <c r="G1628" t="s">
        <v>2357</v>
      </c>
      <c r="H1628" t="s">
        <v>2361</v>
      </c>
      <c r="I1628" t="s">
        <v>2368</v>
      </c>
      <c r="J1628" s="8">
        <f t="shared" si="25"/>
        <v>22549</v>
      </c>
    </row>
    <row r="1629" spans="1:10" x14ac:dyDescent="0.35">
      <c r="A1629" t="s">
        <v>712</v>
      </c>
      <c r="B1629">
        <v>1959</v>
      </c>
      <c r="C1629" t="s">
        <v>2367</v>
      </c>
      <c r="D1629">
        <v>10</v>
      </c>
      <c r="E1629">
        <v>0</v>
      </c>
      <c r="F1629" s="10">
        <v>14254.61</v>
      </c>
      <c r="G1629" t="s">
        <v>2357</v>
      </c>
      <c r="H1629" t="s">
        <v>2361</v>
      </c>
      <c r="I1629" t="s">
        <v>2364</v>
      </c>
      <c r="J1629" s="8">
        <f t="shared" si="25"/>
        <v>21833</v>
      </c>
    </row>
    <row r="1630" spans="1:10" x14ac:dyDescent="0.35">
      <c r="A1630" t="s">
        <v>711</v>
      </c>
      <c r="B1630">
        <v>1959</v>
      </c>
      <c r="C1630" t="s">
        <v>2360</v>
      </c>
      <c r="D1630">
        <v>8</v>
      </c>
      <c r="E1630">
        <v>0</v>
      </c>
      <c r="F1630" s="10">
        <v>14256.19</v>
      </c>
      <c r="G1630" t="s">
        <v>2357</v>
      </c>
      <c r="H1630" t="s">
        <v>2358</v>
      </c>
      <c r="I1630" t="s">
        <v>2364</v>
      </c>
      <c r="J1630" s="8">
        <f t="shared" si="25"/>
        <v>21862</v>
      </c>
    </row>
    <row r="1631" spans="1:10" x14ac:dyDescent="0.35">
      <c r="A1631" t="s">
        <v>710</v>
      </c>
      <c r="B1631">
        <v>1974</v>
      </c>
      <c r="C1631" t="s">
        <v>2365</v>
      </c>
      <c r="D1631">
        <v>26</v>
      </c>
      <c r="E1631">
        <v>0</v>
      </c>
      <c r="F1631" s="10">
        <v>14256.79</v>
      </c>
      <c r="G1631" t="s">
        <v>2357</v>
      </c>
      <c r="H1631" t="s">
        <v>2357</v>
      </c>
      <c r="I1631" t="s">
        <v>2380</v>
      </c>
      <c r="J1631" s="8">
        <f t="shared" si="25"/>
        <v>27389</v>
      </c>
    </row>
    <row r="1632" spans="1:10" x14ac:dyDescent="0.35">
      <c r="A1632" t="s">
        <v>709</v>
      </c>
      <c r="B1632">
        <v>1972</v>
      </c>
      <c r="C1632" t="s">
        <v>2356</v>
      </c>
      <c r="D1632">
        <v>13</v>
      </c>
      <c r="E1632">
        <v>0</v>
      </c>
      <c r="F1632" s="10">
        <v>14258.33</v>
      </c>
      <c r="G1632" t="s">
        <v>2357</v>
      </c>
      <c r="H1632" t="s">
        <v>2357</v>
      </c>
      <c r="I1632" t="s">
        <v>2380</v>
      </c>
      <c r="J1632" s="8">
        <f t="shared" si="25"/>
        <v>26493</v>
      </c>
    </row>
    <row r="1633" spans="1:10" x14ac:dyDescent="0.35">
      <c r="A1633" t="s">
        <v>708</v>
      </c>
      <c r="B1633">
        <v>2004</v>
      </c>
      <c r="C1633" t="s">
        <v>2363</v>
      </c>
      <c r="D1633">
        <v>6</v>
      </c>
      <c r="E1633">
        <v>0</v>
      </c>
      <c r="F1633" s="10">
        <v>14283.46</v>
      </c>
      <c r="G1633" t="s">
        <v>2357</v>
      </c>
      <c r="H1633" t="s">
        <v>2357</v>
      </c>
      <c r="I1633" t="s">
        <v>2374</v>
      </c>
      <c r="J1633" s="8">
        <f t="shared" si="25"/>
        <v>38236</v>
      </c>
    </row>
    <row r="1634" spans="1:10" x14ac:dyDescent="0.35">
      <c r="A1634" t="s">
        <v>707</v>
      </c>
      <c r="B1634">
        <v>1968</v>
      </c>
      <c r="C1634" t="s">
        <v>2365</v>
      </c>
      <c r="D1634">
        <v>15</v>
      </c>
      <c r="E1634">
        <v>0</v>
      </c>
      <c r="F1634" s="10">
        <v>14285.9</v>
      </c>
      <c r="G1634" t="s">
        <v>2357</v>
      </c>
      <c r="H1634" t="s">
        <v>2358</v>
      </c>
      <c r="I1634" t="s">
        <v>2364</v>
      </c>
      <c r="J1634" s="8">
        <f t="shared" si="25"/>
        <v>25187</v>
      </c>
    </row>
    <row r="1635" spans="1:10" x14ac:dyDescent="0.35">
      <c r="A1635" t="s">
        <v>706</v>
      </c>
      <c r="B1635">
        <v>1958</v>
      </c>
      <c r="C1635" t="s">
        <v>2367</v>
      </c>
      <c r="D1635">
        <v>15</v>
      </c>
      <c r="E1635">
        <v>0</v>
      </c>
      <c r="F1635" s="10">
        <v>14313.85</v>
      </c>
      <c r="G1635" t="s">
        <v>2357</v>
      </c>
      <c r="H1635" t="s">
        <v>2358</v>
      </c>
      <c r="I1635" t="s">
        <v>2359</v>
      </c>
      <c r="J1635" s="8">
        <f t="shared" si="25"/>
        <v>21473</v>
      </c>
    </row>
    <row r="1636" spans="1:10" x14ac:dyDescent="0.35">
      <c r="A1636" t="s">
        <v>705</v>
      </c>
      <c r="B1636">
        <v>1958</v>
      </c>
      <c r="C1636" t="s">
        <v>2356</v>
      </c>
      <c r="D1636">
        <v>10</v>
      </c>
      <c r="E1636">
        <v>0</v>
      </c>
      <c r="F1636" s="10">
        <v>14319.03</v>
      </c>
      <c r="G1636" t="s">
        <v>2357</v>
      </c>
      <c r="H1636" t="s">
        <v>2357</v>
      </c>
      <c r="I1636" t="s">
        <v>2368</v>
      </c>
      <c r="J1636" s="8">
        <f t="shared" si="25"/>
        <v>21376</v>
      </c>
    </row>
    <row r="1637" spans="1:10" x14ac:dyDescent="0.35">
      <c r="A1637" t="s">
        <v>704</v>
      </c>
      <c r="B1637">
        <v>1969</v>
      </c>
      <c r="C1637" t="s">
        <v>2363</v>
      </c>
      <c r="D1637">
        <v>26</v>
      </c>
      <c r="E1637">
        <v>0</v>
      </c>
      <c r="F1637" s="10">
        <v>14337.91</v>
      </c>
      <c r="G1637" t="s">
        <v>2357</v>
      </c>
      <c r="H1637" t="s">
        <v>2358</v>
      </c>
      <c r="I1637" t="s">
        <v>2381</v>
      </c>
      <c r="J1637" s="8">
        <f t="shared" si="25"/>
        <v>25472</v>
      </c>
    </row>
    <row r="1638" spans="1:10" x14ac:dyDescent="0.35">
      <c r="A1638" t="s">
        <v>703</v>
      </c>
      <c r="B1638">
        <v>1959</v>
      </c>
      <c r="C1638" t="s">
        <v>2365</v>
      </c>
      <c r="D1638">
        <v>24</v>
      </c>
      <c r="E1638">
        <v>1</v>
      </c>
      <c r="F1638" s="10">
        <v>14349.85</v>
      </c>
      <c r="G1638" t="s">
        <v>2357</v>
      </c>
      <c r="H1638" t="s">
        <v>2357</v>
      </c>
      <c r="I1638" t="s">
        <v>2364</v>
      </c>
      <c r="J1638" s="8">
        <f t="shared" si="25"/>
        <v>21908</v>
      </c>
    </row>
    <row r="1639" spans="1:10" x14ac:dyDescent="0.35">
      <c r="A1639" t="s">
        <v>702</v>
      </c>
      <c r="B1639">
        <v>1967</v>
      </c>
      <c r="C1639" t="s">
        <v>2367</v>
      </c>
      <c r="D1639">
        <v>10</v>
      </c>
      <c r="E1639">
        <v>0</v>
      </c>
      <c r="F1639" s="10">
        <v>14355.43</v>
      </c>
      <c r="G1639" t="s">
        <v>2357</v>
      </c>
      <c r="H1639" t="s">
        <v>2361</v>
      </c>
      <c r="I1639" t="s">
        <v>2380</v>
      </c>
      <c r="J1639" s="8">
        <f t="shared" si="25"/>
        <v>24755</v>
      </c>
    </row>
    <row r="1640" spans="1:10" x14ac:dyDescent="0.35">
      <c r="A1640" t="s">
        <v>701</v>
      </c>
      <c r="B1640">
        <v>1988</v>
      </c>
      <c r="C1640" t="s">
        <v>2360</v>
      </c>
      <c r="D1640">
        <v>16</v>
      </c>
      <c r="E1640">
        <v>1</v>
      </c>
      <c r="F1640" s="10">
        <v>14358.36</v>
      </c>
      <c r="G1640" t="s">
        <v>2357</v>
      </c>
      <c r="H1640" t="s">
        <v>2357</v>
      </c>
      <c r="I1640" t="s">
        <v>2368</v>
      </c>
      <c r="J1640" s="8">
        <f t="shared" si="25"/>
        <v>32463</v>
      </c>
    </row>
    <row r="1641" spans="1:10" x14ac:dyDescent="0.35">
      <c r="A1641" t="s">
        <v>700</v>
      </c>
      <c r="B1641">
        <v>1963</v>
      </c>
      <c r="C1641" t="s">
        <v>2356</v>
      </c>
      <c r="D1641">
        <v>16</v>
      </c>
      <c r="E1641">
        <v>3</v>
      </c>
      <c r="F1641" s="10">
        <v>14382.71</v>
      </c>
      <c r="G1641" t="s">
        <v>2357</v>
      </c>
      <c r="H1641" t="s">
        <v>2357</v>
      </c>
      <c r="I1641" t="s">
        <v>2364</v>
      </c>
      <c r="J1641" s="8">
        <f t="shared" si="25"/>
        <v>23208</v>
      </c>
    </row>
    <row r="1642" spans="1:10" x14ac:dyDescent="0.35">
      <c r="A1642" t="s">
        <v>699</v>
      </c>
      <c r="B1642">
        <v>1965</v>
      </c>
      <c r="C1642" t="s">
        <v>2362</v>
      </c>
      <c r="D1642">
        <v>22</v>
      </c>
      <c r="E1642">
        <v>4</v>
      </c>
      <c r="F1642" s="10">
        <v>14394.4</v>
      </c>
      <c r="G1642" t="s">
        <v>2357</v>
      </c>
      <c r="H1642" t="s">
        <v>2358</v>
      </c>
      <c r="I1642" t="s">
        <v>2374</v>
      </c>
      <c r="J1642" s="8">
        <f t="shared" si="25"/>
        <v>23915</v>
      </c>
    </row>
    <row r="1643" spans="1:10" x14ac:dyDescent="0.35">
      <c r="A1643" t="s">
        <v>698</v>
      </c>
      <c r="B1643">
        <v>1958</v>
      </c>
      <c r="C1643" t="s">
        <v>2363</v>
      </c>
      <c r="D1643">
        <v>14</v>
      </c>
      <c r="E1643">
        <v>0</v>
      </c>
      <c r="F1643" s="10">
        <v>14394.56</v>
      </c>
      <c r="G1643" t="s">
        <v>2357</v>
      </c>
      <c r="H1643" t="s">
        <v>2361</v>
      </c>
      <c r="I1643" t="s">
        <v>2372</v>
      </c>
      <c r="J1643" s="8">
        <f t="shared" si="25"/>
        <v>21442</v>
      </c>
    </row>
    <row r="1644" spans="1:10" x14ac:dyDescent="0.35">
      <c r="A1644" t="s">
        <v>697</v>
      </c>
      <c r="B1644">
        <v>1958</v>
      </c>
      <c r="C1644" t="s">
        <v>2356</v>
      </c>
      <c r="D1644">
        <v>29</v>
      </c>
      <c r="E1644">
        <v>0</v>
      </c>
      <c r="F1644" s="10">
        <v>14410.93</v>
      </c>
      <c r="G1644" t="s">
        <v>2357</v>
      </c>
      <c r="H1644" t="s">
        <v>2357</v>
      </c>
      <c r="I1644" t="s">
        <v>2371</v>
      </c>
      <c r="J1644" s="8">
        <f t="shared" si="25"/>
        <v>21395</v>
      </c>
    </row>
    <row r="1645" spans="1:10" x14ac:dyDescent="0.35">
      <c r="A1645" t="s">
        <v>696</v>
      </c>
      <c r="B1645">
        <v>1958</v>
      </c>
      <c r="C1645" t="s">
        <v>2363</v>
      </c>
      <c r="D1645">
        <v>20</v>
      </c>
      <c r="E1645">
        <v>1</v>
      </c>
      <c r="F1645" s="10">
        <v>14418.28</v>
      </c>
      <c r="G1645" t="s">
        <v>2357</v>
      </c>
      <c r="H1645" t="s">
        <v>2358</v>
      </c>
      <c r="I1645" t="s">
        <v>2359</v>
      </c>
      <c r="J1645" s="8">
        <f t="shared" si="25"/>
        <v>21448</v>
      </c>
    </row>
    <row r="1646" spans="1:10" x14ac:dyDescent="0.35">
      <c r="A1646" t="s">
        <v>695</v>
      </c>
      <c r="B1646">
        <v>1999</v>
      </c>
      <c r="C1646" t="s">
        <v>2366</v>
      </c>
      <c r="D1646">
        <v>10</v>
      </c>
      <c r="E1646">
        <v>2</v>
      </c>
      <c r="F1646" s="10">
        <v>14426.07</v>
      </c>
      <c r="G1646" t="s">
        <v>2357</v>
      </c>
      <c r="H1646" t="s">
        <v>2361</v>
      </c>
      <c r="I1646" t="s">
        <v>2364</v>
      </c>
      <c r="J1646" s="8">
        <f t="shared" si="25"/>
        <v>36382</v>
      </c>
    </row>
    <row r="1647" spans="1:10" x14ac:dyDescent="0.35">
      <c r="A1647" t="s">
        <v>694</v>
      </c>
      <c r="B1647">
        <v>1967</v>
      </c>
      <c r="C1647" t="s">
        <v>2366</v>
      </c>
      <c r="D1647">
        <v>15</v>
      </c>
      <c r="E1647">
        <v>0</v>
      </c>
      <c r="F1647" s="10">
        <v>14426.66</v>
      </c>
      <c r="G1647" t="s">
        <v>2357</v>
      </c>
      <c r="H1647" t="s">
        <v>2357</v>
      </c>
      <c r="I1647" t="s">
        <v>2380</v>
      </c>
      <c r="J1647" s="8">
        <f t="shared" si="25"/>
        <v>24699</v>
      </c>
    </row>
    <row r="1648" spans="1:10" x14ac:dyDescent="0.35">
      <c r="A1648" t="s">
        <v>693</v>
      </c>
      <c r="B1648">
        <v>1967</v>
      </c>
      <c r="C1648" t="s">
        <v>2360</v>
      </c>
      <c r="D1648">
        <v>4</v>
      </c>
      <c r="E1648">
        <v>0</v>
      </c>
      <c r="F1648" s="10">
        <v>14427.63</v>
      </c>
      <c r="G1648" t="s">
        <v>2357</v>
      </c>
      <c r="H1648" t="s">
        <v>2357</v>
      </c>
      <c r="I1648" t="s">
        <v>2377</v>
      </c>
      <c r="J1648" s="8">
        <f t="shared" si="25"/>
        <v>24780</v>
      </c>
    </row>
    <row r="1649" spans="1:10" x14ac:dyDescent="0.35">
      <c r="A1649" t="s">
        <v>692</v>
      </c>
      <c r="B1649">
        <v>1959</v>
      </c>
      <c r="C1649" t="s">
        <v>2362</v>
      </c>
      <c r="D1649">
        <v>29</v>
      </c>
      <c r="E1649">
        <v>0</v>
      </c>
      <c r="F1649" s="10">
        <v>14449.85</v>
      </c>
      <c r="G1649" t="s">
        <v>2357</v>
      </c>
      <c r="H1649" t="s">
        <v>2361</v>
      </c>
      <c r="I1649" t="s">
        <v>2374</v>
      </c>
      <c r="J1649" s="8">
        <f t="shared" si="25"/>
        <v>21730</v>
      </c>
    </row>
    <row r="1650" spans="1:10" x14ac:dyDescent="0.35">
      <c r="A1650" t="s">
        <v>691</v>
      </c>
      <c r="B1650">
        <v>1959</v>
      </c>
      <c r="C1650" t="s">
        <v>2366</v>
      </c>
      <c r="D1650">
        <v>3</v>
      </c>
      <c r="E1650">
        <v>0</v>
      </c>
      <c r="F1650" s="10">
        <v>14451.84</v>
      </c>
      <c r="G1650" t="s">
        <v>2357</v>
      </c>
      <c r="H1650" t="s">
        <v>2358</v>
      </c>
      <c r="I1650" t="s">
        <v>2375</v>
      </c>
      <c r="J1650" s="8">
        <f t="shared" si="25"/>
        <v>21765</v>
      </c>
    </row>
    <row r="1651" spans="1:10" x14ac:dyDescent="0.35">
      <c r="A1651" t="s">
        <v>690</v>
      </c>
      <c r="B1651">
        <v>1996</v>
      </c>
      <c r="C1651" t="s">
        <v>2360</v>
      </c>
      <c r="D1651">
        <v>10</v>
      </c>
      <c r="E1651">
        <v>2</v>
      </c>
      <c r="F1651" s="10">
        <v>14455.64</v>
      </c>
      <c r="G1651" t="s">
        <v>2357</v>
      </c>
      <c r="H1651" t="s">
        <v>2358</v>
      </c>
      <c r="I1651" t="s">
        <v>2374</v>
      </c>
      <c r="J1651" s="8">
        <f t="shared" si="25"/>
        <v>35379</v>
      </c>
    </row>
    <row r="1652" spans="1:10" x14ac:dyDescent="0.35">
      <c r="A1652" t="s">
        <v>689</v>
      </c>
      <c r="B1652">
        <v>1976</v>
      </c>
      <c r="C1652" t="s">
        <v>2360</v>
      </c>
      <c r="D1652">
        <v>27</v>
      </c>
      <c r="E1652">
        <v>2</v>
      </c>
      <c r="F1652" s="10">
        <v>14470.01</v>
      </c>
      <c r="G1652" t="s">
        <v>2357</v>
      </c>
      <c r="H1652" t="s">
        <v>2358</v>
      </c>
      <c r="I1652" t="s">
        <v>2364</v>
      </c>
      <c r="J1652" s="8">
        <f t="shared" si="25"/>
        <v>28091</v>
      </c>
    </row>
    <row r="1653" spans="1:10" x14ac:dyDescent="0.35">
      <c r="A1653" t="s">
        <v>688</v>
      </c>
      <c r="B1653">
        <v>1959</v>
      </c>
      <c r="C1653" t="s">
        <v>2360</v>
      </c>
      <c r="D1653">
        <v>20</v>
      </c>
      <c r="E1653">
        <v>1</v>
      </c>
      <c r="F1653" s="10">
        <v>14474.68</v>
      </c>
      <c r="G1653" t="s">
        <v>2357</v>
      </c>
      <c r="H1653" t="s">
        <v>2357</v>
      </c>
      <c r="I1653" t="s">
        <v>2359</v>
      </c>
      <c r="J1653" s="8">
        <f t="shared" si="25"/>
        <v>21874</v>
      </c>
    </row>
    <row r="1654" spans="1:10" x14ac:dyDescent="0.35">
      <c r="A1654" t="s">
        <v>687</v>
      </c>
      <c r="B1654">
        <v>1979</v>
      </c>
      <c r="C1654" t="s">
        <v>2367</v>
      </c>
      <c r="D1654">
        <v>20</v>
      </c>
      <c r="E1654">
        <v>5</v>
      </c>
      <c r="F1654" s="10">
        <v>14478.33</v>
      </c>
      <c r="G1654" t="s">
        <v>2357</v>
      </c>
      <c r="H1654" t="s">
        <v>2357</v>
      </c>
      <c r="I1654" t="s">
        <v>2359</v>
      </c>
      <c r="J1654" s="8">
        <f t="shared" si="25"/>
        <v>29148</v>
      </c>
    </row>
    <row r="1655" spans="1:10" x14ac:dyDescent="0.35">
      <c r="A1655" t="s">
        <v>686</v>
      </c>
      <c r="B1655">
        <v>1989</v>
      </c>
      <c r="C1655" t="s">
        <v>2356</v>
      </c>
      <c r="D1655">
        <v>22</v>
      </c>
      <c r="E1655">
        <v>3</v>
      </c>
      <c r="F1655" s="10">
        <v>14507.46</v>
      </c>
      <c r="G1655" t="s">
        <v>2357</v>
      </c>
      <c r="H1655" t="s">
        <v>2358</v>
      </c>
      <c r="I1655" t="s">
        <v>2364</v>
      </c>
      <c r="J1655" s="8">
        <f t="shared" si="25"/>
        <v>32711</v>
      </c>
    </row>
    <row r="1656" spans="1:10" x14ac:dyDescent="0.35">
      <c r="A1656" t="s">
        <v>685</v>
      </c>
      <c r="B1656">
        <v>1989</v>
      </c>
      <c r="C1656" t="s">
        <v>2356</v>
      </c>
      <c r="D1656">
        <v>14</v>
      </c>
      <c r="E1656">
        <v>3</v>
      </c>
      <c r="F1656" s="10">
        <v>14547.26</v>
      </c>
      <c r="G1656" t="s">
        <v>2357</v>
      </c>
      <c r="H1656" t="s">
        <v>2358</v>
      </c>
      <c r="I1656" t="s">
        <v>2368</v>
      </c>
      <c r="J1656" s="8">
        <f t="shared" si="25"/>
        <v>32703</v>
      </c>
    </row>
    <row r="1657" spans="1:10" x14ac:dyDescent="0.35">
      <c r="A1657" t="s">
        <v>684</v>
      </c>
      <c r="B1657">
        <v>1998</v>
      </c>
      <c r="C1657" t="s">
        <v>2363</v>
      </c>
      <c r="D1657">
        <v>12</v>
      </c>
      <c r="E1657">
        <v>0</v>
      </c>
      <c r="F1657" s="10">
        <v>14571.89</v>
      </c>
      <c r="G1657" t="s">
        <v>2357</v>
      </c>
      <c r="H1657" t="s">
        <v>2361</v>
      </c>
      <c r="I1657" t="s">
        <v>2374</v>
      </c>
      <c r="J1657" s="8">
        <f t="shared" si="25"/>
        <v>36050</v>
      </c>
    </row>
    <row r="1658" spans="1:10" x14ac:dyDescent="0.35">
      <c r="A1658" t="s">
        <v>683</v>
      </c>
      <c r="B1658">
        <v>1962</v>
      </c>
      <c r="C1658" t="s">
        <v>2365</v>
      </c>
      <c r="D1658">
        <v>3</v>
      </c>
      <c r="E1658">
        <v>0</v>
      </c>
      <c r="F1658" s="10">
        <v>14574.64</v>
      </c>
      <c r="G1658" t="s">
        <v>2357</v>
      </c>
      <c r="H1658" t="s">
        <v>2361</v>
      </c>
      <c r="I1658" t="s">
        <v>2373</v>
      </c>
      <c r="J1658" s="8">
        <f t="shared" si="25"/>
        <v>22983</v>
      </c>
    </row>
    <row r="1659" spans="1:10" x14ac:dyDescent="0.35">
      <c r="A1659" t="s">
        <v>682</v>
      </c>
      <c r="B1659">
        <v>1963</v>
      </c>
      <c r="C1659" t="s">
        <v>2367</v>
      </c>
      <c r="D1659">
        <v>14</v>
      </c>
      <c r="E1659">
        <v>3</v>
      </c>
      <c r="F1659" s="10">
        <v>14590.63</v>
      </c>
      <c r="G1659" t="s">
        <v>2357</v>
      </c>
      <c r="H1659" t="s">
        <v>2361</v>
      </c>
      <c r="I1659" t="s">
        <v>2374</v>
      </c>
      <c r="J1659" s="8">
        <f t="shared" si="25"/>
        <v>23298</v>
      </c>
    </row>
    <row r="1660" spans="1:10" x14ac:dyDescent="0.35">
      <c r="A1660" t="s">
        <v>681</v>
      </c>
      <c r="B1660">
        <v>1967</v>
      </c>
      <c r="C1660" t="s">
        <v>2356</v>
      </c>
      <c r="D1660">
        <v>18</v>
      </c>
      <c r="E1660">
        <v>0</v>
      </c>
      <c r="F1660" s="10">
        <v>14600.62</v>
      </c>
      <c r="G1660" t="s">
        <v>2357</v>
      </c>
      <c r="H1660" t="s">
        <v>2358</v>
      </c>
      <c r="I1660" t="s">
        <v>2381</v>
      </c>
      <c r="J1660" s="8">
        <f t="shared" si="25"/>
        <v>24671</v>
      </c>
    </row>
    <row r="1661" spans="1:10" x14ac:dyDescent="0.35">
      <c r="A1661" t="s">
        <v>680</v>
      </c>
      <c r="B1661">
        <v>1965</v>
      </c>
      <c r="C1661" t="s">
        <v>2360</v>
      </c>
      <c r="D1661">
        <v>8</v>
      </c>
      <c r="E1661">
        <v>0</v>
      </c>
      <c r="F1661" s="10">
        <v>14612.33</v>
      </c>
      <c r="G1661" t="s">
        <v>2357</v>
      </c>
      <c r="H1661" t="s">
        <v>2358</v>
      </c>
      <c r="I1661" t="s">
        <v>2377</v>
      </c>
      <c r="J1661" s="8">
        <f t="shared" si="25"/>
        <v>24054</v>
      </c>
    </row>
    <row r="1662" spans="1:10" x14ac:dyDescent="0.35">
      <c r="A1662" t="s">
        <v>679</v>
      </c>
      <c r="B1662">
        <v>1991</v>
      </c>
      <c r="C1662" t="s">
        <v>2366</v>
      </c>
      <c r="D1662">
        <v>21</v>
      </c>
      <c r="E1662">
        <v>3</v>
      </c>
      <c r="F1662" s="10">
        <v>14630.52</v>
      </c>
      <c r="G1662" t="s">
        <v>2357</v>
      </c>
      <c r="H1662" t="s">
        <v>2358</v>
      </c>
      <c r="I1662" t="s">
        <v>2368</v>
      </c>
      <c r="J1662" s="8">
        <f t="shared" si="25"/>
        <v>33471</v>
      </c>
    </row>
    <row r="1663" spans="1:10" x14ac:dyDescent="0.35">
      <c r="A1663" t="s">
        <v>678</v>
      </c>
      <c r="B1663">
        <v>1967</v>
      </c>
      <c r="C1663" t="s">
        <v>2363</v>
      </c>
      <c r="D1663">
        <v>1</v>
      </c>
      <c r="E1663">
        <v>0</v>
      </c>
      <c r="F1663" s="10">
        <v>14640.35</v>
      </c>
      <c r="G1663" t="s">
        <v>2357</v>
      </c>
      <c r="H1663" t="s">
        <v>2358</v>
      </c>
      <c r="I1663" t="s">
        <v>2380</v>
      </c>
      <c r="J1663" s="8">
        <f t="shared" si="25"/>
        <v>24716</v>
      </c>
    </row>
    <row r="1664" spans="1:10" x14ac:dyDescent="0.35">
      <c r="A1664" t="s">
        <v>677</v>
      </c>
      <c r="B1664">
        <v>1981</v>
      </c>
      <c r="C1664" t="s">
        <v>2360</v>
      </c>
      <c r="D1664">
        <v>13</v>
      </c>
      <c r="E1664">
        <v>1</v>
      </c>
      <c r="F1664" s="10">
        <v>14657.2</v>
      </c>
      <c r="G1664" t="s">
        <v>2357</v>
      </c>
      <c r="H1664" t="s">
        <v>2361</v>
      </c>
      <c r="I1664" t="s">
        <v>2364</v>
      </c>
      <c r="J1664" s="8">
        <f t="shared" si="25"/>
        <v>29903</v>
      </c>
    </row>
    <row r="1665" spans="1:10" x14ac:dyDescent="0.35">
      <c r="A1665" t="s">
        <v>676</v>
      </c>
      <c r="B1665">
        <v>1969</v>
      </c>
      <c r="C1665" t="s">
        <v>2367</v>
      </c>
      <c r="D1665">
        <v>20</v>
      </c>
      <c r="E1665">
        <v>0</v>
      </c>
      <c r="F1665" s="10">
        <v>14665.75</v>
      </c>
      <c r="G1665" t="s">
        <v>2357</v>
      </c>
      <c r="H1665" t="s">
        <v>2361</v>
      </c>
      <c r="I1665" t="s">
        <v>2364</v>
      </c>
      <c r="J1665" s="8">
        <f t="shared" si="25"/>
        <v>25496</v>
      </c>
    </row>
    <row r="1666" spans="1:10" x14ac:dyDescent="0.35">
      <c r="A1666" t="s">
        <v>675</v>
      </c>
      <c r="B1666">
        <v>1958</v>
      </c>
      <c r="C1666" t="s">
        <v>2356</v>
      </c>
      <c r="D1666">
        <v>23</v>
      </c>
      <c r="E1666">
        <v>0</v>
      </c>
      <c r="F1666" s="10">
        <v>14692.67</v>
      </c>
      <c r="G1666" t="s">
        <v>2357</v>
      </c>
      <c r="H1666" t="s">
        <v>2361</v>
      </c>
      <c r="I1666" t="s">
        <v>2364</v>
      </c>
      <c r="J1666" s="8">
        <f t="shared" si="25"/>
        <v>21389</v>
      </c>
    </row>
    <row r="1667" spans="1:10" x14ac:dyDescent="0.35">
      <c r="A1667" t="s">
        <v>674</v>
      </c>
      <c r="B1667">
        <v>1982</v>
      </c>
      <c r="C1667" t="s">
        <v>2363</v>
      </c>
      <c r="D1667">
        <v>4</v>
      </c>
      <c r="E1667">
        <v>3</v>
      </c>
      <c r="F1667" s="10">
        <v>14696.77</v>
      </c>
      <c r="G1667" t="s">
        <v>2357</v>
      </c>
      <c r="H1667" t="s">
        <v>2357</v>
      </c>
      <c r="I1667" t="s">
        <v>2368</v>
      </c>
      <c r="J1667" s="8">
        <f t="shared" ref="J1667:J1730" si="26">DATE(B1667,MONTH(1&amp;C1667),D1667)</f>
        <v>30198</v>
      </c>
    </row>
    <row r="1668" spans="1:10" x14ac:dyDescent="0.35">
      <c r="A1668" t="s">
        <v>673</v>
      </c>
      <c r="B1668">
        <v>2002</v>
      </c>
      <c r="C1668" t="s">
        <v>2363</v>
      </c>
      <c r="D1668">
        <v>24</v>
      </c>
      <c r="E1668">
        <v>0</v>
      </c>
      <c r="F1668" s="10">
        <v>14711.74</v>
      </c>
      <c r="G1668" t="s">
        <v>2357</v>
      </c>
      <c r="H1668" t="s">
        <v>2357</v>
      </c>
      <c r="I1668" t="s">
        <v>2364</v>
      </c>
      <c r="J1668" s="8">
        <f t="shared" si="26"/>
        <v>37523</v>
      </c>
    </row>
    <row r="1669" spans="1:10" x14ac:dyDescent="0.35">
      <c r="A1669" t="s">
        <v>672</v>
      </c>
      <c r="B1669">
        <v>1962</v>
      </c>
      <c r="C1669" t="s">
        <v>2356</v>
      </c>
      <c r="D1669">
        <v>29</v>
      </c>
      <c r="E1669">
        <v>0</v>
      </c>
      <c r="F1669" s="10">
        <v>14738.43</v>
      </c>
      <c r="G1669" t="s">
        <v>2357</v>
      </c>
      <c r="H1669" t="s">
        <v>2358</v>
      </c>
      <c r="I1669" t="s">
        <v>2377</v>
      </c>
      <c r="J1669" s="8">
        <f t="shared" si="26"/>
        <v>22856</v>
      </c>
    </row>
    <row r="1670" spans="1:10" x14ac:dyDescent="0.35">
      <c r="A1670" t="s">
        <v>671</v>
      </c>
      <c r="B1670">
        <v>1965</v>
      </c>
      <c r="C1670" t="s">
        <v>2356</v>
      </c>
      <c r="D1670">
        <v>27</v>
      </c>
      <c r="E1670">
        <v>0</v>
      </c>
      <c r="F1670" s="10">
        <v>14750.42</v>
      </c>
      <c r="G1670" t="s">
        <v>2357</v>
      </c>
      <c r="H1670" t="s">
        <v>2357</v>
      </c>
      <c r="I1670" t="s">
        <v>2380</v>
      </c>
      <c r="J1670" s="8">
        <f t="shared" si="26"/>
        <v>23950</v>
      </c>
    </row>
    <row r="1671" spans="1:10" x14ac:dyDescent="0.35">
      <c r="A1671" t="s">
        <v>670</v>
      </c>
      <c r="B1671">
        <v>1975</v>
      </c>
      <c r="C1671" t="s">
        <v>2365</v>
      </c>
      <c r="D1671">
        <v>10</v>
      </c>
      <c r="E1671">
        <v>1</v>
      </c>
      <c r="F1671" s="10">
        <v>14819</v>
      </c>
      <c r="G1671" t="s">
        <v>2357</v>
      </c>
      <c r="H1671" t="s">
        <v>2358</v>
      </c>
      <c r="I1671" t="s">
        <v>2375</v>
      </c>
      <c r="J1671" s="8">
        <f t="shared" si="26"/>
        <v>27738</v>
      </c>
    </row>
    <row r="1672" spans="1:10" x14ac:dyDescent="0.35">
      <c r="A1672" t="s">
        <v>669</v>
      </c>
      <c r="B1672">
        <v>1979</v>
      </c>
      <c r="C1672" t="s">
        <v>2367</v>
      </c>
      <c r="D1672">
        <v>18</v>
      </c>
      <c r="E1672">
        <v>2</v>
      </c>
      <c r="F1672" s="10">
        <v>14839.34</v>
      </c>
      <c r="G1672" t="s">
        <v>2357</v>
      </c>
      <c r="H1672" t="s">
        <v>2358</v>
      </c>
      <c r="I1672" t="s">
        <v>2380</v>
      </c>
      <c r="J1672" s="8">
        <f t="shared" si="26"/>
        <v>29146</v>
      </c>
    </row>
    <row r="1673" spans="1:10" x14ac:dyDescent="0.35">
      <c r="A1673" t="s">
        <v>668</v>
      </c>
      <c r="B1673">
        <v>1981</v>
      </c>
      <c r="C1673" t="s">
        <v>2362</v>
      </c>
      <c r="D1673">
        <v>5</v>
      </c>
      <c r="E1673">
        <v>1</v>
      </c>
      <c r="F1673" s="10">
        <v>14843.96</v>
      </c>
      <c r="G1673" t="s">
        <v>2357</v>
      </c>
      <c r="H1673" t="s">
        <v>2358</v>
      </c>
      <c r="I1673" t="s">
        <v>2380</v>
      </c>
      <c r="J1673" s="8">
        <f t="shared" si="26"/>
        <v>29742</v>
      </c>
    </row>
    <row r="1674" spans="1:10" x14ac:dyDescent="0.35">
      <c r="A1674" t="s">
        <v>667</v>
      </c>
      <c r="B1674">
        <v>1970</v>
      </c>
      <c r="C1674" t="s">
        <v>2360</v>
      </c>
      <c r="D1674">
        <v>11</v>
      </c>
      <c r="E1674">
        <v>0</v>
      </c>
      <c r="F1674" s="10">
        <v>14847.63</v>
      </c>
      <c r="G1674" t="s">
        <v>2357</v>
      </c>
      <c r="H1674" t="s">
        <v>2357</v>
      </c>
      <c r="I1674" t="s">
        <v>2375</v>
      </c>
      <c r="J1674" s="8">
        <f t="shared" si="26"/>
        <v>25883</v>
      </c>
    </row>
    <row r="1675" spans="1:10" x14ac:dyDescent="0.35">
      <c r="A1675" t="s">
        <v>666</v>
      </c>
      <c r="B1675">
        <v>1958</v>
      </c>
      <c r="C1675" t="s">
        <v>2367</v>
      </c>
      <c r="D1675">
        <v>17</v>
      </c>
      <c r="E1675">
        <v>0</v>
      </c>
      <c r="F1675" s="10">
        <v>14901.52</v>
      </c>
      <c r="G1675" t="s">
        <v>2357</v>
      </c>
      <c r="H1675" t="s">
        <v>2357</v>
      </c>
      <c r="I1675" t="s">
        <v>2374</v>
      </c>
      <c r="J1675" s="8">
        <f t="shared" si="26"/>
        <v>21475</v>
      </c>
    </row>
    <row r="1676" spans="1:10" x14ac:dyDescent="0.35">
      <c r="A1676" t="s">
        <v>665</v>
      </c>
      <c r="B1676">
        <v>1981</v>
      </c>
      <c r="C1676" t="s">
        <v>2356</v>
      </c>
      <c r="D1676">
        <v>4</v>
      </c>
      <c r="E1676">
        <v>1</v>
      </c>
      <c r="F1676" s="10">
        <v>14908.27</v>
      </c>
      <c r="G1676" t="s">
        <v>2357</v>
      </c>
      <c r="H1676" t="s">
        <v>2361</v>
      </c>
      <c r="I1676" t="s">
        <v>2368</v>
      </c>
      <c r="J1676" s="8">
        <f t="shared" si="26"/>
        <v>29771</v>
      </c>
    </row>
    <row r="1677" spans="1:10" x14ac:dyDescent="0.35">
      <c r="A1677" t="s">
        <v>664</v>
      </c>
      <c r="B1677">
        <v>1968</v>
      </c>
      <c r="C1677" t="s">
        <v>2360</v>
      </c>
      <c r="D1677">
        <v>8</v>
      </c>
      <c r="E1677">
        <v>0</v>
      </c>
      <c r="F1677" s="10">
        <v>14926.97</v>
      </c>
      <c r="G1677" t="s">
        <v>2357</v>
      </c>
      <c r="H1677" t="s">
        <v>2357</v>
      </c>
      <c r="I1677" t="s">
        <v>2364</v>
      </c>
      <c r="J1677" s="8">
        <f t="shared" si="26"/>
        <v>25150</v>
      </c>
    </row>
    <row r="1678" spans="1:10" x14ac:dyDescent="0.35">
      <c r="A1678" t="s">
        <v>663</v>
      </c>
      <c r="B1678">
        <v>1962</v>
      </c>
      <c r="C1678" t="s">
        <v>2360</v>
      </c>
      <c r="D1678">
        <v>29</v>
      </c>
      <c r="E1678">
        <v>0</v>
      </c>
      <c r="F1678" s="10">
        <v>14945.34</v>
      </c>
      <c r="G1678" t="s">
        <v>2357</v>
      </c>
      <c r="H1678" t="s">
        <v>2361</v>
      </c>
      <c r="I1678" t="s">
        <v>2377</v>
      </c>
      <c r="J1678" s="8">
        <f t="shared" si="26"/>
        <v>22979</v>
      </c>
    </row>
    <row r="1679" spans="1:10" x14ac:dyDescent="0.35">
      <c r="A1679" t="s">
        <v>662</v>
      </c>
      <c r="B1679">
        <v>1958</v>
      </c>
      <c r="C1679" t="s">
        <v>2356</v>
      </c>
      <c r="D1679">
        <v>29</v>
      </c>
      <c r="E1679">
        <v>2</v>
      </c>
      <c r="F1679" s="10">
        <v>14988.43</v>
      </c>
      <c r="G1679" t="s">
        <v>2357</v>
      </c>
      <c r="H1679" t="s">
        <v>2358</v>
      </c>
      <c r="I1679" t="s">
        <v>2368</v>
      </c>
      <c r="J1679" s="8">
        <f t="shared" si="26"/>
        <v>21395</v>
      </c>
    </row>
    <row r="1680" spans="1:10" x14ac:dyDescent="0.35">
      <c r="A1680" t="s">
        <v>661</v>
      </c>
      <c r="B1680">
        <v>1995</v>
      </c>
      <c r="C1680" t="s">
        <v>2366</v>
      </c>
      <c r="D1680">
        <v>2</v>
      </c>
      <c r="E1680">
        <v>2</v>
      </c>
      <c r="F1680" s="10">
        <v>15006.58</v>
      </c>
      <c r="G1680" t="s">
        <v>2357</v>
      </c>
      <c r="H1680" t="s">
        <v>2357</v>
      </c>
      <c r="I1680" t="s">
        <v>2374</v>
      </c>
      <c r="J1680" s="8">
        <f t="shared" si="26"/>
        <v>34913</v>
      </c>
    </row>
    <row r="1681" spans="1:10" x14ac:dyDescent="0.35">
      <c r="A1681" t="s">
        <v>660</v>
      </c>
      <c r="B1681">
        <v>1960</v>
      </c>
      <c r="C1681" t="s">
        <v>2366</v>
      </c>
      <c r="D1681">
        <v>8</v>
      </c>
      <c r="E1681">
        <v>2</v>
      </c>
      <c r="F1681" s="10">
        <v>15019.76</v>
      </c>
      <c r="G1681" t="s">
        <v>2357</v>
      </c>
      <c r="H1681" t="s">
        <v>2357</v>
      </c>
      <c r="I1681" t="s">
        <v>2364</v>
      </c>
      <c r="J1681" s="8">
        <f t="shared" si="26"/>
        <v>22136</v>
      </c>
    </row>
    <row r="1682" spans="1:10" x14ac:dyDescent="0.35">
      <c r="A1682" t="s">
        <v>659</v>
      </c>
      <c r="B1682">
        <v>1979</v>
      </c>
      <c r="C1682" t="s">
        <v>2360</v>
      </c>
      <c r="D1682">
        <v>25</v>
      </c>
      <c r="E1682">
        <v>2</v>
      </c>
      <c r="F1682" s="10">
        <v>15025.76</v>
      </c>
      <c r="G1682" t="s">
        <v>2357</v>
      </c>
      <c r="H1682" t="s">
        <v>2361</v>
      </c>
      <c r="I1682" t="s">
        <v>2368</v>
      </c>
      <c r="J1682" s="8">
        <f t="shared" si="26"/>
        <v>29184</v>
      </c>
    </row>
    <row r="1683" spans="1:10" x14ac:dyDescent="0.35">
      <c r="A1683" t="s">
        <v>658</v>
      </c>
      <c r="B1683">
        <v>1970</v>
      </c>
      <c r="C1683" t="s">
        <v>2363</v>
      </c>
      <c r="D1683">
        <v>11</v>
      </c>
      <c r="E1683">
        <v>0</v>
      </c>
      <c r="F1683" s="10">
        <v>15026.3</v>
      </c>
      <c r="G1683" t="s">
        <v>2357</v>
      </c>
      <c r="H1683" t="s">
        <v>2358</v>
      </c>
      <c r="I1683" t="s">
        <v>2368</v>
      </c>
      <c r="J1683" s="8">
        <f t="shared" si="26"/>
        <v>25822</v>
      </c>
    </row>
    <row r="1684" spans="1:10" x14ac:dyDescent="0.35">
      <c r="A1684" t="s">
        <v>657</v>
      </c>
      <c r="B1684">
        <v>1971</v>
      </c>
      <c r="C1684" t="s">
        <v>2366</v>
      </c>
      <c r="D1684">
        <v>15</v>
      </c>
      <c r="E1684">
        <v>0</v>
      </c>
      <c r="F1684" s="10">
        <v>15038.51</v>
      </c>
      <c r="G1684" t="s">
        <v>2357</v>
      </c>
      <c r="H1684" t="s">
        <v>2358</v>
      </c>
      <c r="I1684" t="s">
        <v>2375</v>
      </c>
      <c r="J1684" s="8">
        <f t="shared" si="26"/>
        <v>26160</v>
      </c>
    </row>
    <row r="1685" spans="1:10" x14ac:dyDescent="0.35">
      <c r="A1685" t="s">
        <v>656</v>
      </c>
      <c r="B1685">
        <v>1968</v>
      </c>
      <c r="C1685" t="s">
        <v>2362</v>
      </c>
      <c r="D1685">
        <v>12</v>
      </c>
      <c r="E1685">
        <v>0</v>
      </c>
      <c r="F1685" s="10">
        <v>15052.68</v>
      </c>
      <c r="G1685" t="s">
        <v>2357</v>
      </c>
      <c r="H1685" t="s">
        <v>2357</v>
      </c>
      <c r="I1685" t="s">
        <v>2381</v>
      </c>
      <c r="J1685" s="8">
        <f t="shared" si="26"/>
        <v>25001</v>
      </c>
    </row>
    <row r="1686" spans="1:10" x14ac:dyDescent="0.35">
      <c r="A1686" t="s">
        <v>655</v>
      </c>
      <c r="B1686">
        <v>1975</v>
      </c>
      <c r="C1686" t="s">
        <v>2367</v>
      </c>
      <c r="D1686">
        <v>26</v>
      </c>
      <c r="E1686">
        <v>1</v>
      </c>
      <c r="F1686" s="10">
        <v>15090.35</v>
      </c>
      <c r="G1686" t="s">
        <v>2357</v>
      </c>
      <c r="H1686" t="s">
        <v>2361</v>
      </c>
      <c r="I1686" t="s">
        <v>2375</v>
      </c>
      <c r="J1686" s="8">
        <f t="shared" si="26"/>
        <v>27693</v>
      </c>
    </row>
    <row r="1687" spans="1:10" x14ac:dyDescent="0.35">
      <c r="A1687" t="s">
        <v>654</v>
      </c>
      <c r="B1687">
        <v>1972</v>
      </c>
      <c r="C1687" t="s">
        <v>2360</v>
      </c>
      <c r="D1687">
        <v>7</v>
      </c>
      <c r="E1687">
        <v>0</v>
      </c>
      <c r="F1687" s="10">
        <v>15103.69</v>
      </c>
      <c r="G1687" t="s">
        <v>2357</v>
      </c>
      <c r="H1687" t="s">
        <v>2361</v>
      </c>
      <c r="I1687" t="s">
        <v>2364</v>
      </c>
      <c r="J1687" s="8">
        <f t="shared" si="26"/>
        <v>26610</v>
      </c>
    </row>
    <row r="1688" spans="1:10" x14ac:dyDescent="0.35">
      <c r="A1688" t="s">
        <v>653</v>
      </c>
      <c r="B1688">
        <v>1978</v>
      </c>
      <c r="C1688" t="s">
        <v>2363</v>
      </c>
      <c r="D1688">
        <v>5</v>
      </c>
      <c r="E1688">
        <v>2</v>
      </c>
      <c r="F1688" s="10">
        <v>15123.19</v>
      </c>
      <c r="G1688" t="s">
        <v>2357</v>
      </c>
      <c r="H1688" t="s">
        <v>2361</v>
      </c>
      <c r="I1688" t="s">
        <v>2368</v>
      </c>
      <c r="J1688" s="8">
        <f t="shared" si="26"/>
        <v>28738</v>
      </c>
    </row>
    <row r="1689" spans="1:10" x14ac:dyDescent="0.35">
      <c r="A1689" t="s">
        <v>652</v>
      </c>
      <c r="B1689">
        <v>1971</v>
      </c>
      <c r="C1689" t="s">
        <v>2360</v>
      </c>
      <c r="D1689">
        <v>25</v>
      </c>
      <c r="E1689">
        <v>0</v>
      </c>
      <c r="F1689" s="10">
        <v>15150.44</v>
      </c>
      <c r="G1689" t="s">
        <v>2357</v>
      </c>
      <c r="H1689" t="s">
        <v>2361</v>
      </c>
      <c r="I1689" t="s">
        <v>2375</v>
      </c>
      <c r="J1689" s="8">
        <f t="shared" si="26"/>
        <v>26262</v>
      </c>
    </row>
    <row r="1690" spans="1:10" x14ac:dyDescent="0.35">
      <c r="A1690" t="s">
        <v>651</v>
      </c>
      <c r="B1690">
        <v>1962</v>
      </c>
      <c r="C1690" t="s">
        <v>2367</v>
      </c>
      <c r="D1690">
        <v>25</v>
      </c>
      <c r="E1690">
        <v>0</v>
      </c>
      <c r="F1690" s="10">
        <v>15161.25</v>
      </c>
      <c r="G1690" t="s">
        <v>2357</v>
      </c>
      <c r="H1690" t="s">
        <v>2357</v>
      </c>
      <c r="I1690" t="s">
        <v>2364</v>
      </c>
      <c r="J1690" s="8">
        <f t="shared" si="26"/>
        <v>22944</v>
      </c>
    </row>
    <row r="1691" spans="1:10" x14ac:dyDescent="0.35">
      <c r="A1691" t="s">
        <v>650</v>
      </c>
      <c r="B1691">
        <v>1959</v>
      </c>
      <c r="C1691" t="s">
        <v>2362</v>
      </c>
      <c r="D1691">
        <v>4</v>
      </c>
      <c r="E1691">
        <v>3</v>
      </c>
      <c r="F1691" s="10">
        <v>15161.53</v>
      </c>
      <c r="G1691" t="s">
        <v>2357</v>
      </c>
      <c r="H1691" t="s">
        <v>2361</v>
      </c>
      <c r="I1691" t="s">
        <v>2359</v>
      </c>
      <c r="J1691" s="8">
        <f t="shared" si="26"/>
        <v>21705</v>
      </c>
    </row>
    <row r="1692" spans="1:10" x14ac:dyDescent="0.35">
      <c r="A1692" t="s">
        <v>649</v>
      </c>
      <c r="B1692">
        <v>1959</v>
      </c>
      <c r="C1692" t="s">
        <v>2365</v>
      </c>
      <c r="D1692">
        <v>3</v>
      </c>
      <c r="E1692">
        <v>3</v>
      </c>
      <c r="F1692" s="10">
        <v>15170.07</v>
      </c>
      <c r="G1692" t="s">
        <v>2357</v>
      </c>
      <c r="H1692" t="s">
        <v>2358</v>
      </c>
      <c r="I1692" t="s">
        <v>2368</v>
      </c>
      <c r="J1692" s="8">
        <f t="shared" si="26"/>
        <v>21887</v>
      </c>
    </row>
    <row r="1693" spans="1:10" x14ac:dyDescent="0.35">
      <c r="A1693" t="s">
        <v>648</v>
      </c>
      <c r="B1693">
        <v>1962</v>
      </c>
      <c r="C1693" t="s">
        <v>2362</v>
      </c>
      <c r="D1693">
        <v>17</v>
      </c>
      <c r="E1693">
        <v>0</v>
      </c>
      <c r="F1693" s="10">
        <v>15174.81</v>
      </c>
      <c r="G1693" t="s">
        <v>2357</v>
      </c>
      <c r="H1693" t="s">
        <v>2361</v>
      </c>
      <c r="I1693" t="s">
        <v>2364</v>
      </c>
      <c r="J1693" s="8">
        <f t="shared" si="26"/>
        <v>22814</v>
      </c>
    </row>
    <row r="1694" spans="1:10" x14ac:dyDescent="0.35">
      <c r="A1694" t="s">
        <v>647</v>
      </c>
      <c r="B1694">
        <v>1978</v>
      </c>
      <c r="C1694" t="s">
        <v>2360</v>
      </c>
      <c r="D1694">
        <v>23</v>
      </c>
      <c r="E1694">
        <v>2</v>
      </c>
      <c r="F1694" s="10">
        <v>15207.92</v>
      </c>
      <c r="G1694" t="s">
        <v>2357</v>
      </c>
      <c r="H1694" t="s">
        <v>2361</v>
      </c>
      <c r="I1694" t="s">
        <v>2364</v>
      </c>
      <c r="J1694" s="8">
        <f t="shared" si="26"/>
        <v>28817</v>
      </c>
    </row>
    <row r="1695" spans="1:10" x14ac:dyDescent="0.35">
      <c r="A1695" t="s">
        <v>646</v>
      </c>
      <c r="B1695">
        <v>1960</v>
      </c>
      <c r="C1695" t="s">
        <v>2356</v>
      </c>
      <c r="D1695">
        <v>25</v>
      </c>
      <c r="E1695">
        <v>2</v>
      </c>
      <c r="F1695" s="10">
        <v>15230.32</v>
      </c>
      <c r="G1695" t="s">
        <v>2357</v>
      </c>
      <c r="H1695" t="s">
        <v>2357</v>
      </c>
      <c r="I1695" t="s">
        <v>2374</v>
      </c>
      <c r="J1695" s="8">
        <f t="shared" si="26"/>
        <v>22122</v>
      </c>
    </row>
    <row r="1696" spans="1:10" x14ac:dyDescent="0.35">
      <c r="A1696" t="s">
        <v>645</v>
      </c>
      <c r="B1696">
        <v>1969</v>
      </c>
      <c r="C1696" t="s">
        <v>2363</v>
      </c>
      <c r="D1696">
        <v>16</v>
      </c>
      <c r="E1696">
        <v>0</v>
      </c>
      <c r="F1696" s="10">
        <v>15260.52</v>
      </c>
      <c r="G1696" t="s">
        <v>2357</v>
      </c>
      <c r="H1696" t="s">
        <v>2357</v>
      </c>
      <c r="I1696" t="s">
        <v>2375</v>
      </c>
      <c r="J1696" s="8">
        <f t="shared" si="26"/>
        <v>25462</v>
      </c>
    </row>
    <row r="1697" spans="1:10" x14ac:dyDescent="0.35">
      <c r="A1697" t="s">
        <v>644</v>
      </c>
      <c r="B1697">
        <v>1963</v>
      </c>
      <c r="C1697" t="s">
        <v>2365</v>
      </c>
      <c r="D1697">
        <v>13</v>
      </c>
      <c r="E1697">
        <v>0</v>
      </c>
      <c r="F1697" s="10">
        <v>15322.77</v>
      </c>
      <c r="G1697" t="s">
        <v>2357</v>
      </c>
      <c r="H1697" t="s">
        <v>2358</v>
      </c>
      <c r="I1697" t="s">
        <v>2377</v>
      </c>
      <c r="J1697" s="8">
        <f t="shared" si="26"/>
        <v>23358</v>
      </c>
    </row>
    <row r="1698" spans="1:10" x14ac:dyDescent="0.35">
      <c r="A1698" t="s">
        <v>643</v>
      </c>
      <c r="B1698">
        <v>2001</v>
      </c>
      <c r="C1698" t="s">
        <v>2356</v>
      </c>
      <c r="D1698">
        <v>14</v>
      </c>
      <c r="E1698">
        <v>1</v>
      </c>
      <c r="F1698" s="10">
        <v>15359.1</v>
      </c>
      <c r="G1698" t="s">
        <v>2357</v>
      </c>
      <c r="H1698" t="s">
        <v>2358</v>
      </c>
      <c r="I1698" t="s">
        <v>2374</v>
      </c>
      <c r="J1698" s="8">
        <f t="shared" si="26"/>
        <v>37086</v>
      </c>
    </row>
    <row r="1699" spans="1:10" x14ac:dyDescent="0.35">
      <c r="A1699" t="s">
        <v>642</v>
      </c>
      <c r="B1699">
        <v>1988</v>
      </c>
      <c r="C1699" t="s">
        <v>2365</v>
      </c>
      <c r="D1699">
        <v>17</v>
      </c>
      <c r="E1699">
        <v>3</v>
      </c>
      <c r="F1699" s="10">
        <v>15361.5</v>
      </c>
      <c r="G1699" t="s">
        <v>2357</v>
      </c>
      <c r="H1699" t="s">
        <v>2358</v>
      </c>
      <c r="I1699" t="s">
        <v>2375</v>
      </c>
      <c r="J1699" s="8">
        <f t="shared" si="26"/>
        <v>32494</v>
      </c>
    </row>
    <row r="1700" spans="1:10" x14ac:dyDescent="0.35">
      <c r="A1700" t="s">
        <v>641</v>
      </c>
      <c r="B1700">
        <v>1968</v>
      </c>
      <c r="C1700" t="s">
        <v>2356</v>
      </c>
      <c r="D1700">
        <v>18</v>
      </c>
      <c r="E1700">
        <v>0</v>
      </c>
      <c r="F1700" s="10">
        <v>15363.77</v>
      </c>
      <c r="G1700" t="s">
        <v>2357</v>
      </c>
      <c r="H1700" t="s">
        <v>2361</v>
      </c>
      <c r="I1700" t="s">
        <v>2380</v>
      </c>
      <c r="J1700" s="8">
        <f t="shared" si="26"/>
        <v>25037</v>
      </c>
    </row>
    <row r="1701" spans="1:10" x14ac:dyDescent="0.35">
      <c r="A1701" t="s">
        <v>640</v>
      </c>
      <c r="B1701">
        <v>1962</v>
      </c>
      <c r="C1701" t="s">
        <v>2363</v>
      </c>
      <c r="D1701">
        <v>6</v>
      </c>
      <c r="E1701">
        <v>0</v>
      </c>
      <c r="F1701" s="10">
        <v>15368.22</v>
      </c>
      <c r="G1701" t="s">
        <v>2357</v>
      </c>
      <c r="H1701" t="s">
        <v>2357</v>
      </c>
      <c r="I1701" t="s">
        <v>2368</v>
      </c>
      <c r="J1701" s="8">
        <f t="shared" si="26"/>
        <v>22895</v>
      </c>
    </row>
    <row r="1702" spans="1:10" x14ac:dyDescent="0.35">
      <c r="A1702" t="s">
        <v>639</v>
      </c>
      <c r="B1702">
        <v>1964</v>
      </c>
      <c r="C1702" t="s">
        <v>2363</v>
      </c>
      <c r="D1702">
        <v>4</v>
      </c>
      <c r="E1702">
        <v>0</v>
      </c>
      <c r="F1702" s="10">
        <v>15377.77</v>
      </c>
      <c r="G1702" t="s">
        <v>2357</v>
      </c>
      <c r="H1702" t="s">
        <v>2357</v>
      </c>
      <c r="I1702" t="s">
        <v>2364</v>
      </c>
      <c r="J1702" s="8">
        <f t="shared" si="26"/>
        <v>23624</v>
      </c>
    </row>
    <row r="1703" spans="1:10" x14ac:dyDescent="0.35">
      <c r="A1703" t="s">
        <v>638</v>
      </c>
      <c r="B1703">
        <v>1990</v>
      </c>
      <c r="C1703" t="s">
        <v>2367</v>
      </c>
      <c r="D1703">
        <v>25</v>
      </c>
      <c r="E1703">
        <v>3</v>
      </c>
      <c r="F1703" s="10">
        <v>15440.2</v>
      </c>
      <c r="G1703" t="s">
        <v>2357</v>
      </c>
      <c r="H1703" t="s">
        <v>2361</v>
      </c>
      <c r="I1703" t="s">
        <v>2364</v>
      </c>
      <c r="J1703" s="8">
        <f t="shared" si="26"/>
        <v>33171</v>
      </c>
    </row>
    <row r="1704" spans="1:10" x14ac:dyDescent="0.35">
      <c r="A1704" t="s">
        <v>637</v>
      </c>
      <c r="B1704">
        <v>1976</v>
      </c>
      <c r="C1704" t="s">
        <v>2356</v>
      </c>
      <c r="D1704">
        <v>20</v>
      </c>
      <c r="E1704">
        <v>2</v>
      </c>
      <c r="F1704" s="10">
        <v>15450.48</v>
      </c>
      <c r="G1704" t="s">
        <v>2357</v>
      </c>
      <c r="H1704" t="s">
        <v>2361</v>
      </c>
      <c r="I1704" t="s">
        <v>2380</v>
      </c>
      <c r="J1704" s="8">
        <f t="shared" si="26"/>
        <v>27961</v>
      </c>
    </row>
    <row r="1705" spans="1:10" x14ac:dyDescent="0.35">
      <c r="A1705" t="s">
        <v>636</v>
      </c>
      <c r="B1705">
        <v>2004</v>
      </c>
      <c r="C1705" t="s">
        <v>2356</v>
      </c>
      <c r="D1705">
        <v>17</v>
      </c>
      <c r="E1705">
        <v>0</v>
      </c>
      <c r="F1705" s="10">
        <v>15518.18</v>
      </c>
      <c r="G1705" t="s">
        <v>2357</v>
      </c>
      <c r="H1705" t="s">
        <v>2358</v>
      </c>
      <c r="I1705" t="s">
        <v>2369</v>
      </c>
      <c r="J1705" s="8">
        <f t="shared" si="26"/>
        <v>38185</v>
      </c>
    </row>
    <row r="1706" spans="1:10" x14ac:dyDescent="0.35">
      <c r="A1706" t="s">
        <v>635</v>
      </c>
      <c r="B1706">
        <v>1974</v>
      </c>
      <c r="C1706" t="s">
        <v>2362</v>
      </c>
      <c r="D1706">
        <v>28</v>
      </c>
      <c r="E1706">
        <v>0</v>
      </c>
      <c r="F1706" s="10">
        <v>15532.16</v>
      </c>
      <c r="G1706" t="s">
        <v>2357</v>
      </c>
      <c r="H1706" t="s">
        <v>2357</v>
      </c>
      <c r="I1706" t="s">
        <v>2380</v>
      </c>
      <c r="J1706" s="8">
        <f t="shared" si="26"/>
        <v>27208</v>
      </c>
    </row>
    <row r="1707" spans="1:10" x14ac:dyDescent="0.35">
      <c r="A1707" t="s">
        <v>634</v>
      </c>
      <c r="B1707">
        <v>1959</v>
      </c>
      <c r="C1707" t="s">
        <v>2367</v>
      </c>
      <c r="D1707">
        <v>2</v>
      </c>
      <c r="E1707">
        <v>3</v>
      </c>
      <c r="F1707" s="10">
        <v>15555.19</v>
      </c>
      <c r="G1707" t="s">
        <v>2357</v>
      </c>
      <c r="H1707" t="s">
        <v>2358</v>
      </c>
      <c r="I1707" t="s">
        <v>2364</v>
      </c>
      <c r="J1707" s="8">
        <f t="shared" si="26"/>
        <v>21825</v>
      </c>
    </row>
    <row r="1708" spans="1:10" x14ac:dyDescent="0.35">
      <c r="A1708" t="s">
        <v>633</v>
      </c>
      <c r="B1708">
        <v>1974</v>
      </c>
      <c r="C1708" t="s">
        <v>2356</v>
      </c>
      <c r="D1708">
        <v>30</v>
      </c>
      <c r="E1708">
        <v>0</v>
      </c>
      <c r="F1708" s="10">
        <v>15556.67</v>
      </c>
      <c r="G1708" t="s">
        <v>2357</v>
      </c>
      <c r="H1708" t="s">
        <v>2357</v>
      </c>
      <c r="I1708" t="s">
        <v>2364</v>
      </c>
      <c r="J1708" s="8">
        <f t="shared" si="26"/>
        <v>27240</v>
      </c>
    </row>
    <row r="1709" spans="1:10" x14ac:dyDescent="0.35">
      <c r="A1709" t="s">
        <v>632</v>
      </c>
      <c r="B1709">
        <v>1965</v>
      </c>
      <c r="C1709" t="s">
        <v>2367</v>
      </c>
      <c r="D1709">
        <v>28</v>
      </c>
      <c r="E1709">
        <v>0</v>
      </c>
      <c r="F1709" s="10">
        <v>15608.58</v>
      </c>
      <c r="G1709" t="s">
        <v>2357</v>
      </c>
      <c r="H1709" t="s">
        <v>2357</v>
      </c>
      <c r="I1709" t="s">
        <v>2380</v>
      </c>
      <c r="J1709" s="8">
        <f t="shared" si="26"/>
        <v>24043</v>
      </c>
    </row>
    <row r="1710" spans="1:10" x14ac:dyDescent="0.35">
      <c r="A1710" t="s">
        <v>631</v>
      </c>
      <c r="B1710">
        <v>1960</v>
      </c>
      <c r="C1710" t="s">
        <v>2362</v>
      </c>
      <c r="D1710">
        <v>6</v>
      </c>
      <c r="E1710">
        <v>3</v>
      </c>
      <c r="F1710" s="10">
        <v>15612.19</v>
      </c>
      <c r="G1710" t="s">
        <v>2357</v>
      </c>
      <c r="H1710" t="s">
        <v>2357</v>
      </c>
      <c r="I1710" t="s">
        <v>2364</v>
      </c>
      <c r="J1710" s="8">
        <f t="shared" si="26"/>
        <v>22073</v>
      </c>
    </row>
    <row r="1711" spans="1:10" x14ac:dyDescent="0.35">
      <c r="A1711" t="s">
        <v>630</v>
      </c>
      <c r="B1711">
        <v>1988</v>
      </c>
      <c r="C1711" t="s">
        <v>2365</v>
      </c>
      <c r="D1711">
        <v>22</v>
      </c>
      <c r="E1711">
        <v>3</v>
      </c>
      <c r="F1711" s="10">
        <v>15646.28</v>
      </c>
      <c r="G1711" t="s">
        <v>2357</v>
      </c>
      <c r="H1711" t="s">
        <v>2357</v>
      </c>
      <c r="I1711" t="s">
        <v>2368</v>
      </c>
      <c r="J1711" s="8">
        <f t="shared" si="26"/>
        <v>32499</v>
      </c>
    </row>
    <row r="1712" spans="1:10" x14ac:dyDescent="0.35">
      <c r="A1712" t="s">
        <v>629</v>
      </c>
      <c r="B1712">
        <v>1973</v>
      </c>
      <c r="C1712" t="s">
        <v>2362</v>
      </c>
      <c r="D1712">
        <v>26</v>
      </c>
      <c r="E1712">
        <v>0</v>
      </c>
      <c r="F1712" s="10">
        <v>15670.3</v>
      </c>
      <c r="G1712" t="s">
        <v>2357</v>
      </c>
      <c r="H1712" t="s">
        <v>2357</v>
      </c>
      <c r="I1712" t="s">
        <v>2380</v>
      </c>
      <c r="J1712" s="8">
        <f t="shared" si="26"/>
        <v>26841</v>
      </c>
    </row>
    <row r="1713" spans="1:10" x14ac:dyDescent="0.35">
      <c r="A1713" t="s">
        <v>628</v>
      </c>
      <c r="B1713">
        <v>1976</v>
      </c>
      <c r="C1713" t="s">
        <v>2363</v>
      </c>
      <c r="D1713">
        <v>20</v>
      </c>
      <c r="E1713">
        <v>2</v>
      </c>
      <c r="F1713" s="10">
        <v>15698.86</v>
      </c>
      <c r="G1713" t="s">
        <v>2357</v>
      </c>
      <c r="H1713" t="s">
        <v>2357</v>
      </c>
      <c r="I1713" t="s">
        <v>2364</v>
      </c>
      <c r="J1713" s="8">
        <f t="shared" si="26"/>
        <v>28023</v>
      </c>
    </row>
    <row r="1714" spans="1:10" x14ac:dyDescent="0.35">
      <c r="A1714" t="s">
        <v>627</v>
      </c>
      <c r="B1714">
        <v>1974</v>
      </c>
      <c r="C1714" t="s">
        <v>2366</v>
      </c>
      <c r="D1714">
        <v>29</v>
      </c>
      <c r="E1714">
        <v>0</v>
      </c>
      <c r="F1714" s="10">
        <v>15746.62</v>
      </c>
      <c r="G1714" t="s">
        <v>2357</v>
      </c>
      <c r="H1714" t="s">
        <v>2361</v>
      </c>
      <c r="I1714" t="s">
        <v>2364</v>
      </c>
      <c r="J1714" s="8">
        <f t="shared" si="26"/>
        <v>27270</v>
      </c>
    </row>
    <row r="1715" spans="1:10" x14ac:dyDescent="0.35">
      <c r="A1715" t="s">
        <v>626</v>
      </c>
      <c r="B1715">
        <v>1997</v>
      </c>
      <c r="C1715" t="s">
        <v>2367</v>
      </c>
      <c r="D1715">
        <v>9</v>
      </c>
      <c r="E1715">
        <v>0</v>
      </c>
      <c r="F1715" s="10">
        <v>15817.99</v>
      </c>
      <c r="G1715" t="s">
        <v>2357</v>
      </c>
      <c r="H1715" t="s">
        <v>2357</v>
      </c>
      <c r="I1715" t="s">
        <v>2364</v>
      </c>
      <c r="J1715" s="8">
        <f t="shared" si="26"/>
        <v>35712</v>
      </c>
    </row>
    <row r="1716" spans="1:10" x14ac:dyDescent="0.35">
      <c r="A1716" t="s">
        <v>625</v>
      </c>
      <c r="B1716">
        <v>1984</v>
      </c>
      <c r="C1716" t="s">
        <v>2362</v>
      </c>
      <c r="D1716">
        <v>26</v>
      </c>
      <c r="E1716">
        <v>0</v>
      </c>
      <c r="F1716" s="10">
        <v>15820.7</v>
      </c>
      <c r="G1716" t="s">
        <v>2357</v>
      </c>
      <c r="H1716" t="s">
        <v>2358</v>
      </c>
      <c r="I1716" t="s">
        <v>2368</v>
      </c>
      <c r="J1716" s="8">
        <f t="shared" si="26"/>
        <v>30859</v>
      </c>
    </row>
    <row r="1717" spans="1:10" x14ac:dyDescent="0.35">
      <c r="A1717" t="s">
        <v>624</v>
      </c>
      <c r="B1717">
        <v>1982</v>
      </c>
      <c r="C1717" t="s">
        <v>2360</v>
      </c>
      <c r="D1717">
        <v>11</v>
      </c>
      <c r="E1717">
        <v>4</v>
      </c>
      <c r="F1717" s="10">
        <v>15828.82</v>
      </c>
      <c r="G1717" t="s">
        <v>2357</v>
      </c>
      <c r="H1717" t="s">
        <v>2358</v>
      </c>
      <c r="I1717" t="s">
        <v>2368</v>
      </c>
      <c r="J1717" s="8">
        <f t="shared" si="26"/>
        <v>30266</v>
      </c>
    </row>
    <row r="1718" spans="1:10" x14ac:dyDescent="0.35">
      <c r="A1718" t="s">
        <v>623</v>
      </c>
      <c r="B1718">
        <v>1962</v>
      </c>
      <c r="C1718" t="s">
        <v>2365</v>
      </c>
      <c r="D1718">
        <v>25</v>
      </c>
      <c r="E1718">
        <v>0</v>
      </c>
      <c r="F1718" s="10">
        <v>15840.81</v>
      </c>
      <c r="G1718" t="s">
        <v>2357</v>
      </c>
      <c r="H1718" t="s">
        <v>2361</v>
      </c>
      <c r="I1718" t="s">
        <v>2381</v>
      </c>
      <c r="J1718" s="8">
        <f t="shared" si="26"/>
        <v>23005</v>
      </c>
    </row>
    <row r="1719" spans="1:10" x14ac:dyDescent="0.35">
      <c r="A1719" t="s">
        <v>622</v>
      </c>
      <c r="B1719">
        <v>1980</v>
      </c>
      <c r="C1719" t="s">
        <v>2367</v>
      </c>
      <c r="D1719">
        <v>12</v>
      </c>
      <c r="E1719">
        <v>2</v>
      </c>
      <c r="F1719" s="10">
        <v>15922.29</v>
      </c>
      <c r="G1719" t="s">
        <v>2357</v>
      </c>
      <c r="H1719" t="s">
        <v>2358</v>
      </c>
      <c r="I1719" t="s">
        <v>2380</v>
      </c>
      <c r="J1719" s="8">
        <f t="shared" si="26"/>
        <v>29506</v>
      </c>
    </row>
    <row r="1720" spans="1:10" x14ac:dyDescent="0.35">
      <c r="A1720" t="s">
        <v>621</v>
      </c>
      <c r="B1720">
        <v>1982</v>
      </c>
      <c r="C1720" t="s">
        <v>2356</v>
      </c>
      <c r="D1720">
        <v>24</v>
      </c>
      <c r="E1720">
        <v>3</v>
      </c>
      <c r="F1720" s="10">
        <v>15965.29</v>
      </c>
      <c r="G1720" t="s">
        <v>2357</v>
      </c>
      <c r="H1720" t="s">
        <v>2361</v>
      </c>
      <c r="I1720" t="s">
        <v>2364</v>
      </c>
      <c r="J1720" s="8">
        <f t="shared" si="26"/>
        <v>30156</v>
      </c>
    </row>
    <row r="1721" spans="1:10" x14ac:dyDescent="0.35">
      <c r="A1721" t="s">
        <v>620</v>
      </c>
      <c r="B1721">
        <v>1980</v>
      </c>
      <c r="C1721" t="s">
        <v>2363</v>
      </c>
      <c r="D1721">
        <v>19</v>
      </c>
      <c r="E1721">
        <v>2</v>
      </c>
      <c r="F1721" s="10">
        <v>15966.19</v>
      </c>
      <c r="G1721" t="s">
        <v>2357</v>
      </c>
      <c r="H1721" t="s">
        <v>2357</v>
      </c>
      <c r="I1721" t="s">
        <v>2364</v>
      </c>
      <c r="J1721" s="8">
        <f t="shared" si="26"/>
        <v>29483</v>
      </c>
    </row>
    <row r="1722" spans="1:10" x14ac:dyDescent="0.35">
      <c r="A1722" t="s">
        <v>619</v>
      </c>
      <c r="B1722">
        <v>1988</v>
      </c>
      <c r="C1722" t="s">
        <v>2365</v>
      </c>
      <c r="D1722">
        <v>5</v>
      </c>
      <c r="E1722">
        <v>3</v>
      </c>
      <c r="F1722" s="10">
        <v>16059.06</v>
      </c>
      <c r="G1722" t="s">
        <v>2357</v>
      </c>
      <c r="H1722" t="s">
        <v>2358</v>
      </c>
      <c r="I1722" t="s">
        <v>2364</v>
      </c>
      <c r="J1722" s="8">
        <f t="shared" si="26"/>
        <v>32482</v>
      </c>
    </row>
    <row r="1723" spans="1:10" x14ac:dyDescent="0.35">
      <c r="A1723" t="s">
        <v>618</v>
      </c>
      <c r="B1723">
        <v>1978</v>
      </c>
      <c r="C1723" t="s">
        <v>2363</v>
      </c>
      <c r="D1723">
        <v>16</v>
      </c>
      <c r="E1723">
        <v>2</v>
      </c>
      <c r="F1723" s="10">
        <v>16062.89</v>
      </c>
      <c r="G1723" t="s">
        <v>2357</v>
      </c>
      <c r="H1723" t="s">
        <v>2357</v>
      </c>
      <c r="I1723" t="s">
        <v>2380</v>
      </c>
      <c r="J1723" s="8">
        <f t="shared" si="26"/>
        <v>28749</v>
      </c>
    </row>
    <row r="1724" spans="1:10" x14ac:dyDescent="0.35">
      <c r="A1724" t="s">
        <v>617</v>
      </c>
      <c r="B1724">
        <v>1958</v>
      </c>
      <c r="C1724" t="s">
        <v>2367</v>
      </c>
      <c r="D1724">
        <v>22</v>
      </c>
      <c r="E1724">
        <v>2</v>
      </c>
      <c r="F1724" s="10">
        <v>16069.08</v>
      </c>
      <c r="G1724" t="s">
        <v>2357</v>
      </c>
      <c r="H1724" t="s">
        <v>2357</v>
      </c>
      <c r="I1724" t="s">
        <v>2374</v>
      </c>
      <c r="J1724" s="8">
        <f t="shared" si="26"/>
        <v>21480</v>
      </c>
    </row>
    <row r="1725" spans="1:10" x14ac:dyDescent="0.35">
      <c r="A1725" t="s">
        <v>616</v>
      </c>
      <c r="B1725">
        <v>1958</v>
      </c>
      <c r="C1725" t="s">
        <v>2362</v>
      </c>
      <c r="D1725">
        <v>21</v>
      </c>
      <c r="E1725">
        <v>3</v>
      </c>
      <c r="F1725" s="10">
        <v>16085.13</v>
      </c>
      <c r="G1725" t="s">
        <v>2357</v>
      </c>
      <c r="H1725" t="s">
        <v>2357</v>
      </c>
      <c r="I1725" t="s">
        <v>2359</v>
      </c>
      <c r="J1725" s="8">
        <f t="shared" si="26"/>
        <v>21357</v>
      </c>
    </row>
    <row r="1726" spans="1:10" x14ac:dyDescent="0.35">
      <c r="A1726" t="s">
        <v>615</v>
      </c>
      <c r="B1726">
        <v>1985</v>
      </c>
      <c r="C1726" t="s">
        <v>2366</v>
      </c>
      <c r="D1726">
        <v>27</v>
      </c>
      <c r="E1726">
        <v>3</v>
      </c>
      <c r="F1726" s="10">
        <v>16097.94</v>
      </c>
      <c r="G1726" t="s">
        <v>2357</v>
      </c>
      <c r="H1726" t="s">
        <v>2358</v>
      </c>
      <c r="I1726" t="s">
        <v>2364</v>
      </c>
      <c r="J1726" s="8">
        <f t="shared" si="26"/>
        <v>31286</v>
      </c>
    </row>
    <row r="1727" spans="1:10" x14ac:dyDescent="0.35">
      <c r="A1727" t="s">
        <v>614</v>
      </c>
      <c r="B1727">
        <v>1993</v>
      </c>
      <c r="C1727" t="s">
        <v>2366</v>
      </c>
      <c r="D1727">
        <v>8</v>
      </c>
      <c r="E1727">
        <v>0</v>
      </c>
      <c r="F1727" s="10">
        <v>16115.3</v>
      </c>
      <c r="G1727" t="s">
        <v>2357</v>
      </c>
      <c r="H1727" t="s">
        <v>2361</v>
      </c>
      <c r="I1727" t="s">
        <v>2374</v>
      </c>
      <c r="J1727" s="8">
        <f t="shared" si="26"/>
        <v>34189</v>
      </c>
    </row>
    <row r="1728" spans="1:10" x14ac:dyDescent="0.35">
      <c r="A1728" t="s">
        <v>613</v>
      </c>
      <c r="B1728">
        <v>1987</v>
      </c>
      <c r="C1728" t="s">
        <v>2367</v>
      </c>
      <c r="D1728">
        <v>6</v>
      </c>
      <c r="E1728">
        <v>3</v>
      </c>
      <c r="F1728" s="10">
        <v>16122.65</v>
      </c>
      <c r="G1728" t="s">
        <v>2357</v>
      </c>
      <c r="H1728" t="s">
        <v>2361</v>
      </c>
      <c r="I1728" t="s">
        <v>2368</v>
      </c>
      <c r="J1728" s="8">
        <f t="shared" si="26"/>
        <v>32056</v>
      </c>
    </row>
    <row r="1729" spans="1:10" x14ac:dyDescent="0.35">
      <c r="A1729" t="s">
        <v>612</v>
      </c>
      <c r="B1729">
        <v>1993</v>
      </c>
      <c r="C1729" t="s">
        <v>2365</v>
      </c>
      <c r="D1729">
        <v>12</v>
      </c>
      <c r="E1729">
        <v>0</v>
      </c>
      <c r="F1729" s="10">
        <v>16138.76</v>
      </c>
      <c r="G1729" t="s">
        <v>2357</v>
      </c>
      <c r="H1729" t="s">
        <v>2358</v>
      </c>
      <c r="I1729" t="s">
        <v>2378</v>
      </c>
      <c r="J1729" s="8">
        <f t="shared" si="26"/>
        <v>34315</v>
      </c>
    </row>
    <row r="1730" spans="1:10" x14ac:dyDescent="0.35">
      <c r="A1730" t="s">
        <v>611</v>
      </c>
      <c r="B1730">
        <v>1982</v>
      </c>
      <c r="C1730" t="s">
        <v>2356</v>
      </c>
      <c r="D1730">
        <v>6</v>
      </c>
      <c r="E1730">
        <v>3</v>
      </c>
      <c r="F1730" s="10">
        <v>16152.04</v>
      </c>
      <c r="G1730" t="s">
        <v>2357</v>
      </c>
      <c r="H1730" t="s">
        <v>2361</v>
      </c>
      <c r="I1730" t="s">
        <v>2380</v>
      </c>
      <c r="J1730" s="8">
        <f t="shared" si="26"/>
        <v>30138</v>
      </c>
    </row>
    <row r="1731" spans="1:10" x14ac:dyDescent="0.35">
      <c r="A1731" t="s">
        <v>610</v>
      </c>
      <c r="B1731">
        <v>1974</v>
      </c>
      <c r="C1731" t="s">
        <v>2363</v>
      </c>
      <c r="D1731">
        <v>11</v>
      </c>
      <c r="E1731">
        <v>0</v>
      </c>
      <c r="F1731" s="10">
        <v>16190.97</v>
      </c>
      <c r="G1731" t="s">
        <v>2357</v>
      </c>
      <c r="H1731" t="s">
        <v>2358</v>
      </c>
      <c r="I1731" t="s">
        <v>2364</v>
      </c>
      <c r="J1731" s="8">
        <f t="shared" ref="J1731:J1794" si="27">DATE(B1731,MONTH(1&amp;C1731),D1731)</f>
        <v>27283</v>
      </c>
    </row>
    <row r="1732" spans="1:10" x14ac:dyDescent="0.35">
      <c r="A1732" t="s">
        <v>609</v>
      </c>
      <c r="B1732">
        <v>1988</v>
      </c>
      <c r="C1732" t="s">
        <v>2366</v>
      </c>
      <c r="D1732">
        <v>6</v>
      </c>
      <c r="E1732">
        <v>3</v>
      </c>
      <c r="F1732" s="10">
        <v>16199.1</v>
      </c>
      <c r="G1732" t="s">
        <v>2357</v>
      </c>
      <c r="H1732" t="s">
        <v>2357</v>
      </c>
      <c r="I1732" t="s">
        <v>2364</v>
      </c>
      <c r="J1732" s="8">
        <f t="shared" si="27"/>
        <v>32361</v>
      </c>
    </row>
    <row r="1733" spans="1:10" x14ac:dyDescent="0.35">
      <c r="A1733" t="s">
        <v>608</v>
      </c>
      <c r="B1733">
        <v>1988</v>
      </c>
      <c r="C1733" t="s">
        <v>2366</v>
      </c>
      <c r="D1733">
        <v>21</v>
      </c>
      <c r="E1733">
        <v>3</v>
      </c>
      <c r="F1733" s="10">
        <v>16205.88</v>
      </c>
      <c r="G1733" t="s">
        <v>2357</v>
      </c>
      <c r="H1733" t="s">
        <v>2361</v>
      </c>
      <c r="I1733" t="s">
        <v>2364</v>
      </c>
      <c r="J1733" s="8">
        <f t="shared" si="27"/>
        <v>32376</v>
      </c>
    </row>
    <row r="1734" spans="1:10" x14ac:dyDescent="0.35">
      <c r="A1734" t="s">
        <v>607</v>
      </c>
      <c r="B1734">
        <v>2002</v>
      </c>
      <c r="C1734" t="s">
        <v>2363</v>
      </c>
      <c r="D1734">
        <v>8</v>
      </c>
      <c r="E1734">
        <v>0</v>
      </c>
      <c r="F1734" s="10">
        <v>16232.85</v>
      </c>
      <c r="G1734" t="s">
        <v>2357</v>
      </c>
      <c r="H1734" t="s">
        <v>2361</v>
      </c>
      <c r="I1734" t="s">
        <v>2368</v>
      </c>
      <c r="J1734" s="8">
        <f t="shared" si="27"/>
        <v>37507</v>
      </c>
    </row>
    <row r="1735" spans="1:10" x14ac:dyDescent="0.35">
      <c r="A1735" t="s">
        <v>606</v>
      </c>
      <c r="B1735">
        <v>1972</v>
      </c>
      <c r="C1735" t="s">
        <v>2356</v>
      </c>
      <c r="D1735">
        <v>30</v>
      </c>
      <c r="E1735">
        <v>0</v>
      </c>
      <c r="F1735" s="10">
        <v>16267.32</v>
      </c>
      <c r="G1735" t="s">
        <v>2357</v>
      </c>
      <c r="H1735" t="s">
        <v>2357</v>
      </c>
      <c r="I1735" t="s">
        <v>2375</v>
      </c>
      <c r="J1735" s="8">
        <f t="shared" si="27"/>
        <v>26510</v>
      </c>
    </row>
    <row r="1736" spans="1:10" x14ac:dyDescent="0.35">
      <c r="A1736" t="s">
        <v>605</v>
      </c>
      <c r="B1736">
        <v>2003</v>
      </c>
      <c r="C1736" t="s">
        <v>2366</v>
      </c>
      <c r="D1736">
        <v>24</v>
      </c>
      <c r="E1736">
        <v>0</v>
      </c>
      <c r="F1736" s="10">
        <v>16297.85</v>
      </c>
      <c r="G1736" t="s">
        <v>2357</v>
      </c>
      <c r="H1736" t="s">
        <v>2358</v>
      </c>
      <c r="I1736" t="s">
        <v>2368</v>
      </c>
      <c r="J1736" s="8">
        <f t="shared" si="27"/>
        <v>37857</v>
      </c>
    </row>
    <row r="1737" spans="1:10" x14ac:dyDescent="0.35">
      <c r="A1737" t="s">
        <v>604</v>
      </c>
      <c r="B1737">
        <v>1969</v>
      </c>
      <c r="C1737" t="s">
        <v>2366</v>
      </c>
      <c r="D1737">
        <v>8</v>
      </c>
      <c r="E1737">
        <v>0</v>
      </c>
      <c r="F1737" s="10">
        <v>16311.05</v>
      </c>
      <c r="G1737" t="s">
        <v>2357</v>
      </c>
      <c r="H1737" t="s">
        <v>2358</v>
      </c>
      <c r="I1737" t="s">
        <v>2380</v>
      </c>
      <c r="J1737" s="8">
        <f t="shared" si="27"/>
        <v>25423</v>
      </c>
    </row>
    <row r="1738" spans="1:10" x14ac:dyDescent="0.35">
      <c r="A1738" t="s">
        <v>603</v>
      </c>
      <c r="B1738">
        <v>1965</v>
      </c>
      <c r="C1738" t="s">
        <v>2365</v>
      </c>
      <c r="D1738">
        <v>5</v>
      </c>
      <c r="E1738">
        <v>0</v>
      </c>
      <c r="F1738" s="10">
        <v>16351.42</v>
      </c>
      <c r="G1738" t="s">
        <v>2357</v>
      </c>
      <c r="H1738" t="s">
        <v>2358</v>
      </c>
      <c r="I1738" t="s">
        <v>2380</v>
      </c>
      <c r="J1738" s="8">
        <f t="shared" si="27"/>
        <v>24081</v>
      </c>
    </row>
    <row r="1739" spans="1:10" x14ac:dyDescent="0.35">
      <c r="A1739" t="s">
        <v>602</v>
      </c>
      <c r="B1739">
        <v>1995</v>
      </c>
      <c r="C1739" t="s">
        <v>2363</v>
      </c>
      <c r="D1739">
        <v>28</v>
      </c>
      <c r="E1739">
        <v>3</v>
      </c>
      <c r="F1739" s="10">
        <v>16420.490000000002</v>
      </c>
      <c r="G1739" t="s">
        <v>2357</v>
      </c>
      <c r="H1739" t="s">
        <v>2358</v>
      </c>
      <c r="I1739" t="s">
        <v>2364</v>
      </c>
      <c r="J1739" s="8">
        <f t="shared" si="27"/>
        <v>34970</v>
      </c>
    </row>
    <row r="1740" spans="1:10" x14ac:dyDescent="0.35">
      <c r="A1740" t="s">
        <v>601</v>
      </c>
      <c r="B1740">
        <v>2003</v>
      </c>
      <c r="C1740" t="s">
        <v>2365</v>
      </c>
      <c r="D1740">
        <v>20</v>
      </c>
      <c r="E1740">
        <v>1</v>
      </c>
      <c r="F1740" s="10">
        <v>16450.89</v>
      </c>
      <c r="G1740" t="s">
        <v>2357</v>
      </c>
      <c r="H1740" t="s">
        <v>2361</v>
      </c>
      <c r="I1740" t="s">
        <v>2364</v>
      </c>
      <c r="J1740" s="8">
        <f t="shared" si="27"/>
        <v>37975</v>
      </c>
    </row>
    <row r="1741" spans="1:10" x14ac:dyDescent="0.35">
      <c r="A1741" t="s">
        <v>600</v>
      </c>
      <c r="B1741">
        <v>1958</v>
      </c>
      <c r="C1741" t="s">
        <v>2367</v>
      </c>
      <c r="D1741">
        <v>10</v>
      </c>
      <c r="E1741">
        <v>3</v>
      </c>
      <c r="F1741" s="10">
        <v>16455.71</v>
      </c>
      <c r="G1741" t="s">
        <v>2357</v>
      </c>
      <c r="H1741" t="s">
        <v>2357</v>
      </c>
      <c r="I1741" t="s">
        <v>2364</v>
      </c>
      <c r="J1741" s="8">
        <f t="shared" si="27"/>
        <v>21468</v>
      </c>
    </row>
    <row r="1742" spans="1:10" x14ac:dyDescent="0.35">
      <c r="A1742" t="s">
        <v>599</v>
      </c>
      <c r="B1742">
        <v>1995</v>
      </c>
      <c r="C1742" t="s">
        <v>2365</v>
      </c>
      <c r="D1742">
        <v>23</v>
      </c>
      <c r="E1742">
        <v>0</v>
      </c>
      <c r="F1742" s="10">
        <v>16577.78</v>
      </c>
      <c r="G1742" t="s">
        <v>2357</v>
      </c>
      <c r="H1742" t="s">
        <v>2361</v>
      </c>
      <c r="I1742" t="s">
        <v>2359</v>
      </c>
      <c r="J1742" s="8">
        <f t="shared" si="27"/>
        <v>35056</v>
      </c>
    </row>
    <row r="1743" spans="1:10" x14ac:dyDescent="0.35">
      <c r="A1743" t="s">
        <v>598</v>
      </c>
      <c r="B1743">
        <v>2001</v>
      </c>
      <c r="C1743" t="s">
        <v>2362</v>
      </c>
      <c r="D1743">
        <v>25</v>
      </c>
      <c r="E1743">
        <v>0</v>
      </c>
      <c r="F1743" s="10">
        <v>16586.5</v>
      </c>
      <c r="G1743" t="s">
        <v>2357</v>
      </c>
      <c r="H1743" t="s">
        <v>2361</v>
      </c>
      <c r="I1743" t="s">
        <v>2359</v>
      </c>
      <c r="J1743" s="8">
        <f t="shared" si="27"/>
        <v>37067</v>
      </c>
    </row>
    <row r="1744" spans="1:10" x14ac:dyDescent="0.35">
      <c r="A1744" t="s">
        <v>597</v>
      </c>
      <c r="B1744">
        <v>1963</v>
      </c>
      <c r="C1744" t="s">
        <v>2362</v>
      </c>
      <c r="D1744">
        <v>25</v>
      </c>
      <c r="E1744">
        <v>0</v>
      </c>
      <c r="F1744" s="10">
        <v>16587.96</v>
      </c>
      <c r="G1744" t="s">
        <v>2357</v>
      </c>
      <c r="H1744" t="s">
        <v>2357</v>
      </c>
      <c r="I1744" t="s">
        <v>2375</v>
      </c>
      <c r="J1744" s="8">
        <f t="shared" si="27"/>
        <v>23187</v>
      </c>
    </row>
    <row r="1745" spans="1:10" x14ac:dyDescent="0.35">
      <c r="A1745" t="s">
        <v>596</v>
      </c>
      <c r="B1745">
        <v>1970</v>
      </c>
      <c r="C1745" t="s">
        <v>2356</v>
      </c>
      <c r="D1745">
        <v>10</v>
      </c>
      <c r="E1745">
        <v>0</v>
      </c>
      <c r="F1745" s="10">
        <v>16600.16</v>
      </c>
      <c r="G1745" t="s">
        <v>2357</v>
      </c>
      <c r="H1745" t="s">
        <v>2357</v>
      </c>
      <c r="I1745" t="s">
        <v>2368</v>
      </c>
      <c r="J1745" s="8">
        <f t="shared" si="27"/>
        <v>25759</v>
      </c>
    </row>
    <row r="1746" spans="1:10" x14ac:dyDescent="0.35">
      <c r="A1746" t="s">
        <v>595</v>
      </c>
      <c r="B1746">
        <v>1975</v>
      </c>
      <c r="C1746" t="s">
        <v>2356</v>
      </c>
      <c r="D1746">
        <v>24</v>
      </c>
      <c r="E1746">
        <v>1</v>
      </c>
      <c r="F1746" s="10">
        <v>16602.18</v>
      </c>
      <c r="G1746" t="s">
        <v>2357</v>
      </c>
      <c r="H1746" t="s">
        <v>2361</v>
      </c>
      <c r="I1746" t="s">
        <v>2380</v>
      </c>
      <c r="J1746" s="8">
        <f t="shared" si="27"/>
        <v>27599</v>
      </c>
    </row>
    <row r="1747" spans="1:10" x14ac:dyDescent="0.35">
      <c r="A1747" t="s">
        <v>594</v>
      </c>
      <c r="B1747">
        <v>1977</v>
      </c>
      <c r="C1747" t="s">
        <v>2363</v>
      </c>
      <c r="D1747">
        <v>25</v>
      </c>
      <c r="E1747">
        <v>2</v>
      </c>
      <c r="F1747" s="10">
        <v>16631.61</v>
      </c>
      <c r="G1747" t="s">
        <v>2357</v>
      </c>
      <c r="H1747" t="s">
        <v>2361</v>
      </c>
      <c r="I1747" t="s">
        <v>2364</v>
      </c>
      <c r="J1747" s="8">
        <f t="shared" si="27"/>
        <v>28393</v>
      </c>
    </row>
    <row r="1748" spans="1:10" x14ac:dyDescent="0.35">
      <c r="A1748" t="s">
        <v>593</v>
      </c>
      <c r="B1748">
        <v>1993</v>
      </c>
      <c r="C1748" t="s">
        <v>2360</v>
      </c>
      <c r="D1748">
        <v>5</v>
      </c>
      <c r="E1748">
        <v>1</v>
      </c>
      <c r="F1748" s="10">
        <v>16657.72</v>
      </c>
      <c r="G1748" t="s">
        <v>2357</v>
      </c>
      <c r="H1748" t="s">
        <v>2361</v>
      </c>
      <c r="I1748" t="s">
        <v>2374</v>
      </c>
      <c r="J1748" s="8">
        <f t="shared" si="27"/>
        <v>34278</v>
      </c>
    </row>
    <row r="1749" spans="1:10" x14ac:dyDescent="0.35">
      <c r="A1749" t="s">
        <v>592</v>
      </c>
      <c r="B1749">
        <v>1974</v>
      </c>
      <c r="C1749" t="s">
        <v>2366</v>
      </c>
      <c r="D1749">
        <v>28</v>
      </c>
      <c r="E1749">
        <v>0</v>
      </c>
      <c r="F1749" s="10">
        <v>16770.990000000002</v>
      </c>
      <c r="G1749" t="s">
        <v>2357</v>
      </c>
      <c r="H1749" t="s">
        <v>2361</v>
      </c>
      <c r="I1749" t="s">
        <v>2364</v>
      </c>
      <c r="J1749" s="8">
        <f t="shared" si="27"/>
        <v>27269</v>
      </c>
    </row>
    <row r="1750" spans="1:10" x14ac:dyDescent="0.35">
      <c r="A1750" t="s">
        <v>591</v>
      </c>
      <c r="B1750">
        <v>1989</v>
      </c>
      <c r="C1750" t="s">
        <v>2363</v>
      </c>
      <c r="D1750">
        <v>23</v>
      </c>
      <c r="E1750">
        <v>2</v>
      </c>
      <c r="F1750" s="10">
        <v>16776.3</v>
      </c>
      <c r="G1750" t="s">
        <v>2357</v>
      </c>
      <c r="H1750" t="s">
        <v>2357</v>
      </c>
      <c r="I1750" t="s">
        <v>2374</v>
      </c>
      <c r="J1750" s="8">
        <f t="shared" si="27"/>
        <v>32774</v>
      </c>
    </row>
    <row r="1751" spans="1:10" x14ac:dyDescent="0.35">
      <c r="A1751" t="s">
        <v>590</v>
      </c>
      <c r="B1751">
        <v>1962</v>
      </c>
      <c r="C1751" t="s">
        <v>2356</v>
      </c>
      <c r="D1751">
        <v>29</v>
      </c>
      <c r="E1751">
        <v>0</v>
      </c>
      <c r="F1751" s="10">
        <v>16779.400000000001</v>
      </c>
      <c r="G1751" t="s">
        <v>2357</v>
      </c>
      <c r="H1751" t="s">
        <v>2357</v>
      </c>
      <c r="I1751" t="s">
        <v>2380</v>
      </c>
      <c r="J1751" s="8">
        <f t="shared" si="27"/>
        <v>22856</v>
      </c>
    </row>
    <row r="1752" spans="1:10" x14ac:dyDescent="0.35">
      <c r="A1752" t="s">
        <v>589</v>
      </c>
      <c r="B1752">
        <v>1995</v>
      </c>
      <c r="C1752" t="s">
        <v>2367</v>
      </c>
      <c r="D1752">
        <v>19</v>
      </c>
      <c r="E1752">
        <v>1</v>
      </c>
      <c r="F1752" s="10">
        <v>16796.41</v>
      </c>
      <c r="G1752" t="s">
        <v>2357</v>
      </c>
      <c r="H1752" t="s">
        <v>2358</v>
      </c>
      <c r="I1752" t="s">
        <v>2374</v>
      </c>
      <c r="J1752" s="8">
        <f t="shared" si="27"/>
        <v>34991</v>
      </c>
    </row>
    <row r="1753" spans="1:10" x14ac:dyDescent="0.35">
      <c r="A1753" t="s">
        <v>588</v>
      </c>
      <c r="B1753">
        <v>1974</v>
      </c>
      <c r="C1753" t="s">
        <v>2366</v>
      </c>
      <c r="D1753">
        <v>8</v>
      </c>
      <c r="E1753">
        <v>0</v>
      </c>
      <c r="F1753" s="10">
        <v>16841.32</v>
      </c>
      <c r="G1753" t="s">
        <v>2357</v>
      </c>
      <c r="H1753" t="s">
        <v>2358</v>
      </c>
      <c r="I1753" t="s">
        <v>2368</v>
      </c>
      <c r="J1753" s="8">
        <f t="shared" si="27"/>
        <v>27249</v>
      </c>
    </row>
    <row r="1754" spans="1:10" x14ac:dyDescent="0.35">
      <c r="A1754" t="s">
        <v>587</v>
      </c>
      <c r="B1754">
        <v>2003</v>
      </c>
      <c r="C1754" t="s">
        <v>2363</v>
      </c>
      <c r="D1754">
        <v>10</v>
      </c>
      <c r="E1754">
        <v>0</v>
      </c>
      <c r="F1754" s="10">
        <v>16884.919999999998</v>
      </c>
      <c r="G1754" t="s">
        <v>2357</v>
      </c>
      <c r="H1754" t="s">
        <v>2357</v>
      </c>
      <c r="I1754" t="s">
        <v>2368</v>
      </c>
      <c r="J1754" s="8">
        <f t="shared" si="27"/>
        <v>37874</v>
      </c>
    </row>
    <row r="1755" spans="1:10" x14ac:dyDescent="0.35">
      <c r="A1755" t="s">
        <v>586</v>
      </c>
      <c r="B1755">
        <v>1968</v>
      </c>
      <c r="C1755" t="s">
        <v>2367</v>
      </c>
      <c r="D1755">
        <v>21</v>
      </c>
      <c r="E1755">
        <v>0</v>
      </c>
      <c r="F1755" s="10">
        <v>16903.5</v>
      </c>
      <c r="G1755" t="s">
        <v>2357</v>
      </c>
      <c r="H1755" t="s">
        <v>2358</v>
      </c>
      <c r="I1755" t="s">
        <v>2364</v>
      </c>
      <c r="J1755" s="8">
        <f t="shared" si="27"/>
        <v>25132</v>
      </c>
    </row>
    <row r="1756" spans="1:10" x14ac:dyDescent="0.35">
      <c r="A1756" t="s">
        <v>585</v>
      </c>
      <c r="B1756">
        <v>1977</v>
      </c>
      <c r="C1756" t="s">
        <v>2366</v>
      </c>
      <c r="D1756">
        <v>25</v>
      </c>
      <c r="E1756">
        <v>2</v>
      </c>
      <c r="F1756" s="10">
        <v>16921.09</v>
      </c>
      <c r="G1756" t="s">
        <v>2357</v>
      </c>
      <c r="H1756" t="s">
        <v>2358</v>
      </c>
      <c r="I1756" t="s">
        <v>2375</v>
      </c>
      <c r="J1756" s="8">
        <f t="shared" si="27"/>
        <v>28362</v>
      </c>
    </row>
    <row r="1757" spans="1:10" x14ac:dyDescent="0.35">
      <c r="A1757" t="s">
        <v>584</v>
      </c>
      <c r="B1757">
        <v>1980</v>
      </c>
      <c r="C1757" t="s">
        <v>2356</v>
      </c>
      <c r="D1757">
        <v>16</v>
      </c>
      <c r="E1757">
        <v>2</v>
      </c>
      <c r="F1757" s="10">
        <v>16990.55</v>
      </c>
      <c r="G1757" t="s">
        <v>2357</v>
      </c>
      <c r="H1757" t="s">
        <v>2358</v>
      </c>
      <c r="I1757" t="s">
        <v>2364</v>
      </c>
      <c r="J1757" s="8">
        <f t="shared" si="27"/>
        <v>29418</v>
      </c>
    </row>
    <row r="1758" spans="1:10" x14ac:dyDescent="0.35">
      <c r="A1758" t="s">
        <v>583</v>
      </c>
      <c r="B1758">
        <v>1971</v>
      </c>
      <c r="C1758" t="s">
        <v>2366</v>
      </c>
      <c r="D1758">
        <v>22</v>
      </c>
      <c r="E1758">
        <v>0</v>
      </c>
      <c r="F1758" s="10">
        <v>17016.009999999998</v>
      </c>
      <c r="G1758" t="s">
        <v>2357</v>
      </c>
      <c r="H1758" t="s">
        <v>2357</v>
      </c>
      <c r="I1758" t="s">
        <v>2375</v>
      </c>
      <c r="J1758" s="8">
        <f t="shared" si="27"/>
        <v>26167</v>
      </c>
    </row>
    <row r="1759" spans="1:10" x14ac:dyDescent="0.35">
      <c r="A1759" t="s">
        <v>582</v>
      </c>
      <c r="B1759">
        <v>1996</v>
      </c>
      <c r="C1759" t="s">
        <v>2362</v>
      </c>
      <c r="D1759">
        <v>10</v>
      </c>
      <c r="E1759">
        <v>0</v>
      </c>
      <c r="F1759" s="10">
        <v>17043.34</v>
      </c>
      <c r="G1759" t="s">
        <v>2357</v>
      </c>
      <c r="H1759" t="s">
        <v>2358</v>
      </c>
      <c r="I1759" t="s">
        <v>2359</v>
      </c>
      <c r="J1759" s="8">
        <f t="shared" si="27"/>
        <v>35226</v>
      </c>
    </row>
    <row r="1760" spans="1:10" x14ac:dyDescent="0.35">
      <c r="A1760" t="s">
        <v>581</v>
      </c>
      <c r="B1760">
        <v>2003</v>
      </c>
      <c r="C1760" t="s">
        <v>2365</v>
      </c>
      <c r="D1760">
        <v>26</v>
      </c>
      <c r="E1760">
        <v>0</v>
      </c>
      <c r="F1760" s="10">
        <v>17081.080000000002</v>
      </c>
      <c r="G1760" t="s">
        <v>2357</v>
      </c>
      <c r="H1760" t="s">
        <v>2357</v>
      </c>
      <c r="I1760" t="s">
        <v>2368</v>
      </c>
      <c r="J1760" s="8">
        <f t="shared" si="27"/>
        <v>37981</v>
      </c>
    </row>
    <row r="1761" spans="1:10" x14ac:dyDescent="0.35">
      <c r="A1761" t="s">
        <v>580</v>
      </c>
      <c r="B1761">
        <v>2002</v>
      </c>
      <c r="C1761" t="s">
        <v>2362</v>
      </c>
      <c r="D1761">
        <v>28</v>
      </c>
      <c r="E1761">
        <v>1</v>
      </c>
      <c r="F1761" s="10">
        <v>17085.27</v>
      </c>
      <c r="G1761" t="s">
        <v>2357</v>
      </c>
      <c r="H1761" t="s">
        <v>2358</v>
      </c>
      <c r="I1761" t="s">
        <v>2359</v>
      </c>
      <c r="J1761" s="8">
        <f t="shared" si="27"/>
        <v>37435</v>
      </c>
    </row>
    <row r="1762" spans="1:10" x14ac:dyDescent="0.35">
      <c r="A1762" t="s">
        <v>579</v>
      </c>
      <c r="B1762">
        <v>1998</v>
      </c>
      <c r="C1762" t="s">
        <v>2362</v>
      </c>
      <c r="D1762">
        <v>3</v>
      </c>
      <c r="E1762">
        <v>4</v>
      </c>
      <c r="F1762" s="10">
        <v>17128.43</v>
      </c>
      <c r="G1762" t="s">
        <v>2357</v>
      </c>
      <c r="H1762" t="s">
        <v>2358</v>
      </c>
      <c r="I1762" t="s">
        <v>2371</v>
      </c>
      <c r="J1762" s="8">
        <f t="shared" si="27"/>
        <v>35949</v>
      </c>
    </row>
    <row r="1763" spans="1:10" x14ac:dyDescent="0.35">
      <c r="A1763" t="s">
        <v>578</v>
      </c>
      <c r="B1763">
        <v>1965</v>
      </c>
      <c r="C1763" t="s">
        <v>2363</v>
      </c>
      <c r="D1763">
        <v>16</v>
      </c>
      <c r="E1763">
        <v>0</v>
      </c>
      <c r="F1763" s="10">
        <v>17172.27</v>
      </c>
      <c r="G1763" t="s">
        <v>2357</v>
      </c>
      <c r="H1763" t="s">
        <v>2357</v>
      </c>
      <c r="I1763" t="s">
        <v>2380</v>
      </c>
      <c r="J1763" s="8">
        <f t="shared" si="27"/>
        <v>24001</v>
      </c>
    </row>
    <row r="1764" spans="1:10" x14ac:dyDescent="0.35">
      <c r="A1764" t="s">
        <v>577</v>
      </c>
      <c r="B1764">
        <v>1964</v>
      </c>
      <c r="C1764" t="s">
        <v>2362</v>
      </c>
      <c r="D1764">
        <v>7</v>
      </c>
      <c r="E1764">
        <v>0</v>
      </c>
      <c r="F1764" s="10">
        <v>17174.52</v>
      </c>
      <c r="G1764" t="s">
        <v>2357</v>
      </c>
      <c r="H1764" t="s">
        <v>2357</v>
      </c>
      <c r="I1764" t="s">
        <v>2364</v>
      </c>
      <c r="J1764" s="8">
        <f t="shared" si="27"/>
        <v>23535</v>
      </c>
    </row>
    <row r="1765" spans="1:10" x14ac:dyDescent="0.35">
      <c r="A1765" t="s">
        <v>576</v>
      </c>
      <c r="B1765">
        <v>2004</v>
      </c>
      <c r="C1765" t="s">
        <v>2366</v>
      </c>
      <c r="D1765">
        <v>18</v>
      </c>
      <c r="E1765">
        <v>1</v>
      </c>
      <c r="F1765" s="10">
        <v>17178.68</v>
      </c>
      <c r="G1765" t="s">
        <v>2357</v>
      </c>
      <c r="H1765" t="s">
        <v>2357</v>
      </c>
      <c r="I1765" t="s">
        <v>2370</v>
      </c>
      <c r="J1765" s="8">
        <f t="shared" si="27"/>
        <v>38217</v>
      </c>
    </row>
    <row r="1766" spans="1:10" x14ac:dyDescent="0.35">
      <c r="A1766" t="s">
        <v>575</v>
      </c>
      <c r="B1766">
        <v>1982</v>
      </c>
      <c r="C1766" t="s">
        <v>2367</v>
      </c>
      <c r="D1766">
        <v>22</v>
      </c>
      <c r="E1766">
        <v>1</v>
      </c>
      <c r="F1766" s="10">
        <v>17179.52</v>
      </c>
      <c r="G1766" t="s">
        <v>2357</v>
      </c>
      <c r="H1766" t="s">
        <v>2361</v>
      </c>
      <c r="I1766" t="s">
        <v>2359</v>
      </c>
      <c r="J1766" s="8">
        <f t="shared" si="27"/>
        <v>30246</v>
      </c>
    </row>
    <row r="1767" spans="1:10" x14ac:dyDescent="0.35">
      <c r="A1767" t="s">
        <v>574</v>
      </c>
      <c r="B1767">
        <v>1975</v>
      </c>
      <c r="C1767" t="s">
        <v>2366</v>
      </c>
      <c r="D1767">
        <v>25</v>
      </c>
      <c r="E1767">
        <v>1</v>
      </c>
      <c r="F1767" s="10">
        <v>17253.43</v>
      </c>
      <c r="G1767" t="s">
        <v>2357</v>
      </c>
      <c r="H1767" t="s">
        <v>2358</v>
      </c>
      <c r="I1767" t="s">
        <v>2380</v>
      </c>
      <c r="J1767" s="8">
        <f t="shared" si="27"/>
        <v>27631</v>
      </c>
    </row>
    <row r="1768" spans="1:10" x14ac:dyDescent="0.35">
      <c r="A1768" t="s">
        <v>573</v>
      </c>
      <c r="B1768">
        <v>1963</v>
      </c>
      <c r="C1768" t="s">
        <v>2356</v>
      </c>
      <c r="D1768">
        <v>12</v>
      </c>
      <c r="E1768">
        <v>0</v>
      </c>
      <c r="F1768" s="10">
        <v>17337.580000000002</v>
      </c>
      <c r="G1768" t="s">
        <v>2357</v>
      </c>
      <c r="H1768" t="s">
        <v>2358</v>
      </c>
      <c r="I1768" t="s">
        <v>2375</v>
      </c>
      <c r="J1768" s="8">
        <f t="shared" si="27"/>
        <v>23204</v>
      </c>
    </row>
    <row r="1769" spans="1:10" x14ac:dyDescent="0.35">
      <c r="A1769" t="s">
        <v>572</v>
      </c>
      <c r="B1769">
        <v>2003</v>
      </c>
      <c r="C1769" t="s">
        <v>2360</v>
      </c>
      <c r="D1769">
        <v>1</v>
      </c>
      <c r="E1769">
        <v>0</v>
      </c>
      <c r="F1769" s="10">
        <v>17352.68</v>
      </c>
      <c r="G1769" t="s">
        <v>2357</v>
      </c>
      <c r="H1769" t="s">
        <v>2358</v>
      </c>
      <c r="I1769" t="s">
        <v>2364</v>
      </c>
      <c r="J1769" s="8">
        <f t="shared" si="27"/>
        <v>37926</v>
      </c>
    </row>
    <row r="1770" spans="1:10" x14ac:dyDescent="0.35">
      <c r="A1770" t="s">
        <v>571</v>
      </c>
      <c r="B1770">
        <v>1992</v>
      </c>
      <c r="C1770" t="s">
        <v>2367</v>
      </c>
      <c r="D1770">
        <v>18</v>
      </c>
      <c r="E1770">
        <v>2</v>
      </c>
      <c r="F1770" s="10">
        <v>17361.77</v>
      </c>
      <c r="G1770" t="s">
        <v>2357</v>
      </c>
      <c r="H1770" t="s">
        <v>2361</v>
      </c>
      <c r="I1770" t="s">
        <v>2364</v>
      </c>
      <c r="J1770" s="8">
        <f t="shared" si="27"/>
        <v>33895</v>
      </c>
    </row>
    <row r="1771" spans="1:10" x14ac:dyDescent="0.35">
      <c r="A1771" t="s">
        <v>570</v>
      </c>
      <c r="B1771">
        <v>2003</v>
      </c>
      <c r="C1771" t="s">
        <v>2360</v>
      </c>
      <c r="D1771">
        <v>2</v>
      </c>
      <c r="E1771">
        <v>0</v>
      </c>
      <c r="F1771" s="10">
        <v>17468.98</v>
      </c>
      <c r="G1771" t="s">
        <v>2357</v>
      </c>
      <c r="H1771" t="s">
        <v>2361</v>
      </c>
      <c r="I1771" t="s">
        <v>2364</v>
      </c>
      <c r="J1771" s="8">
        <f t="shared" si="27"/>
        <v>37927</v>
      </c>
    </row>
    <row r="1772" spans="1:10" x14ac:dyDescent="0.35">
      <c r="A1772" t="s">
        <v>569</v>
      </c>
      <c r="B1772">
        <v>1971</v>
      </c>
      <c r="C1772" t="s">
        <v>2362</v>
      </c>
      <c r="D1772">
        <v>8</v>
      </c>
      <c r="E1772">
        <v>0</v>
      </c>
      <c r="F1772" s="10">
        <v>17479.53</v>
      </c>
      <c r="G1772" t="s">
        <v>2361</v>
      </c>
      <c r="H1772" t="s">
        <v>2361</v>
      </c>
      <c r="I1772" t="s">
        <v>2364</v>
      </c>
      <c r="J1772" s="8">
        <f t="shared" si="27"/>
        <v>26092</v>
      </c>
    </row>
    <row r="1773" spans="1:10" x14ac:dyDescent="0.35">
      <c r="A1773" t="s">
        <v>568</v>
      </c>
      <c r="B1773">
        <v>1990</v>
      </c>
      <c r="C1773" t="s">
        <v>2365</v>
      </c>
      <c r="D1773">
        <v>29</v>
      </c>
      <c r="E1773">
        <v>0</v>
      </c>
      <c r="F1773" s="10">
        <v>17496.310000000001</v>
      </c>
      <c r="G1773" t="s">
        <v>2361</v>
      </c>
      <c r="H1773" t="s">
        <v>2357</v>
      </c>
      <c r="I1773" t="s">
        <v>2368</v>
      </c>
      <c r="J1773" s="8">
        <f t="shared" si="27"/>
        <v>33236</v>
      </c>
    </row>
    <row r="1774" spans="1:10" x14ac:dyDescent="0.35">
      <c r="A1774" t="s">
        <v>567</v>
      </c>
      <c r="B1774">
        <v>1965</v>
      </c>
      <c r="C1774" t="s">
        <v>2362</v>
      </c>
      <c r="D1774">
        <v>16</v>
      </c>
      <c r="E1774">
        <v>0</v>
      </c>
      <c r="F1774" s="10">
        <v>17505.650000000001</v>
      </c>
      <c r="G1774" t="s">
        <v>2361</v>
      </c>
      <c r="H1774" t="s">
        <v>2357</v>
      </c>
      <c r="I1774" t="s">
        <v>2375</v>
      </c>
      <c r="J1774" s="8">
        <f t="shared" si="27"/>
        <v>23909</v>
      </c>
    </row>
    <row r="1775" spans="1:10" x14ac:dyDescent="0.35">
      <c r="A1775" t="s">
        <v>566</v>
      </c>
      <c r="B1775">
        <v>1968</v>
      </c>
      <c r="C1775" t="s">
        <v>2356</v>
      </c>
      <c r="D1775">
        <v>12</v>
      </c>
      <c r="E1775">
        <v>0</v>
      </c>
      <c r="F1775" s="10">
        <v>17507.47</v>
      </c>
      <c r="G1775" t="s">
        <v>2361</v>
      </c>
      <c r="H1775" t="s">
        <v>2361</v>
      </c>
      <c r="I1775" t="s">
        <v>2380</v>
      </c>
      <c r="J1775" s="8">
        <f t="shared" si="27"/>
        <v>25031</v>
      </c>
    </row>
    <row r="1776" spans="1:10" x14ac:dyDescent="0.35">
      <c r="A1776" t="s">
        <v>565</v>
      </c>
      <c r="B1776">
        <v>1963</v>
      </c>
      <c r="C1776" t="s">
        <v>2360</v>
      </c>
      <c r="D1776">
        <v>16</v>
      </c>
      <c r="E1776">
        <v>0</v>
      </c>
      <c r="F1776" s="10">
        <v>17556.88</v>
      </c>
      <c r="G1776" t="s">
        <v>2361</v>
      </c>
      <c r="H1776" t="s">
        <v>2357</v>
      </c>
      <c r="I1776" t="s">
        <v>2364</v>
      </c>
      <c r="J1776" s="8">
        <f t="shared" si="27"/>
        <v>23331</v>
      </c>
    </row>
    <row r="1777" spans="1:10" x14ac:dyDescent="0.35">
      <c r="A1777" t="s">
        <v>564</v>
      </c>
      <c r="B1777">
        <v>2002</v>
      </c>
      <c r="C1777" t="s">
        <v>2366</v>
      </c>
      <c r="D1777">
        <v>25</v>
      </c>
      <c r="E1777">
        <v>1</v>
      </c>
      <c r="F1777" s="10">
        <v>17560.38</v>
      </c>
      <c r="G1777" t="s">
        <v>2361</v>
      </c>
      <c r="H1777" t="s">
        <v>2361</v>
      </c>
      <c r="I1777" t="s">
        <v>2364</v>
      </c>
      <c r="J1777" s="8">
        <f t="shared" si="27"/>
        <v>37493</v>
      </c>
    </row>
    <row r="1778" spans="1:10" x14ac:dyDescent="0.35">
      <c r="A1778" t="s">
        <v>563</v>
      </c>
      <c r="B1778">
        <v>1970</v>
      </c>
      <c r="C1778" t="s">
        <v>2356</v>
      </c>
      <c r="D1778">
        <v>26</v>
      </c>
      <c r="E1778">
        <v>0</v>
      </c>
      <c r="F1778" s="10">
        <v>17584.72</v>
      </c>
      <c r="G1778" t="s">
        <v>2361</v>
      </c>
      <c r="H1778" t="s">
        <v>2358</v>
      </c>
      <c r="I1778" t="s">
        <v>2364</v>
      </c>
      <c r="J1778" s="8">
        <f t="shared" si="27"/>
        <v>25775</v>
      </c>
    </row>
    <row r="1779" spans="1:10" x14ac:dyDescent="0.35">
      <c r="A1779" t="s">
        <v>562</v>
      </c>
      <c r="B1779">
        <v>1990</v>
      </c>
      <c r="C1779" t="s">
        <v>2367</v>
      </c>
      <c r="D1779">
        <v>25</v>
      </c>
      <c r="E1779">
        <v>1</v>
      </c>
      <c r="F1779" s="10">
        <v>17626.240000000002</v>
      </c>
      <c r="G1779" t="s">
        <v>2361</v>
      </c>
      <c r="H1779" t="s">
        <v>2358</v>
      </c>
      <c r="I1779" t="s">
        <v>2359</v>
      </c>
      <c r="J1779" s="8">
        <f t="shared" si="27"/>
        <v>33171</v>
      </c>
    </row>
    <row r="1780" spans="1:10" x14ac:dyDescent="0.35">
      <c r="A1780" t="s">
        <v>561</v>
      </c>
      <c r="B1780">
        <v>1994</v>
      </c>
      <c r="C1780" t="s">
        <v>2356</v>
      </c>
      <c r="D1780">
        <v>1</v>
      </c>
      <c r="E1780">
        <v>3</v>
      </c>
      <c r="F1780" s="10">
        <v>17663.14</v>
      </c>
      <c r="G1780" t="s">
        <v>2361</v>
      </c>
      <c r="H1780" t="s">
        <v>2358</v>
      </c>
      <c r="I1780" t="s">
        <v>2359</v>
      </c>
      <c r="J1780" s="8">
        <f t="shared" si="27"/>
        <v>34516</v>
      </c>
    </row>
    <row r="1781" spans="1:10" x14ac:dyDescent="0.35">
      <c r="A1781" t="s">
        <v>560</v>
      </c>
      <c r="B1781">
        <v>2003</v>
      </c>
      <c r="C1781" t="s">
        <v>2356</v>
      </c>
      <c r="D1781">
        <v>14</v>
      </c>
      <c r="E1781">
        <v>0</v>
      </c>
      <c r="F1781" s="10">
        <v>17748.509999999998</v>
      </c>
      <c r="G1781" t="s">
        <v>2361</v>
      </c>
      <c r="H1781" t="s">
        <v>2361</v>
      </c>
      <c r="I1781" t="s">
        <v>2364</v>
      </c>
      <c r="J1781" s="8">
        <f t="shared" si="27"/>
        <v>37816</v>
      </c>
    </row>
    <row r="1782" spans="1:10" x14ac:dyDescent="0.35">
      <c r="A1782" t="s">
        <v>559</v>
      </c>
      <c r="B1782">
        <v>1966</v>
      </c>
      <c r="C1782" t="s">
        <v>2362</v>
      </c>
      <c r="D1782">
        <v>21</v>
      </c>
      <c r="E1782">
        <v>0</v>
      </c>
      <c r="F1782" s="10">
        <v>17777.73</v>
      </c>
      <c r="G1782" t="s">
        <v>2361</v>
      </c>
      <c r="H1782" t="s">
        <v>2358</v>
      </c>
      <c r="I1782" t="s">
        <v>2364</v>
      </c>
      <c r="J1782" s="8">
        <f t="shared" si="27"/>
        <v>24279</v>
      </c>
    </row>
    <row r="1783" spans="1:10" x14ac:dyDescent="0.35">
      <c r="A1783" t="s">
        <v>558</v>
      </c>
      <c r="B1783">
        <v>1979</v>
      </c>
      <c r="C1783" t="s">
        <v>2367</v>
      </c>
      <c r="D1783">
        <v>10</v>
      </c>
      <c r="E1783">
        <v>2</v>
      </c>
      <c r="F1783" s="10">
        <v>17779.939999999999</v>
      </c>
      <c r="G1783" t="s">
        <v>2361</v>
      </c>
      <c r="H1783" t="s">
        <v>2357</v>
      </c>
      <c r="I1783" t="s">
        <v>2364</v>
      </c>
      <c r="J1783" s="8">
        <f t="shared" si="27"/>
        <v>29138</v>
      </c>
    </row>
    <row r="1784" spans="1:10" x14ac:dyDescent="0.35">
      <c r="A1784" t="s">
        <v>557</v>
      </c>
      <c r="B1784">
        <v>1963</v>
      </c>
      <c r="C1784" t="s">
        <v>2365</v>
      </c>
      <c r="D1784">
        <v>8</v>
      </c>
      <c r="E1784">
        <v>0</v>
      </c>
      <c r="F1784" s="10">
        <v>17832.599999999999</v>
      </c>
      <c r="G1784" t="s">
        <v>2361</v>
      </c>
      <c r="H1784" t="s">
        <v>2357</v>
      </c>
      <c r="I1784" t="s">
        <v>2364</v>
      </c>
      <c r="J1784" s="8">
        <f t="shared" si="27"/>
        <v>23353</v>
      </c>
    </row>
    <row r="1785" spans="1:10" x14ac:dyDescent="0.35">
      <c r="A1785" t="s">
        <v>556</v>
      </c>
      <c r="B1785">
        <v>1976</v>
      </c>
      <c r="C1785" t="s">
        <v>2365</v>
      </c>
      <c r="D1785">
        <v>12</v>
      </c>
      <c r="E1785">
        <v>2</v>
      </c>
      <c r="F1785" s="10">
        <v>17862.919999999998</v>
      </c>
      <c r="G1785" t="s">
        <v>2361</v>
      </c>
      <c r="H1785" t="s">
        <v>2357</v>
      </c>
      <c r="I1785" t="s">
        <v>2364</v>
      </c>
      <c r="J1785" s="8">
        <f t="shared" si="27"/>
        <v>28106</v>
      </c>
    </row>
    <row r="1786" spans="1:10" x14ac:dyDescent="0.35">
      <c r="A1786" t="s">
        <v>555</v>
      </c>
      <c r="B1786">
        <v>1997</v>
      </c>
      <c r="C1786" t="s">
        <v>2366</v>
      </c>
      <c r="D1786">
        <v>26</v>
      </c>
      <c r="E1786">
        <v>0</v>
      </c>
      <c r="F1786" s="10">
        <v>17878.900000000001</v>
      </c>
      <c r="G1786" t="s">
        <v>2361</v>
      </c>
      <c r="H1786" t="s">
        <v>2357</v>
      </c>
      <c r="I1786" t="s">
        <v>2374</v>
      </c>
      <c r="J1786" s="8">
        <f t="shared" si="27"/>
        <v>35668</v>
      </c>
    </row>
    <row r="1787" spans="1:10" x14ac:dyDescent="0.35">
      <c r="A1787" t="s">
        <v>554</v>
      </c>
      <c r="B1787">
        <v>1979</v>
      </c>
      <c r="C1787" t="s">
        <v>2360</v>
      </c>
      <c r="D1787">
        <v>12</v>
      </c>
      <c r="E1787">
        <v>2</v>
      </c>
      <c r="F1787" s="10">
        <v>17882.669999999998</v>
      </c>
      <c r="G1787" t="s">
        <v>2361</v>
      </c>
      <c r="H1787" t="s">
        <v>2358</v>
      </c>
      <c r="I1787" t="s">
        <v>2364</v>
      </c>
      <c r="J1787" s="8">
        <f t="shared" si="27"/>
        <v>29171</v>
      </c>
    </row>
    <row r="1788" spans="1:10" x14ac:dyDescent="0.35">
      <c r="A1788" t="s">
        <v>553</v>
      </c>
      <c r="B1788">
        <v>1989</v>
      </c>
      <c r="C1788" t="s">
        <v>2365</v>
      </c>
      <c r="D1788">
        <v>4</v>
      </c>
      <c r="E1788">
        <v>0</v>
      </c>
      <c r="F1788" s="10">
        <v>17904.53</v>
      </c>
      <c r="G1788" t="s">
        <v>2361</v>
      </c>
      <c r="H1788" t="s">
        <v>2357</v>
      </c>
      <c r="I1788" t="s">
        <v>2378</v>
      </c>
      <c r="J1788" s="8">
        <f t="shared" si="27"/>
        <v>32846</v>
      </c>
    </row>
    <row r="1789" spans="1:10" x14ac:dyDescent="0.35">
      <c r="A1789" t="s">
        <v>552</v>
      </c>
      <c r="B1789">
        <v>1977</v>
      </c>
      <c r="C1789" t="s">
        <v>2367</v>
      </c>
      <c r="D1789">
        <v>17</v>
      </c>
      <c r="E1789">
        <v>0</v>
      </c>
      <c r="F1789" s="10">
        <v>17929.3</v>
      </c>
      <c r="G1789" t="s">
        <v>2361</v>
      </c>
      <c r="H1789" t="s">
        <v>2357</v>
      </c>
      <c r="I1789" t="s">
        <v>2359</v>
      </c>
      <c r="J1789" s="8">
        <f t="shared" si="27"/>
        <v>28415</v>
      </c>
    </row>
    <row r="1790" spans="1:10" x14ac:dyDescent="0.35">
      <c r="A1790" t="s">
        <v>551</v>
      </c>
      <c r="B1790">
        <v>2001</v>
      </c>
      <c r="C1790" t="s">
        <v>2363</v>
      </c>
      <c r="D1790">
        <v>28</v>
      </c>
      <c r="E1790">
        <v>4</v>
      </c>
      <c r="F1790" s="10">
        <v>17942.11</v>
      </c>
      <c r="G1790" t="s">
        <v>2361</v>
      </c>
      <c r="H1790" t="s">
        <v>2357</v>
      </c>
      <c r="I1790" t="s">
        <v>2368</v>
      </c>
      <c r="J1790" s="8">
        <f t="shared" si="27"/>
        <v>37162</v>
      </c>
    </row>
    <row r="1791" spans="1:10" x14ac:dyDescent="0.35">
      <c r="A1791" t="s">
        <v>550</v>
      </c>
      <c r="B1791">
        <v>1975</v>
      </c>
      <c r="C1791" t="s">
        <v>2362</v>
      </c>
      <c r="D1791">
        <v>27</v>
      </c>
      <c r="E1791">
        <v>1</v>
      </c>
      <c r="F1791" s="10">
        <v>18031.16</v>
      </c>
      <c r="G1791" t="s">
        <v>2361</v>
      </c>
      <c r="H1791" t="s">
        <v>2358</v>
      </c>
      <c r="I1791" t="s">
        <v>2375</v>
      </c>
      <c r="J1791" s="8">
        <f t="shared" si="27"/>
        <v>27572</v>
      </c>
    </row>
    <row r="1792" spans="1:10" x14ac:dyDescent="0.35">
      <c r="A1792" t="s">
        <v>549</v>
      </c>
      <c r="B1792">
        <v>1965</v>
      </c>
      <c r="C1792" t="s">
        <v>2367</v>
      </c>
      <c r="D1792">
        <v>17</v>
      </c>
      <c r="E1792">
        <v>0</v>
      </c>
      <c r="F1792" s="10">
        <v>18031.189999999999</v>
      </c>
      <c r="G1792" t="s">
        <v>2361</v>
      </c>
      <c r="H1792" t="s">
        <v>2357</v>
      </c>
      <c r="I1792" t="s">
        <v>2364</v>
      </c>
      <c r="J1792" s="8">
        <f t="shared" si="27"/>
        <v>24032</v>
      </c>
    </row>
    <row r="1793" spans="1:10" x14ac:dyDescent="0.35">
      <c r="A1793" t="s">
        <v>548</v>
      </c>
      <c r="B1793">
        <v>1999</v>
      </c>
      <c r="C1793" t="s">
        <v>2367</v>
      </c>
      <c r="D1793">
        <v>24</v>
      </c>
      <c r="E1793">
        <v>0</v>
      </c>
      <c r="F1793" s="10">
        <v>18033.97</v>
      </c>
      <c r="G1793" t="s">
        <v>2361</v>
      </c>
      <c r="H1793" t="s">
        <v>2361</v>
      </c>
      <c r="I1793" t="s">
        <v>2364</v>
      </c>
      <c r="J1793" s="8">
        <f t="shared" si="27"/>
        <v>36457</v>
      </c>
    </row>
    <row r="1794" spans="1:10" x14ac:dyDescent="0.35">
      <c r="A1794" t="s">
        <v>547</v>
      </c>
      <c r="B1794">
        <v>1993</v>
      </c>
      <c r="C1794" t="s">
        <v>2356</v>
      </c>
      <c r="D1794">
        <v>12</v>
      </c>
      <c r="E1794">
        <v>2</v>
      </c>
      <c r="F1794" s="10">
        <v>18157.88</v>
      </c>
      <c r="G1794" t="s">
        <v>2361</v>
      </c>
      <c r="H1794" t="s">
        <v>2361</v>
      </c>
      <c r="I1794" t="s">
        <v>2364</v>
      </c>
      <c r="J1794" s="8">
        <f t="shared" si="27"/>
        <v>34162</v>
      </c>
    </row>
    <row r="1795" spans="1:10" x14ac:dyDescent="0.35">
      <c r="A1795" t="s">
        <v>546</v>
      </c>
      <c r="B1795">
        <v>1963</v>
      </c>
      <c r="C1795" t="s">
        <v>2356</v>
      </c>
      <c r="D1795">
        <v>4</v>
      </c>
      <c r="E1795">
        <v>0</v>
      </c>
      <c r="F1795" s="10">
        <v>18208.34</v>
      </c>
      <c r="G1795" t="s">
        <v>2361</v>
      </c>
      <c r="H1795" t="s">
        <v>2357</v>
      </c>
      <c r="I1795" t="s">
        <v>2380</v>
      </c>
      <c r="J1795" s="8">
        <f t="shared" ref="J1795:J1858" si="28">DATE(B1795,MONTH(1&amp;C1795),D1795)</f>
        <v>23196</v>
      </c>
    </row>
    <row r="1796" spans="1:10" x14ac:dyDescent="0.35">
      <c r="A1796" t="s">
        <v>545</v>
      </c>
      <c r="B1796">
        <v>1997</v>
      </c>
      <c r="C1796" t="s">
        <v>2362</v>
      </c>
      <c r="D1796">
        <v>15</v>
      </c>
      <c r="E1796">
        <v>1</v>
      </c>
      <c r="F1796" s="10">
        <v>18218.16</v>
      </c>
      <c r="G1796" t="s">
        <v>2361</v>
      </c>
      <c r="H1796" t="s">
        <v>2361</v>
      </c>
      <c r="I1796" t="s">
        <v>2359</v>
      </c>
      <c r="J1796" s="8">
        <f t="shared" si="28"/>
        <v>35596</v>
      </c>
    </row>
    <row r="1797" spans="1:10" x14ac:dyDescent="0.35">
      <c r="A1797" t="s">
        <v>544</v>
      </c>
      <c r="B1797">
        <v>2004</v>
      </c>
      <c r="C1797" t="s">
        <v>2363</v>
      </c>
      <c r="D1797">
        <v>10</v>
      </c>
      <c r="E1797">
        <v>3</v>
      </c>
      <c r="F1797" s="10">
        <v>18223.45</v>
      </c>
      <c r="G1797" t="s">
        <v>2361</v>
      </c>
      <c r="H1797" t="s">
        <v>2358</v>
      </c>
      <c r="I1797" t="s">
        <v>2359</v>
      </c>
      <c r="J1797" s="8">
        <f t="shared" si="28"/>
        <v>38240</v>
      </c>
    </row>
    <row r="1798" spans="1:10" x14ac:dyDescent="0.35">
      <c r="A1798" t="s">
        <v>543</v>
      </c>
      <c r="B1798">
        <v>1995</v>
      </c>
      <c r="C1798" t="s">
        <v>2366</v>
      </c>
      <c r="D1798">
        <v>3</v>
      </c>
      <c r="E1798">
        <v>0</v>
      </c>
      <c r="F1798" s="10">
        <v>18246.5</v>
      </c>
      <c r="G1798" t="s">
        <v>2361</v>
      </c>
      <c r="H1798" t="s">
        <v>2361</v>
      </c>
      <c r="I1798" t="s">
        <v>2359</v>
      </c>
      <c r="J1798" s="8">
        <f t="shared" si="28"/>
        <v>34914</v>
      </c>
    </row>
    <row r="1799" spans="1:10" x14ac:dyDescent="0.35">
      <c r="A1799" t="s">
        <v>542</v>
      </c>
      <c r="B1799">
        <v>1992</v>
      </c>
      <c r="C1799" t="s">
        <v>2365</v>
      </c>
      <c r="D1799">
        <v>25</v>
      </c>
      <c r="E1799">
        <v>3</v>
      </c>
      <c r="F1799" s="10">
        <v>18259.22</v>
      </c>
      <c r="G1799" t="s">
        <v>2361</v>
      </c>
      <c r="H1799" t="s">
        <v>2358</v>
      </c>
      <c r="I1799" t="s">
        <v>2368</v>
      </c>
      <c r="J1799" s="8">
        <f t="shared" si="28"/>
        <v>33963</v>
      </c>
    </row>
    <row r="1800" spans="1:10" x14ac:dyDescent="0.35">
      <c r="A1800" t="s">
        <v>541</v>
      </c>
      <c r="B1800">
        <v>1995</v>
      </c>
      <c r="C1800" t="s">
        <v>2356</v>
      </c>
      <c r="D1800">
        <v>4</v>
      </c>
      <c r="E1800">
        <v>0</v>
      </c>
      <c r="F1800" s="10">
        <v>18310.740000000002</v>
      </c>
      <c r="G1800" t="s">
        <v>2361</v>
      </c>
      <c r="H1800" t="s">
        <v>2358</v>
      </c>
      <c r="I1800" t="s">
        <v>2364</v>
      </c>
      <c r="J1800" s="8">
        <f t="shared" si="28"/>
        <v>34884</v>
      </c>
    </row>
    <row r="1801" spans="1:10" x14ac:dyDescent="0.35">
      <c r="A1801" t="s">
        <v>540</v>
      </c>
      <c r="B1801">
        <v>1999</v>
      </c>
      <c r="C1801" t="s">
        <v>2365</v>
      </c>
      <c r="D1801">
        <v>15</v>
      </c>
      <c r="E1801">
        <v>1</v>
      </c>
      <c r="F1801" s="10">
        <v>18328.240000000002</v>
      </c>
      <c r="G1801" t="s">
        <v>2361</v>
      </c>
      <c r="H1801" t="s">
        <v>2357</v>
      </c>
      <c r="I1801" t="s">
        <v>2359</v>
      </c>
      <c r="J1801" s="8">
        <f t="shared" si="28"/>
        <v>36509</v>
      </c>
    </row>
    <row r="1802" spans="1:10" x14ac:dyDescent="0.35">
      <c r="A1802" t="s">
        <v>539</v>
      </c>
      <c r="B1802">
        <v>1964</v>
      </c>
      <c r="C1802" t="s">
        <v>2363</v>
      </c>
      <c r="D1802">
        <v>26</v>
      </c>
      <c r="E1802">
        <v>0</v>
      </c>
      <c r="F1802" s="10">
        <v>18443.11</v>
      </c>
      <c r="G1802" t="s">
        <v>2361</v>
      </c>
      <c r="H1802" t="s">
        <v>2357</v>
      </c>
      <c r="I1802" t="s">
        <v>2364</v>
      </c>
      <c r="J1802" s="8">
        <f t="shared" si="28"/>
        <v>23646</v>
      </c>
    </row>
    <row r="1803" spans="1:10" x14ac:dyDescent="0.35">
      <c r="A1803" t="s">
        <v>538</v>
      </c>
      <c r="B1803">
        <v>1986</v>
      </c>
      <c r="C1803" t="s">
        <v>2366</v>
      </c>
      <c r="D1803">
        <v>12</v>
      </c>
      <c r="E1803">
        <v>2</v>
      </c>
      <c r="F1803" s="10">
        <v>18608.259999999998</v>
      </c>
      <c r="G1803" t="s">
        <v>2361</v>
      </c>
      <c r="H1803" t="s">
        <v>2358</v>
      </c>
      <c r="I1803" t="s">
        <v>2368</v>
      </c>
      <c r="J1803" s="8">
        <f t="shared" si="28"/>
        <v>31636</v>
      </c>
    </row>
    <row r="1804" spans="1:10" x14ac:dyDescent="0.35">
      <c r="A1804" t="s">
        <v>537</v>
      </c>
      <c r="B1804">
        <v>1998</v>
      </c>
      <c r="C1804" t="s">
        <v>2363</v>
      </c>
      <c r="D1804">
        <v>23</v>
      </c>
      <c r="E1804">
        <v>0</v>
      </c>
      <c r="F1804" s="10">
        <v>18648.419999999998</v>
      </c>
      <c r="G1804" t="s">
        <v>2361</v>
      </c>
      <c r="H1804" t="s">
        <v>2361</v>
      </c>
      <c r="I1804" t="s">
        <v>2370</v>
      </c>
      <c r="J1804" s="8">
        <f t="shared" si="28"/>
        <v>36061</v>
      </c>
    </row>
    <row r="1805" spans="1:10" x14ac:dyDescent="0.35">
      <c r="A1805" t="s">
        <v>536</v>
      </c>
      <c r="B1805">
        <v>1970</v>
      </c>
      <c r="C1805" t="s">
        <v>2367</v>
      </c>
      <c r="D1805">
        <v>17</v>
      </c>
      <c r="E1805">
        <v>0</v>
      </c>
      <c r="F1805" s="10">
        <v>18682.740000000002</v>
      </c>
      <c r="G1805" t="s">
        <v>2361</v>
      </c>
      <c r="H1805" t="s">
        <v>2358</v>
      </c>
      <c r="I1805" t="s">
        <v>2364</v>
      </c>
      <c r="J1805" s="8">
        <f t="shared" si="28"/>
        <v>25858</v>
      </c>
    </row>
    <row r="1806" spans="1:10" x14ac:dyDescent="0.35">
      <c r="A1806" t="s">
        <v>535</v>
      </c>
      <c r="B1806">
        <v>1967</v>
      </c>
      <c r="C1806" t="s">
        <v>2366</v>
      </c>
      <c r="D1806">
        <v>30</v>
      </c>
      <c r="E1806">
        <v>0</v>
      </c>
      <c r="F1806" s="10">
        <v>18694.689999999999</v>
      </c>
      <c r="G1806" t="s">
        <v>2361</v>
      </c>
      <c r="H1806" t="s">
        <v>2361</v>
      </c>
      <c r="I1806" t="s">
        <v>2375</v>
      </c>
      <c r="J1806" s="8">
        <f t="shared" si="28"/>
        <v>24714</v>
      </c>
    </row>
    <row r="1807" spans="1:10" x14ac:dyDescent="0.35">
      <c r="A1807" t="s">
        <v>534</v>
      </c>
      <c r="B1807">
        <v>1992</v>
      </c>
      <c r="C1807" t="s">
        <v>2365</v>
      </c>
      <c r="D1807">
        <v>27</v>
      </c>
      <c r="E1807">
        <v>3</v>
      </c>
      <c r="F1807" s="10">
        <v>18765.88</v>
      </c>
      <c r="G1807" t="s">
        <v>2361</v>
      </c>
      <c r="H1807" t="s">
        <v>2357</v>
      </c>
      <c r="I1807" t="s">
        <v>2364</v>
      </c>
      <c r="J1807" s="8">
        <f t="shared" si="28"/>
        <v>33965</v>
      </c>
    </row>
    <row r="1808" spans="1:10" x14ac:dyDescent="0.35">
      <c r="A1808" t="s">
        <v>533</v>
      </c>
      <c r="B1808">
        <v>1979</v>
      </c>
      <c r="C1808" t="s">
        <v>2360</v>
      </c>
      <c r="D1808">
        <v>19</v>
      </c>
      <c r="E1808">
        <v>2</v>
      </c>
      <c r="F1808" s="10">
        <v>18767.740000000002</v>
      </c>
      <c r="G1808" t="s">
        <v>2361</v>
      </c>
      <c r="H1808" t="s">
        <v>2361</v>
      </c>
      <c r="I1808" t="s">
        <v>2359</v>
      </c>
      <c r="J1808" s="8">
        <f t="shared" si="28"/>
        <v>29178</v>
      </c>
    </row>
    <row r="1809" spans="1:10" x14ac:dyDescent="0.35">
      <c r="A1809" t="s">
        <v>532</v>
      </c>
      <c r="B1809">
        <v>1995</v>
      </c>
      <c r="C1809" t="s">
        <v>2360</v>
      </c>
      <c r="D1809">
        <v>28</v>
      </c>
      <c r="E1809">
        <v>3</v>
      </c>
      <c r="F1809" s="10">
        <v>18804.75</v>
      </c>
      <c r="G1809" t="s">
        <v>2361</v>
      </c>
      <c r="H1809" t="s">
        <v>2361</v>
      </c>
      <c r="I1809" t="s">
        <v>2364</v>
      </c>
      <c r="J1809" s="8">
        <f t="shared" si="28"/>
        <v>35031</v>
      </c>
    </row>
    <row r="1810" spans="1:10" x14ac:dyDescent="0.35">
      <c r="A1810" t="s">
        <v>531</v>
      </c>
      <c r="B1810">
        <v>1979</v>
      </c>
      <c r="C1810" t="s">
        <v>2367</v>
      </c>
      <c r="D1810">
        <v>15</v>
      </c>
      <c r="E1810">
        <v>2</v>
      </c>
      <c r="F1810" s="10">
        <v>18806.150000000001</v>
      </c>
      <c r="G1810" t="s">
        <v>2361</v>
      </c>
      <c r="H1810" t="s">
        <v>2357</v>
      </c>
      <c r="I1810" t="s">
        <v>2359</v>
      </c>
      <c r="J1810" s="8">
        <f t="shared" si="28"/>
        <v>29143</v>
      </c>
    </row>
    <row r="1811" spans="1:10" x14ac:dyDescent="0.35">
      <c r="A1811" t="s">
        <v>530</v>
      </c>
      <c r="B1811">
        <v>1962</v>
      </c>
      <c r="C1811" t="s">
        <v>2365</v>
      </c>
      <c r="D1811">
        <v>18</v>
      </c>
      <c r="E1811">
        <v>0</v>
      </c>
      <c r="F1811" s="10">
        <v>18815.53</v>
      </c>
      <c r="G1811" t="s">
        <v>2361</v>
      </c>
      <c r="H1811" t="s">
        <v>2361</v>
      </c>
      <c r="I1811" t="s">
        <v>2375</v>
      </c>
      <c r="J1811" s="8">
        <f t="shared" si="28"/>
        <v>22998</v>
      </c>
    </row>
    <row r="1812" spans="1:10" x14ac:dyDescent="0.35">
      <c r="A1812" t="s">
        <v>529</v>
      </c>
      <c r="B1812">
        <v>2003</v>
      </c>
      <c r="C1812" t="s">
        <v>2356</v>
      </c>
      <c r="D1812">
        <v>24</v>
      </c>
      <c r="E1812">
        <v>3</v>
      </c>
      <c r="F1812" s="10">
        <v>18838.7</v>
      </c>
      <c r="G1812" t="s">
        <v>2361</v>
      </c>
      <c r="H1812" t="s">
        <v>2358</v>
      </c>
      <c r="I1812" t="s">
        <v>2364</v>
      </c>
      <c r="J1812" s="8">
        <f t="shared" si="28"/>
        <v>37826</v>
      </c>
    </row>
    <row r="1813" spans="1:10" x14ac:dyDescent="0.35">
      <c r="A1813" t="s">
        <v>528</v>
      </c>
      <c r="B1813">
        <v>1963</v>
      </c>
      <c r="C1813" t="s">
        <v>2365</v>
      </c>
      <c r="D1813">
        <v>6</v>
      </c>
      <c r="E1813">
        <v>0</v>
      </c>
      <c r="F1813" s="10">
        <v>18883.330000000002</v>
      </c>
      <c r="G1813" t="s">
        <v>2361</v>
      </c>
      <c r="H1813" t="s">
        <v>2361</v>
      </c>
      <c r="I1813" t="s">
        <v>2380</v>
      </c>
      <c r="J1813" s="8">
        <f t="shared" si="28"/>
        <v>23351</v>
      </c>
    </row>
    <row r="1814" spans="1:10" x14ac:dyDescent="0.35">
      <c r="A1814" t="s">
        <v>527</v>
      </c>
      <c r="B1814">
        <v>1995</v>
      </c>
      <c r="C1814" t="s">
        <v>2363</v>
      </c>
      <c r="D1814">
        <v>27</v>
      </c>
      <c r="E1814">
        <v>1</v>
      </c>
      <c r="F1814" s="10">
        <v>18903.490000000002</v>
      </c>
      <c r="G1814" t="s">
        <v>2361</v>
      </c>
      <c r="H1814" t="s">
        <v>2357</v>
      </c>
      <c r="I1814" t="s">
        <v>2374</v>
      </c>
      <c r="J1814" s="8">
        <f t="shared" si="28"/>
        <v>34969</v>
      </c>
    </row>
    <row r="1815" spans="1:10" x14ac:dyDescent="0.35">
      <c r="A1815" t="s">
        <v>526</v>
      </c>
      <c r="B1815">
        <v>1969</v>
      </c>
      <c r="C1815" t="s">
        <v>2366</v>
      </c>
      <c r="D1815">
        <v>3</v>
      </c>
      <c r="E1815">
        <v>0</v>
      </c>
      <c r="F1815" s="10">
        <v>18932.810000000001</v>
      </c>
      <c r="G1815" t="s">
        <v>2361</v>
      </c>
      <c r="H1815" t="s">
        <v>2358</v>
      </c>
      <c r="I1815" t="s">
        <v>2364</v>
      </c>
      <c r="J1815" s="8">
        <f t="shared" si="28"/>
        <v>25418</v>
      </c>
    </row>
    <row r="1816" spans="1:10" x14ac:dyDescent="0.35">
      <c r="A1816" t="s">
        <v>525</v>
      </c>
      <c r="B1816">
        <v>1963</v>
      </c>
      <c r="C1816" t="s">
        <v>2367</v>
      </c>
      <c r="D1816">
        <v>20</v>
      </c>
      <c r="E1816">
        <v>0</v>
      </c>
      <c r="F1816" s="10">
        <v>18954.560000000001</v>
      </c>
      <c r="G1816" t="s">
        <v>2361</v>
      </c>
      <c r="H1816" t="s">
        <v>2361</v>
      </c>
      <c r="I1816" t="s">
        <v>2380</v>
      </c>
      <c r="J1816" s="8">
        <f t="shared" si="28"/>
        <v>23304</v>
      </c>
    </row>
    <row r="1817" spans="1:10" x14ac:dyDescent="0.35">
      <c r="A1817" t="s">
        <v>524</v>
      </c>
      <c r="B1817">
        <v>1998</v>
      </c>
      <c r="C1817" t="s">
        <v>2366</v>
      </c>
      <c r="D1817">
        <v>6</v>
      </c>
      <c r="E1817">
        <v>0</v>
      </c>
      <c r="F1817" s="10">
        <v>18955.22</v>
      </c>
      <c r="G1817" t="s">
        <v>2361</v>
      </c>
      <c r="H1817" t="s">
        <v>2358</v>
      </c>
      <c r="I1817" t="s">
        <v>2368</v>
      </c>
      <c r="J1817" s="8">
        <f t="shared" si="28"/>
        <v>36013</v>
      </c>
    </row>
    <row r="1818" spans="1:10" x14ac:dyDescent="0.35">
      <c r="A1818" t="s">
        <v>523</v>
      </c>
      <c r="B1818">
        <v>1992</v>
      </c>
      <c r="C1818" t="s">
        <v>2360</v>
      </c>
      <c r="D1818">
        <v>30</v>
      </c>
      <c r="E1818">
        <v>1</v>
      </c>
      <c r="F1818" s="10">
        <v>18963.169999999998</v>
      </c>
      <c r="G1818" t="s">
        <v>2361</v>
      </c>
      <c r="H1818" t="s">
        <v>2361</v>
      </c>
      <c r="I1818" t="s">
        <v>2359</v>
      </c>
      <c r="J1818" s="8">
        <f t="shared" si="28"/>
        <v>33938</v>
      </c>
    </row>
    <row r="1819" spans="1:10" x14ac:dyDescent="0.35">
      <c r="A1819" t="s">
        <v>522</v>
      </c>
      <c r="B1819">
        <v>1988</v>
      </c>
      <c r="C1819" t="s">
        <v>2367</v>
      </c>
      <c r="D1819">
        <v>24</v>
      </c>
      <c r="E1819">
        <v>2</v>
      </c>
      <c r="F1819" s="10">
        <v>18972.5</v>
      </c>
      <c r="G1819" t="s">
        <v>2361</v>
      </c>
      <c r="H1819" t="s">
        <v>2358</v>
      </c>
      <c r="I1819" t="s">
        <v>2359</v>
      </c>
      <c r="J1819" s="8">
        <f t="shared" si="28"/>
        <v>32440</v>
      </c>
    </row>
    <row r="1820" spans="1:10" x14ac:dyDescent="0.35">
      <c r="A1820" t="s">
        <v>521</v>
      </c>
      <c r="B1820">
        <v>1983</v>
      </c>
      <c r="C1820" t="s">
        <v>2365</v>
      </c>
      <c r="D1820">
        <v>19</v>
      </c>
      <c r="E1820">
        <v>5</v>
      </c>
      <c r="F1820" s="10">
        <v>19023.259999999998</v>
      </c>
      <c r="G1820" t="s">
        <v>2361</v>
      </c>
      <c r="H1820" t="s">
        <v>2358</v>
      </c>
      <c r="I1820" t="s">
        <v>2368</v>
      </c>
      <c r="J1820" s="8">
        <f t="shared" si="28"/>
        <v>30669</v>
      </c>
    </row>
    <row r="1821" spans="1:10" x14ac:dyDescent="0.35">
      <c r="A1821" t="s">
        <v>520</v>
      </c>
      <c r="B1821">
        <v>1989</v>
      </c>
      <c r="C1821" t="s">
        <v>2362</v>
      </c>
      <c r="D1821">
        <v>5</v>
      </c>
      <c r="E1821">
        <v>1</v>
      </c>
      <c r="F1821" s="10">
        <v>19040.88</v>
      </c>
      <c r="G1821" t="s">
        <v>2361</v>
      </c>
      <c r="H1821" t="s">
        <v>2358</v>
      </c>
      <c r="I1821" t="s">
        <v>2368</v>
      </c>
      <c r="J1821" s="8">
        <f t="shared" si="28"/>
        <v>32664</v>
      </c>
    </row>
    <row r="1822" spans="1:10" x14ac:dyDescent="0.35">
      <c r="A1822" t="s">
        <v>519</v>
      </c>
      <c r="B1822">
        <v>1993</v>
      </c>
      <c r="C1822" t="s">
        <v>2363</v>
      </c>
      <c r="D1822">
        <v>28</v>
      </c>
      <c r="E1822">
        <v>1</v>
      </c>
      <c r="F1822" s="10">
        <v>19107.78</v>
      </c>
      <c r="G1822" t="s">
        <v>2361</v>
      </c>
      <c r="H1822" t="s">
        <v>2357</v>
      </c>
      <c r="I1822" t="s">
        <v>2359</v>
      </c>
      <c r="J1822" s="8">
        <f t="shared" si="28"/>
        <v>34240</v>
      </c>
    </row>
    <row r="1823" spans="1:10" x14ac:dyDescent="0.35">
      <c r="A1823" t="s">
        <v>518</v>
      </c>
      <c r="B1823">
        <v>1979</v>
      </c>
      <c r="C1823" t="s">
        <v>2356</v>
      </c>
      <c r="D1823">
        <v>2</v>
      </c>
      <c r="E1823">
        <v>2</v>
      </c>
      <c r="F1823" s="10">
        <v>19144.580000000002</v>
      </c>
      <c r="G1823" t="s">
        <v>2361</v>
      </c>
      <c r="H1823" t="s">
        <v>2361</v>
      </c>
      <c r="I1823" t="s">
        <v>2374</v>
      </c>
      <c r="J1823" s="8">
        <f t="shared" si="28"/>
        <v>29038</v>
      </c>
    </row>
    <row r="1824" spans="1:10" x14ac:dyDescent="0.35">
      <c r="A1824" t="s">
        <v>517</v>
      </c>
      <c r="B1824">
        <v>1991</v>
      </c>
      <c r="C1824" t="s">
        <v>2363</v>
      </c>
      <c r="D1824">
        <v>16</v>
      </c>
      <c r="E1824">
        <v>3</v>
      </c>
      <c r="F1824" s="10">
        <v>19199.939999999999</v>
      </c>
      <c r="G1824" t="s">
        <v>2361</v>
      </c>
      <c r="H1824" t="s">
        <v>2358</v>
      </c>
      <c r="I1824" t="s">
        <v>2368</v>
      </c>
      <c r="J1824" s="8">
        <f t="shared" si="28"/>
        <v>33497</v>
      </c>
    </row>
    <row r="1825" spans="1:10" x14ac:dyDescent="0.35">
      <c r="A1825" t="s">
        <v>516</v>
      </c>
      <c r="B1825">
        <v>1985</v>
      </c>
      <c r="C1825" t="s">
        <v>2365</v>
      </c>
      <c r="D1825">
        <v>28</v>
      </c>
      <c r="E1825">
        <v>0</v>
      </c>
      <c r="F1825" s="10">
        <v>19214.71</v>
      </c>
      <c r="G1825" t="s">
        <v>2361</v>
      </c>
      <c r="H1825" t="s">
        <v>2358</v>
      </c>
      <c r="I1825" t="s">
        <v>2359</v>
      </c>
      <c r="J1825" s="8">
        <f t="shared" si="28"/>
        <v>31409</v>
      </c>
    </row>
    <row r="1826" spans="1:10" x14ac:dyDescent="0.35">
      <c r="A1826" t="s">
        <v>515</v>
      </c>
      <c r="B1826">
        <v>1967</v>
      </c>
      <c r="C1826" t="s">
        <v>2356</v>
      </c>
      <c r="D1826">
        <v>29</v>
      </c>
      <c r="E1826">
        <v>0</v>
      </c>
      <c r="F1826" s="10">
        <v>19259.96</v>
      </c>
      <c r="G1826" t="s">
        <v>2361</v>
      </c>
      <c r="H1826" t="s">
        <v>2361</v>
      </c>
      <c r="I1826" t="s">
        <v>2364</v>
      </c>
      <c r="J1826" s="8">
        <f t="shared" si="28"/>
        <v>24682</v>
      </c>
    </row>
    <row r="1827" spans="1:10" x14ac:dyDescent="0.35">
      <c r="A1827" t="s">
        <v>514</v>
      </c>
      <c r="B1827">
        <v>1966</v>
      </c>
      <c r="C1827" t="s">
        <v>2360</v>
      </c>
      <c r="D1827">
        <v>15</v>
      </c>
      <c r="E1827">
        <v>0</v>
      </c>
      <c r="F1827" s="10">
        <v>19321.060000000001</v>
      </c>
      <c r="G1827" t="s">
        <v>2361</v>
      </c>
      <c r="H1827" t="s">
        <v>2361</v>
      </c>
      <c r="I1827" t="s">
        <v>2364</v>
      </c>
      <c r="J1827" s="8">
        <f t="shared" si="28"/>
        <v>24426</v>
      </c>
    </row>
    <row r="1828" spans="1:10" x14ac:dyDescent="0.35">
      <c r="A1828" t="s">
        <v>513</v>
      </c>
      <c r="B1828">
        <v>1991</v>
      </c>
      <c r="C1828" t="s">
        <v>2366</v>
      </c>
      <c r="D1828">
        <v>24</v>
      </c>
      <c r="E1828">
        <v>0</v>
      </c>
      <c r="F1828" s="10">
        <v>19350.37</v>
      </c>
      <c r="G1828" t="s">
        <v>2361</v>
      </c>
      <c r="H1828" t="s">
        <v>2358</v>
      </c>
      <c r="I1828" t="s">
        <v>2359</v>
      </c>
      <c r="J1828" s="8">
        <f t="shared" si="28"/>
        <v>33474</v>
      </c>
    </row>
    <row r="1829" spans="1:10" x14ac:dyDescent="0.35">
      <c r="A1829" t="s">
        <v>512</v>
      </c>
      <c r="B1829">
        <v>1987</v>
      </c>
      <c r="C1829" t="s">
        <v>2362</v>
      </c>
      <c r="D1829">
        <v>30</v>
      </c>
      <c r="E1829">
        <v>3</v>
      </c>
      <c r="F1829" s="10">
        <v>19362</v>
      </c>
      <c r="G1829" t="s">
        <v>2361</v>
      </c>
      <c r="H1829" t="s">
        <v>2358</v>
      </c>
      <c r="I1829" t="s">
        <v>2359</v>
      </c>
      <c r="J1829" s="8">
        <f t="shared" si="28"/>
        <v>31958</v>
      </c>
    </row>
    <row r="1830" spans="1:10" x14ac:dyDescent="0.35">
      <c r="A1830" t="s">
        <v>511</v>
      </c>
      <c r="B1830">
        <v>1993</v>
      </c>
      <c r="C1830" t="s">
        <v>2363</v>
      </c>
      <c r="D1830">
        <v>6</v>
      </c>
      <c r="E1830">
        <v>2</v>
      </c>
      <c r="F1830" s="10">
        <v>19442.349999999999</v>
      </c>
      <c r="G1830" t="s">
        <v>2361</v>
      </c>
      <c r="H1830" t="s">
        <v>2358</v>
      </c>
      <c r="I1830" t="s">
        <v>2364</v>
      </c>
      <c r="J1830" s="8">
        <f t="shared" si="28"/>
        <v>34218</v>
      </c>
    </row>
    <row r="1831" spans="1:10" x14ac:dyDescent="0.35">
      <c r="A1831" t="s">
        <v>510</v>
      </c>
      <c r="B1831">
        <v>1982</v>
      </c>
      <c r="C1831" t="s">
        <v>2365</v>
      </c>
      <c r="D1831">
        <v>15</v>
      </c>
      <c r="E1831">
        <v>2</v>
      </c>
      <c r="F1831" s="10">
        <v>19444.27</v>
      </c>
      <c r="G1831" t="s">
        <v>2361</v>
      </c>
      <c r="H1831" t="s">
        <v>2361</v>
      </c>
      <c r="I1831" t="s">
        <v>2359</v>
      </c>
      <c r="J1831" s="8">
        <f t="shared" si="28"/>
        <v>30300</v>
      </c>
    </row>
    <row r="1832" spans="1:10" x14ac:dyDescent="0.35">
      <c r="A1832" t="s">
        <v>509</v>
      </c>
      <c r="B1832">
        <v>1987</v>
      </c>
      <c r="C1832" t="s">
        <v>2360</v>
      </c>
      <c r="D1832">
        <v>30</v>
      </c>
      <c r="E1832">
        <v>4</v>
      </c>
      <c r="F1832" s="10">
        <v>19496.72</v>
      </c>
      <c r="G1832" t="s">
        <v>2361</v>
      </c>
      <c r="H1832" t="s">
        <v>2358</v>
      </c>
      <c r="I1832" t="s">
        <v>2370</v>
      </c>
      <c r="J1832" s="8">
        <f t="shared" si="28"/>
        <v>32111</v>
      </c>
    </row>
    <row r="1833" spans="1:10" x14ac:dyDescent="0.35">
      <c r="A1833" t="s">
        <v>508</v>
      </c>
      <c r="B1833">
        <v>1980</v>
      </c>
      <c r="C1833" t="s">
        <v>2360</v>
      </c>
      <c r="D1833">
        <v>8</v>
      </c>
      <c r="E1833">
        <v>0</v>
      </c>
      <c r="F1833" s="10">
        <v>19515.54</v>
      </c>
      <c r="G1833" t="s">
        <v>2361</v>
      </c>
      <c r="H1833" t="s">
        <v>2361</v>
      </c>
      <c r="I1833" t="s">
        <v>2359</v>
      </c>
      <c r="J1833" s="8">
        <f t="shared" si="28"/>
        <v>29533</v>
      </c>
    </row>
    <row r="1834" spans="1:10" x14ac:dyDescent="0.35">
      <c r="A1834" t="s">
        <v>507</v>
      </c>
      <c r="B1834">
        <v>1992</v>
      </c>
      <c r="C1834" t="s">
        <v>2366</v>
      </c>
      <c r="D1834">
        <v>19</v>
      </c>
      <c r="E1834">
        <v>1</v>
      </c>
      <c r="F1834" s="10">
        <v>19521.97</v>
      </c>
      <c r="G1834" t="s">
        <v>2361</v>
      </c>
      <c r="H1834" t="s">
        <v>2357</v>
      </c>
      <c r="I1834" t="s">
        <v>2359</v>
      </c>
      <c r="J1834" s="8">
        <f t="shared" si="28"/>
        <v>33835</v>
      </c>
    </row>
    <row r="1835" spans="1:10" x14ac:dyDescent="0.35">
      <c r="A1835" t="s">
        <v>506</v>
      </c>
      <c r="B1835">
        <v>1985</v>
      </c>
      <c r="C1835" t="s">
        <v>2363</v>
      </c>
      <c r="D1835">
        <v>17</v>
      </c>
      <c r="E1835">
        <v>0</v>
      </c>
      <c r="F1835" s="10">
        <v>19539.240000000002</v>
      </c>
      <c r="G1835" t="s">
        <v>2361</v>
      </c>
      <c r="H1835" t="s">
        <v>2361</v>
      </c>
      <c r="I1835" t="s">
        <v>2359</v>
      </c>
      <c r="J1835" s="8">
        <f t="shared" si="28"/>
        <v>31307</v>
      </c>
    </row>
    <row r="1836" spans="1:10" x14ac:dyDescent="0.35">
      <c r="A1836" t="s">
        <v>505</v>
      </c>
      <c r="B1836">
        <v>1963</v>
      </c>
      <c r="C1836" t="s">
        <v>2356</v>
      </c>
      <c r="D1836">
        <v>14</v>
      </c>
      <c r="E1836">
        <v>0</v>
      </c>
      <c r="F1836" s="10">
        <v>19551.34</v>
      </c>
      <c r="G1836" t="s">
        <v>2361</v>
      </c>
      <c r="H1836" t="s">
        <v>2358</v>
      </c>
      <c r="I1836" t="s">
        <v>2364</v>
      </c>
      <c r="J1836" s="8">
        <f t="shared" si="28"/>
        <v>23206</v>
      </c>
    </row>
    <row r="1837" spans="1:10" x14ac:dyDescent="0.35">
      <c r="A1837" t="s">
        <v>504</v>
      </c>
      <c r="B1837">
        <v>1978</v>
      </c>
      <c r="C1837" t="s">
        <v>2363</v>
      </c>
      <c r="D1837">
        <v>24</v>
      </c>
      <c r="E1837">
        <v>1</v>
      </c>
      <c r="F1837" s="10">
        <v>19594.810000000001</v>
      </c>
      <c r="G1837" t="s">
        <v>2361</v>
      </c>
      <c r="H1837" t="s">
        <v>2361</v>
      </c>
      <c r="I1837" t="s">
        <v>2374</v>
      </c>
      <c r="J1837" s="8">
        <f t="shared" si="28"/>
        <v>28757</v>
      </c>
    </row>
    <row r="1838" spans="1:10" x14ac:dyDescent="0.35">
      <c r="A1838" t="s">
        <v>503</v>
      </c>
      <c r="B1838">
        <v>1994</v>
      </c>
      <c r="C1838" t="s">
        <v>2366</v>
      </c>
      <c r="D1838">
        <v>27</v>
      </c>
      <c r="E1838">
        <v>0</v>
      </c>
      <c r="F1838" s="10">
        <v>19673.34</v>
      </c>
      <c r="G1838" t="s">
        <v>2361</v>
      </c>
      <c r="H1838" t="s">
        <v>2357</v>
      </c>
      <c r="I1838" t="s">
        <v>2364</v>
      </c>
      <c r="J1838" s="8">
        <f t="shared" si="28"/>
        <v>34573</v>
      </c>
    </row>
    <row r="1839" spans="1:10" x14ac:dyDescent="0.35">
      <c r="A1839" t="s">
        <v>502</v>
      </c>
      <c r="B1839">
        <v>1990</v>
      </c>
      <c r="C1839" t="s">
        <v>2366</v>
      </c>
      <c r="D1839">
        <v>8</v>
      </c>
      <c r="E1839">
        <v>1</v>
      </c>
      <c r="F1839" s="10">
        <v>19719.689999999999</v>
      </c>
      <c r="G1839" t="s">
        <v>2361</v>
      </c>
      <c r="H1839" t="s">
        <v>2357</v>
      </c>
      <c r="I1839" t="s">
        <v>2359</v>
      </c>
      <c r="J1839" s="8">
        <f t="shared" si="28"/>
        <v>33093</v>
      </c>
    </row>
    <row r="1840" spans="1:10" x14ac:dyDescent="0.35">
      <c r="A1840" t="s">
        <v>501</v>
      </c>
      <c r="B1840">
        <v>1972</v>
      </c>
      <c r="C1840" t="s">
        <v>2362</v>
      </c>
      <c r="D1840">
        <v>14</v>
      </c>
      <c r="E1840">
        <v>3</v>
      </c>
      <c r="F1840" s="10">
        <v>19749.38</v>
      </c>
      <c r="G1840" t="s">
        <v>2361</v>
      </c>
      <c r="H1840" t="s">
        <v>2358</v>
      </c>
      <c r="I1840" t="s">
        <v>2359</v>
      </c>
      <c r="J1840" s="8">
        <f t="shared" si="28"/>
        <v>26464</v>
      </c>
    </row>
    <row r="1841" spans="1:10" x14ac:dyDescent="0.35">
      <c r="A1841" t="s">
        <v>500</v>
      </c>
      <c r="B1841">
        <v>1979</v>
      </c>
      <c r="C1841" t="s">
        <v>2367</v>
      </c>
      <c r="D1841">
        <v>30</v>
      </c>
      <c r="E1841">
        <v>2</v>
      </c>
      <c r="F1841" s="10">
        <v>19798.05</v>
      </c>
      <c r="G1841" t="s">
        <v>2361</v>
      </c>
      <c r="H1841" t="s">
        <v>2361</v>
      </c>
      <c r="I1841" t="s">
        <v>2374</v>
      </c>
      <c r="J1841" s="8">
        <f t="shared" si="28"/>
        <v>29158</v>
      </c>
    </row>
    <row r="1842" spans="1:10" x14ac:dyDescent="0.35">
      <c r="A1842" t="s">
        <v>499</v>
      </c>
      <c r="B1842">
        <v>1997</v>
      </c>
      <c r="C1842" t="s">
        <v>2367</v>
      </c>
      <c r="D1842">
        <v>18</v>
      </c>
      <c r="E1842">
        <v>3</v>
      </c>
      <c r="F1842" s="10">
        <v>19933.46</v>
      </c>
      <c r="G1842" t="s">
        <v>2361</v>
      </c>
      <c r="H1842" t="s">
        <v>2358</v>
      </c>
      <c r="I1842" t="s">
        <v>2368</v>
      </c>
      <c r="J1842" s="8">
        <f t="shared" si="28"/>
        <v>35721</v>
      </c>
    </row>
    <row r="1843" spans="1:10" x14ac:dyDescent="0.35">
      <c r="A1843" t="s">
        <v>498</v>
      </c>
      <c r="B1843">
        <v>1980</v>
      </c>
      <c r="C1843" t="s">
        <v>2367</v>
      </c>
      <c r="D1843">
        <v>9</v>
      </c>
      <c r="E1843">
        <v>0</v>
      </c>
      <c r="F1843" s="10">
        <v>19964.75</v>
      </c>
      <c r="G1843" t="s">
        <v>2361</v>
      </c>
      <c r="H1843" t="s">
        <v>2357</v>
      </c>
      <c r="I1843" t="s">
        <v>2374</v>
      </c>
      <c r="J1843" s="8">
        <f t="shared" si="28"/>
        <v>29503</v>
      </c>
    </row>
    <row r="1844" spans="1:10" x14ac:dyDescent="0.35">
      <c r="A1844" t="s">
        <v>497</v>
      </c>
      <c r="B1844">
        <v>1966</v>
      </c>
      <c r="C1844" t="s">
        <v>2366</v>
      </c>
      <c r="D1844">
        <v>10</v>
      </c>
      <c r="E1844">
        <v>0</v>
      </c>
      <c r="F1844" s="10">
        <v>19995.29</v>
      </c>
      <c r="G1844" t="s">
        <v>2361</v>
      </c>
      <c r="H1844" t="s">
        <v>2358</v>
      </c>
      <c r="I1844" t="s">
        <v>2380</v>
      </c>
      <c r="J1844" s="8">
        <f t="shared" si="28"/>
        <v>24329</v>
      </c>
    </row>
    <row r="1845" spans="1:10" x14ac:dyDescent="0.35">
      <c r="A1845" t="s">
        <v>496</v>
      </c>
      <c r="B1845">
        <v>1988</v>
      </c>
      <c r="C1845" t="s">
        <v>2356</v>
      </c>
      <c r="D1845">
        <v>25</v>
      </c>
      <c r="E1845">
        <v>1</v>
      </c>
      <c r="F1845" s="10">
        <v>20009.63</v>
      </c>
      <c r="G1845" t="s">
        <v>2357</v>
      </c>
      <c r="H1845" t="s">
        <v>2361</v>
      </c>
      <c r="I1845" t="s">
        <v>2364</v>
      </c>
      <c r="J1845" s="8">
        <f t="shared" si="28"/>
        <v>32349</v>
      </c>
    </row>
    <row r="1846" spans="1:10" x14ac:dyDescent="0.35">
      <c r="A1846" t="s">
        <v>495</v>
      </c>
      <c r="B1846">
        <v>1983</v>
      </c>
      <c r="C1846" t="s">
        <v>2367</v>
      </c>
      <c r="D1846">
        <v>6</v>
      </c>
      <c r="E1846">
        <v>0</v>
      </c>
      <c r="F1846" s="10">
        <v>20149.32</v>
      </c>
      <c r="G1846" t="s">
        <v>2357</v>
      </c>
      <c r="H1846" t="s">
        <v>2361</v>
      </c>
      <c r="I1846" t="s">
        <v>2371</v>
      </c>
      <c r="J1846" s="8">
        <f t="shared" si="28"/>
        <v>30595</v>
      </c>
    </row>
    <row r="1847" spans="1:10" x14ac:dyDescent="0.35">
      <c r="A1847" t="s">
        <v>494</v>
      </c>
      <c r="B1847">
        <v>2002</v>
      </c>
      <c r="C1847" t="s">
        <v>2356</v>
      </c>
      <c r="D1847">
        <v>9</v>
      </c>
      <c r="E1847">
        <v>0</v>
      </c>
      <c r="F1847" s="10">
        <v>20167.34</v>
      </c>
      <c r="G1847" t="s">
        <v>2358</v>
      </c>
      <c r="H1847" t="s">
        <v>2358</v>
      </c>
      <c r="I1847" t="s">
        <v>2368</v>
      </c>
      <c r="J1847" s="8">
        <f t="shared" si="28"/>
        <v>37446</v>
      </c>
    </row>
    <row r="1848" spans="1:10" x14ac:dyDescent="0.35">
      <c r="A1848" t="s">
        <v>493</v>
      </c>
      <c r="B1848">
        <v>1994</v>
      </c>
      <c r="C1848" t="s">
        <v>2362</v>
      </c>
      <c r="D1848">
        <v>8</v>
      </c>
      <c r="E1848">
        <v>2</v>
      </c>
      <c r="F1848" s="10">
        <v>20177.669999999998</v>
      </c>
      <c r="G1848" t="s">
        <v>2357</v>
      </c>
      <c r="H1848" t="s">
        <v>2361</v>
      </c>
      <c r="I1848" t="s">
        <v>2368</v>
      </c>
      <c r="J1848" s="8">
        <f t="shared" si="28"/>
        <v>34493</v>
      </c>
    </row>
    <row r="1849" spans="1:10" x14ac:dyDescent="0.35">
      <c r="A1849" t="s">
        <v>492</v>
      </c>
      <c r="B1849">
        <v>1987</v>
      </c>
      <c r="C1849" t="s">
        <v>2367</v>
      </c>
      <c r="D1849">
        <v>17</v>
      </c>
      <c r="E1849">
        <v>0</v>
      </c>
      <c r="F1849" s="10">
        <v>20234.849999999999</v>
      </c>
      <c r="G1849" t="s">
        <v>2357</v>
      </c>
      <c r="H1849" t="s">
        <v>2358</v>
      </c>
      <c r="I1849" t="s">
        <v>2364</v>
      </c>
      <c r="J1849" s="8">
        <f t="shared" si="28"/>
        <v>32067</v>
      </c>
    </row>
    <row r="1850" spans="1:10" x14ac:dyDescent="0.35">
      <c r="A1850" t="s">
        <v>491</v>
      </c>
      <c r="B1850">
        <v>1966</v>
      </c>
      <c r="C1850" t="s">
        <v>2366</v>
      </c>
      <c r="D1850">
        <v>22</v>
      </c>
      <c r="E1850">
        <v>0</v>
      </c>
      <c r="F1850" s="10">
        <v>20253.84</v>
      </c>
      <c r="G1850" t="s">
        <v>2357</v>
      </c>
      <c r="H1850" t="s">
        <v>2358</v>
      </c>
      <c r="I1850" t="s">
        <v>2364</v>
      </c>
      <c r="J1850" s="8">
        <f t="shared" si="28"/>
        <v>24341</v>
      </c>
    </row>
    <row r="1851" spans="1:10" x14ac:dyDescent="0.35">
      <c r="A1851" t="s">
        <v>490</v>
      </c>
      <c r="B1851">
        <v>1993</v>
      </c>
      <c r="C1851" t="s">
        <v>2363</v>
      </c>
      <c r="D1851">
        <v>7</v>
      </c>
      <c r="E1851">
        <v>1</v>
      </c>
      <c r="F1851" s="10">
        <v>20277.810000000001</v>
      </c>
      <c r="G1851" t="s">
        <v>2358</v>
      </c>
      <c r="H1851" t="s">
        <v>2358</v>
      </c>
      <c r="I1851" t="s">
        <v>2371</v>
      </c>
      <c r="J1851" s="8">
        <f t="shared" si="28"/>
        <v>34219</v>
      </c>
    </row>
    <row r="1852" spans="1:10" x14ac:dyDescent="0.35">
      <c r="A1852" t="s">
        <v>489</v>
      </c>
      <c r="B1852">
        <v>1985</v>
      </c>
      <c r="C1852" t="s">
        <v>2363</v>
      </c>
      <c r="D1852">
        <v>17</v>
      </c>
      <c r="E1852">
        <v>1</v>
      </c>
      <c r="F1852" s="10">
        <v>20296.86</v>
      </c>
      <c r="G1852" t="s">
        <v>2358</v>
      </c>
      <c r="H1852" t="s">
        <v>2361</v>
      </c>
      <c r="I1852" t="s">
        <v>2374</v>
      </c>
      <c r="J1852" s="8">
        <f t="shared" si="28"/>
        <v>31307</v>
      </c>
    </row>
    <row r="1853" spans="1:10" x14ac:dyDescent="0.35">
      <c r="A1853" t="s">
        <v>488</v>
      </c>
      <c r="B1853">
        <v>1962</v>
      </c>
      <c r="C1853" t="s">
        <v>2356</v>
      </c>
      <c r="D1853">
        <v>2</v>
      </c>
      <c r="E1853">
        <v>0</v>
      </c>
      <c r="F1853" s="10">
        <v>20354.5</v>
      </c>
      <c r="G1853" t="s">
        <v>2358</v>
      </c>
      <c r="H1853" t="s">
        <v>2357</v>
      </c>
      <c r="I1853" t="s">
        <v>2380</v>
      </c>
      <c r="J1853" s="8">
        <f t="shared" si="28"/>
        <v>22829</v>
      </c>
    </row>
    <row r="1854" spans="1:10" x14ac:dyDescent="0.35">
      <c r="A1854" t="s">
        <v>487</v>
      </c>
      <c r="B1854">
        <v>1985</v>
      </c>
      <c r="C1854" t="s">
        <v>2356</v>
      </c>
      <c r="D1854">
        <v>12</v>
      </c>
      <c r="E1854">
        <v>0</v>
      </c>
      <c r="F1854" s="10">
        <v>20420.599999999999</v>
      </c>
      <c r="G1854" t="s">
        <v>2358</v>
      </c>
      <c r="H1854" t="s">
        <v>2357</v>
      </c>
      <c r="I1854" t="s">
        <v>2368</v>
      </c>
      <c r="J1854" s="8">
        <f t="shared" si="28"/>
        <v>31240</v>
      </c>
    </row>
    <row r="1855" spans="1:10" x14ac:dyDescent="0.35">
      <c r="A1855" t="s">
        <v>486</v>
      </c>
      <c r="B1855">
        <v>1962</v>
      </c>
      <c r="C1855" t="s">
        <v>2367</v>
      </c>
      <c r="D1855">
        <v>18</v>
      </c>
      <c r="E1855">
        <v>0</v>
      </c>
      <c r="F1855" s="10">
        <v>20446.849999999999</v>
      </c>
      <c r="G1855" t="s">
        <v>2357</v>
      </c>
      <c r="H1855" t="s">
        <v>2361</v>
      </c>
      <c r="I1855" t="s">
        <v>2364</v>
      </c>
      <c r="J1855" s="8">
        <f t="shared" si="28"/>
        <v>22937</v>
      </c>
    </row>
    <row r="1856" spans="1:10" x14ac:dyDescent="0.35">
      <c r="A1856" t="s">
        <v>485</v>
      </c>
      <c r="B1856">
        <v>1969</v>
      </c>
      <c r="C1856" t="s">
        <v>2367</v>
      </c>
      <c r="D1856">
        <v>13</v>
      </c>
      <c r="E1856">
        <v>3</v>
      </c>
      <c r="F1856" s="10">
        <v>20463</v>
      </c>
      <c r="G1856" t="s">
        <v>2357</v>
      </c>
      <c r="H1856" t="s">
        <v>2357</v>
      </c>
      <c r="I1856" t="s">
        <v>2359</v>
      </c>
      <c r="J1856" s="8">
        <f t="shared" si="28"/>
        <v>25489</v>
      </c>
    </row>
    <row r="1857" spans="1:10" x14ac:dyDescent="0.35">
      <c r="A1857" t="s">
        <v>484</v>
      </c>
      <c r="B1857">
        <v>1966</v>
      </c>
      <c r="C1857" t="s">
        <v>2356</v>
      </c>
      <c r="D1857">
        <v>9</v>
      </c>
      <c r="E1857">
        <v>0</v>
      </c>
      <c r="F1857" s="10">
        <v>20568.32</v>
      </c>
      <c r="G1857" t="s">
        <v>2358</v>
      </c>
      <c r="H1857" t="s">
        <v>2357</v>
      </c>
      <c r="I1857" t="s">
        <v>2364</v>
      </c>
      <c r="J1857" s="8">
        <f t="shared" si="28"/>
        <v>24297</v>
      </c>
    </row>
    <row r="1858" spans="1:10" x14ac:dyDescent="0.35">
      <c r="A1858" t="s">
        <v>483</v>
      </c>
      <c r="B1858">
        <v>1967</v>
      </c>
      <c r="C1858" t="s">
        <v>2365</v>
      </c>
      <c r="D1858">
        <v>17</v>
      </c>
      <c r="E1858">
        <v>0</v>
      </c>
      <c r="F1858" s="10">
        <v>20630.28</v>
      </c>
      <c r="G1858" t="s">
        <v>2357</v>
      </c>
      <c r="H1858" t="s">
        <v>2358</v>
      </c>
      <c r="I1858" t="s">
        <v>2368</v>
      </c>
      <c r="J1858" s="8">
        <f t="shared" si="28"/>
        <v>24823</v>
      </c>
    </row>
    <row r="1859" spans="1:10" x14ac:dyDescent="0.35">
      <c r="A1859" t="s">
        <v>482</v>
      </c>
      <c r="B1859">
        <v>1965</v>
      </c>
      <c r="C1859" t="s">
        <v>2366</v>
      </c>
      <c r="D1859">
        <v>1</v>
      </c>
      <c r="E1859">
        <v>0</v>
      </c>
      <c r="F1859" s="10">
        <v>20709.02</v>
      </c>
      <c r="G1859" t="s">
        <v>2358</v>
      </c>
      <c r="H1859" t="s">
        <v>2357</v>
      </c>
      <c r="I1859" t="s">
        <v>2370</v>
      </c>
      <c r="J1859" s="8">
        <f t="shared" ref="J1859:J1922" si="29">DATE(B1859,MONTH(1&amp;C1859),D1859)</f>
        <v>23955</v>
      </c>
    </row>
    <row r="1860" spans="1:10" x14ac:dyDescent="0.35">
      <c r="A1860" t="s">
        <v>481</v>
      </c>
      <c r="B1860">
        <v>1992</v>
      </c>
      <c r="C1860" t="s">
        <v>2363</v>
      </c>
      <c r="D1860">
        <v>14</v>
      </c>
      <c r="E1860">
        <v>3</v>
      </c>
      <c r="F1860" s="10">
        <v>20745.990000000002</v>
      </c>
      <c r="G1860" t="s">
        <v>2358</v>
      </c>
      <c r="H1860" t="s">
        <v>2361</v>
      </c>
      <c r="I1860" t="s">
        <v>2364</v>
      </c>
      <c r="J1860" s="8">
        <f t="shared" si="29"/>
        <v>33861</v>
      </c>
    </row>
    <row r="1861" spans="1:10" x14ac:dyDescent="0.35">
      <c r="A1861" t="s">
        <v>480</v>
      </c>
      <c r="B1861">
        <v>1986</v>
      </c>
      <c r="C1861" t="s">
        <v>2366</v>
      </c>
      <c r="D1861">
        <v>4</v>
      </c>
      <c r="E1861">
        <v>1</v>
      </c>
      <c r="F1861" s="10">
        <v>20773.63</v>
      </c>
      <c r="G1861" t="s">
        <v>2357</v>
      </c>
      <c r="H1861" t="s">
        <v>2358</v>
      </c>
      <c r="I1861" t="s">
        <v>2378</v>
      </c>
      <c r="J1861" s="8">
        <f t="shared" si="29"/>
        <v>31628</v>
      </c>
    </row>
    <row r="1862" spans="1:10" x14ac:dyDescent="0.35">
      <c r="A1862" t="s">
        <v>479</v>
      </c>
      <c r="B1862">
        <v>1967</v>
      </c>
      <c r="C1862" t="s">
        <v>2363</v>
      </c>
      <c r="D1862">
        <v>8</v>
      </c>
      <c r="E1862">
        <v>0</v>
      </c>
      <c r="F1862" s="10">
        <v>20781.490000000002</v>
      </c>
      <c r="G1862" t="s">
        <v>2357</v>
      </c>
      <c r="H1862" t="s">
        <v>2358</v>
      </c>
      <c r="I1862" t="s">
        <v>2359</v>
      </c>
      <c r="J1862" s="8">
        <f t="shared" si="29"/>
        <v>24723</v>
      </c>
    </row>
    <row r="1863" spans="1:10" x14ac:dyDescent="0.35">
      <c r="A1863" t="s">
        <v>478</v>
      </c>
      <c r="B1863">
        <v>1975</v>
      </c>
      <c r="C1863" t="s">
        <v>2365</v>
      </c>
      <c r="D1863">
        <v>8</v>
      </c>
      <c r="E1863">
        <v>0</v>
      </c>
      <c r="F1863" s="10">
        <v>20878.78</v>
      </c>
      <c r="G1863" t="s">
        <v>2357</v>
      </c>
      <c r="H1863" t="s">
        <v>2361</v>
      </c>
      <c r="I1863" t="s">
        <v>2374</v>
      </c>
      <c r="J1863" s="8">
        <f t="shared" si="29"/>
        <v>27736</v>
      </c>
    </row>
    <row r="1864" spans="1:10" x14ac:dyDescent="0.35">
      <c r="A1864" t="s">
        <v>477</v>
      </c>
      <c r="B1864">
        <v>1964</v>
      </c>
      <c r="C1864" t="s">
        <v>2360</v>
      </c>
      <c r="D1864">
        <v>19</v>
      </c>
      <c r="E1864">
        <v>0</v>
      </c>
      <c r="F1864" s="10">
        <v>20893.060000000001</v>
      </c>
      <c r="G1864" t="s">
        <v>2357</v>
      </c>
      <c r="H1864" t="s">
        <v>2358</v>
      </c>
      <c r="I1864" t="s">
        <v>2364</v>
      </c>
      <c r="J1864" s="8">
        <f t="shared" si="29"/>
        <v>23700</v>
      </c>
    </row>
    <row r="1865" spans="1:10" x14ac:dyDescent="0.35">
      <c r="A1865" t="s">
        <v>2382</v>
      </c>
      <c r="B1865">
        <v>1987</v>
      </c>
      <c r="C1865" t="s">
        <v>2360</v>
      </c>
      <c r="D1865">
        <v>27</v>
      </c>
      <c r="E1865">
        <v>2</v>
      </c>
      <c r="F1865" s="10">
        <v>20984.09</v>
      </c>
      <c r="G1865" t="s">
        <v>2357</v>
      </c>
      <c r="H1865" t="s">
        <v>2357</v>
      </c>
      <c r="I1865" t="s">
        <v>2369</v>
      </c>
      <c r="J1865" s="8">
        <f t="shared" si="29"/>
        <v>32108</v>
      </c>
    </row>
    <row r="1866" spans="1:10" x14ac:dyDescent="0.35">
      <c r="A1866" t="s">
        <v>476</v>
      </c>
      <c r="B1866">
        <v>1983</v>
      </c>
      <c r="C1866" t="s">
        <v>2356</v>
      </c>
      <c r="D1866">
        <v>2</v>
      </c>
      <c r="E1866">
        <v>1</v>
      </c>
      <c r="F1866" s="10">
        <v>21082.16</v>
      </c>
      <c r="G1866" t="s">
        <v>2358</v>
      </c>
      <c r="H1866" t="s">
        <v>2357</v>
      </c>
      <c r="I1866" t="s">
        <v>2368</v>
      </c>
      <c r="J1866" s="8">
        <f t="shared" si="29"/>
        <v>30499</v>
      </c>
    </row>
    <row r="1867" spans="1:10" x14ac:dyDescent="0.35">
      <c r="A1867" t="s">
        <v>475</v>
      </c>
      <c r="B1867">
        <v>1977</v>
      </c>
      <c r="C1867" t="s">
        <v>2360</v>
      </c>
      <c r="D1867">
        <v>23</v>
      </c>
      <c r="E1867">
        <v>2</v>
      </c>
      <c r="F1867" s="10">
        <v>21098.55</v>
      </c>
      <c r="G1867" t="s">
        <v>2358</v>
      </c>
      <c r="H1867" t="s">
        <v>2358</v>
      </c>
      <c r="I1867" t="s">
        <v>2364</v>
      </c>
      <c r="J1867" s="8">
        <f t="shared" si="29"/>
        <v>28452</v>
      </c>
    </row>
    <row r="1868" spans="1:10" x14ac:dyDescent="0.35">
      <c r="A1868" t="s">
        <v>474</v>
      </c>
      <c r="B1868">
        <v>1969</v>
      </c>
      <c r="C1868" t="s">
        <v>2366</v>
      </c>
      <c r="D1868">
        <v>26</v>
      </c>
      <c r="E1868">
        <v>0</v>
      </c>
      <c r="F1868" s="10">
        <v>21195.82</v>
      </c>
      <c r="G1868" t="s">
        <v>2358</v>
      </c>
      <c r="H1868" t="s">
        <v>2361</v>
      </c>
      <c r="I1868" t="s">
        <v>2359</v>
      </c>
      <c r="J1868" s="8">
        <f t="shared" si="29"/>
        <v>25441</v>
      </c>
    </row>
    <row r="1869" spans="1:10" x14ac:dyDescent="0.35">
      <c r="A1869" t="s">
        <v>473</v>
      </c>
      <c r="B1869">
        <v>1974</v>
      </c>
      <c r="C1869" t="s">
        <v>2367</v>
      </c>
      <c r="D1869">
        <v>14</v>
      </c>
      <c r="E1869">
        <v>0</v>
      </c>
      <c r="F1869" s="10">
        <v>21223.68</v>
      </c>
      <c r="G1869" t="s">
        <v>2358</v>
      </c>
      <c r="H1869" t="s">
        <v>2357</v>
      </c>
      <c r="I1869" t="s">
        <v>2359</v>
      </c>
      <c r="J1869" s="8">
        <f t="shared" si="29"/>
        <v>27316</v>
      </c>
    </row>
    <row r="1870" spans="1:10" x14ac:dyDescent="0.35">
      <c r="A1870" t="s">
        <v>472</v>
      </c>
      <c r="B1870">
        <v>1974</v>
      </c>
      <c r="C1870" t="s">
        <v>2363</v>
      </c>
      <c r="D1870">
        <v>3</v>
      </c>
      <c r="E1870">
        <v>0</v>
      </c>
      <c r="F1870" s="10">
        <v>21232.18</v>
      </c>
      <c r="G1870" t="s">
        <v>2358</v>
      </c>
      <c r="H1870" t="s">
        <v>2357</v>
      </c>
      <c r="I1870" t="s">
        <v>2368</v>
      </c>
      <c r="J1870" s="8">
        <f t="shared" si="29"/>
        <v>27275</v>
      </c>
    </row>
    <row r="1871" spans="1:10" x14ac:dyDescent="0.35">
      <c r="A1871" t="s">
        <v>471</v>
      </c>
      <c r="B1871">
        <v>1980</v>
      </c>
      <c r="C1871" t="s">
        <v>2365</v>
      </c>
      <c r="D1871">
        <v>10</v>
      </c>
      <c r="E1871">
        <v>2</v>
      </c>
      <c r="F1871" s="10">
        <v>21259.38</v>
      </c>
      <c r="G1871" t="s">
        <v>2358</v>
      </c>
      <c r="H1871" t="s">
        <v>2358</v>
      </c>
      <c r="I1871" t="s">
        <v>2370</v>
      </c>
      <c r="J1871" s="8">
        <f t="shared" si="29"/>
        <v>29565</v>
      </c>
    </row>
    <row r="1872" spans="1:10" x14ac:dyDescent="0.35">
      <c r="A1872" t="s">
        <v>470</v>
      </c>
      <c r="B1872">
        <v>2004</v>
      </c>
      <c r="C1872" t="s">
        <v>2366</v>
      </c>
      <c r="D1872">
        <v>4</v>
      </c>
      <c r="E1872">
        <v>0</v>
      </c>
      <c r="F1872" s="10">
        <v>21344.85</v>
      </c>
      <c r="G1872" t="s">
        <v>2358</v>
      </c>
      <c r="H1872" t="s">
        <v>2361</v>
      </c>
      <c r="I1872" t="s">
        <v>2374</v>
      </c>
      <c r="J1872" s="8">
        <f t="shared" si="29"/>
        <v>38203</v>
      </c>
    </row>
    <row r="1873" spans="1:10" x14ac:dyDescent="0.35">
      <c r="A1873" t="s">
        <v>469</v>
      </c>
      <c r="B1873">
        <v>1980</v>
      </c>
      <c r="C1873" t="s">
        <v>2363</v>
      </c>
      <c r="D1873">
        <v>4</v>
      </c>
      <c r="E1873">
        <v>0</v>
      </c>
      <c r="F1873" s="10">
        <v>21348.71</v>
      </c>
      <c r="G1873" t="s">
        <v>2357</v>
      </c>
      <c r="H1873" t="s">
        <v>2361</v>
      </c>
      <c r="I1873" t="s">
        <v>2364</v>
      </c>
      <c r="J1873" s="8">
        <f t="shared" si="29"/>
        <v>29468</v>
      </c>
    </row>
    <row r="1874" spans="1:10" x14ac:dyDescent="0.35">
      <c r="A1874" t="s">
        <v>468</v>
      </c>
      <c r="B1874">
        <v>1990</v>
      </c>
      <c r="C1874" t="s">
        <v>2360</v>
      </c>
      <c r="D1874">
        <v>21</v>
      </c>
      <c r="E1874">
        <v>4</v>
      </c>
      <c r="F1874" s="10">
        <v>21472.48</v>
      </c>
      <c r="G1874" t="s">
        <v>2357</v>
      </c>
      <c r="H1874" t="s">
        <v>2357</v>
      </c>
      <c r="I1874" t="s">
        <v>2364</v>
      </c>
      <c r="J1874" s="8">
        <f t="shared" si="29"/>
        <v>33198</v>
      </c>
    </row>
    <row r="1875" spans="1:10" x14ac:dyDescent="0.35">
      <c r="A1875" t="s">
        <v>467</v>
      </c>
      <c r="B1875">
        <v>1999</v>
      </c>
      <c r="C1875" t="s">
        <v>2362</v>
      </c>
      <c r="D1875">
        <v>12</v>
      </c>
      <c r="E1875">
        <v>0</v>
      </c>
      <c r="F1875" s="10">
        <v>21595.38</v>
      </c>
      <c r="G1875" t="s">
        <v>2357</v>
      </c>
      <c r="H1875" t="s">
        <v>2358</v>
      </c>
      <c r="I1875" t="s">
        <v>2364</v>
      </c>
      <c r="J1875" s="8">
        <f t="shared" si="29"/>
        <v>36323</v>
      </c>
    </row>
    <row r="1876" spans="1:10" x14ac:dyDescent="0.35">
      <c r="A1876" t="s">
        <v>466</v>
      </c>
      <c r="B1876">
        <v>1983</v>
      </c>
      <c r="C1876" t="s">
        <v>2365</v>
      </c>
      <c r="D1876">
        <v>25</v>
      </c>
      <c r="E1876">
        <v>3</v>
      </c>
      <c r="F1876" s="10">
        <v>21659.93</v>
      </c>
      <c r="G1876" t="s">
        <v>2358</v>
      </c>
      <c r="H1876" t="s">
        <v>2358</v>
      </c>
      <c r="I1876" t="s">
        <v>2374</v>
      </c>
      <c r="J1876" s="8">
        <f t="shared" si="29"/>
        <v>30675</v>
      </c>
    </row>
    <row r="1877" spans="1:10" x14ac:dyDescent="0.35">
      <c r="A1877" t="s">
        <v>465</v>
      </c>
      <c r="B1877">
        <v>1962</v>
      </c>
      <c r="C1877" t="s">
        <v>2360</v>
      </c>
      <c r="D1877">
        <v>16</v>
      </c>
      <c r="E1877">
        <v>0</v>
      </c>
      <c r="F1877" s="10">
        <v>21661.16</v>
      </c>
      <c r="G1877" t="s">
        <v>2357</v>
      </c>
      <c r="H1877" t="s">
        <v>2357</v>
      </c>
      <c r="I1877" t="s">
        <v>2364</v>
      </c>
      <c r="J1877" s="8">
        <f t="shared" si="29"/>
        <v>22966</v>
      </c>
    </row>
    <row r="1878" spans="1:10" x14ac:dyDescent="0.35">
      <c r="A1878" t="s">
        <v>464</v>
      </c>
      <c r="B1878">
        <v>1976</v>
      </c>
      <c r="C1878" t="s">
        <v>2356</v>
      </c>
      <c r="D1878">
        <v>18</v>
      </c>
      <c r="E1878">
        <v>1</v>
      </c>
      <c r="F1878" s="10">
        <v>21677.279999999999</v>
      </c>
      <c r="G1878" t="s">
        <v>2358</v>
      </c>
      <c r="H1878" t="s">
        <v>2361</v>
      </c>
      <c r="I1878" t="s">
        <v>2364</v>
      </c>
      <c r="J1878" s="8">
        <f t="shared" si="29"/>
        <v>27959</v>
      </c>
    </row>
    <row r="1879" spans="1:10" x14ac:dyDescent="0.35">
      <c r="A1879" t="s">
        <v>463</v>
      </c>
      <c r="B1879">
        <v>1979</v>
      </c>
      <c r="C1879" t="s">
        <v>2363</v>
      </c>
      <c r="D1879">
        <v>20</v>
      </c>
      <c r="E1879">
        <v>1</v>
      </c>
      <c r="F1879" s="10">
        <v>21771.34</v>
      </c>
      <c r="G1879" t="s">
        <v>2358</v>
      </c>
      <c r="H1879" t="s">
        <v>2361</v>
      </c>
      <c r="I1879" t="s">
        <v>2374</v>
      </c>
      <c r="J1879" s="8">
        <f t="shared" si="29"/>
        <v>29118</v>
      </c>
    </row>
    <row r="1880" spans="1:10" x14ac:dyDescent="0.35">
      <c r="A1880" t="s">
        <v>462</v>
      </c>
      <c r="B1880">
        <v>1979</v>
      </c>
      <c r="C1880" t="s">
        <v>2363</v>
      </c>
      <c r="D1880">
        <v>28</v>
      </c>
      <c r="E1880">
        <v>0</v>
      </c>
      <c r="F1880" s="10">
        <v>21774.32</v>
      </c>
      <c r="G1880" t="s">
        <v>2358</v>
      </c>
      <c r="H1880" t="s">
        <v>2357</v>
      </c>
      <c r="I1880" t="s">
        <v>2364</v>
      </c>
      <c r="J1880" s="8">
        <f t="shared" si="29"/>
        <v>29126</v>
      </c>
    </row>
    <row r="1881" spans="1:10" x14ac:dyDescent="0.35">
      <c r="A1881" t="s">
        <v>461</v>
      </c>
      <c r="B1881">
        <v>1963</v>
      </c>
      <c r="C1881" t="s">
        <v>2366</v>
      </c>
      <c r="D1881">
        <v>27</v>
      </c>
      <c r="E1881">
        <v>0</v>
      </c>
      <c r="F1881" s="10">
        <v>21797</v>
      </c>
      <c r="G1881" t="s">
        <v>2358</v>
      </c>
      <c r="H1881" t="s">
        <v>2361</v>
      </c>
      <c r="I1881" t="s">
        <v>2368</v>
      </c>
      <c r="J1881" s="8">
        <f t="shared" si="29"/>
        <v>23250</v>
      </c>
    </row>
    <row r="1882" spans="1:10" x14ac:dyDescent="0.35">
      <c r="A1882" t="s">
        <v>460</v>
      </c>
      <c r="B1882">
        <v>1979</v>
      </c>
      <c r="C1882" t="s">
        <v>2366</v>
      </c>
      <c r="D1882">
        <v>17</v>
      </c>
      <c r="E1882">
        <v>2</v>
      </c>
      <c r="F1882" s="10">
        <v>21880.82</v>
      </c>
      <c r="G1882" t="s">
        <v>2358</v>
      </c>
      <c r="H1882" t="s">
        <v>2361</v>
      </c>
      <c r="I1882" t="s">
        <v>2364</v>
      </c>
      <c r="J1882" s="8">
        <f t="shared" si="29"/>
        <v>29084</v>
      </c>
    </row>
    <row r="1883" spans="1:10" x14ac:dyDescent="0.35">
      <c r="A1883" t="s">
        <v>459</v>
      </c>
      <c r="B1883">
        <v>2003</v>
      </c>
      <c r="C1883" t="s">
        <v>2363</v>
      </c>
      <c r="D1883">
        <v>28</v>
      </c>
      <c r="E1883">
        <v>0</v>
      </c>
      <c r="F1883" s="10">
        <v>21882.400000000001</v>
      </c>
      <c r="G1883" t="s">
        <v>2357</v>
      </c>
      <c r="H1883" t="s">
        <v>2361</v>
      </c>
      <c r="I1883" t="s">
        <v>2368</v>
      </c>
      <c r="J1883" s="8">
        <f t="shared" si="29"/>
        <v>37892</v>
      </c>
    </row>
    <row r="1884" spans="1:10" x14ac:dyDescent="0.35">
      <c r="A1884" t="s">
        <v>458</v>
      </c>
      <c r="B1884">
        <v>1975</v>
      </c>
      <c r="C1884" t="s">
        <v>2365</v>
      </c>
      <c r="D1884">
        <v>19</v>
      </c>
      <c r="E1884">
        <v>1</v>
      </c>
      <c r="F1884" s="10">
        <v>21978.68</v>
      </c>
      <c r="G1884" t="s">
        <v>2358</v>
      </c>
      <c r="H1884" t="s">
        <v>2358</v>
      </c>
      <c r="I1884" t="s">
        <v>2359</v>
      </c>
      <c r="J1884" s="8">
        <f t="shared" si="29"/>
        <v>27747</v>
      </c>
    </row>
    <row r="1885" spans="1:10" x14ac:dyDescent="0.35">
      <c r="A1885" t="s">
        <v>457</v>
      </c>
      <c r="B1885">
        <v>1989</v>
      </c>
      <c r="C1885" t="s">
        <v>2367</v>
      </c>
      <c r="D1885">
        <v>14</v>
      </c>
      <c r="E1885">
        <v>0</v>
      </c>
      <c r="F1885" s="10">
        <v>21984.47</v>
      </c>
      <c r="G1885" t="s">
        <v>2358</v>
      </c>
      <c r="H1885" t="s">
        <v>2361</v>
      </c>
      <c r="I1885" t="s">
        <v>2364</v>
      </c>
      <c r="J1885" s="8">
        <f t="shared" si="29"/>
        <v>32795</v>
      </c>
    </row>
    <row r="1886" spans="1:10" x14ac:dyDescent="0.35">
      <c r="A1886" t="s">
        <v>456</v>
      </c>
      <c r="B1886">
        <v>2001</v>
      </c>
      <c r="C1886" t="s">
        <v>2366</v>
      </c>
      <c r="D1886">
        <v>28</v>
      </c>
      <c r="E1886">
        <v>0</v>
      </c>
      <c r="F1886" s="10">
        <v>22097.62</v>
      </c>
      <c r="G1886" t="s">
        <v>2358</v>
      </c>
      <c r="H1886" t="s">
        <v>2361</v>
      </c>
      <c r="I1886" t="s">
        <v>2368</v>
      </c>
      <c r="J1886" s="8">
        <f t="shared" si="29"/>
        <v>37131</v>
      </c>
    </row>
    <row r="1887" spans="1:10" x14ac:dyDescent="0.35">
      <c r="A1887" t="s">
        <v>455</v>
      </c>
      <c r="B1887">
        <v>1980</v>
      </c>
      <c r="C1887" t="s">
        <v>2363</v>
      </c>
      <c r="D1887">
        <v>12</v>
      </c>
      <c r="E1887">
        <v>0</v>
      </c>
      <c r="F1887" s="10">
        <v>22144.03</v>
      </c>
      <c r="G1887" t="s">
        <v>2357</v>
      </c>
      <c r="H1887" t="s">
        <v>2357</v>
      </c>
      <c r="I1887" t="s">
        <v>2368</v>
      </c>
      <c r="J1887" s="8">
        <f t="shared" si="29"/>
        <v>29476</v>
      </c>
    </row>
    <row r="1888" spans="1:10" x14ac:dyDescent="0.35">
      <c r="A1888" t="s">
        <v>454</v>
      </c>
      <c r="B1888">
        <v>1965</v>
      </c>
      <c r="C1888" t="s">
        <v>2366</v>
      </c>
      <c r="D1888">
        <v>24</v>
      </c>
      <c r="E1888">
        <v>1</v>
      </c>
      <c r="F1888" s="10">
        <v>22192.44</v>
      </c>
      <c r="G1888" t="s">
        <v>2358</v>
      </c>
      <c r="H1888" t="s">
        <v>2361</v>
      </c>
      <c r="I1888" t="s">
        <v>2359</v>
      </c>
      <c r="J1888" s="8">
        <f t="shared" si="29"/>
        <v>23978</v>
      </c>
    </row>
    <row r="1889" spans="1:10" x14ac:dyDescent="0.35">
      <c r="A1889" t="s">
        <v>453</v>
      </c>
      <c r="B1889">
        <v>1971</v>
      </c>
      <c r="C1889" t="s">
        <v>2362</v>
      </c>
      <c r="D1889">
        <v>16</v>
      </c>
      <c r="E1889">
        <v>1</v>
      </c>
      <c r="F1889" s="10">
        <v>22218.11</v>
      </c>
      <c r="G1889" t="s">
        <v>2357</v>
      </c>
      <c r="H1889" t="s">
        <v>2358</v>
      </c>
      <c r="I1889" t="s">
        <v>2359</v>
      </c>
      <c r="J1889" s="8">
        <f t="shared" si="29"/>
        <v>26100</v>
      </c>
    </row>
    <row r="1890" spans="1:10" x14ac:dyDescent="0.35">
      <c r="A1890" t="s">
        <v>452</v>
      </c>
      <c r="B1890">
        <v>1982</v>
      </c>
      <c r="C1890" t="s">
        <v>2365</v>
      </c>
      <c r="D1890">
        <v>27</v>
      </c>
      <c r="E1890">
        <v>1</v>
      </c>
      <c r="F1890" s="10">
        <v>22331.57</v>
      </c>
      <c r="G1890" t="s">
        <v>2357</v>
      </c>
      <c r="H1890" t="s">
        <v>2358</v>
      </c>
      <c r="I1890" t="s">
        <v>2374</v>
      </c>
      <c r="J1890" s="8">
        <f t="shared" si="29"/>
        <v>30312</v>
      </c>
    </row>
    <row r="1891" spans="1:10" x14ac:dyDescent="0.35">
      <c r="A1891" t="s">
        <v>451</v>
      </c>
      <c r="B1891">
        <v>1999</v>
      </c>
      <c r="C1891" t="s">
        <v>2366</v>
      </c>
      <c r="D1891">
        <v>26</v>
      </c>
      <c r="E1891">
        <v>2</v>
      </c>
      <c r="F1891" s="10">
        <v>22395.74</v>
      </c>
      <c r="G1891" t="s">
        <v>2358</v>
      </c>
      <c r="H1891" t="s">
        <v>2357</v>
      </c>
      <c r="I1891" t="s">
        <v>2374</v>
      </c>
      <c r="J1891" s="8">
        <f t="shared" si="29"/>
        <v>36398</v>
      </c>
    </row>
    <row r="1892" spans="1:10" x14ac:dyDescent="0.35">
      <c r="A1892" t="s">
        <v>450</v>
      </c>
      <c r="B1892">
        <v>1966</v>
      </c>
      <c r="C1892" t="s">
        <v>2366</v>
      </c>
      <c r="D1892">
        <v>18</v>
      </c>
      <c r="E1892">
        <v>0</v>
      </c>
      <c r="F1892" s="10">
        <v>22412.65</v>
      </c>
      <c r="G1892" t="s">
        <v>2358</v>
      </c>
      <c r="H1892" t="s">
        <v>2358</v>
      </c>
      <c r="I1892" t="s">
        <v>2376</v>
      </c>
      <c r="J1892" s="8">
        <f t="shared" si="29"/>
        <v>24337</v>
      </c>
    </row>
    <row r="1893" spans="1:10" x14ac:dyDescent="0.35">
      <c r="A1893" t="s">
        <v>449</v>
      </c>
      <c r="B1893">
        <v>1983</v>
      </c>
      <c r="C1893" t="s">
        <v>2365</v>
      </c>
      <c r="D1893">
        <v>21</v>
      </c>
      <c r="E1893">
        <v>1</v>
      </c>
      <c r="F1893" s="10">
        <v>22462.04</v>
      </c>
      <c r="G1893" t="s">
        <v>2358</v>
      </c>
      <c r="H1893" t="s">
        <v>2361</v>
      </c>
      <c r="I1893" t="s">
        <v>2370</v>
      </c>
      <c r="J1893" s="8">
        <f t="shared" si="29"/>
        <v>30671</v>
      </c>
    </row>
    <row r="1894" spans="1:10" x14ac:dyDescent="0.35">
      <c r="A1894" t="s">
        <v>448</v>
      </c>
      <c r="B1894">
        <v>1979</v>
      </c>
      <c r="C1894" t="s">
        <v>2360</v>
      </c>
      <c r="D1894">
        <v>14</v>
      </c>
      <c r="E1894">
        <v>2</v>
      </c>
      <c r="F1894" s="10">
        <v>22478.6</v>
      </c>
      <c r="G1894" t="s">
        <v>2358</v>
      </c>
      <c r="H1894" t="s">
        <v>2357</v>
      </c>
      <c r="I1894" t="s">
        <v>2368</v>
      </c>
      <c r="J1894" s="8">
        <f t="shared" si="29"/>
        <v>29173</v>
      </c>
    </row>
    <row r="1895" spans="1:10" x14ac:dyDescent="0.35">
      <c r="A1895" t="s">
        <v>447</v>
      </c>
      <c r="B1895">
        <v>2003</v>
      </c>
      <c r="C1895" t="s">
        <v>2356</v>
      </c>
      <c r="D1895">
        <v>25</v>
      </c>
      <c r="E1895">
        <v>2</v>
      </c>
      <c r="F1895" s="10">
        <v>22493.66</v>
      </c>
      <c r="G1895" t="s">
        <v>2357</v>
      </c>
      <c r="H1895" t="s">
        <v>2361</v>
      </c>
      <c r="I1895" t="s">
        <v>2364</v>
      </c>
      <c r="J1895" s="8">
        <f t="shared" si="29"/>
        <v>37827</v>
      </c>
    </row>
    <row r="1896" spans="1:10" x14ac:dyDescent="0.35">
      <c r="A1896" t="s">
        <v>446</v>
      </c>
      <c r="B1896">
        <v>1970</v>
      </c>
      <c r="C1896" t="s">
        <v>2360</v>
      </c>
      <c r="D1896">
        <v>9</v>
      </c>
      <c r="E1896">
        <v>0</v>
      </c>
      <c r="F1896" s="10">
        <v>23045.57</v>
      </c>
      <c r="G1896" t="s">
        <v>2357</v>
      </c>
      <c r="H1896" t="s">
        <v>2357</v>
      </c>
      <c r="I1896" t="s">
        <v>2374</v>
      </c>
      <c r="J1896" s="8">
        <f t="shared" si="29"/>
        <v>25881</v>
      </c>
    </row>
    <row r="1897" spans="1:10" x14ac:dyDescent="0.35">
      <c r="A1897" t="s">
        <v>445</v>
      </c>
      <c r="B1897">
        <v>1975</v>
      </c>
      <c r="C1897" t="s">
        <v>2363</v>
      </c>
      <c r="D1897">
        <v>9</v>
      </c>
      <c r="E1897">
        <v>0</v>
      </c>
      <c r="F1897" s="10">
        <v>23065.42</v>
      </c>
      <c r="G1897" t="s">
        <v>2357</v>
      </c>
      <c r="H1897" t="s">
        <v>2357</v>
      </c>
      <c r="I1897" t="s">
        <v>2359</v>
      </c>
      <c r="J1897" s="8">
        <f t="shared" si="29"/>
        <v>27646</v>
      </c>
    </row>
    <row r="1898" spans="1:10" x14ac:dyDescent="0.35">
      <c r="A1898" t="s">
        <v>444</v>
      </c>
      <c r="B1898">
        <v>2003</v>
      </c>
      <c r="C1898" t="s">
        <v>2365</v>
      </c>
      <c r="D1898">
        <v>14</v>
      </c>
      <c r="E1898">
        <v>0</v>
      </c>
      <c r="F1898" s="10">
        <v>23082.959999999999</v>
      </c>
      <c r="G1898" t="s">
        <v>2357</v>
      </c>
      <c r="H1898" t="s">
        <v>2357</v>
      </c>
      <c r="I1898" t="s">
        <v>2368</v>
      </c>
      <c r="J1898" s="8">
        <f t="shared" si="29"/>
        <v>37969</v>
      </c>
    </row>
    <row r="1899" spans="1:10" x14ac:dyDescent="0.35">
      <c r="A1899" t="s">
        <v>443</v>
      </c>
      <c r="B1899">
        <v>1997</v>
      </c>
      <c r="C1899" t="s">
        <v>2366</v>
      </c>
      <c r="D1899">
        <v>7</v>
      </c>
      <c r="E1899">
        <v>2</v>
      </c>
      <c r="F1899" s="10">
        <v>23241.47</v>
      </c>
      <c r="G1899" t="s">
        <v>2357</v>
      </c>
      <c r="H1899" t="s">
        <v>2358</v>
      </c>
      <c r="I1899" t="s">
        <v>2372</v>
      </c>
      <c r="J1899" s="8">
        <f t="shared" si="29"/>
        <v>35649</v>
      </c>
    </row>
    <row r="1900" spans="1:10" x14ac:dyDescent="0.35">
      <c r="A1900" t="s">
        <v>442</v>
      </c>
      <c r="B1900">
        <v>1969</v>
      </c>
      <c r="C1900" t="s">
        <v>2360</v>
      </c>
      <c r="D1900">
        <v>14</v>
      </c>
      <c r="E1900">
        <v>1</v>
      </c>
      <c r="F1900" s="10">
        <v>23244.79</v>
      </c>
      <c r="G1900" t="s">
        <v>2357</v>
      </c>
      <c r="H1900" t="s">
        <v>2358</v>
      </c>
      <c r="I1900" t="s">
        <v>2359</v>
      </c>
      <c r="J1900" s="8">
        <f t="shared" si="29"/>
        <v>25521</v>
      </c>
    </row>
    <row r="1901" spans="1:10" x14ac:dyDescent="0.35">
      <c r="A1901" t="s">
        <v>441</v>
      </c>
      <c r="B1901">
        <v>1994</v>
      </c>
      <c r="C1901" t="s">
        <v>2367</v>
      </c>
      <c r="D1901">
        <v>3</v>
      </c>
      <c r="E1901">
        <v>1</v>
      </c>
      <c r="F1901" s="10">
        <v>23288.93</v>
      </c>
      <c r="G1901" t="s">
        <v>2357</v>
      </c>
      <c r="H1901" t="s">
        <v>2358</v>
      </c>
      <c r="I1901" t="s">
        <v>2374</v>
      </c>
      <c r="J1901" s="8">
        <f t="shared" si="29"/>
        <v>34610</v>
      </c>
    </row>
    <row r="1902" spans="1:10" x14ac:dyDescent="0.35">
      <c r="A1902" t="s">
        <v>440</v>
      </c>
      <c r="B1902">
        <v>1973</v>
      </c>
      <c r="C1902" t="s">
        <v>2367</v>
      </c>
      <c r="D1902">
        <v>22</v>
      </c>
      <c r="E1902">
        <v>2</v>
      </c>
      <c r="F1902" s="10">
        <v>23306.55</v>
      </c>
      <c r="G1902" t="s">
        <v>2357</v>
      </c>
      <c r="H1902" t="s">
        <v>2357</v>
      </c>
      <c r="I1902" t="s">
        <v>2368</v>
      </c>
      <c r="J1902" s="8">
        <f t="shared" si="29"/>
        <v>26959</v>
      </c>
    </row>
    <row r="1903" spans="1:10" x14ac:dyDescent="0.35">
      <c r="A1903" t="s">
        <v>439</v>
      </c>
      <c r="B1903">
        <v>1975</v>
      </c>
      <c r="C1903" t="s">
        <v>2360</v>
      </c>
      <c r="D1903">
        <v>13</v>
      </c>
      <c r="E1903">
        <v>1</v>
      </c>
      <c r="F1903" s="10">
        <v>23401.31</v>
      </c>
      <c r="G1903" t="s">
        <v>2357</v>
      </c>
      <c r="H1903" t="s">
        <v>2358</v>
      </c>
      <c r="I1903" t="s">
        <v>2374</v>
      </c>
      <c r="J1903" s="8">
        <f t="shared" si="29"/>
        <v>27711</v>
      </c>
    </row>
    <row r="1904" spans="1:10" x14ac:dyDescent="0.35">
      <c r="A1904" t="s">
        <v>438</v>
      </c>
      <c r="B1904">
        <v>1983</v>
      </c>
      <c r="C1904" t="s">
        <v>2366</v>
      </c>
      <c r="D1904">
        <v>26</v>
      </c>
      <c r="E1904">
        <v>2</v>
      </c>
      <c r="F1904" s="10">
        <v>23563.02</v>
      </c>
      <c r="G1904" t="s">
        <v>2357</v>
      </c>
      <c r="H1904" t="s">
        <v>2357</v>
      </c>
      <c r="I1904" t="s">
        <v>2359</v>
      </c>
      <c r="J1904" s="8">
        <f t="shared" si="29"/>
        <v>30554</v>
      </c>
    </row>
    <row r="1905" spans="1:10" x14ac:dyDescent="0.35">
      <c r="A1905" t="s">
        <v>437</v>
      </c>
      <c r="B1905">
        <v>1974</v>
      </c>
      <c r="C1905" t="s">
        <v>2362</v>
      </c>
      <c r="D1905">
        <v>2</v>
      </c>
      <c r="E1905">
        <v>1</v>
      </c>
      <c r="F1905" s="10">
        <v>23568.27</v>
      </c>
      <c r="G1905" t="s">
        <v>2357</v>
      </c>
      <c r="H1905" t="s">
        <v>2357</v>
      </c>
      <c r="I1905" t="s">
        <v>2368</v>
      </c>
      <c r="J1905" s="8">
        <f t="shared" si="29"/>
        <v>27182</v>
      </c>
    </row>
    <row r="1906" spans="1:10" x14ac:dyDescent="0.35">
      <c r="A1906" t="s">
        <v>436</v>
      </c>
      <c r="B1906">
        <v>1973</v>
      </c>
      <c r="C1906" t="s">
        <v>2362</v>
      </c>
      <c r="D1906">
        <v>27</v>
      </c>
      <c r="E1906">
        <v>2</v>
      </c>
      <c r="F1906" s="10">
        <v>23807.24</v>
      </c>
      <c r="G1906" t="s">
        <v>2357</v>
      </c>
      <c r="H1906" t="s">
        <v>2358</v>
      </c>
      <c r="I1906" t="s">
        <v>2364</v>
      </c>
      <c r="J1906" s="8">
        <f t="shared" si="29"/>
        <v>26842</v>
      </c>
    </row>
    <row r="1907" spans="1:10" x14ac:dyDescent="0.35">
      <c r="A1907" t="s">
        <v>435</v>
      </c>
      <c r="B1907">
        <v>1970</v>
      </c>
      <c r="C1907" t="s">
        <v>2366</v>
      </c>
      <c r="D1907">
        <v>8</v>
      </c>
      <c r="E1907">
        <v>1</v>
      </c>
      <c r="F1907" s="10">
        <v>23887.66</v>
      </c>
      <c r="G1907" t="s">
        <v>2357</v>
      </c>
      <c r="H1907" t="s">
        <v>2358</v>
      </c>
      <c r="I1907" t="s">
        <v>2364</v>
      </c>
      <c r="J1907" s="8">
        <f t="shared" si="29"/>
        <v>25788</v>
      </c>
    </row>
    <row r="1908" spans="1:10" x14ac:dyDescent="0.35">
      <c r="A1908" t="s">
        <v>434</v>
      </c>
      <c r="B1908">
        <v>1971</v>
      </c>
      <c r="C1908" t="s">
        <v>2356</v>
      </c>
      <c r="D1908">
        <v>10</v>
      </c>
      <c r="E1908">
        <v>2</v>
      </c>
      <c r="F1908" s="10">
        <v>23967.38</v>
      </c>
      <c r="G1908" t="s">
        <v>2357</v>
      </c>
      <c r="H1908" t="s">
        <v>2357</v>
      </c>
      <c r="I1908" t="s">
        <v>2364</v>
      </c>
      <c r="J1908" s="8">
        <f t="shared" si="29"/>
        <v>26124</v>
      </c>
    </row>
    <row r="1909" spans="1:10" x14ac:dyDescent="0.35">
      <c r="A1909" t="s">
        <v>433</v>
      </c>
      <c r="B1909">
        <v>2003</v>
      </c>
      <c r="C1909" t="s">
        <v>2365</v>
      </c>
      <c r="D1909">
        <v>30</v>
      </c>
      <c r="E1909">
        <v>2</v>
      </c>
      <c r="F1909" s="10">
        <v>24059.68</v>
      </c>
      <c r="G1909" t="s">
        <v>2357</v>
      </c>
      <c r="H1909" t="s">
        <v>2357</v>
      </c>
      <c r="I1909" t="s">
        <v>2364</v>
      </c>
      <c r="J1909" s="8">
        <f t="shared" si="29"/>
        <v>37985</v>
      </c>
    </row>
    <row r="1910" spans="1:10" x14ac:dyDescent="0.35">
      <c r="A1910" t="s">
        <v>432</v>
      </c>
      <c r="B1910">
        <v>1973</v>
      </c>
      <c r="C1910" t="s">
        <v>2362</v>
      </c>
      <c r="D1910">
        <v>13</v>
      </c>
      <c r="E1910">
        <v>3</v>
      </c>
      <c r="F1910" s="10">
        <v>24106.91</v>
      </c>
      <c r="G1910" t="s">
        <v>2357</v>
      </c>
      <c r="H1910" t="s">
        <v>2357</v>
      </c>
      <c r="I1910" t="s">
        <v>2374</v>
      </c>
      <c r="J1910" s="8">
        <f t="shared" si="29"/>
        <v>26828</v>
      </c>
    </row>
    <row r="1911" spans="1:10" x14ac:dyDescent="0.35">
      <c r="A1911" t="s">
        <v>431</v>
      </c>
      <c r="B1911">
        <v>1974</v>
      </c>
      <c r="C1911" t="s">
        <v>2363</v>
      </c>
      <c r="D1911">
        <v>10</v>
      </c>
      <c r="E1911">
        <v>3</v>
      </c>
      <c r="F1911" s="10">
        <v>24180.93</v>
      </c>
      <c r="G1911" t="s">
        <v>2357</v>
      </c>
      <c r="H1911" t="s">
        <v>2361</v>
      </c>
      <c r="I1911" t="s">
        <v>2359</v>
      </c>
      <c r="J1911" s="8">
        <f t="shared" si="29"/>
        <v>27282</v>
      </c>
    </row>
    <row r="1912" spans="1:10" x14ac:dyDescent="0.35">
      <c r="A1912" t="s">
        <v>430</v>
      </c>
      <c r="B1912">
        <v>1964</v>
      </c>
      <c r="C1912" t="s">
        <v>2365</v>
      </c>
      <c r="D1912">
        <v>16</v>
      </c>
      <c r="E1912">
        <v>0</v>
      </c>
      <c r="F1912" s="10">
        <v>24227.34</v>
      </c>
      <c r="G1912" t="s">
        <v>2357</v>
      </c>
      <c r="H1912" t="s">
        <v>2361</v>
      </c>
      <c r="I1912" t="s">
        <v>2359</v>
      </c>
      <c r="J1912" s="8">
        <f t="shared" si="29"/>
        <v>23727</v>
      </c>
    </row>
    <row r="1913" spans="1:10" x14ac:dyDescent="0.35">
      <c r="A1913" t="s">
        <v>429</v>
      </c>
      <c r="B1913">
        <v>2004</v>
      </c>
      <c r="C1913" t="s">
        <v>2366</v>
      </c>
      <c r="D1913">
        <v>3</v>
      </c>
      <c r="E1913">
        <v>0</v>
      </c>
      <c r="F1913" s="10">
        <v>24294.02</v>
      </c>
      <c r="G1913" t="s">
        <v>2357</v>
      </c>
      <c r="H1913" t="s">
        <v>2361</v>
      </c>
      <c r="I1913" t="s">
        <v>2368</v>
      </c>
      <c r="J1913" s="8">
        <f t="shared" si="29"/>
        <v>38202</v>
      </c>
    </row>
    <row r="1914" spans="1:10" x14ac:dyDescent="0.35">
      <c r="A1914" t="s">
        <v>428</v>
      </c>
      <c r="B1914">
        <v>1999</v>
      </c>
      <c r="C1914" t="s">
        <v>2367</v>
      </c>
      <c r="D1914">
        <v>7</v>
      </c>
      <c r="E1914">
        <v>0</v>
      </c>
      <c r="F1914" s="10">
        <v>24387.74</v>
      </c>
      <c r="G1914" t="s">
        <v>2357</v>
      </c>
      <c r="H1914" t="s">
        <v>2361</v>
      </c>
      <c r="I1914" t="s">
        <v>2368</v>
      </c>
      <c r="J1914" s="8">
        <f t="shared" si="29"/>
        <v>36440</v>
      </c>
    </row>
    <row r="1915" spans="1:10" x14ac:dyDescent="0.35">
      <c r="A1915" t="s">
        <v>427</v>
      </c>
      <c r="B1915">
        <v>1970</v>
      </c>
      <c r="C1915" t="s">
        <v>2360</v>
      </c>
      <c r="D1915">
        <v>30</v>
      </c>
      <c r="E1915">
        <v>0</v>
      </c>
      <c r="F1915" s="10">
        <v>24393.62</v>
      </c>
      <c r="G1915" t="s">
        <v>2357</v>
      </c>
      <c r="H1915" t="s">
        <v>2358</v>
      </c>
      <c r="I1915" t="s">
        <v>2364</v>
      </c>
      <c r="J1915" s="8">
        <f t="shared" si="29"/>
        <v>25902</v>
      </c>
    </row>
    <row r="1916" spans="1:10" x14ac:dyDescent="0.35">
      <c r="A1916" t="s">
        <v>426</v>
      </c>
      <c r="B1916">
        <v>1968</v>
      </c>
      <c r="C1916" t="s">
        <v>2356</v>
      </c>
      <c r="D1916">
        <v>6</v>
      </c>
      <c r="E1916">
        <v>0</v>
      </c>
      <c r="F1916" s="10">
        <v>24476.48</v>
      </c>
      <c r="G1916" t="s">
        <v>2357</v>
      </c>
      <c r="H1916" t="s">
        <v>2357</v>
      </c>
      <c r="I1916" t="s">
        <v>2364</v>
      </c>
      <c r="J1916" s="8">
        <f t="shared" si="29"/>
        <v>25025</v>
      </c>
    </row>
    <row r="1917" spans="1:10" x14ac:dyDescent="0.35">
      <c r="A1917" t="s">
        <v>425</v>
      </c>
      <c r="B1917">
        <v>1961</v>
      </c>
      <c r="C1917" t="s">
        <v>2367</v>
      </c>
      <c r="D1917">
        <v>21</v>
      </c>
      <c r="E1917">
        <v>0</v>
      </c>
      <c r="F1917" s="10">
        <v>24513.09</v>
      </c>
      <c r="G1917" t="s">
        <v>2357</v>
      </c>
      <c r="H1917" t="s">
        <v>2357</v>
      </c>
      <c r="I1917" t="s">
        <v>2359</v>
      </c>
      <c r="J1917" s="8">
        <f t="shared" si="29"/>
        <v>22575</v>
      </c>
    </row>
    <row r="1918" spans="1:10" x14ac:dyDescent="0.35">
      <c r="A1918" t="s">
        <v>424</v>
      </c>
      <c r="B1918">
        <v>1972</v>
      </c>
      <c r="C1918" t="s">
        <v>2363</v>
      </c>
      <c r="D1918">
        <v>14</v>
      </c>
      <c r="E1918">
        <v>1</v>
      </c>
      <c r="F1918" s="10">
        <v>24520.26</v>
      </c>
      <c r="G1918" t="s">
        <v>2357</v>
      </c>
      <c r="H1918" t="s">
        <v>2358</v>
      </c>
      <c r="I1918" t="s">
        <v>2368</v>
      </c>
      <c r="J1918" s="8">
        <f t="shared" si="29"/>
        <v>26556</v>
      </c>
    </row>
    <row r="1919" spans="1:10" x14ac:dyDescent="0.35">
      <c r="A1919" t="s">
        <v>423</v>
      </c>
      <c r="B1919">
        <v>1975</v>
      </c>
      <c r="C1919" t="s">
        <v>2362</v>
      </c>
      <c r="D1919">
        <v>13</v>
      </c>
      <c r="E1919">
        <v>2</v>
      </c>
      <c r="F1919" s="10">
        <v>24535.7</v>
      </c>
      <c r="G1919" t="s">
        <v>2357</v>
      </c>
      <c r="H1919" t="s">
        <v>2357</v>
      </c>
      <c r="I1919" t="s">
        <v>2364</v>
      </c>
      <c r="J1919" s="8">
        <f t="shared" si="29"/>
        <v>27558</v>
      </c>
    </row>
    <row r="1920" spans="1:10" x14ac:dyDescent="0.35">
      <c r="A1920" t="s">
        <v>422</v>
      </c>
      <c r="B1920">
        <v>1976</v>
      </c>
      <c r="C1920" t="s">
        <v>2367</v>
      </c>
      <c r="D1920">
        <v>12</v>
      </c>
      <c r="E1920">
        <v>0</v>
      </c>
      <c r="F1920" s="10">
        <v>24603.05</v>
      </c>
      <c r="G1920" t="s">
        <v>2357</v>
      </c>
      <c r="H1920" t="s">
        <v>2357</v>
      </c>
      <c r="I1920" t="s">
        <v>2368</v>
      </c>
      <c r="J1920" s="8">
        <f t="shared" si="29"/>
        <v>28045</v>
      </c>
    </row>
    <row r="1921" spans="1:10" x14ac:dyDescent="0.35">
      <c r="A1921" t="s">
        <v>421</v>
      </c>
      <c r="B1921">
        <v>1970</v>
      </c>
      <c r="C1921" t="s">
        <v>2362</v>
      </c>
      <c r="D1921">
        <v>12</v>
      </c>
      <c r="E1921">
        <v>2</v>
      </c>
      <c r="F1921" s="10">
        <v>24667.42</v>
      </c>
      <c r="G1921" t="s">
        <v>2357</v>
      </c>
      <c r="H1921" t="s">
        <v>2358</v>
      </c>
      <c r="I1921" t="s">
        <v>2359</v>
      </c>
      <c r="J1921" s="8">
        <f t="shared" si="29"/>
        <v>25731</v>
      </c>
    </row>
    <row r="1922" spans="1:10" x14ac:dyDescent="0.35">
      <c r="A1922" t="s">
        <v>420</v>
      </c>
      <c r="B1922">
        <v>1996</v>
      </c>
      <c r="C1922" t="s">
        <v>2366</v>
      </c>
      <c r="D1922">
        <v>28</v>
      </c>
      <c r="E1922">
        <v>4</v>
      </c>
      <c r="F1922" s="10">
        <v>24671.66</v>
      </c>
      <c r="G1922" t="s">
        <v>2357</v>
      </c>
      <c r="H1922" t="s">
        <v>2361</v>
      </c>
      <c r="I1922" t="s">
        <v>2374</v>
      </c>
      <c r="J1922" s="8">
        <f t="shared" si="29"/>
        <v>35305</v>
      </c>
    </row>
    <row r="1923" spans="1:10" x14ac:dyDescent="0.35">
      <c r="A1923" t="s">
        <v>419</v>
      </c>
      <c r="B1923">
        <v>1992</v>
      </c>
      <c r="C1923" t="s">
        <v>2367</v>
      </c>
      <c r="D1923">
        <v>11</v>
      </c>
      <c r="E1923">
        <v>0</v>
      </c>
      <c r="F1923" s="10">
        <v>24795.040000000001</v>
      </c>
      <c r="G1923" t="s">
        <v>2357</v>
      </c>
      <c r="H1923" t="s">
        <v>2358</v>
      </c>
      <c r="I1923" t="s">
        <v>2368</v>
      </c>
      <c r="J1923" s="8">
        <f t="shared" ref="J1923:J1986" si="30">DATE(B1923,MONTH(1&amp;C1923),D1923)</f>
        <v>33888</v>
      </c>
    </row>
    <row r="1924" spans="1:10" x14ac:dyDescent="0.35">
      <c r="A1924" t="s">
        <v>418</v>
      </c>
      <c r="B1924">
        <v>1994</v>
      </c>
      <c r="C1924" t="s">
        <v>2363</v>
      </c>
      <c r="D1924">
        <v>9</v>
      </c>
      <c r="E1924">
        <v>0</v>
      </c>
      <c r="F1924" s="10">
        <v>24817.25</v>
      </c>
      <c r="G1924" t="s">
        <v>2357</v>
      </c>
      <c r="H1924" t="s">
        <v>2357</v>
      </c>
      <c r="I1924" t="s">
        <v>2368</v>
      </c>
      <c r="J1924" s="8">
        <f t="shared" si="30"/>
        <v>34586</v>
      </c>
    </row>
    <row r="1925" spans="1:10" x14ac:dyDescent="0.35">
      <c r="A1925" t="s">
        <v>417</v>
      </c>
      <c r="B1925">
        <v>1995</v>
      </c>
      <c r="C1925" t="s">
        <v>2362</v>
      </c>
      <c r="D1925">
        <v>10</v>
      </c>
      <c r="E1925">
        <v>0</v>
      </c>
      <c r="F1925" s="10">
        <v>24863.25</v>
      </c>
      <c r="G1925" t="s">
        <v>2357</v>
      </c>
      <c r="H1925" t="s">
        <v>2358</v>
      </c>
      <c r="I1925" t="s">
        <v>2368</v>
      </c>
      <c r="J1925" s="8">
        <f t="shared" si="30"/>
        <v>34860</v>
      </c>
    </row>
    <row r="1926" spans="1:10" x14ac:dyDescent="0.35">
      <c r="A1926" t="s">
        <v>416</v>
      </c>
      <c r="B1926">
        <v>1970</v>
      </c>
      <c r="C1926" t="s">
        <v>2360</v>
      </c>
      <c r="D1926">
        <v>26</v>
      </c>
      <c r="E1926">
        <v>3</v>
      </c>
      <c r="F1926" s="10">
        <v>24869.84</v>
      </c>
      <c r="G1926" t="s">
        <v>2357</v>
      </c>
      <c r="H1926" t="s">
        <v>2357</v>
      </c>
      <c r="I1926" t="s">
        <v>2371</v>
      </c>
      <c r="J1926" s="8">
        <f t="shared" si="30"/>
        <v>25898</v>
      </c>
    </row>
    <row r="1927" spans="1:10" x14ac:dyDescent="0.35">
      <c r="A1927" t="s">
        <v>415</v>
      </c>
      <c r="B1927">
        <v>1969</v>
      </c>
      <c r="C1927" t="s">
        <v>2356</v>
      </c>
      <c r="D1927">
        <v>23</v>
      </c>
      <c r="E1927">
        <v>3</v>
      </c>
      <c r="F1927" s="10">
        <v>24873.38</v>
      </c>
      <c r="G1927" t="s">
        <v>2357</v>
      </c>
      <c r="H1927" t="s">
        <v>2361</v>
      </c>
      <c r="I1927" t="s">
        <v>2374</v>
      </c>
      <c r="J1927" s="8">
        <f t="shared" si="30"/>
        <v>25407</v>
      </c>
    </row>
    <row r="1928" spans="1:10" x14ac:dyDescent="0.35">
      <c r="A1928" t="s">
        <v>414</v>
      </c>
      <c r="B1928">
        <v>1987</v>
      </c>
      <c r="C1928" t="s">
        <v>2362</v>
      </c>
      <c r="D1928">
        <v>14</v>
      </c>
      <c r="E1928">
        <v>2</v>
      </c>
      <c r="F1928" s="10">
        <v>24915.05</v>
      </c>
      <c r="G1928" t="s">
        <v>2357</v>
      </c>
      <c r="H1928" t="s">
        <v>2361</v>
      </c>
      <c r="I1928" t="s">
        <v>2374</v>
      </c>
      <c r="J1928" s="8">
        <f t="shared" si="30"/>
        <v>31942</v>
      </c>
    </row>
    <row r="1929" spans="1:10" x14ac:dyDescent="0.35">
      <c r="A1929" t="s">
        <v>413</v>
      </c>
      <c r="B1929">
        <v>1975</v>
      </c>
      <c r="C1929" t="s">
        <v>2360</v>
      </c>
      <c r="D1929">
        <v>14</v>
      </c>
      <c r="E1929">
        <v>3</v>
      </c>
      <c r="F1929" s="10">
        <v>24915.22</v>
      </c>
      <c r="G1929" t="s">
        <v>2357</v>
      </c>
      <c r="H1929" t="s">
        <v>2358</v>
      </c>
      <c r="I1929" t="s">
        <v>2364</v>
      </c>
      <c r="J1929" s="8">
        <f t="shared" si="30"/>
        <v>27712</v>
      </c>
    </row>
    <row r="1930" spans="1:10" x14ac:dyDescent="0.35">
      <c r="A1930" t="s">
        <v>412</v>
      </c>
      <c r="B1930">
        <v>1995</v>
      </c>
      <c r="C1930" t="s">
        <v>2365</v>
      </c>
      <c r="D1930">
        <v>4</v>
      </c>
      <c r="E1930">
        <v>0</v>
      </c>
      <c r="F1930" s="10">
        <v>25075.97</v>
      </c>
      <c r="G1930" t="s">
        <v>2357</v>
      </c>
      <c r="H1930" t="s">
        <v>2357</v>
      </c>
      <c r="I1930" t="s">
        <v>2368</v>
      </c>
      <c r="J1930" s="8">
        <f t="shared" si="30"/>
        <v>35037</v>
      </c>
    </row>
    <row r="1931" spans="1:10" x14ac:dyDescent="0.35">
      <c r="A1931" t="s">
        <v>411</v>
      </c>
      <c r="B1931">
        <v>1998</v>
      </c>
      <c r="C1931" t="s">
        <v>2362</v>
      </c>
      <c r="D1931">
        <v>14</v>
      </c>
      <c r="E1931">
        <v>0</v>
      </c>
      <c r="F1931" s="10">
        <v>25081.77</v>
      </c>
      <c r="G1931" t="s">
        <v>2357</v>
      </c>
      <c r="H1931" t="s">
        <v>2357</v>
      </c>
      <c r="I1931" t="s">
        <v>2359</v>
      </c>
      <c r="J1931" s="8">
        <f t="shared" si="30"/>
        <v>35960</v>
      </c>
    </row>
    <row r="1932" spans="1:10" x14ac:dyDescent="0.35">
      <c r="A1932" t="s">
        <v>410</v>
      </c>
      <c r="B1932">
        <v>1998</v>
      </c>
      <c r="C1932" t="s">
        <v>2360</v>
      </c>
      <c r="D1932">
        <v>24</v>
      </c>
      <c r="E1932">
        <v>0</v>
      </c>
      <c r="F1932" s="10">
        <v>25127.22</v>
      </c>
      <c r="G1932" t="s">
        <v>2357</v>
      </c>
      <c r="H1932" t="s">
        <v>2358</v>
      </c>
      <c r="I1932" t="s">
        <v>2368</v>
      </c>
      <c r="J1932" s="8">
        <f t="shared" si="30"/>
        <v>36123</v>
      </c>
    </row>
    <row r="1933" spans="1:10" x14ac:dyDescent="0.35">
      <c r="A1933" t="s">
        <v>409</v>
      </c>
      <c r="B1933">
        <v>1975</v>
      </c>
      <c r="C1933" t="s">
        <v>2365</v>
      </c>
      <c r="D1933">
        <v>14</v>
      </c>
      <c r="E1933">
        <v>3</v>
      </c>
      <c r="F1933" s="10">
        <v>25309.49</v>
      </c>
      <c r="G1933" t="s">
        <v>2357</v>
      </c>
      <c r="H1933" t="s">
        <v>2361</v>
      </c>
      <c r="I1933" t="s">
        <v>2368</v>
      </c>
      <c r="J1933" s="8">
        <f t="shared" si="30"/>
        <v>27742</v>
      </c>
    </row>
    <row r="1934" spans="1:10" x14ac:dyDescent="0.35">
      <c r="A1934" t="s">
        <v>408</v>
      </c>
      <c r="B1934">
        <v>1972</v>
      </c>
      <c r="C1934" t="s">
        <v>2363</v>
      </c>
      <c r="D1934">
        <v>26</v>
      </c>
      <c r="E1934">
        <v>2</v>
      </c>
      <c r="F1934" s="10">
        <v>25333.33</v>
      </c>
      <c r="G1934" t="s">
        <v>2357</v>
      </c>
      <c r="H1934" t="s">
        <v>2357</v>
      </c>
      <c r="I1934" t="s">
        <v>2378</v>
      </c>
      <c r="J1934" s="8">
        <f t="shared" si="30"/>
        <v>26568</v>
      </c>
    </row>
    <row r="1935" spans="1:10" x14ac:dyDescent="0.35">
      <c r="A1935" t="s">
        <v>407</v>
      </c>
      <c r="B1935">
        <v>1968</v>
      </c>
      <c r="C1935" t="s">
        <v>2366</v>
      </c>
      <c r="D1935">
        <v>22</v>
      </c>
      <c r="E1935">
        <v>3</v>
      </c>
      <c r="F1935" s="10">
        <v>25382.3</v>
      </c>
      <c r="G1935" t="s">
        <v>2357</v>
      </c>
      <c r="H1935" t="s">
        <v>2357</v>
      </c>
      <c r="I1935" t="s">
        <v>2368</v>
      </c>
      <c r="J1935" s="8">
        <f t="shared" si="30"/>
        <v>25072</v>
      </c>
    </row>
    <row r="1936" spans="1:10" x14ac:dyDescent="0.35">
      <c r="A1936" t="s">
        <v>406</v>
      </c>
      <c r="B1936">
        <v>1968</v>
      </c>
      <c r="C1936" t="s">
        <v>2365</v>
      </c>
      <c r="D1936">
        <v>11</v>
      </c>
      <c r="E1936">
        <v>1</v>
      </c>
      <c r="F1936" s="10">
        <v>25517.11</v>
      </c>
      <c r="G1936" t="s">
        <v>2357</v>
      </c>
      <c r="H1936" t="s">
        <v>2358</v>
      </c>
      <c r="I1936" t="s">
        <v>2378</v>
      </c>
      <c r="J1936" s="8">
        <f t="shared" si="30"/>
        <v>25183</v>
      </c>
    </row>
    <row r="1937" spans="1:10" x14ac:dyDescent="0.35">
      <c r="A1937" t="s">
        <v>405</v>
      </c>
      <c r="B1937">
        <v>2001</v>
      </c>
      <c r="C1937" t="s">
        <v>2366</v>
      </c>
      <c r="D1937">
        <v>2</v>
      </c>
      <c r="E1937">
        <v>0</v>
      </c>
      <c r="F1937" s="10">
        <v>25648.98</v>
      </c>
      <c r="G1937" t="s">
        <v>2357</v>
      </c>
      <c r="H1937" t="s">
        <v>2361</v>
      </c>
      <c r="I1937" t="s">
        <v>2368</v>
      </c>
      <c r="J1937" s="8">
        <f t="shared" si="30"/>
        <v>37105</v>
      </c>
    </row>
    <row r="1938" spans="1:10" x14ac:dyDescent="0.35">
      <c r="A1938" t="s">
        <v>404</v>
      </c>
      <c r="B1938">
        <v>1972</v>
      </c>
      <c r="C1938" t="s">
        <v>2356</v>
      </c>
      <c r="D1938">
        <v>17</v>
      </c>
      <c r="E1938">
        <v>0</v>
      </c>
      <c r="F1938" s="10">
        <v>25656.58</v>
      </c>
      <c r="G1938" t="s">
        <v>2357</v>
      </c>
      <c r="H1938" t="s">
        <v>2358</v>
      </c>
      <c r="I1938" t="s">
        <v>2374</v>
      </c>
      <c r="J1938" s="8">
        <f t="shared" si="30"/>
        <v>26497</v>
      </c>
    </row>
    <row r="1939" spans="1:10" x14ac:dyDescent="0.35">
      <c r="A1939" t="s">
        <v>403</v>
      </c>
      <c r="B1939">
        <v>1963</v>
      </c>
      <c r="C1939" t="s">
        <v>2366</v>
      </c>
      <c r="D1939">
        <v>21</v>
      </c>
      <c r="E1939">
        <v>0</v>
      </c>
      <c r="F1939" s="10">
        <v>25678.78</v>
      </c>
      <c r="G1939" t="s">
        <v>2357</v>
      </c>
      <c r="H1939" t="s">
        <v>2358</v>
      </c>
      <c r="I1939" t="s">
        <v>2364</v>
      </c>
      <c r="J1939" s="8">
        <f t="shared" si="30"/>
        <v>23244</v>
      </c>
    </row>
    <row r="1940" spans="1:10" x14ac:dyDescent="0.35">
      <c r="A1940" t="s">
        <v>402</v>
      </c>
      <c r="B1940">
        <v>1970</v>
      </c>
      <c r="C1940" t="s">
        <v>2365</v>
      </c>
      <c r="D1940">
        <v>3</v>
      </c>
      <c r="E1940">
        <v>3</v>
      </c>
      <c r="F1940" s="10">
        <v>25992.82</v>
      </c>
      <c r="G1940" t="s">
        <v>2357</v>
      </c>
      <c r="H1940" t="s">
        <v>2357</v>
      </c>
      <c r="I1940" t="s">
        <v>2359</v>
      </c>
      <c r="J1940" s="8">
        <f t="shared" si="30"/>
        <v>25905</v>
      </c>
    </row>
    <row r="1941" spans="1:10" x14ac:dyDescent="0.35">
      <c r="A1941" t="s">
        <v>401</v>
      </c>
      <c r="B1941">
        <v>2001</v>
      </c>
      <c r="C1941" t="s">
        <v>2362</v>
      </c>
      <c r="D1941">
        <v>5</v>
      </c>
      <c r="E1941">
        <v>2</v>
      </c>
      <c r="F1941" s="10">
        <v>26018.95</v>
      </c>
      <c r="G1941" t="s">
        <v>2357</v>
      </c>
      <c r="H1941" t="s">
        <v>2357</v>
      </c>
      <c r="I1941" t="s">
        <v>2364</v>
      </c>
      <c r="J1941" s="8">
        <f t="shared" si="30"/>
        <v>37047</v>
      </c>
    </row>
    <row r="1942" spans="1:10" x14ac:dyDescent="0.35">
      <c r="A1942" t="s">
        <v>400</v>
      </c>
      <c r="B1942">
        <v>2000</v>
      </c>
      <c r="C1942" t="s">
        <v>2365</v>
      </c>
      <c r="D1942">
        <v>26</v>
      </c>
      <c r="E1942">
        <v>0</v>
      </c>
      <c r="F1942" s="10">
        <v>26026.97</v>
      </c>
      <c r="G1942" t="s">
        <v>2357</v>
      </c>
      <c r="H1942" t="s">
        <v>2358</v>
      </c>
      <c r="I1942" t="s">
        <v>2368</v>
      </c>
      <c r="J1942" s="8">
        <f t="shared" si="30"/>
        <v>36886</v>
      </c>
    </row>
    <row r="1943" spans="1:10" x14ac:dyDescent="0.35">
      <c r="A1943" t="s">
        <v>399</v>
      </c>
      <c r="B1943">
        <v>1966</v>
      </c>
      <c r="C1943" t="s">
        <v>2356</v>
      </c>
      <c r="D1943">
        <v>9</v>
      </c>
      <c r="E1943">
        <v>1</v>
      </c>
      <c r="F1943" s="10">
        <v>26109.33</v>
      </c>
      <c r="G1943" t="s">
        <v>2357</v>
      </c>
      <c r="H1943" t="s">
        <v>2358</v>
      </c>
      <c r="I1943" t="s">
        <v>2364</v>
      </c>
      <c r="J1943" s="8">
        <f t="shared" si="30"/>
        <v>24297</v>
      </c>
    </row>
    <row r="1944" spans="1:10" x14ac:dyDescent="0.35">
      <c r="A1944" t="s">
        <v>398</v>
      </c>
      <c r="B1944">
        <v>2002</v>
      </c>
      <c r="C1944" t="s">
        <v>2367</v>
      </c>
      <c r="D1944">
        <v>11</v>
      </c>
      <c r="E1944">
        <v>0</v>
      </c>
      <c r="F1944" s="10">
        <v>26125.67</v>
      </c>
      <c r="G1944" t="s">
        <v>2357</v>
      </c>
      <c r="H1944" t="s">
        <v>2361</v>
      </c>
      <c r="I1944" t="s">
        <v>2359</v>
      </c>
      <c r="J1944" s="8">
        <f t="shared" si="30"/>
        <v>37540</v>
      </c>
    </row>
    <row r="1945" spans="1:10" x14ac:dyDescent="0.35">
      <c r="A1945" t="s">
        <v>397</v>
      </c>
      <c r="B1945">
        <v>1973</v>
      </c>
      <c r="C1945" t="s">
        <v>2356</v>
      </c>
      <c r="D1945">
        <v>7</v>
      </c>
      <c r="E1945">
        <v>1</v>
      </c>
      <c r="F1945" s="10">
        <v>26140.36</v>
      </c>
      <c r="G1945" t="s">
        <v>2357</v>
      </c>
      <c r="H1945" t="s">
        <v>2358</v>
      </c>
      <c r="I1945" t="s">
        <v>2368</v>
      </c>
      <c r="J1945" s="8">
        <f t="shared" si="30"/>
        <v>26852</v>
      </c>
    </row>
    <row r="1946" spans="1:10" x14ac:dyDescent="0.35">
      <c r="A1946" t="s">
        <v>396</v>
      </c>
      <c r="B1946">
        <v>1975</v>
      </c>
      <c r="C1946" t="s">
        <v>2362</v>
      </c>
      <c r="D1946">
        <v>4</v>
      </c>
      <c r="E1946">
        <v>1</v>
      </c>
      <c r="F1946" s="10">
        <v>26236.58</v>
      </c>
      <c r="G1946" t="s">
        <v>2357</v>
      </c>
      <c r="H1946" t="s">
        <v>2361</v>
      </c>
      <c r="I1946" t="s">
        <v>2368</v>
      </c>
      <c r="J1946" s="8">
        <f t="shared" si="30"/>
        <v>27549</v>
      </c>
    </row>
    <row r="1947" spans="1:10" x14ac:dyDescent="0.35">
      <c r="A1947" t="s">
        <v>395</v>
      </c>
      <c r="B1947">
        <v>2004</v>
      </c>
      <c r="C1947" t="s">
        <v>2365</v>
      </c>
      <c r="D1947">
        <v>5</v>
      </c>
      <c r="E1947">
        <v>0</v>
      </c>
      <c r="F1947" s="10">
        <v>26316.59</v>
      </c>
      <c r="G1947" t="s">
        <v>2357</v>
      </c>
      <c r="H1947" t="s">
        <v>2358</v>
      </c>
      <c r="I1947" t="s">
        <v>2368</v>
      </c>
      <c r="J1947" s="8">
        <f t="shared" si="30"/>
        <v>38326</v>
      </c>
    </row>
    <row r="1948" spans="1:10" x14ac:dyDescent="0.35">
      <c r="A1948" t="s">
        <v>394</v>
      </c>
      <c r="B1948">
        <v>1974</v>
      </c>
      <c r="C1948" t="s">
        <v>2363</v>
      </c>
      <c r="D1948">
        <v>21</v>
      </c>
      <c r="E1948">
        <v>1</v>
      </c>
      <c r="F1948" s="10">
        <v>26392.26</v>
      </c>
      <c r="G1948" t="s">
        <v>2357</v>
      </c>
      <c r="H1948" t="s">
        <v>2357</v>
      </c>
      <c r="I1948" t="s">
        <v>2374</v>
      </c>
      <c r="J1948" s="8">
        <f t="shared" si="30"/>
        <v>27293</v>
      </c>
    </row>
    <row r="1949" spans="1:10" x14ac:dyDescent="0.35">
      <c r="A1949" t="s">
        <v>393</v>
      </c>
      <c r="B1949">
        <v>1970</v>
      </c>
      <c r="C1949" t="s">
        <v>2366</v>
      </c>
      <c r="D1949">
        <v>27</v>
      </c>
      <c r="E1949">
        <v>2</v>
      </c>
      <c r="F1949" s="10">
        <v>26467.1</v>
      </c>
      <c r="G1949" t="s">
        <v>2357</v>
      </c>
      <c r="H1949" t="s">
        <v>2358</v>
      </c>
      <c r="I1949" t="s">
        <v>2364</v>
      </c>
      <c r="J1949" s="8">
        <f t="shared" si="30"/>
        <v>25807</v>
      </c>
    </row>
    <row r="1950" spans="1:10" x14ac:dyDescent="0.35">
      <c r="A1950" t="s">
        <v>392</v>
      </c>
      <c r="B1950">
        <v>2004</v>
      </c>
      <c r="C1950" t="s">
        <v>2363</v>
      </c>
      <c r="D1950">
        <v>5</v>
      </c>
      <c r="E1950">
        <v>0</v>
      </c>
      <c r="F1950" s="10">
        <v>26479.4</v>
      </c>
      <c r="G1950" t="s">
        <v>2357</v>
      </c>
      <c r="H1950" t="s">
        <v>2357</v>
      </c>
      <c r="I1950" t="s">
        <v>2368</v>
      </c>
      <c r="J1950" s="8">
        <f t="shared" si="30"/>
        <v>38235</v>
      </c>
    </row>
    <row r="1951" spans="1:10" x14ac:dyDescent="0.35">
      <c r="A1951" t="s">
        <v>391</v>
      </c>
      <c r="B1951">
        <v>1988</v>
      </c>
      <c r="C1951" t="s">
        <v>2356</v>
      </c>
      <c r="D1951">
        <v>22</v>
      </c>
      <c r="E1951">
        <v>3</v>
      </c>
      <c r="F1951" s="10">
        <v>26607.89</v>
      </c>
      <c r="G1951" t="s">
        <v>2357</v>
      </c>
      <c r="H1951" t="s">
        <v>2361</v>
      </c>
      <c r="I1951" t="s">
        <v>2368</v>
      </c>
      <c r="J1951" s="8">
        <f t="shared" si="30"/>
        <v>32346</v>
      </c>
    </row>
    <row r="1952" spans="1:10" x14ac:dyDescent="0.35">
      <c r="A1952" t="s">
        <v>390</v>
      </c>
      <c r="B1952">
        <v>1991</v>
      </c>
      <c r="C1952" t="s">
        <v>2366</v>
      </c>
      <c r="D1952">
        <v>22</v>
      </c>
      <c r="E1952">
        <v>3</v>
      </c>
      <c r="F1952" s="10">
        <v>26912.560000000001</v>
      </c>
      <c r="G1952" t="s">
        <v>2357</v>
      </c>
      <c r="H1952" t="s">
        <v>2357</v>
      </c>
      <c r="I1952" t="s">
        <v>2368</v>
      </c>
      <c r="J1952" s="8">
        <f t="shared" si="30"/>
        <v>33472</v>
      </c>
    </row>
    <row r="1953" spans="1:10" x14ac:dyDescent="0.35">
      <c r="A1953" t="s">
        <v>389</v>
      </c>
      <c r="B1953">
        <v>1958</v>
      </c>
      <c r="C1953" t="s">
        <v>2365</v>
      </c>
      <c r="D1953">
        <v>25</v>
      </c>
      <c r="E1953">
        <v>0</v>
      </c>
      <c r="F1953" s="10">
        <v>26926.51</v>
      </c>
      <c r="G1953" t="s">
        <v>2357</v>
      </c>
      <c r="H1953" t="s">
        <v>2361</v>
      </c>
      <c r="I1953" t="s">
        <v>2359</v>
      </c>
      <c r="J1953" s="8">
        <f t="shared" si="30"/>
        <v>21544</v>
      </c>
    </row>
    <row r="1954" spans="1:10" x14ac:dyDescent="0.35">
      <c r="A1954" t="s">
        <v>388</v>
      </c>
      <c r="B1954">
        <v>2002</v>
      </c>
      <c r="C1954" t="s">
        <v>2362</v>
      </c>
      <c r="D1954">
        <v>17</v>
      </c>
      <c r="E1954">
        <v>0</v>
      </c>
      <c r="F1954" s="10">
        <v>26927.69</v>
      </c>
      <c r="G1954" t="s">
        <v>2357</v>
      </c>
      <c r="H1954" t="s">
        <v>2357</v>
      </c>
      <c r="I1954" t="s">
        <v>2368</v>
      </c>
      <c r="J1954" s="8">
        <f t="shared" si="30"/>
        <v>37424</v>
      </c>
    </row>
    <row r="1955" spans="1:10" x14ac:dyDescent="0.35">
      <c r="A1955" t="s">
        <v>387</v>
      </c>
      <c r="B1955">
        <v>2000</v>
      </c>
      <c r="C1955" t="s">
        <v>2360</v>
      </c>
      <c r="D1955">
        <v>9</v>
      </c>
      <c r="E1955">
        <v>0</v>
      </c>
      <c r="F1955" s="10">
        <v>26936.98</v>
      </c>
      <c r="G1955" t="s">
        <v>2357</v>
      </c>
      <c r="H1955" t="s">
        <v>2358</v>
      </c>
      <c r="I1955" t="s">
        <v>2368</v>
      </c>
      <c r="J1955" s="8">
        <f t="shared" si="30"/>
        <v>36839</v>
      </c>
    </row>
    <row r="1956" spans="1:10" x14ac:dyDescent="0.35">
      <c r="A1956" t="s">
        <v>386</v>
      </c>
      <c r="B1956">
        <v>1960</v>
      </c>
      <c r="C1956" t="s">
        <v>2356</v>
      </c>
      <c r="D1956">
        <v>9</v>
      </c>
      <c r="E1956">
        <v>1</v>
      </c>
      <c r="F1956" s="10">
        <v>27000.98</v>
      </c>
      <c r="G1956" t="s">
        <v>2357</v>
      </c>
      <c r="H1956" t="s">
        <v>2357</v>
      </c>
      <c r="I1956" t="s">
        <v>2359</v>
      </c>
      <c r="J1956" s="8">
        <f t="shared" si="30"/>
        <v>22106</v>
      </c>
    </row>
    <row r="1957" spans="1:10" x14ac:dyDescent="0.35">
      <c r="A1957" t="s">
        <v>385</v>
      </c>
      <c r="B1957">
        <v>1958</v>
      </c>
      <c r="C1957" t="s">
        <v>2362</v>
      </c>
      <c r="D1957">
        <v>30</v>
      </c>
      <c r="E1957">
        <v>0</v>
      </c>
      <c r="F1957" s="10">
        <v>27037.91</v>
      </c>
      <c r="G1957" t="s">
        <v>2357</v>
      </c>
      <c r="H1957" t="s">
        <v>2357</v>
      </c>
      <c r="I1957" t="s">
        <v>2359</v>
      </c>
      <c r="J1957" s="8">
        <f t="shared" si="30"/>
        <v>21366</v>
      </c>
    </row>
    <row r="1958" spans="1:10" x14ac:dyDescent="0.35">
      <c r="A1958" t="s">
        <v>384</v>
      </c>
      <c r="B1958">
        <v>1994</v>
      </c>
      <c r="C1958" t="s">
        <v>2356</v>
      </c>
      <c r="D1958">
        <v>2</v>
      </c>
      <c r="E1958">
        <v>0</v>
      </c>
      <c r="F1958" s="10">
        <v>27080.639999999999</v>
      </c>
      <c r="G1958" t="s">
        <v>2357</v>
      </c>
      <c r="H1958" t="s">
        <v>2357</v>
      </c>
      <c r="I1958" t="s">
        <v>2368</v>
      </c>
      <c r="J1958" s="8">
        <f t="shared" si="30"/>
        <v>34517</v>
      </c>
    </row>
    <row r="1959" spans="1:10" x14ac:dyDescent="0.35">
      <c r="A1959" t="s">
        <v>383</v>
      </c>
      <c r="B1959">
        <v>1990</v>
      </c>
      <c r="C1959" t="s">
        <v>2365</v>
      </c>
      <c r="D1959">
        <v>13</v>
      </c>
      <c r="E1959">
        <v>3</v>
      </c>
      <c r="F1959" s="10">
        <v>27092.38</v>
      </c>
      <c r="G1959" t="s">
        <v>2357</v>
      </c>
      <c r="H1959" t="s">
        <v>2358</v>
      </c>
      <c r="I1959" t="s">
        <v>2368</v>
      </c>
      <c r="J1959" s="8">
        <f t="shared" si="30"/>
        <v>33220</v>
      </c>
    </row>
    <row r="1960" spans="1:10" x14ac:dyDescent="0.35">
      <c r="A1960" t="s">
        <v>382</v>
      </c>
      <c r="B1960">
        <v>1970</v>
      </c>
      <c r="C1960" t="s">
        <v>2367</v>
      </c>
      <c r="D1960">
        <v>2</v>
      </c>
      <c r="E1960">
        <v>0</v>
      </c>
      <c r="F1960" s="10">
        <v>27117.99</v>
      </c>
      <c r="G1960" t="s">
        <v>2357</v>
      </c>
      <c r="H1960" t="s">
        <v>2357</v>
      </c>
      <c r="I1960" t="s">
        <v>2359</v>
      </c>
      <c r="J1960" s="8">
        <f t="shared" si="30"/>
        <v>25843</v>
      </c>
    </row>
    <row r="1961" spans="1:10" x14ac:dyDescent="0.35">
      <c r="A1961" t="s">
        <v>381</v>
      </c>
      <c r="B1961">
        <v>1965</v>
      </c>
      <c r="C1961" t="s">
        <v>2365</v>
      </c>
      <c r="D1961">
        <v>21</v>
      </c>
      <c r="E1961">
        <v>0</v>
      </c>
      <c r="F1961" s="10">
        <v>27218.44</v>
      </c>
      <c r="G1961" t="s">
        <v>2357</v>
      </c>
      <c r="H1961" t="s">
        <v>2361</v>
      </c>
      <c r="I1961" t="s">
        <v>2378</v>
      </c>
      <c r="J1961" s="8">
        <f t="shared" si="30"/>
        <v>24097</v>
      </c>
    </row>
    <row r="1962" spans="1:10" x14ac:dyDescent="0.35">
      <c r="A1962" t="s">
        <v>380</v>
      </c>
      <c r="B1962">
        <v>1999</v>
      </c>
      <c r="C1962" t="s">
        <v>2365</v>
      </c>
      <c r="D1962">
        <v>2</v>
      </c>
      <c r="E1962">
        <v>0</v>
      </c>
      <c r="F1962" s="10">
        <v>27236.959999999999</v>
      </c>
      <c r="G1962" t="s">
        <v>2357</v>
      </c>
      <c r="H1962" t="s">
        <v>2361</v>
      </c>
      <c r="I1962" t="s">
        <v>2368</v>
      </c>
      <c r="J1962" s="8">
        <f t="shared" si="30"/>
        <v>36496</v>
      </c>
    </row>
    <row r="1963" spans="1:10" x14ac:dyDescent="0.35">
      <c r="A1963" t="s">
        <v>379</v>
      </c>
      <c r="B1963">
        <v>1968</v>
      </c>
      <c r="C1963" t="s">
        <v>2362</v>
      </c>
      <c r="D1963">
        <v>6</v>
      </c>
      <c r="E1963">
        <v>3</v>
      </c>
      <c r="F1963" s="10">
        <v>27322.73</v>
      </c>
      <c r="G1963" t="s">
        <v>2357</v>
      </c>
      <c r="H1963" t="s">
        <v>2357</v>
      </c>
      <c r="I1963" t="s">
        <v>2359</v>
      </c>
      <c r="J1963" s="8">
        <f t="shared" si="30"/>
        <v>24995</v>
      </c>
    </row>
    <row r="1964" spans="1:10" x14ac:dyDescent="0.35">
      <c r="A1964" t="s">
        <v>378</v>
      </c>
      <c r="B1964">
        <v>1969</v>
      </c>
      <c r="C1964" t="s">
        <v>2367</v>
      </c>
      <c r="D1964">
        <v>16</v>
      </c>
      <c r="E1964">
        <v>0</v>
      </c>
      <c r="F1964" s="10">
        <v>27346.04</v>
      </c>
      <c r="G1964" t="s">
        <v>2357</v>
      </c>
      <c r="H1964" t="s">
        <v>2357</v>
      </c>
      <c r="I1964" t="s">
        <v>2359</v>
      </c>
      <c r="J1964" s="8">
        <f t="shared" si="30"/>
        <v>25492</v>
      </c>
    </row>
    <row r="1965" spans="1:10" x14ac:dyDescent="0.35">
      <c r="A1965" t="s">
        <v>377</v>
      </c>
      <c r="B1965">
        <v>1988</v>
      </c>
      <c r="C1965" t="s">
        <v>2363</v>
      </c>
      <c r="D1965">
        <v>15</v>
      </c>
      <c r="E1965">
        <v>2</v>
      </c>
      <c r="F1965" s="10">
        <v>27375.9</v>
      </c>
      <c r="G1965" t="s">
        <v>2357</v>
      </c>
      <c r="H1965" t="s">
        <v>2358</v>
      </c>
      <c r="I1965" t="s">
        <v>2369</v>
      </c>
      <c r="J1965" s="8">
        <f t="shared" si="30"/>
        <v>32401</v>
      </c>
    </row>
    <row r="1966" spans="1:10" x14ac:dyDescent="0.35">
      <c r="A1966" t="s">
        <v>376</v>
      </c>
      <c r="B1966">
        <v>1985</v>
      </c>
      <c r="C1966" t="s">
        <v>2365</v>
      </c>
      <c r="D1966">
        <v>5</v>
      </c>
      <c r="E1966">
        <v>3</v>
      </c>
      <c r="F1966" s="10">
        <v>27432.73</v>
      </c>
      <c r="G1966" t="s">
        <v>2357</v>
      </c>
      <c r="H1966" t="s">
        <v>2361</v>
      </c>
      <c r="I1966" t="s">
        <v>2368</v>
      </c>
      <c r="J1966" s="8">
        <f t="shared" si="30"/>
        <v>31386</v>
      </c>
    </row>
    <row r="1967" spans="1:10" x14ac:dyDescent="0.35">
      <c r="A1967" t="s">
        <v>375</v>
      </c>
      <c r="B1967">
        <v>1981</v>
      </c>
      <c r="C1967" t="s">
        <v>2367</v>
      </c>
      <c r="D1967">
        <v>3</v>
      </c>
      <c r="E1967">
        <v>1</v>
      </c>
      <c r="F1967" s="10">
        <v>27495.59</v>
      </c>
      <c r="G1967" t="s">
        <v>2357</v>
      </c>
      <c r="H1967" t="s">
        <v>2361</v>
      </c>
      <c r="I1967" t="s">
        <v>2368</v>
      </c>
      <c r="J1967" s="8">
        <f t="shared" si="30"/>
        <v>29862</v>
      </c>
    </row>
    <row r="1968" spans="1:10" x14ac:dyDescent="0.35">
      <c r="A1968" t="s">
        <v>374</v>
      </c>
      <c r="B1968">
        <v>1965</v>
      </c>
      <c r="C1968" t="s">
        <v>2367</v>
      </c>
      <c r="D1968">
        <v>19</v>
      </c>
      <c r="E1968">
        <v>0</v>
      </c>
      <c r="F1968" s="10">
        <v>27533.91</v>
      </c>
      <c r="G1968" t="s">
        <v>2357</v>
      </c>
      <c r="H1968" t="s">
        <v>2358</v>
      </c>
      <c r="I1968" t="s">
        <v>2359</v>
      </c>
      <c r="J1968" s="8">
        <f t="shared" si="30"/>
        <v>24034</v>
      </c>
    </row>
    <row r="1969" spans="1:10" x14ac:dyDescent="0.35">
      <c r="A1969" t="s">
        <v>373</v>
      </c>
      <c r="B1969">
        <v>1984</v>
      </c>
      <c r="C1969" t="s">
        <v>2356</v>
      </c>
      <c r="D1969">
        <v>22</v>
      </c>
      <c r="E1969">
        <v>3</v>
      </c>
      <c r="F1969" s="10">
        <v>27534.53</v>
      </c>
      <c r="G1969" t="s">
        <v>2357</v>
      </c>
      <c r="H1969" t="s">
        <v>2357</v>
      </c>
      <c r="I1969" t="s">
        <v>2368</v>
      </c>
      <c r="J1969" s="8">
        <f t="shared" si="30"/>
        <v>30885</v>
      </c>
    </row>
    <row r="1970" spans="1:10" x14ac:dyDescent="0.35">
      <c r="A1970" t="s">
        <v>372</v>
      </c>
      <c r="B1970">
        <v>1985</v>
      </c>
      <c r="C1970" t="s">
        <v>2360</v>
      </c>
      <c r="D1970">
        <v>6</v>
      </c>
      <c r="E1970">
        <v>3</v>
      </c>
      <c r="F1970" s="10">
        <v>27598.93</v>
      </c>
      <c r="G1970" t="s">
        <v>2357</v>
      </c>
      <c r="H1970" t="s">
        <v>2361</v>
      </c>
      <c r="I1970" t="s">
        <v>2368</v>
      </c>
      <c r="J1970" s="8">
        <f t="shared" si="30"/>
        <v>31357</v>
      </c>
    </row>
    <row r="1971" spans="1:10" x14ac:dyDescent="0.35">
      <c r="A1971" t="s">
        <v>371</v>
      </c>
      <c r="B1971">
        <v>1992</v>
      </c>
      <c r="C1971" t="s">
        <v>2362</v>
      </c>
      <c r="D1971">
        <v>11</v>
      </c>
      <c r="E1971">
        <v>0</v>
      </c>
      <c r="F1971" s="10">
        <v>27614.71</v>
      </c>
      <c r="G1971" t="s">
        <v>2357</v>
      </c>
      <c r="H1971" t="s">
        <v>2358</v>
      </c>
      <c r="I1971" t="s">
        <v>2368</v>
      </c>
      <c r="J1971" s="8">
        <f t="shared" si="30"/>
        <v>33766</v>
      </c>
    </row>
    <row r="1972" spans="1:10" x14ac:dyDescent="0.35">
      <c r="A1972" t="s">
        <v>370</v>
      </c>
      <c r="B1972">
        <v>1997</v>
      </c>
      <c r="C1972" t="s">
        <v>2363</v>
      </c>
      <c r="D1972">
        <v>9</v>
      </c>
      <c r="E1972">
        <v>0</v>
      </c>
      <c r="F1972" s="10">
        <v>27619.360000000001</v>
      </c>
      <c r="G1972" t="s">
        <v>2357</v>
      </c>
      <c r="H1972" t="s">
        <v>2358</v>
      </c>
      <c r="I1972" t="s">
        <v>2368</v>
      </c>
      <c r="J1972" s="8">
        <f t="shared" si="30"/>
        <v>35682</v>
      </c>
    </row>
    <row r="1973" spans="1:10" x14ac:dyDescent="0.35">
      <c r="A1973" t="s">
        <v>369</v>
      </c>
      <c r="B1973">
        <v>1997</v>
      </c>
      <c r="C1973" t="s">
        <v>2367</v>
      </c>
      <c r="D1973">
        <v>7</v>
      </c>
      <c r="E1973">
        <v>0</v>
      </c>
      <c r="F1973" s="10">
        <v>27625.17</v>
      </c>
      <c r="G1973" t="s">
        <v>2361</v>
      </c>
      <c r="H1973" t="s">
        <v>2361</v>
      </c>
      <c r="I1973" t="s">
        <v>2368</v>
      </c>
      <c r="J1973" s="8">
        <f t="shared" si="30"/>
        <v>35710</v>
      </c>
    </row>
    <row r="1974" spans="1:10" x14ac:dyDescent="0.35">
      <c r="A1974" t="s">
        <v>368</v>
      </c>
      <c r="B1974">
        <v>1992</v>
      </c>
      <c r="C1974" t="s">
        <v>2356</v>
      </c>
      <c r="D1974">
        <v>3</v>
      </c>
      <c r="E1974">
        <v>0</v>
      </c>
      <c r="F1974" s="10">
        <v>27696.11</v>
      </c>
      <c r="G1974" t="s">
        <v>2361</v>
      </c>
      <c r="H1974" t="s">
        <v>2357</v>
      </c>
      <c r="I1974" t="s">
        <v>2368</v>
      </c>
      <c r="J1974" s="8">
        <f t="shared" si="30"/>
        <v>33788</v>
      </c>
    </row>
    <row r="1975" spans="1:10" x14ac:dyDescent="0.35">
      <c r="A1975" t="s">
        <v>367</v>
      </c>
      <c r="B1975">
        <v>2002</v>
      </c>
      <c r="C1975" t="s">
        <v>2365</v>
      </c>
      <c r="D1975">
        <v>6</v>
      </c>
      <c r="E1975">
        <v>1</v>
      </c>
      <c r="F1975" s="10">
        <v>27724.29</v>
      </c>
      <c r="G1975" t="s">
        <v>2361</v>
      </c>
      <c r="H1975" t="s">
        <v>2358</v>
      </c>
      <c r="I1975" t="s">
        <v>2359</v>
      </c>
      <c r="J1975" s="8">
        <f t="shared" si="30"/>
        <v>37596</v>
      </c>
    </row>
    <row r="1976" spans="1:10" x14ac:dyDescent="0.35">
      <c r="A1976" t="s">
        <v>366</v>
      </c>
      <c r="B1976">
        <v>1960</v>
      </c>
      <c r="C1976" t="s">
        <v>2356</v>
      </c>
      <c r="D1976">
        <v>6</v>
      </c>
      <c r="E1976">
        <v>0</v>
      </c>
      <c r="F1976" s="10">
        <v>27808.73</v>
      </c>
      <c r="G1976" t="s">
        <v>2361</v>
      </c>
      <c r="H1976" t="s">
        <v>2361</v>
      </c>
      <c r="I1976" t="s">
        <v>2359</v>
      </c>
      <c r="J1976" s="8">
        <f t="shared" si="30"/>
        <v>22103</v>
      </c>
    </row>
    <row r="1977" spans="1:10" x14ac:dyDescent="0.35">
      <c r="A1977" t="s">
        <v>365</v>
      </c>
      <c r="B1977">
        <v>1985</v>
      </c>
      <c r="C1977" t="s">
        <v>2365</v>
      </c>
      <c r="D1977">
        <v>4</v>
      </c>
      <c r="E1977">
        <v>3</v>
      </c>
      <c r="F1977" s="10">
        <v>27849.94</v>
      </c>
      <c r="G1977" t="s">
        <v>2361</v>
      </c>
      <c r="H1977" t="s">
        <v>2361</v>
      </c>
      <c r="I1977" t="s">
        <v>2368</v>
      </c>
      <c r="J1977" s="8">
        <f t="shared" si="30"/>
        <v>31385</v>
      </c>
    </row>
    <row r="1978" spans="1:10" x14ac:dyDescent="0.35">
      <c r="A1978" t="s">
        <v>364</v>
      </c>
      <c r="B1978">
        <v>1989</v>
      </c>
      <c r="C1978" t="s">
        <v>2360</v>
      </c>
      <c r="D1978">
        <v>21</v>
      </c>
      <c r="E1978">
        <v>3</v>
      </c>
      <c r="F1978" s="10">
        <v>27925.86</v>
      </c>
      <c r="G1978" t="s">
        <v>2361</v>
      </c>
      <c r="H1978" t="s">
        <v>2357</v>
      </c>
      <c r="I1978" t="s">
        <v>2368</v>
      </c>
      <c r="J1978" s="8">
        <f t="shared" si="30"/>
        <v>32833</v>
      </c>
    </row>
    <row r="1979" spans="1:10" x14ac:dyDescent="0.35">
      <c r="A1979" t="s">
        <v>363</v>
      </c>
      <c r="B1979">
        <v>1991</v>
      </c>
      <c r="C1979" t="s">
        <v>2362</v>
      </c>
      <c r="D1979">
        <v>4</v>
      </c>
      <c r="E1979">
        <v>3</v>
      </c>
      <c r="F1979" s="10">
        <v>27931.11</v>
      </c>
      <c r="G1979" t="s">
        <v>2361</v>
      </c>
      <c r="H1979" t="s">
        <v>2358</v>
      </c>
      <c r="I1979" t="s">
        <v>2368</v>
      </c>
      <c r="J1979" s="8">
        <f t="shared" si="30"/>
        <v>33393</v>
      </c>
    </row>
    <row r="1980" spans="1:10" x14ac:dyDescent="0.35">
      <c r="A1980" t="s">
        <v>362</v>
      </c>
      <c r="B1980">
        <v>1961</v>
      </c>
      <c r="C1980" t="s">
        <v>2356</v>
      </c>
      <c r="D1980">
        <v>28</v>
      </c>
      <c r="E1980">
        <v>3</v>
      </c>
      <c r="F1980" s="10">
        <v>27941.29</v>
      </c>
      <c r="G1980" t="s">
        <v>2361</v>
      </c>
      <c r="H1980" t="s">
        <v>2358</v>
      </c>
      <c r="I1980" t="s">
        <v>2368</v>
      </c>
      <c r="J1980" s="8">
        <f t="shared" si="30"/>
        <v>22490</v>
      </c>
    </row>
    <row r="1981" spans="1:10" x14ac:dyDescent="0.35">
      <c r="A1981" t="s">
        <v>361</v>
      </c>
      <c r="B1981">
        <v>1999</v>
      </c>
      <c r="C1981" t="s">
        <v>2365</v>
      </c>
      <c r="D1981">
        <v>21</v>
      </c>
      <c r="E1981">
        <v>0</v>
      </c>
      <c r="F1981" s="10">
        <v>27980.77</v>
      </c>
      <c r="G1981" t="s">
        <v>2361</v>
      </c>
      <c r="H1981" t="s">
        <v>2361</v>
      </c>
      <c r="I1981" t="s">
        <v>2368</v>
      </c>
      <c r="J1981" s="8">
        <f t="shared" si="30"/>
        <v>36515</v>
      </c>
    </row>
    <row r="1982" spans="1:10" x14ac:dyDescent="0.35">
      <c r="A1982" t="s">
        <v>360</v>
      </c>
      <c r="B1982">
        <v>1985</v>
      </c>
      <c r="C1982" t="s">
        <v>2360</v>
      </c>
      <c r="D1982">
        <v>29</v>
      </c>
      <c r="E1982">
        <v>3</v>
      </c>
      <c r="F1982" s="10">
        <v>28006.94</v>
      </c>
      <c r="G1982" t="s">
        <v>2361</v>
      </c>
      <c r="H1982" t="s">
        <v>2357</v>
      </c>
      <c r="I1982" t="s">
        <v>2368</v>
      </c>
      <c r="J1982" s="8">
        <f t="shared" si="30"/>
        <v>31380</v>
      </c>
    </row>
    <row r="1983" spans="1:10" x14ac:dyDescent="0.35">
      <c r="A1983" t="s">
        <v>359</v>
      </c>
      <c r="B1983">
        <v>1960</v>
      </c>
      <c r="C1983" t="s">
        <v>2360</v>
      </c>
      <c r="D1983">
        <v>22</v>
      </c>
      <c r="E1983">
        <v>0</v>
      </c>
      <c r="F1983" s="10">
        <v>28101.33</v>
      </c>
      <c r="G1983" t="s">
        <v>2361</v>
      </c>
      <c r="H1983" t="s">
        <v>2357</v>
      </c>
      <c r="I1983" t="s">
        <v>2370</v>
      </c>
      <c r="J1983" s="8">
        <f t="shared" si="30"/>
        <v>22242</v>
      </c>
    </row>
    <row r="1984" spans="1:10" x14ac:dyDescent="0.35">
      <c r="A1984" t="s">
        <v>358</v>
      </c>
      <c r="B1984">
        <v>1999</v>
      </c>
      <c r="C1984" t="s">
        <v>2363</v>
      </c>
      <c r="D1984">
        <v>6</v>
      </c>
      <c r="E1984">
        <v>0</v>
      </c>
      <c r="F1984" s="10">
        <v>28245.34</v>
      </c>
      <c r="G1984" t="s">
        <v>2361</v>
      </c>
      <c r="H1984" t="s">
        <v>2358</v>
      </c>
      <c r="I1984" t="s">
        <v>2368</v>
      </c>
      <c r="J1984" s="8">
        <f t="shared" si="30"/>
        <v>36409</v>
      </c>
    </row>
    <row r="1985" spans="1:10" x14ac:dyDescent="0.35">
      <c r="A1985" t="s">
        <v>357</v>
      </c>
      <c r="B1985">
        <v>1963</v>
      </c>
      <c r="C1985" t="s">
        <v>2360</v>
      </c>
      <c r="D1985">
        <v>25</v>
      </c>
      <c r="E1985">
        <v>1</v>
      </c>
      <c r="F1985" s="10">
        <v>28287.9</v>
      </c>
      <c r="G1985" t="s">
        <v>2361</v>
      </c>
      <c r="H1985" t="s">
        <v>2361</v>
      </c>
      <c r="I1985" t="s">
        <v>2359</v>
      </c>
      <c r="J1985" s="8">
        <f t="shared" si="30"/>
        <v>23340</v>
      </c>
    </row>
    <row r="1986" spans="1:10" x14ac:dyDescent="0.35">
      <c r="A1986" t="s">
        <v>356</v>
      </c>
      <c r="B1986">
        <v>1990</v>
      </c>
      <c r="C1986" t="s">
        <v>2365</v>
      </c>
      <c r="D1986">
        <v>24</v>
      </c>
      <c r="E1986">
        <v>3</v>
      </c>
      <c r="F1986" s="10">
        <v>28302.33</v>
      </c>
      <c r="G1986" t="s">
        <v>2361</v>
      </c>
      <c r="H1986" t="s">
        <v>2357</v>
      </c>
      <c r="I1986" t="s">
        <v>2368</v>
      </c>
      <c r="J1986" s="8">
        <f t="shared" si="30"/>
        <v>33231</v>
      </c>
    </row>
    <row r="1987" spans="1:10" x14ac:dyDescent="0.35">
      <c r="A1987" t="s">
        <v>355</v>
      </c>
      <c r="B1987">
        <v>1977</v>
      </c>
      <c r="C1987" t="s">
        <v>2365</v>
      </c>
      <c r="D1987">
        <v>2</v>
      </c>
      <c r="E1987">
        <v>1</v>
      </c>
      <c r="F1987" s="10">
        <v>28340.19</v>
      </c>
      <c r="G1987" t="s">
        <v>2361</v>
      </c>
      <c r="H1987" t="s">
        <v>2357</v>
      </c>
      <c r="I1987" t="s">
        <v>2364</v>
      </c>
      <c r="J1987" s="8">
        <f t="shared" ref="J1987:J2050" si="31">DATE(B1987,MONTH(1&amp;C1987),D1987)</f>
        <v>28461</v>
      </c>
    </row>
    <row r="1988" spans="1:10" x14ac:dyDescent="0.35">
      <c r="A1988" t="s">
        <v>354</v>
      </c>
      <c r="B1988">
        <v>1974</v>
      </c>
      <c r="C1988" t="s">
        <v>2363</v>
      </c>
      <c r="D1988">
        <v>16</v>
      </c>
      <c r="E1988">
        <v>1</v>
      </c>
      <c r="F1988" s="10">
        <v>28468.92</v>
      </c>
      <c r="G1988" t="s">
        <v>2361</v>
      </c>
      <c r="H1988" t="s">
        <v>2361</v>
      </c>
      <c r="I1988" t="s">
        <v>2364</v>
      </c>
      <c r="J1988" s="8">
        <f t="shared" si="31"/>
        <v>27288</v>
      </c>
    </row>
    <row r="1989" spans="1:10" x14ac:dyDescent="0.35">
      <c r="A1989" t="s">
        <v>353</v>
      </c>
      <c r="B1989">
        <v>1982</v>
      </c>
      <c r="C1989" t="s">
        <v>2365</v>
      </c>
      <c r="D1989">
        <v>11</v>
      </c>
      <c r="E1989">
        <v>1</v>
      </c>
      <c r="F1989" s="10">
        <v>28476.73</v>
      </c>
      <c r="G1989" t="s">
        <v>2361</v>
      </c>
      <c r="H1989" t="s">
        <v>2357</v>
      </c>
      <c r="I1989" t="s">
        <v>2364</v>
      </c>
      <c r="J1989" s="8">
        <f t="shared" si="31"/>
        <v>30296</v>
      </c>
    </row>
    <row r="1990" spans="1:10" x14ac:dyDescent="0.35">
      <c r="A1990" t="s">
        <v>352</v>
      </c>
      <c r="B1990">
        <v>1985</v>
      </c>
      <c r="C1990" t="s">
        <v>2363</v>
      </c>
      <c r="D1990">
        <v>27</v>
      </c>
      <c r="E1990">
        <v>3</v>
      </c>
      <c r="F1990" s="10">
        <v>28542.86</v>
      </c>
      <c r="G1990" t="s">
        <v>2361</v>
      </c>
      <c r="H1990" t="s">
        <v>2358</v>
      </c>
      <c r="I1990" t="s">
        <v>2368</v>
      </c>
      <c r="J1990" s="8">
        <f t="shared" si="31"/>
        <v>31317</v>
      </c>
    </row>
    <row r="1991" spans="1:10" x14ac:dyDescent="0.35">
      <c r="A1991" t="s">
        <v>351</v>
      </c>
      <c r="B1991">
        <v>1990</v>
      </c>
      <c r="C1991" t="s">
        <v>2365</v>
      </c>
      <c r="D1991">
        <v>5</v>
      </c>
      <c r="E1991">
        <v>3</v>
      </c>
      <c r="F1991" s="10">
        <v>28716.14</v>
      </c>
      <c r="G1991" t="s">
        <v>2361</v>
      </c>
      <c r="H1991" t="s">
        <v>2358</v>
      </c>
      <c r="I1991" t="s">
        <v>2368</v>
      </c>
      <c r="J1991" s="8">
        <f t="shared" si="31"/>
        <v>33212</v>
      </c>
    </row>
    <row r="1992" spans="1:10" x14ac:dyDescent="0.35">
      <c r="A1992" t="s">
        <v>350</v>
      </c>
      <c r="B1992">
        <v>1961</v>
      </c>
      <c r="C1992" t="s">
        <v>2366</v>
      </c>
      <c r="D1992">
        <v>3</v>
      </c>
      <c r="E1992">
        <v>1</v>
      </c>
      <c r="F1992" s="10">
        <v>28868.66</v>
      </c>
      <c r="G1992" t="s">
        <v>2361</v>
      </c>
      <c r="H1992" t="s">
        <v>2357</v>
      </c>
      <c r="I1992" t="s">
        <v>2364</v>
      </c>
      <c r="J1992" s="8">
        <f t="shared" si="31"/>
        <v>22496</v>
      </c>
    </row>
    <row r="1993" spans="1:10" x14ac:dyDescent="0.35">
      <c r="A1993" t="s">
        <v>349</v>
      </c>
      <c r="B1993">
        <v>1962</v>
      </c>
      <c r="C1993" t="s">
        <v>2356</v>
      </c>
      <c r="D1993">
        <v>25</v>
      </c>
      <c r="E1993">
        <v>0</v>
      </c>
      <c r="F1993" s="10">
        <v>28923.14</v>
      </c>
      <c r="G1993" t="s">
        <v>2361</v>
      </c>
      <c r="H1993" t="s">
        <v>2361</v>
      </c>
      <c r="I1993" t="s">
        <v>2364</v>
      </c>
      <c r="J1993" s="8">
        <f t="shared" si="31"/>
        <v>22852</v>
      </c>
    </row>
    <row r="1994" spans="1:10" x14ac:dyDescent="0.35">
      <c r="A1994" t="s">
        <v>348</v>
      </c>
      <c r="B1994">
        <v>1959</v>
      </c>
      <c r="C1994" t="s">
        <v>2365</v>
      </c>
      <c r="D1994">
        <v>5</v>
      </c>
      <c r="E1994">
        <v>0</v>
      </c>
      <c r="F1994" s="10">
        <v>28950.47</v>
      </c>
      <c r="G1994" t="s">
        <v>2361</v>
      </c>
      <c r="H1994" t="s">
        <v>2361</v>
      </c>
      <c r="I1994" t="s">
        <v>2364</v>
      </c>
      <c r="J1994" s="8">
        <f t="shared" si="31"/>
        <v>21889</v>
      </c>
    </row>
    <row r="1995" spans="1:10" x14ac:dyDescent="0.35">
      <c r="A1995" t="s">
        <v>347</v>
      </c>
      <c r="B1995">
        <v>2003</v>
      </c>
      <c r="C1995" t="s">
        <v>2363</v>
      </c>
      <c r="D1995">
        <v>1</v>
      </c>
      <c r="E1995">
        <v>0</v>
      </c>
      <c r="F1995" s="10">
        <v>28998.68</v>
      </c>
      <c r="G1995" t="s">
        <v>2361</v>
      </c>
      <c r="H1995" t="s">
        <v>2358</v>
      </c>
      <c r="I1995" t="s">
        <v>2368</v>
      </c>
      <c r="J1995" s="8">
        <f t="shared" si="31"/>
        <v>37865</v>
      </c>
    </row>
    <row r="1996" spans="1:10" x14ac:dyDescent="0.35">
      <c r="A1996" t="s">
        <v>346</v>
      </c>
      <c r="B1996">
        <v>1992</v>
      </c>
      <c r="C1996" t="s">
        <v>2356</v>
      </c>
      <c r="D1996">
        <v>7</v>
      </c>
      <c r="E1996">
        <v>0</v>
      </c>
      <c r="F1996" s="10">
        <v>29007.82</v>
      </c>
      <c r="G1996" t="s">
        <v>2361</v>
      </c>
      <c r="H1996" t="s">
        <v>2358</v>
      </c>
      <c r="I1996" t="s">
        <v>2368</v>
      </c>
      <c r="J1996" s="8">
        <f t="shared" si="31"/>
        <v>33792</v>
      </c>
    </row>
    <row r="1997" spans="1:10" x14ac:dyDescent="0.35">
      <c r="A1997" t="s">
        <v>345</v>
      </c>
      <c r="B1997">
        <v>1980</v>
      </c>
      <c r="C1997" t="s">
        <v>2356</v>
      </c>
      <c r="D1997">
        <v>14</v>
      </c>
      <c r="E1997">
        <v>2</v>
      </c>
      <c r="F1997" s="10">
        <v>29114.21</v>
      </c>
      <c r="G1997" t="s">
        <v>2361</v>
      </c>
      <c r="H1997" t="s">
        <v>2358</v>
      </c>
      <c r="I1997" t="s">
        <v>2368</v>
      </c>
      <c r="J1997" s="8">
        <f t="shared" si="31"/>
        <v>29416</v>
      </c>
    </row>
    <row r="1998" spans="1:10" x14ac:dyDescent="0.35">
      <c r="A1998" t="s">
        <v>344</v>
      </c>
      <c r="B1998">
        <v>1978</v>
      </c>
      <c r="C1998" t="s">
        <v>2360</v>
      </c>
      <c r="D1998">
        <v>29</v>
      </c>
      <c r="E1998">
        <v>2</v>
      </c>
      <c r="F1998" s="10">
        <v>29114.77</v>
      </c>
      <c r="G1998" t="s">
        <v>2361</v>
      </c>
      <c r="H1998" t="s">
        <v>2361</v>
      </c>
      <c r="I1998" t="s">
        <v>2368</v>
      </c>
      <c r="J1998" s="8">
        <f t="shared" si="31"/>
        <v>28823</v>
      </c>
    </row>
    <row r="1999" spans="1:10" x14ac:dyDescent="0.35">
      <c r="A1999" t="s">
        <v>343</v>
      </c>
      <c r="B1999">
        <v>1961</v>
      </c>
      <c r="C1999" t="s">
        <v>2365</v>
      </c>
      <c r="D1999">
        <v>24</v>
      </c>
      <c r="E1999">
        <v>0</v>
      </c>
      <c r="F1999" s="10">
        <v>29141.360000000001</v>
      </c>
      <c r="G1999" t="s">
        <v>2361</v>
      </c>
      <c r="H1999" t="s">
        <v>2358</v>
      </c>
      <c r="I1999" t="s">
        <v>2364</v>
      </c>
      <c r="J1999" s="8">
        <f t="shared" si="31"/>
        <v>22639</v>
      </c>
    </row>
    <row r="2000" spans="1:10" x14ac:dyDescent="0.35">
      <c r="A2000" t="s">
        <v>342</v>
      </c>
      <c r="B2000">
        <v>1976</v>
      </c>
      <c r="C2000" t="s">
        <v>2360</v>
      </c>
      <c r="D2000">
        <v>8</v>
      </c>
      <c r="E2000">
        <v>2</v>
      </c>
      <c r="F2000" s="10">
        <v>29160.39</v>
      </c>
      <c r="G2000" t="s">
        <v>2361</v>
      </c>
      <c r="H2000" t="s">
        <v>2357</v>
      </c>
      <c r="I2000" t="s">
        <v>2368</v>
      </c>
      <c r="J2000" s="8">
        <f t="shared" si="31"/>
        <v>28072</v>
      </c>
    </row>
    <row r="2001" spans="1:10" x14ac:dyDescent="0.35">
      <c r="A2001" t="s">
        <v>341</v>
      </c>
      <c r="B2001">
        <v>1969</v>
      </c>
      <c r="C2001" t="s">
        <v>2356</v>
      </c>
      <c r="D2001">
        <v>9</v>
      </c>
      <c r="E2001">
        <v>2</v>
      </c>
      <c r="F2001" s="10">
        <v>29186.48</v>
      </c>
      <c r="G2001" t="s">
        <v>2361</v>
      </c>
      <c r="H2001" t="s">
        <v>2358</v>
      </c>
      <c r="I2001" t="s">
        <v>2374</v>
      </c>
      <c r="J2001" s="8">
        <f t="shared" si="31"/>
        <v>25393</v>
      </c>
    </row>
    <row r="2002" spans="1:10" x14ac:dyDescent="0.35">
      <c r="A2002" t="s">
        <v>340</v>
      </c>
      <c r="B2002">
        <v>1978</v>
      </c>
      <c r="C2002" t="s">
        <v>2356</v>
      </c>
      <c r="D2002">
        <v>21</v>
      </c>
      <c r="E2002">
        <v>2</v>
      </c>
      <c r="F2002" s="10">
        <v>29227.599999999999</v>
      </c>
      <c r="G2002" t="s">
        <v>2361</v>
      </c>
      <c r="H2002" t="s">
        <v>2358</v>
      </c>
      <c r="I2002" t="s">
        <v>2364</v>
      </c>
      <c r="J2002" s="8">
        <f t="shared" si="31"/>
        <v>28692</v>
      </c>
    </row>
    <row r="2003" spans="1:10" x14ac:dyDescent="0.35">
      <c r="A2003" t="s">
        <v>339</v>
      </c>
      <c r="B2003">
        <v>1958</v>
      </c>
      <c r="C2003" t="s">
        <v>2362</v>
      </c>
      <c r="D2003">
        <v>5</v>
      </c>
      <c r="E2003">
        <v>0</v>
      </c>
      <c r="F2003" s="10">
        <v>29330.98</v>
      </c>
      <c r="G2003" t="s">
        <v>2361</v>
      </c>
      <c r="H2003" t="s">
        <v>2357</v>
      </c>
      <c r="I2003" t="s">
        <v>2364</v>
      </c>
      <c r="J2003" s="8">
        <f t="shared" si="31"/>
        <v>21341</v>
      </c>
    </row>
    <row r="2004" spans="1:10" x14ac:dyDescent="0.35">
      <c r="A2004" t="s">
        <v>338</v>
      </c>
      <c r="B2004">
        <v>1985</v>
      </c>
      <c r="C2004" t="s">
        <v>2360</v>
      </c>
      <c r="D2004">
        <v>7</v>
      </c>
      <c r="E2004">
        <v>3</v>
      </c>
      <c r="F2004" s="10">
        <v>29352.560000000001</v>
      </c>
      <c r="G2004" t="s">
        <v>2361</v>
      </c>
      <c r="H2004" t="s">
        <v>2361</v>
      </c>
      <c r="I2004" t="s">
        <v>2368</v>
      </c>
      <c r="J2004" s="8">
        <f t="shared" si="31"/>
        <v>31358</v>
      </c>
    </row>
    <row r="2005" spans="1:10" x14ac:dyDescent="0.35">
      <c r="A2005" t="s">
        <v>337</v>
      </c>
      <c r="B2005">
        <v>1987</v>
      </c>
      <c r="C2005" t="s">
        <v>2356</v>
      </c>
      <c r="D2005">
        <v>16</v>
      </c>
      <c r="E2005">
        <v>3</v>
      </c>
      <c r="F2005" s="10">
        <v>29443.59</v>
      </c>
      <c r="G2005" t="s">
        <v>2361</v>
      </c>
      <c r="H2005" t="s">
        <v>2361</v>
      </c>
      <c r="I2005" t="s">
        <v>2368</v>
      </c>
      <c r="J2005" s="8">
        <f t="shared" si="31"/>
        <v>31974</v>
      </c>
    </row>
    <row r="2006" spans="1:10" x14ac:dyDescent="0.35">
      <c r="A2006" t="s">
        <v>336</v>
      </c>
      <c r="B2006">
        <v>1959</v>
      </c>
      <c r="C2006" t="s">
        <v>2367</v>
      </c>
      <c r="D2006">
        <v>20</v>
      </c>
      <c r="E2006">
        <v>0</v>
      </c>
      <c r="F2006" s="10">
        <v>29523.17</v>
      </c>
      <c r="G2006" t="s">
        <v>2361</v>
      </c>
      <c r="H2006" t="s">
        <v>2357</v>
      </c>
      <c r="I2006" t="s">
        <v>2374</v>
      </c>
      <c r="J2006" s="8">
        <f t="shared" si="31"/>
        <v>21843</v>
      </c>
    </row>
    <row r="2007" spans="1:10" x14ac:dyDescent="0.35">
      <c r="A2007" t="s">
        <v>335</v>
      </c>
      <c r="B2007">
        <v>1975</v>
      </c>
      <c r="C2007" t="s">
        <v>2360</v>
      </c>
      <c r="D2007">
        <v>3</v>
      </c>
      <c r="E2007">
        <v>1</v>
      </c>
      <c r="F2007" s="10">
        <v>29583.8</v>
      </c>
      <c r="G2007" t="s">
        <v>2361</v>
      </c>
      <c r="H2007" t="s">
        <v>2361</v>
      </c>
      <c r="I2007" t="s">
        <v>2368</v>
      </c>
      <c r="J2007" s="8">
        <f t="shared" si="31"/>
        <v>27701</v>
      </c>
    </row>
    <row r="2008" spans="1:10" x14ac:dyDescent="0.35">
      <c r="A2008" t="s">
        <v>334</v>
      </c>
      <c r="B2008">
        <v>1993</v>
      </c>
      <c r="C2008" t="s">
        <v>2356</v>
      </c>
      <c r="D2008">
        <v>27</v>
      </c>
      <c r="E2008">
        <v>0</v>
      </c>
      <c r="F2008" s="10">
        <v>29622.69</v>
      </c>
      <c r="G2008" t="s">
        <v>2361</v>
      </c>
      <c r="H2008" t="s">
        <v>2361</v>
      </c>
      <c r="I2008" t="s">
        <v>2368</v>
      </c>
      <c r="J2008" s="8">
        <f t="shared" si="31"/>
        <v>34177</v>
      </c>
    </row>
    <row r="2009" spans="1:10" x14ac:dyDescent="0.35">
      <c r="A2009" t="s">
        <v>333</v>
      </c>
      <c r="B2009">
        <v>1973</v>
      </c>
      <c r="C2009" t="s">
        <v>2366</v>
      </c>
      <c r="D2009">
        <v>23</v>
      </c>
      <c r="E2009">
        <v>0</v>
      </c>
      <c r="F2009" s="10">
        <v>29757.69</v>
      </c>
      <c r="G2009" t="s">
        <v>2361</v>
      </c>
      <c r="H2009" t="s">
        <v>2358</v>
      </c>
      <c r="I2009" t="s">
        <v>2368</v>
      </c>
      <c r="J2009" s="8">
        <f t="shared" si="31"/>
        <v>26899</v>
      </c>
    </row>
    <row r="2010" spans="1:10" x14ac:dyDescent="0.35">
      <c r="A2010" t="s">
        <v>332</v>
      </c>
      <c r="B2010">
        <v>1998</v>
      </c>
      <c r="C2010" t="s">
        <v>2362</v>
      </c>
      <c r="D2010">
        <v>20</v>
      </c>
      <c r="E2010">
        <v>0</v>
      </c>
      <c r="F2010" s="10">
        <v>29760.6</v>
      </c>
      <c r="G2010" t="s">
        <v>2361</v>
      </c>
      <c r="H2010" t="s">
        <v>2357</v>
      </c>
      <c r="I2010" t="s">
        <v>2368</v>
      </c>
      <c r="J2010" s="8">
        <f t="shared" si="31"/>
        <v>35966</v>
      </c>
    </row>
    <row r="2011" spans="1:10" x14ac:dyDescent="0.35">
      <c r="A2011" t="s">
        <v>331</v>
      </c>
      <c r="B2011">
        <v>1981</v>
      </c>
      <c r="C2011" t="s">
        <v>2366</v>
      </c>
      <c r="D2011">
        <v>13</v>
      </c>
      <c r="E2011">
        <v>1</v>
      </c>
      <c r="F2011" s="10">
        <v>29816.639999999999</v>
      </c>
      <c r="G2011" t="s">
        <v>2361</v>
      </c>
      <c r="H2011" t="s">
        <v>2357</v>
      </c>
      <c r="I2011" t="s">
        <v>2368</v>
      </c>
      <c r="J2011" s="8">
        <f t="shared" si="31"/>
        <v>29811</v>
      </c>
    </row>
    <row r="2012" spans="1:10" x14ac:dyDescent="0.35">
      <c r="A2012" t="s">
        <v>330</v>
      </c>
      <c r="B2012">
        <v>1982</v>
      </c>
      <c r="C2012" t="s">
        <v>2367</v>
      </c>
      <c r="D2012">
        <v>29</v>
      </c>
      <c r="E2012">
        <v>3</v>
      </c>
      <c r="F2012" s="10">
        <v>29818.76</v>
      </c>
      <c r="G2012" t="s">
        <v>2361</v>
      </c>
      <c r="H2012" t="s">
        <v>2361</v>
      </c>
      <c r="I2012" t="s">
        <v>2364</v>
      </c>
      <c r="J2012" s="8">
        <f t="shared" si="31"/>
        <v>30253</v>
      </c>
    </row>
    <row r="2013" spans="1:10" x14ac:dyDescent="0.35">
      <c r="A2013" t="s">
        <v>329</v>
      </c>
      <c r="B2013">
        <v>1989</v>
      </c>
      <c r="C2013" t="s">
        <v>2365</v>
      </c>
      <c r="D2013">
        <v>30</v>
      </c>
      <c r="E2013">
        <v>3</v>
      </c>
      <c r="F2013" s="10">
        <v>29852.48</v>
      </c>
      <c r="G2013" t="s">
        <v>2361</v>
      </c>
      <c r="H2013" t="s">
        <v>2358</v>
      </c>
      <c r="I2013" t="s">
        <v>2368</v>
      </c>
      <c r="J2013" s="8">
        <f t="shared" si="31"/>
        <v>32872</v>
      </c>
    </row>
    <row r="2014" spans="1:10" x14ac:dyDescent="0.35">
      <c r="A2014" t="s">
        <v>328</v>
      </c>
      <c r="B2014">
        <v>1975</v>
      </c>
      <c r="C2014" t="s">
        <v>2366</v>
      </c>
      <c r="D2014">
        <v>19</v>
      </c>
      <c r="E2014">
        <v>1</v>
      </c>
      <c r="F2014" s="10">
        <v>29899.25</v>
      </c>
      <c r="G2014" t="s">
        <v>2361</v>
      </c>
      <c r="H2014" t="s">
        <v>2358</v>
      </c>
      <c r="I2014" t="s">
        <v>2368</v>
      </c>
      <c r="J2014" s="8">
        <f t="shared" si="31"/>
        <v>27625</v>
      </c>
    </row>
    <row r="2015" spans="1:10" x14ac:dyDescent="0.35">
      <c r="A2015" t="s">
        <v>327</v>
      </c>
      <c r="B2015">
        <v>1988</v>
      </c>
      <c r="C2015" t="s">
        <v>2365</v>
      </c>
      <c r="D2015">
        <v>30</v>
      </c>
      <c r="E2015">
        <v>3</v>
      </c>
      <c r="F2015" s="10">
        <v>29929.56</v>
      </c>
      <c r="G2015" t="s">
        <v>2361</v>
      </c>
      <c r="H2015" t="s">
        <v>2361</v>
      </c>
      <c r="I2015" t="s">
        <v>2368</v>
      </c>
      <c r="J2015" s="8">
        <f t="shared" si="31"/>
        <v>32507</v>
      </c>
    </row>
    <row r="2016" spans="1:10" x14ac:dyDescent="0.35">
      <c r="A2016" t="s">
        <v>326</v>
      </c>
      <c r="B2016">
        <v>1976</v>
      </c>
      <c r="C2016" t="s">
        <v>2362</v>
      </c>
      <c r="D2016">
        <v>12</v>
      </c>
      <c r="E2016">
        <v>2</v>
      </c>
      <c r="F2016" s="10">
        <v>29933.75</v>
      </c>
      <c r="G2016" t="s">
        <v>2361</v>
      </c>
      <c r="H2016" t="s">
        <v>2361</v>
      </c>
      <c r="I2016" t="s">
        <v>2368</v>
      </c>
      <c r="J2016" s="8">
        <f t="shared" si="31"/>
        <v>27923</v>
      </c>
    </row>
    <row r="2017" spans="1:10" x14ac:dyDescent="0.35">
      <c r="A2017" t="s">
        <v>325</v>
      </c>
      <c r="B2017">
        <v>1991</v>
      </c>
      <c r="C2017" t="s">
        <v>2367</v>
      </c>
      <c r="D2017">
        <v>5</v>
      </c>
      <c r="E2017">
        <v>3</v>
      </c>
      <c r="F2017" s="10">
        <v>29969.67</v>
      </c>
      <c r="G2017" t="s">
        <v>2361</v>
      </c>
      <c r="H2017" t="s">
        <v>2361</v>
      </c>
      <c r="I2017" t="s">
        <v>2368</v>
      </c>
      <c r="J2017" s="8">
        <f t="shared" si="31"/>
        <v>33516</v>
      </c>
    </row>
    <row r="2018" spans="1:10" x14ac:dyDescent="0.35">
      <c r="A2018" t="s">
        <v>324</v>
      </c>
      <c r="B2018">
        <v>1981</v>
      </c>
      <c r="C2018" t="s">
        <v>2366</v>
      </c>
      <c r="D2018">
        <v>4</v>
      </c>
      <c r="E2018">
        <v>1</v>
      </c>
      <c r="F2018" s="10">
        <v>30026.87</v>
      </c>
      <c r="G2018" t="s">
        <v>2357</v>
      </c>
      <c r="H2018" t="s">
        <v>2358</v>
      </c>
      <c r="I2018" t="s">
        <v>2364</v>
      </c>
      <c r="J2018" s="8">
        <f t="shared" si="31"/>
        <v>29802</v>
      </c>
    </row>
    <row r="2019" spans="1:10" x14ac:dyDescent="0.35">
      <c r="A2019" t="s">
        <v>323</v>
      </c>
      <c r="B2019">
        <v>1967</v>
      </c>
      <c r="C2019" t="s">
        <v>2362</v>
      </c>
      <c r="D2019">
        <v>16</v>
      </c>
      <c r="E2019">
        <v>3</v>
      </c>
      <c r="F2019" s="10">
        <v>30063.58</v>
      </c>
      <c r="G2019" t="s">
        <v>2361</v>
      </c>
      <c r="H2019" t="s">
        <v>2361</v>
      </c>
      <c r="I2019" t="s">
        <v>2364</v>
      </c>
      <c r="J2019" s="8">
        <f t="shared" si="31"/>
        <v>24639</v>
      </c>
    </row>
    <row r="2020" spans="1:10" x14ac:dyDescent="0.35">
      <c r="A2020" t="s">
        <v>322</v>
      </c>
      <c r="B2020">
        <v>1979</v>
      </c>
      <c r="C2020" t="s">
        <v>2363</v>
      </c>
      <c r="D2020">
        <v>2</v>
      </c>
      <c r="E2020">
        <v>2</v>
      </c>
      <c r="F2020" s="10">
        <v>30095.97</v>
      </c>
      <c r="G2020" t="s">
        <v>2357</v>
      </c>
      <c r="H2020" t="s">
        <v>2358</v>
      </c>
      <c r="I2020" t="s">
        <v>2368</v>
      </c>
      <c r="J2020" s="8">
        <f t="shared" si="31"/>
        <v>29100</v>
      </c>
    </row>
    <row r="2021" spans="1:10" x14ac:dyDescent="0.35">
      <c r="A2021" t="s">
        <v>321</v>
      </c>
      <c r="B2021">
        <v>1971</v>
      </c>
      <c r="C2021" t="s">
        <v>2365</v>
      </c>
      <c r="D2021">
        <v>25</v>
      </c>
      <c r="E2021">
        <v>0</v>
      </c>
      <c r="F2021" s="10">
        <v>30134.75</v>
      </c>
      <c r="G2021" t="s">
        <v>2357</v>
      </c>
      <c r="H2021" t="s">
        <v>2358</v>
      </c>
      <c r="I2021" t="s">
        <v>2368</v>
      </c>
      <c r="J2021" s="8">
        <f t="shared" si="31"/>
        <v>26292</v>
      </c>
    </row>
    <row r="2022" spans="1:10" x14ac:dyDescent="0.35">
      <c r="A2022" t="s">
        <v>320</v>
      </c>
      <c r="B2022">
        <v>1958</v>
      </c>
      <c r="C2022" t="s">
        <v>2366</v>
      </c>
      <c r="D2022">
        <v>11</v>
      </c>
      <c r="E2022">
        <v>1</v>
      </c>
      <c r="F2022" s="10">
        <v>30166.62</v>
      </c>
      <c r="G2022" t="s">
        <v>2361</v>
      </c>
      <c r="H2022" t="s">
        <v>2358</v>
      </c>
      <c r="I2022" t="s">
        <v>2364</v>
      </c>
      <c r="J2022" s="8">
        <f t="shared" si="31"/>
        <v>21408</v>
      </c>
    </row>
    <row r="2023" spans="1:10" x14ac:dyDescent="0.35">
      <c r="A2023" t="s">
        <v>319</v>
      </c>
      <c r="B2023">
        <v>1963</v>
      </c>
      <c r="C2023" t="s">
        <v>2363</v>
      </c>
      <c r="D2023">
        <v>13</v>
      </c>
      <c r="E2023">
        <v>3</v>
      </c>
      <c r="F2023" s="10">
        <v>30184.94</v>
      </c>
      <c r="G2023" t="s">
        <v>2361</v>
      </c>
      <c r="H2023" t="s">
        <v>2361</v>
      </c>
      <c r="I2023" t="s">
        <v>2376</v>
      </c>
      <c r="J2023" s="8">
        <f t="shared" si="31"/>
        <v>23267</v>
      </c>
    </row>
    <row r="2024" spans="1:10" x14ac:dyDescent="0.35">
      <c r="A2024" t="s">
        <v>318</v>
      </c>
      <c r="B2024">
        <v>1962</v>
      </c>
      <c r="C2024" t="s">
        <v>2363</v>
      </c>
      <c r="D2024">
        <v>15</v>
      </c>
      <c r="E2024">
        <v>0</v>
      </c>
      <c r="F2024" s="10">
        <v>30260</v>
      </c>
      <c r="G2024" t="s">
        <v>2361</v>
      </c>
      <c r="H2024" t="s">
        <v>2361</v>
      </c>
      <c r="I2024" t="s">
        <v>2376</v>
      </c>
      <c r="J2024" s="8">
        <f t="shared" si="31"/>
        <v>22904</v>
      </c>
    </row>
    <row r="2025" spans="1:10" x14ac:dyDescent="0.35">
      <c r="A2025" t="s">
        <v>317</v>
      </c>
      <c r="B2025">
        <v>1972</v>
      </c>
      <c r="C2025" t="s">
        <v>2356</v>
      </c>
      <c r="D2025">
        <v>24</v>
      </c>
      <c r="E2025">
        <v>2</v>
      </c>
      <c r="F2025" s="10">
        <v>30284.639999999999</v>
      </c>
      <c r="G2025" t="s">
        <v>2361</v>
      </c>
      <c r="H2025" t="s">
        <v>2361</v>
      </c>
      <c r="I2025" t="s">
        <v>2364</v>
      </c>
      <c r="J2025" s="8">
        <f t="shared" si="31"/>
        <v>26504</v>
      </c>
    </row>
    <row r="2026" spans="1:10" x14ac:dyDescent="0.35">
      <c r="A2026" t="s">
        <v>316</v>
      </c>
      <c r="B2026">
        <v>2004</v>
      </c>
      <c r="C2026" t="s">
        <v>2362</v>
      </c>
      <c r="D2026">
        <v>1</v>
      </c>
      <c r="E2026">
        <v>0</v>
      </c>
      <c r="F2026" s="10">
        <v>30328.27</v>
      </c>
      <c r="G2026" t="s">
        <v>2357</v>
      </c>
      <c r="H2026" t="s">
        <v>2357</v>
      </c>
      <c r="I2026" t="s">
        <v>2368</v>
      </c>
      <c r="J2026" s="8">
        <f t="shared" si="31"/>
        <v>38139</v>
      </c>
    </row>
    <row r="2027" spans="1:10" x14ac:dyDescent="0.35">
      <c r="A2027" t="s">
        <v>315</v>
      </c>
      <c r="B2027">
        <v>1969</v>
      </c>
      <c r="C2027" t="s">
        <v>2356</v>
      </c>
      <c r="D2027">
        <v>30</v>
      </c>
      <c r="E2027">
        <v>0</v>
      </c>
      <c r="F2027" s="10">
        <v>30366.93</v>
      </c>
      <c r="G2027" t="s">
        <v>2357</v>
      </c>
      <c r="H2027" t="s">
        <v>2357</v>
      </c>
      <c r="I2027" t="s">
        <v>2368</v>
      </c>
      <c r="J2027" s="8">
        <f t="shared" si="31"/>
        <v>25414</v>
      </c>
    </row>
    <row r="2028" spans="1:10" x14ac:dyDescent="0.35">
      <c r="A2028" t="s">
        <v>314</v>
      </c>
      <c r="B2028">
        <v>1976</v>
      </c>
      <c r="C2028" t="s">
        <v>2363</v>
      </c>
      <c r="D2028">
        <v>3</v>
      </c>
      <c r="E2028">
        <v>2</v>
      </c>
      <c r="F2028" s="10">
        <v>30409.53</v>
      </c>
      <c r="G2028" t="s">
        <v>2357</v>
      </c>
      <c r="H2028" t="s">
        <v>2358</v>
      </c>
      <c r="I2028" t="s">
        <v>2364</v>
      </c>
      <c r="J2028" s="8">
        <f t="shared" si="31"/>
        <v>28006</v>
      </c>
    </row>
    <row r="2029" spans="1:10" x14ac:dyDescent="0.35">
      <c r="A2029" t="s">
        <v>313</v>
      </c>
      <c r="B2029">
        <v>1998</v>
      </c>
      <c r="C2029" t="s">
        <v>2367</v>
      </c>
      <c r="D2029">
        <v>28</v>
      </c>
      <c r="E2029">
        <v>0</v>
      </c>
      <c r="F2029" s="10">
        <v>30422.03</v>
      </c>
      <c r="G2029" t="s">
        <v>2357</v>
      </c>
      <c r="H2029" t="s">
        <v>2358</v>
      </c>
      <c r="I2029" t="s">
        <v>2368</v>
      </c>
      <c r="J2029" s="8">
        <f t="shared" si="31"/>
        <v>36096</v>
      </c>
    </row>
    <row r="2030" spans="1:10" x14ac:dyDescent="0.35">
      <c r="A2030" t="s">
        <v>312</v>
      </c>
      <c r="B2030">
        <v>1983</v>
      </c>
      <c r="C2030" t="s">
        <v>2363</v>
      </c>
      <c r="D2030">
        <v>3</v>
      </c>
      <c r="E2030">
        <v>3</v>
      </c>
      <c r="F2030" s="10">
        <v>30457.37</v>
      </c>
      <c r="G2030" t="s">
        <v>2357</v>
      </c>
      <c r="H2030" t="s">
        <v>2361</v>
      </c>
      <c r="I2030" t="s">
        <v>2364</v>
      </c>
      <c r="J2030" s="8">
        <f t="shared" si="31"/>
        <v>30562</v>
      </c>
    </row>
    <row r="2031" spans="1:10" x14ac:dyDescent="0.35">
      <c r="A2031" t="s">
        <v>311</v>
      </c>
      <c r="B2031">
        <v>1986</v>
      </c>
      <c r="C2031" t="s">
        <v>2366</v>
      </c>
      <c r="D2031">
        <v>10</v>
      </c>
      <c r="E2031">
        <v>3</v>
      </c>
      <c r="F2031" s="10">
        <v>30530.5</v>
      </c>
      <c r="G2031" t="s">
        <v>2357</v>
      </c>
      <c r="H2031" t="s">
        <v>2361</v>
      </c>
      <c r="I2031" t="s">
        <v>2368</v>
      </c>
      <c r="J2031" s="8">
        <f t="shared" si="31"/>
        <v>31634</v>
      </c>
    </row>
    <row r="2032" spans="1:10" x14ac:dyDescent="0.35">
      <c r="A2032" t="s">
        <v>310</v>
      </c>
      <c r="B2032">
        <v>1970</v>
      </c>
      <c r="C2032" t="s">
        <v>2360</v>
      </c>
      <c r="D2032">
        <v>11</v>
      </c>
      <c r="E2032">
        <v>0</v>
      </c>
      <c r="F2032" s="10">
        <v>30625.65</v>
      </c>
      <c r="G2032" t="s">
        <v>2357</v>
      </c>
      <c r="H2032" t="s">
        <v>2358</v>
      </c>
      <c r="I2032" t="s">
        <v>2368</v>
      </c>
      <c r="J2032" s="8">
        <f t="shared" si="31"/>
        <v>25883</v>
      </c>
    </row>
    <row r="2033" spans="1:10" x14ac:dyDescent="0.35">
      <c r="A2033" t="s">
        <v>309</v>
      </c>
      <c r="B2033">
        <v>1999</v>
      </c>
      <c r="C2033" t="s">
        <v>2363</v>
      </c>
      <c r="D2033">
        <v>21</v>
      </c>
      <c r="E2033">
        <v>0</v>
      </c>
      <c r="F2033" s="10">
        <v>30697.71</v>
      </c>
      <c r="G2033" t="s">
        <v>2361</v>
      </c>
      <c r="H2033" t="s">
        <v>2357</v>
      </c>
      <c r="I2033" t="s">
        <v>2368</v>
      </c>
      <c r="J2033" s="8">
        <f t="shared" si="31"/>
        <v>36424</v>
      </c>
    </row>
    <row r="2034" spans="1:10" x14ac:dyDescent="0.35">
      <c r="A2034" t="s">
        <v>308</v>
      </c>
      <c r="B2034">
        <v>1983</v>
      </c>
      <c r="C2034" t="s">
        <v>2365</v>
      </c>
      <c r="D2034">
        <v>21</v>
      </c>
      <c r="E2034">
        <v>3</v>
      </c>
      <c r="F2034" s="10">
        <v>30724.44</v>
      </c>
      <c r="G2034" t="s">
        <v>2357</v>
      </c>
      <c r="H2034" t="s">
        <v>2358</v>
      </c>
      <c r="I2034" t="s">
        <v>2368</v>
      </c>
      <c r="J2034" s="8">
        <f t="shared" si="31"/>
        <v>30671</v>
      </c>
    </row>
    <row r="2035" spans="1:10" x14ac:dyDescent="0.35">
      <c r="A2035" t="s">
        <v>307</v>
      </c>
      <c r="B2035">
        <v>1988</v>
      </c>
      <c r="C2035" t="s">
        <v>2363</v>
      </c>
      <c r="D2035">
        <v>5</v>
      </c>
      <c r="E2035">
        <v>3</v>
      </c>
      <c r="F2035" s="10">
        <v>30763.01</v>
      </c>
      <c r="G2035" t="s">
        <v>2357</v>
      </c>
      <c r="H2035" t="s">
        <v>2361</v>
      </c>
      <c r="I2035" t="s">
        <v>2368</v>
      </c>
      <c r="J2035" s="8">
        <f t="shared" si="31"/>
        <v>32391</v>
      </c>
    </row>
    <row r="2036" spans="1:10" x14ac:dyDescent="0.35">
      <c r="A2036" t="s">
        <v>306</v>
      </c>
      <c r="B2036">
        <v>1961</v>
      </c>
      <c r="C2036" t="s">
        <v>2363</v>
      </c>
      <c r="D2036">
        <v>9</v>
      </c>
      <c r="E2036">
        <v>3</v>
      </c>
      <c r="F2036" s="10">
        <v>30942.19</v>
      </c>
      <c r="G2036" t="s">
        <v>2357</v>
      </c>
      <c r="H2036" t="s">
        <v>2357</v>
      </c>
      <c r="I2036" t="s">
        <v>2359</v>
      </c>
      <c r="J2036" s="8">
        <f t="shared" si="31"/>
        <v>22533</v>
      </c>
    </row>
    <row r="2037" spans="1:10" x14ac:dyDescent="0.35">
      <c r="A2037" t="s">
        <v>305</v>
      </c>
      <c r="B2037">
        <v>2004</v>
      </c>
      <c r="C2037" t="s">
        <v>2360</v>
      </c>
      <c r="D2037">
        <v>9</v>
      </c>
      <c r="E2037">
        <v>0</v>
      </c>
      <c r="F2037" s="10">
        <v>31196.61</v>
      </c>
      <c r="G2037" t="s">
        <v>2357</v>
      </c>
      <c r="H2037" t="s">
        <v>2361</v>
      </c>
      <c r="I2037" t="s">
        <v>2368</v>
      </c>
      <c r="J2037" s="8">
        <f t="shared" si="31"/>
        <v>38300</v>
      </c>
    </row>
    <row r="2038" spans="1:10" x14ac:dyDescent="0.35">
      <c r="A2038" t="s">
        <v>304</v>
      </c>
      <c r="B2038">
        <v>2000</v>
      </c>
      <c r="C2038" t="s">
        <v>2356</v>
      </c>
      <c r="D2038">
        <v>22</v>
      </c>
      <c r="E2038">
        <v>0</v>
      </c>
      <c r="F2038" s="10">
        <v>31234.560000000001</v>
      </c>
      <c r="G2038" t="s">
        <v>2361</v>
      </c>
      <c r="H2038" t="s">
        <v>2361</v>
      </c>
      <c r="I2038" t="s">
        <v>2368</v>
      </c>
      <c r="J2038" s="8">
        <f t="shared" si="31"/>
        <v>36729</v>
      </c>
    </row>
    <row r="2039" spans="1:10" x14ac:dyDescent="0.35">
      <c r="A2039" t="s">
        <v>303</v>
      </c>
      <c r="B2039">
        <v>1968</v>
      </c>
      <c r="C2039" t="s">
        <v>2356</v>
      </c>
      <c r="D2039">
        <v>9</v>
      </c>
      <c r="E2039">
        <v>0</v>
      </c>
      <c r="F2039" s="10">
        <v>31322.53</v>
      </c>
      <c r="G2039" t="s">
        <v>2357</v>
      </c>
      <c r="H2039" t="s">
        <v>2361</v>
      </c>
      <c r="I2039" t="s">
        <v>2368</v>
      </c>
      <c r="J2039" s="8">
        <f t="shared" si="31"/>
        <v>25028</v>
      </c>
    </row>
    <row r="2040" spans="1:10" x14ac:dyDescent="0.35">
      <c r="A2040" t="s">
        <v>302</v>
      </c>
      <c r="B2040">
        <v>1995</v>
      </c>
      <c r="C2040" t="s">
        <v>2363</v>
      </c>
      <c r="D2040">
        <v>27</v>
      </c>
      <c r="E2040">
        <v>0</v>
      </c>
      <c r="F2040" s="10">
        <v>31328.27</v>
      </c>
      <c r="G2040" t="s">
        <v>2357</v>
      </c>
      <c r="H2040" t="s">
        <v>2357</v>
      </c>
      <c r="I2040" t="s">
        <v>2368</v>
      </c>
      <c r="J2040" s="8">
        <f t="shared" si="31"/>
        <v>34969</v>
      </c>
    </row>
    <row r="2041" spans="1:10" x14ac:dyDescent="0.35">
      <c r="A2041" t="s">
        <v>301</v>
      </c>
      <c r="B2041">
        <v>1974</v>
      </c>
      <c r="C2041" t="s">
        <v>2367</v>
      </c>
      <c r="D2041">
        <v>8</v>
      </c>
      <c r="E2041">
        <v>0</v>
      </c>
      <c r="F2041" s="10">
        <v>31368.81</v>
      </c>
      <c r="G2041" t="s">
        <v>2357</v>
      </c>
      <c r="H2041" t="s">
        <v>2358</v>
      </c>
      <c r="I2041" t="s">
        <v>2368</v>
      </c>
      <c r="J2041" s="8">
        <f t="shared" si="31"/>
        <v>27310</v>
      </c>
    </row>
    <row r="2042" spans="1:10" x14ac:dyDescent="0.35">
      <c r="A2042" t="s">
        <v>300</v>
      </c>
      <c r="B2042">
        <v>1975</v>
      </c>
      <c r="C2042" t="s">
        <v>2367</v>
      </c>
      <c r="D2042">
        <v>29</v>
      </c>
      <c r="E2042">
        <v>1</v>
      </c>
      <c r="F2042" s="10">
        <v>31591.82</v>
      </c>
      <c r="G2042" t="s">
        <v>2357</v>
      </c>
      <c r="H2042" t="s">
        <v>2361</v>
      </c>
      <c r="I2042" t="s">
        <v>2368</v>
      </c>
      <c r="J2042" s="8">
        <f t="shared" si="31"/>
        <v>27696</v>
      </c>
    </row>
    <row r="2043" spans="1:10" x14ac:dyDescent="0.35">
      <c r="A2043" t="s">
        <v>299</v>
      </c>
      <c r="B2043">
        <v>1960</v>
      </c>
      <c r="C2043" t="s">
        <v>2365</v>
      </c>
      <c r="D2043">
        <v>13</v>
      </c>
      <c r="E2043">
        <v>1</v>
      </c>
      <c r="F2043" s="10">
        <v>31620</v>
      </c>
      <c r="G2043" t="s">
        <v>2357</v>
      </c>
      <c r="H2043" t="s">
        <v>2361</v>
      </c>
      <c r="I2043" t="s">
        <v>2374</v>
      </c>
      <c r="J2043" s="8">
        <f t="shared" si="31"/>
        <v>22263</v>
      </c>
    </row>
    <row r="2044" spans="1:10" x14ac:dyDescent="0.35">
      <c r="A2044" t="s">
        <v>298</v>
      </c>
      <c r="B2044">
        <v>1977</v>
      </c>
      <c r="C2044" t="s">
        <v>2367</v>
      </c>
      <c r="D2044">
        <v>14</v>
      </c>
      <c r="E2044">
        <v>2</v>
      </c>
      <c r="F2044" s="10">
        <v>31736.7</v>
      </c>
      <c r="G2044" t="s">
        <v>2357</v>
      </c>
      <c r="H2044" t="s">
        <v>2357</v>
      </c>
      <c r="I2044" t="s">
        <v>2364</v>
      </c>
      <c r="J2044" s="8">
        <f t="shared" si="31"/>
        <v>28412</v>
      </c>
    </row>
    <row r="2045" spans="1:10" x14ac:dyDescent="0.35">
      <c r="A2045" t="s">
        <v>297</v>
      </c>
      <c r="B2045">
        <v>1984</v>
      </c>
      <c r="C2045" t="s">
        <v>2363</v>
      </c>
      <c r="D2045">
        <v>10</v>
      </c>
      <c r="E2045">
        <v>3</v>
      </c>
      <c r="F2045" s="10">
        <v>31743.919999999998</v>
      </c>
      <c r="G2045" t="s">
        <v>2357</v>
      </c>
      <c r="H2045" t="s">
        <v>2361</v>
      </c>
      <c r="I2045" t="s">
        <v>2368</v>
      </c>
      <c r="J2045" s="8">
        <f t="shared" si="31"/>
        <v>30935</v>
      </c>
    </row>
    <row r="2046" spans="1:10" x14ac:dyDescent="0.35">
      <c r="A2046" t="s">
        <v>296</v>
      </c>
      <c r="B2046">
        <v>1975</v>
      </c>
      <c r="C2046" t="s">
        <v>2363</v>
      </c>
      <c r="D2046">
        <v>25</v>
      </c>
      <c r="E2046">
        <v>1</v>
      </c>
      <c r="F2046" s="10">
        <v>31897.1</v>
      </c>
      <c r="G2046" t="s">
        <v>2357</v>
      </c>
      <c r="H2046" t="s">
        <v>2358</v>
      </c>
      <c r="I2046" t="s">
        <v>2368</v>
      </c>
      <c r="J2046" s="8">
        <f t="shared" si="31"/>
        <v>27662</v>
      </c>
    </row>
    <row r="2047" spans="1:10" x14ac:dyDescent="0.35">
      <c r="A2047" t="s">
        <v>295</v>
      </c>
      <c r="B2047">
        <v>1972</v>
      </c>
      <c r="C2047" t="s">
        <v>2363</v>
      </c>
      <c r="D2047">
        <v>21</v>
      </c>
      <c r="E2047">
        <v>0</v>
      </c>
      <c r="F2047" s="10">
        <v>31980.89</v>
      </c>
      <c r="G2047" t="s">
        <v>2357</v>
      </c>
      <c r="H2047" t="s">
        <v>2361</v>
      </c>
      <c r="I2047" t="s">
        <v>2368</v>
      </c>
      <c r="J2047" s="8">
        <f t="shared" si="31"/>
        <v>26563</v>
      </c>
    </row>
    <row r="2048" spans="1:10" x14ac:dyDescent="0.35">
      <c r="A2048" t="s">
        <v>294</v>
      </c>
      <c r="B2048">
        <v>1993</v>
      </c>
      <c r="C2048" t="s">
        <v>2363</v>
      </c>
      <c r="D2048">
        <v>13</v>
      </c>
      <c r="E2048">
        <v>0</v>
      </c>
      <c r="F2048" s="10">
        <v>32086.21</v>
      </c>
      <c r="G2048" t="s">
        <v>2361</v>
      </c>
      <c r="H2048" t="s">
        <v>2358</v>
      </c>
      <c r="I2048" t="s">
        <v>2368</v>
      </c>
      <c r="J2048" s="8">
        <f t="shared" si="31"/>
        <v>34225</v>
      </c>
    </row>
    <row r="2049" spans="1:10" x14ac:dyDescent="0.35">
      <c r="A2049" t="s">
        <v>293</v>
      </c>
      <c r="B2049">
        <v>1978</v>
      </c>
      <c r="C2049" t="s">
        <v>2360</v>
      </c>
      <c r="D2049">
        <v>10</v>
      </c>
      <c r="E2049">
        <v>2</v>
      </c>
      <c r="F2049" s="10">
        <v>32108.66</v>
      </c>
      <c r="G2049" t="s">
        <v>2361</v>
      </c>
      <c r="H2049" t="s">
        <v>2358</v>
      </c>
      <c r="I2049" t="s">
        <v>2378</v>
      </c>
      <c r="J2049" s="8">
        <f t="shared" si="31"/>
        <v>28804</v>
      </c>
    </row>
    <row r="2050" spans="1:10" x14ac:dyDescent="0.35">
      <c r="A2050" t="s">
        <v>292</v>
      </c>
      <c r="B2050">
        <v>1969</v>
      </c>
      <c r="C2050" t="s">
        <v>2363</v>
      </c>
      <c r="D2050">
        <v>11</v>
      </c>
      <c r="E2050">
        <v>0</v>
      </c>
      <c r="F2050" s="10">
        <v>32192.76</v>
      </c>
      <c r="G2050" t="s">
        <v>2361</v>
      </c>
      <c r="H2050" t="s">
        <v>2357</v>
      </c>
      <c r="I2050" t="s">
        <v>2368</v>
      </c>
      <c r="J2050" s="8">
        <f t="shared" si="31"/>
        <v>25457</v>
      </c>
    </row>
    <row r="2051" spans="1:10" x14ac:dyDescent="0.35">
      <c r="A2051" t="s">
        <v>291</v>
      </c>
      <c r="B2051">
        <v>1994</v>
      </c>
      <c r="C2051" t="s">
        <v>2363</v>
      </c>
      <c r="D2051">
        <v>8</v>
      </c>
      <c r="E2051">
        <v>0</v>
      </c>
      <c r="F2051" s="10">
        <v>32222.81</v>
      </c>
      <c r="G2051" t="s">
        <v>2357</v>
      </c>
      <c r="H2051" t="s">
        <v>2361</v>
      </c>
      <c r="I2051" t="s">
        <v>2368</v>
      </c>
      <c r="J2051" s="8">
        <f t="shared" ref="J2051:J2114" si="32">DATE(B2051,MONTH(1&amp;C2051),D2051)</f>
        <v>34585</v>
      </c>
    </row>
    <row r="2052" spans="1:10" x14ac:dyDescent="0.35">
      <c r="A2052" t="s">
        <v>290</v>
      </c>
      <c r="B2052">
        <v>1975</v>
      </c>
      <c r="C2052" t="s">
        <v>2365</v>
      </c>
      <c r="D2052">
        <v>17</v>
      </c>
      <c r="E2052">
        <v>1</v>
      </c>
      <c r="F2052" s="10">
        <v>32259.96</v>
      </c>
      <c r="G2052" t="s">
        <v>2357</v>
      </c>
      <c r="H2052" t="s">
        <v>2358</v>
      </c>
      <c r="I2052" t="s">
        <v>2364</v>
      </c>
      <c r="J2052" s="8">
        <f t="shared" si="32"/>
        <v>27745</v>
      </c>
    </row>
    <row r="2053" spans="1:10" x14ac:dyDescent="0.35">
      <c r="A2053" t="s">
        <v>289</v>
      </c>
      <c r="B2053">
        <v>1986</v>
      </c>
      <c r="C2053" t="s">
        <v>2365</v>
      </c>
      <c r="D2053">
        <v>2</v>
      </c>
      <c r="E2053">
        <v>3</v>
      </c>
      <c r="F2053" s="10">
        <v>32288.49</v>
      </c>
      <c r="G2053" t="s">
        <v>2357</v>
      </c>
      <c r="H2053" t="s">
        <v>2357</v>
      </c>
      <c r="I2053" t="s">
        <v>2368</v>
      </c>
      <c r="J2053" s="8">
        <f t="shared" si="32"/>
        <v>31748</v>
      </c>
    </row>
    <row r="2054" spans="1:10" x14ac:dyDescent="0.35">
      <c r="A2054" t="s">
        <v>288</v>
      </c>
      <c r="B2054">
        <v>1972</v>
      </c>
      <c r="C2054" t="s">
        <v>2367</v>
      </c>
      <c r="D2054">
        <v>19</v>
      </c>
      <c r="E2054">
        <v>0</v>
      </c>
      <c r="F2054" s="10">
        <v>32428.63</v>
      </c>
      <c r="G2054" t="s">
        <v>2357</v>
      </c>
      <c r="H2054" t="s">
        <v>2357</v>
      </c>
      <c r="I2054" t="s">
        <v>2368</v>
      </c>
      <c r="J2054" s="8">
        <f t="shared" si="32"/>
        <v>26591</v>
      </c>
    </row>
    <row r="2055" spans="1:10" x14ac:dyDescent="0.35">
      <c r="A2055" t="s">
        <v>287</v>
      </c>
      <c r="B2055">
        <v>1976</v>
      </c>
      <c r="C2055" t="s">
        <v>2366</v>
      </c>
      <c r="D2055">
        <v>9</v>
      </c>
      <c r="E2055">
        <v>2</v>
      </c>
      <c r="F2055" s="10">
        <v>32430.22</v>
      </c>
      <c r="G2055" t="s">
        <v>2357</v>
      </c>
      <c r="H2055" t="s">
        <v>2358</v>
      </c>
      <c r="I2055" t="s">
        <v>2368</v>
      </c>
      <c r="J2055" s="8">
        <f t="shared" si="32"/>
        <v>27981</v>
      </c>
    </row>
    <row r="2056" spans="1:10" x14ac:dyDescent="0.35">
      <c r="A2056" t="s">
        <v>286</v>
      </c>
      <c r="B2056">
        <v>1981</v>
      </c>
      <c r="C2056" t="s">
        <v>2363</v>
      </c>
      <c r="D2056">
        <v>27</v>
      </c>
      <c r="E2056">
        <v>1</v>
      </c>
      <c r="F2056" s="10">
        <v>32462.35</v>
      </c>
      <c r="G2056" t="s">
        <v>2357</v>
      </c>
      <c r="H2056" t="s">
        <v>2357</v>
      </c>
      <c r="I2056" t="s">
        <v>2368</v>
      </c>
      <c r="J2056" s="8">
        <f t="shared" si="32"/>
        <v>29856</v>
      </c>
    </row>
    <row r="2057" spans="1:10" x14ac:dyDescent="0.35">
      <c r="A2057" t="s">
        <v>285</v>
      </c>
      <c r="B2057">
        <v>1976</v>
      </c>
      <c r="C2057" t="s">
        <v>2363</v>
      </c>
      <c r="D2057">
        <v>19</v>
      </c>
      <c r="E2057">
        <v>2</v>
      </c>
      <c r="F2057" s="10">
        <v>32485.46</v>
      </c>
      <c r="G2057" t="s">
        <v>2357</v>
      </c>
      <c r="H2057" t="s">
        <v>2361</v>
      </c>
      <c r="I2057" t="s">
        <v>2368</v>
      </c>
      <c r="J2057" s="8">
        <f t="shared" si="32"/>
        <v>28022</v>
      </c>
    </row>
    <row r="2058" spans="1:10" x14ac:dyDescent="0.35">
      <c r="A2058" t="s">
        <v>284</v>
      </c>
      <c r="B2058">
        <v>2003</v>
      </c>
      <c r="C2058" t="s">
        <v>2367</v>
      </c>
      <c r="D2058">
        <v>8</v>
      </c>
      <c r="E2058">
        <v>0</v>
      </c>
      <c r="F2058" s="10">
        <v>32548.34</v>
      </c>
      <c r="G2058" t="s">
        <v>2361</v>
      </c>
      <c r="H2058" t="s">
        <v>2357</v>
      </c>
      <c r="I2058" t="s">
        <v>2359</v>
      </c>
      <c r="J2058" s="8">
        <f t="shared" si="32"/>
        <v>37902</v>
      </c>
    </row>
    <row r="2059" spans="1:10" x14ac:dyDescent="0.35">
      <c r="A2059" t="s">
        <v>283</v>
      </c>
      <c r="B2059">
        <v>1990</v>
      </c>
      <c r="C2059" t="s">
        <v>2356</v>
      </c>
      <c r="D2059">
        <v>13</v>
      </c>
      <c r="E2059">
        <v>3</v>
      </c>
      <c r="F2059" s="10">
        <v>32672.11</v>
      </c>
      <c r="G2059" t="s">
        <v>2361</v>
      </c>
      <c r="H2059" t="s">
        <v>2361</v>
      </c>
      <c r="I2059" t="s">
        <v>2368</v>
      </c>
      <c r="J2059" s="8">
        <f t="shared" si="32"/>
        <v>33067</v>
      </c>
    </row>
    <row r="2060" spans="1:10" x14ac:dyDescent="0.35">
      <c r="A2060" t="s">
        <v>282</v>
      </c>
      <c r="B2060">
        <v>1968</v>
      </c>
      <c r="C2060" t="s">
        <v>2360</v>
      </c>
      <c r="D2060">
        <v>1</v>
      </c>
      <c r="E2060">
        <v>0</v>
      </c>
      <c r="F2060" s="10">
        <v>32686.080000000002</v>
      </c>
      <c r="G2060" t="s">
        <v>2357</v>
      </c>
      <c r="H2060" t="s">
        <v>2358</v>
      </c>
      <c r="I2060" t="s">
        <v>2368</v>
      </c>
      <c r="J2060" s="8">
        <f t="shared" si="32"/>
        <v>25143</v>
      </c>
    </row>
    <row r="2061" spans="1:10" x14ac:dyDescent="0.35">
      <c r="A2061" t="s">
        <v>281</v>
      </c>
      <c r="B2061">
        <v>1990</v>
      </c>
      <c r="C2061" t="s">
        <v>2363</v>
      </c>
      <c r="D2061">
        <v>30</v>
      </c>
      <c r="E2061">
        <v>3</v>
      </c>
      <c r="F2061" s="10">
        <v>32716.2</v>
      </c>
      <c r="G2061" t="s">
        <v>2361</v>
      </c>
      <c r="H2061" t="s">
        <v>2357</v>
      </c>
      <c r="I2061" t="s">
        <v>2368</v>
      </c>
      <c r="J2061" s="8">
        <f t="shared" si="32"/>
        <v>33146</v>
      </c>
    </row>
    <row r="2062" spans="1:10" x14ac:dyDescent="0.35">
      <c r="A2062" t="s">
        <v>280</v>
      </c>
      <c r="B2062">
        <v>1990</v>
      </c>
      <c r="C2062" t="s">
        <v>2356</v>
      </c>
      <c r="D2062">
        <v>9</v>
      </c>
      <c r="E2062">
        <v>2</v>
      </c>
      <c r="F2062" s="10">
        <v>32734.19</v>
      </c>
      <c r="G2062" t="s">
        <v>2357</v>
      </c>
      <c r="H2062" t="s">
        <v>2361</v>
      </c>
      <c r="I2062" t="s">
        <v>2364</v>
      </c>
      <c r="J2062" s="8">
        <f t="shared" si="32"/>
        <v>33063</v>
      </c>
    </row>
    <row r="2063" spans="1:10" x14ac:dyDescent="0.35">
      <c r="A2063" t="s">
        <v>279</v>
      </c>
      <c r="B2063">
        <v>1974</v>
      </c>
      <c r="C2063" t="s">
        <v>2365</v>
      </c>
      <c r="D2063">
        <v>6</v>
      </c>
      <c r="E2063">
        <v>0</v>
      </c>
      <c r="F2063" s="10">
        <v>32760.48</v>
      </c>
      <c r="G2063" t="s">
        <v>2361</v>
      </c>
      <c r="H2063" t="s">
        <v>2361</v>
      </c>
      <c r="I2063" t="s">
        <v>2368</v>
      </c>
      <c r="J2063" s="8">
        <f t="shared" si="32"/>
        <v>27369</v>
      </c>
    </row>
    <row r="2064" spans="1:10" x14ac:dyDescent="0.35">
      <c r="A2064" t="s">
        <v>278</v>
      </c>
      <c r="B2064">
        <v>1972</v>
      </c>
      <c r="C2064" t="s">
        <v>2360</v>
      </c>
      <c r="D2064">
        <v>7</v>
      </c>
      <c r="E2064">
        <v>0</v>
      </c>
      <c r="F2064" s="10">
        <v>32765.33</v>
      </c>
      <c r="G2064" t="s">
        <v>2357</v>
      </c>
      <c r="H2064" t="s">
        <v>2357</v>
      </c>
      <c r="I2064" t="s">
        <v>2364</v>
      </c>
      <c r="J2064" s="8">
        <f t="shared" si="32"/>
        <v>26610</v>
      </c>
    </row>
    <row r="2065" spans="1:10" x14ac:dyDescent="0.35">
      <c r="A2065" t="s">
        <v>277</v>
      </c>
      <c r="B2065">
        <v>1980</v>
      </c>
      <c r="C2065" t="s">
        <v>2365</v>
      </c>
      <c r="D2065">
        <v>12</v>
      </c>
      <c r="E2065">
        <v>3</v>
      </c>
      <c r="F2065" s="10">
        <v>32787.46</v>
      </c>
      <c r="G2065" t="s">
        <v>2361</v>
      </c>
      <c r="H2065" t="s">
        <v>2358</v>
      </c>
      <c r="I2065" t="s">
        <v>2364</v>
      </c>
      <c r="J2065" s="8">
        <f t="shared" si="32"/>
        <v>29567</v>
      </c>
    </row>
    <row r="2066" spans="1:10" x14ac:dyDescent="0.35">
      <c r="A2066" t="s">
        <v>276</v>
      </c>
      <c r="B2066">
        <v>1995</v>
      </c>
      <c r="C2066" t="s">
        <v>2365</v>
      </c>
      <c r="D2066">
        <v>4</v>
      </c>
      <c r="E2066">
        <v>0</v>
      </c>
      <c r="F2066" s="10">
        <v>32827.51</v>
      </c>
      <c r="G2066" t="s">
        <v>2361</v>
      </c>
      <c r="H2066" t="s">
        <v>2357</v>
      </c>
      <c r="I2066" t="s">
        <v>2368</v>
      </c>
      <c r="J2066" s="8">
        <f t="shared" si="32"/>
        <v>35037</v>
      </c>
    </row>
    <row r="2067" spans="1:10" x14ac:dyDescent="0.35">
      <c r="A2067" t="s">
        <v>275</v>
      </c>
      <c r="B2067">
        <v>1981</v>
      </c>
      <c r="C2067" t="s">
        <v>2360</v>
      </c>
      <c r="D2067">
        <v>17</v>
      </c>
      <c r="E2067">
        <v>1</v>
      </c>
      <c r="F2067" s="10">
        <v>32906.69</v>
      </c>
      <c r="G2067" t="s">
        <v>2357</v>
      </c>
      <c r="H2067" t="s">
        <v>2358</v>
      </c>
      <c r="I2067" t="s">
        <v>2368</v>
      </c>
      <c r="J2067" s="8">
        <f t="shared" si="32"/>
        <v>29907</v>
      </c>
    </row>
    <row r="2068" spans="1:10" x14ac:dyDescent="0.35">
      <c r="A2068" t="s">
        <v>274</v>
      </c>
      <c r="B2068">
        <v>1971</v>
      </c>
      <c r="C2068" t="s">
        <v>2366</v>
      </c>
      <c r="D2068">
        <v>24</v>
      </c>
      <c r="E2068">
        <v>0</v>
      </c>
      <c r="F2068" s="10">
        <v>32947.629999999997</v>
      </c>
      <c r="G2068" t="s">
        <v>2357</v>
      </c>
      <c r="H2068" t="s">
        <v>2361</v>
      </c>
      <c r="I2068" t="s">
        <v>2368</v>
      </c>
      <c r="J2068" s="8">
        <f t="shared" si="32"/>
        <v>26169</v>
      </c>
    </row>
    <row r="2069" spans="1:10" x14ac:dyDescent="0.35">
      <c r="A2069" t="s">
        <v>273</v>
      </c>
      <c r="B2069">
        <v>1995</v>
      </c>
      <c r="C2069" t="s">
        <v>2356</v>
      </c>
      <c r="D2069">
        <v>8</v>
      </c>
      <c r="E2069">
        <v>0</v>
      </c>
      <c r="F2069" s="10">
        <v>33017.46</v>
      </c>
      <c r="G2069" t="s">
        <v>2361</v>
      </c>
      <c r="H2069" t="s">
        <v>2361</v>
      </c>
      <c r="I2069" t="s">
        <v>2368</v>
      </c>
      <c r="J2069" s="8">
        <f t="shared" si="32"/>
        <v>34888</v>
      </c>
    </row>
    <row r="2070" spans="1:10" x14ac:dyDescent="0.35">
      <c r="A2070" t="s">
        <v>272</v>
      </c>
      <c r="B2070">
        <v>1967</v>
      </c>
      <c r="C2070" t="s">
        <v>2356</v>
      </c>
      <c r="D2070">
        <v>10</v>
      </c>
      <c r="E2070">
        <v>0</v>
      </c>
      <c r="F2070" s="10">
        <v>33025.32</v>
      </c>
      <c r="G2070" t="s">
        <v>2357</v>
      </c>
      <c r="H2070" t="s">
        <v>2358</v>
      </c>
      <c r="I2070" t="s">
        <v>2368</v>
      </c>
      <c r="J2070" s="8">
        <f t="shared" si="32"/>
        <v>24663</v>
      </c>
    </row>
    <row r="2071" spans="1:10" x14ac:dyDescent="0.35">
      <c r="A2071" t="s">
        <v>271</v>
      </c>
      <c r="B2071">
        <v>1994</v>
      </c>
      <c r="C2071" t="s">
        <v>2356</v>
      </c>
      <c r="D2071">
        <v>28</v>
      </c>
      <c r="E2071">
        <v>0</v>
      </c>
      <c r="F2071" s="10">
        <v>33057.230000000003</v>
      </c>
      <c r="G2071" t="s">
        <v>2361</v>
      </c>
      <c r="H2071" t="s">
        <v>2357</v>
      </c>
      <c r="I2071" t="s">
        <v>2368</v>
      </c>
      <c r="J2071" s="8">
        <f t="shared" si="32"/>
        <v>34543</v>
      </c>
    </row>
    <row r="2072" spans="1:10" x14ac:dyDescent="0.35">
      <c r="A2072" t="s">
        <v>270</v>
      </c>
      <c r="B2072">
        <v>1962</v>
      </c>
      <c r="C2072" t="s">
        <v>2356</v>
      </c>
      <c r="D2072">
        <v>1</v>
      </c>
      <c r="E2072">
        <v>0</v>
      </c>
      <c r="F2072" s="10">
        <v>33074.94</v>
      </c>
      <c r="G2072" t="s">
        <v>2361</v>
      </c>
      <c r="H2072" t="s">
        <v>2357</v>
      </c>
      <c r="I2072" t="s">
        <v>2368</v>
      </c>
      <c r="J2072" s="8">
        <f t="shared" si="32"/>
        <v>22828</v>
      </c>
    </row>
    <row r="2073" spans="1:10" x14ac:dyDescent="0.35">
      <c r="A2073" t="s">
        <v>269</v>
      </c>
      <c r="B2073">
        <v>1969</v>
      </c>
      <c r="C2073" t="s">
        <v>2367</v>
      </c>
      <c r="D2073">
        <v>30</v>
      </c>
      <c r="E2073">
        <v>0</v>
      </c>
      <c r="F2073" s="10">
        <v>33090.660000000003</v>
      </c>
      <c r="G2073" t="s">
        <v>2357</v>
      </c>
      <c r="H2073" t="s">
        <v>2357</v>
      </c>
      <c r="I2073" t="s">
        <v>2368</v>
      </c>
      <c r="J2073" s="8">
        <f t="shared" si="32"/>
        <v>25506</v>
      </c>
    </row>
    <row r="2074" spans="1:10" x14ac:dyDescent="0.35">
      <c r="A2074" t="s">
        <v>268</v>
      </c>
      <c r="B2074">
        <v>1985</v>
      </c>
      <c r="C2074" t="s">
        <v>2356</v>
      </c>
      <c r="D2074">
        <v>15</v>
      </c>
      <c r="E2074">
        <v>3</v>
      </c>
      <c r="F2074" s="10">
        <v>33121</v>
      </c>
      <c r="G2074" t="s">
        <v>2357</v>
      </c>
      <c r="H2074" t="s">
        <v>2361</v>
      </c>
      <c r="I2074" t="s">
        <v>2368</v>
      </c>
      <c r="J2074" s="8">
        <f t="shared" si="32"/>
        <v>31243</v>
      </c>
    </row>
    <row r="2075" spans="1:10" x14ac:dyDescent="0.35">
      <c r="A2075" t="s">
        <v>267</v>
      </c>
      <c r="B2075">
        <v>1990</v>
      </c>
      <c r="C2075" t="s">
        <v>2367</v>
      </c>
      <c r="D2075">
        <v>12</v>
      </c>
      <c r="E2075">
        <v>3</v>
      </c>
      <c r="F2075" s="10">
        <v>33292.83</v>
      </c>
      <c r="G2075" t="s">
        <v>2357</v>
      </c>
      <c r="H2075" t="s">
        <v>2361</v>
      </c>
      <c r="I2075" t="s">
        <v>2368</v>
      </c>
      <c r="J2075" s="8">
        <f t="shared" si="32"/>
        <v>33158</v>
      </c>
    </row>
    <row r="2076" spans="1:10" x14ac:dyDescent="0.35">
      <c r="A2076" t="s">
        <v>266</v>
      </c>
      <c r="B2076">
        <v>2003</v>
      </c>
      <c r="C2076" t="s">
        <v>2360</v>
      </c>
      <c r="D2076">
        <v>28</v>
      </c>
      <c r="E2076">
        <v>0</v>
      </c>
      <c r="F2076" s="10">
        <v>33307.550000000003</v>
      </c>
      <c r="G2076" t="s">
        <v>2357</v>
      </c>
      <c r="H2076" t="s">
        <v>2358</v>
      </c>
      <c r="I2076" t="s">
        <v>2364</v>
      </c>
      <c r="J2076" s="8">
        <f t="shared" si="32"/>
        <v>37953</v>
      </c>
    </row>
    <row r="2077" spans="1:10" x14ac:dyDescent="0.35">
      <c r="A2077" t="s">
        <v>265</v>
      </c>
      <c r="B2077">
        <v>1972</v>
      </c>
      <c r="C2077" t="s">
        <v>2363</v>
      </c>
      <c r="D2077">
        <v>5</v>
      </c>
      <c r="E2077">
        <v>0</v>
      </c>
      <c r="F2077" s="10">
        <v>33344.449999999997</v>
      </c>
      <c r="G2077" t="s">
        <v>2357</v>
      </c>
      <c r="H2077" t="s">
        <v>2358</v>
      </c>
      <c r="I2077" t="s">
        <v>2368</v>
      </c>
      <c r="J2077" s="8">
        <f t="shared" si="32"/>
        <v>26547</v>
      </c>
    </row>
    <row r="2078" spans="1:10" x14ac:dyDescent="0.35">
      <c r="A2078" t="s">
        <v>264</v>
      </c>
      <c r="B2078">
        <v>1985</v>
      </c>
      <c r="C2078" t="s">
        <v>2365</v>
      </c>
      <c r="D2078">
        <v>7</v>
      </c>
      <c r="E2078">
        <v>3</v>
      </c>
      <c r="F2078" s="10">
        <v>33450.99</v>
      </c>
      <c r="G2078" t="s">
        <v>2357</v>
      </c>
      <c r="H2078" t="s">
        <v>2357</v>
      </c>
      <c r="I2078" t="s">
        <v>2368</v>
      </c>
      <c r="J2078" s="8">
        <f t="shared" si="32"/>
        <v>31388</v>
      </c>
    </row>
    <row r="2079" spans="1:10" x14ac:dyDescent="0.35">
      <c r="A2079" t="s">
        <v>263</v>
      </c>
      <c r="B2079">
        <v>1970</v>
      </c>
      <c r="C2079" t="s">
        <v>2362</v>
      </c>
      <c r="D2079">
        <v>18</v>
      </c>
      <c r="E2079">
        <v>2</v>
      </c>
      <c r="F2079" s="10">
        <v>33471.97</v>
      </c>
      <c r="G2079" t="s">
        <v>2357</v>
      </c>
      <c r="H2079" t="s">
        <v>2357</v>
      </c>
      <c r="I2079" t="s">
        <v>2364</v>
      </c>
      <c r="J2079" s="8">
        <f t="shared" si="32"/>
        <v>25737</v>
      </c>
    </row>
    <row r="2080" spans="1:10" x14ac:dyDescent="0.35">
      <c r="A2080" t="s">
        <v>262</v>
      </c>
      <c r="B2080">
        <v>2002</v>
      </c>
      <c r="C2080" t="s">
        <v>2366</v>
      </c>
      <c r="D2080">
        <v>25</v>
      </c>
      <c r="E2080">
        <v>0</v>
      </c>
      <c r="F2080" s="10">
        <v>33475.82</v>
      </c>
      <c r="G2080" t="s">
        <v>2361</v>
      </c>
      <c r="H2080" t="s">
        <v>2361</v>
      </c>
      <c r="I2080" t="s">
        <v>2372</v>
      </c>
      <c r="J2080" s="8">
        <f t="shared" si="32"/>
        <v>37493</v>
      </c>
    </row>
    <row r="2081" spans="1:10" x14ac:dyDescent="0.35">
      <c r="A2081" t="s">
        <v>261</v>
      </c>
      <c r="B2081">
        <v>1984</v>
      </c>
      <c r="C2081" t="s">
        <v>2356</v>
      </c>
      <c r="D2081">
        <v>22</v>
      </c>
      <c r="E2081">
        <v>3</v>
      </c>
      <c r="F2081" s="10">
        <v>33527.1</v>
      </c>
      <c r="G2081" t="s">
        <v>2357</v>
      </c>
      <c r="H2081" t="s">
        <v>2358</v>
      </c>
      <c r="I2081" t="s">
        <v>2368</v>
      </c>
      <c r="J2081" s="8">
        <f t="shared" si="32"/>
        <v>30885</v>
      </c>
    </row>
    <row r="2082" spans="1:10" x14ac:dyDescent="0.35">
      <c r="A2082" t="s">
        <v>260</v>
      </c>
      <c r="B2082">
        <v>2003</v>
      </c>
      <c r="C2082" t="s">
        <v>2363</v>
      </c>
      <c r="D2082">
        <v>9</v>
      </c>
      <c r="E2082">
        <v>0</v>
      </c>
      <c r="F2082" s="10">
        <v>33611.71</v>
      </c>
      <c r="G2082" t="s">
        <v>2361</v>
      </c>
      <c r="H2082" t="s">
        <v>2357</v>
      </c>
      <c r="I2082" t="s">
        <v>2368</v>
      </c>
      <c r="J2082" s="8">
        <f t="shared" si="32"/>
        <v>37873</v>
      </c>
    </row>
    <row r="2083" spans="1:10" x14ac:dyDescent="0.35">
      <c r="A2083" t="s">
        <v>259</v>
      </c>
      <c r="B2083">
        <v>1993</v>
      </c>
      <c r="C2083" t="s">
        <v>2360</v>
      </c>
      <c r="D2083">
        <v>28</v>
      </c>
      <c r="E2083">
        <v>0</v>
      </c>
      <c r="F2083" s="10">
        <v>33707.550000000003</v>
      </c>
      <c r="G2083" t="s">
        <v>2357</v>
      </c>
      <c r="H2083" t="s">
        <v>2357</v>
      </c>
      <c r="I2083" t="s">
        <v>2368</v>
      </c>
      <c r="J2083" s="8">
        <f t="shared" si="32"/>
        <v>34301</v>
      </c>
    </row>
    <row r="2084" spans="1:10" x14ac:dyDescent="0.35">
      <c r="A2084" t="s">
        <v>258</v>
      </c>
      <c r="B2084">
        <v>2004</v>
      </c>
      <c r="C2084" t="s">
        <v>2360</v>
      </c>
      <c r="D2084">
        <v>1</v>
      </c>
      <c r="E2084">
        <v>0</v>
      </c>
      <c r="F2084" s="10">
        <v>33732.69</v>
      </c>
      <c r="G2084" t="s">
        <v>2361</v>
      </c>
      <c r="H2084" t="s">
        <v>2361</v>
      </c>
      <c r="I2084" t="s">
        <v>2378</v>
      </c>
      <c r="J2084" s="8">
        <f t="shared" si="32"/>
        <v>38292</v>
      </c>
    </row>
    <row r="2085" spans="1:10" x14ac:dyDescent="0.35">
      <c r="A2085" t="s">
        <v>257</v>
      </c>
      <c r="B2085">
        <v>2003</v>
      </c>
      <c r="C2085" t="s">
        <v>2363</v>
      </c>
      <c r="D2085">
        <v>12</v>
      </c>
      <c r="E2085">
        <v>0</v>
      </c>
      <c r="F2085" s="10">
        <v>33750.29</v>
      </c>
      <c r="G2085" t="s">
        <v>2361</v>
      </c>
      <c r="H2085" t="s">
        <v>2358</v>
      </c>
      <c r="I2085" t="s">
        <v>2364</v>
      </c>
      <c r="J2085" s="8">
        <f t="shared" si="32"/>
        <v>37876</v>
      </c>
    </row>
    <row r="2086" spans="1:10" x14ac:dyDescent="0.35">
      <c r="A2086" t="s">
        <v>256</v>
      </c>
      <c r="B2086">
        <v>1962</v>
      </c>
      <c r="C2086" t="s">
        <v>2365</v>
      </c>
      <c r="D2086">
        <v>11</v>
      </c>
      <c r="E2086">
        <v>0</v>
      </c>
      <c r="F2086" s="10">
        <v>33753.32</v>
      </c>
      <c r="G2086" t="s">
        <v>2361</v>
      </c>
      <c r="H2086" t="s">
        <v>2358</v>
      </c>
      <c r="I2086" t="s">
        <v>2368</v>
      </c>
      <c r="J2086" s="8">
        <f t="shared" si="32"/>
        <v>22991</v>
      </c>
    </row>
    <row r="2087" spans="1:10" x14ac:dyDescent="0.35">
      <c r="A2087" t="s">
        <v>255</v>
      </c>
      <c r="B2087">
        <v>2000</v>
      </c>
      <c r="C2087" t="s">
        <v>2367</v>
      </c>
      <c r="D2087">
        <v>26</v>
      </c>
      <c r="E2087">
        <v>0</v>
      </c>
      <c r="F2087" s="10">
        <v>33829.39</v>
      </c>
      <c r="G2087" t="s">
        <v>2357</v>
      </c>
      <c r="H2087" t="s">
        <v>2358</v>
      </c>
      <c r="I2087" t="s">
        <v>2368</v>
      </c>
      <c r="J2087" s="8">
        <f t="shared" si="32"/>
        <v>36825</v>
      </c>
    </row>
    <row r="2088" spans="1:10" x14ac:dyDescent="0.35">
      <c r="A2088" t="s">
        <v>254</v>
      </c>
      <c r="B2088">
        <v>1997</v>
      </c>
      <c r="C2088" t="s">
        <v>2366</v>
      </c>
      <c r="D2088">
        <v>9</v>
      </c>
      <c r="E2088">
        <v>0</v>
      </c>
      <c r="F2088" s="10">
        <v>33900.65</v>
      </c>
      <c r="G2088" t="s">
        <v>2357</v>
      </c>
      <c r="H2088" t="s">
        <v>2358</v>
      </c>
      <c r="I2088" t="s">
        <v>2368</v>
      </c>
      <c r="J2088" s="8">
        <f t="shared" si="32"/>
        <v>35651</v>
      </c>
    </row>
    <row r="2089" spans="1:10" x14ac:dyDescent="0.35">
      <c r="A2089" t="s">
        <v>253</v>
      </c>
      <c r="B2089">
        <v>2000</v>
      </c>
      <c r="C2089" t="s">
        <v>2365</v>
      </c>
      <c r="D2089">
        <v>27</v>
      </c>
      <c r="E2089">
        <v>0</v>
      </c>
      <c r="F2089" s="10">
        <v>33907.550000000003</v>
      </c>
      <c r="G2089" t="s">
        <v>2357</v>
      </c>
      <c r="H2089" t="s">
        <v>2357</v>
      </c>
      <c r="I2089" t="s">
        <v>2364</v>
      </c>
      <c r="J2089" s="8">
        <f t="shared" si="32"/>
        <v>36887</v>
      </c>
    </row>
    <row r="2090" spans="1:10" x14ac:dyDescent="0.35">
      <c r="A2090" t="s">
        <v>252</v>
      </c>
      <c r="B2090">
        <v>1994</v>
      </c>
      <c r="C2090" t="s">
        <v>2363</v>
      </c>
      <c r="D2090">
        <v>25</v>
      </c>
      <c r="E2090">
        <v>0</v>
      </c>
      <c r="F2090" s="10">
        <v>33975.47</v>
      </c>
      <c r="G2090" t="s">
        <v>2357</v>
      </c>
      <c r="H2090" t="s">
        <v>2357</v>
      </c>
      <c r="I2090" t="s">
        <v>2368</v>
      </c>
      <c r="J2090" s="8">
        <f t="shared" si="32"/>
        <v>34602</v>
      </c>
    </row>
    <row r="2091" spans="1:10" x14ac:dyDescent="0.35">
      <c r="A2091" t="s">
        <v>251</v>
      </c>
      <c r="B2091">
        <v>1972</v>
      </c>
      <c r="C2091" t="s">
        <v>2356</v>
      </c>
      <c r="D2091">
        <v>26</v>
      </c>
      <c r="E2091">
        <v>0</v>
      </c>
      <c r="F2091" s="10">
        <v>34053.360000000001</v>
      </c>
      <c r="G2091" t="s">
        <v>2357</v>
      </c>
      <c r="H2091" t="s">
        <v>2357</v>
      </c>
      <c r="I2091" t="s">
        <v>2368</v>
      </c>
      <c r="J2091" s="8">
        <f t="shared" si="32"/>
        <v>26506</v>
      </c>
    </row>
    <row r="2092" spans="1:10" x14ac:dyDescent="0.35">
      <c r="A2092" t="s">
        <v>250</v>
      </c>
      <c r="B2092">
        <v>2002</v>
      </c>
      <c r="C2092" t="s">
        <v>2365</v>
      </c>
      <c r="D2092">
        <v>26</v>
      </c>
      <c r="E2092">
        <v>0</v>
      </c>
      <c r="F2092" s="10">
        <v>34084.68</v>
      </c>
      <c r="G2092" t="s">
        <v>2357</v>
      </c>
      <c r="H2092" t="s">
        <v>2358</v>
      </c>
      <c r="I2092" t="s">
        <v>2368</v>
      </c>
      <c r="J2092" s="8">
        <f t="shared" si="32"/>
        <v>37616</v>
      </c>
    </row>
    <row r="2093" spans="1:10" x14ac:dyDescent="0.35">
      <c r="A2093" t="s">
        <v>249</v>
      </c>
      <c r="B2093">
        <v>1999</v>
      </c>
      <c r="C2093" t="s">
        <v>2360</v>
      </c>
      <c r="D2093">
        <v>6</v>
      </c>
      <c r="E2093">
        <v>0</v>
      </c>
      <c r="F2093" s="10">
        <v>34166.269999999997</v>
      </c>
      <c r="G2093" t="s">
        <v>2357</v>
      </c>
      <c r="H2093" t="s">
        <v>2358</v>
      </c>
      <c r="I2093" t="s">
        <v>2368</v>
      </c>
      <c r="J2093" s="8">
        <f t="shared" si="32"/>
        <v>36470</v>
      </c>
    </row>
    <row r="2094" spans="1:10" x14ac:dyDescent="0.35">
      <c r="A2094" t="s">
        <v>248</v>
      </c>
      <c r="B2094">
        <v>1971</v>
      </c>
      <c r="C2094" t="s">
        <v>2366</v>
      </c>
      <c r="D2094">
        <v>25</v>
      </c>
      <c r="E2094">
        <v>0</v>
      </c>
      <c r="F2094" s="10">
        <v>34205.07</v>
      </c>
      <c r="G2094" t="s">
        <v>2357</v>
      </c>
      <c r="H2094" t="s">
        <v>2357</v>
      </c>
      <c r="I2094" t="s">
        <v>2368</v>
      </c>
      <c r="J2094" s="8">
        <f t="shared" si="32"/>
        <v>26170</v>
      </c>
    </row>
    <row r="2095" spans="1:10" x14ac:dyDescent="0.35">
      <c r="A2095" t="s">
        <v>247</v>
      </c>
      <c r="B2095">
        <v>1975</v>
      </c>
      <c r="C2095" t="s">
        <v>2356</v>
      </c>
      <c r="D2095">
        <v>21</v>
      </c>
      <c r="E2095">
        <v>1</v>
      </c>
      <c r="F2095" s="10">
        <v>34210.33</v>
      </c>
      <c r="G2095" t="s">
        <v>2357</v>
      </c>
      <c r="H2095" t="s">
        <v>2361</v>
      </c>
      <c r="I2095" t="s">
        <v>2364</v>
      </c>
      <c r="J2095" s="8">
        <f t="shared" si="32"/>
        <v>27596</v>
      </c>
    </row>
    <row r="2096" spans="1:10" x14ac:dyDescent="0.35">
      <c r="A2096" t="s">
        <v>246</v>
      </c>
      <c r="B2096">
        <v>1962</v>
      </c>
      <c r="C2096" t="s">
        <v>2356</v>
      </c>
      <c r="D2096">
        <v>5</v>
      </c>
      <c r="E2096">
        <v>0</v>
      </c>
      <c r="F2096" s="10">
        <v>34218.019999999997</v>
      </c>
      <c r="G2096" t="s">
        <v>2361</v>
      </c>
      <c r="H2096" t="s">
        <v>2361</v>
      </c>
      <c r="I2096" t="s">
        <v>2368</v>
      </c>
      <c r="J2096" s="8">
        <f t="shared" si="32"/>
        <v>22832</v>
      </c>
    </row>
    <row r="2097" spans="1:10" x14ac:dyDescent="0.35">
      <c r="A2097" t="s">
        <v>245</v>
      </c>
      <c r="B2097">
        <v>1998</v>
      </c>
      <c r="C2097" t="s">
        <v>2362</v>
      </c>
      <c r="D2097">
        <v>11</v>
      </c>
      <c r="E2097">
        <v>0</v>
      </c>
      <c r="F2097" s="10">
        <v>34254.050000000003</v>
      </c>
      <c r="G2097" t="s">
        <v>2361</v>
      </c>
      <c r="H2097" t="s">
        <v>2358</v>
      </c>
      <c r="I2097" t="s">
        <v>2370</v>
      </c>
      <c r="J2097" s="8">
        <f t="shared" si="32"/>
        <v>35957</v>
      </c>
    </row>
    <row r="2098" spans="1:10" x14ac:dyDescent="0.35">
      <c r="A2098" t="s">
        <v>244</v>
      </c>
      <c r="B2098">
        <v>1995</v>
      </c>
      <c r="C2098" t="s">
        <v>2367</v>
      </c>
      <c r="D2098">
        <v>30</v>
      </c>
      <c r="E2098">
        <v>0</v>
      </c>
      <c r="F2098" s="10">
        <v>34289.43</v>
      </c>
      <c r="G2098" t="s">
        <v>2361</v>
      </c>
      <c r="H2098" t="s">
        <v>2361</v>
      </c>
      <c r="I2098" t="s">
        <v>2368</v>
      </c>
      <c r="J2098" s="8">
        <f t="shared" si="32"/>
        <v>35002</v>
      </c>
    </row>
    <row r="2099" spans="1:10" x14ac:dyDescent="0.35">
      <c r="A2099" t="s">
        <v>243</v>
      </c>
      <c r="B2099">
        <v>1986</v>
      </c>
      <c r="C2099" t="s">
        <v>2367</v>
      </c>
      <c r="D2099">
        <v>11</v>
      </c>
      <c r="E2099">
        <v>3</v>
      </c>
      <c r="F2099" s="10">
        <v>34293.120000000003</v>
      </c>
      <c r="G2099" t="s">
        <v>2361</v>
      </c>
      <c r="H2099" t="s">
        <v>2357</v>
      </c>
      <c r="I2099" t="s">
        <v>2368</v>
      </c>
      <c r="J2099" s="8">
        <f t="shared" si="32"/>
        <v>31696</v>
      </c>
    </row>
    <row r="2100" spans="1:10" x14ac:dyDescent="0.35">
      <c r="A2100" t="s">
        <v>2383</v>
      </c>
      <c r="B2100">
        <v>2004</v>
      </c>
      <c r="C2100" t="s">
        <v>2360</v>
      </c>
      <c r="D2100">
        <v>1</v>
      </c>
      <c r="E2100">
        <v>2</v>
      </c>
      <c r="F2100" s="10">
        <v>34303.17</v>
      </c>
      <c r="G2100" t="s">
        <v>2361</v>
      </c>
      <c r="H2100" t="s">
        <v>2358</v>
      </c>
      <c r="I2100" t="s">
        <v>2359</v>
      </c>
      <c r="J2100" s="8">
        <f t="shared" si="32"/>
        <v>38292</v>
      </c>
    </row>
    <row r="2101" spans="1:10" x14ac:dyDescent="0.35">
      <c r="A2101" t="s">
        <v>242</v>
      </c>
      <c r="B2101">
        <v>1983</v>
      </c>
      <c r="C2101" t="s">
        <v>2367</v>
      </c>
      <c r="D2101">
        <v>2</v>
      </c>
      <c r="E2101">
        <v>3</v>
      </c>
      <c r="F2101" s="10">
        <v>34307.22</v>
      </c>
      <c r="G2101" t="s">
        <v>2357</v>
      </c>
      <c r="H2101" t="s">
        <v>2357</v>
      </c>
      <c r="I2101" t="s">
        <v>2364</v>
      </c>
      <c r="J2101" s="8">
        <f t="shared" si="32"/>
        <v>30591</v>
      </c>
    </row>
    <row r="2102" spans="1:10" x14ac:dyDescent="0.35">
      <c r="A2102" t="s">
        <v>241</v>
      </c>
      <c r="B2102">
        <v>1984</v>
      </c>
      <c r="C2102" t="s">
        <v>2367</v>
      </c>
      <c r="D2102">
        <v>1</v>
      </c>
      <c r="E2102">
        <v>3</v>
      </c>
      <c r="F2102" s="10">
        <v>34402.22</v>
      </c>
      <c r="G2102" t="s">
        <v>2357</v>
      </c>
      <c r="H2102" t="s">
        <v>2358</v>
      </c>
      <c r="I2102" t="s">
        <v>2368</v>
      </c>
      <c r="J2102" s="8">
        <f t="shared" si="32"/>
        <v>30956</v>
      </c>
    </row>
    <row r="2103" spans="1:10" x14ac:dyDescent="0.35">
      <c r="A2103" t="s">
        <v>240</v>
      </c>
      <c r="B2103">
        <v>2003</v>
      </c>
      <c r="C2103" t="s">
        <v>2367</v>
      </c>
      <c r="D2103">
        <v>5</v>
      </c>
      <c r="E2103">
        <v>0</v>
      </c>
      <c r="F2103" s="10">
        <v>34439.86</v>
      </c>
      <c r="G2103" t="s">
        <v>2357</v>
      </c>
      <c r="H2103" t="s">
        <v>2361</v>
      </c>
      <c r="I2103" t="s">
        <v>2359</v>
      </c>
      <c r="J2103" s="8">
        <f t="shared" si="32"/>
        <v>37899</v>
      </c>
    </row>
    <row r="2104" spans="1:10" x14ac:dyDescent="0.35">
      <c r="A2104" t="s">
        <v>239</v>
      </c>
      <c r="B2104">
        <v>1990</v>
      </c>
      <c r="C2104" t="s">
        <v>2363</v>
      </c>
      <c r="D2104">
        <v>24</v>
      </c>
      <c r="E2104">
        <v>3</v>
      </c>
      <c r="F2104" s="10">
        <v>34456.269999999997</v>
      </c>
      <c r="G2104" t="s">
        <v>2361</v>
      </c>
      <c r="H2104" t="s">
        <v>2357</v>
      </c>
      <c r="I2104" t="s">
        <v>2368</v>
      </c>
      <c r="J2104" s="8">
        <f t="shared" si="32"/>
        <v>33140</v>
      </c>
    </row>
    <row r="2105" spans="1:10" x14ac:dyDescent="0.35">
      <c r="A2105" t="s">
        <v>238</v>
      </c>
      <c r="B2105">
        <v>1998</v>
      </c>
      <c r="C2105" t="s">
        <v>2362</v>
      </c>
      <c r="D2105">
        <v>24</v>
      </c>
      <c r="E2105">
        <v>0</v>
      </c>
      <c r="F2105" s="10">
        <v>34472.839999999997</v>
      </c>
      <c r="G2105" t="s">
        <v>2361</v>
      </c>
      <c r="H2105" t="s">
        <v>2358</v>
      </c>
      <c r="I2105" t="s">
        <v>2368</v>
      </c>
      <c r="J2105" s="8">
        <f t="shared" si="32"/>
        <v>35970</v>
      </c>
    </row>
    <row r="2106" spans="1:10" x14ac:dyDescent="0.35">
      <c r="A2106" t="s">
        <v>237</v>
      </c>
      <c r="B2106">
        <v>1976</v>
      </c>
      <c r="C2106" t="s">
        <v>2360</v>
      </c>
      <c r="D2106">
        <v>25</v>
      </c>
      <c r="E2106">
        <v>2</v>
      </c>
      <c r="F2106" s="10">
        <v>34543.39</v>
      </c>
      <c r="G2106" t="s">
        <v>2357</v>
      </c>
      <c r="H2106" t="s">
        <v>2358</v>
      </c>
      <c r="I2106" t="s">
        <v>2368</v>
      </c>
      <c r="J2106" s="8">
        <f t="shared" si="32"/>
        <v>28089</v>
      </c>
    </row>
    <row r="2107" spans="1:10" x14ac:dyDescent="0.35">
      <c r="A2107" t="s">
        <v>236</v>
      </c>
      <c r="B2107">
        <v>2004</v>
      </c>
      <c r="C2107" t="s">
        <v>2367</v>
      </c>
      <c r="D2107">
        <v>9</v>
      </c>
      <c r="E2107">
        <v>0</v>
      </c>
      <c r="F2107" s="10">
        <v>34617.839999999997</v>
      </c>
      <c r="G2107" t="s">
        <v>2361</v>
      </c>
      <c r="H2107" t="s">
        <v>2358</v>
      </c>
      <c r="I2107" t="s">
        <v>2371</v>
      </c>
      <c r="J2107" s="8">
        <f t="shared" si="32"/>
        <v>38269</v>
      </c>
    </row>
    <row r="2108" spans="1:10" x14ac:dyDescent="0.35">
      <c r="A2108" t="s">
        <v>235</v>
      </c>
      <c r="B2108">
        <v>1994</v>
      </c>
      <c r="C2108" t="s">
        <v>2356</v>
      </c>
      <c r="D2108">
        <v>7</v>
      </c>
      <c r="E2108">
        <v>0</v>
      </c>
      <c r="F2108" s="10">
        <v>34672.15</v>
      </c>
      <c r="G2108" t="s">
        <v>2361</v>
      </c>
      <c r="H2108" t="s">
        <v>2358</v>
      </c>
      <c r="I2108" t="s">
        <v>2359</v>
      </c>
      <c r="J2108" s="8">
        <f t="shared" si="32"/>
        <v>34522</v>
      </c>
    </row>
    <row r="2109" spans="1:10" x14ac:dyDescent="0.35">
      <c r="A2109" t="s">
        <v>234</v>
      </c>
      <c r="B2109">
        <v>2003</v>
      </c>
      <c r="C2109" t="s">
        <v>2356</v>
      </c>
      <c r="D2109">
        <v>3</v>
      </c>
      <c r="E2109">
        <v>0</v>
      </c>
      <c r="F2109" s="10">
        <v>34779.620000000003</v>
      </c>
      <c r="G2109" t="s">
        <v>2361</v>
      </c>
      <c r="H2109" t="s">
        <v>2357</v>
      </c>
      <c r="I2109" t="s">
        <v>2368</v>
      </c>
      <c r="J2109" s="8">
        <f t="shared" si="32"/>
        <v>37805</v>
      </c>
    </row>
    <row r="2110" spans="1:10" x14ac:dyDescent="0.35">
      <c r="A2110" t="s">
        <v>233</v>
      </c>
      <c r="B2110">
        <v>1995</v>
      </c>
      <c r="C2110" t="s">
        <v>2365</v>
      </c>
      <c r="D2110">
        <v>27</v>
      </c>
      <c r="E2110">
        <v>1</v>
      </c>
      <c r="F2110" s="10">
        <v>34806.47</v>
      </c>
      <c r="G2110" t="s">
        <v>2361</v>
      </c>
      <c r="H2110" t="s">
        <v>2357</v>
      </c>
      <c r="I2110" t="s">
        <v>2359</v>
      </c>
      <c r="J2110" s="8">
        <f t="shared" si="32"/>
        <v>35060</v>
      </c>
    </row>
    <row r="2111" spans="1:10" x14ac:dyDescent="0.35">
      <c r="A2111" t="s">
        <v>232</v>
      </c>
      <c r="B2111">
        <v>2003</v>
      </c>
      <c r="C2111" t="s">
        <v>2363</v>
      </c>
      <c r="D2111">
        <v>17</v>
      </c>
      <c r="E2111">
        <v>0</v>
      </c>
      <c r="F2111" s="10">
        <v>34828.65</v>
      </c>
      <c r="G2111" t="s">
        <v>2361</v>
      </c>
      <c r="H2111" t="s">
        <v>2358</v>
      </c>
      <c r="I2111" t="s">
        <v>2368</v>
      </c>
      <c r="J2111" s="8">
        <f t="shared" si="32"/>
        <v>37881</v>
      </c>
    </row>
    <row r="2112" spans="1:10" x14ac:dyDescent="0.35">
      <c r="A2112" t="s">
        <v>231</v>
      </c>
      <c r="B2112">
        <v>1995</v>
      </c>
      <c r="C2112" t="s">
        <v>2367</v>
      </c>
      <c r="D2112">
        <v>17</v>
      </c>
      <c r="E2112">
        <v>0</v>
      </c>
      <c r="F2112" s="10">
        <v>34838.870000000003</v>
      </c>
      <c r="G2112" t="s">
        <v>2357</v>
      </c>
      <c r="H2112" t="s">
        <v>2358</v>
      </c>
      <c r="I2112" t="s">
        <v>2368</v>
      </c>
      <c r="J2112" s="8">
        <f t="shared" si="32"/>
        <v>34989</v>
      </c>
    </row>
    <row r="2113" spans="1:10" x14ac:dyDescent="0.35">
      <c r="A2113" t="s">
        <v>230</v>
      </c>
      <c r="B2113">
        <v>1983</v>
      </c>
      <c r="C2113" t="s">
        <v>2356</v>
      </c>
      <c r="D2113">
        <v>29</v>
      </c>
      <c r="E2113">
        <v>3</v>
      </c>
      <c r="F2113" s="10">
        <v>34940.61</v>
      </c>
      <c r="G2113" t="s">
        <v>2357</v>
      </c>
      <c r="H2113" t="s">
        <v>2358</v>
      </c>
      <c r="I2113" t="s">
        <v>2368</v>
      </c>
      <c r="J2113" s="8">
        <f t="shared" si="32"/>
        <v>30526</v>
      </c>
    </row>
    <row r="2114" spans="1:10" x14ac:dyDescent="0.35">
      <c r="A2114" t="s">
        <v>229</v>
      </c>
      <c r="B2114">
        <v>1967</v>
      </c>
      <c r="C2114" t="s">
        <v>2367</v>
      </c>
      <c r="D2114">
        <v>7</v>
      </c>
      <c r="E2114">
        <v>0</v>
      </c>
      <c r="F2114" s="10">
        <v>34975.68</v>
      </c>
      <c r="G2114" t="s">
        <v>2357</v>
      </c>
      <c r="H2114" t="s">
        <v>2357</v>
      </c>
      <c r="I2114" t="s">
        <v>2368</v>
      </c>
      <c r="J2114" s="8">
        <f t="shared" si="32"/>
        <v>24752</v>
      </c>
    </row>
    <row r="2115" spans="1:10" x14ac:dyDescent="0.35">
      <c r="A2115" t="s">
        <v>228</v>
      </c>
      <c r="B2115">
        <v>1998</v>
      </c>
      <c r="C2115" t="s">
        <v>2366</v>
      </c>
      <c r="D2115">
        <v>22</v>
      </c>
      <c r="E2115">
        <v>0</v>
      </c>
      <c r="F2115" s="10">
        <v>34976.42</v>
      </c>
      <c r="G2115" t="s">
        <v>2357</v>
      </c>
      <c r="H2115" t="s">
        <v>2361</v>
      </c>
      <c r="I2115" t="s">
        <v>2368</v>
      </c>
      <c r="J2115" s="8">
        <f t="shared" ref="J2115:J2178" si="33">DATE(B2115,MONTH(1&amp;C2115),D2115)</f>
        <v>36029</v>
      </c>
    </row>
    <row r="2116" spans="1:10" x14ac:dyDescent="0.35">
      <c r="A2116" t="s">
        <v>227</v>
      </c>
      <c r="B2116">
        <v>1997</v>
      </c>
      <c r="C2116" t="s">
        <v>2366</v>
      </c>
      <c r="D2116">
        <v>22</v>
      </c>
      <c r="E2116">
        <v>0</v>
      </c>
      <c r="F2116" s="10">
        <v>34979.86</v>
      </c>
      <c r="G2116" t="s">
        <v>2357</v>
      </c>
      <c r="H2116" t="s">
        <v>2357</v>
      </c>
      <c r="I2116" t="s">
        <v>2368</v>
      </c>
      <c r="J2116" s="8">
        <f t="shared" si="33"/>
        <v>35664</v>
      </c>
    </row>
    <row r="2117" spans="1:10" x14ac:dyDescent="0.35">
      <c r="A2117" t="s">
        <v>226</v>
      </c>
      <c r="B2117">
        <v>1982</v>
      </c>
      <c r="C2117" t="s">
        <v>2356</v>
      </c>
      <c r="D2117">
        <v>5</v>
      </c>
      <c r="E2117">
        <v>3</v>
      </c>
      <c r="F2117" s="10">
        <v>35000.730000000003</v>
      </c>
      <c r="G2117" t="s">
        <v>2357</v>
      </c>
      <c r="H2117" t="s">
        <v>2358</v>
      </c>
      <c r="I2117" t="s">
        <v>2368</v>
      </c>
      <c r="J2117" s="8">
        <f t="shared" si="33"/>
        <v>30137</v>
      </c>
    </row>
    <row r="2118" spans="1:10" x14ac:dyDescent="0.35">
      <c r="A2118" t="s">
        <v>225</v>
      </c>
      <c r="B2118">
        <v>1975</v>
      </c>
      <c r="C2118" t="s">
        <v>2366</v>
      </c>
      <c r="D2118">
        <v>29</v>
      </c>
      <c r="E2118">
        <v>1</v>
      </c>
      <c r="F2118" s="10">
        <v>35050.620000000003</v>
      </c>
      <c r="G2118" t="s">
        <v>2357</v>
      </c>
      <c r="H2118" t="s">
        <v>2361</v>
      </c>
      <c r="I2118" t="s">
        <v>2368</v>
      </c>
      <c r="J2118" s="8">
        <f t="shared" si="33"/>
        <v>27635</v>
      </c>
    </row>
    <row r="2119" spans="1:10" x14ac:dyDescent="0.35">
      <c r="A2119" t="s">
        <v>224</v>
      </c>
      <c r="B2119">
        <v>1977</v>
      </c>
      <c r="C2119" t="s">
        <v>2362</v>
      </c>
      <c r="D2119">
        <v>29</v>
      </c>
      <c r="E2119">
        <v>0</v>
      </c>
      <c r="F2119" s="10">
        <v>35069.370000000003</v>
      </c>
      <c r="G2119" t="s">
        <v>2361</v>
      </c>
      <c r="H2119" t="s">
        <v>2361</v>
      </c>
      <c r="I2119" t="s">
        <v>2378</v>
      </c>
      <c r="J2119" s="8">
        <f t="shared" si="33"/>
        <v>28305</v>
      </c>
    </row>
    <row r="2120" spans="1:10" x14ac:dyDescent="0.35">
      <c r="A2120" t="s">
        <v>223</v>
      </c>
      <c r="B2120">
        <v>1998</v>
      </c>
      <c r="C2120" t="s">
        <v>2365</v>
      </c>
      <c r="D2120">
        <v>22</v>
      </c>
      <c r="E2120">
        <v>0</v>
      </c>
      <c r="F2120" s="10">
        <v>35147.53</v>
      </c>
      <c r="G2120" t="s">
        <v>2361</v>
      </c>
      <c r="H2120" t="s">
        <v>2361</v>
      </c>
      <c r="I2120" t="s">
        <v>2371</v>
      </c>
      <c r="J2120" s="8">
        <f t="shared" si="33"/>
        <v>36151</v>
      </c>
    </row>
    <row r="2121" spans="1:10" x14ac:dyDescent="0.35">
      <c r="A2121" t="s">
        <v>222</v>
      </c>
      <c r="B2121">
        <v>1967</v>
      </c>
      <c r="C2121" t="s">
        <v>2365</v>
      </c>
      <c r="D2121">
        <v>30</v>
      </c>
      <c r="E2121">
        <v>1</v>
      </c>
      <c r="F2121" s="10">
        <v>35160.129999999997</v>
      </c>
      <c r="G2121" t="s">
        <v>2357</v>
      </c>
      <c r="H2121" t="s">
        <v>2357</v>
      </c>
      <c r="I2121" t="s">
        <v>2368</v>
      </c>
      <c r="J2121" s="8">
        <f t="shared" si="33"/>
        <v>24836</v>
      </c>
    </row>
    <row r="2122" spans="1:10" x14ac:dyDescent="0.35">
      <c r="A2122" t="s">
        <v>221</v>
      </c>
      <c r="B2122">
        <v>1997</v>
      </c>
      <c r="C2122" t="s">
        <v>2356</v>
      </c>
      <c r="D2122">
        <v>9</v>
      </c>
      <c r="E2122">
        <v>0</v>
      </c>
      <c r="F2122" s="10">
        <v>35302.089999999997</v>
      </c>
      <c r="G2122" t="s">
        <v>2361</v>
      </c>
      <c r="H2122" t="s">
        <v>2357</v>
      </c>
      <c r="I2122" t="s">
        <v>2368</v>
      </c>
      <c r="J2122" s="8">
        <f t="shared" si="33"/>
        <v>35620</v>
      </c>
    </row>
    <row r="2123" spans="1:10" x14ac:dyDescent="0.35">
      <c r="A2123" t="s">
        <v>220</v>
      </c>
      <c r="B2123">
        <v>1988</v>
      </c>
      <c r="C2123" t="s">
        <v>2363</v>
      </c>
      <c r="D2123">
        <v>19</v>
      </c>
      <c r="E2123">
        <v>3</v>
      </c>
      <c r="F2123" s="10">
        <v>35315.96</v>
      </c>
      <c r="G2123" t="s">
        <v>2357</v>
      </c>
      <c r="H2123" t="s">
        <v>2361</v>
      </c>
      <c r="I2123" t="s">
        <v>2368</v>
      </c>
      <c r="J2123" s="8">
        <f t="shared" si="33"/>
        <v>32405</v>
      </c>
    </row>
    <row r="2124" spans="1:10" x14ac:dyDescent="0.35">
      <c r="A2124" t="s">
        <v>219</v>
      </c>
      <c r="B2124">
        <v>1971</v>
      </c>
      <c r="C2124" t="s">
        <v>2363</v>
      </c>
      <c r="D2124">
        <v>22</v>
      </c>
      <c r="E2124">
        <v>0</v>
      </c>
      <c r="F2124" s="10">
        <v>35345.730000000003</v>
      </c>
      <c r="G2124" t="s">
        <v>2357</v>
      </c>
      <c r="H2124" t="s">
        <v>2358</v>
      </c>
      <c r="I2124" t="s">
        <v>2368</v>
      </c>
      <c r="J2124" s="8">
        <f t="shared" si="33"/>
        <v>26198</v>
      </c>
    </row>
    <row r="2125" spans="1:10" x14ac:dyDescent="0.35">
      <c r="A2125" t="s">
        <v>218</v>
      </c>
      <c r="B2125">
        <v>1988</v>
      </c>
      <c r="C2125" t="s">
        <v>2360</v>
      </c>
      <c r="D2125">
        <v>20</v>
      </c>
      <c r="E2125">
        <v>0</v>
      </c>
      <c r="F2125" s="10">
        <v>35491.64</v>
      </c>
      <c r="G2125" t="s">
        <v>2361</v>
      </c>
      <c r="H2125" t="s">
        <v>2357</v>
      </c>
      <c r="I2125" t="s">
        <v>2368</v>
      </c>
      <c r="J2125" s="8">
        <f t="shared" si="33"/>
        <v>32467</v>
      </c>
    </row>
    <row r="2126" spans="1:10" x14ac:dyDescent="0.35">
      <c r="A2126" t="s">
        <v>217</v>
      </c>
      <c r="B2126">
        <v>1973</v>
      </c>
      <c r="C2126" t="s">
        <v>2365</v>
      </c>
      <c r="D2126">
        <v>16</v>
      </c>
      <c r="E2126">
        <v>0</v>
      </c>
      <c r="F2126" s="10">
        <v>35517.19</v>
      </c>
      <c r="G2126" t="s">
        <v>2357</v>
      </c>
      <c r="H2126" t="s">
        <v>2357</v>
      </c>
      <c r="I2126" t="s">
        <v>2368</v>
      </c>
      <c r="J2126" s="8">
        <f t="shared" si="33"/>
        <v>27014</v>
      </c>
    </row>
    <row r="2127" spans="1:10" x14ac:dyDescent="0.35">
      <c r="A2127" t="s">
        <v>216</v>
      </c>
      <c r="B2127">
        <v>1992</v>
      </c>
      <c r="C2127" t="s">
        <v>2363</v>
      </c>
      <c r="D2127">
        <v>13</v>
      </c>
      <c r="E2127">
        <v>0</v>
      </c>
      <c r="F2127" s="10">
        <v>35547.47</v>
      </c>
      <c r="G2127" t="s">
        <v>2357</v>
      </c>
      <c r="H2127" t="s">
        <v>2358</v>
      </c>
      <c r="I2127" t="s">
        <v>2368</v>
      </c>
      <c r="J2127" s="8">
        <f t="shared" si="33"/>
        <v>33860</v>
      </c>
    </row>
    <row r="2128" spans="1:10" x14ac:dyDescent="0.35">
      <c r="A2128" t="s">
        <v>215</v>
      </c>
      <c r="B2128">
        <v>1973</v>
      </c>
      <c r="C2128" t="s">
        <v>2367</v>
      </c>
      <c r="D2128">
        <v>27</v>
      </c>
      <c r="E2128">
        <v>0</v>
      </c>
      <c r="F2128" s="10">
        <v>35547.72</v>
      </c>
      <c r="G2128" t="s">
        <v>2361</v>
      </c>
      <c r="H2128" t="s">
        <v>2361</v>
      </c>
      <c r="I2128" t="s">
        <v>2368</v>
      </c>
      <c r="J2128" s="8">
        <f t="shared" si="33"/>
        <v>26964</v>
      </c>
    </row>
    <row r="2129" spans="1:10" x14ac:dyDescent="0.35">
      <c r="A2129" t="s">
        <v>214</v>
      </c>
      <c r="B2129">
        <v>1964</v>
      </c>
      <c r="C2129" t="s">
        <v>2366</v>
      </c>
      <c r="D2129">
        <v>29</v>
      </c>
      <c r="E2129">
        <v>0</v>
      </c>
      <c r="F2129" s="10">
        <v>35573.26</v>
      </c>
      <c r="G2129" t="s">
        <v>2357</v>
      </c>
      <c r="H2129" t="s">
        <v>2361</v>
      </c>
      <c r="I2129" t="s">
        <v>2368</v>
      </c>
      <c r="J2129" s="8">
        <f t="shared" si="33"/>
        <v>23618</v>
      </c>
    </row>
    <row r="2130" spans="1:10" x14ac:dyDescent="0.35">
      <c r="A2130" t="s">
        <v>213</v>
      </c>
      <c r="B2130">
        <v>1971</v>
      </c>
      <c r="C2130" t="s">
        <v>2366</v>
      </c>
      <c r="D2130">
        <v>10</v>
      </c>
      <c r="E2130">
        <v>0</v>
      </c>
      <c r="F2130" s="10">
        <v>35583.17</v>
      </c>
      <c r="G2130" t="s">
        <v>2361</v>
      </c>
      <c r="H2130" t="s">
        <v>2358</v>
      </c>
      <c r="I2130" t="s">
        <v>2368</v>
      </c>
      <c r="J2130" s="8">
        <f t="shared" si="33"/>
        <v>26155</v>
      </c>
    </row>
    <row r="2131" spans="1:10" x14ac:dyDescent="0.35">
      <c r="A2131" t="s">
        <v>2347</v>
      </c>
      <c r="B2131">
        <v>2000</v>
      </c>
      <c r="C2131" t="s">
        <v>2367</v>
      </c>
      <c r="D2131">
        <v>13</v>
      </c>
      <c r="E2131">
        <v>0</v>
      </c>
      <c r="F2131" s="10">
        <v>35585.58</v>
      </c>
      <c r="G2131" t="s">
        <v>2361</v>
      </c>
      <c r="H2131" t="s">
        <v>2357</v>
      </c>
      <c r="I2131" t="s">
        <v>2368</v>
      </c>
      <c r="J2131" s="8">
        <f t="shared" si="33"/>
        <v>36812</v>
      </c>
    </row>
    <row r="2132" spans="1:10" x14ac:dyDescent="0.35">
      <c r="A2132" t="s">
        <v>212</v>
      </c>
      <c r="B2132">
        <v>2000</v>
      </c>
      <c r="C2132" t="s">
        <v>2360</v>
      </c>
      <c r="D2132">
        <v>19</v>
      </c>
      <c r="E2132">
        <v>0</v>
      </c>
      <c r="F2132" s="10">
        <v>35585.58</v>
      </c>
      <c r="G2132" t="s">
        <v>2357</v>
      </c>
      <c r="H2132" t="s">
        <v>2358</v>
      </c>
      <c r="I2132" t="s">
        <v>2368</v>
      </c>
      <c r="J2132" s="8">
        <f t="shared" si="33"/>
        <v>36849</v>
      </c>
    </row>
    <row r="2133" spans="1:10" x14ac:dyDescent="0.35">
      <c r="A2133" t="s">
        <v>211</v>
      </c>
      <c r="B2133">
        <v>2000</v>
      </c>
      <c r="C2133" t="s">
        <v>2365</v>
      </c>
      <c r="D2133">
        <v>17</v>
      </c>
      <c r="E2133">
        <v>3</v>
      </c>
      <c r="F2133" s="10">
        <v>35595.589999999997</v>
      </c>
      <c r="G2133" t="s">
        <v>2357</v>
      </c>
      <c r="H2133" t="s">
        <v>2358</v>
      </c>
      <c r="I2133" t="s">
        <v>2359</v>
      </c>
      <c r="J2133" s="8">
        <f t="shared" si="33"/>
        <v>36877</v>
      </c>
    </row>
    <row r="2134" spans="1:10" x14ac:dyDescent="0.35">
      <c r="A2134" t="s">
        <v>210</v>
      </c>
      <c r="B2134">
        <v>1978</v>
      </c>
      <c r="C2134" t="s">
        <v>2365</v>
      </c>
      <c r="D2134">
        <v>19</v>
      </c>
      <c r="E2134">
        <v>2</v>
      </c>
      <c r="F2134" s="10">
        <v>35701.9</v>
      </c>
      <c r="G2134" t="s">
        <v>2357</v>
      </c>
      <c r="H2134" t="s">
        <v>2361</v>
      </c>
      <c r="I2134" t="s">
        <v>2368</v>
      </c>
      <c r="J2134" s="8">
        <f t="shared" si="33"/>
        <v>28843</v>
      </c>
    </row>
    <row r="2135" spans="1:10" x14ac:dyDescent="0.35">
      <c r="A2135" t="s">
        <v>209</v>
      </c>
      <c r="B2135">
        <v>1974</v>
      </c>
      <c r="C2135" t="s">
        <v>2356</v>
      </c>
      <c r="D2135">
        <v>15</v>
      </c>
      <c r="E2135">
        <v>0</v>
      </c>
      <c r="F2135" s="10">
        <v>35711.39</v>
      </c>
      <c r="G2135" t="s">
        <v>2357</v>
      </c>
      <c r="H2135" t="s">
        <v>2358</v>
      </c>
      <c r="I2135" t="s">
        <v>2364</v>
      </c>
      <c r="J2135" s="8">
        <f t="shared" si="33"/>
        <v>27225</v>
      </c>
    </row>
    <row r="2136" spans="1:10" x14ac:dyDescent="0.35">
      <c r="A2136" t="s">
        <v>208</v>
      </c>
      <c r="B2136">
        <v>1976</v>
      </c>
      <c r="C2136" t="s">
        <v>2367</v>
      </c>
      <c r="D2136">
        <v>4</v>
      </c>
      <c r="E2136">
        <v>2</v>
      </c>
      <c r="F2136" s="10">
        <v>35733.96</v>
      </c>
      <c r="G2136" t="s">
        <v>2357</v>
      </c>
      <c r="H2136" t="s">
        <v>2357</v>
      </c>
      <c r="I2136" t="s">
        <v>2368</v>
      </c>
      <c r="J2136" s="8">
        <f t="shared" si="33"/>
        <v>28037</v>
      </c>
    </row>
    <row r="2137" spans="1:10" x14ac:dyDescent="0.35">
      <c r="A2137" t="s">
        <v>207</v>
      </c>
      <c r="B2137">
        <v>1992</v>
      </c>
      <c r="C2137" t="s">
        <v>2362</v>
      </c>
      <c r="D2137">
        <v>18</v>
      </c>
      <c r="E2137">
        <v>0</v>
      </c>
      <c r="F2137" s="10">
        <v>35883.269999999997</v>
      </c>
      <c r="G2137" t="s">
        <v>2357</v>
      </c>
      <c r="H2137" t="s">
        <v>2361</v>
      </c>
      <c r="I2137" t="s">
        <v>2368</v>
      </c>
      <c r="J2137" s="8">
        <f t="shared" si="33"/>
        <v>33773</v>
      </c>
    </row>
    <row r="2138" spans="1:10" x14ac:dyDescent="0.35">
      <c r="A2138" t="s">
        <v>206</v>
      </c>
      <c r="B2138">
        <v>1981</v>
      </c>
      <c r="C2138" t="s">
        <v>2360</v>
      </c>
      <c r="D2138">
        <v>22</v>
      </c>
      <c r="E2138">
        <v>1</v>
      </c>
      <c r="F2138" s="10">
        <v>35952.65</v>
      </c>
      <c r="G2138" t="s">
        <v>2361</v>
      </c>
      <c r="H2138" t="s">
        <v>2358</v>
      </c>
      <c r="I2138" t="s">
        <v>2368</v>
      </c>
      <c r="J2138" s="8">
        <f t="shared" si="33"/>
        <v>29912</v>
      </c>
    </row>
    <row r="2139" spans="1:10" x14ac:dyDescent="0.35">
      <c r="A2139" t="s">
        <v>205</v>
      </c>
      <c r="B2139">
        <v>1999</v>
      </c>
      <c r="C2139" t="s">
        <v>2363</v>
      </c>
      <c r="D2139">
        <v>4</v>
      </c>
      <c r="E2139">
        <v>2</v>
      </c>
      <c r="F2139" s="10">
        <v>36021.01</v>
      </c>
      <c r="G2139" t="s">
        <v>2357</v>
      </c>
      <c r="H2139" t="s">
        <v>2358</v>
      </c>
      <c r="I2139" t="s">
        <v>2359</v>
      </c>
      <c r="J2139" s="8">
        <f t="shared" si="33"/>
        <v>36407</v>
      </c>
    </row>
    <row r="2140" spans="1:10" x14ac:dyDescent="0.35">
      <c r="A2140" t="s">
        <v>204</v>
      </c>
      <c r="B2140">
        <v>1963</v>
      </c>
      <c r="C2140" t="s">
        <v>2356</v>
      </c>
      <c r="D2140">
        <v>22</v>
      </c>
      <c r="E2140">
        <v>0</v>
      </c>
      <c r="F2140" s="10">
        <v>36074.339999999997</v>
      </c>
      <c r="G2140" t="s">
        <v>2357</v>
      </c>
      <c r="H2140" t="s">
        <v>2361</v>
      </c>
      <c r="I2140" t="s">
        <v>2368</v>
      </c>
      <c r="J2140" s="8">
        <f t="shared" si="33"/>
        <v>23214</v>
      </c>
    </row>
    <row r="2141" spans="1:10" x14ac:dyDescent="0.35">
      <c r="A2141" t="s">
        <v>203</v>
      </c>
      <c r="B2141">
        <v>1996</v>
      </c>
      <c r="C2141" t="s">
        <v>2366</v>
      </c>
      <c r="D2141">
        <v>20</v>
      </c>
      <c r="E2141">
        <v>2</v>
      </c>
      <c r="F2141" s="10">
        <v>36085.22</v>
      </c>
      <c r="G2141" t="s">
        <v>2361</v>
      </c>
      <c r="H2141" t="s">
        <v>2361</v>
      </c>
      <c r="I2141" t="s">
        <v>2368</v>
      </c>
      <c r="J2141" s="8">
        <f t="shared" si="33"/>
        <v>35297</v>
      </c>
    </row>
    <row r="2142" spans="1:10" x14ac:dyDescent="0.35">
      <c r="A2142" t="s">
        <v>202</v>
      </c>
      <c r="B2142">
        <v>1979</v>
      </c>
      <c r="C2142" t="s">
        <v>2360</v>
      </c>
      <c r="D2142">
        <v>4</v>
      </c>
      <c r="E2142">
        <v>2</v>
      </c>
      <c r="F2142" s="10">
        <v>36090.49</v>
      </c>
      <c r="G2142" t="s">
        <v>2357</v>
      </c>
      <c r="H2142" t="s">
        <v>2357</v>
      </c>
      <c r="I2142" t="s">
        <v>2368</v>
      </c>
      <c r="J2142" s="8">
        <f t="shared" si="33"/>
        <v>29163</v>
      </c>
    </row>
    <row r="2143" spans="1:10" x14ac:dyDescent="0.35">
      <c r="A2143" t="s">
        <v>201</v>
      </c>
      <c r="B2143">
        <v>1997</v>
      </c>
      <c r="C2143" t="s">
        <v>2362</v>
      </c>
      <c r="D2143">
        <v>12</v>
      </c>
      <c r="E2143">
        <v>2</v>
      </c>
      <c r="F2143" s="10">
        <v>36124.57</v>
      </c>
      <c r="G2143" t="s">
        <v>2361</v>
      </c>
      <c r="H2143" t="s">
        <v>2358</v>
      </c>
      <c r="I2143" t="s">
        <v>2359</v>
      </c>
      <c r="J2143" s="8">
        <f t="shared" si="33"/>
        <v>35593</v>
      </c>
    </row>
    <row r="2144" spans="1:10" x14ac:dyDescent="0.35">
      <c r="A2144" t="s">
        <v>200</v>
      </c>
      <c r="B2144">
        <v>2004</v>
      </c>
      <c r="C2144" t="s">
        <v>2366</v>
      </c>
      <c r="D2144">
        <v>30</v>
      </c>
      <c r="E2144">
        <v>0</v>
      </c>
      <c r="F2144" s="10">
        <v>36149.480000000003</v>
      </c>
      <c r="G2144" t="s">
        <v>2357</v>
      </c>
      <c r="H2144" t="s">
        <v>2357</v>
      </c>
      <c r="I2144" t="s">
        <v>2359</v>
      </c>
      <c r="J2144" s="8">
        <f t="shared" si="33"/>
        <v>38229</v>
      </c>
    </row>
    <row r="2145" spans="1:10" x14ac:dyDescent="0.35">
      <c r="A2145" t="s">
        <v>199</v>
      </c>
      <c r="B2145">
        <v>1974</v>
      </c>
      <c r="C2145" t="s">
        <v>2365</v>
      </c>
      <c r="D2145">
        <v>6</v>
      </c>
      <c r="E2145">
        <v>0</v>
      </c>
      <c r="F2145" s="10">
        <v>36182.870000000003</v>
      </c>
      <c r="G2145" t="s">
        <v>2357</v>
      </c>
      <c r="H2145" t="s">
        <v>2358</v>
      </c>
      <c r="I2145" t="s">
        <v>2364</v>
      </c>
      <c r="J2145" s="8">
        <f t="shared" si="33"/>
        <v>27369</v>
      </c>
    </row>
    <row r="2146" spans="1:10" x14ac:dyDescent="0.35">
      <c r="A2146" t="s">
        <v>198</v>
      </c>
      <c r="B2146">
        <v>1999</v>
      </c>
      <c r="C2146" t="s">
        <v>2367</v>
      </c>
      <c r="D2146">
        <v>1</v>
      </c>
      <c r="E2146">
        <v>3</v>
      </c>
      <c r="F2146" s="10">
        <v>36189.1</v>
      </c>
      <c r="G2146" t="s">
        <v>2361</v>
      </c>
      <c r="H2146" t="s">
        <v>2358</v>
      </c>
      <c r="I2146" t="s">
        <v>2371</v>
      </c>
      <c r="J2146" s="8">
        <f t="shared" si="33"/>
        <v>36434</v>
      </c>
    </row>
    <row r="2147" spans="1:10" x14ac:dyDescent="0.35">
      <c r="A2147" t="s">
        <v>197</v>
      </c>
      <c r="B2147">
        <v>1993</v>
      </c>
      <c r="C2147" t="s">
        <v>2365</v>
      </c>
      <c r="D2147">
        <v>28</v>
      </c>
      <c r="E2147">
        <v>0</v>
      </c>
      <c r="F2147" s="10">
        <v>36197.699999999997</v>
      </c>
      <c r="G2147" t="s">
        <v>2361</v>
      </c>
      <c r="H2147" t="s">
        <v>2358</v>
      </c>
      <c r="I2147" t="s">
        <v>2368</v>
      </c>
      <c r="J2147" s="8">
        <f t="shared" si="33"/>
        <v>34331</v>
      </c>
    </row>
    <row r="2148" spans="1:10" x14ac:dyDescent="0.35">
      <c r="A2148" t="s">
        <v>196</v>
      </c>
      <c r="B2148">
        <v>2003</v>
      </c>
      <c r="C2148" t="s">
        <v>2363</v>
      </c>
      <c r="D2148">
        <v>5</v>
      </c>
      <c r="E2148">
        <v>0</v>
      </c>
      <c r="F2148" s="10">
        <v>36219.410000000003</v>
      </c>
      <c r="G2148" t="s">
        <v>2361</v>
      </c>
      <c r="H2148" t="s">
        <v>2361</v>
      </c>
      <c r="I2148" t="s">
        <v>2364</v>
      </c>
      <c r="J2148" s="8">
        <f t="shared" si="33"/>
        <v>37869</v>
      </c>
    </row>
    <row r="2149" spans="1:10" x14ac:dyDescent="0.35">
      <c r="A2149" t="s">
        <v>195</v>
      </c>
      <c r="B2149">
        <v>2004</v>
      </c>
      <c r="C2149" t="s">
        <v>2365</v>
      </c>
      <c r="D2149">
        <v>25</v>
      </c>
      <c r="E2149">
        <v>0</v>
      </c>
      <c r="F2149" s="10">
        <v>36307.800000000003</v>
      </c>
      <c r="G2149" t="s">
        <v>2361</v>
      </c>
      <c r="H2149" t="s">
        <v>2357</v>
      </c>
      <c r="I2149" t="s">
        <v>2359</v>
      </c>
      <c r="J2149" s="8">
        <f t="shared" si="33"/>
        <v>38346</v>
      </c>
    </row>
    <row r="2150" spans="1:10" x14ac:dyDescent="0.35">
      <c r="A2150" t="s">
        <v>194</v>
      </c>
      <c r="B2150">
        <v>1992</v>
      </c>
      <c r="C2150" t="s">
        <v>2362</v>
      </c>
      <c r="D2150">
        <v>16</v>
      </c>
      <c r="E2150">
        <v>0</v>
      </c>
      <c r="F2150" s="10">
        <v>36314.050000000003</v>
      </c>
      <c r="G2150" t="s">
        <v>2357</v>
      </c>
      <c r="H2150" t="s">
        <v>2357</v>
      </c>
      <c r="I2150" t="s">
        <v>2368</v>
      </c>
      <c r="J2150" s="8">
        <f t="shared" si="33"/>
        <v>33771</v>
      </c>
    </row>
    <row r="2151" spans="1:10" x14ac:dyDescent="0.35">
      <c r="A2151" t="s">
        <v>193</v>
      </c>
      <c r="B2151">
        <v>1967</v>
      </c>
      <c r="C2151" t="s">
        <v>2367</v>
      </c>
      <c r="D2151">
        <v>18</v>
      </c>
      <c r="E2151">
        <v>0</v>
      </c>
      <c r="F2151" s="10">
        <v>36332.449999999997</v>
      </c>
      <c r="G2151" t="s">
        <v>2361</v>
      </c>
      <c r="H2151" t="s">
        <v>2358</v>
      </c>
      <c r="I2151" t="s">
        <v>2368</v>
      </c>
      <c r="J2151" s="8">
        <f t="shared" si="33"/>
        <v>24763</v>
      </c>
    </row>
    <row r="2152" spans="1:10" x14ac:dyDescent="0.35">
      <c r="A2152" t="s">
        <v>192</v>
      </c>
      <c r="B2152">
        <v>1975</v>
      </c>
      <c r="C2152" t="s">
        <v>2362</v>
      </c>
      <c r="D2152">
        <v>5</v>
      </c>
      <c r="E2152">
        <v>1</v>
      </c>
      <c r="F2152" s="10">
        <v>36350.71</v>
      </c>
      <c r="G2152" t="s">
        <v>2361</v>
      </c>
      <c r="H2152" t="s">
        <v>2357</v>
      </c>
      <c r="I2152" t="s">
        <v>2368</v>
      </c>
      <c r="J2152" s="8">
        <f t="shared" si="33"/>
        <v>27550</v>
      </c>
    </row>
    <row r="2153" spans="1:10" x14ac:dyDescent="0.35">
      <c r="A2153" t="s">
        <v>191</v>
      </c>
      <c r="B2153">
        <v>2003</v>
      </c>
      <c r="C2153" t="s">
        <v>2365</v>
      </c>
      <c r="D2153">
        <v>9</v>
      </c>
      <c r="E2153">
        <v>2</v>
      </c>
      <c r="F2153" s="10">
        <v>36397.58</v>
      </c>
      <c r="G2153" t="s">
        <v>2357</v>
      </c>
      <c r="H2153" t="s">
        <v>2358</v>
      </c>
      <c r="I2153" t="s">
        <v>2368</v>
      </c>
      <c r="J2153" s="8">
        <f t="shared" si="33"/>
        <v>37964</v>
      </c>
    </row>
    <row r="2154" spans="1:10" x14ac:dyDescent="0.35">
      <c r="A2154" t="s">
        <v>190</v>
      </c>
      <c r="B2154">
        <v>1962</v>
      </c>
      <c r="C2154" t="s">
        <v>2360</v>
      </c>
      <c r="D2154">
        <v>19</v>
      </c>
      <c r="E2154">
        <v>0</v>
      </c>
      <c r="F2154" s="10">
        <v>36445.550000000003</v>
      </c>
      <c r="G2154" t="s">
        <v>2357</v>
      </c>
      <c r="H2154" t="s">
        <v>2357</v>
      </c>
      <c r="I2154" t="s">
        <v>2368</v>
      </c>
      <c r="J2154" s="8">
        <f t="shared" si="33"/>
        <v>22969</v>
      </c>
    </row>
    <row r="2155" spans="1:10" x14ac:dyDescent="0.35">
      <c r="A2155" t="s">
        <v>189</v>
      </c>
      <c r="B2155">
        <v>1973</v>
      </c>
      <c r="C2155" t="s">
        <v>2366</v>
      </c>
      <c r="D2155">
        <v>9</v>
      </c>
      <c r="E2155">
        <v>0</v>
      </c>
      <c r="F2155" s="10">
        <v>36541.550000000003</v>
      </c>
      <c r="G2155" t="s">
        <v>2357</v>
      </c>
      <c r="H2155" t="s">
        <v>2358</v>
      </c>
      <c r="I2155" t="s">
        <v>2368</v>
      </c>
      <c r="J2155" s="8">
        <f t="shared" si="33"/>
        <v>26885</v>
      </c>
    </row>
    <row r="2156" spans="1:10" x14ac:dyDescent="0.35">
      <c r="A2156" t="s">
        <v>188</v>
      </c>
      <c r="B2156">
        <v>1992</v>
      </c>
      <c r="C2156" t="s">
        <v>2367</v>
      </c>
      <c r="D2156">
        <v>9</v>
      </c>
      <c r="E2156">
        <v>0</v>
      </c>
      <c r="F2156" s="10">
        <v>36572.800000000003</v>
      </c>
      <c r="G2156" t="s">
        <v>2361</v>
      </c>
      <c r="H2156" t="s">
        <v>2357</v>
      </c>
      <c r="I2156" t="s">
        <v>2368</v>
      </c>
      <c r="J2156" s="8">
        <f t="shared" si="33"/>
        <v>33886</v>
      </c>
    </row>
    <row r="2157" spans="1:10" x14ac:dyDescent="0.35">
      <c r="A2157" t="s">
        <v>187</v>
      </c>
      <c r="B2157">
        <v>1961</v>
      </c>
      <c r="C2157" t="s">
        <v>2356</v>
      </c>
      <c r="D2157">
        <v>29</v>
      </c>
      <c r="E2157">
        <v>4</v>
      </c>
      <c r="F2157" s="10">
        <v>36580.28</v>
      </c>
      <c r="G2157" t="s">
        <v>2357</v>
      </c>
      <c r="H2157" t="s">
        <v>2357</v>
      </c>
      <c r="I2157" t="s">
        <v>2359</v>
      </c>
      <c r="J2157" s="8">
        <f t="shared" si="33"/>
        <v>22491</v>
      </c>
    </row>
    <row r="2158" spans="1:10" x14ac:dyDescent="0.35">
      <c r="A2158" t="s">
        <v>186</v>
      </c>
      <c r="B2158">
        <v>1970</v>
      </c>
      <c r="C2158" t="s">
        <v>2356</v>
      </c>
      <c r="D2158">
        <v>14</v>
      </c>
      <c r="E2158">
        <v>0</v>
      </c>
      <c r="F2158" s="10">
        <v>36786.370000000003</v>
      </c>
      <c r="G2158" t="s">
        <v>2361</v>
      </c>
      <c r="H2158" t="s">
        <v>2361</v>
      </c>
      <c r="I2158" t="s">
        <v>2368</v>
      </c>
      <c r="J2158" s="8">
        <f t="shared" si="33"/>
        <v>25763</v>
      </c>
    </row>
    <row r="2159" spans="1:10" x14ac:dyDescent="0.35">
      <c r="A2159" t="s">
        <v>185</v>
      </c>
      <c r="B2159">
        <v>1965</v>
      </c>
      <c r="C2159" t="s">
        <v>2365</v>
      </c>
      <c r="D2159">
        <v>28</v>
      </c>
      <c r="E2159">
        <v>0</v>
      </c>
      <c r="F2159" s="10">
        <v>36795.29</v>
      </c>
      <c r="G2159" t="s">
        <v>2357</v>
      </c>
      <c r="H2159" t="s">
        <v>2361</v>
      </c>
      <c r="I2159" t="s">
        <v>2368</v>
      </c>
      <c r="J2159" s="8">
        <f t="shared" si="33"/>
        <v>24104</v>
      </c>
    </row>
    <row r="2160" spans="1:10" x14ac:dyDescent="0.35">
      <c r="A2160" t="s">
        <v>2347</v>
      </c>
      <c r="B2160">
        <v>1992</v>
      </c>
      <c r="C2160" t="s">
        <v>2367</v>
      </c>
      <c r="D2160">
        <v>6</v>
      </c>
      <c r="E2160">
        <v>0</v>
      </c>
      <c r="F2160" s="10">
        <v>36837.47</v>
      </c>
      <c r="G2160" t="s">
        <v>2361</v>
      </c>
      <c r="H2160" t="s">
        <v>2357</v>
      </c>
      <c r="I2160" t="s">
        <v>2368</v>
      </c>
      <c r="J2160" s="8">
        <f t="shared" si="33"/>
        <v>33883</v>
      </c>
    </row>
    <row r="2161" spans="1:10" x14ac:dyDescent="0.35">
      <c r="A2161" t="s">
        <v>184</v>
      </c>
      <c r="B2161">
        <v>1992</v>
      </c>
      <c r="C2161" t="s">
        <v>2356</v>
      </c>
      <c r="D2161">
        <v>4</v>
      </c>
      <c r="E2161">
        <v>0</v>
      </c>
      <c r="F2161" s="10">
        <v>36837.47</v>
      </c>
      <c r="G2161" t="s">
        <v>2357</v>
      </c>
      <c r="H2161" t="s">
        <v>2358</v>
      </c>
      <c r="I2161" t="s">
        <v>2368</v>
      </c>
      <c r="J2161" s="8">
        <f t="shared" si="33"/>
        <v>33789</v>
      </c>
    </row>
    <row r="2162" spans="1:10" x14ac:dyDescent="0.35">
      <c r="A2162" t="s">
        <v>183</v>
      </c>
      <c r="B2162">
        <v>1972</v>
      </c>
      <c r="C2162" t="s">
        <v>2365</v>
      </c>
      <c r="D2162">
        <v>5</v>
      </c>
      <c r="E2162">
        <v>0</v>
      </c>
      <c r="F2162" s="10">
        <v>36889.99</v>
      </c>
      <c r="G2162" t="s">
        <v>2361</v>
      </c>
      <c r="H2162" t="s">
        <v>2358</v>
      </c>
      <c r="I2162" t="s">
        <v>2368</v>
      </c>
      <c r="J2162" s="8">
        <f t="shared" si="33"/>
        <v>26638</v>
      </c>
    </row>
    <row r="2163" spans="1:10" x14ac:dyDescent="0.35">
      <c r="A2163" t="s">
        <v>182</v>
      </c>
      <c r="B2163">
        <v>2003</v>
      </c>
      <c r="C2163" t="s">
        <v>2362</v>
      </c>
      <c r="D2163">
        <v>21</v>
      </c>
      <c r="E2163">
        <v>0</v>
      </c>
      <c r="F2163" s="10">
        <v>36898.730000000003</v>
      </c>
      <c r="G2163" t="s">
        <v>2357</v>
      </c>
      <c r="H2163" t="s">
        <v>2361</v>
      </c>
      <c r="I2163" t="s">
        <v>2364</v>
      </c>
      <c r="J2163" s="8">
        <f t="shared" si="33"/>
        <v>37793</v>
      </c>
    </row>
    <row r="2164" spans="1:10" x14ac:dyDescent="0.35">
      <c r="A2164" t="s">
        <v>181</v>
      </c>
      <c r="B2164">
        <v>1963</v>
      </c>
      <c r="C2164" t="s">
        <v>2356</v>
      </c>
      <c r="D2164">
        <v>24</v>
      </c>
      <c r="E2164">
        <v>2</v>
      </c>
      <c r="F2164" s="10">
        <v>36910.61</v>
      </c>
      <c r="G2164" t="s">
        <v>2357</v>
      </c>
      <c r="H2164" t="s">
        <v>2357</v>
      </c>
      <c r="I2164" t="s">
        <v>2368</v>
      </c>
      <c r="J2164" s="8">
        <f t="shared" si="33"/>
        <v>23216</v>
      </c>
    </row>
    <row r="2165" spans="1:10" x14ac:dyDescent="0.35">
      <c r="A2165" t="s">
        <v>180</v>
      </c>
      <c r="B2165">
        <v>1991</v>
      </c>
      <c r="C2165" t="s">
        <v>2362</v>
      </c>
      <c r="D2165">
        <v>10</v>
      </c>
      <c r="E2165">
        <v>3</v>
      </c>
      <c r="F2165" s="10">
        <v>36911.99</v>
      </c>
      <c r="G2165" t="s">
        <v>2357</v>
      </c>
      <c r="H2165" t="s">
        <v>2357</v>
      </c>
      <c r="I2165" t="s">
        <v>2368</v>
      </c>
      <c r="J2165" s="8">
        <f t="shared" si="33"/>
        <v>33399</v>
      </c>
    </row>
    <row r="2166" spans="1:10" x14ac:dyDescent="0.35">
      <c r="A2166" t="s">
        <v>179</v>
      </c>
      <c r="B2166">
        <v>1968</v>
      </c>
      <c r="C2166" t="s">
        <v>2367</v>
      </c>
      <c r="D2166">
        <v>22</v>
      </c>
      <c r="E2166">
        <v>0</v>
      </c>
      <c r="F2166" s="10">
        <v>36922.61</v>
      </c>
      <c r="G2166" t="s">
        <v>2357</v>
      </c>
      <c r="H2166" t="s">
        <v>2361</v>
      </c>
      <c r="I2166" t="s">
        <v>2368</v>
      </c>
      <c r="J2166" s="8">
        <f t="shared" si="33"/>
        <v>25133</v>
      </c>
    </row>
    <row r="2167" spans="1:10" x14ac:dyDescent="0.35">
      <c r="A2167" t="s">
        <v>178</v>
      </c>
      <c r="B2167">
        <v>1977</v>
      </c>
      <c r="C2167" t="s">
        <v>2366</v>
      </c>
      <c r="D2167">
        <v>13</v>
      </c>
      <c r="E2167">
        <v>2</v>
      </c>
      <c r="F2167" s="10">
        <v>36935.64</v>
      </c>
      <c r="G2167" t="s">
        <v>2357</v>
      </c>
      <c r="H2167" t="s">
        <v>2361</v>
      </c>
      <c r="I2167" t="s">
        <v>2368</v>
      </c>
      <c r="J2167" s="8">
        <f t="shared" si="33"/>
        <v>28350</v>
      </c>
    </row>
    <row r="2168" spans="1:10" x14ac:dyDescent="0.35">
      <c r="A2168" t="s">
        <v>177</v>
      </c>
      <c r="B2168">
        <v>1992</v>
      </c>
      <c r="C2168" t="s">
        <v>2366</v>
      </c>
      <c r="D2168">
        <v>25</v>
      </c>
      <c r="E2168">
        <v>0</v>
      </c>
      <c r="F2168" s="10">
        <v>36950.26</v>
      </c>
      <c r="G2168" t="s">
        <v>2361</v>
      </c>
      <c r="H2168" t="s">
        <v>2361</v>
      </c>
      <c r="I2168" t="s">
        <v>2359</v>
      </c>
      <c r="J2168" s="8">
        <f t="shared" si="33"/>
        <v>33841</v>
      </c>
    </row>
    <row r="2169" spans="1:10" x14ac:dyDescent="0.35">
      <c r="A2169" t="s">
        <v>176</v>
      </c>
      <c r="B2169">
        <v>1992</v>
      </c>
      <c r="C2169" t="s">
        <v>2363</v>
      </c>
      <c r="D2169">
        <v>13</v>
      </c>
      <c r="E2169">
        <v>0</v>
      </c>
      <c r="F2169" s="10">
        <v>36976.449999999997</v>
      </c>
      <c r="G2169" t="s">
        <v>2357</v>
      </c>
      <c r="H2169" t="s">
        <v>2358</v>
      </c>
      <c r="I2169" t="s">
        <v>2368</v>
      </c>
      <c r="J2169" s="8">
        <f t="shared" si="33"/>
        <v>33860</v>
      </c>
    </row>
    <row r="2170" spans="1:10" x14ac:dyDescent="0.35">
      <c r="A2170" t="s">
        <v>175</v>
      </c>
      <c r="B2170">
        <v>1991</v>
      </c>
      <c r="C2170" t="s">
        <v>2360</v>
      </c>
      <c r="D2170">
        <v>1</v>
      </c>
      <c r="E2170">
        <v>3</v>
      </c>
      <c r="F2170" s="10">
        <v>37040.879999999997</v>
      </c>
      <c r="G2170" t="s">
        <v>2357</v>
      </c>
      <c r="H2170" t="s">
        <v>2357</v>
      </c>
      <c r="I2170" t="s">
        <v>2368</v>
      </c>
      <c r="J2170" s="8">
        <f t="shared" si="33"/>
        <v>33543</v>
      </c>
    </row>
    <row r="2171" spans="1:10" x14ac:dyDescent="0.35">
      <c r="A2171" t="s">
        <v>174</v>
      </c>
      <c r="B2171">
        <v>1988</v>
      </c>
      <c r="C2171" t="s">
        <v>2365</v>
      </c>
      <c r="D2171">
        <v>17</v>
      </c>
      <c r="E2171">
        <v>3</v>
      </c>
      <c r="F2171" s="10">
        <v>37076.370000000003</v>
      </c>
      <c r="G2171" t="s">
        <v>2357</v>
      </c>
      <c r="H2171" t="s">
        <v>2361</v>
      </c>
      <c r="I2171" t="s">
        <v>2368</v>
      </c>
      <c r="J2171" s="8">
        <f t="shared" si="33"/>
        <v>32494</v>
      </c>
    </row>
    <row r="2172" spans="1:10" x14ac:dyDescent="0.35">
      <c r="A2172" t="s">
        <v>173</v>
      </c>
      <c r="B2172">
        <v>1989</v>
      </c>
      <c r="C2172" t="s">
        <v>2362</v>
      </c>
      <c r="D2172">
        <v>10</v>
      </c>
      <c r="E2172">
        <v>0</v>
      </c>
      <c r="F2172" s="10">
        <v>37079.370000000003</v>
      </c>
      <c r="G2172" t="s">
        <v>2357</v>
      </c>
      <c r="H2172" t="s">
        <v>2358</v>
      </c>
      <c r="I2172" t="s">
        <v>2368</v>
      </c>
      <c r="J2172" s="8">
        <f t="shared" si="33"/>
        <v>32669</v>
      </c>
    </row>
    <row r="2173" spans="1:10" x14ac:dyDescent="0.35">
      <c r="A2173" t="s">
        <v>172</v>
      </c>
      <c r="B2173">
        <v>1995</v>
      </c>
      <c r="C2173" t="s">
        <v>2367</v>
      </c>
      <c r="D2173">
        <v>30</v>
      </c>
      <c r="E2173">
        <v>0</v>
      </c>
      <c r="F2173" s="10">
        <v>37133.9</v>
      </c>
      <c r="G2173" t="s">
        <v>2357</v>
      </c>
      <c r="H2173" t="s">
        <v>2357</v>
      </c>
      <c r="I2173" t="s">
        <v>2359</v>
      </c>
      <c r="J2173" s="8">
        <f t="shared" si="33"/>
        <v>35002</v>
      </c>
    </row>
    <row r="2174" spans="1:10" x14ac:dyDescent="0.35">
      <c r="A2174" t="s">
        <v>171</v>
      </c>
      <c r="B2174">
        <v>2000</v>
      </c>
      <c r="C2174" t="s">
        <v>2363</v>
      </c>
      <c r="D2174">
        <v>5</v>
      </c>
      <c r="E2174">
        <v>1</v>
      </c>
      <c r="F2174" s="10">
        <v>37165.160000000003</v>
      </c>
      <c r="G2174" t="s">
        <v>2361</v>
      </c>
      <c r="H2174" t="s">
        <v>2358</v>
      </c>
      <c r="I2174" t="s">
        <v>2347</v>
      </c>
      <c r="J2174" s="8">
        <f t="shared" si="33"/>
        <v>36774</v>
      </c>
    </row>
    <row r="2175" spans="1:10" x14ac:dyDescent="0.35">
      <c r="A2175" t="s">
        <v>170</v>
      </c>
      <c r="B2175">
        <v>1990</v>
      </c>
      <c r="C2175" t="s">
        <v>2367</v>
      </c>
      <c r="D2175">
        <v>17</v>
      </c>
      <c r="E2175">
        <v>3</v>
      </c>
      <c r="F2175" s="10">
        <v>37251.22</v>
      </c>
      <c r="G2175" t="s">
        <v>2357</v>
      </c>
      <c r="H2175" t="s">
        <v>2357</v>
      </c>
      <c r="I2175" t="s">
        <v>2368</v>
      </c>
      <c r="J2175" s="8">
        <f t="shared" si="33"/>
        <v>33163</v>
      </c>
    </row>
    <row r="2176" spans="1:10" x14ac:dyDescent="0.35">
      <c r="A2176" t="s">
        <v>169</v>
      </c>
      <c r="B2176">
        <v>1985</v>
      </c>
      <c r="C2176" t="s">
        <v>2360</v>
      </c>
      <c r="D2176">
        <v>17</v>
      </c>
      <c r="E2176">
        <v>0</v>
      </c>
      <c r="F2176" s="10">
        <v>37270.15</v>
      </c>
      <c r="G2176" t="s">
        <v>2357</v>
      </c>
      <c r="H2176" t="s">
        <v>2361</v>
      </c>
      <c r="I2176" t="s">
        <v>2374</v>
      </c>
      <c r="J2176" s="8">
        <f t="shared" si="33"/>
        <v>31368</v>
      </c>
    </row>
    <row r="2177" spans="1:10" x14ac:dyDescent="0.35">
      <c r="A2177" t="s">
        <v>168</v>
      </c>
      <c r="B2177">
        <v>1975</v>
      </c>
      <c r="C2177" t="s">
        <v>2360</v>
      </c>
      <c r="D2177">
        <v>9</v>
      </c>
      <c r="E2177">
        <v>1</v>
      </c>
      <c r="F2177" s="10">
        <v>37272.339999999997</v>
      </c>
      <c r="G2177" t="s">
        <v>2357</v>
      </c>
      <c r="H2177" t="s">
        <v>2358</v>
      </c>
      <c r="I2177" t="s">
        <v>2368</v>
      </c>
      <c r="J2177" s="8">
        <f t="shared" si="33"/>
        <v>27707</v>
      </c>
    </row>
    <row r="2178" spans="1:10" x14ac:dyDescent="0.35">
      <c r="A2178" t="s">
        <v>167</v>
      </c>
      <c r="B2178">
        <v>1969</v>
      </c>
      <c r="C2178" t="s">
        <v>2367</v>
      </c>
      <c r="D2178">
        <v>30</v>
      </c>
      <c r="E2178">
        <v>0</v>
      </c>
      <c r="F2178" s="10">
        <v>37277.269999999997</v>
      </c>
      <c r="G2178" t="s">
        <v>2361</v>
      </c>
      <c r="H2178" t="s">
        <v>2358</v>
      </c>
      <c r="I2178" t="s">
        <v>2368</v>
      </c>
      <c r="J2178" s="8">
        <f t="shared" si="33"/>
        <v>25506</v>
      </c>
    </row>
    <row r="2179" spans="1:10" x14ac:dyDescent="0.35">
      <c r="A2179" t="s">
        <v>166</v>
      </c>
      <c r="B2179">
        <v>1979</v>
      </c>
      <c r="C2179" t="s">
        <v>2366</v>
      </c>
      <c r="D2179">
        <v>3</v>
      </c>
      <c r="E2179">
        <v>2</v>
      </c>
      <c r="F2179" s="10">
        <v>37425.94</v>
      </c>
      <c r="G2179" t="s">
        <v>2357</v>
      </c>
      <c r="H2179" t="s">
        <v>2361</v>
      </c>
      <c r="I2179" t="s">
        <v>2368</v>
      </c>
      <c r="J2179" s="8">
        <f t="shared" ref="J2179:J2242" si="34">DATE(B2179,MONTH(1&amp;C2179),D2179)</f>
        <v>29070</v>
      </c>
    </row>
    <row r="2180" spans="1:10" x14ac:dyDescent="0.35">
      <c r="A2180" t="s">
        <v>165</v>
      </c>
      <c r="B2180">
        <v>2002</v>
      </c>
      <c r="C2180" t="s">
        <v>2363</v>
      </c>
      <c r="D2180">
        <v>27</v>
      </c>
      <c r="E2180">
        <v>3</v>
      </c>
      <c r="F2180" s="10">
        <v>37465.339999999997</v>
      </c>
      <c r="G2180" t="s">
        <v>2361</v>
      </c>
      <c r="H2180" t="s">
        <v>2357</v>
      </c>
      <c r="I2180" t="s">
        <v>2364</v>
      </c>
      <c r="J2180" s="8">
        <f t="shared" si="34"/>
        <v>37526</v>
      </c>
    </row>
    <row r="2181" spans="1:10" x14ac:dyDescent="0.35">
      <c r="A2181" t="s">
        <v>164</v>
      </c>
      <c r="B2181">
        <v>2000</v>
      </c>
      <c r="C2181" t="s">
        <v>2367</v>
      </c>
      <c r="D2181">
        <v>12</v>
      </c>
      <c r="E2181">
        <v>2</v>
      </c>
      <c r="F2181" s="10">
        <v>37484.449999999997</v>
      </c>
      <c r="G2181" t="s">
        <v>2361</v>
      </c>
      <c r="H2181" t="s">
        <v>2361</v>
      </c>
      <c r="I2181" t="s">
        <v>2359</v>
      </c>
      <c r="J2181" s="8">
        <f t="shared" si="34"/>
        <v>36811</v>
      </c>
    </row>
    <row r="2182" spans="1:10" x14ac:dyDescent="0.35">
      <c r="A2182" t="s">
        <v>163</v>
      </c>
      <c r="B2182">
        <v>1990</v>
      </c>
      <c r="C2182" t="s">
        <v>2360</v>
      </c>
      <c r="D2182">
        <v>16</v>
      </c>
      <c r="E2182">
        <v>1</v>
      </c>
      <c r="F2182" s="10">
        <v>37607.53</v>
      </c>
      <c r="G2182" t="s">
        <v>2361</v>
      </c>
      <c r="H2182" t="s">
        <v>2357</v>
      </c>
      <c r="I2182" t="s">
        <v>2370</v>
      </c>
      <c r="J2182" s="8">
        <f t="shared" si="34"/>
        <v>33193</v>
      </c>
    </row>
    <row r="2183" spans="1:10" x14ac:dyDescent="0.35">
      <c r="A2183" t="s">
        <v>162</v>
      </c>
      <c r="B2183">
        <v>1982</v>
      </c>
      <c r="C2183" t="s">
        <v>2362</v>
      </c>
      <c r="D2183">
        <v>20</v>
      </c>
      <c r="E2183">
        <v>3</v>
      </c>
      <c r="F2183" s="10">
        <v>37650.74</v>
      </c>
      <c r="G2183" t="s">
        <v>2357</v>
      </c>
      <c r="H2183" t="s">
        <v>2357</v>
      </c>
      <c r="I2183" t="s">
        <v>2364</v>
      </c>
      <c r="J2183" s="8">
        <f t="shared" si="34"/>
        <v>30122</v>
      </c>
    </row>
    <row r="2184" spans="1:10" x14ac:dyDescent="0.35">
      <c r="A2184" t="s">
        <v>161</v>
      </c>
      <c r="B2184">
        <v>1970</v>
      </c>
      <c r="C2184" t="s">
        <v>2367</v>
      </c>
      <c r="D2184">
        <v>28</v>
      </c>
      <c r="E2184">
        <v>0</v>
      </c>
      <c r="F2184" s="10">
        <v>37675.06</v>
      </c>
      <c r="G2184" t="s">
        <v>2357</v>
      </c>
      <c r="H2184" t="s">
        <v>2358</v>
      </c>
      <c r="I2184" t="s">
        <v>2368</v>
      </c>
      <c r="J2184" s="8">
        <f t="shared" si="34"/>
        <v>25869</v>
      </c>
    </row>
    <row r="2185" spans="1:10" x14ac:dyDescent="0.35">
      <c r="A2185" t="s">
        <v>160</v>
      </c>
      <c r="B2185">
        <v>1988</v>
      </c>
      <c r="C2185" t="s">
        <v>2367</v>
      </c>
      <c r="D2185">
        <v>10</v>
      </c>
      <c r="E2185">
        <v>1</v>
      </c>
      <c r="F2185" s="10">
        <v>37701.879999999997</v>
      </c>
      <c r="G2185" t="s">
        <v>2357</v>
      </c>
      <c r="H2185" t="s">
        <v>2358</v>
      </c>
      <c r="I2185" t="s">
        <v>2375</v>
      </c>
      <c r="J2185" s="8">
        <f t="shared" si="34"/>
        <v>32426</v>
      </c>
    </row>
    <row r="2186" spans="1:10" x14ac:dyDescent="0.35">
      <c r="A2186" t="s">
        <v>159</v>
      </c>
      <c r="B2186">
        <v>1976</v>
      </c>
      <c r="C2186" t="s">
        <v>2363</v>
      </c>
      <c r="D2186">
        <v>18</v>
      </c>
      <c r="E2186">
        <v>2</v>
      </c>
      <c r="F2186" s="10">
        <v>37735.199999999997</v>
      </c>
      <c r="G2186" t="s">
        <v>2357</v>
      </c>
      <c r="H2186" t="s">
        <v>2357</v>
      </c>
      <c r="I2186" t="s">
        <v>2368</v>
      </c>
      <c r="J2186" s="8">
        <f t="shared" si="34"/>
        <v>28021</v>
      </c>
    </row>
    <row r="2187" spans="1:10" x14ac:dyDescent="0.35">
      <c r="A2187" t="s">
        <v>158</v>
      </c>
      <c r="B2187">
        <v>1986</v>
      </c>
      <c r="C2187" t="s">
        <v>2366</v>
      </c>
      <c r="D2187">
        <v>15</v>
      </c>
      <c r="E2187">
        <v>0</v>
      </c>
      <c r="F2187" s="10">
        <v>37742.58</v>
      </c>
      <c r="G2187" t="s">
        <v>2361</v>
      </c>
      <c r="H2187" t="s">
        <v>2361</v>
      </c>
      <c r="I2187" t="s">
        <v>2359</v>
      </c>
      <c r="J2187" s="8">
        <f t="shared" si="34"/>
        <v>31639</v>
      </c>
    </row>
    <row r="2188" spans="1:10" x14ac:dyDescent="0.35">
      <c r="A2188" t="s">
        <v>157</v>
      </c>
      <c r="B2188">
        <v>1983</v>
      </c>
      <c r="C2188" t="s">
        <v>2356</v>
      </c>
      <c r="D2188">
        <v>26</v>
      </c>
      <c r="E2188">
        <v>3</v>
      </c>
      <c r="F2188" s="10">
        <v>37800.980000000003</v>
      </c>
      <c r="G2188" t="s">
        <v>2357</v>
      </c>
      <c r="H2188" t="s">
        <v>2357</v>
      </c>
      <c r="I2188" t="s">
        <v>2368</v>
      </c>
      <c r="J2188" s="8">
        <f t="shared" si="34"/>
        <v>30523</v>
      </c>
    </row>
    <row r="2189" spans="1:10" x14ac:dyDescent="0.35">
      <c r="A2189" t="s">
        <v>156</v>
      </c>
      <c r="B2189">
        <v>1979</v>
      </c>
      <c r="C2189" t="s">
        <v>2363</v>
      </c>
      <c r="D2189">
        <v>9</v>
      </c>
      <c r="E2189">
        <v>0</v>
      </c>
      <c r="F2189" s="10">
        <v>37829.72</v>
      </c>
      <c r="G2189" t="s">
        <v>2361</v>
      </c>
      <c r="H2189" t="s">
        <v>2357</v>
      </c>
      <c r="I2189" t="s">
        <v>2368</v>
      </c>
      <c r="J2189" s="8">
        <f t="shared" si="34"/>
        <v>29107</v>
      </c>
    </row>
    <row r="2190" spans="1:10" x14ac:dyDescent="0.35">
      <c r="A2190" t="s">
        <v>155</v>
      </c>
      <c r="B2190">
        <v>1998</v>
      </c>
      <c r="C2190" t="s">
        <v>2356</v>
      </c>
      <c r="D2190">
        <v>29</v>
      </c>
      <c r="E2190">
        <v>0</v>
      </c>
      <c r="F2190" s="10">
        <v>38126.25</v>
      </c>
      <c r="G2190" t="s">
        <v>2361</v>
      </c>
      <c r="H2190" t="s">
        <v>2358</v>
      </c>
      <c r="I2190" t="s">
        <v>2359</v>
      </c>
      <c r="J2190" s="8">
        <f t="shared" si="34"/>
        <v>36005</v>
      </c>
    </row>
    <row r="2191" spans="1:10" x14ac:dyDescent="0.35">
      <c r="A2191" t="s">
        <v>154</v>
      </c>
      <c r="B2191">
        <v>1972</v>
      </c>
      <c r="C2191" t="s">
        <v>2360</v>
      </c>
      <c r="D2191">
        <v>19</v>
      </c>
      <c r="E2191">
        <v>0</v>
      </c>
      <c r="F2191" s="10">
        <v>38189.1</v>
      </c>
      <c r="G2191" t="s">
        <v>2357</v>
      </c>
      <c r="H2191" t="s">
        <v>2357</v>
      </c>
      <c r="I2191" t="s">
        <v>2368</v>
      </c>
      <c r="J2191" s="8">
        <f t="shared" si="34"/>
        <v>26622</v>
      </c>
    </row>
    <row r="2192" spans="1:10" x14ac:dyDescent="0.35">
      <c r="A2192" t="s">
        <v>153</v>
      </c>
      <c r="B2192">
        <v>1989</v>
      </c>
      <c r="C2192" t="s">
        <v>2363</v>
      </c>
      <c r="D2192">
        <v>8</v>
      </c>
      <c r="E2192">
        <v>3</v>
      </c>
      <c r="F2192" s="10">
        <v>38237.339999999997</v>
      </c>
      <c r="G2192" t="s">
        <v>2357</v>
      </c>
      <c r="H2192" t="s">
        <v>2358</v>
      </c>
      <c r="I2192" t="s">
        <v>2368</v>
      </c>
      <c r="J2192" s="8">
        <f t="shared" si="34"/>
        <v>32759</v>
      </c>
    </row>
    <row r="2193" spans="1:10" x14ac:dyDescent="0.35">
      <c r="A2193" t="s">
        <v>152</v>
      </c>
      <c r="B2193">
        <v>1964</v>
      </c>
      <c r="C2193" t="s">
        <v>2362</v>
      </c>
      <c r="D2193">
        <v>16</v>
      </c>
      <c r="E2193">
        <v>0</v>
      </c>
      <c r="F2193" s="10">
        <v>38241.74</v>
      </c>
      <c r="G2193" t="s">
        <v>2357</v>
      </c>
      <c r="H2193" t="s">
        <v>2358</v>
      </c>
      <c r="I2193" t="s">
        <v>2368</v>
      </c>
      <c r="J2193" s="8">
        <f t="shared" si="34"/>
        <v>23544</v>
      </c>
    </row>
    <row r="2194" spans="1:10" x14ac:dyDescent="0.35">
      <c r="A2194" t="s">
        <v>151</v>
      </c>
      <c r="B2194">
        <v>1980</v>
      </c>
      <c r="C2194" t="s">
        <v>2366</v>
      </c>
      <c r="D2194">
        <v>16</v>
      </c>
      <c r="E2194">
        <v>1</v>
      </c>
      <c r="F2194" s="10">
        <v>38245.589999999997</v>
      </c>
      <c r="G2194" t="s">
        <v>2361</v>
      </c>
      <c r="H2194" t="s">
        <v>2357</v>
      </c>
      <c r="I2194" t="s">
        <v>2359</v>
      </c>
      <c r="J2194" s="8">
        <f t="shared" si="34"/>
        <v>29449</v>
      </c>
    </row>
    <row r="2195" spans="1:10" x14ac:dyDescent="0.35">
      <c r="A2195" t="s">
        <v>150</v>
      </c>
      <c r="B2195">
        <v>1989</v>
      </c>
      <c r="C2195" t="s">
        <v>2367</v>
      </c>
      <c r="D2195">
        <v>30</v>
      </c>
      <c r="E2195">
        <v>1</v>
      </c>
      <c r="F2195" s="10">
        <v>38282.75</v>
      </c>
      <c r="G2195" t="s">
        <v>2361</v>
      </c>
      <c r="H2195" t="s">
        <v>2357</v>
      </c>
      <c r="I2195" t="s">
        <v>2359</v>
      </c>
      <c r="J2195" s="8">
        <f t="shared" si="34"/>
        <v>32811</v>
      </c>
    </row>
    <row r="2196" spans="1:10" x14ac:dyDescent="0.35">
      <c r="A2196" t="s">
        <v>149</v>
      </c>
      <c r="B2196">
        <v>1980</v>
      </c>
      <c r="C2196" t="s">
        <v>2362</v>
      </c>
      <c r="D2196">
        <v>12</v>
      </c>
      <c r="E2196">
        <v>2</v>
      </c>
      <c r="F2196" s="10">
        <v>38313.129999999997</v>
      </c>
      <c r="G2196" t="s">
        <v>2361</v>
      </c>
      <c r="H2196" t="s">
        <v>2358</v>
      </c>
      <c r="I2196" t="s">
        <v>2368</v>
      </c>
      <c r="J2196" s="8">
        <f t="shared" si="34"/>
        <v>29384</v>
      </c>
    </row>
    <row r="2197" spans="1:10" x14ac:dyDescent="0.35">
      <c r="A2197" t="s">
        <v>148</v>
      </c>
      <c r="B2197">
        <v>2002</v>
      </c>
      <c r="C2197" t="s">
        <v>2363</v>
      </c>
      <c r="D2197">
        <v>17</v>
      </c>
      <c r="E2197">
        <v>2</v>
      </c>
      <c r="F2197" s="10">
        <v>38344.57</v>
      </c>
      <c r="G2197" t="s">
        <v>2361</v>
      </c>
      <c r="H2197" t="s">
        <v>2358</v>
      </c>
      <c r="I2197" t="s">
        <v>2368</v>
      </c>
      <c r="J2197" s="8">
        <f t="shared" si="34"/>
        <v>37516</v>
      </c>
    </row>
    <row r="2198" spans="1:10" x14ac:dyDescent="0.35">
      <c r="A2198" t="s">
        <v>147</v>
      </c>
      <c r="B2198">
        <v>1970</v>
      </c>
      <c r="C2198" t="s">
        <v>2366</v>
      </c>
      <c r="D2198">
        <v>22</v>
      </c>
      <c r="E2198">
        <v>0</v>
      </c>
      <c r="F2198" s="10">
        <v>38389.79</v>
      </c>
      <c r="G2198" t="s">
        <v>2357</v>
      </c>
      <c r="H2198" t="s">
        <v>2358</v>
      </c>
      <c r="I2198" t="s">
        <v>2368</v>
      </c>
      <c r="J2198" s="8">
        <f t="shared" si="34"/>
        <v>25802</v>
      </c>
    </row>
    <row r="2199" spans="1:10" x14ac:dyDescent="0.35">
      <c r="A2199" t="s">
        <v>146</v>
      </c>
      <c r="B2199">
        <v>1971</v>
      </c>
      <c r="C2199" t="s">
        <v>2365</v>
      </c>
      <c r="D2199">
        <v>23</v>
      </c>
      <c r="E2199">
        <v>0</v>
      </c>
      <c r="F2199" s="10">
        <v>38405.26</v>
      </c>
      <c r="G2199" t="s">
        <v>2357</v>
      </c>
      <c r="H2199" t="s">
        <v>2361</v>
      </c>
      <c r="I2199" t="s">
        <v>2368</v>
      </c>
      <c r="J2199" s="8">
        <f t="shared" si="34"/>
        <v>26290</v>
      </c>
    </row>
    <row r="2200" spans="1:10" x14ac:dyDescent="0.35">
      <c r="A2200" t="s">
        <v>145</v>
      </c>
      <c r="B2200">
        <v>1986</v>
      </c>
      <c r="C2200" t="s">
        <v>2362</v>
      </c>
      <c r="D2200">
        <v>21</v>
      </c>
      <c r="E2200">
        <v>2</v>
      </c>
      <c r="F2200" s="10">
        <v>38415.47</v>
      </c>
      <c r="G2200" t="s">
        <v>2361</v>
      </c>
      <c r="H2200" t="s">
        <v>2357</v>
      </c>
      <c r="I2200" t="s">
        <v>2368</v>
      </c>
      <c r="J2200" s="8">
        <f t="shared" si="34"/>
        <v>31584</v>
      </c>
    </row>
    <row r="2201" spans="1:10" x14ac:dyDescent="0.35">
      <c r="A2201" t="s">
        <v>144</v>
      </c>
      <c r="B2201">
        <v>1999</v>
      </c>
      <c r="C2201" t="s">
        <v>2360</v>
      </c>
      <c r="D2201">
        <v>12</v>
      </c>
      <c r="E2201">
        <v>2</v>
      </c>
      <c r="F2201" s="10">
        <v>38511.629999999997</v>
      </c>
      <c r="G2201" t="s">
        <v>2357</v>
      </c>
      <c r="H2201" t="s">
        <v>2357</v>
      </c>
      <c r="I2201" t="s">
        <v>2374</v>
      </c>
      <c r="J2201" s="8">
        <f t="shared" si="34"/>
        <v>36476</v>
      </c>
    </row>
    <row r="2202" spans="1:10" x14ac:dyDescent="0.35">
      <c r="A2202" t="s">
        <v>143</v>
      </c>
      <c r="B2202">
        <v>1990</v>
      </c>
      <c r="C2202" t="s">
        <v>2356</v>
      </c>
      <c r="D2202">
        <v>13</v>
      </c>
      <c r="E2202">
        <v>3</v>
      </c>
      <c r="F2202" s="10">
        <v>38652.089999999997</v>
      </c>
      <c r="G2202" t="s">
        <v>2357</v>
      </c>
      <c r="H2202" t="s">
        <v>2357</v>
      </c>
      <c r="I2202" t="s">
        <v>2368</v>
      </c>
      <c r="J2202" s="8">
        <f t="shared" si="34"/>
        <v>33067</v>
      </c>
    </row>
    <row r="2203" spans="1:10" x14ac:dyDescent="0.35">
      <c r="A2203" t="s">
        <v>142</v>
      </c>
      <c r="B2203">
        <v>1986</v>
      </c>
      <c r="C2203" t="s">
        <v>2356</v>
      </c>
      <c r="D2203">
        <v>20</v>
      </c>
      <c r="E2203">
        <v>1</v>
      </c>
      <c r="F2203" s="10">
        <v>38709.18</v>
      </c>
      <c r="G2203" t="s">
        <v>2361</v>
      </c>
      <c r="H2203" t="s">
        <v>2358</v>
      </c>
      <c r="I2203" t="s">
        <v>2359</v>
      </c>
      <c r="J2203" s="8">
        <f t="shared" si="34"/>
        <v>31613</v>
      </c>
    </row>
    <row r="2204" spans="1:10" x14ac:dyDescent="0.35">
      <c r="A2204" t="s">
        <v>2347</v>
      </c>
      <c r="B2204">
        <v>1991</v>
      </c>
      <c r="C2204" t="s">
        <v>2360</v>
      </c>
      <c r="D2204">
        <v>22</v>
      </c>
      <c r="E2204">
        <v>2</v>
      </c>
      <c r="F2204" s="10">
        <v>38711</v>
      </c>
      <c r="G2204" t="s">
        <v>2361</v>
      </c>
      <c r="H2204" t="s">
        <v>2358</v>
      </c>
      <c r="I2204" t="s">
        <v>2368</v>
      </c>
      <c r="J2204" s="8">
        <f t="shared" si="34"/>
        <v>33564</v>
      </c>
    </row>
    <row r="2205" spans="1:10" x14ac:dyDescent="0.35">
      <c r="A2205" t="s">
        <v>141</v>
      </c>
      <c r="B2205">
        <v>1991</v>
      </c>
      <c r="C2205" t="s">
        <v>2360</v>
      </c>
      <c r="D2205">
        <v>2</v>
      </c>
      <c r="E2205">
        <v>2</v>
      </c>
      <c r="F2205" s="10">
        <v>38711</v>
      </c>
      <c r="G2205" t="s">
        <v>2357</v>
      </c>
      <c r="H2205" t="s">
        <v>2357</v>
      </c>
      <c r="I2205" t="s">
        <v>2368</v>
      </c>
      <c r="J2205" s="8">
        <f t="shared" si="34"/>
        <v>33544</v>
      </c>
    </row>
    <row r="2206" spans="1:10" x14ac:dyDescent="0.35">
      <c r="A2206" t="s">
        <v>140</v>
      </c>
      <c r="B2206">
        <v>1976</v>
      </c>
      <c r="C2206" t="s">
        <v>2362</v>
      </c>
      <c r="D2206">
        <v>15</v>
      </c>
      <c r="E2206">
        <v>2</v>
      </c>
      <c r="F2206" s="10">
        <v>38740.120000000003</v>
      </c>
      <c r="G2206" t="s">
        <v>2357</v>
      </c>
      <c r="H2206" t="s">
        <v>2357</v>
      </c>
      <c r="I2206" t="s">
        <v>2364</v>
      </c>
      <c r="J2206" s="8">
        <f t="shared" si="34"/>
        <v>27926</v>
      </c>
    </row>
    <row r="2207" spans="1:10" x14ac:dyDescent="0.35">
      <c r="A2207" t="s">
        <v>139</v>
      </c>
      <c r="B2207">
        <v>1991</v>
      </c>
      <c r="C2207" t="s">
        <v>2360</v>
      </c>
      <c r="D2207">
        <v>8</v>
      </c>
      <c r="E2207">
        <v>3</v>
      </c>
      <c r="F2207" s="10">
        <v>38746.36</v>
      </c>
      <c r="G2207" t="s">
        <v>2361</v>
      </c>
      <c r="H2207" t="s">
        <v>2357</v>
      </c>
      <c r="I2207" t="s">
        <v>2364</v>
      </c>
      <c r="J2207" s="8">
        <f t="shared" si="34"/>
        <v>33550</v>
      </c>
    </row>
    <row r="2208" spans="1:10" x14ac:dyDescent="0.35">
      <c r="A2208" t="s">
        <v>138</v>
      </c>
      <c r="B2208">
        <v>2004</v>
      </c>
      <c r="C2208" t="s">
        <v>2365</v>
      </c>
      <c r="D2208">
        <v>5</v>
      </c>
      <c r="E2208">
        <v>0</v>
      </c>
      <c r="F2208" s="10">
        <v>38792.69</v>
      </c>
      <c r="G2208" t="s">
        <v>2357</v>
      </c>
      <c r="H2208" t="s">
        <v>2357</v>
      </c>
      <c r="I2208" t="s">
        <v>2359</v>
      </c>
      <c r="J2208" s="8">
        <f t="shared" si="34"/>
        <v>38326</v>
      </c>
    </row>
    <row r="2209" spans="1:10" x14ac:dyDescent="0.35">
      <c r="A2209" t="s">
        <v>137</v>
      </c>
      <c r="B2209">
        <v>1979</v>
      </c>
      <c r="C2209" t="s">
        <v>2365</v>
      </c>
      <c r="D2209">
        <v>3</v>
      </c>
      <c r="E2209">
        <v>2</v>
      </c>
      <c r="F2209" s="10">
        <v>38836.980000000003</v>
      </c>
      <c r="G2209" t="s">
        <v>2357</v>
      </c>
      <c r="H2209" t="s">
        <v>2361</v>
      </c>
      <c r="I2209" t="s">
        <v>2368</v>
      </c>
      <c r="J2209" s="8">
        <f t="shared" si="34"/>
        <v>29192</v>
      </c>
    </row>
    <row r="2210" spans="1:10" x14ac:dyDescent="0.35">
      <c r="A2210" t="s">
        <v>136</v>
      </c>
      <c r="B2210">
        <v>1964</v>
      </c>
      <c r="C2210" t="s">
        <v>2362</v>
      </c>
      <c r="D2210">
        <v>6</v>
      </c>
      <c r="E2210">
        <v>0</v>
      </c>
      <c r="F2210" s="10">
        <v>38869.25</v>
      </c>
      <c r="G2210" t="s">
        <v>2357</v>
      </c>
      <c r="H2210" t="s">
        <v>2357</v>
      </c>
      <c r="I2210" t="s">
        <v>2368</v>
      </c>
      <c r="J2210" s="8">
        <f t="shared" si="34"/>
        <v>23534</v>
      </c>
    </row>
    <row r="2211" spans="1:10" x14ac:dyDescent="0.35">
      <c r="A2211" t="s">
        <v>135</v>
      </c>
      <c r="B2211">
        <v>1967</v>
      </c>
      <c r="C2211" t="s">
        <v>2356</v>
      </c>
      <c r="D2211">
        <v>30</v>
      </c>
      <c r="E2211">
        <v>0</v>
      </c>
      <c r="F2211" s="10">
        <v>38893.360000000001</v>
      </c>
      <c r="G2211" t="s">
        <v>2361</v>
      </c>
      <c r="H2211" t="s">
        <v>2357</v>
      </c>
      <c r="I2211" t="s">
        <v>2368</v>
      </c>
      <c r="J2211" s="8">
        <f t="shared" si="34"/>
        <v>24683</v>
      </c>
    </row>
    <row r="2212" spans="1:10" x14ac:dyDescent="0.35">
      <c r="A2212" t="s">
        <v>134</v>
      </c>
      <c r="B2212">
        <v>1987</v>
      </c>
      <c r="C2212" t="s">
        <v>2362</v>
      </c>
      <c r="D2212">
        <v>16</v>
      </c>
      <c r="E2212">
        <v>3</v>
      </c>
      <c r="F2212" s="10">
        <v>38924.04</v>
      </c>
      <c r="G2212" t="s">
        <v>2357</v>
      </c>
      <c r="H2212" t="s">
        <v>2357</v>
      </c>
      <c r="I2212" t="s">
        <v>2368</v>
      </c>
      <c r="J2212" s="8">
        <f t="shared" si="34"/>
        <v>31944</v>
      </c>
    </row>
    <row r="2213" spans="1:10" x14ac:dyDescent="0.35">
      <c r="A2213" t="s">
        <v>133</v>
      </c>
      <c r="B2213">
        <v>1976</v>
      </c>
      <c r="C2213" t="s">
        <v>2365</v>
      </c>
      <c r="D2213">
        <v>15</v>
      </c>
      <c r="E2213">
        <v>2</v>
      </c>
      <c r="F2213" s="10">
        <v>38932.559999999998</v>
      </c>
      <c r="G2213" t="s">
        <v>2357</v>
      </c>
      <c r="H2213" t="s">
        <v>2358</v>
      </c>
      <c r="I2213" t="s">
        <v>2368</v>
      </c>
      <c r="J2213" s="8">
        <f t="shared" si="34"/>
        <v>28109</v>
      </c>
    </row>
    <row r="2214" spans="1:10" x14ac:dyDescent="0.35">
      <c r="A2214" t="s">
        <v>132</v>
      </c>
      <c r="B2214">
        <v>1980</v>
      </c>
      <c r="C2214" t="s">
        <v>2363</v>
      </c>
      <c r="D2214">
        <v>24</v>
      </c>
      <c r="E2214">
        <v>2</v>
      </c>
      <c r="F2214" s="10">
        <v>38947.43</v>
      </c>
      <c r="G2214" t="s">
        <v>2357</v>
      </c>
      <c r="H2214" t="s">
        <v>2358</v>
      </c>
      <c r="I2214" t="s">
        <v>2368</v>
      </c>
      <c r="J2214" s="8">
        <f t="shared" si="34"/>
        <v>29488</v>
      </c>
    </row>
    <row r="2215" spans="1:10" x14ac:dyDescent="0.35">
      <c r="A2215" t="s">
        <v>131</v>
      </c>
      <c r="B2215">
        <v>1978</v>
      </c>
      <c r="C2215" t="s">
        <v>2367</v>
      </c>
      <c r="D2215">
        <v>12</v>
      </c>
      <c r="E2215">
        <v>2</v>
      </c>
      <c r="F2215" s="10">
        <v>38998.550000000003</v>
      </c>
      <c r="G2215" t="s">
        <v>2361</v>
      </c>
      <c r="H2215" t="s">
        <v>2361</v>
      </c>
      <c r="I2215" t="s">
        <v>2368</v>
      </c>
      <c r="J2215" s="8">
        <f t="shared" si="34"/>
        <v>28775</v>
      </c>
    </row>
    <row r="2216" spans="1:10" x14ac:dyDescent="0.35">
      <c r="A2216" t="s">
        <v>130</v>
      </c>
      <c r="B2216">
        <v>1985</v>
      </c>
      <c r="C2216" t="s">
        <v>2363</v>
      </c>
      <c r="D2216">
        <v>20</v>
      </c>
      <c r="E2216">
        <v>1</v>
      </c>
      <c r="F2216" s="10">
        <v>39047.29</v>
      </c>
      <c r="G2216" t="s">
        <v>2361</v>
      </c>
      <c r="H2216" t="s">
        <v>2358</v>
      </c>
      <c r="I2216" t="s">
        <v>2378</v>
      </c>
      <c r="J2216" s="8">
        <f t="shared" si="34"/>
        <v>31310</v>
      </c>
    </row>
    <row r="2217" spans="1:10" x14ac:dyDescent="0.35">
      <c r="A2217" t="s">
        <v>129</v>
      </c>
      <c r="B2217">
        <v>1982</v>
      </c>
      <c r="C2217" t="s">
        <v>2366</v>
      </c>
      <c r="D2217">
        <v>4</v>
      </c>
      <c r="E2217">
        <v>1</v>
      </c>
      <c r="F2217" s="10">
        <v>39125.33</v>
      </c>
      <c r="G2217" t="s">
        <v>2361</v>
      </c>
      <c r="H2217" t="s">
        <v>2361</v>
      </c>
      <c r="I2217" t="s">
        <v>2371</v>
      </c>
      <c r="J2217" s="8">
        <f t="shared" si="34"/>
        <v>30167</v>
      </c>
    </row>
    <row r="2218" spans="1:10" x14ac:dyDescent="0.35">
      <c r="A2218" t="s">
        <v>128</v>
      </c>
      <c r="B2218">
        <v>1962</v>
      </c>
      <c r="C2218" t="s">
        <v>2356</v>
      </c>
      <c r="D2218">
        <v>7</v>
      </c>
      <c r="E2218">
        <v>0</v>
      </c>
      <c r="F2218" s="10">
        <v>39221.120000000003</v>
      </c>
      <c r="G2218" t="s">
        <v>2357</v>
      </c>
      <c r="H2218" t="s">
        <v>2361</v>
      </c>
      <c r="I2218" t="s">
        <v>2368</v>
      </c>
      <c r="J2218" s="8">
        <f t="shared" si="34"/>
        <v>22834</v>
      </c>
    </row>
    <row r="2219" spans="1:10" x14ac:dyDescent="0.35">
      <c r="A2219" t="s">
        <v>127</v>
      </c>
      <c r="B2219">
        <v>1992</v>
      </c>
      <c r="C2219" t="s">
        <v>2360</v>
      </c>
      <c r="D2219">
        <v>30</v>
      </c>
      <c r="E2219">
        <v>2</v>
      </c>
      <c r="F2219" s="10">
        <v>39241.440000000002</v>
      </c>
      <c r="G2219" t="s">
        <v>2361</v>
      </c>
      <c r="H2219" t="s">
        <v>2358</v>
      </c>
      <c r="I2219" t="s">
        <v>2368</v>
      </c>
      <c r="J2219" s="8">
        <f t="shared" si="34"/>
        <v>33938</v>
      </c>
    </row>
    <row r="2220" spans="1:10" x14ac:dyDescent="0.35">
      <c r="A2220" t="s">
        <v>126</v>
      </c>
      <c r="B2220">
        <v>1982</v>
      </c>
      <c r="C2220" t="s">
        <v>2366</v>
      </c>
      <c r="D2220">
        <v>16</v>
      </c>
      <c r="E2220">
        <v>3</v>
      </c>
      <c r="F2220" s="10">
        <v>39315.279999999999</v>
      </c>
      <c r="G2220" t="s">
        <v>2357</v>
      </c>
      <c r="H2220" t="s">
        <v>2358</v>
      </c>
      <c r="I2220" t="s">
        <v>2368</v>
      </c>
      <c r="J2220" s="8">
        <f t="shared" si="34"/>
        <v>30179</v>
      </c>
    </row>
    <row r="2221" spans="1:10" x14ac:dyDescent="0.35">
      <c r="A2221" t="s">
        <v>125</v>
      </c>
      <c r="B2221">
        <v>1978</v>
      </c>
      <c r="C2221" t="s">
        <v>2366</v>
      </c>
      <c r="D2221">
        <v>5</v>
      </c>
      <c r="E2221">
        <v>2</v>
      </c>
      <c r="F2221" s="10">
        <v>39352.6</v>
      </c>
      <c r="G2221" t="s">
        <v>2357</v>
      </c>
      <c r="H2221" t="s">
        <v>2358</v>
      </c>
      <c r="I2221" t="s">
        <v>2368</v>
      </c>
      <c r="J2221" s="8">
        <f t="shared" si="34"/>
        <v>28707</v>
      </c>
    </row>
    <row r="2222" spans="1:10" x14ac:dyDescent="0.35">
      <c r="A2222" t="s">
        <v>124</v>
      </c>
      <c r="B2222">
        <v>1966</v>
      </c>
      <c r="C2222" t="s">
        <v>2362</v>
      </c>
      <c r="D2222">
        <v>24</v>
      </c>
      <c r="E2222">
        <v>0</v>
      </c>
      <c r="F2222" s="10">
        <v>39396.86</v>
      </c>
      <c r="G2222" t="s">
        <v>2357</v>
      </c>
      <c r="H2222" t="s">
        <v>2357</v>
      </c>
      <c r="I2222" t="s">
        <v>2368</v>
      </c>
      <c r="J2222" s="8">
        <f t="shared" si="34"/>
        <v>24282</v>
      </c>
    </row>
    <row r="2223" spans="1:10" x14ac:dyDescent="0.35">
      <c r="A2223" t="s">
        <v>123</v>
      </c>
      <c r="B2223">
        <v>1978</v>
      </c>
      <c r="C2223" t="s">
        <v>2356</v>
      </c>
      <c r="D2223">
        <v>12</v>
      </c>
      <c r="E2223">
        <v>1</v>
      </c>
      <c r="F2223" s="10">
        <v>39556.49</v>
      </c>
      <c r="G2223" t="s">
        <v>2361</v>
      </c>
      <c r="H2223" t="s">
        <v>2357</v>
      </c>
      <c r="I2223" t="s">
        <v>2369</v>
      </c>
      <c r="J2223" s="8">
        <f t="shared" si="34"/>
        <v>28683</v>
      </c>
    </row>
    <row r="2224" spans="1:10" x14ac:dyDescent="0.35">
      <c r="A2224" t="s">
        <v>122</v>
      </c>
      <c r="B2224">
        <v>1981</v>
      </c>
      <c r="C2224" t="s">
        <v>2356</v>
      </c>
      <c r="D2224">
        <v>5</v>
      </c>
      <c r="E2224">
        <v>3</v>
      </c>
      <c r="F2224" s="10">
        <v>39597.410000000003</v>
      </c>
      <c r="G2224" t="s">
        <v>2361</v>
      </c>
      <c r="H2224" t="s">
        <v>2357</v>
      </c>
      <c r="I2224" t="s">
        <v>2378</v>
      </c>
      <c r="J2224" s="8">
        <f t="shared" si="34"/>
        <v>29772</v>
      </c>
    </row>
    <row r="2225" spans="1:10" x14ac:dyDescent="0.35">
      <c r="A2225" t="s">
        <v>121</v>
      </c>
      <c r="B2225">
        <v>1995</v>
      </c>
      <c r="C2225" t="s">
        <v>2366</v>
      </c>
      <c r="D2225">
        <v>7</v>
      </c>
      <c r="E2225">
        <v>0</v>
      </c>
      <c r="F2225" s="10">
        <v>39611.760000000002</v>
      </c>
      <c r="G2225" t="s">
        <v>2361</v>
      </c>
      <c r="H2225" t="s">
        <v>2358</v>
      </c>
      <c r="I2225" t="s">
        <v>2359</v>
      </c>
      <c r="J2225" s="8">
        <f t="shared" si="34"/>
        <v>34918</v>
      </c>
    </row>
    <row r="2226" spans="1:10" x14ac:dyDescent="0.35">
      <c r="A2226" t="s">
        <v>120</v>
      </c>
      <c r="B2226">
        <v>1977</v>
      </c>
      <c r="C2226" t="s">
        <v>2365</v>
      </c>
      <c r="D2226">
        <v>17</v>
      </c>
      <c r="E2226">
        <v>2</v>
      </c>
      <c r="F2226" s="10">
        <v>39670.44</v>
      </c>
      <c r="G2226" t="s">
        <v>2357</v>
      </c>
      <c r="H2226" t="s">
        <v>2361</v>
      </c>
      <c r="I2226" t="s">
        <v>2364</v>
      </c>
      <c r="J2226" s="8">
        <f t="shared" si="34"/>
        <v>28476</v>
      </c>
    </row>
    <row r="2227" spans="1:10" x14ac:dyDescent="0.35">
      <c r="A2227" t="s">
        <v>119</v>
      </c>
      <c r="B2227">
        <v>1968</v>
      </c>
      <c r="C2227" t="s">
        <v>2363</v>
      </c>
      <c r="D2227">
        <v>29</v>
      </c>
      <c r="E2227">
        <v>0</v>
      </c>
      <c r="F2227" s="10">
        <v>39721.93</v>
      </c>
      <c r="G2227" t="s">
        <v>2357</v>
      </c>
      <c r="H2227" t="s">
        <v>2357</v>
      </c>
      <c r="I2227" t="s">
        <v>2368</v>
      </c>
      <c r="J2227" s="8">
        <f t="shared" si="34"/>
        <v>25110</v>
      </c>
    </row>
    <row r="2228" spans="1:10" x14ac:dyDescent="0.35">
      <c r="A2228" t="s">
        <v>118</v>
      </c>
      <c r="B2228">
        <v>2003</v>
      </c>
      <c r="C2228" t="s">
        <v>2356</v>
      </c>
      <c r="D2228">
        <v>16</v>
      </c>
      <c r="E2228">
        <v>0</v>
      </c>
      <c r="F2228" s="10">
        <v>39722.75</v>
      </c>
      <c r="G2228" t="s">
        <v>2361</v>
      </c>
      <c r="H2228" t="s">
        <v>2361</v>
      </c>
      <c r="I2228" t="s">
        <v>2359</v>
      </c>
      <c r="J2228" s="8">
        <f t="shared" si="34"/>
        <v>37818</v>
      </c>
    </row>
    <row r="2229" spans="1:10" x14ac:dyDescent="0.35">
      <c r="A2229" t="s">
        <v>117</v>
      </c>
      <c r="B2229">
        <v>1977</v>
      </c>
      <c r="C2229" t="s">
        <v>2366</v>
      </c>
      <c r="D2229">
        <v>12</v>
      </c>
      <c r="E2229">
        <v>1</v>
      </c>
      <c r="F2229" s="10">
        <v>39725.519999999997</v>
      </c>
      <c r="G2229" t="s">
        <v>2357</v>
      </c>
      <c r="H2229" t="s">
        <v>2361</v>
      </c>
      <c r="I2229" t="s">
        <v>2364</v>
      </c>
      <c r="J2229" s="8">
        <f t="shared" si="34"/>
        <v>28349</v>
      </c>
    </row>
    <row r="2230" spans="1:10" x14ac:dyDescent="0.35">
      <c r="A2230" t="s">
        <v>116</v>
      </c>
      <c r="B2230">
        <v>1973</v>
      </c>
      <c r="C2230" t="s">
        <v>2365</v>
      </c>
      <c r="D2230">
        <v>17</v>
      </c>
      <c r="E2230">
        <v>0</v>
      </c>
      <c r="F2230" s="10">
        <v>39727.61</v>
      </c>
      <c r="G2230" t="s">
        <v>2361</v>
      </c>
      <c r="H2230" t="s">
        <v>2357</v>
      </c>
      <c r="I2230" t="s">
        <v>2368</v>
      </c>
      <c r="J2230" s="8">
        <f t="shared" si="34"/>
        <v>27015</v>
      </c>
    </row>
    <row r="2231" spans="1:10" x14ac:dyDescent="0.35">
      <c r="A2231" t="s">
        <v>115</v>
      </c>
      <c r="B2231">
        <v>1987</v>
      </c>
      <c r="C2231" t="s">
        <v>2356</v>
      </c>
      <c r="D2231">
        <v>24</v>
      </c>
      <c r="E2231">
        <v>1</v>
      </c>
      <c r="F2231" s="10">
        <v>39774.28</v>
      </c>
      <c r="G2231" t="s">
        <v>2361</v>
      </c>
      <c r="H2231" t="s">
        <v>2361</v>
      </c>
      <c r="I2231" t="s">
        <v>2376</v>
      </c>
      <c r="J2231" s="8">
        <f t="shared" si="34"/>
        <v>31982</v>
      </c>
    </row>
    <row r="2232" spans="1:10" x14ac:dyDescent="0.35">
      <c r="A2232" t="s">
        <v>114</v>
      </c>
      <c r="B2232">
        <v>1985</v>
      </c>
      <c r="C2232" t="s">
        <v>2356</v>
      </c>
      <c r="D2232">
        <v>17</v>
      </c>
      <c r="E2232">
        <v>2</v>
      </c>
      <c r="F2232" s="10">
        <v>39836.519999999997</v>
      </c>
      <c r="G2232" t="s">
        <v>2357</v>
      </c>
      <c r="H2232" t="s">
        <v>2361</v>
      </c>
      <c r="I2232" t="s">
        <v>2368</v>
      </c>
      <c r="J2232" s="8">
        <f t="shared" si="34"/>
        <v>31245</v>
      </c>
    </row>
    <row r="2233" spans="1:10" x14ac:dyDescent="0.35">
      <c r="A2233" t="s">
        <v>113</v>
      </c>
      <c r="B2233">
        <v>1983</v>
      </c>
      <c r="C2233" t="s">
        <v>2362</v>
      </c>
      <c r="D2233">
        <v>1</v>
      </c>
      <c r="E2233">
        <v>3</v>
      </c>
      <c r="F2233" s="10">
        <v>39865.699999999997</v>
      </c>
      <c r="G2233" t="s">
        <v>2357</v>
      </c>
      <c r="H2233" t="s">
        <v>2357</v>
      </c>
      <c r="I2233" t="s">
        <v>2368</v>
      </c>
      <c r="J2233" s="8">
        <f t="shared" si="34"/>
        <v>30468</v>
      </c>
    </row>
    <row r="2234" spans="1:10" x14ac:dyDescent="0.35">
      <c r="A2234" t="s">
        <v>112</v>
      </c>
      <c r="B2234">
        <v>1985</v>
      </c>
      <c r="C2234" t="s">
        <v>2366</v>
      </c>
      <c r="D2234">
        <v>22</v>
      </c>
      <c r="E2234">
        <v>1</v>
      </c>
      <c r="F2234" s="10">
        <v>39871.699999999997</v>
      </c>
      <c r="G2234" t="s">
        <v>2361</v>
      </c>
      <c r="H2234" t="s">
        <v>2357</v>
      </c>
      <c r="I2234" t="s">
        <v>2359</v>
      </c>
      <c r="J2234" s="8">
        <f t="shared" si="34"/>
        <v>31281</v>
      </c>
    </row>
    <row r="2235" spans="1:10" x14ac:dyDescent="0.35">
      <c r="A2235" t="s">
        <v>111</v>
      </c>
      <c r="B2235">
        <v>1975</v>
      </c>
      <c r="C2235" t="s">
        <v>2365</v>
      </c>
      <c r="D2235">
        <v>2</v>
      </c>
      <c r="E2235">
        <v>1</v>
      </c>
      <c r="F2235" s="10">
        <v>39963.120000000003</v>
      </c>
      <c r="G2235" t="s">
        <v>2357</v>
      </c>
      <c r="H2235" t="s">
        <v>2357</v>
      </c>
      <c r="I2235" t="s">
        <v>2368</v>
      </c>
      <c r="J2235" s="8">
        <f t="shared" si="34"/>
        <v>27730</v>
      </c>
    </row>
    <row r="2236" spans="1:10" x14ac:dyDescent="0.35">
      <c r="A2236" t="s">
        <v>110</v>
      </c>
      <c r="B2236">
        <v>1987</v>
      </c>
      <c r="C2236" t="s">
        <v>2366</v>
      </c>
      <c r="D2236">
        <v>8</v>
      </c>
      <c r="E2236">
        <v>3</v>
      </c>
      <c r="F2236" s="10">
        <v>39983.43</v>
      </c>
      <c r="G2236" t="s">
        <v>2357</v>
      </c>
      <c r="H2236" t="s">
        <v>2358</v>
      </c>
      <c r="I2236" t="s">
        <v>2364</v>
      </c>
      <c r="J2236" s="8">
        <f t="shared" si="34"/>
        <v>31997</v>
      </c>
    </row>
    <row r="2237" spans="1:10" x14ac:dyDescent="0.35">
      <c r="A2237" t="s">
        <v>109</v>
      </c>
      <c r="B2237">
        <v>1982</v>
      </c>
      <c r="C2237" t="s">
        <v>2365</v>
      </c>
      <c r="D2237">
        <v>25</v>
      </c>
      <c r="E2237">
        <v>2</v>
      </c>
      <c r="F2237" s="10">
        <v>40003.33</v>
      </c>
      <c r="G2237" t="s">
        <v>2361</v>
      </c>
      <c r="H2237" t="s">
        <v>2361</v>
      </c>
      <c r="I2237" t="s">
        <v>2364</v>
      </c>
      <c r="J2237" s="8">
        <f t="shared" si="34"/>
        <v>30310</v>
      </c>
    </row>
    <row r="2238" spans="1:10" x14ac:dyDescent="0.35">
      <c r="A2238" t="s">
        <v>108</v>
      </c>
      <c r="B2238">
        <v>1978</v>
      </c>
      <c r="C2238" t="s">
        <v>2365</v>
      </c>
      <c r="D2238">
        <v>20</v>
      </c>
      <c r="E2238">
        <v>2</v>
      </c>
      <c r="F2238" s="10">
        <v>40054.730000000003</v>
      </c>
      <c r="G2238" t="s">
        <v>2361</v>
      </c>
      <c r="H2238" t="s">
        <v>2358</v>
      </c>
      <c r="I2238" t="s">
        <v>2368</v>
      </c>
      <c r="J2238" s="8">
        <f t="shared" si="34"/>
        <v>28844</v>
      </c>
    </row>
    <row r="2239" spans="1:10" x14ac:dyDescent="0.35">
      <c r="A2239" t="s">
        <v>107</v>
      </c>
      <c r="B2239">
        <v>1966</v>
      </c>
      <c r="C2239" t="s">
        <v>2366</v>
      </c>
      <c r="D2239">
        <v>12</v>
      </c>
      <c r="E2239">
        <v>0</v>
      </c>
      <c r="F2239" s="10">
        <v>40069.440000000002</v>
      </c>
      <c r="G2239" t="s">
        <v>2361</v>
      </c>
      <c r="H2239" t="s">
        <v>2358</v>
      </c>
      <c r="I2239" t="s">
        <v>2368</v>
      </c>
      <c r="J2239" s="8">
        <f t="shared" si="34"/>
        <v>24331</v>
      </c>
    </row>
    <row r="2240" spans="1:10" x14ac:dyDescent="0.35">
      <c r="A2240" t="s">
        <v>106</v>
      </c>
      <c r="B2240">
        <v>1983</v>
      </c>
      <c r="C2240" t="s">
        <v>2367</v>
      </c>
      <c r="D2240">
        <v>14</v>
      </c>
      <c r="E2240">
        <v>2</v>
      </c>
      <c r="F2240" s="10">
        <v>40103.89</v>
      </c>
      <c r="G2240" t="s">
        <v>2361</v>
      </c>
      <c r="H2240" t="s">
        <v>2357</v>
      </c>
      <c r="I2240" t="s">
        <v>2368</v>
      </c>
      <c r="J2240" s="8">
        <f t="shared" si="34"/>
        <v>30603</v>
      </c>
    </row>
    <row r="2241" spans="1:10" x14ac:dyDescent="0.35">
      <c r="A2241" t="s">
        <v>105</v>
      </c>
      <c r="B2241">
        <v>1985</v>
      </c>
      <c r="C2241" t="s">
        <v>2367</v>
      </c>
      <c r="D2241">
        <v>21</v>
      </c>
      <c r="E2241">
        <v>4</v>
      </c>
      <c r="F2241" s="10">
        <v>40182.25</v>
      </c>
      <c r="G2241" t="s">
        <v>2361</v>
      </c>
      <c r="H2241" t="s">
        <v>2357</v>
      </c>
      <c r="I2241" t="s">
        <v>2368</v>
      </c>
      <c r="J2241" s="8">
        <f t="shared" si="34"/>
        <v>31341</v>
      </c>
    </row>
    <row r="2242" spans="1:10" x14ac:dyDescent="0.35">
      <c r="A2242" t="s">
        <v>104</v>
      </c>
      <c r="B2242">
        <v>1979</v>
      </c>
      <c r="C2242" t="s">
        <v>2366</v>
      </c>
      <c r="D2242">
        <v>18</v>
      </c>
      <c r="E2242">
        <v>2</v>
      </c>
      <c r="F2242" s="10">
        <v>40204.83</v>
      </c>
      <c r="G2242" t="s">
        <v>2361</v>
      </c>
      <c r="H2242" t="s">
        <v>2358</v>
      </c>
      <c r="I2242" t="s">
        <v>2364</v>
      </c>
      <c r="J2242" s="8">
        <f t="shared" si="34"/>
        <v>29085</v>
      </c>
    </row>
    <row r="2243" spans="1:10" x14ac:dyDescent="0.35">
      <c r="A2243" t="s">
        <v>103</v>
      </c>
      <c r="B2243">
        <v>1981</v>
      </c>
      <c r="C2243" t="s">
        <v>2356</v>
      </c>
      <c r="D2243">
        <v>28</v>
      </c>
      <c r="E2243">
        <v>1</v>
      </c>
      <c r="F2243" s="10">
        <v>40208.559999999998</v>
      </c>
      <c r="G2243" t="s">
        <v>2361</v>
      </c>
      <c r="H2243" t="s">
        <v>2357</v>
      </c>
      <c r="I2243" t="s">
        <v>2368</v>
      </c>
      <c r="J2243" s="8">
        <f t="shared" ref="J2243:J2306" si="35">DATE(B2243,MONTH(1&amp;C2243),D2243)</f>
        <v>29795</v>
      </c>
    </row>
    <row r="2244" spans="1:10" x14ac:dyDescent="0.35">
      <c r="A2244" t="s">
        <v>102</v>
      </c>
      <c r="B2244">
        <v>1981</v>
      </c>
      <c r="C2244" t="s">
        <v>2367</v>
      </c>
      <c r="D2244">
        <v>4</v>
      </c>
      <c r="E2244">
        <v>1</v>
      </c>
      <c r="F2244" s="10">
        <v>40273.65</v>
      </c>
      <c r="G2244" t="s">
        <v>2361</v>
      </c>
      <c r="H2244" t="s">
        <v>2358</v>
      </c>
      <c r="I2244" t="s">
        <v>2359</v>
      </c>
      <c r="J2244" s="8">
        <f t="shared" si="35"/>
        <v>29863</v>
      </c>
    </row>
    <row r="2245" spans="1:10" x14ac:dyDescent="0.35">
      <c r="A2245" t="s">
        <v>101</v>
      </c>
      <c r="B2245">
        <v>1977</v>
      </c>
      <c r="C2245" t="s">
        <v>2362</v>
      </c>
      <c r="D2245">
        <v>27</v>
      </c>
      <c r="E2245">
        <v>2</v>
      </c>
      <c r="F2245" s="10">
        <v>40284.379999999997</v>
      </c>
      <c r="G2245" t="s">
        <v>2361</v>
      </c>
      <c r="H2245" t="s">
        <v>2358</v>
      </c>
      <c r="I2245" t="s">
        <v>2364</v>
      </c>
      <c r="J2245" s="8">
        <f t="shared" si="35"/>
        <v>28303</v>
      </c>
    </row>
    <row r="2246" spans="1:10" x14ac:dyDescent="0.35">
      <c r="A2246" t="s">
        <v>100</v>
      </c>
      <c r="B2246">
        <v>1962</v>
      </c>
      <c r="C2246" t="s">
        <v>2363</v>
      </c>
      <c r="D2246">
        <v>4</v>
      </c>
      <c r="E2246">
        <v>0</v>
      </c>
      <c r="F2246" s="10">
        <v>40309.93</v>
      </c>
      <c r="G2246" t="s">
        <v>2361</v>
      </c>
      <c r="H2246" t="s">
        <v>2358</v>
      </c>
      <c r="I2246" t="s">
        <v>2368</v>
      </c>
      <c r="J2246" s="8">
        <f t="shared" si="35"/>
        <v>22893</v>
      </c>
    </row>
    <row r="2247" spans="1:10" x14ac:dyDescent="0.35">
      <c r="A2247" t="s">
        <v>99</v>
      </c>
      <c r="B2247">
        <v>1966</v>
      </c>
      <c r="C2247" t="s">
        <v>2366</v>
      </c>
      <c r="D2247">
        <v>12</v>
      </c>
      <c r="E2247">
        <v>0</v>
      </c>
      <c r="F2247" s="10">
        <v>40373.74</v>
      </c>
      <c r="G2247" t="s">
        <v>2361</v>
      </c>
      <c r="H2247" t="s">
        <v>2358</v>
      </c>
      <c r="I2247" t="s">
        <v>2368</v>
      </c>
      <c r="J2247" s="8">
        <f t="shared" si="35"/>
        <v>24331</v>
      </c>
    </row>
    <row r="2248" spans="1:10" x14ac:dyDescent="0.35">
      <c r="A2248" t="s">
        <v>98</v>
      </c>
      <c r="B2248">
        <v>1985</v>
      </c>
      <c r="C2248" t="s">
        <v>2360</v>
      </c>
      <c r="D2248">
        <v>3</v>
      </c>
      <c r="E2248">
        <v>0</v>
      </c>
      <c r="F2248" s="10">
        <v>40419.019999999997</v>
      </c>
      <c r="G2248" t="s">
        <v>2361</v>
      </c>
      <c r="H2248" t="s">
        <v>2357</v>
      </c>
      <c r="I2248" t="s">
        <v>2359</v>
      </c>
      <c r="J2248" s="8">
        <f t="shared" si="35"/>
        <v>31354</v>
      </c>
    </row>
    <row r="2249" spans="1:10" x14ac:dyDescent="0.35">
      <c r="A2249" t="s">
        <v>97</v>
      </c>
      <c r="B2249">
        <v>1975</v>
      </c>
      <c r="C2249" t="s">
        <v>2356</v>
      </c>
      <c r="D2249">
        <v>10</v>
      </c>
      <c r="E2249">
        <v>1</v>
      </c>
      <c r="F2249" s="10">
        <v>40590.550000000003</v>
      </c>
      <c r="G2249" t="s">
        <v>2361</v>
      </c>
      <c r="H2249" t="s">
        <v>2358</v>
      </c>
      <c r="I2249" t="s">
        <v>2364</v>
      </c>
      <c r="J2249" s="8">
        <f t="shared" si="35"/>
        <v>27585</v>
      </c>
    </row>
    <row r="2250" spans="1:10" x14ac:dyDescent="0.35">
      <c r="A2250" t="s">
        <v>96</v>
      </c>
      <c r="B2250">
        <v>1970</v>
      </c>
      <c r="C2250" t="s">
        <v>2363</v>
      </c>
      <c r="D2250">
        <v>25</v>
      </c>
      <c r="E2250">
        <v>0</v>
      </c>
      <c r="F2250" s="10">
        <v>40692.910000000003</v>
      </c>
      <c r="G2250" t="s">
        <v>2361</v>
      </c>
      <c r="H2250" t="s">
        <v>2361</v>
      </c>
      <c r="I2250" t="s">
        <v>2368</v>
      </c>
      <c r="J2250" s="8">
        <f t="shared" si="35"/>
        <v>25836</v>
      </c>
    </row>
    <row r="2251" spans="1:10" x14ac:dyDescent="0.35">
      <c r="A2251" t="s">
        <v>95</v>
      </c>
      <c r="B2251">
        <v>1976</v>
      </c>
      <c r="C2251" t="s">
        <v>2365</v>
      </c>
      <c r="D2251">
        <v>26</v>
      </c>
      <c r="E2251">
        <v>3</v>
      </c>
      <c r="F2251" s="10">
        <v>40720.550000000003</v>
      </c>
      <c r="G2251" t="s">
        <v>2361</v>
      </c>
      <c r="H2251" t="s">
        <v>2358</v>
      </c>
      <c r="I2251" t="s">
        <v>2364</v>
      </c>
      <c r="J2251" s="8">
        <f t="shared" si="35"/>
        <v>28120</v>
      </c>
    </row>
    <row r="2252" spans="1:10" x14ac:dyDescent="0.35">
      <c r="A2252" t="s">
        <v>94</v>
      </c>
      <c r="B2252">
        <v>1972</v>
      </c>
      <c r="C2252" t="s">
        <v>2362</v>
      </c>
      <c r="D2252">
        <v>10</v>
      </c>
      <c r="E2252">
        <v>0</v>
      </c>
      <c r="F2252" s="10">
        <v>40817.85</v>
      </c>
      <c r="G2252" t="s">
        <v>2361</v>
      </c>
      <c r="H2252" t="s">
        <v>2358</v>
      </c>
      <c r="I2252" t="s">
        <v>2368</v>
      </c>
      <c r="J2252" s="8">
        <f t="shared" si="35"/>
        <v>26460</v>
      </c>
    </row>
    <row r="2253" spans="1:10" x14ac:dyDescent="0.35">
      <c r="A2253" t="s">
        <v>93</v>
      </c>
      <c r="B2253">
        <v>1999</v>
      </c>
      <c r="C2253" t="s">
        <v>2356</v>
      </c>
      <c r="D2253">
        <v>2</v>
      </c>
      <c r="E2253">
        <v>1</v>
      </c>
      <c r="F2253" s="10">
        <v>40904.199999999997</v>
      </c>
      <c r="G2253" t="s">
        <v>2361</v>
      </c>
      <c r="H2253" t="s">
        <v>2361</v>
      </c>
      <c r="I2253" t="s">
        <v>2374</v>
      </c>
      <c r="J2253" s="8">
        <f t="shared" si="35"/>
        <v>36343</v>
      </c>
    </row>
    <row r="2254" spans="1:10" x14ac:dyDescent="0.35">
      <c r="A2254" t="s">
        <v>92</v>
      </c>
      <c r="B2254">
        <v>1992</v>
      </c>
      <c r="C2254" t="s">
        <v>2366</v>
      </c>
      <c r="D2254">
        <v>4</v>
      </c>
      <c r="E2254">
        <v>3</v>
      </c>
      <c r="F2254" s="10">
        <v>40932.43</v>
      </c>
      <c r="G2254" t="s">
        <v>2361</v>
      </c>
      <c r="H2254" t="s">
        <v>2357</v>
      </c>
      <c r="I2254" t="s">
        <v>2359</v>
      </c>
      <c r="J2254" s="8">
        <f t="shared" si="35"/>
        <v>33820</v>
      </c>
    </row>
    <row r="2255" spans="1:10" x14ac:dyDescent="0.35">
      <c r="A2255" t="s">
        <v>91</v>
      </c>
      <c r="B2255">
        <v>1979</v>
      </c>
      <c r="C2255" t="s">
        <v>2363</v>
      </c>
      <c r="D2255">
        <v>16</v>
      </c>
      <c r="E2255">
        <v>3</v>
      </c>
      <c r="F2255" s="10">
        <v>40941.29</v>
      </c>
      <c r="G2255" t="s">
        <v>2361</v>
      </c>
      <c r="H2255" t="s">
        <v>2357</v>
      </c>
      <c r="I2255" t="s">
        <v>2359</v>
      </c>
      <c r="J2255" s="8">
        <f t="shared" si="35"/>
        <v>29114</v>
      </c>
    </row>
    <row r="2256" spans="1:10" x14ac:dyDescent="0.35">
      <c r="A2256" t="s">
        <v>90</v>
      </c>
      <c r="B2256">
        <v>1983</v>
      </c>
      <c r="C2256" t="s">
        <v>2363</v>
      </c>
      <c r="D2256">
        <v>8</v>
      </c>
      <c r="E2256">
        <v>3</v>
      </c>
      <c r="F2256" s="10">
        <v>40961.29</v>
      </c>
      <c r="G2256" t="s">
        <v>2361</v>
      </c>
      <c r="H2256" t="s">
        <v>2357</v>
      </c>
      <c r="I2256" t="s">
        <v>2368</v>
      </c>
      <c r="J2256" s="8">
        <f t="shared" si="35"/>
        <v>30567</v>
      </c>
    </row>
    <row r="2257" spans="1:10" x14ac:dyDescent="0.35">
      <c r="A2257" t="s">
        <v>89</v>
      </c>
      <c r="B2257">
        <v>1974</v>
      </c>
      <c r="C2257" t="s">
        <v>2362</v>
      </c>
      <c r="D2257">
        <v>5</v>
      </c>
      <c r="E2257">
        <v>0</v>
      </c>
      <c r="F2257" s="10">
        <v>40974.160000000003</v>
      </c>
      <c r="G2257" t="s">
        <v>2361</v>
      </c>
      <c r="H2257" t="s">
        <v>2357</v>
      </c>
      <c r="I2257" t="s">
        <v>2359</v>
      </c>
      <c r="J2257" s="8">
        <f t="shared" si="35"/>
        <v>27185</v>
      </c>
    </row>
    <row r="2258" spans="1:10" x14ac:dyDescent="0.35">
      <c r="A2258" t="s">
        <v>88</v>
      </c>
      <c r="B2258">
        <v>1979</v>
      </c>
      <c r="C2258" t="s">
        <v>2367</v>
      </c>
      <c r="D2258">
        <v>11</v>
      </c>
      <c r="E2258">
        <v>1</v>
      </c>
      <c r="F2258" s="10">
        <v>41034.22</v>
      </c>
      <c r="G2258" t="s">
        <v>2361</v>
      </c>
      <c r="H2258" t="s">
        <v>2358</v>
      </c>
      <c r="I2258" t="s">
        <v>2378</v>
      </c>
      <c r="J2258" s="8">
        <f t="shared" si="35"/>
        <v>29139</v>
      </c>
    </row>
    <row r="2259" spans="1:10" x14ac:dyDescent="0.35">
      <c r="A2259" t="s">
        <v>87</v>
      </c>
      <c r="B2259">
        <v>1972</v>
      </c>
      <c r="C2259" t="s">
        <v>2366</v>
      </c>
      <c r="D2259">
        <v>12</v>
      </c>
      <c r="E2259">
        <v>0</v>
      </c>
      <c r="F2259" s="10">
        <v>41055.29</v>
      </c>
      <c r="G2259" t="s">
        <v>2361</v>
      </c>
      <c r="H2259" t="s">
        <v>2357</v>
      </c>
      <c r="I2259" t="s">
        <v>2368</v>
      </c>
      <c r="J2259" s="8">
        <f t="shared" si="35"/>
        <v>26523</v>
      </c>
    </row>
    <row r="2260" spans="1:10" x14ac:dyDescent="0.35">
      <c r="A2260" t="s">
        <v>86</v>
      </c>
      <c r="B2260">
        <v>1972</v>
      </c>
      <c r="C2260" t="s">
        <v>2363</v>
      </c>
      <c r="D2260">
        <v>6</v>
      </c>
      <c r="E2260">
        <v>0</v>
      </c>
      <c r="F2260" s="10">
        <v>41097.160000000003</v>
      </c>
      <c r="G2260" t="s">
        <v>2361</v>
      </c>
      <c r="H2260" t="s">
        <v>2358</v>
      </c>
      <c r="I2260" t="s">
        <v>2371</v>
      </c>
      <c r="J2260" s="8">
        <f t="shared" si="35"/>
        <v>26548</v>
      </c>
    </row>
    <row r="2261" spans="1:10" x14ac:dyDescent="0.35">
      <c r="A2261" t="s">
        <v>85</v>
      </c>
      <c r="B2261">
        <v>1969</v>
      </c>
      <c r="C2261" t="s">
        <v>2366</v>
      </c>
      <c r="D2261">
        <v>8</v>
      </c>
      <c r="E2261">
        <v>0</v>
      </c>
      <c r="F2261" s="10">
        <v>41191.57</v>
      </c>
      <c r="G2261" t="s">
        <v>2361</v>
      </c>
      <c r="H2261" t="s">
        <v>2357</v>
      </c>
      <c r="I2261" t="s">
        <v>2368</v>
      </c>
      <c r="J2261" s="8">
        <f t="shared" si="35"/>
        <v>25423</v>
      </c>
    </row>
    <row r="2262" spans="1:10" x14ac:dyDescent="0.35">
      <c r="A2262" t="s">
        <v>84</v>
      </c>
      <c r="B2262">
        <v>1964</v>
      </c>
      <c r="C2262" t="s">
        <v>2362</v>
      </c>
      <c r="D2262">
        <v>6</v>
      </c>
      <c r="E2262">
        <v>0</v>
      </c>
      <c r="F2262" s="10">
        <v>41250.39</v>
      </c>
      <c r="G2262" t="s">
        <v>2361</v>
      </c>
      <c r="H2262" t="s">
        <v>2358</v>
      </c>
      <c r="I2262" t="s">
        <v>2368</v>
      </c>
      <c r="J2262" s="8">
        <f t="shared" si="35"/>
        <v>23534</v>
      </c>
    </row>
    <row r="2263" spans="1:10" x14ac:dyDescent="0.35">
      <c r="A2263" t="s">
        <v>83</v>
      </c>
      <c r="B2263">
        <v>1977</v>
      </c>
      <c r="C2263" t="s">
        <v>2366</v>
      </c>
      <c r="D2263">
        <v>27</v>
      </c>
      <c r="E2263">
        <v>2</v>
      </c>
      <c r="F2263" s="10">
        <v>41271.5</v>
      </c>
      <c r="G2263" t="s">
        <v>2361</v>
      </c>
      <c r="H2263" t="s">
        <v>2357</v>
      </c>
      <c r="I2263" t="s">
        <v>2368</v>
      </c>
      <c r="J2263" s="8">
        <f t="shared" si="35"/>
        <v>28364</v>
      </c>
    </row>
    <row r="2264" spans="1:10" x14ac:dyDescent="0.35">
      <c r="A2264" t="s">
        <v>82</v>
      </c>
      <c r="B2264">
        <v>1964</v>
      </c>
      <c r="C2264" t="s">
        <v>2367</v>
      </c>
      <c r="D2264">
        <v>7</v>
      </c>
      <c r="E2264">
        <v>0</v>
      </c>
      <c r="F2264" s="10">
        <v>41331.79</v>
      </c>
      <c r="G2264" t="s">
        <v>2361</v>
      </c>
      <c r="H2264" t="s">
        <v>2357</v>
      </c>
      <c r="I2264" t="s">
        <v>2368</v>
      </c>
      <c r="J2264" s="8">
        <f t="shared" si="35"/>
        <v>23657</v>
      </c>
    </row>
    <row r="2265" spans="1:10" x14ac:dyDescent="0.35">
      <c r="A2265" t="s">
        <v>81</v>
      </c>
      <c r="B2265">
        <v>1971</v>
      </c>
      <c r="C2265" t="s">
        <v>2367</v>
      </c>
      <c r="D2265">
        <v>16</v>
      </c>
      <c r="E2265">
        <v>0</v>
      </c>
      <c r="F2265" s="10">
        <v>41351.879999999997</v>
      </c>
      <c r="G2265" t="s">
        <v>2361</v>
      </c>
      <c r="H2265" t="s">
        <v>2357</v>
      </c>
      <c r="I2265" t="s">
        <v>2368</v>
      </c>
      <c r="J2265" s="8">
        <f t="shared" si="35"/>
        <v>26222</v>
      </c>
    </row>
    <row r="2266" spans="1:10" x14ac:dyDescent="0.35">
      <c r="A2266" t="s">
        <v>80</v>
      </c>
      <c r="B2266">
        <v>1967</v>
      </c>
      <c r="C2266" t="s">
        <v>2365</v>
      </c>
      <c r="D2266">
        <v>22</v>
      </c>
      <c r="E2266">
        <v>0</v>
      </c>
      <c r="F2266" s="10">
        <v>41505.15</v>
      </c>
      <c r="G2266" t="s">
        <v>2361</v>
      </c>
      <c r="H2266" t="s">
        <v>2357</v>
      </c>
      <c r="I2266" t="s">
        <v>2368</v>
      </c>
      <c r="J2266" s="8">
        <f t="shared" si="35"/>
        <v>24828</v>
      </c>
    </row>
    <row r="2267" spans="1:10" x14ac:dyDescent="0.35">
      <c r="A2267" t="s">
        <v>79</v>
      </c>
      <c r="B2267">
        <v>1974</v>
      </c>
      <c r="C2267" t="s">
        <v>2360</v>
      </c>
      <c r="D2267">
        <v>24</v>
      </c>
      <c r="E2267">
        <v>0</v>
      </c>
      <c r="F2267" s="10">
        <v>41636.199999999997</v>
      </c>
      <c r="G2267" t="s">
        <v>2361</v>
      </c>
      <c r="H2267" t="s">
        <v>2361</v>
      </c>
      <c r="I2267" t="s">
        <v>2368</v>
      </c>
      <c r="J2267" s="8">
        <f t="shared" si="35"/>
        <v>27357</v>
      </c>
    </row>
    <row r="2268" spans="1:10" x14ac:dyDescent="0.35">
      <c r="A2268" t="s">
        <v>78</v>
      </c>
      <c r="B2268">
        <v>1976</v>
      </c>
      <c r="C2268" t="s">
        <v>2367</v>
      </c>
      <c r="D2268">
        <v>29</v>
      </c>
      <c r="E2268">
        <v>1</v>
      </c>
      <c r="F2268" s="10">
        <v>41661.599999999999</v>
      </c>
      <c r="G2268" t="s">
        <v>2361</v>
      </c>
      <c r="H2268" t="s">
        <v>2358</v>
      </c>
      <c r="I2268" t="s">
        <v>2368</v>
      </c>
      <c r="J2268" s="8">
        <f t="shared" si="35"/>
        <v>28062</v>
      </c>
    </row>
    <row r="2269" spans="1:10" x14ac:dyDescent="0.35">
      <c r="A2269" t="s">
        <v>77</v>
      </c>
      <c r="B2269">
        <v>1975</v>
      </c>
      <c r="C2269" t="s">
        <v>2360</v>
      </c>
      <c r="D2269">
        <v>14</v>
      </c>
      <c r="E2269">
        <v>0</v>
      </c>
      <c r="F2269" s="10">
        <v>41676.080000000002</v>
      </c>
      <c r="G2269" t="s">
        <v>2361</v>
      </c>
      <c r="H2269" t="s">
        <v>2357</v>
      </c>
      <c r="I2269" t="s">
        <v>2359</v>
      </c>
      <c r="J2269" s="8">
        <f t="shared" si="35"/>
        <v>27712</v>
      </c>
    </row>
    <row r="2270" spans="1:10" x14ac:dyDescent="0.35">
      <c r="A2270" t="s">
        <v>76</v>
      </c>
      <c r="B2270">
        <v>1975</v>
      </c>
      <c r="C2270" t="s">
        <v>2363</v>
      </c>
      <c r="D2270">
        <v>29</v>
      </c>
      <c r="E2270">
        <v>1</v>
      </c>
      <c r="F2270" s="10">
        <v>41681.86</v>
      </c>
      <c r="G2270" t="s">
        <v>2361</v>
      </c>
      <c r="H2270" t="s">
        <v>2361</v>
      </c>
      <c r="I2270" t="s">
        <v>2368</v>
      </c>
      <c r="J2270" s="8">
        <f t="shared" si="35"/>
        <v>27666</v>
      </c>
    </row>
    <row r="2271" spans="1:10" x14ac:dyDescent="0.35">
      <c r="A2271" t="s">
        <v>75</v>
      </c>
      <c r="B2271">
        <v>1962</v>
      </c>
      <c r="C2271" t="s">
        <v>2363</v>
      </c>
      <c r="D2271">
        <v>22</v>
      </c>
      <c r="E2271">
        <v>0</v>
      </c>
      <c r="F2271" s="10">
        <v>41794.629999999997</v>
      </c>
      <c r="G2271" t="s">
        <v>2361</v>
      </c>
      <c r="H2271" t="s">
        <v>2358</v>
      </c>
      <c r="I2271" t="s">
        <v>2368</v>
      </c>
      <c r="J2271" s="8">
        <f t="shared" si="35"/>
        <v>22911</v>
      </c>
    </row>
    <row r="2272" spans="1:10" x14ac:dyDescent="0.35">
      <c r="A2272" t="s">
        <v>74</v>
      </c>
      <c r="B2272">
        <v>1966</v>
      </c>
      <c r="C2272" t="s">
        <v>2363</v>
      </c>
      <c r="D2272">
        <v>21</v>
      </c>
      <c r="E2272">
        <v>0</v>
      </c>
      <c r="F2272" s="10">
        <v>41886.54</v>
      </c>
      <c r="G2272" t="s">
        <v>2361</v>
      </c>
      <c r="H2272" t="s">
        <v>2358</v>
      </c>
      <c r="I2272" t="s">
        <v>2368</v>
      </c>
      <c r="J2272" s="8">
        <f t="shared" si="35"/>
        <v>24371</v>
      </c>
    </row>
    <row r="2273" spans="1:10" x14ac:dyDescent="0.35">
      <c r="A2273" t="s">
        <v>73</v>
      </c>
      <c r="B2273">
        <v>1972</v>
      </c>
      <c r="C2273" t="s">
        <v>2362</v>
      </c>
      <c r="D2273">
        <v>8</v>
      </c>
      <c r="E2273">
        <v>1</v>
      </c>
      <c r="F2273" s="10">
        <v>41919.1</v>
      </c>
      <c r="G2273" t="s">
        <v>2361</v>
      </c>
      <c r="H2273" t="s">
        <v>2361</v>
      </c>
      <c r="I2273" t="s">
        <v>2371</v>
      </c>
      <c r="J2273" s="8">
        <f t="shared" si="35"/>
        <v>26458</v>
      </c>
    </row>
    <row r="2274" spans="1:10" x14ac:dyDescent="0.35">
      <c r="A2274" t="s">
        <v>72</v>
      </c>
      <c r="B2274">
        <v>1984</v>
      </c>
      <c r="C2274" t="s">
        <v>2360</v>
      </c>
      <c r="D2274">
        <v>10</v>
      </c>
      <c r="E2274">
        <v>3</v>
      </c>
      <c r="F2274" s="10">
        <v>41949.24</v>
      </c>
      <c r="G2274" t="s">
        <v>2361</v>
      </c>
      <c r="H2274" t="s">
        <v>2361</v>
      </c>
      <c r="I2274" t="s">
        <v>2359</v>
      </c>
      <c r="J2274" s="8">
        <f t="shared" si="35"/>
        <v>30996</v>
      </c>
    </row>
    <row r="2275" spans="1:10" x14ac:dyDescent="0.35">
      <c r="A2275" t="s">
        <v>71</v>
      </c>
      <c r="B2275">
        <v>1968</v>
      </c>
      <c r="C2275" t="s">
        <v>2365</v>
      </c>
      <c r="D2275">
        <v>19</v>
      </c>
      <c r="E2275">
        <v>1</v>
      </c>
      <c r="F2275" s="10">
        <v>41999.519999999997</v>
      </c>
      <c r="G2275" t="s">
        <v>2361</v>
      </c>
      <c r="H2275" t="s">
        <v>2358</v>
      </c>
      <c r="I2275" t="s">
        <v>2359</v>
      </c>
      <c r="J2275" s="8">
        <f t="shared" si="35"/>
        <v>25191</v>
      </c>
    </row>
    <row r="2276" spans="1:10" x14ac:dyDescent="0.35">
      <c r="A2276" t="s">
        <v>70</v>
      </c>
      <c r="B2276">
        <v>1976</v>
      </c>
      <c r="C2276" t="s">
        <v>2360</v>
      </c>
      <c r="D2276">
        <v>28</v>
      </c>
      <c r="E2276">
        <v>0</v>
      </c>
      <c r="F2276" s="10">
        <v>42111.66</v>
      </c>
      <c r="G2276" t="s">
        <v>2361</v>
      </c>
      <c r="H2276" t="s">
        <v>2361</v>
      </c>
      <c r="I2276" t="s">
        <v>2374</v>
      </c>
      <c r="J2276" s="8">
        <f t="shared" si="35"/>
        <v>28092</v>
      </c>
    </row>
    <row r="2277" spans="1:10" x14ac:dyDescent="0.35">
      <c r="A2277" t="s">
        <v>69</v>
      </c>
      <c r="B2277">
        <v>1997</v>
      </c>
      <c r="C2277" t="s">
        <v>2365</v>
      </c>
      <c r="D2277">
        <v>9</v>
      </c>
      <c r="E2277">
        <v>2</v>
      </c>
      <c r="F2277" s="10">
        <v>42112.24</v>
      </c>
      <c r="G2277" t="s">
        <v>2361</v>
      </c>
      <c r="H2277" t="s">
        <v>2358</v>
      </c>
      <c r="I2277" t="s">
        <v>2359</v>
      </c>
      <c r="J2277" s="8">
        <f t="shared" si="35"/>
        <v>35773</v>
      </c>
    </row>
    <row r="2278" spans="1:10" x14ac:dyDescent="0.35">
      <c r="A2278" t="s">
        <v>68</v>
      </c>
      <c r="B2278">
        <v>1979</v>
      </c>
      <c r="C2278" t="s">
        <v>2356</v>
      </c>
      <c r="D2278">
        <v>3</v>
      </c>
      <c r="E2278">
        <v>3</v>
      </c>
      <c r="F2278" s="10">
        <v>42124.52</v>
      </c>
      <c r="G2278" t="s">
        <v>2361</v>
      </c>
      <c r="H2278" t="s">
        <v>2361</v>
      </c>
      <c r="I2278" t="s">
        <v>2359</v>
      </c>
      <c r="J2278" s="8">
        <f t="shared" si="35"/>
        <v>29039</v>
      </c>
    </row>
    <row r="2279" spans="1:10" x14ac:dyDescent="0.35">
      <c r="A2279" t="s">
        <v>67</v>
      </c>
      <c r="B2279">
        <v>1973</v>
      </c>
      <c r="C2279" t="s">
        <v>2363</v>
      </c>
      <c r="D2279">
        <v>18</v>
      </c>
      <c r="E2279">
        <v>0</v>
      </c>
      <c r="F2279" s="10">
        <v>42188.15</v>
      </c>
      <c r="G2279" t="s">
        <v>2361</v>
      </c>
      <c r="H2279" t="s">
        <v>2361</v>
      </c>
      <c r="I2279" t="s">
        <v>2368</v>
      </c>
      <c r="J2279" s="8">
        <f t="shared" si="35"/>
        <v>26925</v>
      </c>
    </row>
    <row r="2280" spans="1:10" x14ac:dyDescent="0.35">
      <c r="A2280" t="s">
        <v>66</v>
      </c>
      <c r="B2280">
        <v>1975</v>
      </c>
      <c r="C2280" t="s">
        <v>2366</v>
      </c>
      <c r="D2280">
        <v>15</v>
      </c>
      <c r="E2280">
        <v>1</v>
      </c>
      <c r="F2280" s="10">
        <v>42211.14</v>
      </c>
      <c r="G2280" t="s">
        <v>2361</v>
      </c>
      <c r="H2280" t="s">
        <v>2358</v>
      </c>
      <c r="I2280" t="s">
        <v>2359</v>
      </c>
      <c r="J2280" s="8">
        <f t="shared" si="35"/>
        <v>27621</v>
      </c>
    </row>
    <row r="2281" spans="1:10" x14ac:dyDescent="0.35">
      <c r="A2281" t="s">
        <v>65</v>
      </c>
      <c r="B2281">
        <v>1967</v>
      </c>
      <c r="C2281" t="s">
        <v>2362</v>
      </c>
      <c r="D2281">
        <v>28</v>
      </c>
      <c r="E2281">
        <v>0</v>
      </c>
      <c r="F2281" s="10">
        <v>42303.69</v>
      </c>
      <c r="G2281" t="s">
        <v>2361</v>
      </c>
      <c r="H2281" t="s">
        <v>2357</v>
      </c>
      <c r="I2281" t="s">
        <v>2371</v>
      </c>
      <c r="J2281" s="8">
        <f t="shared" si="35"/>
        <v>24651</v>
      </c>
    </row>
    <row r="2282" spans="1:10" x14ac:dyDescent="0.35">
      <c r="A2282" t="s">
        <v>64</v>
      </c>
      <c r="B2282">
        <v>1968</v>
      </c>
      <c r="C2282" t="s">
        <v>2366</v>
      </c>
      <c r="D2282">
        <v>3</v>
      </c>
      <c r="E2282">
        <v>0</v>
      </c>
      <c r="F2282" s="10">
        <v>42478.6</v>
      </c>
      <c r="G2282" t="s">
        <v>2361</v>
      </c>
      <c r="H2282" t="s">
        <v>2357</v>
      </c>
      <c r="I2282" t="s">
        <v>2368</v>
      </c>
      <c r="J2282" s="8">
        <f t="shared" si="35"/>
        <v>25053</v>
      </c>
    </row>
    <row r="2283" spans="1:10" x14ac:dyDescent="0.35">
      <c r="A2283" t="s">
        <v>63</v>
      </c>
      <c r="B2283">
        <v>1967</v>
      </c>
      <c r="C2283" t="s">
        <v>2362</v>
      </c>
      <c r="D2283">
        <v>27</v>
      </c>
      <c r="E2283">
        <v>0</v>
      </c>
      <c r="F2283" s="10">
        <v>42538.720000000001</v>
      </c>
      <c r="G2283" t="s">
        <v>2361</v>
      </c>
      <c r="H2283" t="s">
        <v>2358</v>
      </c>
      <c r="I2283" t="s">
        <v>2368</v>
      </c>
      <c r="J2283" s="8">
        <f t="shared" si="35"/>
        <v>24650</v>
      </c>
    </row>
    <row r="2284" spans="1:10" x14ac:dyDescent="0.35">
      <c r="A2284" t="s">
        <v>62</v>
      </c>
      <c r="B2284">
        <v>1979</v>
      </c>
      <c r="C2284" t="s">
        <v>2365</v>
      </c>
      <c r="D2284">
        <v>27</v>
      </c>
      <c r="E2284">
        <v>2</v>
      </c>
      <c r="F2284" s="10">
        <v>42560.43</v>
      </c>
      <c r="G2284" t="s">
        <v>2361</v>
      </c>
      <c r="H2284" t="s">
        <v>2358</v>
      </c>
      <c r="I2284" t="s">
        <v>2359</v>
      </c>
      <c r="J2284" s="8">
        <f t="shared" si="35"/>
        <v>29216</v>
      </c>
    </row>
    <row r="2285" spans="1:10" x14ac:dyDescent="0.35">
      <c r="A2285" t="s">
        <v>61</v>
      </c>
      <c r="B2285">
        <v>1971</v>
      </c>
      <c r="C2285" t="s">
        <v>2360</v>
      </c>
      <c r="D2285">
        <v>3</v>
      </c>
      <c r="E2285">
        <v>0</v>
      </c>
      <c r="F2285" s="10">
        <v>42644.2</v>
      </c>
      <c r="G2285" t="s">
        <v>2361</v>
      </c>
      <c r="H2285" t="s">
        <v>2358</v>
      </c>
      <c r="I2285" t="s">
        <v>2368</v>
      </c>
      <c r="J2285" s="8">
        <f t="shared" si="35"/>
        <v>26240</v>
      </c>
    </row>
    <row r="2286" spans="1:10" x14ac:dyDescent="0.35">
      <c r="A2286" t="s">
        <v>60</v>
      </c>
      <c r="B2286">
        <v>1977</v>
      </c>
      <c r="C2286" t="s">
        <v>2367</v>
      </c>
      <c r="D2286">
        <v>21</v>
      </c>
      <c r="E2286">
        <v>2</v>
      </c>
      <c r="F2286" s="10">
        <v>42760.5</v>
      </c>
      <c r="G2286" t="s">
        <v>2361</v>
      </c>
      <c r="H2286" t="s">
        <v>2357</v>
      </c>
      <c r="I2286" t="s">
        <v>2364</v>
      </c>
      <c r="J2286" s="8">
        <f t="shared" si="35"/>
        <v>28419</v>
      </c>
    </row>
    <row r="2287" spans="1:10" x14ac:dyDescent="0.35">
      <c r="A2287" t="s">
        <v>59</v>
      </c>
      <c r="B2287">
        <v>1965</v>
      </c>
      <c r="C2287" t="s">
        <v>2367</v>
      </c>
      <c r="D2287">
        <v>29</v>
      </c>
      <c r="E2287">
        <v>0</v>
      </c>
      <c r="F2287" s="10">
        <v>42764.12</v>
      </c>
      <c r="G2287" t="s">
        <v>2361</v>
      </c>
      <c r="H2287" t="s">
        <v>2357</v>
      </c>
      <c r="I2287" t="s">
        <v>2368</v>
      </c>
      <c r="J2287" s="8">
        <f t="shared" si="35"/>
        <v>24044</v>
      </c>
    </row>
    <row r="2288" spans="1:10" x14ac:dyDescent="0.35">
      <c r="A2288" t="s">
        <v>58</v>
      </c>
      <c r="B2288">
        <v>1972</v>
      </c>
      <c r="C2288" t="s">
        <v>2363</v>
      </c>
      <c r="D2288">
        <v>10</v>
      </c>
      <c r="E2288">
        <v>2</v>
      </c>
      <c r="F2288" s="10">
        <v>42856.84</v>
      </c>
      <c r="G2288" t="s">
        <v>2361</v>
      </c>
      <c r="H2288" t="s">
        <v>2361</v>
      </c>
      <c r="I2288" t="s">
        <v>2368</v>
      </c>
      <c r="J2288" s="8">
        <f t="shared" si="35"/>
        <v>26552</v>
      </c>
    </row>
    <row r="2289" spans="1:10" x14ac:dyDescent="0.35">
      <c r="A2289" t="s">
        <v>57</v>
      </c>
      <c r="B2289">
        <v>1975</v>
      </c>
      <c r="C2289" t="s">
        <v>2367</v>
      </c>
      <c r="D2289">
        <v>23</v>
      </c>
      <c r="E2289">
        <v>1</v>
      </c>
      <c r="F2289" s="10">
        <v>42969.85</v>
      </c>
      <c r="G2289" t="s">
        <v>2361</v>
      </c>
      <c r="H2289" t="s">
        <v>2358</v>
      </c>
      <c r="I2289" t="s">
        <v>2359</v>
      </c>
      <c r="J2289" s="8">
        <f t="shared" si="35"/>
        <v>27690</v>
      </c>
    </row>
    <row r="2290" spans="1:10" x14ac:dyDescent="0.35">
      <c r="A2290" t="s">
        <v>56</v>
      </c>
      <c r="B2290">
        <v>1978</v>
      </c>
      <c r="C2290" t="s">
        <v>2360</v>
      </c>
      <c r="D2290">
        <v>4</v>
      </c>
      <c r="E2290">
        <v>0</v>
      </c>
      <c r="F2290" s="10">
        <v>42983.46</v>
      </c>
      <c r="G2290" t="s">
        <v>2361</v>
      </c>
      <c r="H2290" t="s">
        <v>2357</v>
      </c>
      <c r="I2290" t="s">
        <v>2364</v>
      </c>
      <c r="J2290" s="8">
        <f t="shared" si="35"/>
        <v>28798</v>
      </c>
    </row>
    <row r="2291" spans="1:10" x14ac:dyDescent="0.35">
      <c r="A2291" t="s">
        <v>55</v>
      </c>
      <c r="B2291">
        <v>1965</v>
      </c>
      <c r="C2291" t="s">
        <v>2360</v>
      </c>
      <c r="D2291">
        <v>29</v>
      </c>
      <c r="E2291">
        <v>0</v>
      </c>
      <c r="F2291" s="10">
        <v>43073.760000000002</v>
      </c>
      <c r="G2291" t="s">
        <v>2357</v>
      </c>
      <c r="H2291" t="s">
        <v>2357</v>
      </c>
      <c r="I2291" t="s">
        <v>2368</v>
      </c>
      <c r="J2291" s="8">
        <f t="shared" si="35"/>
        <v>24075</v>
      </c>
    </row>
    <row r="2292" spans="1:10" x14ac:dyDescent="0.35">
      <c r="A2292" t="s">
        <v>54</v>
      </c>
      <c r="B2292">
        <v>1969</v>
      </c>
      <c r="C2292" t="s">
        <v>2365</v>
      </c>
      <c r="D2292">
        <v>3</v>
      </c>
      <c r="E2292">
        <v>0</v>
      </c>
      <c r="F2292" s="10">
        <v>43254.42</v>
      </c>
      <c r="G2292" t="s">
        <v>2357</v>
      </c>
      <c r="H2292" t="s">
        <v>2357</v>
      </c>
      <c r="I2292" t="s">
        <v>2371</v>
      </c>
      <c r="J2292" s="8">
        <f t="shared" si="35"/>
        <v>25540</v>
      </c>
    </row>
    <row r="2293" spans="1:10" x14ac:dyDescent="0.35">
      <c r="A2293" t="s">
        <v>53</v>
      </c>
      <c r="B2293">
        <v>1965</v>
      </c>
      <c r="C2293" t="s">
        <v>2366</v>
      </c>
      <c r="D2293">
        <v>22</v>
      </c>
      <c r="E2293">
        <v>0</v>
      </c>
      <c r="F2293" s="10">
        <v>43578.94</v>
      </c>
      <c r="G2293" t="s">
        <v>2357</v>
      </c>
      <c r="H2293" t="s">
        <v>2357</v>
      </c>
      <c r="I2293" t="s">
        <v>2364</v>
      </c>
      <c r="J2293" s="8">
        <f t="shared" si="35"/>
        <v>23976</v>
      </c>
    </row>
    <row r="2294" spans="1:10" x14ac:dyDescent="0.35">
      <c r="A2294" t="s">
        <v>52</v>
      </c>
      <c r="B2294">
        <v>1986</v>
      </c>
      <c r="C2294" t="s">
        <v>2365</v>
      </c>
      <c r="D2294">
        <v>29</v>
      </c>
      <c r="E2294">
        <v>3</v>
      </c>
      <c r="F2294" s="10">
        <v>43753.34</v>
      </c>
      <c r="G2294" t="s">
        <v>2357</v>
      </c>
      <c r="H2294" t="s">
        <v>2361</v>
      </c>
      <c r="I2294" t="s">
        <v>2369</v>
      </c>
      <c r="J2294" s="8">
        <f t="shared" si="35"/>
        <v>31775</v>
      </c>
    </row>
    <row r="2295" spans="1:10" x14ac:dyDescent="0.35">
      <c r="A2295" t="s">
        <v>51</v>
      </c>
      <c r="B2295">
        <v>1966</v>
      </c>
      <c r="C2295" t="s">
        <v>2367</v>
      </c>
      <c r="D2295">
        <v>25</v>
      </c>
      <c r="E2295">
        <v>2</v>
      </c>
      <c r="F2295" s="10">
        <v>43813.87</v>
      </c>
      <c r="G2295" t="s">
        <v>2357</v>
      </c>
      <c r="H2295" t="s">
        <v>2357</v>
      </c>
      <c r="I2295" t="s">
        <v>2359</v>
      </c>
      <c r="J2295" s="8">
        <f t="shared" si="35"/>
        <v>24405</v>
      </c>
    </row>
    <row r="2296" spans="1:10" x14ac:dyDescent="0.35">
      <c r="A2296" t="s">
        <v>50</v>
      </c>
      <c r="B2296">
        <v>1966</v>
      </c>
      <c r="C2296" t="s">
        <v>2356</v>
      </c>
      <c r="D2296">
        <v>2</v>
      </c>
      <c r="E2296">
        <v>0</v>
      </c>
      <c r="F2296" s="10">
        <v>43817.45</v>
      </c>
      <c r="G2296" t="s">
        <v>2357</v>
      </c>
      <c r="H2296" t="s">
        <v>2358</v>
      </c>
      <c r="I2296" t="s">
        <v>2364</v>
      </c>
      <c r="J2296" s="8">
        <f t="shared" si="35"/>
        <v>24290</v>
      </c>
    </row>
    <row r="2297" spans="1:10" x14ac:dyDescent="0.35">
      <c r="A2297" t="s">
        <v>49</v>
      </c>
      <c r="B2297">
        <v>1980</v>
      </c>
      <c r="C2297" t="s">
        <v>2360</v>
      </c>
      <c r="D2297">
        <v>10</v>
      </c>
      <c r="E2297">
        <v>2</v>
      </c>
      <c r="F2297" s="10">
        <v>43896.38</v>
      </c>
      <c r="G2297" t="s">
        <v>2357</v>
      </c>
      <c r="H2297" t="s">
        <v>2361</v>
      </c>
      <c r="I2297" t="s">
        <v>2359</v>
      </c>
      <c r="J2297" s="8">
        <f t="shared" si="35"/>
        <v>29535</v>
      </c>
    </row>
    <row r="2298" spans="1:10" x14ac:dyDescent="0.35">
      <c r="A2298" t="s">
        <v>48</v>
      </c>
      <c r="B2298">
        <v>1966</v>
      </c>
      <c r="C2298" t="s">
        <v>2367</v>
      </c>
      <c r="D2298">
        <v>5</v>
      </c>
      <c r="E2298">
        <v>0</v>
      </c>
      <c r="F2298" s="10">
        <v>43921.18</v>
      </c>
      <c r="G2298" t="s">
        <v>2357</v>
      </c>
      <c r="H2298" t="s">
        <v>2357</v>
      </c>
      <c r="I2298" t="s">
        <v>2364</v>
      </c>
      <c r="J2298" s="8">
        <f t="shared" si="35"/>
        <v>24385</v>
      </c>
    </row>
    <row r="2299" spans="1:10" x14ac:dyDescent="0.35">
      <c r="A2299" t="s">
        <v>47</v>
      </c>
      <c r="B2299">
        <v>1988</v>
      </c>
      <c r="C2299" t="s">
        <v>2356</v>
      </c>
      <c r="D2299">
        <v>16</v>
      </c>
      <c r="E2299">
        <v>1</v>
      </c>
      <c r="F2299" s="10">
        <v>43943.88</v>
      </c>
      <c r="G2299" t="s">
        <v>2357</v>
      </c>
      <c r="H2299" t="s">
        <v>2361</v>
      </c>
      <c r="I2299" t="s">
        <v>2364</v>
      </c>
      <c r="J2299" s="8">
        <f t="shared" si="35"/>
        <v>32340</v>
      </c>
    </row>
    <row r="2300" spans="1:10" x14ac:dyDescent="0.35">
      <c r="A2300" t="s">
        <v>46</v>
      </c>
      <c r="B2300">
        <v>1975</v>
      </c>
      <c r="C2300" t="s">
        <v>2362</v>
      </c>
      <c r="D2300">
        <v>1</v>
      </c>
      <c r="E2300">
        <v>2</v>
      </c>
      <c r="F2300" s="10">
        <v>44202.65</v>
      </c>
      <c r="G2300" t="s">
        <v>2357</v>
      </c>
      <c r="H2300" t="s">
        <v>2357</v>
      </c>
      <c r="I2300" t="s">
        <v>2359</v>
      </c>
      <c r="J2300" s="8">
        <f t="shared" si="35"/>
        <v>27546</v>
      </c>
    </row>
    <row r="2301" spans="1:10" x14ac:dyDescent="0.35">
      <c r="A2301" t="s">
        <v>45</v>
      </c>
      <c r="B2301">
        <v>1968</v>
      </c>
      <c r="C2301" t="s">
        <v>2360</v>
      </c>
      <c r="D2301">
        <v>24</v>
      </c>
      <c r="E2301">
        <v>2</v>
      </c>
      <c r="F2301" s="10">
        <v>44260.75</v>
      </c>
      <c r="G2301" t="s">
        <v>2357</v>
      </c>
      <c r="H2301" t="s">
        <v>2361</v>
      </c>
      <c r="I2301" t="s">
        <v>2359</v>
      </c>
      <c r="J2301" s="8">
        <f t="shared" si="35"/>
        <v>25166</v>
      </c>
    </row>
    <row r="2302" spans="1:10" x14ac:dyDescent="0.35">
      <c r="A2302" t="s">
        <v>44</v>
      </c>
      <c r="B2302">
        <v>1971</v>
      </c>
      <c r="C2302" t="s">
        <v>2367</v>
      </c>
      <c r="D2302">
        <v>29</v>
      </c>
      <c r="E2302">
        <v>0</v>
      </c>
      <c r="F2302" s="10">
        <v>44400.41</v>
      </c>
      <c r="G2302" t="s">
        <v>2357</v>
      </c>
      <c r="H2302" t="s">
        <v>2357</v>
      </c>
      <c r="I2302" t="s">
        <v>2359</v>
      </c>
      <c r="J2302" s="8">
        <f t="shared" si="35"/>
        <v>26235</v>
      </c>
    </row>
    <row r="2303" spans="1:10" x14ac:dyDescent="0.35">
      <c r="A2303" t="s">
        <v>43</v>
      </c>
      <c r="B2303">
        <v>1967</v>
      </c>
      <c r="C2303" t="s">
        <v>2363</v>
      </c>
      <c r="D2303">
        <v>14</v>
      </c>
      <c r="E2303">
        <v>0</v>
      </c>
      <c r="F2303" s="10">
        <v>44423.8</v>
      </c>
      <c r="G2303" t="s">
        <v>2357</v>
      </c>
      <c r="H2303" t="s">
        <v>2358</v>
      </c>
      <c r="I2303" t="s">
        <v>2359</v>
      </c>
      <c r="J2303" s="8">
        <f t="shared" si="35"/>
        <v>24729</v>
      </c>
    </row>
    <row r="2304" spans="1:10" x14ac:dyDescent="0.35">
      <c r="A2304" t="s">
        <v>42</v>
      </c>
      <c r="B2304">
        <v>2000</v>
      </c>
      <c r="C2304" t="s">
        <v>2366</v>
      </c>
      <c r="D2304">
        <v>2</v>
      </c>
      <c r="E2304">
        <v>1</v>
      </c>
      <c r="F2304" s="10">
        <v>44501.4</v>
      </c>
      <c r="G2304" t="s">
        <v>2357</v>
      </c>
      <c r="H2304" t="s">
        <v>2358</v>
      </c>
      <c r="I2304" t="s">
        <v>2359</v>
      </c>
      <c r="J2304" s="8">
        <f t="shared" si="35"/>
        <v>36740</v>
      </c>
    </row>
    <row r="2305" spans="1:10" x14ac:dyDescent="0.35">
      <c r="A2305" t="s">
        <v>41</v>
      </c>
      <c r="B2305">
        <v>1993</v>
      </c>
      <c r="C2305" t="s">
        <v>2367</v>
      </c>
      <c r="D2305">
        <v>11</v>
      </c>
      <c r="E2305">
        <v>2</v>
      </c>
      <c r="F2305" s="10">
        <v>44585.46</v>
      </c>
      <c r="G2305" t="s">
        <v>2357</v>
      </c>
      <c r="H2305" t="s">
        <v>2357</v>
      </c>
      <c r="I2305" t="s">
        <v>2368</v>
      </c>
      <c r="J2305" s="8">
        <f t="shared" si="35"/>
        <v>34253</v>
      </c>
    </row>
    <row r="2306" spans="1:10" x14ac:dyDescent="0.35">
      <c r="A2306" t="s">
        <v>40</v>
      </c>
      <c r="B2306">
        <v>1971</v>
      </c>
      <c r="C2306" t="s">
        <v>2366</v>
      </c>
      <c r="D2306">
        <v>13</v>
      </c>
      <c r="E2306">
        <v>2</v>
      </c>
      <c r="F2306" s="10">
        <v>44641.2</v>
      </c>
      <c r="G2306" t="s">
        <v>2357</v>
      </c>
      <c r="H2306" t="s">
        <v>2358</v>
      </c>
      <c r="I2306" t="s">
        <v>2374</v>
      </c>
      <c r="J2306" s="8">
        <f t="shared" si="35"/>
        <v>26158</v>
      </c>
    </row>
    <row r="2307" spans="1:10" x14ac:dyDescent="0.35">
      <c r="A2307" t="s">
        <v>39</v>
      </c>
      <c r="B2307">
        <v>1962</v>
      </c>
      <c r="C2307" t="s">
        <v>2365</v>
      </c>
      <c r="D2307">
        <v>17</v>
      </c>
      <c r="E2307">
        <v>0</v>
      </c>
      <c r="F2307" s="10">
        <v>45008.959999999999</v>
      </c>
      <c r="G2307" t="s">
        <v>2357</v>
      </c>
      <c r="H2307" t="s">
        <v>2357</v>
      </c>
      <c r="I2307" t="s">
        <v>2359</v>
      </c>
      <c r="J2307" s="8">
        <f t="shared" ref="J2307:J2344" si="36">DATE(B2307,MONTH(1&amp;C2307),D2307)</f>
        <v>22997</v>
      </c>
    </row>
    <row r="2308" spans="1:10" x14ac:dyDescent="0.35">
      <c r="A2308" t="s">
        <v>38</v>
      </c>
      <c r="B2308">
        <v>1974</v>
      </c>
      <c r="C2308" t="s">
        <v>2366</v>
      </c>
      <c r="D2308">
        <v>9</v>
      </c>
      <c r="E2308">
        <v>2</v>
      </c>
      <c r="F2308" s="10">
        <v>45702.02</v>
      </c>
      <c r="G2308" t="s">
        <v>2357</v>
      </c>
      <c r="H2308" t="s">
        <v>2357</v>
      </c>
      <c r="I2308" t="s">
        <v>2364</v>
      </c>
      <c r="J2308" s="8">
        <f t="shared" si="36"/>
        <v>27250</v>
      </c>
    </row>
    <row r="2309" spans="1:10" x14ac:dyDescent="0.35">
      <c r="A2309" t="s">
        <v>37</v>
      </c>
      <c r="B2309">
        <v>1960</v>
      </c>
      <c r="C2309" t="s">
        <v>2365</v>
      </c>
      <c r="D2309">
        <v>21</v>
      </c>
      <c r="E2309">
        <v>0</v>
      </c>
      <c r="F2309" s="10">
        <v>45710.21</v>
      </c>
      <c r="G2309" t="s">
        <v>2357</v>
      </c>
      <c r="H2309" t="s">
        <v>2357</v>
      </c>
      <c r="I2309" t="s">
        <v>2371</v>
      </c>
      <c r="J2309" s="8">
        <f t="shared" si="36"/>
        <v>22271</v>
      </c>
    </row>
    <row r="2310" spans="1:10" x14ac:dyDescent="0.35">
      <c r="A2310" t="s">
        <v>36</v>
      </c>
      <c r="B2310">
        <v>1979</v>
      </c>
      <c r="C2310" t="s">
        <v>2366</v>
      </c>
      <c r="D2310">
        <v>12</v>
      </c>
      <c r="E2310">
        <v>0</v>
      </c>
      <c r="F2310" s="10">
        <v>45863.21</v>
      </c>
      <c r="G2310" t="s">
        <v>2357</v>
      </c>
      <c r="H2310" t="s">
        <v>2361</v>
      </c>
      <c r="I2310" t="s">
        <v>2359</v>
      </c>
      <c r="J2310" s="8">
        <f t="shared" si="36"/>
        <v>29079</v>
      </c>
    </row>
    <row r="2311" spans="1:10" x14ac:dyDescent="0.35">
      <c r="A2311" t="s">
        <v>35</v>
      </c>
      <c r="B2311">
        <v>1985</v>
      </c>
      <c r="C2311" t="s">
        <v>2363</v>
      </c>
      <c r="D2311">
        <v>30</v>
      </c>
      <c r="E2311">
        <v>2</v>
      </c>
      <c r="F2311" s="10">
        <v>46113.51</v>
      </c>
      <c r="G2311" t="s">
        <v>2357</v>
      </c>
      <c r="H2311" t="s">
        <v>2358</v>
      </c>
      <c r="I2311" t="s">
        <v>2368</v>
      </c>
      <c r="J2311" s="8">
        <f t="shared" si="36"/>
        <v>31320</v>
      </c>
    </row>
    <row r="2312" spans="1:10" x14ac:dyDescent="0.35">
      <c r="A2312" t="s">
        <v>34</v>
      </c>
      <c r="B2312">
        <v>1962</v>
      </c>
      <c r="C2312" t="s">
        <v>2365</v>
      </c>
      <c r="D2312">
        <v>4</v>
      </c>
      <c r="E2312">
        <v>3</v>
      </c>
      <c r="F2312" s="10">
        <v>46130.53</v>
      </c>
      <c r="G2312" t="s">
        <v>2361</v>
      </c>
      <c r="H2312" t="s">
        <v>2361</v>
      </c>
      <c r="I2312" t="s">
        <v>2364</v>
      </c>
      <c r="J2312" s="8">
        <f t="shared" si="36"/>
        <v>22984</v>
      </c>
    </row>
    <row r="2313" spans="1:10" x14ac:dyDescent="0.35">
      <c r="A2313" t="s">
        <v>33</v>
      </c>
      <c r="B2313">
        <v>1976</v>
      </c>
      <c r="C2313" t="s">
        <v>2365</v>
      </c>
      <c r="D2313">
        <v>2</v>
      </c>
      <c r="E2313">
        <v>3</v>
      </c>
      <c r="F2313" s="10">
        <v>46151.12</v>
      </c>
      <c r="G2313" t="s">
        <v>2361</v>
      </c>
      <c r="H2313" t="s">
        <v>2358</v>
      </c>
      <c r="I2313" t="s">
        <v>2359</v>
      </c>
      <c r="J2313" s="8">
        <f t="shared" si="36"/>
        <v>28096</v>
      </c>
    </row>
    <row r="2314" spans="1:10" x14ac:dyDescent="0.35">
      <c r="A2314" t="s">
        <v>32</v>
      </c>
      <c r="B2314">
        <v>1978</v>
      </c>
      <c r="C2314" t="s">
        <v>2366</v>
      </c>
      <c r="D2314">
        <v>17</v>
      </c>
      <c r="E2314">
        <v>2</v>
      </c>
      <c r="F2314" s="10">
        <v>46200.99</v>
      </c>
      <c r="G2314" t="s">
        <v>2361</v>
      </c>
      <c r="H2314" t="s">
        <v>2361</v>
      </c>
      <c r="I2314" t="s">
        <v>2359</v>
      </c>
      <c r="J2314" s="8">
        <f t="shared" si="36"/>
        <v>28719</v>
      </c>
    </row>
    <row r="2315" spans="1:10" x14ac:dyDescent="0.35">
      <c r="A2315" t="s">
        <v>31</v>
      </c>
      <c r="B2315">
        <v>1971</v>
      </c>
      <c r="C2315" t="s">
        <v>2365</v>
      </c>
      <c r="D2315">
        <v>6</v>
      </c>
      <c r="E2315">
        <v>3</v>
      </c>
      <c r="F2315" s="10">
        <v>46255.11</v>
      </c>
      <c r="G2315" t="s">
        <v>2361</v>
      </c>
      <c r="H2315" t="s">
        <v>2358</v>
      </c>
      <c r="I2315" t="s">
        <v>2374</v>
      </c>
      <c r="J2315" s="8">
        <f t="shared" si="36"/>
        <v>26273</v>
      </c>
    </row>
    <row r="2316" spans="1:10" x14ac:dyDescent="0.35">
      <c r="A2316" t="s">
        <v>30</v>
      </c>
      <c r="B2316">
        <v>1961</v>
      </c>
      <c r="C2316" t="s">
        <v>2366</v>
      </c>
      <c r="D2316">
        <v>8</v>
      </c>
      <c r="E2316">
        <v>0</v>
      </c>
      <c r="F2316" s="10">
        <v>46599.11</v>
      </c>
      <c r="G2316" t="s">
        <v>2361</v>
      </c>
      <c r="H2316" t="s">
        <v>2361</v>
      </c>
      <c r="I2316" t="s">
        <v>2359</v>
      </c>
      <c r="J2316" s="8">
        <f t="shared" si="36"/>
        <v>22501</v>
      </c>
    </row>
    <row r="2317" spans="1:10" x14ac:dyDescent="0.35">
      <c r="A2317" t="s">
        <v>29</v>
      </c>
      <c r="B2317">
        <v>1969</v>
      </c>
      <c r="C2317" t="s">
        <v>2362</v>
      </c>
      <c r="D2317">
        <v>23</v>
      </c>
      <c r="E2317">
        <v>3</v>
      </c>
      <c r="F2317" s="10">
        <v>46661.440000000002</v>
      </c>
      <c r="G2317" t="s">
        <v>2361</v>
      </c>
      <c r="H2317" t="s">
        <v>2358</v>
      </c>
      <c r="I2317" t="s">
        <v>2364</v>
      </c>
      <c r="J2317" s="8">
        <f t="shared" si="36"/>
        <v>25377</v>
      </c>
    </row>
    <row r="2318" spans="1:10" x14ac:dyDescent="0.35">
      <c r="A2318" t="s">
        <v>28</v>
      </c>
      <c r="B2318">
        <v>1960</v>
      </c>
      <c r="C2318" t="s">
        <v>2360</v>
      </c>
      <c r="D2318">
        <v>17</v>
      </c>
      <c r="E2318">
        <v>3</v>
      </c>
      <c r="F2318" s="10">
        <v>46718.16</v>
      </c>
      <c r="G2318" t="s">
        <v>2361</v>
      </c>
      <c r="H2318" t="s">
        <v>2361</v>
      </c>
      <c r="I2318" t="s">
        <v>2364</v>
      </c>
      <c r="J2318" s="8">
        <f t="shared" si="36"/>
        <v>22237</v>
      </c>
    </row>
    <row r="2319" spans="1:10" x14ac:dyDescent="0.35">
      <c r="A2319" t="s">
        <v>27</v>
      </c>
      <c r="B2319">
        <v>1958</v>
      </c>
      <c r="C2319" t="s">
        <v>2363</v>
      </c>
      <c r="D2319">
        <v>15</v>
      </c>
      <c r="E2319">
        <v>0</v>
      </c>
      <c r="F2319" s="10">
        <v>46889.26</v>
      </c>
      <c r="G2319" t="s">
        <v>2357</v>
      </c>
      <c r="H2319" t="s">
        <v>2358</v>
      </c>
      <c r="I2319" t="s">
        <v>2359</v>
      </c>
      <c r="J2319" s="8">
        <f t="shared" si="36"/>
        <v>21443</v>
      </c>
    </row>
    <row r="2320" spans="1:10" x14ac:dyDescent="0.35">
      <c r="A2320" t="s">
        <v>26</v>
      </c>
      <c r="B2320">
        <v>1959</v>
      </c>
      <c r="C2320" t="s">
        <v>2356</v>
      </c>
      <c r="D2320">
        <v>14</v>
      </c>
      <c r="E2320">
        <v>0</v>
      </c>
      <c r="F2320" s="10">
        <v>47055.53</v>
      </c>
      <c r="G2320" t="s">
        <v>2357</v>
      </c>
      <c r="H2320" t="s">
        <v>2361</v>
      </c>
      <c r="I2320" t="s">
        <v>2359</v>
      </c>
      <c r="J2320" s="8">
        <f t="shared" si="36"/>
        <v>21745</v>
      </c>
    </row>
    <row r="2321" spans="1:10" x14ac:dyDescent="0.35">
      <c r="A2321" t="s">
        <v>25</v>
      </c>
      <c r="B2321">
        <v>1970</v>
      </c>
      <c r="C2321" t="s">
        <v>2365</v>
      </c>
      <c r="D2321">
        <v>28</v>
      </c>
      <c r="E2321">
        <v>2</v>
      </c>
      <c r="F2321" s="10">
        <v>47269.85</v>
      </c>
      <c r="G2321" t="s">
        <v>2361</v>
      </c>
      <c r="H2321" t="s">
        <v>2357</v>
      </c>
      <c r="I2321" t="s">
        <v>2359</v>
      </c>
      <c r="J2321" s="8">
        <f t="shared" si="36"/>
        <v>25930</v>
      </c>
    </row>
    <row r="2322" spans="1:10" x14ac:dyDescent="0.35">
      <c r="A2322" t="s">
        <v>24</v>
      </c>
      <c r="B2322">
        <v>1958</v>
      </c>
      <c r="C2322" t="s">
        <v>2363</v>
      </c>
      <c r="D2322">
        <v>3</v>
      </c>
      <c r="E2322">
        <v>2</v>
      </c>
      <c r="F2322" s="10">
        <v>47291.06</v>
      </c>
      <c r="G2322" t="s">
        <v>2357</v>
      </c>
      <c r="H2322" t="s">
        <v>2361</v>
      </c>
      <c r="I2322" t="s">
        <v>2368</v>
      </c>
      <c r="J2322" s="8">
        <f t="shared" si="36"/>
        <v>21431</v>
      </c>
    </row>
    <row r="2323" spans="1:10" x14ac:dyDescent="0.35">
      <c r="A2323" t="s">
        <v>23</v>
      </c>
      <c r="B2323">
        <v>1959</v>
      </c>
      <c r="C2323" t="s">
        <v>2367</v>
      </c>
      <c r="D2323">
        <v>4</v>
      </c>
      <c r="E2323">
        <v>2</v>
      </c>
      <c r="F2323" s="10">
        <v>47305.31</v>
      </c>
      <c r="G2323" t="s">
        <v>2357</v>
      </c>
      <c r="H2323" t="s">
        <v>2361</v>
      </c>
      <c r="I2323" t="s">
        <v>2368</v>
      </c>
      <c r="J2323" s="8">
        <f t="shared" si="36"/>
        <v>21827</v>
      </c>
    </row>
    <row r="2324" spans="1:10" x14ac:dyDescent="0.35">
      <c r="A2324" t="s">
        <v>22</v>
      </c>
      <c r="B2324">
        <v>1961</v>
      </c>
      <c r="C2324" t="s">
        <v>2362</v>
      </c>
      <c r="D2324">
        <v>13</v>
      </c>
      <c r="E2324">
        <v>1</v>
      </c>
      <c r="F2324" s="10">
        <v>47403.88</v>
      </c>
      <c r="G2324" t="s">
        <v>2361</v>
      </c>
      <c r="H2324" t="s">
        <v>2358</v>
      </c>
      <c r="I2324" t="s">
        <v>2368</v>
      </c>
      <c r="J2324" s="8">
        <f t="shared" si="36"/>
        <v>22445</v>
      </c>
    </row>
    <row r="2325" spans="1:10" x14ac:dyDescent="0.35">
      <c r="A2325" t="s">
        <v>21</v>
      </c>
      <c r="B2325">
        <v>1971</v>
      </c>
      <c r="C2325" t="s">
        <v>2363</v>
      </c>
      <c r="D2325">
        <v>27</v>
      </c>
      <c r="E2325">
        <v>2</v>
      </c>
      <c r="F2325" s="10">
        <v>47462.89</v>
      </c>
      <c r="G2325" t="s">
        <v>2361</v>
      </c>
      <c r="H2325" t="s">
        <v>2357</v>
      </c>
      <c r="I2325" t="s">
        <v>2359</v>
      </c>
      <c r="J2325" s="8">
        <f t="shared" si="36"/>
        <v>26203</v>
      </c>
    </row>
    <row r="2326" spans="1:10" x14ac:dyDescent="0.35">
      <c r="A2326" t="s">
        <v>20</v>
      </c>
      <c r="B2326">
        <v>1964</v>
      </c>
      <c r="C2326" t="s">
        <v>2360</v>
      </c>
      <c r="D2326">
        <v>7</v>
      </c>
      <c r="E2326">
        <v>2</v>
      </c>
      <c r="F2326" s="10">
        <v>47496.49</v>
      </c>
      <c r="G2326" t="s">
        <v>2361</v>
      </c>
      <c r="H2326" t="s">
        <v>2358</v>
      </c>
      <c r="I2326" t="s">
        <v>2364</v>
      </c>
      <c r="J2326" s="8">
        <f t="shared" si="36"/>
        <v>23688</v>
      </c>
    </row>
    <row r="2327" spans="1:10" x14ac:dyDescent="0.35">
      <c r="A2327" t="s">
        <v>19</v>
      </c>
      <c r="B2327">
        <v>1963</v>
      </c>
      <c r="C2327" t="s">
        <v>2366</v>
      </c>
      <c r="D2327">
        <v>5</v>
      </c>
      <c r="E2327">
        <v>1</v>
      </c>
      <c r="F2327" s="10">
        <v>47896.79</v>
      </c>
      <c r="G2327" t="s">
        <v>2361</v>
      </c>
      <c r="H2327" t="s">
        <v>2358</v>
      </c>
      <c r="I2327" t="s">
        <v>2374</v>
      </c>
      <c r="J2327" s="8">
        <f t="shared" si="36"/>
        <v>23228</v>
      </c>
    </row>
    <row r="2328" spans="1:10" x14ac:dyDescent="0.35">
      <c r="A2328" t="s">
        <v>18</v>
      </c>
      <c r="B2328">
        <v>1958</v>
      </c>
      <c r="C2328" t="s">
        <v>2360</v>
      </c>
      <c r="D2328">
        <v>16</v>
      </c>
      <c r="E2328">
        <v>1</v>
      </c>
      <c r="F2328" s="10">
        <v>47928.03</v>
      </c>
      <c r="G2328" t="s">
        <v>2357</v>
      </c>
      <c r="H2328" t="s">
        <v>2358</v>
      </c>
      <c r="I2328" t="s">
        <v>2368</v>
      </c>
      <c r="J2328" s="8">
        <f t="shared" si="36"/>
        <v>21505</v>
      </c>
    </row>
    <row r="2329" spans="1:10" x14ac:dyDescent="0.35">
      <c r="A2329" t="s">
        <v>17</v>
      </c>
      <c r="B2329">
        <v>1962</v>
      </c>
      <c r="C2329" t="s">
        <v>2366</v>
      </c>
      <c r="D2329">
        <v>27</v>
      </c>
      <c r="E2329">
        <v>0</v>
      </c>
      <c r="F2329" s="10">
        <v>48173.36</v>
      </c>
      <c r="G2329" t="s">
        <v>2361</v>
      </c>
      <c r="H2329" t="s">
        <v>2358</v>
      </c>
      <c r="I2329" t="s">
        <v>2368</v>
      </c>
      <c r="J2329" s="8">
        <f t="shared" si="36"/>
        <v>22885</v>
      </c>
    </row>
    <row r="2330" spans="1:10" x14ac:dyDescent="0.35">
      <c r="A2330" t="s">
        <v>16</v>
      </c>
      <c r="B2330">
        <v>1961</v>
      </c>
      <c r="C2330" t="s">
        <v>2365</v>
      </c>
      <c r="D2330">
        <v>21</v>
      </c>
      <c r="E2330">
        <v>1</v>
      </c>
      <c r="F2330" s="10">
        <v>48517.56</v>
      </c>
      <c r="G2330" t="s">
        <v>2361</v>
      </c>
      <c r="H2330" t="s">
        <v>2358</v>
      </c>
      <c r="I2330" t="s">
        <v>2374</v>
      </c>
      <c r="J2330" s="8">
        <f t="shared" si="36"/>
        <v>22636</v>
      </c>
    </row>
    <row r="2331" spans="1:10" x14ac:dyDescent="0.35">
      <c r="A2331" t="s">
        <v>15</v>
      </c>
      <c r="B2331">
        <v>1968</v>
      </c>
      <c r="C2331" t="s">
        <v>2365</v>
      </c>
      <c r="D2331">
        <v>1</v>
      </c>
      <c r="E2331">
        <v>3</v>
      </c>
      <c r="F2331" s="10">
        <v>48549.18</v>
      </c>
      <c r="G2331" t="s">
        <v>2361</v>
      </c>
      <c r="H2331" t="s">
        <v>2358</v>
      </c>
      <c r="I2331" t="s">
        <v>2371</v>
      </c>
      <c r="J2331" s="8">
        <f t="shared" si="36"/>
        <v>25173</v>
      </c>
    </row>
    <row r="2332" spans="1:10" x14ac:dyDescent="0.35">
      <c r="A2332" t="s">
        <v>14</v>
      </c>
      <c r="B2332">
        <v>1962</v>
      </c>
      <c r="C2332" t="s">
        <v>2367</v>
      </c>
      <c r="D2332">
        <v>11</v>
      </c>
      <c r="E2332">
        <v>0</v>
      </c>
      <c r="F2332" s="10">
        <v>48673.56</v>
      </c>
      <c r="G2332" t="s">
        <v>2361</v>
      </c>
      <c r="H2332" t="s">
        <v>2357</v>
      </c>
      <c r="I2332" t="s">
        <v>2359</v>
      </c>
      <c r="J2332" s="8">
        <f t="shared" si="36"/>
        <v>22930</v>
      </c>
    </row>
    <row r="2333" spans="1:10" x14ac:dyDescent="0.35">
      <c r="A2333" t="s">
        <v>13</v>
      </c>
      <c r="B2333">
        <v>1965</v>
      </c>
      <c r="C2333" t="s">
        <v>2367</v>
      </c>
      <c r="D2333">
        <v>27</v>
      </c>
      <c r="E2333">
        <v>1</v>
      </c>
      <c r="F2333" s="10">
        <v>48675.519999999997</v>
      </c>
      <c r="G2333" t="s">
        <v>2361</v>
      </c>
      <c r="H2333" t="s">
        <v>2357</v>
      </c>
      <c r="I2333" t="s">
        <v>2359</v>
      </c>
      <c r="J2333" s="8">
        <f t="shared" si="36"/>
        <v>24042</v>
      </c>
    </row>
    <row r="2334" spans="1:10" x14ac:dyDescent="0.35">
      <c r="A2334" t="s">
        <v>12</v>
      </c>
      <c r="B2334">
        <v>1959</v>
      </c>
      <c r="C2334" t="s">
        <v>2356</v>
      </c>
      <c r="D2334">
        <v>22</v>
      </c>
      <c r="E2334">
        <v>0</v>
      </c>
      <c r="F2334" s="10">
        <v>48824.45</v>
      </c>
      <c r="G2334" t="s">
        <v>2357</v>
      </c>
      <c r="H2334" t="s">
        <v>2361</v>
      </c>
      <c r="I2334" t="s">
        <v>2368</v>
      </c>
      <c r="J2334" s="8">
        <f t="shared" si="36"/>
        <v>21753</v>
      </c>
    </row>
    <row r="2335" spans="1:10" x14ac:dyDescent="0.35">
      <c r="A2335" t="s">
        <v>11</v>
      </c>
      <c r="B2335">
        <v>1978</v>
      </c>
      <c r="C2335" t="s">
        <v>2365</v>
      </c>
      <c r="D2335">
        <v>29</v>
      </c>
      <c r="E2335">
        <v>0</v>
      </c>
      <c r="F2335" s="10">
        <v>48885.14</v>
      </c>
      <c r="G2335" t="s">
        <v>2361</v>
      </c>
      <c r="H2335" t="s">
        <v>2357</v>
      </c>
      <c r="I2335" t="s">
        <v>2359</v>
      </c>
      <c r="J2335" s="8">
        <f t="shared" si="36"/>
        <v>28853</v>
      </c>
    </row>
    <row r="2336" spans="1:10" x14ac:dyDescent="0.35">
      <c r="A2336" t="s">
        <v>10</v>
      </c>
      <c r="B2336">
        <v>1963</v>
      </c>
      <c r="C2336" t="s">
        <v>2363</v>
      </c>
      <c r="D2336">
        <v>4</v>
      </c>
      <c r="E2336">
        <v>1</v>
      </c>
      <c r="F2336" s="10">
        <v>48970.25</v>
      </c>
      <c r="G2336" t="s">
        <v>2361</v>
      </c>
      <c r="H2336" t="s">
        <v>2357</v>
      </c>
      <c r="I2336" t="s">
        <v>2359</v>
      </c>
      <c r="J2336" s="8">
        <f t="shared" si="36"/>
        <v>23258</v>
      </c>
    </row>
    <row r="2337" spans="1:10" x14ac:dyDescent="0.35">
      <c r="A2337" t="s">
        <v>9</v>
      </c>
      <c r="B2337">
        <v>1958</v>
      </c>
      <c r="C2337" t="s">
        <v>2362</v>
      </c>
      <c r="D2337">
        <v>27</v>
      </c>
      <c r="E2337">
        <v>2</v>
      </c>
      <c r="F2337" s="10">
        <v>49577.66</v>
      </c>
      <c r="G2337" t="s">
        <v>2357</v>
      </c>
      <c r="H2337" t="s">
        <v>2357</v>
      </c>
      <c r="I2337" t="s">
        <v>2359</v>
      </c>
      <c r="J2337" s="8">
        <f t="shared" si="36"/>
        <v>21363</v>
      </c>
    </row>
    <row r="2338" spans="1:10" x14ac:dyDescent="0.35">
      <c r="A2338" t="s">
        <v>8</v>
      </c>
      <c r="B2338">
        <v>1994</v>
      </c>
      <c r="C2338" t="s">
        <v>2367</v>
      </c>
      <c r="D2338">
        <v>27</v>
      </c>
      <c r="E2338">
        <v>1</v>
      </c>
      <c r="F2338" s="10">
        <v>51194.559999999998</v>
      </c>
      <c r="G2338" t="s">
        <v>2361</v>
      </c>
      <c r="H2338" t="s">
        <v>2358</v>
      </c>
      <c r="I2338" t="s">
        <v>2368</v>
      </c>
      <c r="J2338" s="8">
        <f t="shared" si="36"/>
        <v>34634</v>
      </c>
    </row>
    <row r="2339" spans="1:10" x14ac:dyDescent="0.35">
      <c r="A2339" t="s">
        <v>7</v>
      </c>
      <c r="B2339">
        <v>1962</v>
      </c>
      <c r="C2339" t="s">
        <v>2366</v>
      </c>
      <c r="D2339">
        <v>4</v>
      </c>
      <c r="E2339">
        <v>0</v>
      </c>
      <c r="F2339" s="10">
        <v>52590.83</v>
      </c>
      <c r="G2339" t="s">
        <v>2361</v>
      </c>
      <c r="H2339" t="s">
        <v>2358</v>
      </c>
      <c r="I2339" t="s">
        <v>2368</v>
      </c>
      <c r="J2339" s="8">
        <f t="shared" si="36"/>
        <v>22862</v>
      </c>
    </row>
    <row r="2340" spans="1:10" x14ac:dyDescent="0.35">
      <c r="A2340" t="s">
        <v>6</v>
      </c>
      <c r="B2340">
        <v>1989</v>
      </c>
      <c r="C2340" t="s">
        <v>2362</v>
      </c>
      <c r="D2340">
        <v>19</v>
      </c>
      <c r="E2340">
        <v>0</v>
      </c>
      <c r="F2340" s="10">
        <v>55135.4</v>
      </c>
      <c r="G2340" t="s">
        <v>2361</v>
      </c>
      <c r="H2340" t="s">
        <v>2357</v>
      </c>
      <c r="I2340" t="s">
        <v>2364</v>
      </c>
      <c r="J2340" s="8">
        <f t="shared" si="36"/>
        <v>32678</v>
      </c>
    </row>
    <row r="2341" spans="1:10" x14ac:dyDescent="0.35">
      <c r="A2341" t="s">
        <v>5</v>
      </c>
      <c r="B2341">
        <v>1991</v>
      </c>
      <c r="C2341" t="s">
        <v>2362</v>
      </c>
      <c r="D2341">
        <v>6</v>
      </c>
      <c r="E2341">
        <v>1</v>
      </c>
      <c r="F2341" s="10">
        <v>58571.07</v>
      </c>
      <c r="G2341" t="s">
        <v>2361</v>
      </c>
      <c r="H2341" t="s">
        <v>2358</v>
      </c>
      <c r="I2341" t="s">
        <v>2374</v>
      </c>
      <c r="J2341" s="8">
        <f t="shared" si="36"/>
        <v>33395</v>
      </c>
    </row>
    <row r="2342" spans="1:10" x14ac:dyDescent="0.35">
      <c r="A2342" t="s">
        <v>4</v>
      </c>
      <c r="B2342">
        <v>1970</v>
      </c>
      <c r="C2342" t="s">
        <v>2363</v>
      </c>
      <c r="D2342">
        <v>11</v>
      </c>
      <c r="E2342">
        <v>3</v>
      </c>
      <c r="F2342" s="10">
        <v>60021.4</v>
      </c>
      <c r="G2342" t="s">
        <v>2361</v>
      </c>
      <c r="H2342" t="s">
        <v>2361</v>
      </c>
      <c r="I2342" t="s">
        <v>2364</v>
      </c>
      <c r="J2342" s="8">
        <f t="shared" si="36"/>
        <v>25822</v>
      </c>
    </row>
    <row r="2343" spans="1:10" x14ac:dyDescent="0.35">
      <c r="A2343" t="s">
        <v>3</v>
      </c>
      <c r="B2343">
        <v>1977</v>
      </c>
      <c r="C2343" t="s">
        <v>2362</v>
      </c>
      <c r="D2343">
        <v>8</v>
      </c>
      <c r="E2343">
        <v>0</v>
      </c>
      <c r="F2343" s="10">
        <v>62592.87</v>
      </c>
      <c r="G2343" t="s">
        <v>2357</v>
      </c>
      <c r="H2343" t="s">
        <v>2358</v>
      </c>
      <c r="I2343" t="s">
        <v>2359</v>
      </c>
      <c r="J2343" s="8">
        <f t="shared" si="36"/>
        <v>28284</v>
      </c>
    </row>
    <row r="2344" spans="1:10" x14ac:dyDescent="0.35">
      <c r="A2344" t="s">
        <v>2</v>
      </c>
      <c r="B2344">
        <v>1968</v>
      </c>
      <c r="C2344" t="s">
        <v>2367</v>
      </c>
      <c r="D2344">
        <v>12</v>
      </c>
      <c r="E2344">
        <v>0</v>
      </c>
      <c r="F2344" s="10">
        <v>63770.43</v>
      </c>
      <c r="G2344" t="s">
        <v>2361</v>
      </c>
      <c r="H2344" t="s">
        <v>2358</v>
      </c>
      <c r="I2344" t="s">
        <v>2359</v>
      </c>
      <c r="J2344" s="8">
        <f t="shared" si="36"/>
        <v>25123</v>
      </c>
    </row>
    <row r="2345" spans="1:10" x14ac:dyDescent="0.35">
      <c r="A2345" t="s">
        <v>2386</v>
      </c>
    </row>
    <row r="2346" spans="1:10" x14ac:dyDescent="0.35">
      <c r="A2346">
        <f t="shared" ref="A2346:I2346" si="37">COUNTIF(A2:A2344,"~?")</f>
        <v>6</v>
      </c>
      <c r="B2346">
        <f t="shared" si="37"/>
        <v>2</v>
      </c>
      <c r="C2346">
        <f t="shared" si="37"/>
        <v>0</v>
      </c>
      <c r="D2346">
        <f t="shared" si="37"/>
        <v>0</v>
      </c>
      <c r="E2346">
        <f t="shared" si="37"/>
        <v>0</v>
      </c>
      <c r="F2346" s="10">
        <f t="shared" si="37"/>
        <v>0</v>
      </c>
      <c r="G2346">
        <f t="shared" si="37"/>
        <v>0</v>
      </c>
      <c r="H2346">
        <f t="shared" si="37"/>
        <v>0</v>
      </c>
      <c r="I2346">
        <f t="shared" si="37"/>
        <v>2</v>
      </c>
    </row>
    <row r="2349" spans="1:10" x14ac:dyDescent="0.35">
      <c r="A2349" t="s">
        <v>2387</v>
      </c>
    </row>
    <row r="2350" spans="1:10" x14ac:dyDescent="0.35">
      <c r="B2350">
        <f>ROUND(AVERAGE(B2:B2344),0)</f>
        <v>1983</v>
      </c>
    </row>
    <row r="2352" spans="1:10" x14ac:dyDescent="0.35">
      <c r="A2352" t="s">
        <v>2389</v>
      </c>
    </row>
    <row r="2354" spans="1:8" x14ac:dyDescent="0.35">
      <c r="F2354" s="10" t="s">
        <v>2390</v>
      </c>
      <c r="G2354">
        <f>COUNTIF(G2:G2344,"tier - 1")</f>
        <v>309</v>
      </c>
      <c r="H2354">
        <f>COUNTIF(H2:H2344,"tier - 1")</f>
        <v>734</v>
      </c>
    </row>
    <row r="2355" spans="1:8" x14ac:dyDescent="0.35">
      <c r="F2355" s="10" t="s">
        <v>2357</v>
      </c>
      <c r="G2355">
        <f>COUNTIF(G2:G2344,"tier - 2")</f>
        <v>1340</v>
      </c>
      <c r="H2355">
        <f>COUNTIF(H2:H2344,"tier - 2")</f>
        <v>813</v>
      </c>
    </row>
    <row r="2356" spans="1:8" x14ac:dyDescent="0.35">
      <c r="F2356" s="10" t="s">
        <v>2358</v>
      </c>
      <c r="G2356">
        <f>COUNTIF(G2:G2344,"tier - 3")</f>
        <v>694</v>
      </c>
      <c r="H2356">
        <f>COUNTIF(H2:H2344,"tier - 3")</f>
        <v>796</v>
      </c>
    </row>
    <row r="2360" spans="1:8" x14ac:dyDescent="0.35">
      <c r="A2360" t="s">
        <v>2391</v>
      </c>
      <c r="B2360" t="s">
        <v>2392</v>
      </c>
    </row>
  </sheetData>
  <autoFilter ref="G1:G2350" xr:uid="{D100D6C9-8529-490D-973D-02FBB506D17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1C73-264C-476C-9DBD-06C607F157F7}">
  <dimension ref="A1:U2363"/>
  <sheetViews>
    <sheetView topLeftCell="I1" workbookViewId="0">
      <selection activeCell="S10" sqref="S10"/>
    </sheetView>
  </sheetViews>
  <sheetFormatPr defaultRowHeight="14.5" x14ac:dyDescent="0.35"/>
  <cols>
    <col min="1" max="1" width="13.08984375" customWidth="1"/>
    <col min="2" max="2" width="32.90625" customWidth="1"/>
    <col min="3" max="3" width="14.08984375" customWidth="1"/>
    <col min="4" max="4" width="15.54296875" customWidth="1"/>
    <col min="5" max="5" width="14.90625" customWidth="1"/>
    <col min="6" max="6" width="19" customWidth="1"/>
    <col min="7" max="7" width="14.6328125" customWidth="1"/>
    <col min="8" max="8" width="24.7265625" customWidth="1"/>
    <col min="9" max="9" width="10.36328125" customWidth="1"/>
    <col min="10" max="10" width="17.54296875" customWidth="1"/>
    <col min="11" max="11" width="13" customWidth="1"/>
    <col min="12" max="12" width="13.6328125" customWidth="1"/>
    <col min="13" max="13" width="13.453125" customWidth="1"/>
    <col min="14" max="14" width="12.6328125" customWidth="1"/>
    <col min="15" max="15" width="13.36328125" customWidth="1"/>
    <col min="16" max="16" width="11.08984375" style="10" customWidth="1"/>
    <col min="17" max="17" width="12.453125" customWidth="1"/>
    <col min="18" max="18" width="12.1796875" customWidth="1"/>
    <col min="20" max="20" width="10.08984375" bestFit="1" customWidth="1"/>
  </cols>
  <sheetData>
    <row r="1" spans="1:21" ht="15.5" x14ac:dyDescent="0.35">
      <c r="A1" s="3" t="s">
        <v>0</v>
      </c>
      <c r="B1" s="4" t="s">
        <v>1</v>
      </c>
      <c r="C1" s="6" t="s">
        <v>5459</v>
      </c>
      <c r="D1" s="6" t="s">
        <v>2338</v>
      </c>
      <c r="E1" s="6" t="s">
        <v>2339</v>
      </c>
      <c r="F1" s="6" t="s">
        <v>2340</v>
      </c>
      <c r="G1" s="6" t="s">
        <v>2341</v>
      </c>
      <c r="H1" s="6" t="s">
        <v>2342</v>
      </c>
      <c r="I1" s="6" t="s">
        <v>2343</v>
      </c>
      <c r="J1" s="1" t="s">
        <v>5436</v>
      </c>
      <c r="K1" s="1" t="s">
        <v>5437</v>
      </c>
      <c r="L1" s="7" t="s">
        <v>2350</v>
      </c>
      <c r="M1" s="7" t="s">
        <v>2349</v>
      </c>
      <c r="N1" s="7" t="s">
        <v>2348</v>
      </c>
      <c r="O1" s="5" t="s">
        <v>5435</v>
      </c>
      <c r="P1" s="9" t="s">
        <v>2352</v>
      </c>
      <c r="Q1" s="7" t="s">
        <v>2353</v>
      </c>
      <c r="R1" s="7" t="s">
        <v>2354</v>
      </c>
      <c r="S1" s="7" t="s">
        <v>2355</v>
      </c>
      <c r="T1" s="5" t="s">
        <v>5438</v>
      </c>
      <c r="U1" s="5" t="s">
        <v>5439</v>
      </c>
    </row>
    <row r="2" spans="1:21" ht="15.5" x14ac:dyDescent="0.35">
      <c r="A2" s="2" t="s">
        <v>2</v>
      </c>
      <c r="B2" s="2" t="s">
        <v>2393</v>
      </c>
      <c r="C2">
        <v>47.41</v>
      </c>
      <c r="D2">
        <v>7.47</v>
      </c>
      <c r="E2" t="s">
        <v>2344</v>
      </c>
      <c r="F2" t="s">
        <v>2344</v>
      </c>
      <c r="G2" t="s">
        <v>2344</v>
      </c>
      <c r="H2">
        <v>0</v>
      </c>
      <c r="I2" t="s">
        <v>2346</v>
      </c>
      <c r="J2" t="str">
        <f>IF(C2&lt;18.5,"Under Weight",IF(C2&lt;25,"Normal Weight",IF(C2&lt;30,"Over weight","Obesity")))</f>
        <v>Obesity</v>
      </c>
      <c r="K2" t="str">
        <f>IF(D2&lt;5.7,"Normal",IF(D2&lt;6.5,"Prediabetes","Diabetes"))</f>
        <v>Diabetes</v>
      </c>
      <c r="L2">
        <v>9</v>
      </c>
      <c r="M2" t="s">
        <v>2356</v>
      </c>
      <c r="N2">
        <v>1992</v>
      </c>
      <c r="O2" s="8">
        <f>DATE(N2,MONTH(1&amp;M2),L2)</f>
        <v>33794</v>
      </c>
      <c r="P2" s="10">
        <v>563.84</v>
      </c>
      <c r="Q2" t="s">
        <v>2357</v>
      </c>
      <c r="R2" t="s">
        <v>2358</v>
      </c>
      <c r="S2" t="s">
        <v>2359</v>
      </c>
      <c r="T2">
        <f ca="1">YEAR(TODAY())-YEAR(O2)</f>
        <v>34</v>
      </c>
      <c r="U2">
        <f>VLOOKUP($A2,'Medical Examination'!$A:$Z,2,FALSE)</f>
        <v>47.41</v>
      </c>
    </row>
    <row r="3" spans="1:21" ht="15.5" x14ac:dyDescent="0.35">
      <c r="A3" s="2" t="s">
        <v>3</v>
      </c>
      <c r="B3" s="2" t="s">
        <v>2396</v>
      </c>
      <c r="C3">
        <v>30.36</v>
      </c>
      <c r="D3">
        <v>5.77</v>
      </c>
      <c r="E3" t="s">
        <v>2344</v>
      </c>
      <c r="F3" t="s">
        <v>2344</v>
      </c>
      <c r="G3" t="s">
        <v>2344</v>
      </c>
      <c r="H3">
        <v>0</v>
      </c>
      <c r="I3" t="s">
        <v>2346</v>
      </c>
      <c r="J3" t="str">
        <f t="shared" ref="J3:J66" si="0">IF(C3&lt;18.5,"Under Weight",IF(C3&lt;25,"Normal Weight",IF(C3&lt;30,"Over weight","Obesity")))</f>
        <v>Obesity</v>
      </c>
      <c r="K3" t="str">
        <f t="shared" ref="K3:K66" si="1">IF(D3&lt;5.7,"Normal",IF(D3&lt;6.5,"Prediabetes","Diabetes"))</f>
        <v>Prediabetes</v>
      </c>
      <c r="L3">
        <v>30</v>
      </c>
      <c r="M3" t="s">
        <v>2360</v>
      </c>
      <c r="N3">
        <v>1992</v>
      </c>
      <c r="O3" s="8">
        <f t="shared" ref="O3:O66" si="2">DATE(N3,MONTH(1&amp;M3),L3)</f>
        <v>33938</v>
      </c>
      <c r="P3" s="10">
        <v>570.62</v>
      </c>
      <c r="Q3" t="s">
        <v>2357</v>
      </c>
      <c r="R3" t="s">
        <v>2361</v>
      </c>
      <c r="S3" t="s">
        <v>2359</v>
      </c>
      <c r="T3">
        <f t="shared" ref="T3:T66" ca="1" si="3">YEAR(TODAY())-YEAR(O3)</f>
        <v>34</v>
      </c>
      <c r="U3">
        <f>VLOOKUP($A3,'Medical Examination'!$A:$Z,2,FALSE)</f>
        <v>30.36</v>
      </c>
    </row>
    <row r="4" spans="1:21" ht="15.5" x14ac:dyDescent="0.35">
      <c r="A4" s="2" t="s">
        <v>4</v>
      </c>
      <c r="B4" s="2" t="s">
        <v>2400</v>
      </c>
      <c r="C4">
        <v>34.484999999999999</v>
      </c>
      <c r="D4">
        <v>11.87</v>
      </c>
      <c r="E4" t="s">
        <v>2346</v>
      </c>
      <c r="F4" t="s">
        <v>2344</v>
      </c>
      <c r="G4" t="s">
        <v>2344</v>
      </c>
      <c r="H4">
        <v>1</v>
      </c>
      <c r="I4" t="s">
        <v>2346</v>
      </c>
      <c r="J4" t="str">
        <f t="shared" si="0"/>
        <v>Obesity</v>
      </c>
      <c r="K4" t="str">
        <f t="shared" si="1"/>
        <v>Diabetes</v>
      </c>
      <c r="L4">
        <v>30</v>
      </c>
      <c r="M4" t="s">
        <v>2362</v>
      </c>
      <c r="N4">
        <v>1993</v>
      </c>
      <c r="O4" s="8">
        <f t="shared" si="2"/>
        <v>34150</v>
      </c>
      <c r="P4" s="10">
        <v>600</v>
      </c>
      <c r="Q4" t="s">
        <v>2357</v>
      </c>
      <c r="R4" t="s">
        <v>2361</v>
      </c>
      <c r="S4" t="s">
        <v>2359</v>
      </c>
      <c r="T4">
        <f t="shared" ca="1" si="3"/>
        <v>33</v>
      </c>
      <c r="U4">
        <f>VLOOKUP($A4,'Medical Examination'!$A:$Z,2,FALSE)</f>
        <v>34.484999999999999</v>
      </c>
    </row>
    <row r="5" spans="1:21" ht="15.5" x14ac:dyDescent="0.35">
      <c r="A5" s="2" t="s">
        <v>5</v>
      </c>
      <c r="B5" s="2" t="s">
        <v>2402</v>
      </c>
      <c r="C5">
        <v>38.094999999999999</v>
      </c>
      <c r="D5">
        <v>6.05</v>
      </c>
      <c r="E5" t="s">
        <v>2344</v>
      </c>
      <c r="F5" t="s">
        <v>2344</v>
      </c>
      <c r="G5" t="s">
        <v>2344</v>
      </c>
      <c r="H5">
        <v>0</v>
      </c>
      <c r="I5" t="s">
        <v>2346</v>
      </c>
      <c r="J5" t="str">
        <f t="shared" si="0"/>
        <v>Obesity</v>
      </c>
      <c r="K5" t="str">
        <f t="shared" si="1"/>
        <v>Prediabetes</v>
      </c>
      <c r="L5">
        <v>13</v>
      </c>
      <c r="M5" t="s">
        <v>2363</v>
      </c>
      <c r="N5">
        <v>1992</v>
      </c>
      <c r="O5" s="8">
        <f t="shared" si="2"/>
        <v>33860</v>
      </c>
      <c r="P5" s="10">
        <v>604.54</v>
      </c>
      <c r="Q5" t="s">
        <v>2358</v>
      </c>
      <c r="R5" t="s">
        <v>2358</v>
      </c>
      <c r="S5" t="s">
        <v>2359</v>
      </c>
      <c r="T5">
        <f t="shared" ca="1" si="3"/>
        <v>34</v>
      </c>
      <c r="U5">
        <f>VLOOKUP($A5,'Medical Examination'!$A:$Z,2,FALSE)</f>
        <v>38.094999999999999</v>
      </c>
    </row>
    <row r="6" spans="1:21" ht="15.5" x14ac:dyDescent="0.35">
      <c r="A6" s="2" t="s">
        <v>6</v>
      </c>
      <c r="B6" s="2" t="s">
        <v>2404</v>
      </c>
      <c r="C6">
        <v>35.53</v>
      </c>
      <c r="D6">
        <v>5.45</v>
      </c>
      <c r="E6" t="s">
        <v>2344</v>
      </c>
      <c r="F6" t="s">
        <v>2344</v>
      </c>
      <c r="G6" t="s">
        <v>2344</v>
      </c>
      <c r="H6">
        <v>0</v>
      </c>
      <c r="I6" t="s">
        <v>2346</v>
      </c>
      <c r="J6" t="str">
        <f t="shared" si="0"/>
        <v>Obesity</v>
      </c>
      <c r="K6" t="str">
        <f t="shared" si="1"/>
        <v>Normal</v>
      </c>
      <c r="L6">
        <v>27</v>
      </c>
      <c r="M6" t="s">
        <v>2356</v>
      </c>
      <c r="N6">
        <v>1998</v>
      </c>
      <c r="O6" s="8">
        <f t="shared" si="2"/>
        <v>36003</v>
      </c>
      <c r="P6" s="10">
        <v>637.26</v>
      </c>
      <c r="Q6" t="s">
        <v>2358</v>
      </c>
      <c r="R6" t="s">
        <v>2358</v>
      </c>
      <c r="S6" t="s">
        <v>2359</v>
      </c>
      <c r="T6">
        <f t="shared" ca="1" si="3"/>
        <v>28</v>
      </c>
      <c r="U6">
        <f>VLOOKUP($A6,'Medical Examination'!$A:$Z,2,FALSE)</f>
        <v>35.53</v>
      </c>
    </row>
    <row r="7" spans="1:21" ht="15.5" x14ac:dyDescent="0.35">
      <c r="A7" s="2" t="s">
        <v>7</v>
      </c>
      <c r="B7" s="2" t="s">
        <v>2406</v>
      </c>
      <c r="C7">
        <v>32.799999999999997</v>
      </c>
      <c r="D7">
        <v>6.59</v>
      </c>
      <c r="E7" t="s">
        <v>2344</v>
      </c>
      <c r="F7" t="s">
        <v>2344</v>
      </c>
      <c r="G7" t="s">
        <v>2344</v>
      </c>
      <c r="H7">
        <v>0</v>
      </c>
      <c r="I7" t="s">
        <v>2346</v>
      </c>
      <c r="J7" t="str">
        <f t="shared" si="0"/>
        <v>Obesity</v>
      </c>
      <c r="K7" t="str">
        <f t="shared" si="1"/>
        <v>Diabetes</v>
      </c>
      <c r="L7">
        <v>20</v>
      </c>
      <c r="M7" t="s">
        <v>2360</v>
      </c>
      <c r="N7">
        <v>2001</v>
      </c>
      <c r="O7" s="8">
        <f t="shared" si="2"/>
        <v>37215</v>
      </c>
      <c r="P7" s="10">
        <v>646.14</v>
      </c>
      <c r="Q7" t="s">
        <v>2358</v>
      </c>
      <c r="R7" t="s">
        <v>2358</v>
      </c>
      <c r="S7" t="s">
        <v>2364</v>
      </c>
      <c r="T7">
        <f t="shared" ca="1" si="3"/>
        <v>25</v>
      </c>
      <c r="U7">
        <f>VLOOKUP($A7,'Medical Examination'!$A:$Z,2,FALSE)</f>
        <v>32.799999999999997</v>
      </c>
    </row>
    <row r="8" spans="1:21" ht="15.5" x14ac:dyDescent="0.35">
      <c r="A8" s="2" t="s">
        <v>8</v>
      </c>
      <c r="B8" s="2" t="s">
        <v>2409</v>
      </c>
      <c r="C8">
        <v>36.4</v>
      </c>
      <c r="D8">
        <v>6.07</v>
      </c>
      <c r="E8" t="s">
        <v>2344</v>
      </c>
      <c r="F8" t="s">
        <v>2344</v>
      </c>
      <c r="G8" t="s">
        <v>2344</v>
      </c>
      <c r="H8">
        <v>0</v>
      </c>
      <c r="I8" t="s">
        <v>2346</v>
      </c>
      <c r="J8" t="str">
        <f t="shared" si="0"/>
        <v>Obesity</v>
      </c>
      <c r="K8" t="str">
        <f t="shared" si="1"/>
        <v>Prediabetes</v>
      </c>
      <c r="L8">
        <v>1</v>
      </c>
      <c r="M8" t="s">
        <v>2362</v>
      </c>
      <c r="N8">
        <v>1993</v>
      </c>
      <c r="O8" s="8">
        <f t="shared" si="2"/>
        <v>34121</v>
      </c>
      <c r="P8" s="10">
        <v>650</v>
      </c>
      <c r="Q8" t="s">
        <v>2358</v>
      </c>
      <c r="R8" t="s">
        <v>2358</v>
      </c>
      <c r="S8" t="s">
        <v>2359</v>
      </c>
      <c r="T8">
        <f t="shared" ca="1" si="3"/>
        <v>33</v>
      </c>
      <c r="U8">
        <f>VLOOKUP($A8,'Medical Examination'!$A:$Z,2,FALSE)</f>
        <v>36.4</v>
      </c>
    </row>
    <row r="9" spans="1:21" ht="15.5" x14ac:dyDescent="0.35">
      <c r="A9" s="2" t="s">
        <v>9</v>
      </c>
      <c r="B9" s="2" t="s">
        <v>2411</v>
      </c>
      <c r="C9">
        <v>36.96</v>
      </c>
      <c r="D9">
        <v>7.93</v>
      </c>
      <c r="E9" t="s">
        <v>2344</v>
      </c>
      <c r="F9" t="s">
        <v>2344</v>
      </c>
      <c r="G9" t="s">
        <v>2344</v>
      </c>
      <c r="H9">
        <v>1</v>
      </c>
      <c r="I9" t="s">
        <v>2346</v>
      </c>
      <c r="J9" t="str">
        <f t="shared" si="0"/>
        <v>Obesity</v>
      </c>
      <c r="K9" t="str">
        <f t="shared" si="1"/>
        <v>Diabetes</v>
      </c>
      <c r="L9">
        <v>4</v>
      </c>
      <c r="M9" t="s">
        <v>2356</v>
      </c>
      <c r="N9">
        <v>1995</v>
      </c>
      <c r="O9" s="8">
        <f t="shared" si="2"/>
        <v>34884</v>
      </c>
      <c r="P9" s="10">
        <v>650</v>
      </c>
      <c r="Q9" t="s">
        <v>2358</v>
      </c>
      <c r="R9" t="s">
        <v>2358</v>
      </c>
      <c r="S9" t="s">
        <v>2359</v>
      </c>
      <c r="T9">
        <f t="shared" ca="1" si="3"/>
        <v>31</v>
      </c>
      <c r="U9">
        <f>VLOOKUP($A9,'Medical Examination'!$A:$Z,2,FALSE)</f>
        <v>36.96</v>
      </c>
    </row>
    <row r="10" spans="1:21" ht="15.5" x14ac:dyDescent="0.35">
      <c r="A10" s="2" t="s">
        <v>10</v>
      </c>
      <c r="B10" s="2" t="s">
        <v>2413</v>
      </c>
      <c r="C10">
        <v>41.14</v>
      </c>
      <c r="D10">
        <v>9.58</v>
      </c>
      <c r="E10" t="s">
        <v>2346</v>
      </c>
      <c r="F10" t="s">
        <v>2344</v>
      </c>
      <c r="G10" t="s">
        <v>2346</v>
      </c>
      <c r="H10">
        <v>1</v>
      </c>
      <c r="I10" t="s">
        <v>2346</v>
      </c>
      <c r="J10" t="str">
        <f t="shared" si="0"/>
        <v>Obesity</v>
      </c>
      <c r="K10" t="str">
        <f t="shared" si="1"/>
        <v>Diabetes</v>
      </c>
      <c r="L10">
        <v>29</v>
      </c>
      <c r="M10" t="s">
        <v>2360</v>
      </c>
      <c r="N10">
        <v>2002</v>
      </c>
      <c r="O10" s="8">
        <f t="shared" si="2"/>
        <v>37589</v>
      </c>
      <c r="P10" s="10">
        <v>668</v>
      </c>
      <c r="Q10" t="s">
        <v>2358</v>
      </c>
      <c r="R10" t="s">
        <v>2357</v>
      </c>
      <c r="S10" t="s">
        <v>2364</v>
      </c>
      <c r="T10">
        <f t="shared" ca="1" si="3"/>
        <v>24</v>
      </c>
      <c r="U10">
        <f>VLOOKUP($A10,'Medical Examination'!$A:$Z,2,FALSE)</f>
        <v>41.14</v>
      </c>
    </row>
    <row r="11" spans="1:21" ht="15.5" x14ac:dyDescent="0.35">
      <c r="A11" s="2" t="s">
        <v>11</v>
      </c>
      <c r="B11" s="2" t="s">
        <v>2416</v>
      </c>
      <c r="C11">
        <v>38.06</v>
      </c>
      <c r="D11">
        <v>10.79</v>
      </c>
      <c r="E11" t="s">
        <v>2344</v>
      </c>
      <c r="F11" t="s">
        <v>2344</v>
      </c>
      <c r="G11" t="s">
        <v>2344</v>
      </c>
      <c r="H11">
        <v>0</v>
      </c>
      <c r="I11" t="s">
        <v>2346</v>
      </c>
      <c r="J11" t="str">
        <f t="shared" si="0"/>
        <v>Obesity</v>
      </c>
      <c r="K11" t="str">
        <f t="shared" si="1"/>
        <v>Diabetes</v>
      </c>
      <c r="L11">
        <v>9</v>
      </c>
      <c r="M11" t="s">
        <v>2360</v>
      </c>
      <c r="N11">
        <v>1997</v>
      </c>
      <c r="O11" s="8">
        <f t="shared" si="2"/>
        <v>35743</v>
      </c>
      <c r="P11" s="10">
        <v>670</v>
      </c>
      <c r="Q11" t="s">
        <v>2358</v>
      </c>
      <c r="R11" t="s">
        <v>2358</v>
      </c>
      <c r="S11" t="s">
        <v>2359</v>
      </c>
      <c r="T11">
        <f t="shared" ca="1" si="3"/>
        <v>29</v>
      </c>
      <c r="U11">
        <f>VLOOKUP($A11,'Medical Examination'!$A:$Z,2,FALSE)</f>
        <v>38.06</v>
      </c>
    </row>
    <row r="12" spans="1:21" ht="15.5" x14ac:dyDescent="0.35">
      <c r="A12" s="2" t="s">
        <v>12</v>
      </c>
      <c r="B12" s="2" t="s">
        <v>2419</v>
      </c>
      <c r="C12">
        <v>37.700000000000003</v>
      </c>
      <c r="D12">
        <v>5.96</v>
      </c>
      <c r="E12" t="s">
        <v>2346</v>
      </c>
      <c r="F12" t="s">
        <v>2344</v>
      </c>
      <c r="G12" t="s">
        <v>2344</v>
      </c>
      <c r="H12">
        <v>1</v>
      </c>
      <c r="I12" t="s">
        <v>2346</v>
      </c>
      <c r="J12" t="str">
        <f t="shared" si="0"/>
        <v>Obesity</v>
      </c>
      <c r="K12" t="str">
        <f t="shared" si="1"/>
        <v>Prediabetes</v>
      </c>
      <c r="L12">
        <v>12</v>
      </c>
      <c r="M12" t="s">
        <v>2363</v>
      </c>
      <c r="N12">
        <v>2001</v>
      </c>
      <c r="O12" s="8">
        <f t="shared" si="2"/>
        <v>37146</v>
      </c>
      <c r="P12" s="10">
        <v>687.54</v>
      </c>
      <c r="Q12" t="s">
        <v>2358</v>
      </c>
      <c r="R12" t="s">
        <v>2357</v>
      </c>
      <c r="S12" t="s">
        <v>2359</v>
      </c>
      <c r="T12">
        <f t="shared" ca="1" si="3"/>
        <v>25</v>
      </c>
      <c r="U12">
        <f>VLOOKUP($A12,'Medical Examination'!$A:$Z,2,FALSE)</f>
        <v>37.700000000000003</v>
      </c>
    </row>
    <row r="13" spans="1:21" ht="15.5" x14ac:dyDescent="0.35">
      <c r="A13" s="2" t="s">
        <v>13</v>
      </c>
      <c r="B13" s="2" t="s">
        <v>2423</v>
      </c>
      <c r="C13">
        <v>42.13</v>
      </c>
      <c r="D13">
        <v>11.9</v>
      </c>
      <c r="E13" t="s">
        <v>2344</v>
      </c>
      <c r="F13" t="s">
        <v>2344</v>
      </c>
      <c r="G13" t="s">
        <v>2344</v>
      </c>
      <c r="H13">
        <v>0</v>
      </c>
      <c r="I13" t="s">
        <v>2346</v>
      </c>
      <c r="J13" t="str">
        <f t="shared" si="0"/>
        <v>Obesity</v>
      </c>
      <c r="K13" t="str">
        <f t="shared" si="1"/>
        <v>Diabetes</v>
      </c>
      <c r="L13">
        <v>26</v>
      </c>
      <c r="M13" t="s">
        <v>2365</v>
      </c>
      <c r="N13">
        <v>1999</v>
      </c>
      <c r="O13" s="8">
        <f t="shared" si="2"/>
        <v>36520</v>
      </c>
      <c r="P13" s="10">
        <v>700</v>
      </c>
      <c r="Q13" t="s">
        <v>2357</v>
      </c>
      <c r="R13" t="s">
        <v>2358</v>
      </c>
      <c r="S13" t="s">
        <v>2359</v>
      </c>
      <c r="T13">
        <f t="shared" ca="1" si="3"/>
        <v>27</v>
      </c>
      <c r="U13">
        <f>VLOOKUP($A13,'Medical Examination'!$A:$Z,2,FALSE)</f>
        <v>42.13</v>
      </c>
    </row>
    <row r="14" spans="1:21" ht="15.5" x14ac:dyDescent="0.35">
      <c r="A14" s="2" t="s">
        <v>14</v>
      </c>
      <c r="B14" s="2" t="s">
        <v>2425</v>
      </c>
      <c r="C14">
        <v>40.92</v>
      </c>
      <c r="D14">
        <v>8.41</v>
      </c>
      <c r="E14" t="s">
        <v>2344</v>
      </c>
      <c r="F14" t="s">
        <v>2344</v>
      </c>
      <c r="G14" t="s">
        <v>2344</v>
      </c>
      <c r="H14">
        <v>0</v>
      </c>
      <c r="I14" t="s">
        <v>2346</v>
      </c>
      <c r="J14" t="str">
        <f t="shared" si="0"/>
        <v>Obesity</v>
      </c>
      <c r="K14" t="str">
        <f t="shared" si="1"/>
        <v>Diabetes</v>
      </c>
      <c r="L14">
        <v>14</v>
      </c>
      <c r="M14" t="s">
        <v>2365</v>
      </c>
      <c r="N14">
        <v>1999</v>
      </c>
      <c r="O14" s="8">
        <f t="shared" si="2"/>
        <v>36508</v>
      </c>
      <c r="P14" s="10">
        <v>722.99</v>
      </c>
      <c r="Q14" t="s">
        <v>2358</v>
      </c>
      <c r="R14" t="s">
        <v>2361</v>
      </c>
      <c r="S14" t="s">
        <v>2359</v>
      </c>
      <c r="T14">
        <f t="shared" ca="1" si="3"/>
        <v>27</v>
      </c>
      <c r="U14">
        <f>VLOOKUP($A14,'Medical Examination'!$A:$Z,2,FALSE)</f>
        <v>40.92</v>
      </c>
    </row>
    <row r="15" spans="1:21" ht="15.5" x14ac:dyDescent="0.35">
      <c r="A15" s="2" t="s">
        <v>15</v>
      </c>
      <c r="B15" s="2" t="s">
        <v>2427</v>
      </c>
      <c r="C15">
        <v>40.564999999999998</v>
      </c>
      <c r="D15">
        <v>7.02</v>
      </c>
      <c r="E15" t="s">
        <v>2344</v>
      </c>
      <c r="F15" t="s">
        <v>2344</v>
      </c>
      <c r="G15" t="s">
        <v>2344</v>
      </c>
      <c r="H15">
        <v>0</v>
      </c>
      <c r="I15" t="s">
        <v>2346</v>
      </c>
      <c r="J15" t="str">
        <f t="shared" si="0"/>
        <v>Obesity</v>
      </c>
      <c r="K15" t="str">
        <f t="shared" si="1"/>
        <v>Diabetes</v>
      </c>
      <c r="L15">
        <v>19</v>
      </c>
      <c r="M15" t="s">
        <v>2363</v>
      </c>
      <c r="N15">
        <v>2002</v>
      </c>
      <c r="O15" s="8">
        <f t="shared" si="2"/>
        <v>37518</v>
      </c>
      <c r="P15" s="10">
        <v>750</v>
      </c>
      <c r="Q15" t="s">
        <v>2358</v>
      </c>
      <c r="R15" t="s">
        <v>2361</v>
      </c>
      <c r="S15" t="s">
        <v>2364</v>
      </c>
      <c r="T15">
        <f t="shared" ca="1" si="3"/>
        <v>24</v>
      </c>
      <c r="U15">
        <f>VLOOKUP($A15,'Medical Examination'!$A:$Z,2,FALSE)</f>
        <v>40.564999999999998</v>
      </c>
    </row>
    <row r="16" spans="1:21" ht="15.5" x14ac:dyDescent="0.35">
      <c r="A16" s="2" t="s">
        <v>16</v>
      </c>
      <c r="B16" s="2" t="s">
        <v>2429</v>
      </c>
      <c r="C16">
        <v>36.384999999999998</v>
      </c>
      <c r="D16">
        <v>7.59</v>
      </c>
      <c r="E16" t="s">
        <v>2346</v>
      </c>
      <c r="F16" t="s">
        <v>2344</v>
      </c>
      <c r="G16" t="s">
        <v>2344</v>
      </c>
      <c r="H16">
        <v>1</v>
      </c>
      <c r="I16" t="s">
        <v>2346</v>
      </c>
      <c r="J16" t="str">
        <f t="shared" si="0"/>
        <v>Obesity</v>
      </c>
      <c r="K16" t="str">
        <f t="shared" si="1"/>
        <v>Diabetes</v>
      </c>
      <c r="L16">
        <v>9</v>
      </c>
      <c r="M16" t="s">
        <v>2366</v>
      </c>
      <c r="N16">
        <v>1993</v>
      </c>
      <c r="O16" s="8">
        <f t="shared" si="2"/>
        <v>34190</v>
      </c>
      <c r="P16" s="10">
        <v>760</v>
      </c>
      <c r="Q16" t="s">
        <v>2358</v>
      </c>
      <c r="R16" t="s">
        <v>2361</v>
      </c>
      <c r="S16" t="s">
        <v>2359</v>
      </c>
      <c r="T16">
        <f t="shared" ca="1" si="3"/>
        <v>33</v>
      </c>
      <c r="U16">
        <f>VLOOKUP($A16,'Medical Examination'!$A:$Z,2,FALSE)</f>
        <v>36.384999999999998</v>
      </c>
    </row>
    <row r="17" spans="1:21" ht="15.5" x14ac:dyDescent="0.35">
      <c r="A17" s="2" t="s">
        <v>17</v>
      </c>
      <c r="B17" s="2" t="s">
        <v>2432</v>
      </c>
      <c r="C17">
        <v>39.9</v>
      </c>
      <c r="D17">
        <v>11.32</v>
      </c>
      <c r="E17" t="s">
        <v>2344</v>
      </c>
      <c r="F17" t="s">
        <v>2344</v>
      </c>
      <c r="G17" t="s">
        <v>2344</v>
      </c>
      <c r="H17">
        <v>0</v>
      </c>
      <c r="I17" t="s">
        <v>2346</v>
      </c>
      <c r="J17" t="str">
        <f t="shared" si="0"/>
        <v>Obesity</v>
      </c>
      <c r="K17" t="str">
        <f t="shared" si="1"/>
        <v>Diabetes</v>
      </c>
      <c r="L17">
        <v>22</v>
      </c>
      <c r="M17" t="s">
        <v>2367</v>
      </c>
      <c r="N17">
        <v>1996</v>
      </c>
      <c r="O17" s="8">
        <f t="shared" si="2"/>
        <v>35360</v>
      </c>
      <c r="P17" s="10">
        <v>760</v>
      </c>
      <c r="Q17" t="s">
        <v>2358</v>
      </c>
      <c r="R17" t="s">
        <v>2358</v>
      </c>
      <c r="S17" t="s">
        <v>2359</v>
      </c>
      <c r="T17">
        <f t="shared" ca="1" si="3"/>
        <v>30</v>
      </c>
      <c r="U17">
        <f>VLOOKUP($A17,'Medical Examination'!$A:$Z,2,FALSE)</f>
        <v>39.9</v>
      </c>
    </row>
    <row r="18" spans="1:21" ht="15.5" x14ac:dyDescent="0.35">
      <c r="A18" s="2" t="s">
        <v>18</v>
      </c>
      <c r="B18" s="2" t="s">
        <v>2434</v>
      </c>
      <c r="C18">
        <v>33.799999999999997</v>
      </c>
      <c r="D18">
        <v>7.67</v>
      </c>
      <c r="E18" t="s">
        <v>2344</v>
      </c>
      <c r="F18" t="s">
        <v>2344</v>
      </c>
      <c r="G18" t="s">
        <v>2344</v>
      </c>
      <c r="H18">
        <v>1</v>
      </c>
      <c r="I18" t="s">
        <v>2346</v>
      </c>
      <c r="J18" t="str">
        <f t="shared" si="0"/>
        <v>Obesity</v>
      </c>
      <c r="K18" t="str">
        <f t="shared" si="1"/>
        <v>Diabetes</v>
      </c>
      <c r="L18">
        <v>28</v>
      </c>
      <c r="M18" t="s">
        <v>2362</v>
      </c>
      <c r="N18">
        <v>1993</v>
      </c>
      <c r="O18" s="8">
        <f t="shared" si="2"/>
        <v>34148</v>
      </c>
      <c r="P18" s="10">
        <v>770</v>
      </c>
      <c r="Q18" t="s">
        <v>2358</v>
      </c>
      <c r="R18" t="s">
        <v>2358</v>
      </c>
      <c r="S18" t="s">
        <v>2359</v>
      </c>
      <c r="T18">
        <f t="shared" ca="1" si="3"/>
        <v>33</v>
      </c>
      <c r="U18">
        <f>VLOOKUP($A18,'Medical Examination'!$A:$Z,2,FALSE)</f>
        <v>33.799999999999997</v>
      </c>
    </row>
    <row r="19" spans="1:21" ht="15.5" x14ac:dyDescent="0.35">
      <c r="A19" s="2" t="s">
        <v>19</v>
      </c>
      <c r="B19" s="2" t="s">
        <v>2437</v>
      </c>
      <c r="C19">
        <v>36.765000000000001</v>
      </c>
      <c r="D19">
        <v>7.29</v>
      </c>
      <c r="E19" t="s">
        <v>2346</v>
      </c>
      <c r="F19" t="s">
        <v>2344</v>
      </c>
      <c r="G19" t="s">
        <v>2346</v>
      </c>
      <c r="H19">
        <v>1</v>
      </c>
      <c r="I19" t="s">
        <v>2346</v>
      </c>
      <c r="J19" t="str">
        <f t="shared" si="0"/>
        <v>Obesity</v>
      </c>
      <c r="K19" t="str">
        <f t="shared" si="1"/>
        <v>Diabetes</v>
      </c>
      <c r="L19">
        <v>18</v>
      </c>
      <c r="M19" t="s">
        <v>2363</v>
      </c>
      <c r="N19">
        <v>1996</v>
      </c>
      <c r="O19" s="8">
        <f t="shared" si="2"/>
        <v>35326</v>
      </c>
      <c r="P19" s="10">
        <v>770.38</v>
      </c>
      <c r="Q19" t="s">
        <v>2358</v>
      </c>
      <c r="R19" t="s">
        <v>2357</v>
      </c>
      <c r="S19" t="s">
        <v>2364</v>
      </c>
      <c r="T19">
        <f t="shared" ca="1" si="3"/>
        <v>30</v>
      </c>
      <c r="U19">
        <f>VLOOKUP($A19,'Medical Examination'!$A:$Z,2,FALSE)</f>
        <v>36.765000000000001</v>
      </c>
    </row>
    <row r="20" spans="1:21" ht="15.5" x14ac:dyDescent="0.35">
      <c r="A20" s="2" t="s">
        <v>20</v>
      </c>
      <c r="B20" s="2" t="s">
        <v>2439</v>
      </c>
      <c r="C20">
        <v>36.954999999999998</v>
      </c>
      <c r="D20">
        <v>4.72</v>
      </c>
      <c r="E20" t="s">
        <v>2346</v>
      </c>
      <c r="F20" t="s">
        <v>2344</v>
      </c>
      <c r="G20" t="s">
        <v>2344</v>
      </c>
      <c r="H20">
        <v>1</v>
      </c>
      <c r="I20" t="s">
        <v>2346</v>
      </c>
      <c r="J20" t="str">
        <f t="shared" si="0"/>
        <v>Obesity</v>
      </c>
      <c r="K20" t="str">
        <f t="shared" si="1"/>
        <v>Normal</v>
      </c>
      <c r="L20">
        <v>7</v>
      </c>
      <c r="M20" t="s">
        <v>2365</v>
      </c>
      <c r="N20">
        <v>1995</v>
      </c>
      <c r="O20" s="8">
        <f t="shared" si="2"/>
        <v>35040</v>
      </c>
      <c r="P20" s="10">
        <v>773.54</v>
      </c>
      <c r="Q20" t="s">
        <v>2358</v>
      </c>
      <c r="R20" t="s">
        <v>2357</v>
      </c>
      <c r="S20" t="s">
        <v>2359</v>
      </c>
      <c r="T20">
        <f t="shared" ca="1" si="3"/>
        <v>31</v>
      </c>
      <c r="U20">
        <f>VLOOKUP($A20,'Medical Examination'!$A:$Z,2,FALSE)</f>
        <v>36.954999999999998</v>
      </c>
    </row>
    <row r="21" spans="1:21" ht="15.5" x14ac:dyDescent="0.35">
      <c r="A21" s="2" t="s">
        <v>21</v>
      </c>
      <c r="B21" s="2" t="s">
        <v>2442</v>
      </c>
      <c r="C21">
        <v>42.9</v>
      </c>
      <c r="D21">
        <v>11.41</v>
      </c>
      <c r="E21" t="s">
        <v>2344</v>
      </c>
      <c r="F21" t="s">
        <v>2344</v>
      </c>
      <c r="G21" t="s">
        <v>2344</v>
      </c>
      <c r="H21">
        <v>0</v>
      </c>
      <c r="I21" t="s">
        <v>2346</v>
      </c>
      <c r="J21" t="str">
        <f t="shared" si="0"/>
        <v>Obesity</v>
      </c>
      <c r="K21" t="str">
        <f t="shared" si="1"/>
        <v>Diabetes</v>
      </c>
      <c r="L21">
        <v>7</v>
      </c>
      <c r="M21" t="s">
        <v>2367</v>
      </c>
      <c r="N21">
        <v>2004</v>
      </c>
      <c r="O21" s="8">
        <f t="shared" si="2"/>
        <v>38267</v>
      </c>
      <c r="P21" s="10">
        <v>830.52</v>
      </c>
      <c r="Q21" t="s">
        <v>2358</v>
      </c>
      <c r="R21" t="s">
        <v>2357</v>
      </c>
      <c r="S21" t="s">
        <v>2368</v>
      </c>
      <c r="T21">
        <f t="shared" ca="1" si="3"/>
        <v>22</v>
      </c>
      <c r="U21">
        <f>VLOOKUP($A21,'Medical Examination'!$A:$Z,2,FALSE)</f>
        <v>42.9</v>
      </c>
    </row>
    <row r="22" spans="1:21" ht="15.5" x14ac:dyDescent="0.35">
      <c r="A22" s="2" t="s">
        <v>22</v>
      </c>
      <c r="B22" s="2" t="s">
        <v>2444</v>
      </c>
      <c r="C22">
        <v>36.299999999999997</v>
      </c>
      <c r="D22">
        <v>11.5</v>
      </c>
      <c r="E22" t="s">
        <v>2346</v>
      </c>
      <c r="F22" t="s">
        <v>2344</v>
      </c>
      <c r="G22" t="s">
        <v>2344</v>
      </c>
      <c r="H22">
        <v>1</v>
      </c>
      <c r="I22" t="s">
        <v>2346</v>
      </c>
      <c r="J22" t="str">
        <f t="shared" si="0"/>
        <v>Obesity</v>
      </c>
      <c r="K22" t="str">
        <f t="shared" si="1"/>
        <v>Diabetes</v>
      </c>
      <c r="L22">
        <v>18</v>
      </c>
      <c r="M22" t="s">
        <v>2360</v>
      </c>
      <c r="N22">
        <v>2000</v>
      </c>
      <c r="O22" s="8">
        <f t="shared" si="2"/>
        <v>36848</v>
      </c>
      <c r="P22" s="10">
        <v>865.41</v>
      </c>
      <c r="Q22" t="s">
        <v>2358</v>
      </c>
      <c r="R22" t="s">
        <v>2361</v>
      </c>
      <c r="S22" t="s">
        <v>2359</v>
      </c>
      <c r="T22">
        <f t="shared" ca="1" si="3"/>
        <v>26</v>
      </c>
      <c r="U22">
        <f>VLOOKUP($A22,'Medical Examination'!$A:$Z,2,FALSE)</f>
        <v>36.299999999999997</v>
      </c>
    </row>
    <row r="23" spans="1:21" ht="15.5" x14ac:dyDescent="0.35">
      <c r="A23" s="2" t="s">
        <v>23</v>
      </c>
      <c r="B23" s="2" t="s">
        <v>2446</v>
      </c>
      <c r="C23">
        <v>32.200000000000003</v>
      </c>
      <c r="D23">
        <v>6.22</v>
      </c>
      <c r="E23" t="s">
        <v>2346</v>
      </c>
      <c r="F23" t="s">
        <v>2344</v>
      </c>
      <c r="G23" t="s">
        <v>2344</v>
      </c>
      <c r="H23">
        <v>1</v>
      </c>
      <c r="I23" t="s">
        <v>2346</v>
      </c>
      <c r="J23" t="str">
        <f t="shared" si="0"/>
        <v>Obesity</v>
      </c>
      <c r="K23" t="str">
        <f t="shared" si="1"/>
        <v>Prediabetes</v>
      </c>
      <c r="L23">
        <v>27</v>
      </c>
      <c r="M23" t="s">
        <v>2360</v>
      </c>
      <c r="N23">
        <v>1993</v>
      </c>
      <c r="O23" s="8">
        <f t="shared" si="2"/>
        <v>34300</v>
      </c>
      <c r="P23" s="10">
        <v>896.21</v>
      </c>
      <c r="Q23" t="s">
        <v>2358</v>
      </c>
      <c r="R23" t="s">
        <v>2361</v>
      </c>
      <c r="S23" t="s">
        <v>2359</v>
      </c>
      <c r="T23">
        <f t="shared" ca="1" si="3"/>
        <v>33</v>
      </c>
      <c r="U23">
        <f>VLOOKUP($A23,'Medical Examination'!$A:$Z,2,FALSE)</f>
        <v>32.200000000000003</v>
      </c>
    </row>
    <row r="24" spans="1:21" ht="15.5" x14ac:dyDescent="0.35">
      <c r="A24" s="2" t="s">
        <v>24</v>
      </c>
      <c r="B24" s="2" t="s">
        <v>2449</v>
      </c>
      <c r="C24">
        <v>31.3</v>
      </c>
      <c r="D24">
        <v>11.38</v>
      </c>
      <c r="E24" t="s">
        <v>2344</v>
      </c>
      <c r="F24" t="s">
        <v>2344</v>
      </c>
      <c r="G24" t="s">
        <v>2344</v>
      </c>
      <c r="H24">
        <v>1</v>
      </c>
      <c r="I24" t="s">
        <v>2346</v>
      </c>
      <c r="J24" t="str">
        <f t="shared" si="0"/>
        <v>Obesity</v>
      </c>
      <c r="K24" t="str">
        <f t="shared" si="1"/>
        <v>Diabetes</v>
      </c>
      <c r="L24">
        <v>30</v>
      </c>
      <c r="M24" t="s">
        <v>2367</v>
      </c>
      <c r="N24">
        <v>1994</v>
      </c>
      <c r="O24" s="8">
        <f t="shared" si="2"/>
        <v>34637</v>
      </c>
      <c r="P24" s="10">
        <v>915.07</v>
      </c>
      <c r="Q24" t="s">
        <v>2358</v>
      </c>
      <c r="R24" t="s">
        <v>2361</v>
      </c>
      <c r="S24" t="s">
        <v>2359</v>
      </c>
      <c r="T24">
        <f t="shared" ca="1" si="3"/>
        <v>32</v>
      </c>
      <c r="U24">
        <f>VLOOKUP($A24,'Medical Examination'!$A:$Z,2,FALSE)</f>
        <v>31.3</v>
      </c>
    </row>
    <row r="25" spans="1:21" ht="15.5" x14ac:dyDescent="0.35">
      <c r="A25" s="2" t="s">
        <v>25</v>
      </c>
      <c r="B25" s="2" t="s">
        <v>2451</v>
      </c>
      <c r="C25">
        <v>41.8</v>
      </c>
      <c r="D25">
        <v>7.89</v>
      </c>
      <c r="E25" t="s">
        <v>2346</v>
      </c>
      <c r="F25" t="s">
        <v>2344</v>
      </c>
      <c r="G25" t="s">
        <v>2344</v>
      </c>
      <c r="H25">
        <v>1</v>
      </c>
      <c r="I25" t="s">
        <v>2346</v>
      </c>
      <c r="J25" t="str">
        <f t="shared" si="0"/>
        <v>Obesity</v>
      </c>
      <c r="K25" t="str">
        <f t="shared" si="1"/>
        <v>Diabetes</v>
      </c>
      <c r="L25">
        <v>28</v>
      </c>
      <c r="M25" t="s">
        <v>2367</v>
      </c>
      <c r="N25">
        <v>1995</v>
      </c>
      <c r="O25" s="8">
        <f t="shared" si="2"/>
        <v>35000</v>
      </c>
      <c r="P25" s="10">
        <v>928.59</v>
      </c>
      <c r="Q25" t="s">
        <v>2358</v>
      </c>
      <c r="R25" t="s">
        <v>2361</v>
      </c>
      <c r="S25" t="s">
        <v>2359</v>
      </c>
      <c r="T25">
        <f t="shared" ca="1" si="3"/>
        <v>31</v>
      </c>
      <c r="U25">
        <f>VLOOKUP($A25,'Medical Examination'!$A:$Z,2,FALSE)</f>
        <v>41.8</v>
      </c>
    </row>
    <row r="26" spans="1:21" ht="15.5" x14ac:dyDescent="0.35">
      <c r="A26" s="2" t="s">
        <v>26</v>
      </c>
      <c r="B26" s="2" t="s">
        <v>2453</v>
      </c>
      <c r="C26">
        <v>35.090000000000003</v>
      </c>
      <c r="D26">
        <v>4.38</v>
      </c>
      <c r="E26" t="s">
        <v>2346</v>
      </c>
      <c r="F26" t="s">
        <v>2344</v>
      </c>
      <c r="G26" t="s">
        <v>2344</v>
      </c>
      <c r="H26">
        <v>1</v>
      </c>
      <c r="I26" t="s">
        <v>2346</v>
      </c>
      <c r="J26" t="str">
        <f t="shared" si="0"/>
        <v>Obesity</v>
      </c>
      <c r="K26" t="str">
        <f t="shared" si="1"/>
        <v>Normal</v>
      </c>
      <c r="L26">
        <v>19</v>
      </c>
      <c r="M26" t="s">
        <v>2366</v>
      </c>
      <c r="N26">
        <v>2001</v>
      </c>
      <c r="O26" s="8">
        <f t="shared" si="2"/>
        <v>37122</v>
      </c>
      <c r="P26" s="10">
        <v>964.71</v>
      </c>
      <c r="Q26" t="s">
        <v>2358</v>
      </c>
      <c r="R26" t="s">
        <v>2357</v>
      </c>
      <c r="S26" t="s">
        <v>2359</v>
      </c>
      <c r="T26">
        <f t="shared" ca="1" si="3"/>
        <v>25</v>
      </c>
      <c r="U26">
        <f>VLOOKUP($A26,'Medical Examination'!$A:$Z,2,FALSE)</f>
        <v>35.090000000000003</v>
      </c>
    </row>
    <row r="27" spans="1:21" ht="15.5" x14ac:dyDescent="0.35">
      <c r="A27" s="2" t="s">
        <v>27</v>
      </c>
      <c r="B27" s="2" t="s">
        <v>2456</v>
      </c>
      <c r="C27">
        <v>33.880000000000003</v>
      </c>
      <c r="D27">
        <v>7.01</v>
      </c>
      <c r="E27" t="s">
        <v>2344</v>
      </c>
      <c r="F27" t="s">
        <v>2344</v>
      </c>
      <c r="G27" t="s">
        <v>2344</v>
      </c>
      <c r="H27">
        <v>1</v>
      </c>
      <c r="I27" t="s">
        <v>2346</v>
      </c>
      <c r="J27" t="str">
        <f t="shared" si="0"/>
        <v>Obesity</v>
      </c>
      <c r="K27" t="str">
        <f t="shared" si="1"/>
        <v>Diabetes</v>
      </c>
      <c r="L27">
        <v>22</v>
      </c>
      <c r="M27" t="s">
        <v>2360</v>
      </c>
      <c r="N27">
        <v>1994</v>
      </c>
      <c r="O27" s="8">
        <f t="shared" si="2"/>
        <v>34660</v>
      </c>
      <c r="P27" s="10">
        <v>1006.65</v>
      </c>
      <c r="Q27" t="s">
        <v>2358</v>
      </c>
      <c r="R27" t="s">
        <v>2357</v>
      </c>
      <c r="S27" t="s">
        <v>2359</v>
      </c>
      <c r="T27">
        <f t="shared" ca="1" si="3"/>
        <v>32</v>
      </c>
      <c r="U27">
        <f>VLOOKUP($A27,'Medical Examination'!$A:$Z,2,FALSE)</f>
        <v>33.880000000000003</v>
      </c>
    </row>
    <row r="28" spans="1:21" ht="15.5" x14ac:dyDescent="0.35">
      <c r="A28" s="2" t="s">
        <v>28</v>
      </c>
      <c r="B28" s="2" t="s">
        <v>2458</v>
      </c>
      <c r="C28">
        <v>30.875</v>
      </c>
      <c r="D28">
        <v>11.88</v>
      </c>
      <c r="E28" t="s">
        <v>2344</v>
      </c>
      <c r="F28" t="s">
        <v>2344</v>
      </c>
      <c r="G28" t="s">
        <v>2344</v>
      </c>
      <c r="H28">
        <v>0</v>
      </c>
      <c r="I28" t="s">
        <v>2346</v>
      </c>
      <c r="J28" t="str">
        <f t="shared" si="0"/>
        <v>Obesity</v>
      </c>
      <c r="K28" t="str">
        <f t="shared" si="1"/>
        <v>Diabetes</v>
      </c>
      <c r="L28">
        <v>9</v>
      </c>
      <c r="M28" t="s">
        <v>2367</v>
      </c>
      <c r="N28">
        <v>2000</v>
      </c>
      <c r="O28" s="8">
        <f t="shared" si="2"/>
        <v>36808</v>
      </c>
      <c r="P28" s="10">
        <v>1012</v>
      </c>
      <c r="Q28" t="s">
        <v>2358</v>
      </c>
      <c r="R28" t="s">
        <v>2357</v>
      </c>
      <c r="S28" t="s">
        <v>2359</v>
      </c>
      <c r="T28">
        <f t="shared" ca="1" si="3"/>
        <v>26</v>
      </c>
      <c r="U28">
        <f>VLOOKUP($A28,'Medical Examination'!$A:$Z,2,FALSE)</f>
        <v>30.875</v>
      </c>
    </row>
    <row r="29" spans="1:21" ht="15.5" x14ac:dyDescent="0.35">
      <c r="A29" s="2" t="s">
        <v>29</v>
      </c>
      <c r="B29" s="2" t="s">
        <v>2460</v>
      </c>
      <c r="C29">
        <v>36.86</v>
      </c>
      <c r="D29">
        <v>5.19</v>
      </c>
      <c r="E29" t="s">
        <v>2346</v>
      </c>
      <c r="F29" t="s">
        <v>2344</v>
      </c>
      <c r="G29" t="s">
        <v>2346</v>
      </c>
      <c r="H29">
        <v>1</v>
      </c>
      <c r="I29" t="s">
        <v>2346</v>
      </c>
      <c r="J29" t="str">
        <f t="shared" si="0"/>
        <v>Obesity</v>
      </c>
      <c r="K29" t="str">
        <f t="shared" si="1"/>
        <v>Normal</v>
      </c>
      <c r="L29">
        <v>5</v>
      </c>
      <c r="M29" t="s">
        <v>2366</v>
      </c>
      <c r="N29">
        <v>1999</v>
      </c>
      <c r="O29" s="8">
        <f t="shared" si="2"/>
        <v>36377</v>
      </c>
      <c r="P29" s="10">
        <v>1019</v>
      </c>
      <c r="Q29" t="s">
        <v>2358</v>
      </c>
      <c r="R29" t="s">
        <v>2357</v>
      </c>
      <c r="S29" t="s">
        <v>2359</v>
      </c>
      <c r="T29">
        <f t="shared" ca="1" si="3"/>
        <v>27</v>
      </c>
      <c r="U29">
        <f>VLOOKUP($A29,'Medical Examination'!$A:$Z,2,FALSE)</f>
        <v>36.86</v>
      </c>
    </row>
    <row r="30" spans="1:21" ht="15.5" x14ac:dyDescent="0.35">
      <c r="A30" s="2" t="s">
        <v>30</v>
      </c>
      <c r="B30" s="2" t="s">
        <v>2463</v>
      </c>
      <c r="C30">
        <v>35.86</v>
      </c>
      <c r="D30">
        <v>6.74</v>
      </c>
      <c r="E30" t="s">
        <v>2346</v>
      </c>
      <c r="F30" t="s">
        <v>2344</v>
      </c>
      <c r="G30" t="s">
        <v>2344</v>
      </c>
      <c r="H30">
        <v>1</v>
      </c>
      <c r="I30" t="s">
        <v>2346</v>
      </c>
      <c r="J30" t="str">
        <f t="shared" si="0"/>
        <v>Obesity</v>
      </c>
      <c r="K30" t="str">
        <f t="shared" si="1"/>
        <v>Diabetes</v>
      </c>
      <c r="L30">
        <v>5</v>
      </c>
      <c r="M30" t="s">
        <v>2367</v>
      </c>
      <c r="N30">
        <v>1995</v>
      </c>
      <c r="O30" s="8">
        <f t="shared" si="2"/>
        <v>34977</v>
      </c>
      <c r="P30" s="10">
        <v>1033.74</v>
      </c>
      <c r="Q30" t="s">
        <v>2358</v>
      </c>
      <c r="R30" t="s">
        <v>2361</v>
      </c>
      <c r="S30" t="s">
        <v>2359</v>
      </c>
      <c r="T30">
        <f t="shared" ca="1" si="3"/>
        <v>31</v>
      </c>
      <c r="U30">
        <f>VLOOKUP($A30,'Medical Examination'!$A:$Z,2,FALSE)</f>
        <v>35.86</v>
      </c>
    </row>
    <row r="31" spans="1:21" ht="15.5" x14ac:dyDescent="0.35">
      <c r="A31" s="2" t="s">
        <v>31</v>
      </c>
      <c r="B31" s="2" t="s">
        <v>2464</v>
      </c>
      <c r="C31">
        <v>37.049999999999997</v>
      </c>
      <c r="D31">
        <v>8.44</v>
      </c>
      <c r="E31" t="s">
        <v>2344</v>
      </c>
      <c r="F31" t="s">
        <v>2344</v>
      </c>
      <c r="G31" t="s">
        <v>2344</v>
      </c>
      <c r="H31">
        <v>0</v>
      </c>
      <c r="I31" t="s">
        <v>2346</v>
      </c>
      <c r="J31" t="str">
        <f t="shared" si="0"/>
        <v>Obesity</v>
      </c>
      <c r="K31" t="str">
        <f t="shared" si="1"/>
        <v>Diabetes</v>
      </c>
      <c r="L31">
        <v>17</v>
      </c>
      <c r="M31" t="s">
        <v>2360</v>
      </c>
      <c r="N31">
        <v>1994</v>
      </c>
      <c r="O31" s="8">
        <f t="shared" si="2"/>
        <v>34655</v>
      </c>
      <c r="P31" s="10">
        <v>1044</v>
      </c>
      <c r="Q31" t="s">
        <v>2358</v>
      </c>
      <c r="R31" t="s">
        <v>2357</v>
      </c>
      <c r="S31" t="s">
        <v>2359</v>
      </c>
      <c r="T31">
        <f t="shared" ca="1" si="3"/>
        <v>32</v>
      </c>
      <c r="U31">
        <f>VLOOKUP($A31,'Medical Examination'!$A:$Z,2,FALSE)</f>
        <v>37.049999999999997</v>
      </c>
    </row>
    <row r="32" spans="1:21" ht="15.5" x14ac:dyDescent="0.35">
      <c r="A32" s="2" t="s">
        <v>32</v>
      </c>
      <c r="B32" s="2" t="s">
        <v>2466</v>
      </c>
      <c r="C32">
        <v>43.89</v>
      </c>
      <c r="D32">
        <v>8.7100000000000009</v>
      </c>
      <c r="E32" t="s">
        <v>2344</v>
      </c>
      <c r="F32" t="s">
        <v>2344</v>
      </c>
      <c r="G32" t="s">
        <v>2344</v>
      </c>
      <c r="H32">
        <v>0</v>
      </c>
      <c r="I32" t="s">
        <v>2346</v>
      </c>
      <c r="J32" t="str">
        <f t="shared" si="0"/>
        <v>Obesity</v>
      </c>
      <c r="K32" t="str">
        <f t="shared" si="1"/>
        <v>Diabetes</v>
      </c>
      <c r="L32">
        <v>20</v>
      </c>
      <c r="M32" t="s">
        <v>2356</v>
      </c>
      <c r="N32">
        <v>2002</v>
      </c>
      <c r="O32" s="8">
        <f t="shared" si="2"/>
        <v>37457</v>
      </c>
      <c r="P32" s="10">
        <v>1047</v>
      </c>
      <c r="Q32" t="s">
        <v>2358</v>
      </c>
      <c r="R32" t="s">
        <v>2361</v>
      </c>
      <c r="S32" t="s">
        <v>2359</v>
      </c>
      <c r="T32">
        <f t="shared" ca="1" si="3"/>
        <v>24</v>
      </c>
      <c r="U32">
        <f>VLOOKUP($A32,'Medical Examination'!$A:$Z,2,FALSE)</f>
        <v>43.89</v>
      </c>
    </row>
    <row r="33" spans="1:21" ht="15.5" x14ac:dyDescent="0.35">
      <c r="A33" s="2" t="s">
        <v>33</v>
      </c>
      <c r="B33" s="2" t="s">
        <v>2468</v>
      </c>
      <c r="C33">
        <v>42.35</v>
      </c>
      <c r="D33">
        <v>5.08</v>
      </c>
      <c r="E33" t="s">
        <v>2346</v>
      </c>
      <c r="F33" t="s">
        <v>2344</v>
      </c>
      <c r="G33" t="s">
        <v>2344</v>
      </c>
      <c r="H33">
        <v>0</v>
      </c>
      <c r="I33" t="s">
        <v>2346</v>
      </c>
      <c r="J33" t="str">
        <f t="shared" si="0"/>
        <v>Obesity</v>
      </c>
      <c r="K33" t="str">
        <f t="shared" si="1"/>
        <v>Normal</v>
      </c>
      <c r="L33">
        <v>1</v>
      </c>
      <c r="M33" t="s">
        <v>2356</v>
      </c>
      <c r="N33">
        <v>2002</v>
      </c>
      <c r="O33" s="8">
        <f t="shared" si="2"/>
        <v>37438</v>
      </c>
      <c r="P33" s="10">
        <v>1049</v>
      </c>
      <c r="Q33" t="s">
        <v>2358</v>
      </c>
      <c r="R33" t="s">
        <v>2357</v>
      </c>
      <c r="S33" t="s">
        <v>2364</v>
      </c>
      <c r="T33">
        <f t="shared" ca="1" si="3"/>
        <v>24</v>
      </c>
      <c r="U33">
        <f>VLOOKUP($A33,'Medical Examination'!$A:$Z,2,FALSE)</f>
        <v>42.35</v>
      </c>
    </row>
    <row r="34" spans="1:21" ht="15.5" x14ac:dyDescent="0.35">
      <c r="A34" s="2" t="s">
        <v>34</v>
      </c>
      <c r="B34" s="2" t="s">
        <v>2470</v>
      </c>
      <c r="C34">
        <v>31.35</v>
      </c>
      <c r="D34">
        <v>6.86</v>
      </c>
      <c r="E34" t="s">
        <v>2344</v>
      </c>
      <c r="F34" t="s">
        <v>2344</v>
      </c>
      <c r="G34" t="s">
        <v>2344</v>
      </c>
      <c r="H34">
        <v>0</v>
      </c>
      <c r="I34" t="s">
        <v>2346</v>
      </c>
      <c r="J34" t="str">
        <f t="shared" si="0"/>
        <v>Obesity</v>
      </c>
      <c r="K34" t="str">
        <f t="shared" si="1"/>
        <v>Diabetes</v>
      </c>
      <c r="L34">
        <v>1</v>
      </c>
      <c r="M34" t="s">
        <v>2362</v>
      </c>
      <c r="N34">
        <v>1995</v>
      </c>
      <c r="O34" s="8">
        <f t="shared" si="2"/>
        <v>34851</v>
      </c>
      <c r="P34" s="10">
        <v>1056</v>
      </c>
      <c r="Q34" t="s">
        <v>2358</v>
      </c>
      <c r="R34" t="s">
        <v>2357</v>
      </c>
      <c r="S34" t="s">
        <v>2359</v>
      </c>
      <c r="T34">
        <f t="shared" ca="1" si="3"/>
        <v>31</v>
      </c>
      <c r="U34">
        <f>VLOOKUP($A34,'Medical Examination'!$A:$Z,2,FALSE)</f>
        <v>31.35</v>
      </c>
    </row>
    <row r="35" spans="1:21" ht="15.5" x14ac:dyDescent="0.35">
      <c r="A35" s="2" t="s">
        <v>35</v>
      </c>
      <c r="B35" s="2" t="s">
        <v>2473</v>
      </c>
      <c r="C35">
        <v>47.6</v>
      </c>
      <c r="D35">
        <v>5.95</v>
      </c>
      <c r="E35" t="s">
        <v>2346</v>
      </c>
      <c r="F35" t="s">
        <v>2344</v>
      </c>
      <c r="G35" t="s">
        <v>2344</v>
      </c>
      <c r="H35">
        <v>0</v>
      </c>
      <c r="I35" t="s">
        <v>2346</v>
      </c>
      <c r="J35" t="str">
        <f t="shared" si="0"/>
        <v>Obesity</v>
      </c>
      <c r="K35" t="str">
        <f t="shared" si="1"/>
        <v>Prediabetes</v>
      </c>
      <c r="L35">
        <v>28</v>
      </c>
      <c r="M35" t="s">
        <v>2363</v>
      </c>
      <c r="N35">
        <v>1993</v>
      </c>
      <c r="O35" s="8">
        <f t="shared" si="2"/>
        <v>34240</v>
      </c>
      <c r="P35" s="10">
        <v>1068</v>
      </c>
      <c r="Q35" t="s">
        <v>2358</v>
      </c>
      <c r="R35" t="s">
        <v>2361</v>
      </c>
      <c r="S35" t="s">
        <v>2359</v>
      </c>
      <c r="T35">
        <f t="shared" ca="1" si="3"/>
        <v>33</v>
      </c>
      <c r="U35">
        <f>VLOOKUP($A35,'Medical Examination'!$A:$Z,2,FALSE)</f>
        <v>47.6</v>
      </c>
    </row>
    <row r="36" spans="1:21" ht="15.5" x14ac:dyDescent="0.35">
      <c r="A36" s="2" t="s">
        <v>36</v>
      </c>
      <c r="B36" s="2" t="s">
        <v>2475</v>
      </c>
      <c r="C36">
        <v>46.2</v>
      </c>
      <c r="D36">
        <v>6.09</v>
      </c>
      <c r="E36" t="s">
        <v>2344</v>
      </c>
      <c r="F36" t="s">
        <v>2344</v>
      </c>
      <c r="G36" t="s">
        <v>2346</v>
      </c>
      <c r="H36">
        <v>1</v>
      </c>
      <c r="I36" t="s">
        <v>2346</v>
      </c>
      <c r="J36" t="str">
        <f t="shared" si="0"/>
        <v>Obesity</v>
      </c>
      <c r="K36" t="str">
        <f t="shared" si="1"/>
        <v>Prediabetes</v>
      </c>
      <c r="L36">
        <v>24</v>
      </c>
      <c r="M36" t="s">
        <v>2366</v>
      </c>
      <c r="N36">
        <v>2004</v>
      </c>
      <c r="O36" s="8">
        <f t="shared" si="2"/>
        <v>38223</v>
      </c>
      <c r="P36" s="10">
        <v>1070</v>
      </c>
      <c r="Q36" t="s">
        <v>2358</v>
      </c>
      <c r="R36" t="s">
        <v>2358</v>
      </c>
      <c r="S36" t="s">
        <v>2359</v>
      </c>
      <c r="T36">
        <f t="shared" ca="1" si="3"/>
        <v>22</v>
      </c>
      <c r="U36">
        <f>VLOOKUP($A36,'Medical Examination'!$A:$Z,2,FALSE)</f>
        <v>46.2</v>
      </c>
    </row>
    <row r="37" spans="1:21" ht="15.5" x14ac:dyDescent="0.35">
      <c r="A37" s="2" t="s">
        <v>37</v>
      </c>
      <c r="B37" s="2" t="s">
        <v>2478</v>
      </c>
      <c r="C37">
        <v>32.015000000000001</v>
      </c>
      <c r="D37">
        <v>11.75</v>
      </c>
      <c r="E37" t="s">
        <v>2344</v>
      </c>
      <c r="F37" t="s">
        <v>2344</v>
      </c>
      <c r="G37" t="s">
        <v>2344</v>
      </c>
      <c r="H37">
        <v>0</v>
      </c>
      <c r="I37" t="s">
        <v>2346</v>
      </c>
      <c r="J37" t="str">
        <f t="shared" si="0"/>
        <v>Obesity</v>
      </c>
      <c r="K37" t="str">
        <f t="shared" si="1"/>
        <v>Diabetes</v>
      </c>
      <c r="L37">
        <v>13</v>
      </c>
      <c r="M37" t="s">
        <v>2366</v>
      </c>
      <c r="N37">
        <v>1997</v>
      </c>
      <c r="O37" s="8">
        <f t="shared" si="2"/>
        <v>35655</v>
      </c>
      <c r="P37" s="10">
        <v>1071</v>
      </c>
      <c r="Q37" t="s">
        <v>2358</v>
      </c>
      <c r="R37" t="s">
        <v>2358</v>
      </c>
      <c r="S37" t="s">
        <v>2359</v>
      </c>
      <c r="T37">
        <f t="shared" ca="1" si="3"/>
        <v>29</v>
      </c>
      <c r="U37">
        <f>VLOOKUP($A37,'Medical Examination'!$A:$Z,2,FALSE)</f>
        <v>32.015000000000001</v>
      </c>
    </row>
    <row r="38" spans="1:21" ht="15.5" x14ac:dyDescent="0.35">
      <c r="A38" s="2" t="s">
        <v>38</v>
      </c>
      <c r="B38" s="2" t="s">
        <v>2480</v>
      </c>
      <c r="C38">
        <v>40.564999999999998</v>
      </c>
      <c r="D38">
        <v>7.37</v>
      </c>
      <c r="E38" t="s">
        <v>2344</v>
      </c>
      <c r="F38" t="s">
        <v>2344</v>
      </c>
      <c r="G38" t="s">
        <v>2344</v>
      </c>
      <c r="H38">
        <v>0</v>
      </c>
      <c r="I38" t="s">
        <v>2346</v>
      </c>
      <c r="J38" t="str">
        <f t="shared" si="0"/>
        <v>Obesity</v>
      </c>
      <c r="K38" t="str">
        <f t="shared" si="1"/>
        <v>Diabetes</v>
      </c>
      <c r="L38">
        <v>26</v>
      </c>
      <c r="M38" t="s">
        <v>2365</v>
      </c>
      <c r="N38">
        <v>1998</v>
      </c>
      <c r="O38" s="8">
        <f t="shared" si="2"/>
        <v>36155</v>
      </c>
      <c r="P38" s="10">
        <v>1082</v>
      </c>
      <c r="Q38" t="s">
        <v>2358</v>
      </c>
      <c r="R38" t="s">
        <v>2357</v>
      </c>
      <c r="S38" t="s">
        <v>2359</v>
      </c>
      <c r="T38">
        <f t="shared" ca="1" si="3"/>
        <v>28</v>
      </c>
      <c r="U38">
        <f>VLOOKUP($A38,'Medical Examination'!$A:$Z,2,FALSE)</f>
        <v>40.564999999999998</v>
      </c>
    </row>
    <row r="39" spans="1:21" ht="15.5" x14ac:dyDescent="0.35">
      <c r="A39" s="2" t="s">
        <v>39</v>
      </c>
      <c r="B39" s="2" t="s">
        <v>2483</v>
      </c>
      <c r="C39">
        <v>32.450000000000003</v>
      </c>
      <c r="D39">
        <v>11.91</v>
      </c>
      <c r="E39" t="s">
        <v>2344</v>
      </c>
      <c r="F39" t="s">
        <v>2344</v>
      </c>
      <c r="G39" t="s">
        <v>2344</v>
      </c>
      <c r="H39">
        <v>0</v>
      </c>
      <c r="I39" t="s">
        <v>2346</v>
      </c>
      <c r="J39" t="str">
        <f t="shared" si="0"/>
        <v>Obesity</v>
      </c>
      <c r="K39" t="str">
        <f t="shared" si="1"/>
        <v>Diabetes</v>
      </c>
      <c r="L39">
        <v>13</v>
      </c>
      <c r="M39" t="s">
        <v>2366</v>
      </c>
      <c r="N39">
        <v>2002</v>
      </c>
      <c r="O39" s="8">
        <f t="shared" si="2"/>
        <v>37481</v>
      </c>
      <c r="P39" s="10">
        <v>1086</v>
      </c>
      <c r="Q39" t="s">
        <v>2358</v>
      </c>
      <c r="R39" t="s">
        <v>2358</v>
      </c>
      <c r="S39" t="s">
        <v>2359</v>
      </c>
      <c r="T39">
        <f t="shared" ca="1" si="3"/>
        <v>24</v>
      </c>
      <c r="U39">
        <f>VLOOKUP($A39,'Medical Examination'!$A:$Z,2,FALSE)</f>
        <v>32.450000000000003</v>
      </c>
    </row>
    <row r="40" spans="1:21" ht="15.5" x14ac:dyDescent="0.35">
      <c r="A40" s="2" t="s">
        <v>40</v>
      </c>
      <c r="B40" s="2" t="s">
        <v>2486</v>
      </c>
      <c r="C40">
        <v>34.96</v>
      </c>
      <c r="D40">
        <v>6.52</v>
      </c>
      <c r="E40" t="s">
        <v>2344</v>
      </c>
      <c r="F40" t="s">
        <v>2344</v>
      </c>
      <c r="G40" t="s">
        <v>2344</v>
      </c>
      <c r="H40">
        <v>0</v>
      </c>
      <c r="I40" t="s">
        <v>2346</v>
      </c>
      <c r="J40" t="str">
        <f t="shared" si="0"/>
        <v>Obesity</v>
      </c>
      <c r="K40" t="str">
        <f t="shared" si="1"/>
        <v>Diabetes</v>
      </c>
      <c r="L40">
        <v>12</v>
      </c>
      <c r="M40" t="s">
        <v>2360</v>
      </c>
      <c r="N40">
        <v>2004</v>
      </c>
      <c r="O40" s="8">
        <f t="shared" si="2"/>
        <v>38303</v>
      </c>
      <c r="P40" s="10">
        <v>1121.8699999999999</v>
      </c>
      <c r="Q40" t="s">
        <v>2358</v>
      </c>
      <c r="R40" t="s">
        <v>2361</v>
      </c>
      <c r="S40" t="s">
        <v>2359</v>
      </c>
      <c r="T40">
        <f t="shared" ca="1" si="3"/>
        <v>22</v>
      </c>
      <c r="U40">
        <f>VLOOKUP($A40,'Medical Examination'!$A:$Z,2,FALSE)</f>
        <v>34.96</v>
      </c>
    </row>
    <row r="41" spans="1:21" ht="15.5" x14ac:dyDescent="0.35">
      <c r="A41" s="2" t="s">
        <v>41</v>
      </c>
      <c r="B41" s="2" t="s">
        <v>2488</v>
      </c>
      <c r="C41">
        <v>35.5</v>
      </c>
      <c r="D41">
        <v>5.14</v>
      </c>
      <c r="E41" t="s">
        <v>2344</v>
      </c>
      <c r="F41" t="s">
        <v>2344</v>
      </c>
      <c r="G41" t="s">
        <v>2346</v>
      </c>
      <c r="H41">
        <v>1</v>
      </c>
      <c r="I41" t="s">
        <v>2346</v>
      </c>
      <c r="J41" t="str">
        <f t="shared" si="0"/>
        <v>Obesity</v>
      </c>
      <c r="K41" t="str">
        <f t="shared" si="1"/>
        <v>Normal</v>
      </c>
      <c r="L41">
        <v>14</v>
      </c>
      <c r="M41" t="s">
        <v>2362</v>
      </c>
      <c r="N41">
        <v>2004</v>
      </c>
      <c r="O41" s="8">
        <f t="shared" si="2"/>
        <v>38152</v>
      </c>
      <c r="P41" s="10">
        <v>1131.51</v>
      </c>
      <c r="Q41" t="s">
        <v>2358</v>
      </c>
      <c r="R41" t="s">
        <v>2361</v>
      </c>
      <c r="S41" t="s">
        <v>2359</v>
      </c>
      <c r="T41">
        <f t="shared" ca="1" si="3"/>
        <v>22</v>
      </c>
      <c r="U41">
        <f>VLOOKUP($A41,'Medical Examination'!$A:$Z,2,FALSE)</f>
        <v>35.5</v>
      </c>
    </row>
    <row r="42" spans="1:21" ht="15.5" x14ac:dyDescent="0.35">
      <c r="A42" s="2" t="s">
        <v>42</v>
      </c>
      <c r="B42" s="2" t="s">
        <v>2490</v>
      </c>
      <c r="C42">
        <v>52.58</v>
      </c>
      <c r="D42">
        <v>4.1900000000000004</v>
      </c>
      <c r="E42" t="s">
        <v>2344</v>
      </c>
      <c r="F42" t="s">
        <v>2345</v>
      </c>
      <c r="G42" t="s">
        <v>2344</v>
      </c>
      <c r="H42">
        <v>1</v>
      </c>
      <c r="I42" t="s">
        <v>2346</v>
      </c>
      <c r="J42" t="str">
        <f t="shared" si="0"/>
        <v>Obesity</v>
      </c>
      <c r="K42" t="str">
        <f t="shared" si="1"/>
        <v>Normal</v>
      </c>
      <c r="L42">
        <v>19</v>
      </c>
      <c r="M42" t="s">
        <v>2356</v>
      </c>
      <c r="N42">
        <v>2002</v>
      </c>
      <c r="O42" s="8">
        <f t="shared" si="2"/>
        <v>37456</v>
      </c>
      <c r="P42" s="10">
        <v>1132</v>
      </c>
      <c r="Q42" t="s">
        <v>2358</v>
      </c>
      <c r="R42" t="s">
        <v>2361</v>
      </c>
      <c r="S42" t="s">
        <v>2359</v>
      </c>
      <c r="T42">
        <f t="shared" ca="1" si="3"/>
        <v>24</v>
      </c>
      <c r="U42">
        <f>VLOOKUP($A42,'Medical Examination'!$A:$Z,2,FALSE)</f>
        <v>52.58</v>
      </c>
    </row>
    <row r="43" spans="1:21" ht="15.5" x14ac:dyDescent="0.35">
      <c r="A43" s="2" t="s">
        <v>43</v>
      </c>
      <c r="B43" s="2" t="s">
        <v>2492</v>
      </c>
      <c r="C43">
        <v>35.200000000000003</v>
      </c>
      <c r="D43">
        <v>11.68</v>
      </c>
      <c r="E43" t="s">
        <v>2346</v>
      </c>
      <c r="F43" t="s">
        <v>2344</v>
      </c>
      <c r="G43" t="s">
        <v>2344</v>
      </c>
      <c r="H43">
        <v>0</v>
      </c>
      <c r="I43" t="s">
        <v>2346</v>
      </c>
      <c r="J43" t="str">
        <f t="shared" si="0"/>
        <v>Obesity</v>
      </c>
      <c r="K43" t="str">
        <f t="shared" si="1"/>
        <v>Diabetes</v>
      </c>
      <c r="L43">
        <v>6</v>
      </c>
      <c r="M43" t="s">
        <v>2367</v>
      </c>
      <c r="N43">
        <v>2004</v>
      </c>
      <c r="O43" s="8">
        <f t="shared" si="2"/>
        <v>38266</v>
      </c>
      <c r="P43" s="10">
        <v>1135</v>
      </c>
      <c r="Q43" t="s">
        <v>2358</v>
      </c>
      <c r="R43" t="s">
        <v>2358</v>
      </c>
      <c r="S43" t="s">
        <v>2359</v>
      </c>
      <c r="T43">
        <f t="shared" ca="1" si="3"/>
        <v>22</v>
      </c>
      <c r="U43">
        <f>VLOOKUP($A43,'Medical Examination'!$A:$Z,2,FALSE)</f>
        <v>35.200000000000003</v>
      </c>
    </row>
    <row r="44" spans="1:21" ht="15.5" x14ac:dyDescent="0.35">
      <c r="A44" s="2" t="s">
        <v>44</v>
      </c>
      <c r="B44" s="2" t="s">
        <v>2494</v>
      </c>
      <c r="C44">
        <v>38.06</v>
      </c>
      <c r="D44">
        <v>6.98</v>
      </c>
      <c r="E44" t="s">
        <v>2344</v>
      </c>
      <c r="F44" t="s">
        <v>2344</v>
      </c>
      <c r="G44" t="s">
        <v>2344</v>
      </c>
      <c r="H44">
        <v>0</v>
      </c>
      <c r="I44" t="s">
        <v>2346</v>
      </c>
      <c r="J44" t="str">
        <f t="shared" si="0"/>
        <v>Obesity</v>
      </c>
      <c r="K44" t="str">
        <f t="shared" si="1"/>
        <v>Diabetes</v>
      </c>
      <c r="L44">
        <v>11</v>
      </c>
      <c r="M44" t="s">
        <v>2362</v>
      </c>
      <c r="N44">
        <v>2004</v>
      </c>
      <c r="O44" s="8">
        <f t="shared" si="2"/>
        <v>38149</v>
      </c>
      <c r="P44" s="10">
        <v>1135.94</v>
      </c>
      <c r="Q44" t="s">
        <v>2358</v>
      </c>
      <c r="R44" t="s">
        <v>2358</v>
      </c>
      <c r="S44" t="s">
        <v>2359</v>
      </c>
      <c r="T44">
        <f t="shared" ca="1" si="3"/>
        <v>22</v>
      </c>
      <c r="U44">
        <f>VLOOKUP($A44,'Medical Examination'!$A:$Z,2,FALSE)</f>
        <v>38.06</v>
      </c>
    </row>
    <row r="45" spans="1:21" ht="15.5" x14ac:dyDescent="0.35">
      <c r="A45" s="2" t="s">
        <v>45</v>
      </c>
      <c r="B45" s="2" t="s">
        <v>2495</v>
      </c>
      <c r="C45">
        <v>34.21</v>
      </c>
      <c r="D45">
        <v>8.34</v>
      </c>
      <c r="E45" t="s">
        <v>2344</v>
      </c>
      <c r="F45" t="s">
        <v>2344</v>
      </c>
      <c r="G45" t="s">
        <v>2344</v>
      </c>
      <c r="H45">
        <v>0</v>
      </c>
      <c r="I45" t="s">
        <v>2346</v>
      </c>
      <c r="J45" t="str">
        <f t="shared" si="0"/>
        <v>Obesity</v>
      </c>
      <c r="K45" t="str">
        <f t="shared" si="1"/>
        <v>Diabetes</v>
      </c>
      <c r="L45">
        <v>28</v>
      </c>
      <c r="M45" t="s">
        <v>2360</v>
      </c>
      <c r="N45">
        <v>2004</v>
      </c>
      <c r="O45" s="8">
        <f t="shared" si="2"/>
        <v>38319</v>
      </c>
      <c r="P45" s="10">
        <v>1136.4000000000001</v>
      </c>
      <c r="Q45" t="s">
        <v>2358</v>
      </c>
      <c r="R45" t="s">
        <v>2358</v>
      </c>
      <c r="S45" t="s">
        <v>2359</v>
      </c>
      <c r="T45">
        <f t="shared" ca="1" si="3"/>
        <v>22</v>
      </c>
      <c r="U45">
        <f>VLOOKUP($A45,'Medical Examination'!$A:$Z,2,FALSE)</f>
        <v>34.21</v>
      </c>
    </row>
    <row r="46" spans="1:21" ht="15.5" x14ac:dyDescent="0.35">
      <c r="A46" s="2" t="s">
        <v>46</v>
      </c>
      <c r="B46" s="2" t="s">
        <v>2497</v>
      </c>
      <c r="C46">
        <v>38.94</v>
      </c>
      <c r="D46">
        <v>8.49</v>
      </c>
      <c r="E46" t="s">
        <v>2346</v>
      </c>
      <c r="F46" t="s">
        <v>2344</v>
      </c>
      <c r="G46" t="s">
        <v>2344</v>
      </c>
      <c r="H46">
        <v>1</v>
      </c>
      <c r="I46" t="s">
        <v>2346</v>
      </c>
      <c r="J46" t="str">
        <f t="shared" si="0"/>
        <v>Obesity</v>
      </c>
      <c r="K46" t="str">
        <f t="shared" si="1"/>
        <v>Diabetes</v>
      </c>
      <c r="L46">
        <v>11</v>
      </c>
      <c r="M46" t="s">
        <v>2366</v>
      </c>
      <c r="N46">
        <v>2002</v>
      </c>
      <c r="O46" s="8">
        <f t="shared" si="2"/>
        <v>37479</v>
      </c>
      <c r="P46" s="10">
        <v>1137</v>
      </c>
      <c r="Q46" t="s">
        <v>2358</v>
      </c>
      <c r="R46" t="s">
        <v>2361</v>
      </c>
      <c r="S46" t="s">
        <v>2359</v>
      </c>
      <c r="T46">
        <f t="shared" ca="1" si="3"/>
        <v>24</v>
      </c>
      <c r="U46">
        <f>VLOOKUP($A46,'Medical Examination'!$A:$Z,2,FALSE)</f>
        <v>38.94</v>
      </c>
    </row>
    <row r="47" spans="1:21" ht="15.5" x14ac:dyDescent="0.35">
      <c r="A47" s="2" t="s">
        <v>47</v>
      </c>
      <c r="B47" s="2" t="s">
        <v>2499</v>
      </c>
      <c r="C47">
        <v>30.21</v>
      </c>
      <c r="D47">
        <v>5.34</v>
      </c>
      <c r="E47" t="s">
        <v>2346</v>
      </c>
      <c r="F47" t="s">
        <v>2344</v>
      </c>
      <c r="G47" t="s">
        <v>2344</v>
      </c>
      <c r="H47">
        <v>1</v>
      </c>
      <c r="I47" t="s">
        <v>2346</v>
      </c>
      <c r="J47" t="str">
        <f t="shared" si="0"/>
        <v>Obesity</v>
      </c>
      <c r="K47" t="str">
        <f t="shared" si="1"/>
        <v>Normal</v>
      </c>
      <c r="L47">
        <v>6</v>
      </c>
      <c r="M47" t="s">
        <v>2360</v>
      </c>
      <c r="N47">
        <v>2004</v>
      </c>
      <c r="O47" s="8">
        <f t="shared" si="2"/>
        <v>38297</v>
      </c>
      <c r="P47" s="10">
        <v>1137.01</v>
      </c>
      <c r="Q47" t="s">
        <v>2358</v>
      </c>
      <c r="R47" t="s">
        <v>2361</v>
      </c>
      <c r="S47" t="s">
        <v>2359</v>
      </c>
      <c r="T47">
        <f t="shared" ca="1" si="3"/>
        <v>22</v>
      </c>
      <c r="U47">
        <f>VLOOKUP($A47,'Medical Examination'!$A:$Z,2,FALSE)</f>
        <v>30.21</v>
      </c>
    </row>
    <row r="48" spans="1:21" ht="15.5" x14ac:dyDescent="0.35">
      <c r="A48" s="2" t="s">
        <v>48</v>
      </c>
      <c r="B48" s="2" t="s">
        <v>2502</v>
      </c>
      <c r="C48">
        <v>33.630000000000003</v>
      </c>
      <c r="D48">
        <v>4.43</v>
      </c>
      <c r="E48" t="s">
        <v>2346</v>
      </c>
      <c r="F48" t="s">
        <v>2344</v>
      </c>
      <c r="G48" t="s">
        <v>2344</v>
      </c>
      <c r="H48">
        <v>1</v>
      </c>
      <c r="I48" t="s">
        <v>2346</v>
      </c>
      <c r="J48" t="str">
        <f t="shared" si="0"/>
        <v>Obesity</v>
      </c>
      <c r="K48" t="str">
        <f t="shared" si="1"/>
        <v>Normal</v>
      </c>
      <c r="L48">
        <v>15</v>
      </c>
      <c r="M48" t="s">
        <v>2367</v>
      </c>
      <c r="N48">
        <v>2004</v>
      </c>
      <c r="O48" s="8">
        <f t="shared" si="2"/>
        <v>38275</v>
      </c>
      <c r="P48" s="10">
        <v>1137.01</v>
      </c>
      <c r="Q48" t="s">
        <v>2358</v>
      </c>
      <c r="R48" t="s">
        <v>2361</v>
      </c>
      <c r="S48" t="s">
        <v>2359</v>
      </c>
      <c r="T48">
        <f t="shared" ca="1" si="3"/>
        <v>22</v>
      </c>
      <c r="U48">
        <f>VLOOKUP($A48,'Medical Examination'!$A:$Z,2,FALSE)</f>
        <v>33.630000000000003</v>
      </c>
    </row>
    <row r="49" spans="1:21" ht="15.5" x14ac:dyDescent="0.35">
      <c r="A49" s="2" t="s">
        <v>49</v>
      </c>
      <c r="B49" s="2" t="s">
        <v>2492</v>
      </c>
      <c r="C49">
        <v>40.369999999999997</v>
      </c>
      <c r="D49">
        <v>4.47</v>
      </c>
      <c r="E49" t="s">
        <v>2344</v>
      </c>
      <c r="F49" t="s">
        <v>2344</v>
      </c>
      <c r="G49" t="s">
        <v>2344</v>
      </c>
      <c r="H49">
        <v>0</v>
      </c>
      <c r="I49" t="s">
        <v>2346</v>
      </c>
      <c r="J49" t="str">
        <f t="shared" si="0"/>
        <v>Obesity</v>
      </c>
      <c r="K49" t="str">
        <f t="shared" si="1"/>
        <v>Normal</v>
      </c>
      <c r="L49">
        <v>27</v>
      </c>
      <c r="M49" t="s">
        <v>2360</v>
      </c>
      <c r="N49">
        <v>2004</v>
      </c>
      <c r="O49" s="8">
        <f t="shared" si="2"/>
        <v>38318</v>
      </c>
      <c r="P49" s="10">
        <v>1137.47</v>
      </c>
      <c r="Q49" t="s">
        <v>2358</v>
      </c>
      <c r="R49" t="s">
        <v>2357</v>
      </c>
      <c r="S49" t="s">
        <v>2359</v>
      </c>
      <c r="T49">
        <f t="shared" ca="1" si="3"/>
        <v>22</v>
      </c>
      <c r="U49">
        <f>VLOOKUP($A49,'Medical Examination'!$A:$Z,2,FALSE)</f>
        <v>40.369999999999997</v>
      </c>
    </row>
    <row r="50" spans="1:21" ht="15.5" x14ac:dyDescent="0.35">
      <c r="A50" s="2" t="s">
        <v>50</v>
      </c>
      <c r="B50" s="2" t="s">
        <v>2505</v>
      </c>
      <c r="C50">
        <v>53.09</v>
      </c>
      <c r="D50">
        <v>4.82</v>
      </c>
      <c r="E50" t="s">
        <v>2346</v>
      </c>
      <c r="F50" t="s">
        <v>2344</v>
      </c>
      <c r="G50" t="s">
        <v>2344</v>
      </c>
      <c r="H50">
        <v>1</v>
      </c>
      <c r="I50" t="s">
        <v>2346</v>
      </c>
      <c r="J50" t="str">
        <f t="shared" si="0"/>
        <v>Obesity</v>
      </c>
      <c r="K50" t="str">
        <f t="shared" si="1"/>
        <v>Normal</v>
      </c>
      <c r="L50">
        <v>25</v>
      </c>
      <c r="M50" t="s">
        <v>2367</v>
      </c>
      <c r="N50">
        <v>2001</v>
      </c>
      <c r="O50" s="8">
        <f t="shared" si="2"/>
        <v>37189</v>
      </c>
      <c r="P50" s="10">
        <v>1141</v>
      </c>
      <c r="Q50" t="s">
        <v>2358</v>
      </c>
      <c r="R50" t="s">
        <v>2361</v>
      </c>
      <c r="S50" t="s">
        <v>2359</v>
      </c>
      <c r="T50">
        <f t="shared" ca="1" si="3"/>
        <v>25</v>
      </c>
      <c r="U50">
        <f>VLOOKUP($A50,'Medical Examination'!$A:$Z,2,FALSE)</f>
        <v>53.09</v>
      </c>
    </row>
    <row r="51" spans="1:21" ht="15.5" x14ac:dyDescent="0.35">
      <c r="A51" s="2" t="s">
        <v>51</v>
      </c>
      <c r="B51" s="2" t="s">
        <v>2508</v>
      </c>
      <c r="C51">
        <v>31.79</v>
      </c>
      <c r="D51">
        <v>5.51</v>
      </c>
      <c r="E51" t="s">
        <v>2346</v>
      </c>
      <c r="F51" t="s">
        <v>2344</v>
      </c>
      <c r="G51" t="s">
        <v>2344</v>
      </c>
      <c r="H51">
        <v>1</v>
      </c>
      <c r="I51" t="s">
        <v>2346</v>
      </c>
      <c r="J51" t="str">
        <f t="shared" si="0"/>
        <v>Obesity</v>
      </c>
      <c r="K51" t="str">
        <f t="shared" si="1"/>
        <v>Normal</v>
      </c>
      <c r="L51">
        <v>12</v>
      </c>
      <c r="M51" t="s">
        <v>2363</v>
      </c>
      <c r="N51">
        <v>2004</v>
      </c>
      <c r="O51" s="8">
        <f t="shared" si="2"/>
        <v>38242</v>
      </c>
      <c r="P51" s="10">
        <v>1141.45</v>
      </c>
      <c r="Q51" t="s">
        <v>2358</v>
      </c>
      <c r="R51" t="s">
        <v>2358</v>
      </c>
      <c r="S51" t="s">
        <v>2359</v>
      </c>
      <c r="T51">
        <f t="shared" ca="1" si="3"/>
        <v>22</v>
      </c>
      <c r="U51">
        <f>VLOOKUP($A51,'Medical Examination'!$A:$Z,2,FALSE)</f>
        <v>31.79</v>
      </c>
    </row>
    <row r="52" spans="1:21" ht="15.5" x14ac:dyDescent="0.35">
      <c r="A52" s="2" t="s">
        <v>52</v>
      </c>
      <c r="B52" s="2" t="s">
        <v>2509</v>
      </c>
      <c r="C52">
        <v>41.895000000000003</v>
      </c>
      <c r="D52">
        <v>10.87</v>
      </c>
      <c r="E52" t="s">
        <v>2346</v>
      </c>
      <c r="F52" t="s">
        <v>2344</v>
      </c>
      <c r="G52" t="s">
        <v>2344</v>
      </c>
      <c r="H52">
        <v>1</v>
      </c>
      <c r="I52" t="s">
        <v>2346</v>
      </c>
      <c r="J52" t="str">
        <f t="shared" si="0"/>
        <v>Obesity</v>
      </c>
      <c r="K52" t="str">
        <f t="shared" si="1"/>
        <v>Diabetes</v>
      </c>
      <c r="L52">
        <v>1</v>
      </c>
      <c r="M52" t="s">
        <v>2367</v>
      </c>
      <c r="N52">
        <v>2002</v>
      </c>
      <c r="O52" s="8">
        <f t="shared" si="2"/>
        <v>37530</v>
      </c>
      <c r="P52" s="10">
        <v>1142</v>
      </c>
      <c r="Q52" t="s">
        <v>2358</v>
      </c>
      <c r="R52" t="s">
        <v>2357</v>
      </c>
      <c r="S52" t="s">
        <v>2368</v>
      </c>
      <c r="T52">
        <f t="shared" ca="1" si="3"/>
        <v>24</v>
      </c>
      <c r="U52">
        <f>VLOOKUP($A52,'Medical Examination'!$A:$Z,2,FALSE)</f>
        <v>41.895000000000003</v>
      </c>
    </row>
    <row r="53" spans="1:21" ht="15.5" x14ac:dyDescent="0.35">
      <c r="A53" s="2" t="s">
        <v>53</v>
      </c>
      <c r="B53" s="2" t="s">
        <v>2511</v>
      </c>
      <c r="C53">
        <v>31.16</v>
      </c>
      <c r="D53">
        <v>9.34</v>
      </c>
      <c r="E53" t="s">
        <v>2344</v>
      </c>
      <c r="F53" t="s">
        <v>2344</v>
      </c>
      <c r="G53" t="s">
        <v>2344</v>
      </c>
      <c r="H53">
        <v>0</v>
      </c>
      <c r="I53" t="s">
        <v>2346</v>
      </c>
      <c r="J53" t="str">
        <f t="shared" si="0"/>
        <v>Obesity</v>
      </c>
      <c r="K53" t="str">
        <f t="shared" si="1"/>
        <v>Diabetes</v>
      </c>
      <c r="L53">
        <v>10</v>
      </c>
      <c r="M53" t="s">
        <v>2362</v>
      </c>
      <c r="N53">
        <v>2004</v>
      </c>
      <c r="O53" s="8">
        <f t="shared" si="2"/>
        <v>38148</v>
      </c>
      <c r="P53" s="10">
        <v>1146.8</v>
      </c>
      <c r="Q53" t="s">
        <v>2357</v>
      </c>
      <c r="R53" t="s">
        <v>2357</v>
      </c>
      <c r="S53" t="s">
        <v>2359</v>
      </c>
      <c r="T53">
        <f t="shared" ca="1" si="3"/>
        <v>22</v>
      </c>
      <c r="U53">
        <f>VLOOKUP($A53,'Medical Examination'!$A:$Z,2,FALSE)</f>
        <v>31.16</v>
      </c>
    </row>
    <row r="54" spans="1:21" ht="15.5" x14ac:dyDescent="0.35">
      <c r="A54" s="2" t="s">
        <v>54</v>
      </c>
      <c r="B54" s="2" t="s">
        <v>2513</v>
      </c>
      <c r="C54">
        <v>34.104999999999997</v>
      </c>
      <c r="D54">
        <v>5.03</v>
      </c>
      <c r="E54" t="s">
        <v>2346</v>
      </c>
      <c r="F54" t="s">
        <v>2344</v>
      </c>
      <c r="G54" t="s">
        <v>2346</v>
      </c>
      <c r="H54">
        <v>1</v>
      </c>
      <c r="I54" t="s">
        <v>2346</v>
      </c>
      <c r="J54" t="str">
        <f t="shared" si="0"/>
        <v>Obesity</v>
      </c>
      <c r="K54" t="str">
        <f t="shared" si="1"/>
        <v>Normal</v>
      </c>
      <c r="L54">
        <v>12</v>
      </c>
      <c r="M54" t="s">
        <v>2362</v>
      </c>
      <c r="N54">
        <v>2003</v>
      </c>
      <c r="O54" s="8">
        <f t="shared" si="2"/>
        <v>37784</v>
      </c>
      <c r="P54" s="10">
        <v>1149</v>
      </c>
      <c r="Q54" t="s">
        <v>2357</v>
      </c>
      <c r="R54" t="s">
        <v>2361</v>
      </c>
      <c r="S54" t="s">
        <v>2364</v>
      </c>
      <c r="T54">
        <f t="shared" ca="1" si="3"/>
        <v>23</v>
      </c>
      <c r="U54">
        <f>VLOOKUP($A54,'Medical Examination'!$A:$Z,2,FALSE)</f>
        <v>34.104999999999997</v>
      </c>
    </row>
    <row r="55" spans="1:21" ht="15.5" x14ac:dyDescent="0.35">
      <c r="A55" s="2" t="s">
        <v>55</v>
      </c>
      <c r="B55" s="2" t="s">
        <v>2514</v>
      </c>
      <c r="C55">
        <v>51.93</v>
      </c>
      <c r="D55">
        <v>11.05</v>
      </c>
      <c r="E55" t="s">
        <v>2344</v>
      </c>
      <c r="F55" t="s">
        <v>2344</v>
      </c>
      <c r="G55" t="s">
        <v>2344</v>
      </c>
      <c r="H55">
        <v>0</v>
      </c>
      <c r="I55" t="s">
        <v>2346</v>
      </c>
      <c r="J55" t="str">
        <f t="shared" si="0"/>
        <v>Obesity</v>
      </c>
      <c r="K55" t="str">
        <f t="shared" si="1"/>
        <v>Diabetes</v>
      </c>
      <c r="L55">
        <v>18</v>
      </c>
      <c r="M55" t="s">
        <v>2356</v>
      </c>
      <c r="N55">
        <v>2004</v>
      </c>
      <c r="O55" s="8">
        <f t="shared" si="2"/>
        <v>38186</v>
      </c>
      <c r="P55" s="10">
        <v>1149.4000000000001</v>
      </c>
      <c r="Q55" t="s">
        <v>2357</v>
      </c>
      <c r="R55" t="s">
        <v>2357</v>
      </c>
      <c r="S55" t="s">
        <v>2359</v>
      </c>
      <c r="T55">
        <f t="shared" ca="1" si="3"/>
        <v>22</v>
      </c>
      <c r="U55">
        <f>VLOOKUP($A55,'Medical Examination'!$A:$Z,2,FALSE)</f>
        <v>51.93</v>
      </c>
    </row>
    <row r="56" spans="1:21" ht="15.5" x14ac:dyDescent="0.35">
      <c r="A56" s="2" t="s">
        <v>56</v>
      </c>
      <c r="B56" s="2" t="s">
        <v>2517</v>
      </c>
      <c r="C56">
        <v>38.950000000000003</v>
      </c>
      <c r="D56">
        <v>11.95</v>
      </c>
      <c r="E56" t="s">
        <v>2344</v>
      </c>
      <c r="F56" t="s">
        <v>2344</v>
      </c>
      <c r="G56" t="s">
        <v>2344</v>
      </c>
      <c r="H56">
        <v>0</v>
      </c>
      <c r="I56" t="s">
        <v>2346</v>
      </c>
      <c r="J56" t="str">
        <f t="shared" si="0"/>
        <v>Obesity</v>
      </c>
      <c r="K56" t="str">
        <f t="shared" si="1"/>
        <v>Diabetes</v>
      </c>
      <c r="L56">
        <v>26</v>
      </c>
      <c r="M56" t="s">
        <v>2356</v>
      </c>
      <c r="N56">
        <v>1994</v>
      </c>
      <c r="O56" s="8">
        <f t="shared" si="2"/>
        <v>34541</v>
      </c>
      <c r="P56" s="10">
        <v>1158.32</v>
      </c>
      <c r="Q56" t="s">
        <v>2357</v>
      </c>
      <c r="R56" t="s">
        <v>2361</v>
      </c>
      <c r="S56" t="s">
        <v>2359</v>
      </c>
      <c r="T56">
        <f t="shared" ca="1" si="3"/>
        <v>32</v>
      </c>
      <c r="U56">
        <f>VLOOKUP($A56,'Medical Examination'!$A:$Z,2,FALSE)</f>
        <v>38.950000000000003</v>
      </c>
    </row>
    <row r="57" spans="1:21" ht="15.5" x14ac:dyDescent="0.35">
      <c r="A57" s="2" t="s">
        <v>57</v>
      </c>
      <c r="B57" s="2" t="s">
        <v>2520</v>
      </c>
      <c r="C57">
        <v>36.630000000000003</v>
      </c>
      <c r="D57">
        <v>7.72</v>
      </c>
      <c r="E57" t="s">
        <v>2346</v>
      </c>
      <c r="F57" t="s">
        <v>2344</v>
      </c>
      <c r="G57" t="s">
        <v>2344</v>
      </c>
      <c r="H57">
        <v>1</v>
      </c>
      <c r="I57" t="s">
        <v>2346</v>
      </c>
      <c r="J57" t="str">
        <f t="shared" si="0"/>
        <v>Obesity</v>
      </c>
      <c r="K57" t="str">
        <f t="shared" si="1"/>
        <v>Diabetes</v>
      </c>
      <c r="L57">
        <v>11</v>
      </c>
      <c r="M57" t="s">
        <v>2360</v>
      </c>
      <c r="N57">
        <v>2004</v>
      </c>
      <c r="O57" s="8">
        <f t="shared" si="2"/>
        <v>38302</v>
      </c>
      <c r="P57" s="10">
        <v>1163.46</v>
      </c>
      <c r="Q57" t="s">
        <v>2357</v>
      </c>
      <c r="R57" t="s">
        <v>2358</v>
      </c>
      <c r="S57" t="s">
        <v>2359</v>
      </c>
      <c r="T57">
        <f t="shared" ca="1" si="3"/>
        <v>22</v>
      </c>
      <c r="U57">
        <f>VLOOKUP($A57,'Medical Examination'!$A:$Z,2,FALSE)</f>
        <v>36.630000000000003</v>
      </c>
    </row>
    <row r="58" spans="1:21" ht="15.5" x14ac:dyDescent="0.35">
      <c r="A58" s="2" t="s">
        <v>58</v>
      </c>
      <c r="B58" s="2" t="s">
        <v>2522</v>
      </c>
      <c r="C58">
        <v>34.200000000000003</v>
      </c>
      <c r="D58">
        <v>5.75</v>
      </c>
      <c r="E58" t="s">
        <v>2344</v>
      </c>
      <c r="F58" t="s">
        <v>2344</v>
      </c>
      <c r="G58" t="s">
        <v>2344</v>
      </c>
      <c r="H58">
        <v>1</v>
      </c>
      <c r="I58" t="s">
        <v>2346</v>
      </c>
      <c r="J58" t="str">
        <f t="shared" si="0"/>
        <v>Obesity</v>
      </c>
      <c r="K58" t="str">
        <f t="shared" si="1"/>
        <v>Prediabetes</v>
      </c>
      <c r="L58">
        <v>11</v>
      </c>
      <c r="M58" t="s">
        <v>2362</v>
      </c>
      <c r="N58">
        <v>2002</v>
      </c>
      <c r="O58" s="8">
        <f t="shared" si="2"/>
        <v>37418</v>
      </c>
      <c r="P58" s="10">
        <v>1165</v>
      </c>
      <c r="Q58" t="s">
        <v>2357</v>
      </c>
      <c r="R58" t="s">
        <v>2358</v>
      </c>
      <c r="S58" t="s">
        <v>2364</v>
      </c>
      <c r="T58">
        <f t="shared" ca="1" si="3"/>
        <v>24</v>
      </c>
      <c r="U58">
        <f>VLOOKUP($A58,'Medical Examination'!$A:$Z,2,FALSE)</f>
        <v>34.200000000000003</v>
      </c>
    </row>
    <row r="59" spans="1:21" ht="15.5" x14ac:dyDescent="0.35">
      <c r="A59" s="2" t="s">
        <v>59</v>
      </c>
      <c r="B59" s="2" t="s">
        <v>2524</v>
      </c>
      <c r="C59">
        <v>50.63</v>
      </c>
      <c r="D59">
        <v>11.89</v>
      </c>
      <c r="E59" t="s">
        <v>2344</v>
      </c>
      <c r="F59" t="s">
        <v>2344</v>
      </c>
      <c r="G59" t="s">
        <v>2344</v>
      </c>
      <c r="H59">
        <v>0</v>
      </c>
      <c r="I59" t="s">
        <v>2346</v>
      </c>
      <c r="J59" t="str">
        <f t="shared" si="0"/>
        <v>Obesity</v>
      </c>
      <c r="K59" t="str">
        <f t="shared" si="1"/>
        <v>Diabetes</v>
      </c>
      <c r="L59">
        <v>12</v>
      </c>
      <c r="M59" t="s">
        <v>2360</v>
      </c>
      <c r="N59">
        <v>2001</v>
      </c>
      <c r="O59" s="8">
        <f t="shared" si="2"/>
        <v>37207</v>
      </c>
      <c r="P59" s="10">
        <v>1167</v>
      </c>
      <c r="Q59" t="s">
        <v>2357</v>
      </c>
      <c r="R59" t="s">
        <v>2361</v>
      </c>
      <c r="S59" t="s">
        <v>2359</v>
      </c>
      <c r="T59">
        <f t="shared" ca="1" si="3"/>
        <v>25</v>
      </c>
      <c r="U59">
        <f>VLOOKUP($A59,'Medical Examination'!$A:$Z,2,FALSE)</f>
        <v>50.63</v>
      </c>
    </row>
    <row r="60" spans="1:21" ht="15.5" x14ac:dyDescent="0.35">
      <c r="A60" s="2" t="s">
        <v>60</v>
      </c>
      <c r="B60" s="2" t="s">
        <v>2526</v>
      </c>
      <c r="C60">
        <v>36.479999999999997</v>
      </c>
      <c r="D60">
        <v>6.2</v>
      </c>
      <c r="E60" t="s">
        <v>2344</v>
      </c>
      <c r="F60" t="s">
        <v>2344</v>
      </c>
      <c r="G60" t="s">
        <v>2344</v>
      </c>
      <c r="H60">
        <v>0</v>
      </c>
      <c r="I60" t="s">
        <v>2346</v>
      </c>
      <c r="J60" t="str">
        <f t="shared" si="0"/>
        <v>Obesity</v>
      </c>
      <c r="K60" t="str">
        <f t="shared" si="1"/>
        <v>Prediabetes</v>
      </c>
      <c r="L60">
        <v>11</v>
      </c>
      <c r="M60" t="s">
        <v>2366</v>
      </c>
      <c r="N60">
        <v>1996</v>
      </c>
      <c r="O60" s="8">
        <f t="shared" si="2"/>
        <v>35288</v>
      </c>
      <c r="P60" s="10">
        <v>1178</v>
      </c>
      <c r="Q60" t="s">
        <v>2357</v>
      </c>
      <c r="R60" t="s">
        <v>2358</v>
      </c>
      <c r="S60" t="s">
        <v>2359</v>
      </c>
      <c r="T60">
        <f t="shared" ca="1" si="3"/>
        <v>30</v>
      </c>
      <c r="U60">
        <f>VLOOKUP($A60,'Medical Examination'!$A:$Z,2,FALSE)</f>
        <v>36.479999999999997</v>
      </c>
    </row>
    <row r="61" spans="1:21" ht="15.5" x14ac:dyDescent="0.35">
      <c r="A61" s="2" t="s">
        <v>61</v>
      </c>
      <c r="B61" s="2" t="s">
        <v>2528</v>
      </c>
      <c r="C61">
        <v>54.82</v>
      </c>
      <c r="D61">
        <v>10.61</v>
      </c>
      <c r="E61" t="s">
        <v>2344</v>
      </c>
      <c r="F61" t="s">
        <v>2344</v>
      </c>
      <c r="G61" t="s">
        <v>2344</v>
      </c>
      <c r="H61">
        <v>0</v>
      </c>
      <c r="I61" t="s">
        <v>2346</v>
      </c>
      <c r="J61" t="str">
        <f t="shared" si="0"/>
        <v>Obesity</v>
      </c>
      <c r="K61" t="str">
        <f t="shared" si="1"/>
        <v>Diabetes</v>
      </c>
      <c r="L61">
        <v>28</v>
      </c>
      <c r="M61" t="s">
        <v>2362</v>
      </c>
      <c r="N61">
        <v>1997</v>
      </c>
      <c r="O61" s="8">
        <f t="shared" si="2"/>
        <v>35609</v>
      </c>
      <c r="P61" s="10">
        <v>1178.07</v>
      </c>
      <c r="Q61" t="s">
        <v>2357</v>
      </c>
      <c r="R61" t="s">
        <v>2357</v>
      </c>
      <c r="S61" t="s">
        <v>2359</v>
      </c>
      <c r="T61">
        <f t="shared" ca="1" si="3"/>
        <v>29</v>
      </c>
      <c r="U61">
        <f>VLOOKUP($A61,'Medical Examination'!$A:$Z,2,FALSE)</f>
        <v>54.82</v>
      </c>
    </row>
    <row r="62" spans="1:21" ht="15.5" x14ac:dyDescent="0.35">
      <c r="A62" s="2" t="s">
        <v>62</v>
      </c>
      <c r="B62" s="2" t="s">
        <v>2530</v>
      </c>
      <c r="C62">
        <v>38.06</v>
      </c>
      <c r="D62">
        <v>6.04</v>
      </c>
      <c r="E62" t="s">
        <v>2344</v>
      </c>
      <c r="F62" t="s">
        <v>2344</v>
      </c>
      <c r="G62" t="s">
        <v>2346</v>
      </c>
      <c r="H62">
        <v>1</v>
      </c>
      <c r="I62" t="s">
        <v>2346</v>
      </c>
      <c r="J62" t="str">
        <f t="shared" si="0"/>
        <v>Obesity</v>
      </c>
      <c r="K62" t="str">
        <f t="shared" si="1"/>
        <v>Prediabetes</v>
      </c>
      <c r="L62">
        <v>26</v>
      </c>
      <c r="M62" t="s">
        <v>2366</v>
      </c>
      <c r="N62">
        <v>2002</v>
      </c>
      <c r="O62" s="8">
        <f t="shared" si="2"/>
        <v>37494</v>
      </c>
      <c r="P62" s="10">
        <v>1191</v>
      </c>
      <c r="Q62" t="s">
        <v>2357</v>
      </c>
      <c r="R62" t="s">
        <v>2361</v>
      </c>
      <c r="S62" t="s">
        <v>2359</v>
      </c>
      <c r="T62">
        <f t="shared" ca="1" si="3"/>
        <v>24</v>
      </c>
      <c r="U62">
        <f>VLOOKUP($A62,'Medical Examination'!$A:$Z,2,FALSE)</f>
        <v>38.06</v>
      </c>
    </row>
    <row r="63" spans="1:21" ht="15.5" x14ac:dyDescent="0.35">
      <c r="A63" s="2" t="s">
        <v>63</v>
      </c>
      <c r="B63" s="2" t="s">
        <v>2532</v>
      </c>
      <c r="C63">
        <v>51.48</v>
      </c>
      <c r="D63">
        <v>9.33</v>
      </c>
      <c r="E63" t="s">
        <v>2346</v>
      </c>
      <c r="F63" t="s">
        <v>2344</v>
      </c>
      <c r="G63" t="s">
        <v>2344</v>
      </c>
      <c r="H63">
        <v>0</v>
      </c>
      <c r="I63" t="s">
        <v>2346</v>
      </c>
      <c r="J63" t="str">
        <f t="shared" si="0"/>
        <v>Obesity</v>
      </c>
      <c r="K63" t="str">
        <f t="shared" si="1"/>
        <v>Diabetes</v>
      </c>
      <c r="L63">
        <v>28</v>
      </c>
      <c r="M63" t="s">
        <v>2362</v>
      </c>
      <c r="N63">
        <v>1999</v>
      </c>
      <c r="O63" s="8">
        <f t="shared" si="2"/>
        <v>36339</v>
      </c>
      <c r="P63" s="10">
        <v>1200</v>
      </c>
      <c r="Q63" t="s">
        <v>2357</v>
      </c>
      <c r="R63" t="s">
        <v>2358</v>
      </c>
      <c r="S63" t="s">
        <v>2364</v>
      </c>
      <c r="T63">
        <f t="shared" ca="1" si="3"/>
        <v>27</v>
      </c>
      <c r="U63">
        <f>VLOOKUP($A63,'Medical Examination'!$A:$Z,2,FALSE)</f>
        <v>51.48</v>
      </c>
    </row>
    <row r="64" spans="1:21" ht="15.5" x14ac:dyDescent="0.35">
      <c r="A64" s="2" t="s">
        <v>64</v>
      </c>
      <c r="B64" s="2" t="s">
        <v>2535</v>
      </c>
      <c r="C64">
        <v>52.06</v>
      </c>
      <c r="D64">
        <v>11.47</v>
      </c>
      <c r="E64" t="s">
        <v>2344</v>
      </c>
      <c r="F64" t="s">
        <v>2344</v>
      </c>
      <c r="G64" t="s">
        <v>2344</v>
      </c>
      <c r="H64">
        <v>0</v>
      </c>
      <c r="I64" t="s">
        <v>2346</v>
      </c>
      <c r="J64" t="str">
        <f t="shared" si="0"/>
        <v>Obesity</v>
      </c>
      <c r="K64" t="str">
        <f t="shared" si="1"/>
        <v>Diabetes</v>
      </c>
      <c r="L64">
        <v>6</v>
      </c>
      <c r="M64" t="s">
        <v>2367</v>
      </c>
      <c r="N64">
        <v>1992</v>
      </c>
      <c r="O64" s="8">
        <f t="shared" si="2"/>
        <v>33883</v>
      </c>
      <c r="P64" s="10">
        <v>1200.55</v>
      </c>
      <c r="Q64" t="s">
        <v>2357</v>
      </c>
      <c r="R64" t="s">
        <v>2358</v>
      </c>
      <c r="S64" t="s">
        <v>2359</v>
      </c>
      <c r="T64">
        <f t="shared" ca="1" si="3"/>
        <v>34</v>
      </c>
      <c r="U64">
        <f>VLOOKUP($A64,'Medical Examination'!$A:$Z,2,FALSE)</f>
        <v>52.06</v>
      </c>
    </row>
    <row r="65" spans="1:21" ht="15.5" x14ac:dyDescent="0.35">
      <c r="A65" s="2" t="s">
        <v>65</v>
      </c>
      <c r="B65" s="2" t="s">
        <v>2537</v>
      </c>
      <c r="C65">
        <v>30.684999999999999</v>
      </c>
      <c r="D65">
        <v>7.02</v>
      </c>
      <c r="E65" t="s">
        <v>2346</v>
      </c>
      <c r="F65" t="s">
        <v>2344</v>
      </c>
      <c r="G65" t="s">
        <v>2344</v>
      </c>
      <c r="H65">
        <v>0</v>
      </c>
      <c r="I65" t="s">
        <v>2346</v>
      </c>
      <c r="J65" t="str">
        <f t="shared" si="0"/>
        <v>Obesity</v>
      </c>
      <c r="K65" t="str">
        <f t="shared" si="1"/>
        <v>Diabetes</v>
      </c>
      <c r="L65">
        <v>2</v>
      </c>
      <c r="M65" t="s">
        <v>2362</v>
      </c>
      <c r="N65">
        <v>2004</v>
      </c>
      <c r="O65" s="8">
        <f t="shared" si="2"/>
        <v>38140</v>
      </c>
      <c r="P65" s="10">
        <v>1210</v>
      </c>
      <c r="Q65" t="s">
        <v>2357</v>
      </c>
      <c r="R65" t="s">
        <v>2361</v>
      </c>
      <c r="S65" t="s">
        <v>2359</v>
      </c>
      <c r="T65">
        <f t="shared" ca="1" si="3"/>
        <v>22</v>
      </c>
      <c r="U65">
        <f>VLOOKUP($A65,'Medical Examination'!$A:$Z,2,FALSE)</f>
        <v>30.684999999999999</v>
      </c>
    </row>
    <row r="66" spans="1:21" ht="15.5" x14ac:dyDescent="0.35">
      <c r="A66" s="2" t="s">
        <v>66</v>
      </c>
      <c r="B66" s="2" t="s">
        <v>2538</v>
      </c>
      <c r="C66">
        <v>36.08</v>
      </c>
      <c r="D66">
        <v>8.8000000000000007</v>
      </c>
      <c r="E66" t="s">
        <v>2346</v>
      </c>
      <c r="F66" t="s">
        <v>2344</v>
      </c>
      <c r="G66" t="s">
        <v>2344</v>
      </c>
      <c r="H66">
        <v>1</v>
      </c>
      <c r="I66" t="s">
        <v>2346</v>
      </c>
      <c r="J66" t="str">
        <f t="shared" si="0"/>
        <v>Obesity</v>
      </c>
      <c r="K66" t="str">
        <f t="shared" si="1"/>
        <v>Diabetes</v>
      </c>
      <c r="L66">
        <v>4</v>
      </c>
      <c r="M66" t="s">
        <v>2360</v>
      </c>
      <c r="N66">
        <v>1996</v>
      </c>
      <c r="O66" s="8">
        <f t="shared" si="2"/>
        <v>35373</v>
      </c>
      <c r="P66" s="10">
        <v>1220</v>
      </c>
      <c r="Q66" t="s">
        <v>2357</v>
      </c>
      <c r="R66" t="s">
        <v>2358</v>
      </c>
      <c r="S66" t="s">
        <v>2364</v>
      </c>
      <c r="T66">
        <f t="shared" ca="1" si="3"/>
        <v>30</v>
      </c>
      <c r="U66">
        <f>VLOOKUP($A66,'Medical Examination'!$A:$Z,2,FALSE)</f>
        <v>36.08</v>
      </c>
    </row>
    <row r="67" spans="1:21" ht="15.5" x14ac:dyDescent="0.35">
      <c r="A67" s="2" t="s">
        <v>67</v>
      </c>
      <c r="B67" s="2" t="s">
        <v>2541</v>
      </c>
      <c r="C67">
        <v>54.99</v>
      </c>
      <c r="D67">
        <v>8.68</v>
      </c>
      <c r="E67" t="s">
        <v>2344</v>
      </c>
      <c r="F67" t="s">
        <v>2344</v>
      </c>
      <c r="G67" t="s">
        <v>2344</v>
      </c>
      <c r="H67">
        <v>1</v>
      </c>
      <c r="I67" t="s">
        <v>2346</v>
      </c>
      <c r="J67" t="str">
        <f t="shared" ref="J67:J130" si="4">IF(C67&lt;18.5,"Under Weight",IF(C67&lt;25,"Normal Weight",IF(C67&lt;30,"Over weight","Obesity")))</f>
        <v>Obesity</v>
      </c>
      <c r="K67" t="str">
        <f t="shared" ref="K67:K130" si="5">IF(D67&lt;5.7,"Normal",IF(D67&lt;6.5,"Prediabetes","Diabetes"))</f>
        <v>Diabetes</v>
      </c>
      <c r="L67">
        <v>9</v>
      </c>
      <c r="M67" t="s">
        <v>2356</v>
      </c>
      <c r="N67">
        <v>2004</v>
      </c>
      <c r="O67" s="8">
        <f t="shared" ref="O67:O130" si="6">DATE(N67,MONTH(1&amp;M67),L67)</f>
        <v>38177</v>
      </c>
      <c r="P67" s="10">
        <v>1224</v>
      </c>
      <c r="Q67" t="s">
        <v>2357</v>
      </c>
      <c r="R67" t="s">
        <v>2361</v>
      </c>
      <c r="S67" t="s">
        <v>2359</v>
      </c>
      <c r="T67">
        <f t="shared" ref="T67:T130" ca="1" si="7">YEAR(TODAY())-YEAR(O67)</f>
        <v>22</v>
      </c>
      <c r="U67">
        <f>VLOOKUP($A67,'Medical Examination'!$A:$Z,2,FALSE)</f>
        <v>54.99</v>
      </c>
    </row>
    <row r="68" spans="1:21" ht="15.5" x14ac:dyDescent="0.35">
      <c r="A68" s="2" t="s">
        <v>68</v>
      </c>
      <c r="B68" s="2" t="s">
        <v>2543</v>
      </c>
      <c r="C68">
        <v>35.97</v>
      </c>
      <c r="D68">
        <v>6.12</v>
      </c>
      <c r="E68" t="s">
        <v>2344</v>
      </c>
      <c r="F68" t="s">
        <v>2344</v>
      </c>
      <c r="G68" t="s">
        <v>2346</v>
      </c>
      <c r="H68">
        <v>1</v>
      </c>
      <c r="I68" t="s">
        <v>2346</v>
      </c>
      <c r="J68" t="str">
        <f t="shared" si="4"/>
        <v>Obesity</v>
      </c>
      <c r="K68" t="str">
        <f t="shared" si="5"/>
        <v>Prediabetes</v>
      </c>
      <c r="L68">
        <v>16</v>
      </c>
      <c r="M68" t="s">
        <v>2367</v>
      </c>
      <c r="N68">
        <v>2004</v>
      </c>
      <c r="O68" s="8">
        <f t="shared" si="6"/>
        <v>38276</v>
      </c>
      <c r="P68" s="10">
        <v>1228</v>
      </c>
      <c r="Q68" t="s">
        <v>2357</v>
      </c>
      <c r="R68" t="s">
        <v>2361</v>
      </c>
      <c r="S68" t="s">
        <v>2364</v>
      </c>
      <c r="T68">
        <f t="shared" ca="1" si="7"/>
        <v>22</v>
      </c>
      <c r="U68">
        <f>VLOOKUP($A68,'Medical Examination'!$A:$Z,2,FALSE)</f>
        <v>35.97</v>
      </c>
    </row>
    <row r="69" spans="1:21" ht="15.5" x14ac:dyDescent="0.35">
      <c r="A69" s="2" t="s">
        <v>69</v>
      </c>
      <c r="B69" s="2" t="s">
        <v>2545</v>
      </c>
      <c r="C69">
        <v>45.54</v>
      </c>
      <c r="D69">
        <v>5.4</v>
      </c>
      <c r="E69" t="s">
        <v>2346</v>
      </c>
      <c r="F69" t="s">
        <v>2344</v>
      </c>
      <c r="G69" t="s">
        <v>2346</v>
      </c>
      <c r="H69">
        <v>1</v>
      </c>
      <c r="I69" t="s">
        <v>2346</v>
      </c>
      <c r="J69" t="str">
        <f t="shared" si="4"/>
        <v>Obesity</v>
      </c>
      <c r="K69" t="str">
        <f t="shared" si="5"/>
        <v>Normal</v>
      </c>
      <c r="L69">
        <v>13</v>
      </c>
      <c r="M69" t="s">
        <v>2356</v>
      </c>
      <c r="N69">
        <v>1998</v>
      </c>
      <c r="O69" s="8">
        <f t="shared" si="6"/>
        <v>35989</v>
      </c>
      <c r="P69" s="10">
        <v>1234</v>
      </c>
      <c r="Q69" t="s">
        <v>2357</v>
      </c>
      <c r="R69" t="s">
        <v>2361</v>
      </c>
      <c r="S69" t="s">
        <v>2359</v>
      </c>
      <c r="T69">
        <f t="shared" ca="1" si="7"/>
        <v>28</v>
      </c>
      <c r="U69">
        <f>VLOOKUP($A69,'Medical Examination'!$A:$Z,2,FALSE)</f>
        <v>45.54</v>
      </c>
    </row>
    <row r="70" spans="1:21" ht="15.5" x14ac:dyDescent="0.35">
      <c r="A70" s="2" t="s">
        <v>70</v>
      </c>
      <c r="B70" s="2" t="s">
        <v>2547</v>
      </c>
      <c r="C70">
        <v>35.53</v>
      </c>
      <c r="D70">
        <v>4.3600000000000003</v>
      </c>
      <c r="E70" t="s">
        <v>2346</v>
      </c>
      <c r="F70" t="s">
        <v>2344</v>
      </c>
      <c r="G70" t="s">
        <v>2344</v>
      </c>
      <c r="H70">
        <v>0</v>
      </c>
      <c r="I70" t="s">
        <v>2346</v>
      </c>
      <c r="J70" t="str">
        <f t="shared" si="4"/>
        <v>Obesity</v>
      </c>
      <c r="K70" t="str">
        <f t="shared" si="5"/>
        <v>Normal</v>
      </c>
      <c r="L70">
        <v>12</v>
      </c>
      <c r="M70" t="s">
        <v>2365</v>
      </c>
      <c r="N70">
        <v>2002</v>
      </c>
      <c r="O70" s="8">
        <f t="shared" si="6"/>
        <v>37602</v>
      </c>
      <c r="P70" s="10">
        <v>1237</v>
      </c>
      <c r="Q70" t="s">
        <v>2357</v>
      </c>
      <c r="R70" t="s">
        <v>2357</v>
      </c>
      <c r="S70" t="s">
        <v>2359</v>
      </c>
      <c r="T70">
        <f t="shared" ca="1" si="7"/>
        <v>24</v>
      </c>
      <c r="U70">
        <f>VLOOKUP($A70,'Medical Examination'!$A:$Z,2,FALSE)</f>
        <v>35.53</v>
      </c>
    </row>
    <row r="71" spans="1:21" ht="15.5" x14ac:dyDescent="0.35">
      <c r="A71" s="2" t="s">
        <v>71</v>
      </c>
      <c r="B71" s="2" t="s">
        <v>2549</v>
      </c>
      <c r="C71">
        <v>30.8</v>
      </c>
      <c r="D71">
        <v>9.77</v>
      </c>
      <c r="E71" t="s">
        <v>2344</v>
      </c>
      <c r="F71" t="s">
        <v>2344</v>
      </c>
      <c r="G71" t="s">
        <v>2344</v>
      </c>
      <c r="H71">
        <v>0</v>
      </c>
      <c r="I71" t="s">
        <v>2346</v>
      </c>
      <c r="J71" t="str">
        <f t="shared" si="4"/>
        <v>Obesity</v>
      </c>
      <c r="K71" t="str">
        <f t="shared" si="5"/>
        <v>Diabetes</v>
      </c>
      <c r="L71">
        <v>11</v>
      </c>
      <c r="M71" t="s">
        <v>2367</v>
      </c>
      <c r="N71">
        <v>1998</v>
      </c>
      <c r="O71" s="8">
        <f t="shared" si="6"/>
        <v>36079</v>
      </c>
      <c r="P71" s="10">
        <v>1240</v>
      </c>
      <c r="Q71" t="s">
        <v>2357</v>
      </c>
      <c r="R71" t="s">
        <v>2361</v>
      </c>
      <c r="S71" t="s">
        <v>2364</v>
      </c>
      <c r="T71">
        <f t="shared" ca="1" si="7"/>
        <v>28</v>
      </c>
      <c r="U71">
        <f>VLOOKUP($A71,'Medical Examination'!$A:$Z,2,FALSE)</f>
        <v>30.8</v>
      </c>
    </row>
    <row r="72" spans="1:21" ht="15.5" x14ac:dyDescent="0.35">
      <c r="A72" s="2" t="s">
        <v>72</v>
      </c>
      <c r="B72" s="2" t="s">
        <v>2551</v>
      </c>
      <c r="C72">
        <v>38.39</v>
      </c>
      <c r="D72">
        <v>4.25</v>
      </c>
      <c r="E72" t="s">
        <v>2344</v>
      </c>
      <c r="F72" t="s">
        <v>2344</v>
      </c>
      <c r="G72" t="s">
        <v>2344</v>
      </c>
      <c r="H72">
        <v>1</v>
      </c>
      <c r="I72" t="s">
        <v>2346</v>
      </c>
      <c r="J72" t="str">
        <f t="shared" si="4"/>
        <v>Obesity</v>
      </c>
      <c r="K72" t="str">
        <f t="shared" si="5"/>
        <v>Normal</v>
      </c>
      <c r="L72">
        <v>1</v>
      </c>
      <c r="M72" t="s">
        <v>2356</v>
      </c>
      <c r="N72">
        <v>2002</v>
      </c>
      <c r="O72" s="8">
        <f t="shared" si="6"/>
        <v>37438</v>
      </c>
      <c r="P72" s="10">
        <v>1241</v>
      </c>
      <c r="Q72" t="s">
        <v>2357</v>
      </c>
      <c r="R72" t="s">
        <v>2357</v>
      </c>
      <c r="S72" t="s">
        <v>2359</v>
      </c>
      <c r="T72">
        <f t="shared" ca="1" si="7"/>
        <v>24</v>
      </c>
      <c r="U72">
        <f>VLOOKUP($A72,'Medical Examination'!$A:$Z,2,FALSE)</f>
        <v>38.39</v>
      </c>
    </row>
    <row r="73" spans="1:21" ht="15.5" x14ac:dyDescent="0.35">
      <c r="A73" s="2" t="s">
        <v>73</v>
      </c>
      <c r="B73" s="2" t="s">
        <v>2553</v>
      </c>
      <c r="C73">
        <v>32.299999999999997</v>
      </c>
      <c r="D73">
        <v>4.76</v>
      </c>
      <c r="E73" t="s">
        <v>2344</v>
      </c>
      <c r="F73" t="s">
        <v>2344</v>
      </c>
      <c r="G73" t="s">
        <v>2344</v>
      </c>
      <c r="H73">
        <v>1</v>
      </c>
      <c r="I73" t="s">
        <v>2346</v>
      </c>
      <c r="J73" t="str">
        <f t="shared" si="4"/>
        <v>Obesity</v>
      </c>
      <c r="K73" t="str">
        <f t="shared" si="5"/>
        <v>Normal</v>
      </c>
      <c r="L73">
        <v>2</v>
      </c>
      <c r="M73" t="s">
        <v>2366</v>
      </c>
      <c r="N73">
        <v>2003</v>
      </c>
      <c r="O73" s="8">
        <f t="shared" si="6"/>
        <v>37835</v>
      </c>
      <c r="P73" s="10">
        <v>1241.57</v>
      </c>
      <c r="Q73" t="s">
        <v>2357</v>
      </c>
      <c r="R73" t="s">
        <v>2357</v>
      </c>
      <c r="S73" t="s">
        <v>2368</v>
      </c>
      <c r="T73">
        <f t="shared" ca="1" si="7"/>
        <v>23</v>
      </c>
      <c r="U73">
        <f>VLOOKUP($A73,'Medical Examination'!$A:$Z,2,FALSE)</f>
        <v>32.299999999999997</v>
      </c>
    </row>
    <row r="74" spans="1:21" ht="15.5" x14ac:dyDescent="0.35">
      <c r="A74" s="2" t="s">
        <v>74</v>
      </c>
      <c r="B74" s="2" t="s">
        <v>2556</v>
      </c>
      <c r="C74">
        <v>48.8</v>
      </c>
      <c r="D74">
        <v>6.22</v>
      </c>
      <c r="E74" t="s">
        <v>2346</v>
      </c>
      <c r="F74" t="s">
        <v>2344</v>
      </c>
      <c r="G74" t="s">
        <v>2344</v>
      </c>
      <c r="H74">
        <v>1</v>
      </c>
      <c r="I74" t="s">
        <v>2346</v>
      </c>
      <c r="J74" t="str">
        <f t="shared" si="4"/>
        <v>Obesity</v>
      </c>
      <c r="K74" t="str">
        <f t="shared" si="5"/>
        <v>Prediabetes</v>
      </c>
      <c r="L74">
        <v>15</v>
      </c>
      <c r="M74" t="s">
        <v>2363</v>
      </c>
      <c r="N74">
        <v>2003</v>
      </c>
      <c r="O74" s="8">
        <f t="shared" si="6"/>
        <v>37879</v>
      </c>
      <c r="P74" s="10">
        <v>1242.26</v>
      </c>
      <c r="Q74" t="s">
        <v>2357</v>
      </c>
      <c r="R74" t="s">
        <v>2361</v>
      </c>
      <c r="S74" t="s">
        <v>2368</v>
      </c>
      <c r="T74">
        <f t="shared" ca="1" si="7"/>
        <v>23</v>
      </c>
      <c r="U74">
        <f>VLOOKUP($A74,'Medical Examination'!$A:$Z,2,FALSE)</f>
        <v>48.8</v>
      </c>
    </row>
    <row r="75" spans="1:21" ht="15.5" x14ac:dyDescent="0.35">
      <c r="A75" s="2" t="s">
        <v>75</v>
      </c>
      <c r="B75" s="2" t="s">
        <v>2558</v>
      </c>
      <c r="C75">
        <v>45.5</v>
      </c>
      <c r="D75">
        <v>7.96</v>
      </c>
      <c r="E75" t="s">
        <v>2344</v>
      </c>
      <c r="F75" t="s">
        <v>2344</v>
      </c>
      <c r="G75" t="s">
        <v>2344</v>
      </c>
      <c r="H75">
        <v>0</v>
      </c>
      <c r="I75" t="s">
        <v>2346</v>
      </c>
      <c r="J75" t="str">
        <f t="shared" si="4"/>
        <v>Obesity</v>
      </c>
      <c r="K75" t="str">
        <f t="shared" si="5"/>
        <v>Diabetes</v>
      </c>
      <c r="L75">
        <v>8</v>
      </c>
      <c r="M75" t="s">
        <v>2363</v>
      </c>
      <c r="N75">
        <v>2003</v>
      </c>
      <c r="O75" s="8">
        <f t="shared" si="6"/>
        <v>37872</v>
      </c>
      <c r="P75" s="10">
        <v>1242.82</v>
      </c>
      <c r="Q75" t="s">
        <v>2357</v>
      </c>
      <c r="R75" t="s">
        <v>2361</v>
      </c>
      <c r="S75" t="s">
        <v>2368</v>
      </c>
      <c r="T75">
        <f t="shared" ca="1" si="7"/>
        <v>23</v>
      </c>
      <c r="U75">
        <f>VLOOKUP($A75,'Medical Examination'!$A:$Z,2,FALSE)</f>
        <v>45.5</v>
      </c>
    </row>
    <row r="76" spans="1:21" ht="15.5" x14ac:dyDescent="0.35">
      <c r="A76" s="2" t="s">
        <v>76</v>
      </c>
      <c r="B76" s="2" t="s">
        <v>2559</v>
      </c>
      <c r="C76">
        <v>53.61</v>
      </c>
      <c r="D76">
        <v>10.92</v>
      </c>
      <c r="E76" t="s">
        <v>2346</v>
      </c>
      <c r="F76" t="s">
        <v>2344</v>
      </c>
      <c r="G76" t="s">
        <v>2344</v>
      </c>
      <c r="H76">
        <v>1</v>
      </c>
      <c r="I76" t="s">
        <v>2346</v>
      </c>
      <c r="J76" t="str">
        <f t="shared" si="4"/>
        <v>Obesity</v>
      </c>
      <c r="K76" t="str">
        <f t="shared" si="5"/>
        <v>Diabetes</v>
      </c>
      <c r="L76">
        <v>15</v>
      </c>
      <c r="M76" t="s">
        <v>2363</v>
      </c>
      <c r="N76">
        <v>2003</v>
      </c>
      <c r="O76" s="8">
        <f t="shared" si="6"/>
        <v>37879</v>
      </c>
      <c r="P76" s="10">
        <v>1252.4100000000001</v>
      </c>
      <c r="Q76" t="s">
        <v>2357</v>
      </c>
      <c r="R76" t="s">
        <v>2358</v>
      </c>
      <c r="S76" t="s">
        <v>2368</v>
      </c>
      <c r="T76">
        <f t="shared" ca="1" si="7"/>
        <v>23</v>
      </c>
      <c r="U76">
        <f>VLOOKUP($A76,'Medical Examination'!$A:$Z,2,FALSE)</f>
        <v>53.61</v>
      </c>
    </row>
    <row r="77" spans="1:21" ht="15.5" x14ac:dyDescent="0.35">
      <c r="A77" s="2" t="s">
        <v>77</v>
      </c>
      <c r="B77" s="2" t="s">
        <v>2562</v>
      </c>
      <c r="C77">
        <v>36.19</v>
      </c>
      <c r="D77">
        <v>11.51</v>
      </c>
      <c r="E77" t="s">
        <v>2346</v>
      </c>
      <c r="F77" t="s">
        <v>2344</v>
      </c>
      <c r="G77" t="s">
        <v>2344</v>
      </c>
      <c r="H77">
        <v>1</v>
      </c>
      <c r="I77" t="s">
        <v>2346</v>
      </c>
      <c r="J77" t="str">
        <f t="shared" si="4"/>
        <v>Obesity</v>
      </c>
      <c r="K77" t="str">
        <f t="shared" si="5"/>
        <v>Diabetes</v>
      </c>
      <c r="L77">
        <v>4</v>
      </c>
      <c r="M77" t="s">
        <v>2360</v>
      </c>
      <c r="N77">
        <v>1997</v>
      </c>
      <c r="O77" s="8">
        <f t="shared" si="6"/>
        <v>35738</v>
      </c>
      <c r="P77" s="10">
        <v>1253</v>
      </c>
      <c r="Q77" t="s">
        <v>2357</v>
      </c>
      <c r="R77" t="s">
        <v>2357</v>
      </c>
      <c r="S77" t="s">
        <v>2359</v>
      </c>
      <c r="T77">
        <f t="shared" ca="1" si="7"/>
        <v>29</v>
      </c>
      <c r="U77">
        <f>VLOOKUP($A77,'Medical Examination'!$A:$Z,2,FALSE)</f>
        <v>36.19</v>
      </c>
    </row>
    <row r="78" spans="1:21" ht="15.5" x14ac:dyDescent="0.35">
      <c r="A78" s="2" t="s">
        <v>78</v>
      </c>
      <c r="B78" s="2" t="s">
        <v>2564</v>
      </c>
      <c r="C78">
        <v>34.6</v>
      </c>
      <c r="D78">
        <v>5.99</v>
      </c>
      <c r="E78" t="s">
        <v>2346</v>
      </c>
      <c r="F78" t="s">
        <v>2344</v>
      </c>
      <c r="G78" t="s">
        <v>2344</v>
      </c>
      <c r="H78">
        <v>0</v>
      </c>
      <c r="I78" t="s">
        <v>2346</v>
      </c>
      <c r="J78" t="str">
        <f t="shared" si="4"/>
        <v>Obesity</v>
      </c>
      <c r="K78" t="str">
        <f t="shared" si="5"/>
        <v>Prediabetes</v>
      </c>
      <c r="L78">
        <v>10</v>
      </c>
      <c r="M78" t="s">
        <v>2365</v>
      </c>
      <c r="N78">
        <v>2003</v>
      </c>
      <c r="O78" s="8">
        <f t="shared" si="6"/>
        <v>37965</v>
      </c>
      <c r="P78" s="10">
        <v>1253.94</v>
      </c>
      <c r="Q78" t="s">
        <v>2357</v>
      </c>
      <c r="R78" t="s">
        <v>2357</v>
      </c>
      <c r="S78" t="s">
        <v>2368</v>
      </c>
      <c r="T78">
        <f t="shared" ca="1" si="7"/>
        <v>23</v>
      </c>
      <c r="U78">
        <f>VLOOKUP($A78,'Medical Examination'!$A:$Z,2,FALSE)</f>
        <v>34.6</v>
      </c>
    </row>
    <row r="79" spans="1:21" ht="15.5" x14ac:dyDescent="0.35">
      <c r="A79" s="2" t="s">
        <v>79</v>
      </c>
      <c r="B79" s="2" t="s">
        <v>2566</v>
      </c>
      <c r="C79">
        <v>54.12</v>
      </c>
      <c r="D79">
        <v>11.57</v>
      </c>
      <c r="E79" t="s">
        <v>2344</v>
      </c>
      <c r="F79" t="s">
        <v>2344</v>
      </c>
      <c r="G79" t="s">
        <v>2344</v>
      </c>
      <c r="H79">
        <v>0</v>
      </c>
      <c r="I79" t="s">
        <v>2346</v>
      </c>
      <c r="J79" t="str">
        <f t="shared" si="4"/>
        <v>Obesity</v>
      </c>
      <c r="K79" t="str">
        <f t="shared" si="5"/>
        <v>Diabetes</v>
      </c>
      <c r="L79">
        <v>13</v>
      </c>
      <c r="M79" t="s">
        <v>2367</v>
      </c>
      <c r="N79">
        <v>2003</v>
      </c>
      <c r="O79" s="8">
        <f t="shared" si="6"/>
        <v>37907</v>
      </c>
      <c r="P79" s="10">
        <v>1256.3</v>
      </c>
      <c r="Q79" t="s">
        <v>2357</v>
      </c>
      <c r="R79" t="s">
        <v>2358</v>
      </c>
      <c r="S79" t="s">
        <v>2368</v>
      </c>
      <c r="T79">
        <f t="shared" ca="1" si="7"/>
        <v>23</v>
      </c>
      <c r="U79">
        <f>VLOOKUP($A79,'Medical Examination'!$A:$Z,2,FALSE)</f>
        <v>54.12</v>
      </c>
    </row>
    <row r="80" spans="1:21" ht="15.5" x14ac:dyDescent="0.35">
      <c r="A80" s="2" t="s">
        <v>80</v>
      </c>
      <c r="B80" s="2" t="s">
        <v>2568</v>
      </c>
      <c r="C80">
        <v>48.82</v>
      </c>
      <c r="D80">
        <v>6.67</v>
      </c>
      <c r="E80" t="s">
        <v>2346</v>
      </c>
      <c r="F80" t="s">
        <v>2344</v>
      </c>
      <c r="G80" t="s">
        <v>2344</v>
      </c>
      <c r="H80">
        <v>0</v>
      </c>
      <c r="I80" t="s">
        <v>2346</v>
      </c>
      <c r="J80" t="str">
        <f t="shared" si="4"/>
        <v>Obesity</v>
      </c>
      <c r="K80" t="str">
        <f t="shared" si="5"/>
        <v>Diabetes</v>
      </c>
      <c r="L80">
        <v>30</v>
      </c>
      <c r="M80" t="s">
        <v>2367</v>
      </c>
      <c r="N80">
        <v>2003</v>
      </c>
      <c r="O80" s="8">
        <f t="shared" si="6"/>
        <v>37924</v>
      </c>
      <c r="P80" s="10">
        <v>1261.44</v>
      </c>
      <c r="Q80" t="s">
        <v>2357</v>
      </c>
      <c r="R80" t="s">
        <v>2358</v>
      </c>
      <c r="S80" t="s">
        <v>2368</v>
      </c>
      <c r="T80">
        <f t="shared" ca="1" si="7"/>
        <v>23</v>
      </c>
      <c r="U80">
        <f>VLOOKUP($A80,'Medical Examination'!$A:$Z,2,FALSE)</f>
        <v>48.82</v>
      </c>
    </row>
    <row r="81" spans="1:21" ht="15.5" x14ac:dyDescent="0.35">
      <c r="A81" s="2" t="s">
        <v>81</v>
      </c>
      <c r="B81" s="2" t="s">
        <v>2570</v>
      </c>
      <c r="C81">
        <v>51.01</v>
      </c>
      <c r="D81">
        <v>9.1999999999999993</v>
      </c>
      <c r="E81" t="s">
        <v>2344</v>
      </c>
      <c r="F81" t="s">
        <v>2344</v>
      </c>
      <c r="G81" t="s">
        <v>2344</v>
      </c>
      <c r="H81">
        <v>0</v>
      </c>
      <c r="I81" t="s">
        <v>2346</v>
      </c>
      <c r="J81" t="str">
        <f t="shared" si="4"/>
        <v>Obesity</v>
      </c>
      <c r="K81" t="str">
        <f t="shared" si="5"/>
        <v>Diabetes</v>
      </c>
      <c r="L81">
        <v>15</v>
      </c>
      <c r="M81" t="s">
        <v>2366</v>
      </c>
      <c r="N81">
        <v>2003</v>
      </c>
      <c r="O81" s="8">
        <f t="shared" si="6"/>
        <v>37848</v>
      </c>
      <c r="P81" s="10">
        <v>1261.8599999999999</v>
      </c>
      <c r="Q81" t="s">
        <v>2357</v>
      </c>
      <c r="R81" t="s">
        <v>2358</v>
      </c>
      <c r="S81" t="s">
        <v>2368</v>
      </c>
      <c r="T81">
        <f t="shared" ca="1" si="7"/>
        <v>23</v>
      </c>
      <c r="U81">
        <f>VLOOKUP($A81,'Medical Examination'!$A:$Z,2,FALSE)</f>
        <v>51.01</v>
      </c>
    </row>
    <row r="82" spans="1:21" ht="15.5" x14ac:dyDescent="0.35">
      <c r="A82" s="2" t="s">
        <v>82</v>
      </c>
      <c r="B82" s="2" t="s">
        <v>2571</v>
      </c>
      <c r="C82">
        <v>45.65</v>
      </c>
      <c r="D82">
        <v>5.1100000000000003</v>
      </c>
      <c r="E82" t="s">
        <v>2346</v>
      </c>
      <c r="F82" t="s">
        <v>2344</v>
      </c>
      <c r="G82" t="s">
        <v>2344</v>
      </c>
      <c r="H82">
        <v>1</v>
      </c>
      <c r="I82" t="s">
        <v>2346</v>
      </c>
      <c r="J82" t="str">
        <f t="shared" si="4"/>
        <v>Obesity</v>
      </c>
      <c r="K82" t="str">
        <f t="shared" si="5"/>
        <v>Normal</v>
      </c>
      <c r="L82">
        <v>21</v>
      </c>
      <c r="M82" t="s">
        <v>2360</v>
      </c>
      <c r="N82">
        <v>2003</v>
      </c>
      <c r="O82" s="8">
        <f t="shared" si="6"/>
        <v>37946</v>
      </c>
      <c r="P82" s="10">
        <v>1263.25</v>
      </c>
      <c r="Q82" t="s">
        <v>2357</v>
      </c>
      <c r="R82" t="s">
        <v>2358</v>
      </c>
      <c r="S82" t="s">
        <v>2368</v>
      </c>
      <c r="T82">
        <f t="shared" ca="1" si="7"/>
        <v>23</v>
      </c>
      <c r="U82">
        <f>VLOOKUP($A82,'Medical Examination'!$A:$Z,2,FALSE)</f>
        <v>45.65</v>
      </c>
    </row>
    <row r="83" spans="1:21" ht="15.5" x14ac:dyDescent="0.35">
      <c r="A83" s="2" t="s">
        <v>83</v>
      </c>
      <c r="B83" s="2" t="s">
        <v>2573</v>
      </c>
      <c r="C83">
        <v>52.9</v>
      </c>
      <c r="D83">
        <v>5.34</v>
      </c>
      <c r="E83" t="s">
        <v>2344</v>
      </c>
      <c r="F83" t="s">
        <v>2344</v>
      </c>
      <c r="G83" t="s">
        <v>2344</v>
      </c>
      <c r="H83">
        <v>0</v>
      </c>
      <c r="I83" t="s">
        <v>2346</v>
      </c>
      <c r="J83" t="str">
        <f t="shared" si="4"/>
        <v>Obesity</v>
      </c>
      <c r="K83" t="str">
        <f t="shared" si="5"/>
        <v>Normal</v>
      </c>
      <c r="L83">
        <v>4</v>
      </c>
      <c r="M83" t="s">
        <v>2365</v>
      </c>
      <c r="N83">
        <v>2002</v>
      </c>
      <c r="O83" s="8">
        <f t="shared" si="6"/>
        <v>37594</v>
      </c>
      <c r="P83" s="10">
        <v>1267</v>
      </c>
      <c r="Q83" t="s">
        <v>2357</v>
      </c>
      <c r="R83" t="s">
        <v>2361</v>
      </c>
      <c r="S83" t="s">
        <v>2359</v>
      </c>
      <c r="T83">
        <f t="shared" ca="1" si="7"/>
        <v>24</v>
      </c>
      <c r="U83">
        <f>VLOOKUP($A83,'Medical Examination'!$A:$Z,2,FALSE)</f>
        <v>52.9</v>
      </c>
    </row>
    <row r="84" spans="1:21" ht="15.5" x14ac:dyDescent="0.35">
      <c r="A84" s="2" t="s">
        <v>84</v>
      </c>
      <c r="B84" s="2" t="s">
        <v>2574</v>
      </c>
      <c r="C84">
        <v>45.41</v>
      </c>
      <c r="D84">
        <v>4.03</v>
      </c>
      <c r="E84" t="s">
        <v>2346</v>
      </c>
      <c r="F84" t="s">
        <v>2344</v>
      </c>
      <c r="G84" t="s">
        <v>2344</v>
      </c>
      <c r="H84">
        <v>1</v>
      </c>
      <c r="I84" t="s">
        <v>2346</v>
      </c>
      <c r="J84" t="str">
        <f t="shared" si="4"/>
        <v>Obesity</v>
      </c>
      <c r="K84" t="str">
        <f t="shared" si="5"/>
        <v>Normal</v>
      </c>
      <c r="L84">
        <v>26</v>
      </c>
      <c r="M84" t="s">
        <v>2367</v>
      </c>
      <c r="N84">
        <v>1997</v>
      </c>
      <c r="O84" s="8">
        <f t="shared" si="6"/>
        <v>35729</v>
      </c>
      <c r="P84" s="10">
        <v>1276</v>
      </c>
      <c r="Q84" t="s">
        <v>2357</v>
      </c>
      <c r="R84" t="s">
        <v>2357</v>
      </c>
      <c r="S84" t="s">
        <v>2364</v>
      </c>
      <c r="T84">
        <f t="shared" ca="1" si="7"/>
        <v>29</v>
      </c>
      <c r="U84">
        <f>VLOOKUP($A84,'Medical Examination'!$A:$Z,2,FALSE)</f>
        <v>45.41</v>
      </c>
    </row>
    <row r="85" spans="1:21" ht="15.5" x14ac:dyDescent="0.35">
      <c r="A85" s="2" t="s">
        <v>85</v>
      </c>
      <c r="B85" s="2" t="s">
        <v>2576</v>
      </c>
      <c r="C85">
        <v>49.41</v>
      </c>
      <c r="D85">
        <v>4.2300000000000004</v>
      </c>
      <c r="E85" t="s">
        <v>2346</v>
      </c>
      <c r="F85" t="s">
        <v>2344</v>
      </c>
      <c r="G85" t="s">
        <v>2346</v>
      </c>
      <c r="H85">
        <v>1</v>
      </c>
      <c r="I85" t="s">
        <v>2346</v>
      </c>
      <c r="J85" t="str">
        <f t="shared" si="4"/>
        <v>Obesity</v>
      </c>
      <c r="K85" t="str">
        <f t="shared" si="5"/>
        <v>Normal</v>
      </c>
      <c r="L85">
        <v>30</v>
      </c>
      <c r="M85" t="s">
        <v>2363</v>
      </c>
      <c r="N85">
        <v>2004</v>
      </c>
      <c r="O85" s="8">
        <f t="shared" si="6"/>
        <v>38260</v>
      </c>
      <c r="P85" s="10">
        <v>1283</v>
      </c>
      <c r="Q85" t="s">
        <v>2357</v>
      </c>
      <c r="R85" t="s">
        <v>2361</v>
      </c>
      <c r="S85" t="s">
        <v>2359</v>
      </c>
      <c r="T85">
        <f t="shared" ca="1" si="7"/>
        <v>22</v>
      </c>
      <c r="U85">
        <f>VLOOKUP($A85,'Medical Examination'!$A:$Z,2,FALSE)</f>
        <v>49.41</v>
      </c>
    </row>
    <row r="86" spans="1:21" ht="15.5" x14ac:dyDescent="0.35">
      <c r="A86" s="2" t="s">
        <v>86</v>
      </c>
      <c r="B86" s="2" t="s">
        <v>2578</v>
      </c>
      <c r="C86">
        <v>31.824999999999999</v>
      </c>
      <c r="D86">
        <v>4.0599999999999996</v>
      </c>
      <c r="E86" t="s">
        <v>2344</v>
      </c>
      <c r="F86" t="s">
        <v>2344</v>
      </c>
      <c r="G86" t="s">
        <v>2344</v>
      </c>
      <c r="H86">
        <v>1</v>
      </c>
      <c r="I86" t="s">
        <v>2346</v>
      </c>
      <c r="J86" t="str">
        <f t="shared" si="4"/>
        <v>Obesity</v>
      </c>
      <c r="K86" t="str">
        <f t="shared" si="5"/>
        <v>Normal</v>
      </c>
      <c r="L86">
        <v>28</v>
      </c>
      <c r="M86" t="s">
        <v>2356</v>
      </c>
      <c r="N86">
        <v>2004</v>
      </c>
      <c r="O86" s="8">
        <f t="shared" si="6"/>
        <v>38196</v>
      </c>
      <c r="P86" s="10">
        <v>1285</v>
      </c>
      <c r="Q86" t="s">
        <v>2357</v>
      </c>
      <c r="R86" t="s">
        <v>2358</v>
      </c>
      <c r="S86" t="s">
        <v>2359</v>
      </c>
      <c r="T86">
        <f t="shared" ca="1" si="7"/>
        <v>22</v>
      </c>
      <c r="U86">
        <f>VLOOKUP($A86,'Medical Examination'!$A:$Z,2,FALSE)</f>
        <v>31.824999999999999</v>
      </c>
    </row>
    <row r="87" spans="1:21" ht="15.5" x14ac:dyDescent="0.35">
      <c r="A87" s="2" t="s">
        <v>87</v>
      </c>
      <c r="B87" s="2" t="s">
        <v>2580</v>
      </c>
      <c r="C87">
        <v>51.28</v>
      </c>
      <c r="D87">
        <v>4.68</v>
      </c>
      <c r="E87" t="s">
        <v>2344</v>
      </c>
      <c r="F87" t="s">
        <v>2344</v>
      </c>
      <c r="G87" t="s">
        <v>2344</v>
      </c>
      <c r="H87">
        <v>1</v>
      </c>
      <c r="I87" t="s">
        <v>2346</v>
      </c>
      <c r="J87" t="str">
        <f t="shared" si="4"/>
        <v>Obesity</v>
      </c>
      <c r="K87" t="str">
        <f t="shared" si="5"/>
        <v>Normal</v>
      </c>
      <c r="L87">
        <v>26</v>
      </c>
      <c r="M87" t="s">
        <v>2362</v>
      </c>
      <c r="N87">
        <v>2000</v>
      </c>
      <c r="O87" s="8">
        <f t="shared" si="6"/>
        <v>36703</v>
      </c>
      <c r="P87" s="10">
        <v>1286</v>
      </c>
      <c r="Q87" t="s">
        <v>2357</v>
      </c>
      <c r="R87" t="s">
        <v>2357</v>
      </c>
      <c r="S87" t="s">
        <v>2359</v>
      </c>
      <c r="T87">
        <f t="shared" ca="1" si="7"/>
        <v>26</v>
      </c>
      <c r="U87">
        <f>VLOOKUP($A87,'Medical Examination'!$A:$Z,2,FALSE)</f>
        <v>51.28</v>
      </c>
    </row>
    <row r="88" spans="1:21" ht="15.5" x14ac:dyDescent="0.35">
      <c r="A88" s="2" t="s">
        <v>88</v>
      </c>
      <c r="B88" s="2" t="s">
        <v>2582</v>
      </c>
      <c r="C88">
        <v>34.96</v>
      </c>
      <c r="D88">
        <v>4.34</v>
      </c>
      <c r="E88" t="s">
        <v>2344</v>
      </c>
      <c r="F88" t="s">
        <v>2344</v>
      </c>
      <c r="G88" t="s">
        <v>2346</v>
      </c>
      <c r="H88">
        <v>1</v>
      </c>
      <c r="I88" t="s">
        <v>2346</v>
      </c>
      <c r="J88" t="str">
        <f t="shared" si="4"/>
        <v>Obesity</v>
      </c>
      <c r="K88" t="str">
        <f t="shared" si="5"/>
        <v>Normal</v>
      </c>
      <c r="L88">
        <v>4</v>
      </c>
      <c r="M88" t="s">
        <v>2362</v>
      </c>
      <c r="N88">
        <v>1998</v>
      </c>
      <c r="O88" s="8">
        <f t="shared" si="6"/>
        <v>35950</v>
      </c>
      <c r="P88" s="10">
        <v>1290.93</v>
      </c>
      <c r="Q88" t="s">
        <v>2357</v>
      </c>
      <c r="R88" t="s">
        <v>2357</v>
      </c>
      <c r="S88" t="s">
        <v>2359</v>
      </c>
      <c r="T88">
        <f t="shared" ca="1" si="7"/>
        <v>28</v>
      </c>
      <c r="U88">
        <f>VLOOKUP($A88,'Medical Examination'!$A:$Z,2,FALSE)</f>
        <v>34.96</v>
      </c>
    </row>
    <row r="89" spans="1:21" ht="15.5" x14ac:dyDescent="0.35">
      <c r="A89" s="2" t="s">
        <v>89</v>
      </c>
      <c r="B89" s="2" t="s">
        <v>2584</v>
      </c>
      <c r="C89">
        <v>33.11</v>
      </c>
      <c r="D89">
        <v>10.51</v>
      </c>
      <c r="E89" t="s">
        <v>2344</v>
      </c>
      <c r="F89" t="s">
        <v>2344</v>
      </c>
      <c r="G89" t="s">
        <v>2344</v>
      </c>
      <c r="H89">
        <v>0</v>
      </c>
      <c r="I89" t="s">
        <v>2346</v>
      </c>
      <c r="J89" t="str">
        <f t="shared" si="4"/>
        <v>Obesity</v>
      </c>
      <c r="K89" t="str">
        <f t="shared" si="5"/>
        <v>Diabetes</v>
      </c>
      <c r="L89">
        <v>29</v>
      </c>
      <c r="M89" t="s">
        <v>2360</v>
      </c>
      <c r="N89">
        <v>2001</v>
      </c>
      <c r="O89" s="8">
        <f t="shared" si="6"/>
        <v>37224</v>
      </c>
      <c r="P89" s="10">
        <v>1293</v>
      </c>
      <c r="Q89" t="s">
        <v>2357</v>
      </c>
      <c r="R89" t="s">
        <v>2358</v>
      </c>
      <c r="S89" t="s">
        <v>2364</v>
      </c>
      <c r="T89">
        <f t="shared" ca="1" si="7"/>
        <v>25</v>
      </c>
      <c r="U89">
        <f>VLOOKUP($A89,'Medical Examination'!$A:$Z,2,FALSE)</f>
        <v>33.11</v>
      </c>
    </row>
    <row r="90" spans="1:21" ht="15.5" x14ac:dyDescent="0.35">
      <c r="A90" s="2" t="s">
        <v>90</v>
      </c>
      <c r="B90" s="2" t="s">
        <v>2586</v>
      </c>
      <c r="C90">
        <v>54.74</v>
      </c>
      <c r="D90">
        <v>5.84</v>
      </c>
      <c r="E90" t="s">
        <v>2346</v>
      </c>
      <c r="F90" t="s">
        <v>2344</v>
      </c>
      <c r="G90" t="s">
        <v>2346</v>
      </c>
      <c r="H90">
        <v>1</v>
      </c>
      <c r="I90" t="s">
        <v>2346</v>
      </c>
      <c r="J90" t="str">
        <f t="shared" si="4"/>
        <v>Obesity</v>
      </c>
      <c r="K90" t="str">
        <f t="shared" si="5"/>
        <v>Prediabetes</v>
      </c>
      <c r="L90">
        <v>10</v>
      </c>
      <c r="M90" t="s">
        <v>2365</v>
      </c>
      <c r="N90">
        <v>2002</v>
      </c>
      <c r="O90" s="8">
        <f t="shared" si="6"/>
        <v>37600</v>
      </c>
      <c r="P90" s="10">
        <v>1304</v>
      </c>
      <c r="Q90" t="s">
        <v>2357</v>
      </c>
      <c r="R90" t="s">
        <v>2357</v>
      </c>
      <c r="S90" t="s">
        <v>2364</v>
      </c>
      <c r="T90">
        <f t="shared" ca="1" si="7"/>
        <v>24</v>
      </c>
      <c r="U90">
        <f>VLOOKUP($A90,'Medical Examination'!$A:$Z,2,FALSE)</f>
        <v>54.74</v>
      </c>
    </row>
    <row r="91" spans="1:21" ht="15.5" x14ac:dyDescent="0.35">
      <c r="A91" s="2" t="s">
        <v>91</v>
      </c>
      <c r="B91" s="2" t="s">
        <v>2588</v>
      </c>
      <c r="C91">
        <v>32.56</v>
      </c>
      <c r="D91">
        <v>5.41</v>
      </c>
      <c r="E91" t="s">
        <v>2344</v>
      </c>
      <c r="F91" t="s">
        <v>2344</v>
      </c>
      <c r="G91" t="s">
        <v>2346</v>
      </c>
      <c r="H91">
        <v>1</v>
      </c>
      <c r="I91" t="s">
        <v>2346</v>
      </c>
      <c r="J91" t="str">
        <f t="shared" si="4"/>
        <v>Obesity</v>
      </c>
      <c r="K91" t="str">
        <f t="shared" si="5"/>
        <v>Normal</v>
      </c>
      <c r="L91">
        <v>2</v>
      </c>
      <c r="M91" t="s">
        <v>2365</v>
      </c>
      <c r="N91">
        <v>1999</v>
      </c>
      <c r="O91" s="8">
        <f t="shared" si="6"/>
        <v>36496</v>
      </c>
      <c r="P91" s="10">
        <v>1304</v>
      </c>
      <c r="Q91" t="s">
        <v>2357</v>
      </c>
      <c r="R91" t="s">
        <v>2357</v>
      </c>
      <c r="S91" t="s">
        <v>2359</v>
      </c>
      <c r="T91">
        <f t="shared" ca="1" si="7"/>
        <v>27</v>
      </c>
      <c r="U91">
        <f>VLOOKUP($A91,'Medical Examination'!$A:$Z,2,FALSE)</f>
        <v>32.56</v>
      </c>
    </row>
    <row r="92" spans="1:21" ht="15.5" x14ac:dyDescent="0.35">
      <c r="A92" s="2" t="s">
        <v>92</v>
      </c>
      <c r="B92" s="2" t="s">
        <v>2591</v>
      </c>
      <c r="C92">
        <v>39.049999999999997</v>
      </c>
      <c r="D92">
        <v>6.06</v>
      </c>
      <c r="E92" t="s">
        <v>2344</v>
      </c>
      <c r="F92" t="s">
        <v>2344</v>
      </c>
      <c r="G92" t="s">
        <v>2344</v>
      </c>
      <c r="H92">
        <v>1</v>
      </c>
      <c r="I92" t="s">
        <v>2346</v>
      </c>
      <c r="J92" t="str">
        <f t="shared" si="4"/>
        <v>Obesity</v>
      </c>
      <c r="K92" t="str">
        <f t="shared" si="5"/>
        <v>Prediabetes</v>
      </c>
      <c r="L92">
        <v>13</v>
      </c>
      <c r="M92" t="s">
        <v>2367</v>
      </c>
      <c r="N92">
        <v>2002</v>
      </c>
      <c r="O92" s="8">
        <f t="shared" si="6"/>
        <v>37542</v>
      </c>
      <c r="P92" s="10">
        <v>1315</v>
      </c>
      <c r="Q92" t="s">
        <v>2357</v>
      </c>
      <c r="R92" t="s">
        <v>2357</v>
      </c>
      <c r="S92" t="s">
        <v>2359</v>
      </c>
      <c r="T92">
        <f t="shared" ca="1" si="7"/>
        <v>24</v>
      </c>
      <c r="U92">
        <f>VLOOKUP($A92,'Medical Examination'!$A:$Z,2,FALSE)</f>
        <v>39.049999999999997</v>
      </c>
    </row>
    <row r="93" spans="1:21" ht="15.5" x14ac:dyDescent="0.35">
      <c r="A93" s="2" t="s">
        <v>93</v>
      </c>
      <c r="B93" s="2" t="s">
        <v>2593</v>
      </c>
      <c r="C93">
        <v>42.75</v>
      </c>
      <c r="D93">
        <v>4.22</v>
      </c>
      <c r="E93" t="s">
        <v>2344</v>
      </c>
      <c r="F93" t="s">
        <v>2344</v>
      </c>
      <c r="G93" t="s">
        <v>2344</v>
      </c>
      <c r="H93">
        <v>0</v>
      </c>
      <c r="I93" t="s">
        <v>2346</v>
      </c>
      <c r="J93" t="str">
        <f t="shared" si="4"/>
        <v>Obesity</v>
      </c>
      <c r="K93" t="str">
        <f t="shared" si="5"/>
        <v>Normal</v>
      </c>
      <c r="L93">
        <v>14</v>
      </c>
      <c r="M93" t="s">
        <v>2367</v>
      </c>
      <c r="N93">
        <v>1999</v>
      </c>
      <c r="O93" s="8">
        <f t="shared" si="6"/>
        <v>36447</v>
      </c>
      <c r="P93" s="10">
        <v>1329.17</v>
      </c>
      <c r="Q93" t="s">
        <v>2357</v>
      </c>
      <c r="R93" t="s">
        <v>2358</v>
      </c>
      <c r="S93" t="s">
        <v>2359</v>
      </c>
      <c r="T93">
        <f t="shared" ca="1" si="7"/>
        <v>27</v>
      </c>
      <c r="U93">
        <f>VLOOKUP($A93,'Medical Examination'!$A:$Z,2,FALSE)</f>
        <v>42.75</v>
      </c>
    </row>
    <row r="94" spans="1:21" ht="15.5" x14ac:dyDescent="0.35">
      <c r="A94" s="2" t="s">
        <v>94</v>
      </c>
      <c r="B94" s="2" t="s">
        <v>2595</v>
      </c>
      <c r="C94">
        <v>50.58</v>
      </c>
      <c r="D94">
        <v>5.12</v>
      </c>
      <c r="E94" t="s">
        <v>2344</v>
      </c>
      <c r="F94" t="s">
        <v>2344</v>
      </c>
      <c r="G94" t="s">
        <v>2344</v>
      </c>
      <c r="H94">
        <v>1</v>
      </c>
      <c r="I94" t="s">
        <v>2346</v>
      </c>
      <c r="J94" t="str">
        <f t="shared" si="4"/>
        <v>Obesity</v>
      </c>
      <c r="K94" t="str">
        <f t="shared" si="5"/>
        <v>Normal</v>
      </c>
      <c r="L94">
        <v>12</v>
      </c>
      <c r="M94" t="s">
        <v>2356</v>
      </c>
      <c r="N94">
        <v>1998</v>
      </c>
      <c r="O94" s="8">
        <f t="shared" si="6"/>
        <v>35988</v>
      </c>
      <c r="P94" s="10">
        <v>1332.61</v>
      </c>
      <c r="Q94" t="s">
        <v>2357</v>
      </c>
      <c r="R94" t="s">
        <v>2358</v>
      </c>
      <c r="S94" t="s">
        <v>2359</v>
      </c>
      <c r="T94">
        <f t="shared" ca="1" si="7"/>
        <v>28</v>
      </c>
      <c r="U94">
        <f>VLOOKUP($A94,'Medical Examination'!$A:$Z,2,FALSE)</f>
        <v>50.58</v>
      </c>
    </row>
    <row r="95" spans="1:21" ht="15.5" x14ac:dyDescent="0.35">
      <c r="A95" s="2" t="s">
        <v>95</v>
      </c>
      <c r="B95" s="2" t="s">
        <v>2597</v>
      </c>
      <c r="C95">
        <v>30.495000000000001</v>
      </c>
      <c r="D95">
        <v>4.57</v>
      </c>
      <c r="E95" t="s">
        <v>2346</v>
      </c>
      <c r="F95" t="s">
        <v>2344</v>
      </c>
      <c r="G95" t="s">
        <v>2344</v>
      </c>
      <c r="H95">
        <v>0</v>
      </c>
      <c r="I95" t="s">
        <v>2346</v>
      </c>
      <c r="J95" t="str">
        <f t="shared" si="4"/>
        <v>Obesity</v>
      </c>
      <c r="K95" t="str">
        <f t="shared" si="5"/>
        <v>Normal</v>
      </c>
      <c r="L95">
        <v>30</v>
      </c>
      <c r="M95" t="s">
        <v>2356</v>
      </c>
      <c r="N95">
        <v>1995</v>
      </c>
      <c r="O95" s="8">
        <f t="shared" si="6"/>
        <v>34910</v>
      </c>
      <c r="P95" s="10">
        <v>1338</v>
      </c>
      <c r="Q95" t="s">
        <v>2357</v>
      </c>
      <c r="R95" t="s">
        <v>2358</v>
      </c>
      <c r="S95" t="s">
        <v>2364</v>
      </c>
      <c r="T95">
        <f t="shared" ca="1" si="7"/>
        <v>31</v>
      </c>
      <c r="U95">
        <f>VLOOKUP($A95,'Medical Examination'!$A:$Z,2,FALSE)</f>
        <v>30.495000000000001</v>
      </c>
    </row>
    <row r="96" spans="1:21" ht="15.5" x14ac:dyDescent="0.35">
      <c r="A96" s="2" t="s">
        <v>96</v>
      </c>
      <c r="B96" s="2" t="s">
        <v>2598</v>
      </c>
      <c r="C96">
        <v>48.31</v>
      </c>
      <c r="D96">
        <v>9.58</v>
      </c>
      <c r="E96" t="s">
        <v>2346</v>
      </c>
      <c r="F96" t="s">
        <v>2344</v>
      </c>
      <c r="G96" t="s">
        <v>2344</v>
      </c>
      <c r="H96">
        <v>1</v>
      </c>
      <c r="I96" t="s">
        <v>2346</v>
      </c>
      <c r="J96" t="str">
        <f t="shared" si="4"/>
        <v>Obesity</v>
      </c>
      <c r="K96" t="str">
        <f t="shared" si="5"/>
        <v>Diabetes</v>
      </c>
      <c r="L96">
        <v>7</v>
      </c>
      <c r="M96" t="s">
        <v>2360</v>
      </c>
      <c r="N96">
        <v>1997</v>
      </c>
      <c r="O96" s="8">
        <f t="shared" si="6"/>
        <v>35741</v>
      </c>
      <c r="P96" s="10">
        <v>1341.16</v>
      </c>
      <c r="Q96" t="s">
        <v>2357</v>
      </c>
      <c r="R96" t="s">
        <v>2357</v>
      </c>
      <c r="S96" t="s">
        <v>2364</v>
      </c>
      <c r="T96">
        <f t="shared" ca="1" si="7"/>
        <v>29</v>
      </c>
      <c r="U96">
        <f>VLOOKUP($A96,'Medical Examination'!$A:$Z,2,FALSE)</f>
        <v>48.31</v>
      </c>
    </row>
    <row r="97" spans="1:21" ht="15.5" x14ac:dyDescent="0.35">
      <c r="A97" s="2" t="s">
        <v>97</v>
      </c>
      <c r="B97" s="2" t="s">
        <v>2599</v>
      </c>
      <c r="C97">
        <v>48.99</v>
      </c>
      <c r="D97">
        <v>9.7799999999999994</v>
      </c>
      <c r="E97" t="s">
        <v>2346</v>
      </c>
      <c r="F97" t="s">
        <v>2344</v>
      </c>
      <c r="G97" t="s">
        <v>2344</v>
      </c>
      <c r="H97">
        <v>1</v>
      </c>
      <c r="I97" t="s">
        <v>2346</v>
      </c>
      <c r="J97" t="str">
        <f t="shared" si="4"/>
        <v>Obesity</v>
      </c>
      <c r="K97" t="str">
        <f t="shared" si="5"/>
        <v>Diabetes</v>
      </c>
      <c r="L97">
        <v>3</v>
      </c>
      <c r="M97" t="s">
        <v>2365</v>
      </c>
      <c r="N97">
        <v>1998</v>
      </c>
      <c r="O97" s="8">
        <f t="shared" si="6"/>
        <v>36132</v>
      </c>
      <c r="P97" s="10">
        <v>1359</v>
      </c>
      <c r="Q97" t="s">
        <v>2357</v>
      </c>
      <c r="R97" t="s">
        <v>2361</v>
      </c>
      <c r="S97" t="s">
        <v>2359</v>
      </c>
      <c r="T97">
        <f t="shared" ca="1" si="7"/>
        <v>28</v>
      </c>
      <c r="U97">
        <f>VLOOKUP($A97,'Medical Examination'!$A:$Z,2,FALSE)</f>
        <v>48.99</v>
      </c>
    </row>
    <row r="98" spans="1:21" ht="15.5" x14ac:dyDescent="0.35">
      <c r="A98" s="2" t="s">
        <v>98</v>
      </c>
      <c r="B98" s="2" t="s">
        <v>2600</v>
      </c>
      <c r="C98">
        <v>38.39</v>
      </c>
      <c r="D98">
        <v>4.1100000000000003</v>
      </c>
      <c r="E98" t="s">
        <v>2346</v>
      </c>
      <c r="F98" t="s">
        <v>2344</v>
      </c>
      <c r="G98" t="s">
        <v>2344</v>
      </c>
      <c r="H98">
        <v>0</v>
      </c>
      <c r="I98" t="s">
        <v>2346</v>
      </c>
      <c r="J98" t="str">
        <f t="shared" si="4"/>
        <v>Obesity</v>
      </c>
      <c r="K98" t="str">
        <f t="shared" si="5"/>
        <v>Normal</v>
      </c>
      <c r="L98">
        <v>15</v>
      </c>
      <c r="M98" t="s">
        <v>2366</v>
      </c>
      <c r="N98">
        <v>2002</v>
      </c>
      <c r="O98" s="8">
        <f t="shared" si="6"/>
        <v>37483</v>
      </c>
      <c r="P98" s="10">
        <v>1382</v>
      </c>
      <c r="Q98" t="s">
        <v>2357</v>
      </c>
      <c r="R98" t="s">
        <v>2361</v>
      </c>
      <c r="S98" t="s">
        <v>2359</v>
      </c>
      <c r="T98">
        <f t="shared" ca="1" si="7"/>
        <v>24</v>
      </c>
      <c r="U98">
        <f>VLOOKUP($A98,'Medical Examination'!$A:$Z,2,FALSE)</f>
        <v>38.39</v>
      </c>
    </row>
    <row r="99" spans="1:21" ht="15.5" x14ac:dyDescent="0.35">
      <c r="A99" s="2" t="s">
        <v>99</v>
      </c>
      <c r="B99" s="2" t="s">
        <v>2603</v>
      </c>
      <c r="C99">
        <v>44.34</v>
      </c>
      <c r="D99">
        <v>4.0199999999999996</v>
      </c>
      <c r="E99" t="s">
        <v>2346</v>
      </c>
      <c r="F99" t="s">
        <v>2344</v>
      </c>
      <c r="G99" t="s">
        <v>2344</v>
      </c>
      <c r="H99">
        <v>1</v>
      </c>
      <c r="I99" t="s">
        <v>2346</v>
      </c>
      <c r="J99" t="str">
        <f t="shared" si="4"/>
        <v>Obesity</v>
      </c>
      <c r="K99" t="str">
        <f t="shared" si="5"/>
        <v>Normal</v>
      </c>
      <c r="L99">
        <v>6</v>
      </c>
      <c r="M99" t="s">
        <v>2356</v>
      </c>
      <c r="N99">
        <v>1999</v>
      </c>
      <c r="O99" s="8">
        <f t="shared" si="6"/>
        <v>36347</v>
      </c>
      <c r="P99" s="10">
        <v>1389</v>
      </c>
      <c r="Q99" t="s">
        <v>2357</v>
      </c>
      <c r="R99" t="s">
        <v>2357</v>
      </c>
      <c r="S99" t="s">
        <v>2359</v>
      </c>
      <c r="T99">
        <f t="shared" ca="1" si="7"/>
        <v>27</v>
      </c>
      <c r="U99">
        <f>VLOOKUP($A99,'Medical Examination'!$A:$Z,2,FALSE)</f>
        <v>44.34</v>
      </c>
    </row>
    <row r="100" spans="1:21" ht="15.5" x14ac:dyDescent="0.35">
      <c r="A100" s="2" t="s">
        <v>100</v>
      </c>
      <c r="B100" s="2" t="s">
        <v>2605</v>
      </c>
      <c r="C100">
        <v>41.51</v>
      </c>
      <c r="D100">
        <v>6.92</v>
      </c>
      <c r="E100" t="s">
        <v>2344</v>
      </c>
      <c r="F100" t="s">
        <v>2344</v>
      </c>
      <c r="G100" t="s">
        <v>2344</v>
      </c>
      <c r="H100">
        <v>0</v>
      </c>
      <c r="I100" t="s">
        <v>2346</v>
      </c>
      <c r="J100" t="str">
        <f t="shared" si="4"/>
        <v>Obesity</v>
      </c>
      <c r="K100" t="str">
        <f t="shared" si="5"/>
        <v>Diabetes</v>
      </c>
      <c r="L100">
        <v>14</v>
      </c>
      <c r="M100" t="s">
        <v>2360</v>
      </c>
      <c r="N100">
        <v>2002</v>
      </c>
      <c r="O100" s="8">
        <f t="shared" si="6"/>
        <v>37574</v>
      </c>
      <c r="P100" s="10">
        <v>1390</v>
      </c>
      <c r="Q100" t="s">
        <v>2357</v>
      </c>
      <c r="R100" t="s">
        <v>2357</v>
      </c>
      <c r="S100" t="s">
        <v>2359</v>
      </c>
      <c r="T100">
        <f t="shared" ca="1" si="7"/>
        <v>24</v>
      </c>
      <c r="U100">
        <f>VLOOKUP($A100,'Medical Examination'!$A:$Z,2,FALSE)</f>
        <v>41.51</v>
      </c>
    </row>
    <row r="101" spans="1:21" ht="15.5" x14ac:dyDescent="0.35">
      <c r="A101" s="2" t="s">
        <v>101</v>
      </c>
      <c r="B101" s="2" t="s">
        <v>2608</v>
      </c>
      <c r="C101">
        <v>48.2</v>
      </c>
      <c r="D101">
        <v>4.84</v>
      </c>
      <c r="E101" t="s">
        <v>2344</v>
      </c>
      <c r="F101" t="s">
        <v>2344</v>
      </c>
      <c r="G101" t="s">
        <v>2344</v>
      </c>
      <c r="H101">
        <v>0</v>
      </c>
      <c r="I101" t="s">
        <v>2346</v>
      </c>
      <c r="J101" t="str">
        <f t="shared" si="4"/>
        <v>Obesity</v>
      </c>
      <c r="K101" t="str">
        <f t="shared" si="5"/>
        <v>Normal</v>
      </c>
      <c r="L101">
        <v>22</v>
      </c>
      <c r="M101" t="s">
        <v>2365</v>
      </c>
      <c r="N101">
        <v>2002</v>
      </c>
      <c r="O101" s="8">
        <f t="shared" si="6"/>
        <v>37612</v>
      </c>
      <c r="P101" s="10">
        <v>1391.53</v>
      </c>
      <c r="Q101" t="s">
        <v>2357</v>
      </c>
      <c r="R101" t="s">
        <v>2361</v>
      </c>
      <c r="S101" t="s">
        <v>2359</v>
      </c>
      <c r="T101">
        <f t="shared" ca="1" si="7"/>
        <v>24</v>
      </c>
      <c r="U101">
        <f>VLOOKUP($A101,'Medical Examination'!$A:$Z,2,FALSE)</f>
        <v>48.2</v>
      </c>
    </row>
    <row r="102" spans="1:21" ht="15.5" x14ac:dyDescent="0.35">
      <c r="A102" s="2" t="s">
        <v>102</v>
      </c>
      <c r="B102" s="2" t="s">
        <v>2609</v>
      </c>
      <c r="C102">
        <v>35.75</v>
      </c>
      <c r="D102" t="s">
        <v>2346</v>
      </c>
      <c r="E102" t="s">
        <v>2346</v>
      </c>
      <c r="F102" t="s">
        <v>2344</v>
      </c>
      <c r="G102" t="s">
        <v>2344</v>
      </c>
      <c r="H102">
        <v>0</v>
      </c>
      <c r="I102" t="s">
        <v>2346</v>
      </c>
      <c r="J102" t="str">
        <f t="shared" si="4"/>
        <v>Obesity</v>
      </c>
      <c r="K102" t="str">
        <f t="shared" si="5"/>
        <v>Diabetes</v>
      </c>
      <c r="L102">
        <v>5</v>
      </c>
      <c r="M102" t="s">
        <v>2363</v>
      </c>
      <c r="N102">
        <v>1998</v>
      </c>
      <c r="O102" s="8">
        <f t="shared" si="6"/>
        <v>36043</v>
      </c>
      <c r="P102" s="10">
        <v>1400.44</v>
      </c>
      <c r="Q102" t="s">
        <v>2357</v>
      </c>
      <c r="R102" t="s">
        <v>2357</v>
      </c>
      <c r="S102" t="s">
        <v>2359</v>
      </c>
      <c r="T102">
        <f t="shared" ca="1" si="7"/>
        <v>28</v>
      </c>
      <c r="U102">
        <f>VLOOKUP($A102,'Medical Examination'!$A:$Z,2,FALSE)</f>
        <v>35.75</v>
      </c>
    </row>
    <row r="103" spans="1:21" ht="15.5" x14ac:dyDescent="0.35">
      <c r="A103" s="2" t="s">
        <v>103</v>
      </c>
      <c r="B103" s="2" t="s">
        <v>2611</v>
      </c>
      <c r="C103">
        <v>53.81</v>
      </c>
      <c r="D103">
        <v>8.77</v>
      </c>
      <c r="E103" t="s">
        <v>2346</v>
      </c>
      <c r="F103" t="s">
        <v>2344</v>
      </c>
      <c r="G103" t="s">
        <v>2344</v>
      </c>
      <c r="H103">
        <v>0</v>
      </c>
      <c r="I103" t="s">
        <v>2346</v>
      </c>
      <c r="J103" t="str">
        <f t="shared" si="4"/>
        <v>Obesity</v>
      </c>
      <c r="K103" t="str">
        <f t="shared" si="5"/>
        <v>Diabetes</v>
      </c>
      <c r="L103">
        <v>27</v>
      </c>
      <c r="M103" t="s">
        <v>2367</v>
      </c>
      <c r="N103">
        <v>1997</v>
      </c>
      <c r="O103" s="8">
        <f t="shared" si="6"/>
        <v>35730</v>
      </c>
      <c r="P103" s="10">
        <v>1402</v>
      </c>
      <c r="Q103" t="s">
        <v>2357</v>
      </c>
      <c r="R103" t="s">
        <v>2358</v>
      </c>
      <c r="S103" t="s">
        <v>2368</v>
      </c>
      <c r="T103">
        <f t="shared" ca="1" si="7"/>
        <v>29</v>
      </c>
      <c r="U103">
        <f>VLOOKUP($A103,'Medical Examination'!$A:$Z,2,FALSE)</f>
        <v>53.81</v>
      </c>
    </row>
    <row r="104" spans="1:21" ht="15.5" x14ac:dyDescent="0.35">
      <c r="A104" s="2" t="s">
        <v>104</v>
      </c>
      <c r="B104" s="2" t="s">
        <v>2613</v>
      </c>
      <c r="C104">
        <v>49.48</v>
      </c>
      <c r="D104">
        <v>4.96</v>
      </c>
      <c r="E104" t="s">
        <v>2344</v>
      </c>
      <c r="F104" t="s">
        <v>2344</v>
      </c>
      <c r="G104" t="s">
        <v>2346</v>
      </c>
      <c r="H104">
        <v>1</v>
      </c>
      <c r="I104" t="s">
        <v>2346</v>
      </c>
      <c r="J104" t="str">
        <f t="shared" si="4"/>
        <v>Obesity</v>
      </c>
      <c r="K104" t="str">
        <f t="shared" si="5"/>
        <v>Normal</v>
      </c>
      <c r="L104">
        <v>23</v>
      </c>
      <c r="M104" t="s">
        <v>2362</v>
      </c>
      <c r="N104">
        <v>1996</v>
      </c>
      <c r="O104" s="8">
        <f t="shared" si="6"/>
        <v>35239</v>
      </c>
      <c r="P104" s="10">
        <v>1417</v>
      </c>
      <c r="Q104" t="s">
        <v>2357</v>
      </c>
      <c r="R104" t="s">
        <v>2358</v>
      </c>
      <c r="S104" t="s">
        <v>2359</v>
      </c>
      <c r="T104">
        <f t="shared" ca="1" si="7"/>
        <v>30</v>
      </c>
      <c r="U104">
        <f>VLOOKUP($A104,'Medical Examination'!$A:$Z,2,FALSE)</f>
        <v>49.48</v>
      </c>
    </row>
    <row r="105" spans="1:21" ht="15.5" x14ac:dyDescent="0.35">
      <c r="A105" s="2" t="s">
        <v>105</v>
      </c>
      <c r="B105" s="2" t="s">
        <v>2614</v>
      </c>
      <c r="C105">
        <v>34.1</v>
      </c>
      <c r="D105">
        <v>4.43</v>
      </c>
      <c r="E105" t="s">
        <v>2346</v>
      </c>
      <c r="F105" t="s">
        <v>2344</v>
      </c>
      <c r="G105" t="s">
        <v>2344</v>
      </c>
      <c r="H105">
        <v>0</v>
      </c>
      <c r="I105" t="s">
        <v>2346</v>
      </c>
      <c r="J105" t="str">
        <f t="shared" si="4"/>
        <v>Obesity</v>
      </c>
      <c r="K105" t="str">
        <f t="shared" si="5"/>
        <v>Normal</v>
      </c>
      <c r="L105">
        <v>23</v>
      </c>
      <c r="M105" t="s">
        <v>2366</v>
      </c>
      <c r="N105">
        <v>2001</v>
      </c>
      <c r="O105" s="8">
        <f t="shared" si="6"/>
        <v>37126</v>
      </c>
      <c r="P105" s="10">
        <v>1421</v>
      </c>
      <c r="Q105" t="s">
        <v>2357</v>
      </c>
      <c r="R105" t="s">
        <v>2357</v>
      </c>
      <c r="S105" t="s">
        <v>2359</v>
      </c>
      <c r="T105">
        <f t="shared" ca="1" si="7"/>
        <v>25</v>
      </c>
      <c r="U105">
        <f>VLOOKUP($A105,'Medical Examination'!$A:$Z,2,FALSE)</f>
        <v>34.1</v>
      </c>
    </row>
    <row r="106" spans="1:21" ht="15.5" x14ac:dyDescent="0.35">
      <c r="A106" s="2" t="s">
        <v>106</v>
      </c>
      <c r="B106" s="2" t="s">
        <v>2616</v>
      </c>
      <c r="C106">
        <v>35.299999999999997</v>
      </c>
      <c r="D106">
        <v>5.82</v>
      </c>
      <c r="E106" t="s">
        <v>2346</v>
      </c>
      <c r="F106" t="s">
        <v>2344</v>
      </c>
      <c r="G106" t="s">
        <v>2346</v>
      </c>
      <c r="H106">
        <v>1</v>
      </c>
      <c r="I106" t="s">
        <v>2346</v>
      </c>
      <c r="J106" t="str">
        <f t="shared" si="4"/>
        <v>Obesity</v>
      </c>
      <c r="K106" t="str">
        <f t="shared" si="5"/>
        <v>Prediabetes</v>
      </c>
      <c r="L106">
        <v>5</v>
      </c>
      <c r="M106" t="s">
        <v>2365</v>
      </c>
      <c r="N106">
        <v>1997</v>
      </c>
      <c r="O106" s="8">
        <f t="shared" si="6"/>
        <v>35769</v>
      </c>
      <c r="P106" s="10">
        <v>1422</v>
      </c>
      <c r="Q106" t="s">
        <v>2357</v>
      </c>
      <c r="R106" t="s">
        <v>2357</v>
      </c>
      <c r="S106" t="s">
        <v>2359</v>
      </c>
      <c r="T106">
        <f t="shared" ca="1" si="7"/>
        <v>29</v>
      </c>
      <c r="U106">
        <f>VLOOKUP($A106,'Medical Examination'!$A:$Z,2,FALSE)</f>
        <v>35.299999999999997</v>
      </c>
    </row>
    <row r="107" spans="1:21" ht="15.5" x14ac:dyDescent="0.35">
      <c r="A107" s="2" t="s">
        <v>107</v>
      </c>
      <c r="B107" s="2" t="s">
        <v>2618</v>
      </c>
      <c r="C107">
        <v>43.83</v>
      </c>
      <c r="D107">
        <v>6.03</v>
      </c>
      <c r="E107" t="s">
        <v>2346</v>
      </c>
      <c r="F107" t="s">
        <v>2344</v>
      </c>
      <c r="G107" t="s">
        <v>2344</v>
      </c>
      <c r="H107">
        <v>1</v>
      </c>
      <c r="I107" t="s">
        <v>2346</v>
      </c>
      <c r="J107" t="str">
        <f t="shared" si="4"/>
        <v>Obesity</v>
      </c>
      <c r="K107" t="str">
        <f t="shared" si="5"/>
        <v>Prediabetes</v>
      </c>
      <c r="L107">
        <v>1</v>
      </c>
      <c r="M107" t="s">
        <v>2363</v>
      </c>
      <c r="N107">
        <v>2000</v>
      </c>
      <c r="O107" s="8">
        <f t="shared" si="6"/>
        <v>36770</v>
      </c>
      <c r="P107" s="10">
        <v>1438</v>
      </c>
      <c r="Q107" t="s">
        <v>2357</v>
      </c>
      <c r="R107" t="s">
        <v>2357</v>
      </c>
      <c r="S107" t="s">
        <v>2359</v>
      </c>
      <c r="T107">
        <f t="shared" ca="1" si="7"/>
        <v>26</v>
      </c>
      <c r="U107">
        <f>VLOOKUP($A107,'Medical Examination'!$A:$Z,2,FALSE)</f>
        <v>43.83</v>
      </c>
    </row>
    <row r="108" spans="1:21" ht="15.5" x14ac:dyDescent="0.35">
      <c r="A108" s="2" t="s">
        <v>108</v>
      </c>
      <c r="B108" s="2" t="s">
        <v>2620</v>
      </c>
      <c r="C108">
        <v>50.07</v>
      </c>
      <c r="D108">
        <v>9.27</v>
      </c>
      <c r="E108" t="s">
        <v>2344</v>
      </c>
      <c r="F108" t="s">
        <v>2344</v>
      </c>
      <c r="G108" t="s">
        <v>2344</v>
      </c>
      <c r="H108">
        <v>0</v>
      </c>
      <c r="I108" t="s">
        <v>2346</v>
      </c>
      <c r="J108" t="str">
        <f t="shared" si="4"/>
        <v>Obesity</v>
      </c>
      <c r="K108" t="str">
        <f t="shared" si="5"/>
        <v>Diabetes</v>
      </c>
      <c r="L108">
        <v>19</v>
      </c>
      <c r="M108" t="s">
        <v>2362</v>
      </c>
      <c r="N108">
        <v>1997</v>
      </c>
      <c r="O108" s="8">
        <f t="shared" si="6"/>
        <v>35600</v>
      </c>
      <c r="P108" s="10">
        <v>1445</v>
      </c>
      <c r="Q108" t="s">
        <v>2357</v>
      </c>
      <c r="R108" t="s">
        <v>2361</v>
      </c>
      <c r="S108" t="s">
        <v>2359</v>
      </c>
      <c r="T108">
        <f t="shared" ca="1" si="7"/>
        <v>29</v>
      </c>
      <c r="U108">
        <f>VLOOKUP($A108,'Medical Examination'!$A:$Z,2,FALSE)</f>
        <v>50.07</v>
      </c>
    </row>
    <row r="109" spans="1:21" ht="15.5" x14ac:dyDescent="0.35">
      <c r="A109" s="2" t="s">
        <v>109</v>
      </c>
      <c r="B109" s="2" t="s">
        <v>2623</v>
      </c>
      <c r="C109">
        <v>32.774999999999999</v>
      </c>
      <c r="D109">
        <v>5.53</v>
      </c>
      <c r="E109" t="s">
        <v>2344</v>
      </c>
      <c r="F109" t="s">
        <v>2344</v>
      </c>
      <c r="G109" t="s">
        <v>2344</v>
      </c>
      <c r="H109">
        <v>0</v>
      </c>
      <c r="I109" t="s">
        <v>2346</v>
      </c>
      <c r="J109" t="str">
        <f t="shared" si="4"/>
        <v>Obesity</v>
      </c>
      <c r="K109" t="str">
        <f t="shared" si="5"/>
        <v>Normal</v>
      </c>
      <c r="L109">
        <v>20</v>
      </c>
      <c r="M109" t="s">
        <v>2362</v>
      </c>
      <c r="N109">
        <v>2003</v>
      </c>
      <c r="O109" s="8">
        <f t="shared" si="6"/>
        <v>37792</v>
      </c>
      <c r="P109" s="10">
        <v>1467</v>
      </c>
      <c r="Q109" t="s">
        <v>2357</v>
      </c>
      <c r="R109" t="s">
        <v>2357</v>
      </c>
      <c r="S109" t="s">
        <v>2359</v>
      </c>
      <c r="T109">
        <f t="shared" ca="1" si="7"/>
        <v>23</v>
      </c>
      <c r="U109">
        <f>VLOOKUP($A109,'Medical Examination'!$A:$Z,2,FALSE)</f>
        <v>32.774999999999999</v>
      </c>
    </row>
    <row r="110" spans="1:21" ht="15.5" x14ac:dyDescent="0.35">
      <c r="A110" s="2" t="s">
        <v>110</v>
      </c>
      <c r="B110" s="2" t="s">
        <v>2626</v>
      </c>
      <c r="C110">
        <v>34.104999999999997</v>
      </c>
      <c r="D110">
        <v>5.07</v>
      </c>
      <c r="E110" t="s">
        <v>2344</v>
      </c>
      <c r="F110" t="s">
        <v>2344</v>
      </c>
      <c r="G110" t="s">
        <v>2344</v>
      </c>
      <c r="H110">
        <v>1</v>
      </c>
      <c r="I110" t="s">
        <v>2346</v>
      </c>
      <c r="J110" t="str">
        <f t="shared" si="4"/>
        <v>Obesity</v>
      </c>
      <c r="K110" t="str">
        <f t="shared" si="5"/>
        <v>Normal</v>
      </c>
      <c r="L110">
        <v>7</v>
      </c>
      <c r="M110" t="s">
        <v>2365</v>
      </c>
      <c r="N110">
        <v>1998</v>
      </c>
      <c r="O110" s="8">
        <f t="shared" si="6"/>
        <v>36136</v>
      </c>
      <c r="P110" s="10">
        <v>1477</v>
      </c>
      <c r="Q110" t="s">
        <v>2357</v>
      </c>
      <c r="R110" t="s">
        <v>2361</v>
      </c>
      <c r="S110" t="s">
        <v>2359</v>
      </c>
      <c r="T110">
        <f t="shared" ca="1" si="7"/>
        <v>28</v>
      </c>
      <c r="U110">
        <f>VLOOKUP($A110,'Medical Examination'!$A:$Z,2,FALSE)</f>
        <v>34.104999999999997</v>
      </c>
    </row>
    <row r="111" spans="1:21" ht="15.5" x14ac:dyDescent="0.35">
      <c r="A111" s="2" t="s">
        <v>111</v>
      </c>
      <c r="B111" s="2" t="s">
        <v>2628</v>
      </c>
      <c r="C111">
        <v>48.93</v>
      </c>
      <c r="D111">
        <v>11.17</v>
      </c>
      <c r="E111" t="s">
        <v>2346</v>
      </c>
      <c r="F111" t="s">
        <v>2344</v>
      </c>
      <c r="G111" t="s">
        <v>2344</v>
      </c>
      <c r="H111">
        <v>1</v>
      </c>
      <c r="I111" t="s">
        <v>2346</v>
      </c>
      <c r="J111" t="str">
        <f t="shared" si="4"/>
        <v>Obesity</v>
      </c>
      <c r="K111" t="str">
        <f t="shared" si="5"/>
        <v>Diabetes</v>
      </c>
      <c r="L111">
        <v>9</v>
      </c>
      <c r="M111" t="s">
        <v>2362</v>
      </c>
      <c r="N111">
        <v>1997</v>
      </c>
      <c r="O111" s="8">
        <f t="shared" si="6"/>
        <v>35590</v>
      </c>
      <c r="P111" s="10">
        <v>1481</v>
      </c>
      <c r="Q111" t="s">
        <v>2357</v>
      </c>
      <c r="R111" t="s">
        <v>2361</v>
      </c>
      <c r="S111" t="s">
        <v>2364</v>
      </c>
      <c r="T111">
        <f t="shared" ca="1" si="7"/>
        <v>29</v>
      </c>
      <c r="U111">
        <f>VLOOKUP($A111,'Medical Examination'!$A:$Z,2,FALSE)</f>
        <v>48.93</v>
      </c>
    </row>
    <row r="112" spans="1:21" ht="15.5" x14ac:dyDescent="0.35">
      <c r="A112" s="2" t="s">
        <v>112</v>
      </c>
      <c r="B112" s="2" t="s">
        <v>2629</v>
      </c>
      <c r="C112">
        <v>37.07</v>
      </c>
      <c r="D112">
        <v>6.14</v>
      </c>
      <c r="E112" t="s">
        <v>2346</v>
      </c>
      <c r="F112" t="s">
        <v>2344</v>
      </c>
      <c r="G112" t="s">
        <v>2344</v>
      </c>
      <c r="H112">
        <v>0</v>
      </c>
      <c r="I112" t="s">
        <v>2346</v>
      </c>
      <c r="J112" t="str">
        <f t="shared" si="4"/>
        <v>Obesity</v>
      </c>
      <c r="K112" t="str">
        <f t="shared" si="5"/>
        <v>Prediabetes</v>
      </c>
      <c r="L112">
        <v>7</v>
      </c>
      <c r="M112" t="s">
        <v>2367</v>
      </c>
      <c r="N112">
        <v>1995</v>
      </c>
      <c r="O112" s="8">
        <f t="shared" si="6"/>
        <v>34979</v>
      </c>
      <c r="P112" s="10">
        <v>1493</v>
      </c>
      <c r="Q112" t="s">
        <v>2357</v>
      </c>
      <c r="R112" t="s">
        <v>2358</v>
      </c>
      <c r="S112" t="s">
        <v>2359</v>
      </c>
      <c r="T112">
        <f t="shared" ca="1" si="7"/>
        <v>31</v>
      </c>
      <c r="U112">
        <f>VLOOKUP($A112,'Medical Examination'!$A:$Z,2,FALSE)</f>
        <v>37.07</v>
      </c>
    </row>
    <row r="113" spans="1:21" ht="15.5" x14ac:dyDescent="0.35">
      <c r="A113" s="2" t="s">
        <v>113</v>
      </c>
      <c r="B113" s="2" t="s">
        <v>2631</v>
      </c>
      <c r="C113">
        <v>51.51</v>
      </c>
      <c r="D113">
        <v>6.26</v>
      </c>
      <c r="E113" t="s">
        <v>2346</v>
      </c>
      <c r="F113" t="s">
        <v>2344</v>
      </c>
      <c r="G113" t="s">
        <v>2346</v>
      </c>
      <c r="H113">
        <v>1</v>
      </c>
      <c r="I113" t="s">
        <v>2346</v>
      </c>
      <c r="J113" t="str">
        <f t="shared" si="4"/>
        <v>Obesity</v>
      </c>
      <c r="K113" t="str">
        <f t="shared" si="5"/>
        <v>Prediabetes</v>
      </c>
      <c r="L113">
        <v>19</v>
      </c>
      <c r="M113" t="s">
        <v>2362</v>
      </c>
      <c r="N113">
        <v>1998</v>
      </c>
      <c r="O113" s="8">
        <f t="shared" si="6"/>
        <v>35965</v>
      </c>
      <c r="P113" s="10">
        <v>1497</v>
      </c>
      <c r="Q113" t="s">
        <v>2357</v>
      </c>
      <c r="R113" t="s">
        <v>2357</v>
      </c>
      <c r="S113" t="s">
        <v>2359</v>
      </c>
      <c r="T113">
        <f t="shared" ca="1" si="7"/>
        <v>28</v>
      </c>
      <c r="U113">
        <f>VLOOKUP($A113,'Medical Examination'!$A:$Z,2,FALSE)</f>
        <v>51.51</v>
      </c>
    </row>
    <row r="114" spans="1:21" ht="15.5" x14ac:dyDescent="0.35">
      <c r="A114" s="2" t="s">
        <v>114</v>
      </c>
      <c r="B114" s="2" t="s">
        <v>2633</v>
      </c>
      <c r="C114">
        <v>34.799999999999997</v>
      </c>
      <c r="D114">
        <v>4.72</v>
      </c>
      <c r="E114" t="s">
        <v>2346</v>
      </c>
      <c r="F114" t="s">
        <v>2344</v>
      </c>
      <c r="G114" t="s">
        <v>2344</v>
      </c>
      <c r="H114">
        <v>0</v>
      </c>
      <c r="I114" t="s">
        <v>2346</v>
      </c>
      <c r="J114" t="str">
        <f t="shared" si="4"/>
        <v>Obesity</v>
      </c>
      <c r="K114" t="str">
        <f t="shared" si="5"/>
        <v>Normal</v>
      </c>
      <c r="L114">
        <v>25</v>
      </c>
      <c r="M114" t="s">
        <v>2366</v>
      </c>
      <c r="N114">
        <v>2001</v>
      </c>
      <c r="O114" s="8">
        <f t="shared" si="6"/>
        <v>37128</v>
      </c>
      <c r="P114" s="10">
        <v>1515.34</v>
      </c>
      <c r="Q114" t="s">
        <v>2357</v>
      </c>
      <c r="R114" t="s">
        <v>2358</v>
      </c>
      <c r="S114" t="s">
        <v>2359</v>
      </c>
      <c r="T114">
        <f t="shared" ca="1" si="7"/>
        <v>25</v>
      </c>
      <c r="U114">
        <f>VLOOKUP($A114,'Medical Examination'!$A:$Z,2,FALSE)</f>
        <v>34.799999999999997</v>
      </c>
    </row>
    <row r="115" spans="1:21" ht="15.5" x14ac:dyDescent="0.35">
      <c r="A115" s="2" t="s">
        <v>115</v>
      </c>
      <c r="B115" s="2" t="s">
        <v>2635</v>
      </c>
      <c r="C115">
        <v>36.67</v>
      </c>
      <c r="D115">
        <v>5.18</v>
      </c>
      <c r="E115" t="s">
        <v>2344</v>
      </c>
      <c r="F115" t="s">
        <v>2344</v>
      </c>
      <c r="G115" t="s">
        <v>2344</v>
      </c>
      <c r="H115">
        <v>1</v>
      </c>
      <c r="I115" t="s">
        <v>2346</v>
      </c>
      <c r="J115" t="str">
        <f t="shared" si="4"/>
        <v>Obesity</v>
      </c>
      <c r="K115" t="str">
        <f t="shared" si="5"/>
        <v>Normal</v>
      </c>
      <c r="L115">
        <v>7</v>
      </c>
      <c r="M115" t="s">
        <v>2356</v>
      </c>
      <c r="N115">
        <v>2001</v>
      </c>
      <c r="O115" s="8">
        <f t="shared" si="6"/>
        <v>37079</v>
      </c>
      <c r="P115" s="10">
        <v>1526.31</v>
      </c>
      <c r="Q115" t="s">
        <v>2357</v>
      </c>
      <c r="R115" t="s">
        <v>2358</v>
      </c>
      <c r="S115" t="s">
        <v>2368</v>
      </c>
      <c r="T115">
        <f t="shared" ca="1" si="7"/>
        <v>25</v>
      </c>
      <c r="U115">
        <f>VLOOKUP($A115,'Medical Examination'!$A:$Z,2,FALSE)</f>
        <v>36.67</v>
      </c>
    </row>
    <row r="116" spans="1:21" ht="15.5" x14ac:dyDescent="0.35">
      <c r="A116" s="2" t="s">
        <v>116</v>
      </c>
      <c r="B116" s="2" t="s">
        <v>2637</v>
      </c>
      <c r="C116">
        <v>30.9</v>
      </c>
      <c r="D116">
        <v>9.4</v>
      </c>
      <c r="E116" t="s">
        <v>2344</v>
      </c>
      <c r="F116" t="s">
        <v>2344</v>
      </c>
      <c r="G116" t="s">
        <v>2344</v>
      </c>
      <c r="H116">
        <v>1</v>
      </c>
      <c r="I116" t="s">
        <v>2346</v>
      </c>
      <c r="J116" t="str">
        <f t="shared" si="4"/>
        <v>Obesity</v>
      </c>
      <c r="K116" t="str">
        <f t="shared" si="5"/>
        <v>Diabetes</v>
      </c>
      <c r="L116">
        <v>2</v>
      </c>
      <c r="M116" t="s">
        <v>2362</v>
      </c>
      <c r="N116">
        <v>2001</v>
      </c>
      <c r="O116" s="8">
        <f t="shared" si="6"/>
        <v>37044</v>
      </c>
      <c r="P116" s="10">
        <v>1532.47</v>
      </c>
      <c r="Q116" t="s">
        <v>2357</v>
      </c>
      <c r="R116" t="s">
        <v>2357</v>
      </c>
      <c r="S116" t="s">
        <v>2359</v>
      </c>
      <c r="T116">
        <f t="shared" ca="1" si="7"/>
        <v>25</v>
      </c>
      <c r="U116">
        <f>VLOOKUP($A116,'Medical Examination'!$A:$Z,2,FALSE)</f>
        <v>30.9</v>
      </c>
    </row>
    <row r="117" spans="1:21" ht="15.5" x14ac:dyDescent="0.35">
      <c r="A117" s="2" t="s">
        <v>117</v>
      </c>
      <c r="B117" s="2" t="s">
        <v>2639</v>
      </c>
      <c r="C117">
        <v>30.495000000000001</v>
      </c>
      <c r="D117">
        <v>6.29</v>
      </c>
      <c r="E117" t="s">
        <v>2344</v>
      </c>
      <c r="F117" t="s">
        <v>2344</v>
      </c>
      <c r="G117" t="s">
        <v>2344</v>
      </c>
      <c r="H117">
        <v>0</v>
      </c>
      <c r="I117" t="s">
        <v>2346</v>
      </c>
      <c r="J117" t="str">
        <f t="shared" si="4"/>
        <v>Obesity</v>
      </c>
      <c r="K117" t="str">
        <f t="shared" si="5"/>
        <v>Prediabetes</v>
      </c>
      <c r="L117">
        <v>5</v>
      </c>
      <c r="M117" t="s">
        <v>2365</v>
      </c>
      <c r="N117">
        <v>2001</v>
      </c>
      <c r="O117" s="8">
        <f t="shared" si="6"/>
        <v>37230</v>
      </c>
      <c r="P117" s="10">
        <v>1534.3</v>
      </c>
      <c r="Q117" t="s">
        <v>2357</v>
      </c>
      <c r="R117" t="s">
        <v>2357</v>
      </c>
      <c r="S117" t="s">
        <v>2359</v>
      </c>
      <c r="T117">
        <f t="shared" ca="1" si="7"/>
        <v>25</v>
      </c>
      <c r="U117">
        <f>VLOOKUP($A117,'Medical Examination'!$A:$Z,2,FALSE)</f>
        <v>30.495000000000001</v>
      </c>
    </row>
    <row r="118" spans="1:21" ht="15.5" x14ac:dyDescent="0.35">
      <c r="A118" s="2" t="s">
        <v>118</v>
      </c>
      <c r="B118" s="2" t="s">
        <v>2641</v>
      </c>
      <c r="C118">
        <v>44.88</v>
      </c>
      <c r="D118">
        <v>6.04</v>
      </c>
      <c r="E118" t="s">
        <v>2344</v>
      </c>
      <c r="F118" t="s">
        <v>2344</v>
      </c>
      <c r="G118" t="s">
        <v>2346</v>
      </c>
      <c r="H118">
        <v>1</v>
      </c>
      <c r="I118" t="s">
        <v>2346</v>
      </c>
      <c r="J118" t="str">
        <f t="shared" si="4"/>
        <v>Obesity</v>
      </c>
      <c r="K118" t="str">
        <f t="shared" si="5"/>
        <v>Prediabetes</v>
      </c>
      <c r="L118">
        <v>22</v>
      </c>
      <c r="M118" t="s">
        <v>2363</v>
      </c>
      <c r="N118">
        <v>1992</v>
      </c>
      <c r="O118" s="8">
        <f t="shared" si="6"/>
        <v>33869</v>
      </c>
      <c r="P118" s="10">
        <v>1566.88</v>
      </c>
      <c r="Q118" t="s">
        <v>2357</v>
      </c>
      <c r="R118" t="s">
        <v>2361</v>
      </c>
      <c r="S118" t="s">
        <v>2359</v>
      </c>
      <c r="T118">
        <f t="shared" ca="1" si="7"/>
        <v>34</v>
      </c>
      <c r="U118">
        <f>VLOOKUP($A118,'Medical Examination'!$A:$Z,2,FALSE)</f>
        <v>44.88</v>
      </c>
    </row>
    <row r="119" spans="1:21" ht="15.5" x14ac:dyDescent="0.35">
      <c r="A119" s="2" t="s">
        <v>119</v>
      </c>
      <c r="B119" s="2" t="s">
        <v>2644</v>
      </c>
      <c r="C119">
        <v>44.32</v>
      </c>
      <c r="D119">
        <v>10.55</v>
      </c>
      <c r="E119" t="s">
        <v>2344</v>
      </c>
      <c r="F119" t="s">
        <v>2344</v>
      </c>
      <c r="G119" t="s">
        <v>2344</v>
      </c>
      <c r="H119">
        <v>0</v>
      </c>
      <c r="I119" t="s">
        <v>2346</v>
      </c>
      <c r="J119" t="str">
        <f t="shared" si="4"/>
        <v>Obesity</v>
      </c>
      <c r="K119" t="str">
        <f t="shared" si="5"/>
        <v>Diabetes</v>
      </c>
      <c r="L119">
        <v>19</v>
      </c>
      <c r="M119" t="s">
        <v>2360</v>
      </c>
      <c r="N119">
        <v>2004</v>
      </c>
      <c r="O119" s="8">
        <f t="shared" si="6"/>
        <v>38310</v>
      </c>
      <c r="P119" s="10">
        <v>1607.51</v>
      </c>
      <c r="Q119" t="s">
        <v>2357</v>
      </c>
      <c r="R119" t="s">
        <v>2358</v>
      </c>
      <c r="S119" t="s">
        <v>2359</v>
      </c>
      <c r="T119">
        <f t="shared" ca="1" si="7"/>
        <v>22</v>
      </c>
      <c r="U119">
        <f>VLOOKUP($A119,'Medical Examination'!$A:$Z,2,FALSE)</f>
        <v>44.32</v>
      </c>
    </row>
    <row r="120" spans="1:21" ht="15.5" x14ac:dyDescent="0.35">
      <c r="A120" s="2" t="s">
        <v>120</v>
      </c>
      <c r="B120" s="2" t="s">
        <v>2645</v>
      </c>
      <c r="C120">
        <v>46.39</v>
      </c>
      <c r="D120">
        <v>5.09</v>
      </c>
      <c r="E120" t="s">
        <v>2344</v>
      </c>
      <c r="F120" t="s">
        <v>2344</v>
      </c>
      <c r="G120" t="s">
        <v>2344</v>
      </c>
      <c r="H120">
        <v>0</v>
      </c>
      <c r="I120" t="s">
        <v>2346</v>
      </c>
      <c r="J120" t="str">
        <f t="shared" si="4"/>
        <v>Obesity</v>
      </c>
      <c r="K120" t="str">
        <f t="shared" si="5"/>
        <v>Normal</v>
      </c>
      <c r="L120">
        <v>22</v>
      </c>
      <c r="M120" t="s">
        <v>2356</v>
      </c>
      <c r="N120">
        <v>2004</v>
      </c>
      <c r="O120" s="8">
        <f t="shared" si="6"/>
        <v>38190</v>
      </c>
      <c r="P120" s="10">
        <v>1615.77</v>
      </c>
      <c r="Q120" t="s">
        <v>2357</v>
      </c>
      <c r="R120" t="s">
        <v>2361</v>
      </c>
      <c r="S120" t="s">
        <v>2359</v>
      </c>
      <c r="T120">
        <f t="shared" ca="1" si="7"/>
        <v>22</v>
      </c>
      <c r="U120">
        <f>VLOOKUP($A120,'Medical Examination'!$A:$Z,2,FALSE)</f>
        <v>46.39</v>
      </c>
    </row>
    <row r="121" spans="1:21" ht="15.5" x14ac:dyDescent="0.35">
      <c r="A121" s="2" t="s">
        <v>121</v>
      </c>
      <c r="B121" s="2" t="s">
        <v>2647</v>
      </c>
      <c r="C121">
        <v>42.13</v>
      </c>
      <c r="D121">
        <v>5.2</v>
      </c>
      <c r="E121" t="s">
        <v>2346</v>
      </c>
      <c r="F121" t="s">
        <v>2344</v>
      </c>
      <c r="G121" t="s">
        <v>2344</v>
      </c>
      <c r="H121">
        <v>1</v>
      </c>
      <c r="I121" t="s">
        <v>2346</v>
      </c>
      <c r="J121" t="str">
        <f t="shared" si="4"/>
        <v>Obesity</v>
      </c>
      <c r="K121" t="str">
        <f t="shared" si="5"/>
        <v>Normal</v>
      </c>
      <c r="L121">
        <v>5</v>
      </c>
      <c r="M121" t="s">
        <v>2366</v>
      </c>
      <c r="N121">
        <v>1995</v>
      </c>
      <c r="O121" s="8">
        <f t="shared" si="6"/>
        <v>34916</v>
      </c>
      <c r="P121" s="10">
        <v>1617.16</v>
      </c>
      <c r="Q121" t="s">
        <v>2357</v>
      </c>
      <c r="R121" t="s">
        <v>2361</v>
      </c>
      <c r="S121" t="s">
        <v>2359</v>
      </c>
      <c r="T121">
        <f t="shared" ca="1" si="7"/>
        <v>31</v>
      </c>
      <c r="U121">
        <f>VLOOKUP($A121,'Medical Examination'!$A:$Z,2,FALSE)</f>
        <v>42.13</v>
      </c>
    </row>
    <row r="122" spans="1:21" ht="15.5" x14ac:dyDescent="0.35">
      <c r="A122" s="2" t="s">
        <v>122</v>
      </c>
      <c r="B122" s="2" t="s">
        <v>2649</v>
      </c>
      <c r="C122">
        <v>30.78</v>
      </c>
      <c r="D122">
        <v>8.4499999999999993</v>
      </c>
      <c r="E122" t="s">
        <v>2346</v>
      </c>
      <c r="F122" t="s">
        <v>2344</v>
      </c>
      <c r="G122" t="s">
        <v>2344</v>
      </c>
      <c r="H122">
        <v>0</v>
      </c>
      <c r="I122" t="s">
        <v>2346</v>
      </c>
      <c r="J122" t="str">
        <f t="shared" si="4"/>
        <v>Obesity</v>
      </c>
      <c r="K122" t="str">
        <f t="shared" si="5"/>
        <v>Diabetes</v>
      </c>
      <c r="L122">
        <v>14</v>
      </c>
      <c r="M122" t="s">
        <v>2363</v>
      </c>
      <c r="N122">
        <v>2003</v>
      </c>
      <c r="O122" s="8">
        <f t="shared" si="6"/>
        <v>37878</v>
      </c>
      <c r="P122" s="10">
        <v>1621.34</v>
      </c>
      <c r="Q122" t="s">
        <v>2357</v>
      </c>
      <c r="R122" t="s">
        <v>2357</v>
      </c>
      <c r="S122" t="s">
        <v>2364</v>
      </c>
      <c r="T122">
        <f t="shared" ca="1" si="7"/>
        <v>23</v>
      </c>
      <c r="U122">
        <f>VLOOKUP($A122,'Medical Examination'!$A:$Z,2,FALSE)</f>
        <v>30.78</v>
      </c>
    </row>
    <row r="123" spans="1:21" ht="15.5" x14ac:dyDescent="0.35">
      <c r="A123" s="2" t="s">
        <v>123</v>
      </c>
      <c r="B123" s="2" t="s">
        <v>2651</v>
      </c>
      <c r="C123">
        <v>31.35</v>
      </c>
      <c r="D123">
        <v>9.5399999999999991</v>
      </c>
      <c r="E123" t="s">
        <v>2344</v>
      </c>
      <c r="F123" t="s">
        <v>2344</v>
      </c>
      <c r="G123" t="s">
        <v>2344</v>
      </c>
      <c r="H123">
        <v>0</v>
      </c>
      <c r="I123" t="s">
        <v>2346</v>
      </c>
      <c r="J123" t="str">
        <f t="shared" si="4"/>
        <v>Obesity</v>
      </c>
      <c r="K123" t="str">
        <f t="shared" si="5"/>
        <v>Diabetes</v>
      </c>
      <c r="L123">
        <v>21</v>
      </c>
      <c r="M123" t="s">
        <v>2366</v>
      </c>
      <c r="N123">
        <v>2004</v>
      </c>
      <c r="O123" s="8">
        <f t="shared" si="6"/>
        <v>38220</v>
      </c>
      <c r="P123" s="10">
        <v>1621.88</v>
      </c>
      <c r="Q123" t="s">
        <v>2357</v>
      </c>
      <c r="R123" t="s">
        <v>2357</v>
      </c>
      <c r="S123" t="s">
        <v>2359</v>
      </c>
      <c r="T123">
        <f t="shared" ca="1" si="7"/>
        <v>22</v>
      </c>
      <c r="U123">
        <f>VLOOKUP($A123,'Medical Examination'!$A:$Z,2,FALSE)</f>
        <v>31.35</v>
      </c>
    </row>
    <row r="124" spans="1:21" ht="15.5" x14ac:dyDescent="0.35">
      <c r="A124" s="2" t="s">
        <v>124</v>
      </c>
      <c r="B124" s="2" t="s">
        <v>2652</v>
      </c>
      <c r="C124">
        <v>41.46</v>
      </c>
      <c r="D124">
        <v>4.99</v>
      </c>
      <c r="E124" t="s">
        <v>2346</v>
      </c>
      <c r="F124" t="s">
        <v>2344</v>
      </c>
      <c r="G124" t="s">
        <v>2344</v>
      </c>
      <c r="H124">
        <v>1</v>
      </c>
      <c r="I124" t="s">
        <v>2346</v>
      </c>
      <c r="J124" t="str">
        <f t="shared" si="4"/>
        <v>Obesity</v>
      </c>
      <c r="K124" t="str">
        <f t="shared" si="5"/>
        <v>Normal</v>
      </c>
      <c r="L124">
        <v>25</v>
      </c>
      <c r="M124" t="s">
        <v>2356</v>
      </c>
      <c r="N124">
        <v>2004</v>
      </c>
      <c r="O124" s="8">
        <f t="shared" si="6"/>
        <v>38193</v>
      </c>
      <c r="P124" s="10">
        <v>1622.19</v>
      </c>
      <c r="Q124" t="s">
        <v>2357</v>
      </c>
      <c r="R124" t="s">
        <v>2361</v>
      </c>
      <c r="S124" t="s">
        <v>2359</v>
      </c>
      <c r="T124">
        <f t="shared" ca="1" si="7"/>
        <v>22</v>
      </c>
      <c r="U124">
        <f>VLOOKUP($A124,'Medical Examination'!$A:$Z,2,FALSE)</f>
        <v>41.46</v>
      </c>
    </row>
    <row r="125" spans="1:21" ht="15.5" x14ac:dyDescent="0.35">
      <c r="A125" s="2" t="s">
        <v>125</v>
      </c>
      <c r="B125" s="2" t="s">
        <v>2654</v>
      </c>
      <c r="C125">
        <v>48</v>
      </c>
      <c r="D125">
        <v>10.54</v>
      </c>
      <c r="E125" t="s">
        <v>2344</v>
      </c>
      <c r="F125" t="s">
        <v>2344</v>
      </c>
      <c r="G125" t="s">
        <v>2344</v>
      </c>
      <c r="H125">
        <v>0</v>
      </c>
      <c r="I125" t="s">
        <v>2346</v>
      </c>
      <c r="J125" t="str">
        <f t="shared" si="4"/>
        <v>Obesity</v>
      </c>
      <c r="K125" t="str">
        <f t="shared" si="5"/>
        <v>Diabetes</v>
      </c>
      <c r="L125">
        <v>9</v>
      </c>
      <c r="M125" t="s">
        <v>2363</v>
      </c>
      <c r="N125">
        <v>2003</v>
      </c>
      <c r="O125" s="8">
        <f t="shared" si="6"/>
        <v>37873</v>
      </c>
      <c r="P125" s="10">
        <v>1625.43</v>
      </c>
      <c r="Q125" t="s">
        <v>2357</v>
      </c>
      <c r="R125" t="s">
        <v>2358</v>
      </c>
      <c r="S125" t="s">
        <v>2364</v>
      </c>
      <c r="T125">
        <f t="shared" ca="1" si="7"/>
        <v>23</v>
      </c>
      <c r="U125">
        <f>VLOOKUP($A125,'Medical Examination'!$A:$Z,2,FALSE)</f>
        <v>48</v>
      </c>
    </row>
    <row r="126" spans="1:21" ht="15.5" x14ac:dyDescent="0.35">
      <c r="A126" s="2" t="s">
        <v>126</v>
      </c>
      <c r="B126" s="2" t="s">
        <v>2656</v>
      </c>
      <c r="C126">
        <v>49.13</v>
      </c>
      <c r="D126">
        <v>4.54</v>
      </c>
      <c r="E126" t="s">
        <v>2344</v>
      </c>
      <c r="F126" t="s">
        <v>2344</v>
      </c>
      <c r="G126" t="s">
        <v>2344</v>
      </c>
      <c r="H126">
        <v>0</v>
      </c>
      <c r="I126" t="s">
        <v>2346</v>
      </c>
      <c r="J126" t="str">
        <f t="shared" si="4"/>
        <v>Obesity</v>
      </c>
      <c r="K126" t="str">
        <f t="shared" si="5"/>
        <v>Normal</v>
      </c>
      <c r="L126">
        <v>4</v>
      </c>
      <c r="M126" t="s">
        <v>2365</v>
      </c>
      <c r="N126">
        <v>2003</v>
      </c>
      <c r="O126" s="8">
        <f t="shared" si="6"/>
        <v>37959</v>
      </c>
      <c r="P126" s="10">
        <v>1627.28</v>
      </c>
      <c r="Q126" t="s">
        <v>2357</v>
      </c>
      <c r="R126" t="s">
        <v>2357</v>
      </c>
      <c r="S126" t="s">
        <v>2364</v>
      </c>
      <c r="T126">
        <f t="shared" ca="1" si="7"/>
        <v>23</v>
      </c>
      <c r="U126">
        <f>VLOOKUP($A126,'Medical Examination'!$A:$Z,2,FALSE)</f>
        <v>49.13</v>
      </c>
    </row>
    <row r="127" spans="1:21" ht="15.5" x14ac:dyDescent="0.35">
      <c r="A127" s="2" t="s">
        <v>127</v>
      </c>
      <c r="B127" s="2" t="s">
        <v>2658</v>
      </c>
      <c r="C127">
        <v>37.799999999999997</v>
      </c>
      <c r="D127">
        <v>6.29</v>
      </c>
      <c r="E127" t="s">
        <v>2344</v>
      </c>
      <c r="F127" t="s">
        <v>2344</v>
      </c>
      <c r="G127" t="s">
        <v>2344</v>
      </c>
      <c r="H127">
        <v>1</v>
      </c>
      <c r="I127" t="s">
        <v>2346</v>
      </c>
      <c r="J127" t="str">
        <f t="shared" si="4"/>
        <v>Obesity</v>
      </c>
      <c r="K127" t="str">
        <f t="shared" si="5"/>
        <v>Prediabetes</v>
      </c>
      <c r="L127">
        <v>17</v>
      </c>
      <c r="M127" t="s">
        <v>2356</v>
      </c>
      <c r="N127">
        <v>2003</v>
      </c>
      <c r="O127" s="8">
        <f t="shared" si="6"/>
        <v>37819</v>
      </c>
      <c r="P127" s="10">
        <v>1628.47</v>
      </c>
      <c r="Q127" t="s">
        <v>2357</v>
      </c>
      <c r="R127" t="s">
        <v>2361</v>
      </c>
      <c r="S127" t="s">
        <v>2364</v>
      </c>
      <c r="T127">
        <f t="shared" ca="1" si="7"/>
        <v>23</v>
      </c>
      <c r="U127">
        <f>VLOOKUP($A127,'Medical Examination'!$A:$Z,2,FALSE)</f>
        <v>37.799999999999997</v>
      </c>
    </row>
    <row r="128" spans="1:21" ht="15.5" x14ac:dyDescent="0.35">
      <c r="A128" s="2" t="s">
        <v>128</v>
      </c>
      <c r="B128" s="2" t="s">
        <v>2659</v>
      </c>
      <c r="C128">
        <v>38.299999999999997</v>
      </c>
      <c r="D128">
        <v>9.51</v>
      </c>
      <c r="E128" t="s">
        <v>2344</v>
      </c>
      <c r="F128" t="s">
        <v>2344</v>
      </c>
      <c r="G128" t="s">
        <v>2344</v>
      </c>
      <c r="H128">
        <v>0</v>
      </c>
      <c r="I128" t="s">
        <v>2346</v>
      </c>
      <c r="J128" t="str">
        <f t="shared" si="4"/>
        <v>Obesity</v>
      </c>
      <c r="K128" t="str">
        <f t="shared" si="5"/>
        <v>Diabetes</v>
      </c>
      <c r="L128">
        <v>4</v>
      </c>
      <c r="M128" t="s">
        <v>2367</v>
      </c>
      <c r="N128">
        <v>2004</v>
      </c>
      <c r="O128" s="8">
        <f t="shared" si="6"/>
        <v>38264</v>
      </c>
      <c r="P128" s="10">
        <v>1629.83</v>
      </c>
      <c r="Q128" t="s">
        <v>2357</v>
      </c>
      <c r="R128" t="s">
        <v>2357</v>
      </c>
      <c r="S128" t="s">
        <v>2359</v>
      </c>
      <c r="T128">
        <f t="shared" ca="1" si="7"/>
        <v>22</v>
      </c>
      <c r="U128">
        <f>VLOOKUP($A128,'Medical Examination'!$A:$Z,2,FALSE)</f>
        <v>38.299999999999997</v>
      </c>
    </row>
    <row r="129" spans="1:21" ht="15.5" x14ac:dyDescent="0.35">
      <c r="A129" s="2" t="s">
        <v>129</v>
      </c>
      <c r="B129" s="2" t="s">
        <v>2662</v>
      </c>
      <c r="C129">
        <v>32.774999999999999</v>
      </c>
      <c r="D129">
        <v>4.72</v>
      </c>
      <c r="E129" t="s">
        <v>2344</v>
      </c>
      <c r="F129" t="s">
        <v>2344</v>
      </c>
      <c r="G129" t="s">
        <v>2344</v>
      </c>
      <c r="H129">
        <v>0</v>
      </c>
      <c r="I129" t="s">
        <v>2346</v>
      </c>
      <c r="J129" t="str">
        <f t="shared" si="4"/>
        <v>Obesity</v>
      </c>
      <c r="K129" t="str">
        <f t="shared" si="5"/>
        <v>Normal</v>
      </c>
      <c r="L129">
        <v>5</v>
      </c>
      <c r="M129" t="s">
        <v>2365</v>
      </c>
      <c r="N129">
        <v>2004</v>
      </c>
      <c r="O129" s="8">
        <f t="shared" si="6"/>
        <v>38326</v>
      </c>
      <c r="P129" s="10">
        <v>1631.67</v>
      </c>
      <c r="Q129" t="s">
        <v>2357</v>
      </c>
      <c r="R129" t="s">
        <v>2358</v>
      </c>
      <c r="S129" t="s">
        <v>2359</v>
      </c>
      <c r="T129">
        <f t="shared" ca="1" si="7"/>
        <v>22</v>
      </c>
      <c r="U129">
        <f>VLOOKUP($A129,'Medical Examination'!$A:$Z,2,FALSE)</f>
        <v>32.774999999999999</v>
      </c>
    </row>
    <row r="130" spans="1:21" ht="15.5" x14ac:dyDescent="0.35">
      <c r="A130" s="2" t="s">
        <v>130</v>
      </c>
      <c r="B130" s="2" t="s">
        <v>2663</v>
      </c>
      <c r="C130">
        <v>34.200000000000003</v>
      </c>
      <c r="D130">
        <v>5.91</v>
      </c>
      <c r="E130" t="s">
        <v>2346</v>
      </c>
      <c r="F130" t="s">
        <v>2344</v>
      </c>
      <c r="G130" t="s">
        <v>2344</v>
      </c>
      <c r="H130">
        <v>0</v>
      </c>
      <c r="I130" t="s">
        <v>2346</v>
      </c>
      <c r="J130" t="str">
        <f t="shared" si="4"/>
        <v>Obesity</v>
      </c>
      <c r="K130" t="str">
        <f t="shared" si="5"/>
        <v>Prediabetes</v>
      </c>
      <c r="L130">
        <v>9</v>
      </c>
      <c r="M130" t="s">
        <v>2356</v>
      </c>
      <c r="N130">
        <v>2004</v>
      </c>
      <c r="O130" s="8">
        <f t="shared" si="6"/>
        <v>38177</v>
      </c>
      <c r="P130" s="10">
        <v>1631.82</v>
      </c>
      <c r="Q130" t="s">
        <v>2357</v>
      </c>
      <c r="R130" t="s">
        <v>2361</v>
      </c>
      <c r="S130" t="s">
        <v>2359</v>
      </c>
      <c r="T130">
        <f t="shared" ca="1" si="7"/>
        <v>22</v>
      </c>
      <c r="U130">
        <f>VLOOKUP($A130,'Medical Examination'!$A:$Z,2,FALSE)</f>
        <v>34.200000000000003</v>
      </c>
    </row>
    <row r="131" spans="1:21" ht="15.5" x14ac:dyDescent="0.35">
      <c r="A131" s="2" t="s">
        <v>131</v>
      </c>
      <c r="B131" s="2" t="s">
        <v>2665</v>
      </c>
      <c r="C131">
        <v>30.2</v>
      </c>
      <c r="D131">
        <v>9.58</v>
      </c>
      <c r="E131" t="s">
        <v>2344</v>
      </c>
      <c r="F131" t="s">
        <v>2344</v>
      </c>
      <c r="G131" t="s">
        <v>2344</v>
      </c>
      <c r="H131">
        <v>0</v>
      </c>
      <c r="I131" t="s">
        <v>2346</v>
      </c>
      <c r="J131" t="str">
        <f t="shared" ref="J131:J194" si="8">IF(C131&lt;18.5,"Under Weight",IF(C131&lt;25,"Normal Weight",IF(C131&lt;30,"Over weight","Obesity")))</f>
        <v>Obesity</v>
      </c>
      <c r="K131" t="str">
        <f t="shared" ref="K131:K194" si="9">IF(D131&lt;5.7,"Normal",IF(D131&lt;6.5,"Prediabetes","Diabetes"))</f>
        <v>Diabetes</v>
      </c>
      <c r="L131">
        <v>3</v>
      </c>
      <c r="M131" t="s">
        <v>2367</v>
      </c>
      <c r="N131">
        <v>2003</v>
      </c>
      <c r="O131" s="8">
        <f t="shared" ref="O131:O194" si="10">DATE(N131,MONTH(1&amp;M131),L131)</f>
        <v>37897</v>
      </c>
      <c r="P131" s="10">
        <v>1632.04</v>
      </c>
      <c r="Q131" t="s">
        <v>2357</v>
      </c>
      <c r="R131" t="s">
        <v>2357</v>
      </c>
      <c r="S131" t="s">
        <v>2364</v>
      </c>
      <c r="T131">
        <f t="shared" ref="T131:T194" ca="1" si="11">YEAR(TODAY())-YEAR(O131)</f>
        <v>23</v>
      </c>
      <c r="U131">
        <f>VLOOKUP($A131,'Medical Examination'!$A:$Z,2,FALSE)</f>
        <v>30.2</v>
      </c>
    </row>
    <row r="132" spans="1:21" ht="15.5" x14ac:dyDescent="0.35">
      <c r="A132" s="2" t="s">
        <v>132</v>
      </c>
      <c r="B132" s="2" t="s">
        <v>2667</v>
      </c>
      <c r="C132">
        <v>48.32</v>
      </c>
      <c r="D132">
        <v>5.77</v>
      </c>
      <c r="E132" t="s">
        <v>2344</v>
      </c>
      <c r="F132" t="s">
        <v>2344</v>
      </c>
      <c r="G132" t="s">
        <v>2344</v>
      </c>
      <c r="H132">
        <v>0</v>
      </c>
      <c r="I132" t="s">
        <v>2346</v>
      </c>
      <c r="J132" t="str">
        <f t="shared" si="8"/>
        <v>Obesity</v>
      </c>
      <c r="K132" t="str">
        <f t="shared" si="9"/>
        <v>Prediabetes</v>
      </c>
      <c r="L132">
        <v>16</v>
      </c>
      <c r="M132" t="s">
        <v>2363</v>
      </c>
      <c r="N132">
        <v>2003</v>
      </c>
      <c r="O132" s="8">
        <f t="shared" si="10"/>
        <v>37880</v>
      </c>
      <c r="P132" s="10">
        <v>1632.56</v>
      </c>
      <c r="Q132" t="s">
        <v>2357</v>
      </c>
      <c r="R132" t="s">
        <v>2357</v>
      </c>
      <c r="S132" t="s">
        <v>2364</v>
      </c>
      <c r="T132">
        <f t="shared" ca="1" si="11"/>
        <v>23</v>
      </c>
      <c r="U132">
        <f>VLOOKUP($A132,'Medical Examination'!$A:$Z,2,FALSE)</f>
        <v>48.32</v>
      </c>
    </row>
    <row r="133" spans="1:21" ht="15.5" x14ac:dyDescent="0.35">
      <c r="A133" s="2" t="s">
        <v>133</v>
      </c>
      <c r="B133" s="2" t="s">
        <v>2669</v>
      </c>
      <c r="C133">
        <v>44.86</v>
      </c>
      <c r="D133">
        <v>4.38</v>
      </c>
      <c r="E133" t="s">
        <v>2346</v>
      </c>
      <c r="F133" t="s">
        <v>2344</v>
      </c>
      <c r="G133" t="s">
        <v>2344</v>
      </c>
      <c r="H133">
        <v>0</v>
      </c>
      <c r="I133" t="s">
        <v>2346</v>
      </c>
      <c r="J133" t="str">
        <f t="shared" si="8"/>
        <v>Obesity</v>
      </c>
      <c r="K133" t="str">
        <f t="shared" si="9"/>
        <v>Normal</v>
      </c>
      <c r="L133">
        <v>13</v>
      </c>
      <c r="M133" t="s">
        <v>2365</v>
      </c>
      <c r="N133">
        <v>2004</v>
      </c>
      <c r="O133" s="8">
        <f t="shared" si="10"/>
        <v>38334</v>
      </c>
      <c r="P133" s="10">
        <v>1633.04</v>
      </c>
      <c r="Q133" t="s">
        <v>2357</v>
      </c>
      <c r="R133" t="s">
        <v>2357</v>
      </c>
      <c r="S133" t="s">
        <v>2359</v>
      </c>
      <c r="T133">
        <f t="shared" ca="1" si="11"/>
        <v>22</v>
      </c>
      <c r="U133">
        <f>VLOOKUP($A133,'Medical Examination'!$A:$Z,2,FALSE)</f>
        <v>44.86</v>
      </c>
    </row>
    <row r="134" spans="1:21" ht="15.5" x14ac:dyDescent="0.35">
      <c r="A134" s="2" t="s">
        <v>134</v>
      </c>
      <c r="B134" s="2" t="s">
        <v>2672</v>
      </c>
      <c r="C134">
        <v>52.15</v>
      </c>
      <c r="D134">
        <v>5.65</v>
      </c>
      <c r="E134" t="s">
        <v>2344</v>
      </c>
      <c r="F134" t="s">
        <v>2344</v>
      </c>
      <c r="G134" t="s">
        <v>2344</v>
      </c>
      <c r="H134">
        <v>1</v>
      </c>
      <c r="I134" t="s">
        <v>2346</v>
      </c>
      <c r="J134" t="str">
        <f t="shared" si="8"/>
        <v>Obesity</v>
      </c>
      <c r="K134" t="str">
        <f t="shared" si="9"/>
        <v>Normal</v>
      </c>
      <c r="L134">
        <v>8</v>
      </c>
      <c r="M134" t="s">
        <v>2366</v>
      </c>
      <c r="N134">
        <v>2004</v>
      </c>
      <c r="O134" s="8">
        <f t="shared" si="10"/>
        <v>38207</v>
      </c>
      <c r="P134" s="10">
        <v>1633.96</v>
      </c>
      <c r="Q134" t="s">
        <v>2357</v>
      </c>
      <c r="R134" t="s">
        <v>2361</v>
      </c>
      <c r="S134" t="s">
        <v>2359</v>
      </c>
      <c r="T134">
        <f t="shared" ca="1" si="11"/>
        <v>22</v>
      </c>
      <c r="U134">
        <f>VLOOKUP($A134,'Medical Examination'!$A:$Z,2,FALSE)</f>
        <v>52.15</v>
      </c>
    </row>
    <row r="135" spans="1:21" ht="15.5" x14ac:dyDescent="0.35">
      <c r="A135" s="2" t="s">
        <v>135</v>
      </c>
      <c r="B135" s="2" t="s">
        <v>2674</v>
      </c>
      <c r="C135">
        <v>41.12</v>
      </c>
      <c r="D135">
        <v>7.54</v>
      </c>
      <c r="E135" t="s">
        <v>2346</v>
      </c>
      <c r="F135" t="s">
        <v>2344</v>
      </c>
      <c r="G135" t="s">
        <v>2344</v>
      </c>
      <c r="H135">
        <v>0</v>
      </c>
      <c r="I135" t="s">
        <v>2346</v>
      </c>
      <c r="J135" t="str">
        <f t="shared" si="8"/>
        <v>Obesity</v>
      </c>
      <c r="K135" t="str">
        <f t="shared" si="9"/>
        <v>Diabetes</v>
      </c>
      <c r="L135">
        <v>13</v>
      </c>
      <c r="M135" t="s">
        <v>2362</v>
      </c>
      <c r="N135">
        <v>2004</v>
      </c>
      <c r="O135" s="8">
        <f t="shared" si="10"/>
        <v>38151</v>
      </c>
      <c r="P135" s="10">
        <v>1634.57</v>
      </c>
      <c r="Q135" t="s">
        <v>2357</v>
      </c>
      <c r="R135" t="s">
        <v>2357</v>
      </c>
      <c r="S135" t="s">
        <v>2359</v>
      </c>
      <c r="T135">
        <f t="shared" ca="1" si="11"/>
        <v>22</v>
      </c>
      <c r="U135">
        <f>VLOOKUP($A135,'Medical Examination'!$A:$Z,2,FALSE)</f>
        <v>41.12</v>
      </c>
    </row>
    <row r="136" spans="1:21" ht="15.5" x14ac:dyDescent="0.35">
      <c r="A136" s="2" t="s">
        <v>136</v>
      </c>
      <c r="B136" s="2" t="s">
        <v>2676</v>
      </c>
      <c r="C136">
        <v>38.39</v>
      </c>
      <c r="D136">
        <v>5.1100000000000003</v>
      </c>
      <c r="E136" t="s">
        <v>2346</v>
      </c>
      <c r="F136" t="s">
        <v>2344</v>
      </c>
      <c r="G136" t="s">
        <v>2344</v>
      </c>
      <c r="H136">
        <v>1</v>
      </c>
      <c r="I136" t="s">
        <v>2346</v>
      </c>
      <c r="J136" t="str">
        <f t="shared" si="8"/>
        <v>Obesity</v>
      </c>
      <c r="K136" t="str">
        <f t="shared" si="9"/>
        <v>Normal</v>
      </c>
      <c r="L136">
        <v>30</v>
      </c>
      <c r="M136" t="s">
        <v>2365</v>
      </c>
      <c r="N136">
        <v>2003</v>
      </c>
      <c r="O136" s="8">
        <f t="shared" si="10"/>
        <v>37985</v>
      </c>
      <c r="P136" s="10">
        <v>1635.73</v>
      </c>
      <c r="Q136" t="s">
        <v>2357</v>
      </c>
      <c r="R136" t="s">
        <v>2358</v>
      </c>
      <c r="S136" t="s">
        <v>2364</v>
      </c>
      <c r="T136">
        <f t="shared" ca="1" si="11"/>
        <v>23</v>
      </c>
      <c r="U136">
        <f>VLOOKUP($A136,'Medical Examination'!$A:$Z,2,FALSE)</f>
        <v>38.39</v>
      </c>
    </row>
    <row r="137" spans="1:21" ht="15.5" x14ac:dyDescent="0.35">
      <c r="A137" s="2" t="s">
        <v>137</v>
      </c>
      <c r="B137" s="2" t="s">
        <v>2678</v>
      </c>
      <c r="C137">
        <v>46.85</v>
      </c>
      <c r="D137">
        <v>4.25</v>
      </c>
      <c r="E137" t="s">
        <v>2344</v>
      </c>
      <c r="F137" t="s">
        <v>2344</v>
      </c>
      <c r="G137" t="s">
        <v>2346</v>
      </c>
      <c r="H137">
        <v>1</v>
      </c>
      <c r="I137" t="s">
        <v>2346</v>
      </c>
      <c r="J137" t="str">
        <f t="shared" si="8"/>
        <v>Obesity</v>
      </c>
      <c r="K137" t="str">
        <f t="shared" si="9"/>
        <v>Normal</v>
      </c>
      <c r="L137">
        <v>16</v>
      </c>
      <c r="M137" t="s">
        <v>2363</v>
      </c>
      <c r="N137">
        <v>2003</v>
      </c>
      <c r="O137" s="8">
        <f t="shared" si="10"/>
        <v>37880</v>
      </c>
      <c r="P137" s="10">
        <v>1639.56</v>
      </c>
      <c r="Q137" t="s">
        <v>2357</v>
      </c>
      <c r="R137" t="s">
        <v>2357</v>
      </c>
      <c r="S137" t="s">
        <v>2364</v>
      </c>
      <c r="T137">
        <f t="shared" ca="1" si="11"/>
        <v>23</v>
      </c>
      <c r="U137">
        <f>VLOOKUP($A137,'Medical Examination'!$A:$Z,2,FALSE)</f>
        <v>46.85</v>
      </c>
    </row>
    <row r="138" spans="1:21" ht="15.5" x14ac:dyDescent="0.35">
      <c r="A138" s="2" t="s">
        <v>138</v>
      </c>
      <c r="B138" s="2" t="s">
        <v>2681</v>
      </c>
      <c r="C138">
        <v>42.24</v>
      </c>
      <c r="D138">
        <v>5.55</v>
      </c>
      <c r="E138" t="s">
        <v>2344</v>
      </c>
      <c r="F138" t="s">
        <v>2345</v>
      </c>
      <c r="G138" t="s">
        <v>2344</v>
      </c>
      <c r="H138">
        <v>1</v>
      </c>
      <c r="I138" t="s">
        <v>2346</v>
      </c>
      <c r="J138" t="str">
        <f t="shared" si="8"/>
        <v>Obesity</v>
      </c>
      <c r="K138" t="str">
        <f t="shared" si="9"/>
        <v>Normal</v>
      </c>
      <c r="L138">
        <v>21</v>
      </c>
      <c r="M138" t="s">
        <v>2366</v>
      </c>
      <c r="N138">
        <v>2003</v>
      </c>
      <c r="O138" s="8">
        <f t="shared" si="10"/>
        <v>37854</v>
      </c>
      <c r="P138" s="10">
        <v>1639.56</v>
      </c>
      <c r="Q138" t="s">
        <v>2357</v>
      </c>
      <c r="R138" t="s">
        <v>2357</v>
      </c>
      <c r="S138" t="s">
        <v>2364</v>
      </c>
      <c r="T138">
        <f t="shared" ca="1" si="11"/>
        <v>23</v>
      </c>
      <c r="U138">
        <f>VLOOKUP($A138,'Medical Examination'!$A:$Z,2,FALSE)</f>
        <v>42.24</v>
      </c>
    </row>
    <row r="139" spans="1:21" ht="15.5" x14ac:dyDescent="0.35">
      <c r="A139" s="2" t="s">
        <v>139</v>
      </c>
      <c r="B139" s="2" t="s">
        <v>2683</v>
      </c>
      <c r="C139">
        <v>34.39</v>
      </c>
      <c r="D139">
        <v>5.78</v>
      </c>
      <c r="E139" t="s">
        <v>2344</v>
      </c>
      <c r="F139" t="s">
        <v>2344</v>
      </c>
      <c r="G139" t="s">
        <v>2344</v>
      </c>
      <c r="H139">
        <v>0</v>
      </c>
      <c r="I139" t="s">
        <v>2346</v>
      </c>
      <c r="J139" t="str">
        <f t="shared" si="8"/>
        <v>Obesity</v>
      </c>
      <c r="K139" t="str">
        <f t="shared" si="9"/>
        <v>Prediabetes</v>
      </c>
      <c r="L139">
        <v>30</v>
      </c>
      <c r="M139" t="s">
        <v>2365</v>
      </c>
      <c r="N139">
        <v>2003</v>
      </c>
      <c r="O139" s="8">
        <f t="shared" si="10"/>
        <v>37985</v>
      </c>
      <c r="P139" s="10">
        <v>1646.43</v>
      </c>
      <c r="Q139" t="s">
        <v>2357</v>
      </c>
      <c r="R139" t="s">
        <v>2361</v>
      </c>
      <c r="S139" t="s">
        <v>2364</v>
      </c>
      <c r="T139">
        <f t="shared" ca="1" si="11"/>
        <v>23</v>
      </c>
      <c r="U139">
        <f>VLOOKUP($A139,'Medical Examination'!$A:$Z,2,FALSE)</f>
        <v>34.39</v>
      </c>
    </row>
    <row r="140" spans="1:21" ht="15.5" x14ac:dyDescent="0.35">
      <c r="A140" s="2" t="s">
        <v>140</v>
      </c>
      <c r="B140" s="2" t="s">
        <v>2685</v>
      </c>
      <c r="C140">
        <v>42.89</v>
      </c>
      <c r="D140">
        <v>5.28</v>
      </c>
      <c r="E140" t="s">
        <v>2346</v>
      </c>
      <c r="F140" t="s">
        <v>2344</v>
      </c>
      <c r="G140" t="s">
        <v>2344</v>
      </c>
      <c r="H140">
        <v>0</v>
      </c>
      <c r="I140" t="s">
        <v>2346</v>
      </c>
      <c r="J140" t="str">
        <f t="shared" si="8"/>
        <v>Obesity</v>
      </c>
      <c r="K140" t="str">
        <f t="shared" si="9"/>
        <v>Normal</v>
      </c>
      <c r="L140">
        <v>23</v>
      </c>
      <c r="M140" t="s">
        <v>2367</v>
      </c>
      <c r="N140">
        <v>2000</v>
      </c>
      <c r="O140" s="8">
        <f t="shared" si="10"/>
        <v>36822</v>
      </c>
      <c r="P140" s="10">
        <v>1665</v>
      </c>
      <c r="Q140" t="s">
        <v>2357</v>
      </c>
      <c r="R140" t="s">
        <v>2357</v>
      </c>
      <c r="S140" t="s">
        <v>2359</v>
      </c>
      <c r="T140">
        <f t="shared" ca="1" si="11"/>
        <v>26</v>
      </c>
      <c r="U140">
        <f>VLOOKUP($A140,'Medical Examination'!$A:$Z,2,FALSE)</f>
        <v>42.89</v>
      </c>
    </row>
    <row r="141" spans="1:21" ht="15.5" x14ac:dyDescent="0.35">
      <c r="A141" s="2" t="s">
        <v>141</v>
      </c>
      <c r="B141" s="2" t="s">
        <v>2687</v>
      </c>
      <c r="C141">
        <v>36.299999999999997</v>
      </c>
      <c r="D141">
        <v>5.39</v>
      </c>
      <c r="E141" t="s">
        <v>2344</v>
      </c>
      <c r="F141" t="s">
        <v>2344</v>
      </c>
      <c r="G141" t="s">
        <v>2344</v>
      </c>
      <c r="H141">
        <v>0</v>
      </c>
      <c r="I141" t="s">
        <v>2346</v>
      </c>
      <c r="J141" t="str">
        <f t="shared" si="8"/>
        <v>Obesity</v>
      </c>
      <c r="K141" t="str">
        <f t="shared" si="9"/>
        <v>Normal</v>
      </c>
      <c r="L141">
        <v>10</v>
      </c>
      <c r="M141" t="s">
        <v>2362</v>
      </c>
      <c r="N141">
        <v>2000</v>
      </c>
      <c r="O141" s="8">
        <f t="shared" si="10"/>
        <v>36687</v>
      </c>
      <c r="P141" s="10">
        <v>1674.63</v>
      </c>
      <c r="Q141" t="s">
        <v>2357</v>
      </c>
      <c r="R141" t="s">
        <v>2357</v>
      </c>
      <c r="S141" t="s">
        <v>2359</v>
      </c>
      <c r="T141">
        <f t="shared" ca="1" si="11"/>
        <v>26</v>
      </c>
      <c r="U141">
        <f>VLOOKUP($A141,'Medical Examination'!$A:$Z,2,FALSE)</f>
        <v>36.299999999999997</v>
      </c>
    </row>
    <row r="142" spans="1:21" ht="15.5" x14ac:dyDescent="0.35">
      <c r="A142" s="2" t="s">
        <v>142</v>
      </c>
      <c r="B142" s="2" t="s">
        <v>2689</v>
      </c>
      <c r="C142">
        <v>35.200000000000003</v>
      </c>
      <c r="D142">
        <v>8.01</v>
      </c>
      <c r="E142" t="s">
        <v>2346</v>
      </c>
      <c r="F142" t="s">
        <v>2344</v>
      </c>
      <c r="G142" t="s">
        <v>2344</v>
      </c>
      <c r="H142">
        <v>1</v>
      </c>
      <c r="I142" t="s">
        <v>2346</v>
      </c>
      <c r="J142" t="str">
        <f t="shared" si="8"/>
        <v>Obesity</v>
      </c>
      <c r="K142" t="str">
        <f t="shared" si="9"/>
        <v>Diabetes</v>
      </c>
      <c r="L142">
        <v>21</v>
      </c>
      <c r="M142" t="s">
        <v>2367</v>
      </c>
      <c r="N142">
        <v>2000</v>
      </c>
      <c r="O142" s="8">
        <f t="shared" si="10"/>
        <v>36820</v>
      </c>
      <c r="P142" s="10">
        <v>1682.6</v>
      </c>
      <c r="Q142" t="s">
        <v>2357</v>
      </c>
      <c r="R142" t="s">
        <v>2357</v>
      </c>
      <c r="S142" t="s">
        <v>2368</v>
      </c>
      <c r="T142">
        <f t="shared" ca="1" si="11"/>
        <v>26</v>
      </c>
      <c r="U142">
        <f>VLOOKUP($A142,'Medical Examination'!$A:$Z,2,FALSE)</f>
        <v>35.200000000000003</v>
      </c>
    </row>
    <row r="143" spans="1:21" ht="15.5" x14ac:dyDescent="0.35">
      <c r="A143" s="2" t="s">
        <v>143</v>
      </c>
      <c r="B143" s="2" t="s">
        <v>2691</v>
      </c>
      <c r="C143">
        <v>53.62</v>
      </c>
      <c r="D143">
        <v>5.21</v>
      </c>
      <c r="E143" t="s">
        <v>2344</v>
      </c>
      <c r="F143" t="s">
        <v>2344</v>
      </c>
      <c r="G143" t="s">
        <v>2344</v>
      </c>
      <c r="H143">
        <v>0</v>
      </c>
      <c r="I143" t="s">
        <v>2346</v>
      </c>
      <c r="J143" t="str">
        <f t="shared" si="8"/>
        <v>Obesity</v>
      </c>
      <c r="K143" t="str">
        <f t="shared" si="9"/>
        <v>Normal</v>
      </c>
      <c r="L143">
        <v>17</v>
      </c>
      <c r="M143" t="s">
        <v>2360</v>
      </c>
      <c r="N143">
        <v>2004</v>
      </c>
      <c r="O143" s="8">
        <f t="shared" si="10"/>
        <v>38308</v>
      </c>
      <c r="P143" s="10">
        <v>1694.8</v>
      </c>
      <c r="Q143" t="s">
        <v>2357</v>
      </c>
      <c r="R143" t="s">
        <v>2357</v>
      </c>
      <c r="S143" t="s">
        <v>2369</v>
      </c>
      <c r="T143">
        <f t="shared" ca="1" si="11"/>
        <v>22</v>
      </c>
      <c r="U143">
        <f>VLOOKUP($A143,'Medical Examination'!$A:$Z,2,FALSE)</f>
        <v>53.62</v>
      </c>
    </row>
    <row r="144" spans="1:21" ht="15.5" x14ac:dyDescent="0.35">
      <c r="A144" s="2" t="s">
        <v>144</v>
      </c>
      <c r="B144" s="2" t="s">
        <v>2693</v>
      </c>
      <c r="C144">
        <v>36.67</v>
      </c>
      <c r="D144">
        <v>6.27</v>
      </c>
      <c r="E144" t="s">
        <v>2344</v>
      </c>
      <c r="F144" t="s">
        <v>2344</v>
      </c>
      <c r="G144" t="s">
        <v>2344</v>
      </c>
      <c r="H144">
        <v>0</v>
      </c>
      <c r="I144" t="s">
        <v>2346</v>
      </c>
      <c r="J144" t="str">
        <f t="shared" si="8"/>
        <v>Obesity</v>
      </c>
      <c r="K144" t="str">
        <f t="shared" si="9"/>
        <v>Prediabetes</v>
      </c>
      <c r="L144">
        <v>10</v>
      </c>
      <c r="M144" t="s">
        <v>2365</v>
      </c>
      <c r="N144">
        <v>2004</v>
      </c>
      <c r="O144" s="8">
        <f t="shared" si="10"/>
        <v>38331</v>
      </c>
      <c r="P144" s="10">
        <v>1702.46</v>
      </c>
      <c r="Q144" t="s">
        <v>2357</v>
      </c>
      <c r="R144" t="s">
        <v>2358</v>
      </c>
      <c r="S144" t="s">
        <v>2370</v>
      </c>
      <c r="T144">
        <f t="shared" ca="1" si="11"/>
        <v>22</v>
      </c>
      <c r="U144">
        <f>VLOOKUP($A144,'Medical Examination'!$A:$Z,2,FALSE)</f>
        <v>36.67</v>
      </c>
    </row>
    <row r="145" spans="1:21" ht="15.5" x14ac:dyDescent="0.35">
      <c r="A145" s="2" t="s">
        <v>145</v>
      </c>
      <c r="B145" s="2" t="s">
        <v>2695</v>
      </c>
      <c r="C145">
        <v>33.4</v>
      </c>
      <c r="D145">
        <v>10.73</v>
      </c>
      <c r="E145" t="s">
        <v>2346</v>
      </c>
      <c r="F145" t="s">
        <v>2344</v>
      </c>
      <c r="G145" t="s">
        <v>2344</v>
      </c>
      <c r="H145">
        <v>1</v>
      </c>
      <c r="I145" t="s">
        <v>2346</v>
      </c>
      <c r="J145" t="str">
        <f t="shared" si="8"/>
        <v>Obesity</v>
      </c>
      <c r="K145" t="str">
        <f t="shared" si="9"/>
        <v>Diabetes</v>
      </c>
      <c r="L145">
        <v>7</v>
      </c>
      <c r="M145" t="s">
        <v>2360</v>
      </c>
      <c r="N145">
        <v>2004</v>
      </c>
      <c r="O145" s="8">
        <f t="shared" si="10"/>
        <v>38298</v>
      </c>
      <c r="P145" s="10">
        <v>1704.57</v>
      </c>
      <c r="Q145" t="s">
        <v>2357</v>
      </c>
      <c r="R145" t="s">
        <v>2361</v>
      </c>
      <c r="S145" t="s">
        <v>2371</v>
      </c>
      <c r="T145">
        <f t="shared" ca="1" si="11"/>
        <v>22</v>
      </c>
      <c r="U145">
        <f>VLOOKUP($A145,'Medical Examination'!$A:$Z,2,FALSE)</f>
        <v>33.4</v>
      </c>
    </row>
    <row r="146" spans="1:21" ht="15.5" x14ac:dyDescent="0.35">
      <c r="A146" s="2" t="s">
        <v>146</v>
      </c>
      <c r="B146" s="2" t="s">
        <v>2697</v>
      </c>
      <c r="C146">
        <v>42.71</v>
      </c>
      <c r="D146">
        <v>10.52</v>
      </c>
      <c r="E146" t="s">
        <v>2344</v>
      </c>
      <c r="F146" t="s">
        <v>2344</v>
      </c>
      <c r="G146" t="s">
        <v>2344</v>
      </c>
      <c r="H146">
        <v>0</v>
      </c>
      <c r="I146" t="s">
        <v>2346</v>
      </c>
      <c r="J146" t="str">
        <f t="shared" si="8"/>
        <v>Obesity</v>
      </c>
      <c r="K146" t="str">
        <f t="shared" si="9"/>
        <v>Diabetes</v>
      </c>
      <c r="L146">
        <v>14</v>
      </c>
      <c r="M146" t="s">
        <v>2365</v>
      </c>
      <c r="N146">
        <v>2004</v>
      </c>
      <c r="O146" s="8">
        <f t="shared" si="10"/>
        <v>38335</v>
      </c>
      <c r="P146" s="10">
        <v>1704.7</v>
      </c>
      <c r="Q146" t="s">
        <v>2357</v>
      </c>
      <c r="R146" t="s">
        <v>2358</v>
      </c>
      <c r="S146" t="s">
        <v>2372</v>
      </c>
      <c r="T146">
        <f t="shared" ca="1" si="11"/>
        <v>22</v>
      </c>
      <c r="U146">
        <f>VLOOKUP($A146,'Medical Examination'!$A:$Z,2,FALSE)</f>
        <v>42.71</v>
      </c>
    </row>
    <row r="147" spans="1:21" ht="15.5" x14ac:dyDescent="0.35">
      <c r="A147" s="2" t="s">
        <v>147</v>
      </c>
      <c r="B147" s="2" t="s">
        <v>2698</v>
      </c>
      <c r="C147">
        <v>41.52</v>
      </c>
      <c r="D147">
        <v>11.82</v>
      </c>
      <c r="E147" t="s">
        <v>2346</v>
      </c>
      <c r="F147" t="s">
        <v>2344</v>
      </c>
      <c r="G147" t="s">
        <v>2344</v>
      </c>
      <c r="H147">
        <v>1</v>
      </c>
      <c r="I147" t="s">
        <v>2346</v>
      </c>
      <c r="J147" t="str">
        <f t="shared" si="8"/>
        <v>Obesity</v>
      </c>
      <c r="K147" t="str">
        <f t="shared" si="9"/>
        <v>Diabetes</v>
      </c>
      <c r="L147">
        <v>6</v>
      </c>
      <c r="M147" t="s">
        <v>2365</v>
      </c>
      <c r="N147">
        <v>2004</v>
      </c>
      <c r="O147" s="8">
        <f t="shared" si="10"/>
        <v>38327</v>
      </c>
      <c r="P147" s="10">
        <v>1705.62</v>
      </c>
      <c r="Q147" t="s">
        <v>2357</v>
      </c>
      <c r="R147" t="s">
        <v>2357</v>
      </c>
      <c r="S147" t="s">
        <v>2369</v>
      </c>
      <c r="T147">
        <f t="shared" ca="1" si="11"/>
        <v>22</v>
      </c>
      <c r="U147">
        <f>VLOOKUP($A147,'Medical Examination'!$A:$Z,2,FALSE)</f>
        <v>41.52</v>
      </c>
    </row>
    <row r="148" spans="1:21" ht="15.5" x14ac:dyDescent="0.35">
      <c r="A148" s="2" t="s">
        <v>148</v>
      </c>
      <c r="B148" s="2" t="s">
        <v>2571</v>
      </c>
      <c r="C148">
        <v>39.4</v>
      </c>
      <c r="D148">
        <v>6.76</v>
      </c>
      <c r="E148" t="s">
        <v>2344</v>
      </c>
      <c r="F148" t="s">
        <v>2344</v>
      </c>
      <c r="G148" t="s">
        <v>2344</v>
      </c>
      <c r="H148">
        <v>0</v>
      </c>
      <c r="I148" t="s">
        <v>2346</v>
      </c>
      <c r="J148" t="str">
        <f t="shared" si="8"/>
        <v>Obesity</v>
      </c>
      <c r="K148" t="str">
        <f t="shared" si="9"/>
        <v>Diabetes</v>
      </c>
      <c r="L148">
        <v>17</v>
      </c>
      <c r="M148" t="s">
        <v>2367</v>
      </c>
      <c r="N148">
        <v>2004</v>
      </c>
      <c r="O148" s="8">
        <f t="shared" si="10"/>
        <v>38277</v>
      </c>
      <c r="P148" s="10">
        <v>1708</v>
      </c>
      <c r="Q148" t="s">
        <v>2358</v>
      </c>
      <c r="R148" t="s">
        <v>2357</v>
      </c>
      <c r="S148" t="s">
        <v>2371</v>
      </c>
      <c r="T148">
        <f t="shared" ca="1" si="11"/>
        <v>22</v>
      </c>
      <c r="U148">
        <f>VLOOKUP($A148,'Medical Examination'!$A:$Z,2,FALSE)</f>
        <v>39.4</v>
      </c>
    </row>
    <row r="149" spans="1:21" ht="15.5" x14ac:dyDescent="0.35">
      <c r="A149" s="2" t="s">
        <v>149</v>
      </c>
      <c r="B149" s="2" t="s">
        <v>2702</v>
      </c>
      <c r="C149">
        <v>46.45</v>
      </c>
      <c r="D149">
        <v>5.62</v>
      </c>
      <c r="E149" t="s">
        <v>2344</v>
      </c>
      <c r="F149" t="s">
        <v>2344</v>
      </c>
      <c r="G149" t="s">
        <v>2344</v>
      </c>
      <c r="H149">
        <v>0</v>
      </c>
      <c r="I149" t="s">
        <v>2346</v>
      </c>
      <c r="J149" t="str">
        <f t="shared" si="8"/>
        <v>Obesity</v>
      </c>
      <c r="K149" t="str">
        <f t="shared" si="9"/>
        <v>Normal</v>
      </c>
      <c r="L149">
        <v>12</v>
      </c>
      <c r="M149" t="s">
        <v>2365</v>
      </c>
      <c r="N149">
        <v>2004</v>
      </c>
      <c r="O149" s="8">
        <f t="shared" si="10"/>
        <v>38333</v>
      </c>
      <c r="P149" s="10">
        <v>1708.93</v>
      </c>
      <c r="Q149" t="s">
        <v>2358</v>
      </c>
      <c r="R149" t="s">
        <v>2361</v>
      </c>
      <c r="S149" t="s">
        <v>2370</v>
      </c>
      <c r="T149">
        <f t="shared" ca="1" si="11"/>
        <v>22</v>
      </c>
      <c r="U149">
        <f>VLOOKUP($A149,'Medical Examination'!$A:$Z,2,FALSE)</f>
        <v>46.45</v>
      </c>
    </row>
    <row r="150" spans="1:21" ht="15.5" x14ac:dyDescent="0.35">
      <c r="A150" s="2" t="s">
        <v>150</v>
      </c>
      <c r="B150" s="2" t="s">
        <v>2704</v>
      </c>
      <c r="C150">
        <v>35.75</v>
      </c>
      <c r="D150">
        <v>4.1900000000000004</v>
      </c>
      <c r="E150" t="s">
        <v>2344</v>
      </c>
      <c r="F150" t="s">
        <v>2344</v>
      </c>
      <c r="G150" t="s">
        <v>2344</v>
      </c>
      <c r="H150">
        <v>0</v>
      </c>
      <c r="I150" t="s">
        <v>2346</v>
      </c>
      <c r="J150" t="str">
        <f t="shared" si="8"/>
        <v>Obesity</v>
      </c>
      <c r="K150" t="str">
        <f t="shared" si="9"/>
        <v>Normal</v>
      </c>
      <c r="L150">
        <v>19</v>
      </c>
      <c r="M150" t="s">
        <v>2363</v>
      </c>
      <c r="N150">
        <v>2004</v>
      </c>
      <c r="O150" s="8">
        <f t="shared" si="10"/>
        <v>38249</v>
      </c>
      <c r="P150" s="10">
        <v>1711.03</v>
      </c>
      <c r="Q150" t="s">
        <v>2358</v>
      </c>
      <c r="R150" t="s">
        <v>2358</v>
      </c>
      <c r="S150" t="s">
        <v>2359</v>
      </c>
      <c r="T150">
        <f t="shared" ca="1" si="11"/>
        <v>22</v>
      </c>
      <c r="U150">
        <f>VLOOKUP($A150,'Medical Examination'!$A:$Z,2,FALSE)</f>
        <v>35.75</v>
      </c>
    </row>
    <row r="151" spans="1:21" ht="15.5" x14ac:dyDescent="0.35">
      <c r="A151" s="2" t="s">
        <v>151</v>
      </c>
      <c r="B151" s="2" t="s">
        <v>2706</v>
      </c>
      <c r="C151">
        <v>26.07</v>
      </c>
      <c r="D151">
        <v>5.32</v>
      </c>
      <c r="E151" t="s">
        <v>2344</v>
      </c>
      <c r="F151" t="s">
        <v>2344</v>
      </c>
      <c r="G151" t="s">
        <v>2344</v>
      </c>
      <c r="H151">
        <v>0</v>
      </c>
      <c r="I151" t="s">
        <v>2346</v>
      </c>
      <c r="J151" t="str">
        <f t="shared" si="8"/>
        <v>Over weight</v>
      </c>
      <c r="K151" t="str">
        <f t="shared" si="9"/>
        <v>Normal</v>
      </c>
      <c r="L151">
        <v>21</v>
      </c>
      <c r="M151" t="s">
        <v>2363</v>
      </c>
      <c r="N151">
        <v>2004</v>
      </c>
      <c r="O151" s="8">
        <f t="shared" si="10"/>
        <v>38251</v>
      </c>
      <c r="P151" s="10">
        <v>1712.23</v>
      </c>
      <c r="Q151" t="s">
        <v>2358</v>
      </c>
      <c r="R151" t="s">
        <v>2361</v>
      </c>
      <c r="S151" t="s">
        <v>2371</v>
      </c>
      <c r="T151">
        <f t="shared" ca="1" si="11"/>
        <v>22</v>
      </c>
      <c r="U151">
        <f>VLOOKUP($A151,'Medical Examination'!$A:$Z,2,FALSE)</f>
        <v>26.07</v>
      </c>
    </row>
    <row r="152" spans="1:21" ht="15.5" x14ac:dyDescent="0.35">
      <c r="A152" s="2" t="s">
        <v>152</v>
      </c>
      <c r="B152" s="2" t="s">
        <v>2707</v>
      </c>
      <c r="C152">
        <v>36.54</v>
      </c>
      <c r="D152">
        <v>4.46</v>
      </c>
      <c r="E152" t="s">
        <v>2346</v>
      </c>
      <c r="F152" t="s">
        <v>2344</v>
      </c>
      <c r="G152" t="s">
        <v>2344</v>
      </c>
      <c r="H152">
        <v>1</v>
      </c>
      <c r="I152" t="s">
        <v>2346</v>
      </c>
      <c r="J152" t="str">
        <f t="shared" si="8"/>
        <v>Obesity</v>
      </c>
      <c r="K152" t="str">
        <f t="shared" si="9"/>
        <v>Normal</v>
      </c>
      <c r="L152">
        <v>10</v>
      </c>
      <c r="M152" t="s">
        <v>2362</v>
      </c>
      <c r="N152">
        <v>2004</v>
      </c>
      <c r="O152" s="8">
        <f t="shared" si="10"/>
        <v>38148</v>
      </c>
      <c r="P152" s="10">
        <v>1719.44</v>
      </c>
      <c r="Q152" t="s">
        <v>2358</v>
      </c>
      <c r="R152" t="s">
        <v>2358</v>
      </c>
      <c r="S152" t="s">
        <v>2359</v>
      </c>
      <c r="T152">
        <f t="shared" ca="1" si="11"/>
        <v>22</v>
      </c>
      <c r="U152">
        <f>VLOOKUP($A152,'Medical Examination'!$A:$Z,2,FALSE)</f>
        <v>36.54</v>
      </c>
    </row>
    <row r="153" spans="1:21" ht="15.5" x14ac:dyDescent="0.35">
      <c r="A153" s="2" t="s">
        <v>153</v>
      </c>
      <c r="B153" s="2" t="s">
        <v>2709</v>
      </c>
      <c r="C153">
        <v>51.64</v>
      </c>
      <c r="D153">
        <v>5.65</v>
      </c>
      <c r="E153" t="s">
        <v>2344</v>
      </c>
      <c r="F153" t="s">
        <v>2344</v>
      </c>
      <c r="G153" t="s">
        <v>2344</v>
      </c>
      <c r="H153">
        <v>0</v>
      </c>
      <c r="I153" t="s">
        <v>2346</v>
      </c>
      <c r="J153" t="str">
        <f t="shared" si="8"/>
        <v>Obesity</v>
      </c>
      <c r="K153" t="str">
        <f t="shared" si="9"/>
        <v>Normal</v>
      </c>
      <c r="L153">
        <v>11</v>
      </c>
      <c r="M153" t="s">
        <v>2363</v>
      </c>
      <c r="N153">
        <v>2004</v>
      </c>
      <c r="O153" s="8">
        <f t="shared" si="10"/>
        <v>38241</v>
      </c>
      <c r="P153" s="10">
        <v>1720.35</v>
      </c>
      <c r="Q153" t="s">
        <v>2358</v>
      </c>
      <c r="R153" t="s">
        <v>2358</v>
      </c>
      <c r="S153" t="s">
        <v>2359</v>
      </c>
      <c r="T153">
        <f t="shared" ca="1" si="11"/>
        <v>22</v>
      </c>
      <c r="U153">
        <f>VLOOKUP($A153,'Medical Examination'!$A:$Z,2,FALSE)</f>
        <v>51.64</v>
      </c>
    </row>
    <row r="154" spans="1:21" ht="15.5" x14ac:dyDescent="0.35">
      <c r="A154" s="2" t="s">
        <v>154</v>
      </c>
      <c r="B154" s="2" t="s">
        <v>2710</v>
      </c>
      <c r="C154">
        <v>42.83</v>
      </c>
      <c r="D154">
        <v>6.04</v>
      </c>
      <c r="E154" t="s">
        <v>2344</v>
      </c>
      <c r="F154" t="s">
        <v>2344</v>
      </c>
      <c r="G154" t="s">
        <v>2344</v>
      </c>
      <c r="H154">
        <v>1</v>
      </c>
      <c r="I154" t="s">
        <v>2346</v>
      </c>
      <c r="J154" t="str">
        <f t="shared" si="8"/>
        <v>Obesity</v>
      </c>
      <c r="K154" t="str">
        <f t="shared" si="9"/>
        <v>Prediabetes</v>
      </c>
      <c r="L154">
        <v>21</v>
      </c>
      <c r="M154" t="s">
        <v>2367</v>
      </c>
      <c r="N154">
        <v>2004</v>
      </c>
      <c r="O154" s="8">
        <f t="shared" si="10"/>
        <v>38281</v>
      </c>
      <c r="P154" s="10">
        <v>1725.55</v>
      </c>
      <c r="Q154" t="s">
        <v>2358</v>
      </c>
      <c r="R154" t="s">
        <v>2357</v>
      </c>
      <c r="S154" t="s">
        <v>2359</v>
      </c>
      <c r="T154">
        <f t="shared" ca="1" si="11"/>
        <v>22</v>
      </c>
      <c r="U154">
        <f>VLOOKUP($A154,'Medical Examination'!$A:$Z,2,FALSE)</f>
        <v>42.83</v>
      </c>
    </row>
    <row r="155" spans="1:21" ht="15.5" x14ac:dyDescent="0.35">
      <c r="A155" s="2" t="s">
        <v>155</v>
      </c>
      <c r="B155" s="2" t="s">
        <v>2712</v>
      </c>
      <c r="C155">
        <v>40.15</v>
      </c>
      <c r="D155">
        <v>5.76</v>
      </c>
      <c r="E155" t="s">
        <v>2344</v>
      </c>
      <c r="F155" t="s">
        <v>2344</v>
      </c>
      <c r="G155" t="s">
        <v>2344</v>
      </c>
      <c r="H155">
        <v>1</v>
      </c>
      <c r="I155" t="s">
        <v>2346</v>
      </c>
      <c r="J155" t="str">
        <f t="shared" si="8"/>
        <v>Obesity</v>
      </c>
      <c r="K155" t="str">
        <f t="shared" si="9"/>
        <v>Prediabetes</v>
      </c>
      <c r="L155">
        <v>9</v>
      </c>
      <c r="M155" t="s">
        <v>2363</v>
      </c>
      <c r="N155">
        <v>2004</v>
      </c>
      <c r="O155" s="8">
        <f t="shared" si="10"/>
        <v>38239</v>
      </c>
      <c r="P155" s="10">
        <v>1727.54</v>
      </c>
      <c r="Q155" t="s">
        <v>2358</v>
      </c>
      <c r="R155" t="s">
        <v>2361</v>
      </c>
      <c r="S155" t="s">
        <v>2359</v>
      </c>
      <c r="T155">
        <f t="shared" ca="1" si="11"/>
        <v>22</v>
      </c>
      <c r="U155">
        <f>VLOOKUP($A155,'Medical Examination'!$A:$Z,2,FALSE)</f>
        <v>40.15</v>
      </c>
    </row>
    <row r="156" spans="1:21" ht="15.5" x14ac:dyDescent="0.35">
      <c r="A156" s="2" t="s">
        <v>156</v>
      </c>
      <c r="B156" s="2" t="s">
        <v>2713</v>
      </c>
      <c r="C156">
        <v>27.8</v>
      </c>
      <c r="D156">
        <v>4.3600000000000003</v>
      </c>
      <c r="E156" t="s">
        <v>2344</v>
      </c>
      <c r="F156" t="s">
        <v>2344</v>
      </c>
      <c r="G156" t="s">
        <v>2346</v>
      </c>
      <c r="H156">
        <v>1</v>
      </c>
      <c r="I156" t="s">
        <v>2346</v>
      </c>
      <c r="J156" t="str">
        <f t="shared" si="8"/>
        <v>Over weight</v>
      </c>
      <c r="K156" t="str">
        <f t="shared" si="9"/>
        <v>Normal</v>
      </c>
      <c r="L156">
        <v>21</v>
      </c>
      <c r="M156" t="s">
        <v>2360</v>
      </c>
      <c r="N156">
        <v>2003</v>
      </c>
      <c r="O156" s="8">
        <f t="shared" si="10"/>
        <v>37946</v>
      </c>
      <c r="P156" s="10">
        <v>1727.79</v>
      </c>
      <c r="Q156" t="s">
        <v>2358</v>
      </c>
      <c r="R156" t="s">
        <v>2358</v>
      </c>
      <c r="S156" t="s">
        <v>2368</v>
      </c>
      <c r="T156">
        <f t="shared" ca="1" si="11"/>
        <v>23</v>
      </c>
      <c r="U156">
        <f>VLOOKUP($A156,'Medical Examination'!$A:$Z,2,FALSE)</f>
        <v>27.8</v>
      </c>
    </row>
    <row r="157" spans="1:21" ht="15.5" x14ac:dyDescent="0.35">
      <c r="A157" s="2" t="s">
        <v>157</v>
      </c>
      <c r="B157" s="2" t="s">
        <v>2715</v>
      </c>
      <c r="C157">
        <v>45.81</v>
      </c>
      <c r="D157">
        <v>4.76</v>
      </c>
      <c r="E157" t="s">
        <v>2346</v>
      </c>
      <c r="F157" t="s">
        <v>2344</v>
      </c>
      <c r="G157" t="s">
        <v>2346</v>
      </c>
      <c r="H157">
        <v>1</v>
      </c>
      <c r="I157" t="s">
        <v>2346</v>
      </c>
      <c r="J157" t="str">
        <f t="shared" si="8"/>
        <v>Obesity</v>
      </c>
      <c r="K157" t="str">
        <f t="shared" si="9"/>
        <v>Normal</v>
      </c>
      <c r="L157">
        <v>1</v>
      </c>
      <c r="M157" t="s">
        <v>2363</v>
      </c>
      <c r="N157">
        <v>2003</v>
      </c>
      <c r="O157" s="8">
        <f t="shared" si="10"/>
        <v>37865</v>
      </c>
      <c r="P157" s="10">
        <v>1728.9</v>
      </c>
      <c r="Q157" t="s">
        <v>2358</v>
      </c>
      <c r="R157" t="s">
        <v>2357</v>
      </c>
      <c r="S157" t="s">
        <v>2368</v>
      </c>
      <c r="T157">
        <f t="shared" ca="1" si="11"/>
        <v>23</v>
      </c>
      <c r="U157">
        <f>VLOOKUP($A157,'Medical Examination'!$A:$Z,2,FALSE)</f>
        <v>45.81</v>
      </c>
    </row>
    <row r="158" spans="1:21" ht="15.5" x14ac:dyDescent="0.35">
      <c r="A158" s="2" t="s">
        <v>158</v>
      </c>
      <c r="B158" s="2" t="s">
        <v>2716</v>
      </c>
      <c r="C158">
        <v>34.43</v>
      </c>
      <c r="D158">
        <v>10.82</v>
      </c>
      <c r="E158" t="s">
        <v>2346</v>
      </c>
      <c r="F158" t="s">
        <v>2344</v>
      </c>
      <c r="G158" t="s">
        <v>2344</v>
      </c>
      <c r="H158">
        <v>1</v>
      </c>
      <c r="I158" t="s">
        <v>2346</v>
      </c>
      <c r="J158" t="str">
        <f t="shared" si="8"/>
        <v>Obesity</v>
      </c>
      <c r="K158" t="str">
        <f t="shared" si="9"/>
        <v>Diabetes</v>
      </c>
      <c r="L158">
        <v>9</v>
      </c>
      <c r="M158" t="s">
        <v>2360</v>
      </c>
      <c r="N158">
        <v>2003</v>
      </c>
      <c r="O158" s="8">
        <f t="shared" si="10"/>
        <v>37934</v>
      </c>
      <c r="P158" s="10">
        <v>1731.68</v>
      </c>
      <c r="Q158" t="s">
        <v>2358</v>
      </c>
      <c r="R158" t="s">
        <v>2357</v>
      </c>
      <c r="S158" t="s">
        <v>2368</v>
      </c>
      <c r="T158">
        <f t="shared" ca="1" si="11"/>
        <v>23</v>
      </c>
      <c r="U158">
        <f>VLOOKUP($A158,'Medical Examination'!$A:$Z,2,FALSE)</f>
        <v>34.43</v>
      </c>
    </row>
    <row r="159" spans="1:21" ht="15.5" x14ac:dyDescent="0.35">
      <c r="A159" s="2" t="s">
        <v>159</v>
      </c>
      <c r="B159" s="2" t="s">
        <v>2717</v>
      </c>
      <c r="C159">
        <v>41.33</v>
      </c>
      <c r="D159">
        <v>4.01</v>
      </c>
      <c r="E159" t="s">
        <v>2346</v>
      </c>
      <c r="F159" t="s">
        <v>2344</v>
      </c>
      <c r="G159" t="s">
        <v>2344</v>
      </c>
      <c r="H159">
        <v>0</v>
      </c>
      <c r="I159" t="s">
        <v>2346</v>
      </c>
      <c r="J159" t="str">
        <f t="shared" si="8"/>
        <v>Obesity</v>
      </c>
      <c r="K159" t="str">
        <f t="shared" si="9"/>
        <v>Normal</v>
      </c>
      <c r="L159">
        <v>14</v>
      </c>
      <c r="M159" t="s">
        <v>2360</v>
      </c>
      <c r="N159">
        <v>2003</v>
      </c>
      <c r="O159" s="8">
        <f t="shared" si="10"/>
        <v>37939</v>
      </c>
      <c r="P159" s="10">
        <v>1737.38</v>
      </c>
      <c r="Q159" t="s">
        <v>2358</v>
      </c>
      <c r="R159" t="s">
        <v>2357</v>
      </c>
      <c r="S159" t="s">
        <v>2368</v>
      </c>
      <c r="T159">
        <f t="shared" ca="1" si="11"/>
        <v>23</v>
      </c>
      <c r="U159">
        <f>VLOOKUP($A159,'Medical Examination'!$A:$Z,2,FALSE)</f>
        <v>41.33</v>
      </c>
    </row>
    <row r="160" spans="1:21" ht="15.5" x14ac:dyDescent="0.35">
      <c r="A160" s="2" t="s">
        <v>160</v>
      </c>
      <c r="B160" s="2" t="s">
        <v>2719</v>
      </c>
      <c r="C160">
        <v>31.92</v>
      </c>
      <c r="D160">
        <v>5.12</v>
      </c>
      <c r="E160" t="s">
        <v>2346</v>
      </c>
      <c r="F160" t="s">
        <v>2344</v>
      </c>
      <c r="G160" t="s">
        <v>2344</v>
      </c>
      <c r="H160">
        <v>1</v>
      </c>
      <c r="I160" t="s">
        <v>2346</v>
      </c>
      <c r="J160" t="str">
        <f t="shared" si="8"/>
        <v>Obesity</v>
      </c>
      <c r="K160" t="str">
        <f t="shared" si="9"/>
        <v>Normal</v>
      </c>
      <c r="L160">
        <v>25</v>
      </c>
      <c r="M160" t="s">
        <v>2356</v>
      </c>
      <c r="N160">
        <v>2003</v>
      </c>
      <c r="O160" s="8">
        <f t="shared" si="10"/>
        <v>37827</v>
      </c>
      <c r="P160" s="10">
        <v>1743.21</v>
      </c>
      <c r="Q160" t="s">
        <v>2358</v>
      </c>
      <c r="R160" t="s">
        <v>2361</v>
      </c>
      <c r="S160" t="s">
        <v>2368</v>
      </c>
      <c r="T160">
        <f t="shared" ca="1" si="11"/>
        <v>23</v>
      </c>
      <c r="U160">
        <f>VLOOKUP($A160,'Medical Examination'!$A:$Z,2,FALSE)</f>
        <v>31.92</v>
      </c>
    </row>
    <row r="161" spans="1:21" ht="15.5" x14ac:dyDescent="0.35">
      <c r="A161" s="2" t="s">
        <v>161</v>
      </c>
      <c r="B161" s="2" t="s">
        <v>2721</v>
      </c>
      <c r="C161">
        <v>39.799999999999997</v>
      </c>
      <c r="D161">
        <v>10.54</v>
      </c>
      <c r="E161" t="s">
        <v>2346</v>
      </c>
      <c r="F161" t="s">
        <v>2344</v>
      </c>
      <c r="G161" t="s">
        <v>2344</v>
      </c>
      <c r="H161">
        <v>1</v>
      </c>
      <c r="I161" t="s">
        <v>2346</v>
      </c>
      <c r="J161" t="str">
        <f t="shared" si="8"/>
        <v>Obesity</v>
      </c>
      <c r="K161" t="str">
        <f t="shared" si="9"/>
        <v>Diabetes</v>
      </c>
      <c r="L161">
        <v>28</v>
      </c>
      <c r="M161" t="s">
        <v>2356</v>
      </c>
      <c r="N161">
        <v>2003</v>
      </c>
      <c r="O161" s="8">
        <f t="shared" si="10"/>
        <v>37830</v>
      </c>
      <c r="P161" s="10">
        <v>1744.47</v>
      </c>
      <c r="Q161" t="s">
        <v>2358</v>
      </c>
      <c r="R161" t="s">
        <v>2361</v>
      </c>
      <c r="S161" t="s">
        <v>2368</v>
      </c>
      <c r="T161">
        <f t="shared" ca="1" si="11"/>
        <v>23</v>
      </c>
      <c r="U161">
        <f>VLOOKUP($A161,'Medical Examination'!$A:$Z,2,FALSE)</f>
        <v>39.799999999999997</v>
      </c>
    </row>
    <row r="162" spans="1:21" ht="15.5" x14ac:dyDescent="0.35">
      <c r="A162" s="2" t="s">
        <v>162</v>
      </c>
      <c r="B162" s="2" t="s">
        <v>2724</v>
      </c>
      <c r="C162">
        <v>42.82</v>
      </c>
      <c r="D162">
        <v>4.21</v>
      </c>
      <c r="E162" t="s">
        <v>2344</v>
      </c>
      <c r="F162" t="s">
        <v>2344</v>
      </c>
      <c r="G162" t="s">
        <v>2344</v>
      </c>
      <c r="H162">
        <v>0</v>
      </c>
      <c r="I162" t="s">
        <v>2346</v>
      </c>
      <c r="J162" t="str">
        <f t="shared" si="8"/>
        <v>Obesity</v>
      </c>
      <c r="K162" t="str">
        <f t="shared" si="9"/>
        <v>Normal</v>
      </c>
      <c r="L162">
        <v>26</v>
      </c>
      <c r="M162" t="s">
        <v>2363</v>
      </c>
      <c r="N162">
        <v>2003</v>
      </c>
      <c r="O162" s="8">
        <f t="shared" si="10"/>
        <v>37890</v>
      </c>
      <c r="P162" s="10">
        <v>1748.77</v>
      </c>
      <c r="Q162" t="s">
        <v>2358</v>
      </c>
      <c r="R162" t="s">
        <v>2361</v>
      </c>
      <c r="S162" t="s">
        <v>2368</v>
      </c>
      <c r="T162">
        <f t="shared" ca="1" si="11"/>
        <v>23</v>
      </c>
      <c r="U162">
        <f>VLOOKUP($A162,'Medical Examination'!$A:$Z,2,FALSE)</f>
        <v>42.82</v>
      </c>
    </row>
    <row r="163" spans="1:21" ht="15.5" x14ac:dyDescent="0.35">
      <c r="A163" s="2" t="s">
        <v>163</v>
      </c>
      <c r="B163" s="2" t="s">
        <v>2726</v>
      </c>
      <c r="C163">
        <v>33.630000000000003</v>
      </c>
      <c r="D163">
        <v>5.42</v>
      </c>
      <c r="E163" t="s">
        <v>2344</v>
      </c>
      <c r="F163" t="s">
        <v>2344</v>
      </c>
      <c r="G163" t="s">
        <v>2344</v>
      </c>
      <c r="H163">
        <v>0</v>
      </c>
      <c r="I163" t="s">
        <v>2346</v>
      </c>
      <c r="J163" t="str">
        <f t="shared" si="8"/>
        <v>Obesity</v>
      </c>
      <c r="K163" t="str">
        <f t="shared" si="9"/>
        <v>Normal</v>
      </c>
      <c r="L163">
        <v>7</v>
      </c>
      <c r="M163" t="s">
        <v>2367</v>
      </c>
      <c r="N163">
        <v>1998</v>
      </c>
      <c r="O163" s="8">
        <f t="shared" si="10"/>
        <v>36075</v>
      </c>
      <c r="P163" s="10">
        <v>1756.6</v>
      </c>
      <c r="Q163" t="s">
        <v>2358</v>
      </c>
      <c r="R163" t="s">
        <v>2358</v>
      </c>
      <c r="S163" t="s">
        <v>2359</v>
      </c>
      <c r="T163">
        <f t="shared" ca="1" si="11"/>
        <v>28</v>
      </c>
      <c r="U163">
        <f>VLOOKUP($A163,'Medical Examination'!$A:$Z,2,FALSE)</f>
        <v>33.630000000000003</v>
      </c>
    </row>
    <row r="164" spans="1:21" ht="15.5" x14ac:dyDescent="0.35">
      <c r="A164" s="2" t="s">
        <v>164</v>
      </c>
      <c r="B164" s="2" t="s">
        <v>2728</v>
      </c>
      <c r="C164">
        <v>37.07</v>
      </c>
      <c r="D164">
        <v>4.28</v>
      </c>
      <c r="E164" t="s">
        <v>2344</v>
      </c>
      <c r="F164" t="s">
        <v>2345</v>
      </c>
      <c r="G164" t="s">
        <v>2344</v>
      </c>
      <c r="H164">
        <v>1</v>
      </c>
      <c r="I164" t="s">
        <v>2346</v>
      </c>
      <c r="J164" t="str">
        <f t="shared" si="8"/>
        <v>Obesity</v>
      </c>
      <c r="K164" t="str">
        <f t="shared" si="9"/>
        <v>Normal</v>
      </c>
      <c r="L164">
        <v>19</v>
      </c>
      <c r="M164" t="s">
        <v>2360</v>
      </c>
      <c r="N164">
        <v>2003</v>
      </c>
      <c r="O164" s="8">
        <f t="shared" si="10"/>
        <v>37944</v>
      </c>
      <c r="P164" s="10">
        <v>1759.34</v>
      </c>
      <c r="Q164" t="s">
        <v>2358</v>
      </c>
      <c r="R164" t="s">
        <v>2361</v>
      </c>
      <c r="S164" t="s">
        <v>2368</v>
      </c>
      <c r="T164">
        <f t="shared" ca="1" si="11"/>
        <v>23</v>
      </c>
      <c r="U164">
        <f>VLOOKUP($A164,'Medical Examination'!$A:$Z,2,FALSE)</f>
        <v>37.07</v>
      </c>
    </row>
    <row r="165" spans="1:21" ht="15.5" x14ac:dyDescent="0.35">
      <c r="A165" s="2" t="s">
        <v>165</v>
      </c>
      <c r="B165" s="2" t="s">
        <v>2730</v>
      </c>
      <c r="C165">
        <v>35.625</v>
      </c>
      <c r="D165">
        <v>8.9</v>
      </c>
      <c r="E165" t="s">
        <v>2344</v>
      </c>
      <c r="F165" t="s">
        <v>2344</v>
      </c>
      <c r="G165" t="s">
        <v>2344</v>
      </c>
      <c r="H165">
        <v>0</v>
      </c>
      <c r="I165" t="s">
        <v>2346</v>
      </c>
      <c r="J165" t="str">
        <f t="shared" si="8"/>
        <v>Obesity</v>
      </c>
      <c r="K165" t="str">
        <f t="shared" si="9"/>
        <v>Diabetes</v>
      </c>
      <c r="L165">
        <v>13</v>
      </c>
      <c r="M165" t="s">
        <v>2365</v>
      </c>
      <c r="N165">
        <v>2002</v>
      </c>
      <c r="O165" s="8">
        <f t="shared" si="10"/>
        <v>37603</v>
      </c>
      <c r="P165" s="10">
        <v>1769.53</v>
      </c>
      <c r="Q165" t="s">
        <v>2358</v>
      </c>
      <c r="R165" t="s">
        <v>2358</v>
      </c>
      <c r="S165" t="s">
        <v>2364</v>
      </c>
      <c r="T165">
        <f t="shared" ca="1" si="11"/>
        <v>24</v>
      </c>
      <c r="U165">
        <f>VLOOKUP($A165,'Medical Examination'!$A:$Z,2,FALSE)</f>
        <v>35.625</v>
      </c>
    </row>
    <row r="166" spans="1:21" ht="15.5" x14ac:dyDescent="0.35">
      <c r="A166" s="2" t="s">
        <v>166</v>
      </c>
      <c r="B166" s="2" t="s">
        <v>2732</v>
      </c>
      <c r="C166">
        <v>42.69</v>
      </c>
      <c r="D166">
        <v>4.8899999999999997</v>
      </c>
      <c r="E166" t="s">
        <v>2344</v>
      </c>
      <c r="F166" t="s">
        <v>2344</v>
      </c>
      <c r="G166" t="s">
        <v>2346</v>
      </c>
      <c r="H166">
        <v>1</v>
      </c>
      <c r="I166" t="s">
        <v>2346</v>
      </c>
      <c r="J166" t="str">
        <f t="shared" si="8"/>
        <v>Obesity</v>
      </c>
      <c r="K166" t="str">
        <f t="shared" si="9"/>
        <v>Normal</v>
      </c>
      <c r="L166">
        <v>25</v>
      </c>
      <c r="M166" t="s">
        <v>2363</v>
      </c>
      <c r="N166">
        <v>1999</v>
      </c>
      <c r="O166" s="8">
        <f t="shared" si="10"/>
        <v>36428</v>
      </c>
      <c r="P166" s="10">
        <v>1815.88</v>
      </c>
      <c r="Q166" t="s">
        <v>2358</v>
      </c>
      <c r="R166" t="s">
        <v>2358</v>
      </c>
      <c r="S166" t="s">
        <v>2359</v>
      </c>
      <c r="T166">
        <f t="shared" ca="1" si="11"/>
        <v>27</v>
      </c>
      <c r="U166">
        <f>VLOOKUP($A166,'Medical Examination'!$A:$Z,2,FALSE)</f>
        <v>42.69</v>
      </c>
    </row>
    <row r="167" spans="1:21" ht="15.5" x14ac:dyDescent="0.35">
      <c r="A167" s="2" t="s">
        <v>167</v>
      </c>
      <c r="B167" s="2" t="s">
        <v>2734</v>
      </c>
      <c r="C167">
        <v>37.869999999999997</v>
      </c>
      <c r="D167">
        <v>4.29</v>
      </c>
      <c r="E167" t="s">
        <v>2346</v>
      </c>
      <c r="F167" t="s">
        <v>2344</v>
      </c>
      <c r="G167" t="s">
        <v>2346</v>
      </c>
      <c r="H167">
        <v>1</v>
      </c>
      <c r="I167" t="s">
        <v>2346</v>
      </c>
      <c r="J167" t="str">
        <f t="shared" si="8"/>
        <v>Obesity</v>
      </c>
      <c r="K167" t="str">
        <f t="shared" si="9"/>
        <v>Normal</v>
      </c>
      <c r="L167">
        <v>19</v>
      </c>
      <c r="M167" t="s">
        <v>2366</v>
      </c>
      <c r="N167">
        <v>2004</v>
      </c>
      <c r="O167" s="8">
        <f t="shared" si="10"/>
        <v>38218</v>
      </c>
      <c r="P167" s="10">
        <v>1822.54</v>
      </c>
      <c r="Q167" t="s">
        <v>2358</v>
      </c>
      <c r="R167" t="s">
        <v>2361</v>
      </c>
      <c r="S167" t="s">
        <v>2364</v>
      </c>
      <c r="T167">
        <f t="shared" ca="1" si="11"/>
        <v>22</v>
      </c>
      <c r="U167">
        <f>VLOOKUP($A167,'Medical Examination'!$A:$Z,2,FALSE)</f>
        <v>37.869999999999997</v>
      </c>
    </row>
    <row r="168" spans="1:21" ht="15.5" x14ac:dyDescent="0.35">
      <c r="A168" s="2" t="s">
        <v>168</v>
      </c>
      <c r="B168" s="2" t="s">
        <v>2736</v>
      </c>
      <c r="C168">
        <v>40.61</v>
      </c>
      <c r="D168" t="s">
        <v>2346</v>
      </c>
      <c r="E168" t="s">
        <v>2346</v>
      </c>
      <c r="F168" t="s">
        <v>2344</v>
      </c>
      <c r="G168" t="s">
        <v>2344</v>
      </c>
      <c r="H168">
        <v>1</v>
      </c>
      <c r="I168" t="s">
        <v>2346</v>
      </c>
      <c r="J168" t="str">
        <f t="shared" si="8"/>
        <v>Obesity</v>
      </c>
      <c r="K168" t="str">
        <f t="shared" si="9"/>
        <v>Diabetes</v>
      </c>
      <c r="L168">
        <v>17</v>
      </c>
      <c r="M168" t="s">
        <v>2360</v>
      </c>
      <c r="N168">
        <v>1999</v>
      </c>
      <c r="O168" s="8">
        <f t="shared" si="10"/>
        <v>36481</v>
      </c>
      <c r="P168" s="10">
        <v>1824.29</v>
      </c>
      <c r="Q168" t="s">
        <v>2358</v>
      </c>
      <c r="R168" t="s">
        <v>2358</v>
      </c>
      <c r="S168" t="s">
        <v>2359</v>
      </c>
      <c r="T168">
        <f t="shared" ca="1" si="11"/>
        <v>27</v>
      </c>
      <c r="U168">
        <f>VLOOKUP($A168,'Medical Examination'!$A:$Z,2,FALSE)</f>
        <v>40.61</v>
      </c>
    </row>
    <row r="169" spans="1:21" ht="15.5" x14ac:dyDescent="0.35">
      <c r="A169" s="2" t="s">
        <v>169</v>
      </c>
      <c r="B169" s="2" t="s">
        <v>2738</v>
      </c>
      <c r="C169">
        <v>30.78</v>
      </c>
      <c r="D169">
        <v>4.67</v>
      </c>
      <c r="E169" t="s">
        <v>2346</v>
      </c>
      <c r="F169" t="s">
        <v>2344</v>
      </c>
      <c r="G169" t="s">
        <v>2344</v>
      </c>
      <c r="H169">
        <v>0</v>
      </c>
      <c r="I169" t="s">
        <v>2346</v>
      </c>
      <c r="J169" t="str">
        <f t="shared" si="8"/>
        <v>Obesity</v>
      </c>
      <c r="K169" t="str">
        <f t="shared" si="9"/>
        <v>Normal</v>
      </c>
      <c r="L169">
        <v>1</v>
      </c>
      <c r="M169" t="s">
        <v>2367</v>
      </c>
      <c r="N169">
        <v>1999</v>
      </c>
      <c r="O169" s="8">
        <f t="shared" si="10"/>
        <v>36434</v>
      </c>
      <c r="P169" s="10">
        <v>1826.84</v>
      </c>
      <c r="Q169" t="s">
        <v>2358</v>
      </c>
      <c r="R169" t="s">
        <v>2357</v>
      </c>
      <c r="S169" t="s">
        <v>2368</v>
      </c>
      <c r="T169">
        <f t="shared" ca="1" si="11"/>
        <v>27</v>
      </c>
      <c r="U169">
        <f>VLOOKUP($A169,'Medical Examination'!$A:$Z,2,FALSE)</f>
        <v>30.78</v>
      </c>
    </row>
    <row r="170" spans="1:21" ht="15.5" x14ac:dyDescent="0.35">
      <c r="A170" s="2" t="s">
        <v>170</v>
      </c>
      <c r="B170" s="2" t="s">
        <v>2740</v>
      </c>
      <c r="C170">
        <v>49.49</v>
      </c>
      <c r="D170">
        <v>4.5</v>
      </c>
      <c r="E170" t="s">
        <v>2344</v>
      </c>
      <c r="F170" t="s">
        <v>2344</v>
      </c>
      <c r="G170" t="s">
        <v>2344</v>
      </c>
      <c r="H170">
        <v>0</v>
      </c>
      <c r="I170" t="s">
        <v>2346</v>
      </c>
      <c r="J170" t="str">
        <f t="shared" si="8"/>
        <v>Obesity</v>
      </c>
      <c r="K170" t="str">
        <f t="shared" si="9"/>
        <v>Normal</v>
      </c>
      <c r="L170">
        <v>11</v>
      </c>
      <c r="M170" t="s">
        <v>2366</v>
      </c>
      <c r="N170">
        <v>2003</v>
      </c>
      <c r="O170" s="8">
        <f t="shared" si="10"/>
        <v>37844</v>
      </c>
      <c r="P170" s="10">
        <v>1832.09</v>
      </c>
      <c r="Q170" t="s">
        <v>2358</v>
      </c>
      <c r="R170" t="s">
        <v>2358</v>
      </c>
      <c r="S170" t="s">
        <v>2368</v>
      </c>
      <c r="T170">
        <f t="shared" ca="1" si="11"/>
        <v>23</v>
      </c>
      <c r="U170">
        <f>VLOOKUP($A170,'Medical Examination'!$A:$Z,2,FALSE)</f>
        <v>49.49</v>
      </c>
    </row>
    <row r="171" spans="1:21" ht="15.5" x14ac:dyDescent="0.35">
      <c r="A171" s="2" t="s">
        <v>171</v>
      </c>
      <c r="B171" s="2" t="s">
        <v>2742</v>
      </c>
      <c r="C171">
        <v>37.619999999999997</v>
      </c>
      <c r="D171">
        <v>6.32</v>
      </c>
      <c r="E171" t="s">
        <v>2346</v>
      </c>
      <c r="F171" t="s">
        <v>2345</v>
      </c>
      <c r="G171" t="s">
        <v>2344</v>
      </c>
      <c r="H171">
        <v>1</v>
      </c>
      <c r="I171" t="s">
        <v>2346</v>
      </c>
      <c r="J171" t="str">
        <f t="shared" si="8"/>
        <v>Obesity</v>
      </c>
      <c r="K171" t="str">
        <f t="shared" si="9"/>
        <v>Prediabetes</v>
      </c>
      <c r="L171">
        <v>4</v>
      </c>
      <c r="M171" t="s">
        <v>2366</v>
      </c>
      <c r="N171">
        <v>2003</v>
      </c>
      <c r="O171" s="8">
        <f t="shared" si="10"/>
        <v>37837</v>
      </c>
      <c r="P171" s="10">
        <v>1837.24</v>
      </c>
      <c r="Q171" t="s">
        <v>2358</v>
      </c>
      <c r="R171" t="s">
        <v>2357</v>
      </c>
      <c r="S171" t="s">
        <v>2368</v>
      </c>
      <c r="T171">
        <f t="shared" ca="1" si="11"/>
        <v>23</v>
      </c>
      <c r="U171">
        <f>VLOOKUP($A171,'Medical Examination'!$A:$Z,2,FALSE)</f>
        <v>37.619999999999997</v>
      </c>
    </row>
    <row r="172" spans="1:21" ht="15.5" x14ac:dyDescent="0.35">
      <c r="A172" s="2" t="s">
        <v>172</v>
      </c>
      <c r="B172" s="2" t="s">
        <v>2744</v>
      </c>
      <c r="C172">
        <v>36.08</v>
      </c>
      <c r="D172">
        <v>6.1</v>
      </c>
      <c r="E172" t="s">
        <v>2346</v>
      </c>
      <c r="F172" t="s">
        <v>2344</v>
      </c>
      <c r="G172" t="s">
        <v>2344</v>
      </c>
      <c r="H172">
        <v>1</v>
      </c>
      <c r="I172" t="s">
        <v>2346</v>
      </c>
      <c r="J172" t="str">
        <f t="shared" si="8"/>
        <v>Obesity</v>
      </c>
      <c r="K172" t="str">
        <f t="shared" si="9"/>
        <v>Prediabetes</v>
      </c>
      <c r="L172">
        <v>12</v>
      </c>
      <c r="M172" t="s">
        <v>2365</v>
      </c>
      <c r="N172">
        <v>1999</v>
      </c>
      <c r="O172" s="8">
        <f t="shared" si="10"/>
        <v>36506</v>
      </c>
      <c r="P172" s="10">
        <v>1837.28</v>
      </c>
      <c r="Q172" t="s">
        <v>2358</v>
      </c>
      <c r="R172" t="s">
        <v>2357</v>
      </c>
      <c r="S172" t="s">
        <v>2359</v>
      </c>
      <c r="T172">
        <f t="shared" ca="1" si="11"/>
        <v>27</v>
      </c>
      <c r="U172">
        <f>VLOOKUP($A172,'Medical Examination'!$A:$Z,2,FALSE)</f>
        <v>36.08</v>
      </c>
    </row>
    <row r="173" spans="1:21" ht="15.5" x14ac:dyDescent="0.35">
      <c r="A173" s="2" t="s">
        <v>173</v>
      </c>
      <c r="B173" s="2" t="s">
        <v>2745</v>
      </c>
      <c r="C173">
        <v>33.5</v>
      </c>
      <c r="D173">
        <v>5.4</v>
      </c>
      <c r="E173" t="s">
        <v>2344</v>
      </c>
      <c r="F173" t="s">
        <v>2344</v>
      </c>
      <c r="G173" t="s">
        <v>2344</v>
      </c>
      <c r="H173">
        <v>0</v>
      </c>
      <c r="I173" t="s">
        <v>2346</v>
      </c>
      <c r="J173" t="str">
        <f t="shared" si="8"/>
        <v>Obesity</v>
      </c>
      <c r="K173" t="str">
        <f t="shared" si="9"/>
        <v>Normal</v>
      </c>
      <c r="L173">
        <v>20</v>
      </c>
      <c r="M173" t="s">
        <v>2356</v>
      </c>
      <c r="N173">
        <v>2003</v>
      </c>
      <c r="O173" s="8">
        <f t="shared" si="10"/>
        <v>37822</v>
      </c>
      <c r="P173" s="10">
        <v>1842.52</v>
      </c>
      <c r="Q173" t="s">
        <v>2358</v>
      </c>
      <c r="R173" t="s">
        <v>2357</v>
      </c>
      <c r="S173" t="s">
        <v>2368</v>
      </c>
      <c r="T173">
        <f t="shared" ca="1" si="11"/>
        <v>23</v>
      </c>
      <c r="U173">
        <f>VLOOKUP($A173,'Medical Examination'!$A:$Z,2,FALSE)</f>
        <v>33.5</v>
      </c>
    </row>
    <row r="174" spans="1:21" ht="15.5" x14ac:dyDescent="0.35">
      <c r="A174" s="2" t="s">
        <v>174</v>
      </c>
      <c r="B174" s="2" t="s">
        <v>2747</v>
      </c>
      <c r="C174">
        <v>47.46</v>
      </c>
      <c r="D174">
        <v>6.24</v>
      </c>
      <c r="E174" t="s">
        <v>2346</v>
      </c>
      <c r="F174" t="s">
        <v>2344</v>
      </c>
      <c r="G174" t="s">
        <v>2344</v>
      </c>
      <c r="H174">
        <v>1</v>
      </c>
      <c r="I174" t="s">
        <v>2346</v>
      </c>
      <c r="J174" t="str">
        <f t="shared" si="8"/>
        <v>Obesity</v>
      </c>
      <c r="K174" t="str">
        <f t="shared" si="9"/>
        <v>Prediabetes</v>
      </c>
      <c r="L174">
        <v>6</v>
      </c>
      <c r="M174" t="s">
        <v>2365</v>
      </c>
      <c r="N174">
        <v>1994</v>
      </c>
      <c r="O174" s="8">
        <f t="shared" si="10"/>
        <v>34674</v>
      </c>
      <c r="P174" s="10">
        <v>1850.55</v>
      </c>
      <c r="Q174" t="s">
        <v>2358</v>
      </c>
      <c r="R174" t="s">
        <v>2357</v>
      </c>
      <c r="S174" t="s">
        <v>2364</v>
      </c>
      <c r="T174">
        <f t="shared" ca="1" si="11"/>
        <v>32</v>
      </c>
      <c r="U174">
        <f>VLOOKUP($A174,'Medical Examination'!$A:$Z,2,FALSE)</f>
        <v>47.46</v>
      </c>
    </row>
    <row r="175" spans="1:21" ht="15.5" x14ac:dyDescent="0.35">
      <c r="A175" s="2" t="s">
        <v>175</v>
      </c>
      <c r="B175" s="2" t="s">
        <v>2749</v>
      </c>
      <c r="C175">
        <v>49.24</v>
      </c>
      <c r="D175">
        <v>4.45</v>
      </c>
      <c r="E175" t="s">
        <v>2344</v>
      </c>
      <c r="F175" t="s">
        <v>2344</v>
      </c>
      <c r="G175" t="s">
        <v>2344</v>
      </c>
      <c r="H175">
        <v>0</v>
      </c>
      <c r="I175" t="s">
        <v>2346</v>
      </c>
      <c r="J175" t="str">
        <f t="shared" si="8"/>
        <v>Obesity</v>
      </c>
      <c r="K175" t="str">
        <f t="shared" si="9"/>
        <v>Normal</v>
      </c>
      <c r="L175">
        <v>27</v>
      </c>
      <c r="M175" t="s">
        <v>2365</v>
      </c>
      <c r="N175">
        <v>2004</v>
      </c>
      <c r="O175" s="8">
        <f t="shared" si="10"/>
        <v>38348</v>
      </c>
      <c r="P175" s="10">
        <v>1863.45</v>
      </c>
      <c r="Q175" t="s">
        <v>2358</v>
      </c>
      <c r="R175" t="s">
        <v>2361</v>
      </c>
      <c r="S175" t="s">
        <v>2373</v>
      </c>
      <c r="T175">
        <f t="shared" ca="1" si="11"/>
        <v>22</v>
      </c>
      <c r="U175">
        <f>VLOOKUP($A175,'Medical Examination'!$A:$Z,2,FALSE)</f>
        <v>49.24</v>
      </c>
    </row>
    <row r="176" spans="1:21" ht="15.5" x14ac:dyDescent="0.35">
      <c r="A176" s="2" t="s">
        <v>176</v>
      </c>
      <c r="B176" s="2" t="s">
        <v>2750</v>
      </c>
      <c r="C176">
        <v>54.4</v>
      </c>
      <c r="D176">
        <v>5.22</v>
      </c>
      <c r="E176" t="s">
        <v>2344</v>
      </c>
      <c r="F176" t="s">
        <v>2344</v>
      </c>
      <c r="G176" t="s">
        <v>2344</v>
      </c>
      <c r="H176">
        <v>1</v>
      </c>
      <c r="I176" t="s">
        <v>2346</v>
      </c>
      <c r="J176" t="str">
        <f t="shared" si="8"/>
        <v>Obesity</v>
      </c>
      <c r="K176" t="str">
        <f t="shared" si="9"/>
        <v>Normal</v>
      </c>
      <c r="L176">
        <v>2</v>
      </c>
      <c r="M176" t="s">
        <v>2356</v>
      </c>
      <c r="N176">
        <v>1996</v>
      </c>
      <c r="O176" s="8">
        <f t="shared" si="10"/>
        <v>35248</v>
      </c>
      <c r="P176" s="10">
        <v>1865.98</v>
      </c>
      <c r="Q176" t="s">
        <v>2358</v>
      </c>
      <c r="R176" t="s">
        <v>2358</v>
      </c>
      <c r="S176" t="s">
        <v>2364</v>
      </c>
      <c r="T176">
        <f t="shared" ca="1" si="11"/>
        <v>30</v>
      </c>
      <c r="U176">
        <f>VLOOKUP($A176,'Medical Examination'!$A:$Z,2,FALSE)</f>
        <v>54.4</v>
      </c>
    </row>
    <row r="177" spans="1:21" ht="15.5" x14ac:dyDescent="0.35">
      <c r="A177" s="2" t="s">
        <v>177</v>
      </c>
      <c r="B177" s="2" t="s">
        <v>2752</v>
      </c>
      <c r="C177">
        <v>35.53</v>
      </c>
      <c r="D177">
        <v>4.6100000000000003</v>
      </c>
      <c r="E177" t="s">
        <v>2344</v>
      </c>
      <c r="F177" t="s">
        <v>2344</v>
      </c>
      <c r="G177" t="s">
        <v>2344</v>
      </c>
      <c r="H177">
        <v>1</v>
      </c>
      <c r="I177" t="s">
        <v>2346</v>
      </c>
      <c r="J177" t="str">
        <f t="shared" si="8"/>
        <v>Obesity</v>
      </c>
      <c r="K177" t="str">
        <f t="shared" si="9"/>
        <v>Normal</v>
      </c>
      <c r="L177">
        <v>22</v>
      </c>
      <c r="M177" t="s">
        <v>2363</v>
      </c>
      <c r="N177">
        <v>2002</v>
      </c>
      <c r="O177" s="8">
        <f t="shared" si="10"/>
        <v>37521</v>
      </c>
      <c r="P177" s="10">
        <v>1875.34</v>
      </c>
      <c r="Q177" t="s">
        <v>2358</v>
      </c>
      <c r="R177" t="s">
        <v>2357</v>
      </c>
      <c r="S177" t="s">
        <v>2368</v>
      </c>
      <c r="T177">
        <f t="shared" ca="1" si="11"/>
        <v>24</v>
      </c>
      <c r="U177">
        <f>VLOOKUP($A177,'Medical Examination'!$A:$Z,2,FALSE)</f>
        <v>35.53</v>
      </c>
    </row>
    <row r="178" spans="1:21" ht="15.5" x14ac:dyDescent="0.35">
      <c r="A178" s="2" t="s">
        <v>178</v>
      </c>
      <c r="B178" s="2" t="s">
        <v>2753</v>
      </c>
      <c r="C178">
        <v>39.729999999999997</v>
      </c>
      <c r="D178">
        <v>6.24</v>
      </c>
      <c r="E178" t="s">
        <v>2344</v>
      </c>
      <c r="F178" t="s">
        <v>2344</v>
      </c>
      <c r="G178" t="s">
        <v>2344</v>
      </c>
      <c r="H178">
        <v>0</v>
      </c>
      <c r="I178" t="s">
        <v>2346</v>
      </c>
      <c r="J178" t="str">
        <f t="shared" si="8"/>
        <v>Obesity</v>
      </c>
      <c r="K178" t="str">
        <f t="shared" si="9"/>
        <v>Prediabetes</v>
      </c>
      <c r="L178">
        <v>29</v>
      </c>
      <c r="M178" t="s">
        <v>2367</v>
      </c>
      <c r="N178">
        <v>2002</v>
      </c>
      <c r="O178" s="8">
        <f t="shared" si="10"/>
        <v>37558</v>
      </c>
      <c r="P178" s="10">
        <v>1877.93</v>
      </c>
      <c r="Q178" t="s">
        <v>2358</v>
      </c>
      <c r="R178" t="s">
        <v>2361</v>
      </c>
      <c r="S178" t="s">
        <v>2359</v>
      </c>
      <c r="T178">
        <f t="shared" ca="1" si="11"/>
        <v>24</v>
      </c>
      <c r="U178">
        <f>VLOOKUP($A178,'Medical Examination'!$A:$Z,2,FALSE)</f>
        <v>39.729999999999997</v>
      </c>
    </row>
    <row r="179" spans="1:21" ht="15.5" x14ac:dyDescent="0.35">
      <c r="A179" s="2" t="s">
        <v>179</v>
      </c>
      <c r="B179" s="2" t="s">
        <v>2754</v>
      </c>
      <c r="C179">
        <v>35.68</v>
      </c>
      <c r="D179">
        <v>10.039999999999999</v>
      </c>
      <c r="E179" t="s">
        <v>2344</v>
      </c>
      <c r="F179" t="s">
        <v>2344</v>
      </c>
      <c r="G179" t="s">
        <v>2344</v>
      </c>
      <c r="H179">
        <v>0</v>
      </c>
      <c r="I179" t="s">
        <v>2346</v>
      </c>
      <c r="J179" t="str">
        <f t="shared" si="8"/>
        <v>Obesity</v>
      </c>
      <c r="K179" t="str">
        <f t="shared" si="9"/>
        <v>Diabetes</v>
      </c>
      <c r="L179">
        <v>29</v>
      </c>
      <c r="M179" t="s">
        <v>2366</v>
      </c>
      <c r="N179">
        <v>2002</v>
      </c>
      <c r="O179" s="8">
        <f t="shared" si="10"/>
        <v>37497</v>
      </c>
      <c r="P179" s="10">
        <v>1880.07</v>
      </c>
      <c r="Q179" t="s">
        <v>2358</v>
      </c>
      <c r="R179" t="s">
        <v>2357</v>
      </c>
      <c r="S179" t="s">
        <v>2359</v>
      </c>
      <c r="T179">
        <f t="shared" ca="1" si="11"/>
        <v>24</v>
      </c>
      <c r="U179">
        <f>VLOOKUP($A179,'Medical Examination'!$A:$Z,2,FALSE)</f>
        <v>35.68</v>
      </c>
    </row>
    <row r="180" spans="1:21" ht="15.5" x14ac:dyDescent="0.35">
      <c r="A180" s="2" t="s">
        <v>180</v>
      </c>
      <c r="B180" s="2" t="s">
        <v>2756</v>
      </c>
      <c r="C180">
        <v>48.86</v>
      </c>
      <c r="D180">
        <v>6.09</v>
      </c>
      <c r="E180" t="s">
        <v>2344</v>
      </c>
      <c r="F180" t="s">
        <v>2344</v>
      </c>
      <c r="G180" t="s">
        <v>2344</v>
      </c>
      <c r="H180">
        <v>0</v>
      </c>
      <c r="I180" t="s">
        <v>2346</v>
      </c>
      <c r="J180" t="str">
        <f t="shared" si="8"/>
        <v>Obesity</v>
      </c>
      <c r="K180" t="str">
        <f t="shared" si="9"/>
        <v>Prediabetes</v>
      </c>
      <c r="L180">
        <v>21</v>
      </c>
      <c r="M180" t="s">
        <v>2366</v>
      </c>
      <c r="N180">
        <v>2002</v>
      </c>
      <c r="O180" s="8">
        <f t="shared" si="10"/>
        <v>37489</v>
      </c>
      <c r="P180" s="10">
        <v>1880.49</v>
      </c>
      <c r="Q180" t="s">
        <v>2358</v>
      </c>
      <c r="R180" t="s">
        <v>2361</v>
      </c>
      <c r="S180" t="s">
        <v>2368</v>
      </c>
      <c r="T180">
        <f t="shared" ca="1" si="11"/>
        <v>24</v>
      </c>
      <c r="U180">
        <f>VLOOKUP($A180,'Medical Examination'!$A:$Z,2,FALSE)</f>
        <v>48.86</v>
      </c>
    </row>
    <row r="181" spans="1:21" ht="15.5" x14ac:dyDescent="0.35">
      <c r="A181" s="2" t="s">
        <v>181</v>
      </c>
      <c r="B181" s="2" t="s">
        <v>2758</v>
      </c>
      <c r="C181">
        <v>34.799999999999997</v>
      </c>
      <c r="D181">
        <v>11.4</v>
      </c>
      <c r="E181" t="s">
        <v>2346</v>
      </c>
      <c r="F181" t="s">
        <v>2344</v>
      </c>
      <c r="G181" t="s">
        <v>2346</v>
      </c>
      <c r="H181">
        <v>1</v>
      </c>
      <c r="I181" t="s">
        <v>2344</v>
      </c>
      <c r="J181" t="str">
        <f t="shared" si="8"/>
        <v>Obesity</v>
      </c>
      <c r="K181" t="str">
        <f t="shared" si="9"/>
        <v>Diabetes</v>
      </c>
      <c r="L181">
        <v>10</v>
      </c>
      <c r="M181" t="s">
        <v>2366</v>
      </c>
      <c r="N181">
        <v>2001</v>
      </c>
      <c r="O181" s="8">
        <f t="shared" si="10"/>
        <v>37113</v>
      </c>
      <c r="P181" s="10">
        <v>1906.36</v>
      </c>
      <c r="Q181" t="s">
        <v>2358</v>
      </c>
      <c r="R181" t="s">
        <v>2361</v>
      </c>
      <c r="S181" t="s">
        <v>2364</v>
      </c>
      <c r="T181">
        <f t="shared" ca="1" si="11"/>
        <v>25</v>
      </c>
      <c r="U181">
        <f>VLOOKUP($A181,'Medical Examination'!$A:$Z,2,FALSE)</f>
        <v>34.799999999999997</v>
      </c>
    </row>
    <row r="182" spans="1:21" ht="15.5" x14ac:dyDescent="0.35">
      <c r="A182" s="2" t="s">
        <v>182</v>
      </c>
      <c r="B182" s="2" t="s">
        <v>2759</v>
      </c>
      <c r="C182">
        <v>32.49</v>
      </c>
      <c r="D182">
        <v>4.29</v>
      </c>
      <c r="E182" t="s">
        <v>2344</v>
      </c>
      <c r="F182" t="s">
        <v>2344</v>
      </c>
      <c r="G182" t="s">
        <v>2346</v>
      </c>
      <c r="H182">
        <v>1</v>
      </c>
      <c r="I182" t="s">
        <v>2346</v>
      </c>
      <c r="J182" t="str">
        <f t="shared" si="8"/>
        <v>Obesity</v>
      </c>
      <c r="K182" t="str">
        <f t="shared" si="9"/>
        <v>Normal</v>
      </c>
      <c r="L182">
        <v>6</v>
      </c>
      <c r="M182" t="s">
        <v>2367</v>
      </c>
      <c r="N182">
        <v>1994</v>
      </c>
      <c r="O182" s="8">
        <f t="shared" si="10"/>
        <v>34613</v>
      </c>
      <c r="P182" s="10">
        <v>1908.9</v>
      </c>
      <c r="Q182" t="s">
        <v>2358</v>
      </c>
      <c r="R182" t="s">
        <v>2358</v>
      </c>
      <c r="S182" t="s">
        <v>2359</v>
      </c>
      <c r="T182">
        <f t="shared" ca="1" si="11"/>
        <v>32</v>
      </c>
      <c r="U182">
        <f>VLOOKUP($A182,'Medical Examination'!$A:$Z,2,FALSE)</f>
        <v>32.49</v>
      </c>
    </row>
    <row r="183" spans="1:21" ht="15.5" x14ac:dyDescent="0.35">
      <c r="A183" s="2" t="s">
        <v>183</v>
      </c>
      <c r="B183" s="2" t="s">
        <v>2761</v>
      </c>
      <c r="C183">
        <v>39</v>
      </c>
      <c r="D183">
        <v>5.7</v>
      </c>
      <c r="E183" t="s">
        <v>2344</v>
      </c>
      <c r="F183" t="s">
        <v>2344</v>
      </c>
      <c r="G183" t="s">
        <v>2344</v>
      </c>
      <c r="H183">
        <v>1</v>
      </c>
      <c r="I183" t="s">
        <v>2346</v>
      </c>
      <c r="J183" t="str">
        <f t="shared" si="8"/>
        <v>Obesity</v>
      </c>
      <c r="K183" t="str">
        <f t="shared" si="9"/>
        <v>Prediabetes</v>
      </c>
      <c r="L183">
        <v>3</v>
      </c>
      <c r="M183" t="s">
        <v>2366</v>
      </c>
      <c r="N183">
        <v>2001</v>
      </c>
      <c r="O183" s="8">
        <f t="shared" si="10"/>
        <v>37106</v>
      </c>
      <c r="P183" s="10">
        <v>1909.53</v>
      </c>
      <c r="Q183" t="s">
        <v>2358</v>
      </c>
      <c r="R183" t="s">
        <v>2358</v>
      </c>
      <c r="S183" t="s">
        <v>2364</v>
      </c>
      <c r="T183">
        <f t="shared" ca="1" si="11"/>
        <v>25</v>
      </c>
      <c r="U183">
        <f>VLOOKUP($A183,'Medical Examination'!$A:$Z,2,FALSE)</f>
        <v>39</v>
      </c>
    </row>
    <row r="184" spans="1:21" ht="15.5" x14ac:dyDescent="0.35">
      <c r="A184" s="2" t="s">
        <v>184</v>
      </c>
      <c r="B184" s="2" t="s">
        <v>2763</v>
      </c>
      <c r="C184">
        <v>35.299999999999997</v>
      </c>
      <c r="D184">
        <v>6.09</v>
      </c>
      <c r="E184" t="s">
        <v>2344</v>
      </c>
      <c r="F184" t="s">
        <v>2344</v>
      </c>
      <c r="G184" t="s">
        <v>2344</v>
      </c>
      <c r="H184">
        <v>1</v>
      </c>
      <c r="I184" t="s">
        <v>2346</v>
      </c>
      <c r="J184" t="str">
        <f t="shared" si="8"/>
        <v>Obesity</v>
      </c>
      <c r="K184" t="str">
        <f t="shared" si="9"/>
        <v>Prediabetes</v>
      </c>
      <c r="L184">
        <v>9</v>
      </c>
      <c r="M184" t="s">
        <v>2365</v>
      </c>
      <c r="N184">
        <v>2001</v>
      </c>
      <c r="O184" s="8">
        <f t="shared" si="10"/>
        <v>37234</v>
      </c>
      <c r="P184" s="10">
        <v>1917.32</v>
      </c>
      <c r="Q184" t="s">
        <v>2358</v>
      </c>
      <c r="R184" t="s">
        <v>2357</v>
      </c>
      <c r="S184" t="s">
        <v>2364</v>
      </c>
      <c r="T184">
        <f t="shared" ca="1" si="11"/>
        <v>25</v>
      </c>
      <c r="U184">
        <f>VLOOKUP($A184,'Medical Examination'!$A:$Z,2,FALSE)</f>
        <v>35.299999999999997</v>
      </c>
    </row>
    <row r="185" spans="1:21" ht="15.5" x14ac:dyDescent="0.35">
      <c r="A185" s="2" t="s">
        <v>185</v>
      </c>
      <c r="B185" s="2" t="s">
        <v>2765</v>
      </c>
      <c r="C185">
        <v>33.42</v>
      </c>
      <c r="D185">
        <v>10.67</v>
      </c>
      <c r="E185" t="s">
        <v>2344</v>
      </c>
      <c r="F185" t="s">
        <v>2344</v>
      </c>
      <c r="G185" t="s">
        <v>2344</v>
      </c>
      <c r="H185">
        <v>0</v>
      </c>
      <c r="I185" t="s">
        <v>2346</v>
      </c>
      <c r="J185" t="str">
        <f t="shared" si="8"/>
        <v>Obesity</v>
      </c>
      <c r="K185" t="str">
        <f t="shared" si="9"/>
        <v>Diabetes</v>
      </c>
      <c r="L185">
        <v>7</v>
      </c>
      <c r="M185" t="s">
        <v>2363</v>
      </c>
      <c r="N185">
        <v>2002</v>
      </c>
      <c r="O185" s="8">
        <f t="shared" si="10"/>
        <v>37506</v>
      </c>
      <c r="P185" s="10">
        <v>1964.78</v>
      </c>
      <c r="Q185" t="s">
        <v>2358</v>
      </c>
      <c r="R185" t="s">
        <v>2361</v>
      </c>
      <c r="S185" t="s">
        <v>2368</v>
      </c>
      <c r="T185">
        <f t="shared" ca="1" si="11"/>
        <v>24</v>
      </c>
      <c r="U185">
        <f>VLOOKUP($A185,'Medical Examination'!$A:$Z,2,FALSE)</f>
        <v>33.42</v>
      </c>
    </row>
    <row r="186" spans="1:21" ht="15.5" x14ac:dyDescent="0.35">
      <c r="A186" s="2" t="s">
        <v>186</v>
      </c>
      <c r="B186" s="2" t="s">
        <v>2767</v>
      </c>
      <c r="C186">
        <v>37.18</v>
      </c>
      <c r="D186">
        <v>6.75</v>
      </c>
      <c r="E186" t="s">
        <v>2346</v>
      </c>
      <c r="F186" t="s">
        <v>2344</v>
      </c>
      <c r="G186" t="s">
        <v>2344</v>
      </c>
      <c r="H186">
        <v>1</v>
      </c>
      <c r="I186" t="s">
        <v>2346</v>
      </c>
      <c r="J186" t="str">
        <f t="shared" si="8"/>
        <v>Obesity</v>
      </c>
      <c r="K186" t="str">
        <f t="shared" si="9"/>
        <v>Diabetes</v>
      </c>
      <c r="L186">
        <v>29</v>
      </c>
      <c r="M186" t="s">
        <v>2356</v>
      </c>
      <c r="N186">
        <v>2002</v>
      </c>
      <c r="O186" s="8">
        <f t="shared" si="10"/>
        <v>37466</v>
      </c>
      <c r="P186" s="10">
        <v>1967.02</v>
      </c>
      <c r="Q186" t="s">
        <v>2358</v>
      </c>
      <c r="R186" t="s">
        <v>2357</v>
      </c>
      <c r="S186" t="s">
        <v>2371</v>
      </c>
      <c r="T186">
        <f t="shared" ca="1" si="11"/>
        <v>24</v>
      </c>
      <c r="U186">
        <f>VLOOKUP($A186,'Medical Examination'!$A:$Z,2,FALSE)</f>
        <v>37.18</v>
      </c>
    </row>
    <row r="187" spans="1:21" ht="15.5" x14ac:dyDescent="0.35">
      <c r="A187" s="2" t="s">
        <v>187</v>
      </c>
      <c r="B187" s="2" t="s">
        <v>2768</v>
      </c>
      <c r="C187">
        <v>33.33</v>
      </c>
      <c r="D187">
        <v>9.26</v>
      </c>
      <c r="E187" t="s">
        <v>2346</v>
      </c>
      <c r="F187" t="s">
        <v>2344</v>
      </c>
      <c r="G187" t="s">
        <v>2344</v>
      </c>
      <c r="H187">
        <v>1</v>
      </c>
      <c r="I187" t="s">
        <v>2344</v>
      </c>
      <c r="J187" t="str">
        <f t="shared" si="8"/>
        <v>Obesity</v>
      </c>
      <c r="K187" t="str">
        <f t="shared" si="9"/>
        <v>Diabetes</v>
      </c>
      <c r="L187">
        <v>28</v>
      </c>
      <c r="M187" t="s">
        <v>2363</v>
      </c>
      <c r="N187">
        <v>1998</v>
      </c>
      <c r="O187" s="8">
        <f t="shared" si="10"/>
        <v>36066</v>
      </c>
      <c r="P187" s="10">
        <v>1969.61</v>
      </c>
      <c r="Q187" t="s">
        <v>2358</v>
      </c>
      <c r="R187" t="s">
        <v>2358</v>
      </c>
      <c r="S187" t="s">
        <v>2368</v>
      </c>
      <c r="T187">
        <f t="shared" ca="1" si="11"/>
        <v>28</v>
      </c>
      <c r="U187">
        <f>VLOOKUP($A187,'Medical Examination'!$A:$Z,2,FALSE)</f>
        <v>33.33</v>
      </c>
    </row>
    <row r="188" spans="1:21" ht="15.5" x14ac:dyDescent="0.35">
      <c r="A188" s="2" t="s">
        <v>188</v>
      </c>
      <c r="B188" s="2" t="s">
        <v>2770</v>
      </c>
      <c r="C188">
        <v>53.21</v>
      </c>
      <c r="D188">
        <v>4.2699999999999996</v>
      </c>
      <c r="E188" t="s">
        <v>2344</v>
      </c>
      <c r="F188" t="s">
        <v>2344</v>
      </c>
      <c r="G188" t="s">
        <v>2344</v>
      </c>
      <c r="H188">
        <v>1</v>
      </c>
      <c r="I188" t="s">
        <v>2346</v>
      </c>
      <c r="J188" t="str">
        <f t="shared" si="8"/>
        <v>Obesity</v>
      </c>
      <c r="K188" t="str">
        <f t="shared" si="9"/>
        <v>Normal</v>
      </c>
      <c r="L188">
        <v>5</v>
      </c>
      <c r="M188" t="s">
        <v>2367</v>
      </c>
      <c r="N188">
        <v>1998</v>
      </c>
      <c r="O188" s="8">
        <f t="shared" si="10"/>
        <v>36073</v>
      </c>
      <c r="P188" s="10">
        <v>1972.95</v>
      </c>
      <c r="Q188" t="s">
        <v>2358</v>
      </c>
      <c r="R188" t="s">
        <v>2361</v>
      </c>
      <c r="S188" t="s">
        <v>2368</v>
      </c>
      <c r="T188">
        <f t="shared" ca="1" si="11"/>
        <v>28</v>
      </c>
      <c r="U188">
        <f>VLOOKUP($A188,'Medical Examination'!$A:$Z,2,FALSE)</f>
        <v>53.21</v>
      </c>
    </row>
    <row r="189" spans="1:21" ht="15.5" x14ac:dyDescent="0.35">
      <c r="A189" s="2" t="s">
        <v>189</v>
      </c>
      <c r="B189" s="2" t="s">
        <v>2771</v>
      </c>
      <c r="C189">
        <v>38.729999999999997</v>
      </c>
      <c r="D189">
        <v>11.51</v>
      </c>
      <c r="E189" t="s">
        <v>2344</v>
      </c>
      <c r="F189" t="s">
        <v>2344</v>
      </c>
      <c r="G189" t="s">
        <v>2344</v>
      </c>
      <c r="H189">
        <v>1</v>
      </c>
      <c r="I189" t="s">
        <v>2346</v>
      </c>
      <c r="J189" t="str">
        <f t="shared" si="8"/>
        <v>Obesity</v>
      </c>
      <c r="K189" t="str">
        <f t="shared" si="9"/>
        <v>Diabetes</v>
      </c>
      <c r="L189">
        <v>29</v>
      </c>
      <c r="M189" t="s">
        <v>2363</v>
      </c>
      <c r="N189">
        <v>1998</v>
      </c>
      <c r="O189" s="8">
        <f t="shared" si="10"/>
        <v>36067</v>
      </c>
      <c r="P189" s="10">
        <v>1977.82</v>
      </c>
      <c r="Q189" t="s">
        <v>2358</v>
      </c>
      <c r="R189" t="s">
        <v>2361</v>
      </c>
      <c r="S189" t="s">
        <v>2368</v>
      </c>
      <c r="T189">
        <f t="shared" ca="1" si="11"/>
        <v>28</v>
      </c>
      <c r="U189">
        <f>VLOOKUP($A189,'Medical Examination'!$A:$Z,2,FALSE)</f>
        <v>38.729999999999997</v>
      </c>
    </row>
    <row r="190" spans="1:21" ht="15.5" x14ac:dyDescent="0.35">
      <c r="A190" s="2" t="s">
        <v>190</v>
      </c>
      <c r="B190" s="2" t="s">
        <v>2773</v>
      </c>
      <c r="C190">
        <v>29.73</v>
      </c>
      <c r="D190">
        <v>7.22</v>
      </c>
      <c r="E190" t="s">
        <v>2344</v>
      </c>
      <c r="F190" t="s">
        <v>2344</v>
      </c>
      <c r="G190" t="s">
        <v>2344</v>
      </c>
      <c r="H190">
        <v>0</v>
      </c>
      <c r="I190" t="s">
        <v>2346</v>
      </c>
      <c r="J190" t="str">
        <f t="shared" si="8"/>
        <v>Over weight</v>
      </c>
      <c r="K190" t="str">
        <f t="shared" si="9"/>
        <v>Diabetes</v>
      </c>
      <c r="L190">
        <v>16</v>
      </c>
      <c r="M190" t="s">
        <v>2356</v>
      </c>
      <c r="N190">
        <v>2002</v>
      </c>
      <c r="O190" s="8">
        <f t="shared" si="10"/>
        <v>37453</v>
      </c>
      <c r="P190" s="10">
        <v>1980.07</v>
      </c>
      <c r="Q190" t="s">
        <v>2358</v>
      </c>
      <c r="R190" t="s">
        <v>2358</v>
      </c>
      <c r="S190" t="s">
        <v>2368</v>
      </c>
      <c r="T190">
        <f t="shared" ca="1" si="11"/>
        <v>24</v>
      </c>
      <c r="U190">
        <f>VLOOKUP($A190,'Medical Examination'!$A:$Z,2,FALSE)</f>
        <v>29.73</v>
      </c>
    </row>
    <row r="191" spans="1:21" ht="15.5" x14ac:dyDescent="0.35">
      <c r="A191" s="2" t="s">
        <v>191</v>
      </c>
      <c r="B191" s="2" t="s">
        <v>2775</v>
      </c>
      <c r="C191">
        <v>34.700000000000003</v>
      </c>
      <c r="D191">
        <v>4.37</v>
      </c>
      <c r="E191" t="s">
        <v>2344</v>
      </c>
      <c r="F191" t="s">
        <v>2344</v>
      </c>
      <c r="G191" t="s">
        <v>2346</v>
      </c>
      <c r="H191">
        <v>1</v>
      </c>
      <c r="I191" t="s">
        <v>2346</v>
      </c>
      <c r="J191" t="str">
        <f t="shared" si="8"/>
        <v>Obesity</v>
      </c>
      <c r="K191" t="str">
        <f t="shared" si="9"/>
        <v>Normal</v>
      </c>
      <c r="L191">
        <v>29</v>
      </c>
      <c r="M191" t="s">
        <v>2365</v>
      </c>
      <c r="N191">
        <v>1998</v>
      </c>
      <c r="O191" s="8">
        <f t="shared" si="10"/>
        <v>36158</v>
      </c>
      <c r="P191" s="10">
        <v>1981.58</v>
      </c>
      <c r="Q191" t="s">
        <v>2358</v>
      </c>
      <c r="R191" t="s">
        <v>2361</v>
      </c>
      <c r="S191" t="s">
        <v>2359</v>
      </c>
      <c r="T191">
        <f t="shared" ca="1" si="11"/>
        <v>28</v>
      </c>
      <c r="U191">
        <f>VLOOKUP($A191,'Medical Examination'!$A:$Z,2,FALSE)</f>
        <v>34.700000000000003</v>
      </c>
    </row>
    <row r="192" spans="1:21" ht="15.5" x14ac:dyDescent="0.35">
      <c r="A192" s="2" t="s">
        <v>192</v>
      </c>
      <c r="B192" s="2" t="s">
        <v>2777</v>
      </c>
      <c r="C192">
        <v>38.28</v>
      </c>
      <c r="D192">
        <v>11.56</v>
      </c>
      <c r="E192" t="s">
        <v>2346</v>
      </c>
      <c r="F192" t="s">
        <v>2344</v>
      </c>
      <c r="G192" t="s">
        <v>2344</v>
      </c>
      <c r="H192">
        <v>1</v>
      </c>
      <c r="I192" t="s">
        <v>2346</v>
      </c>
      <c r="J192" t="str">
        <f t="shared" si="8"/>
        <v>Obesity</v>
      </c>
      <c r="K192" t="str">
        <f t="shared" si="9"/>
        <v>Diabetes</v>
      </c>
      <c r="L192">
        <v>29</v>
      </c>
      <c r="M192" t="s">
        <v>2363</v>
      </c>
      <c r="N192">
        <v>2002</v>
      </c>
      <c r="O192" s="8">
        <f t="shared" si="10"/>
        <v>37528</v>
      </c>
      <c r="P192" s="10">
        <v>1984.45</v>
      </c>
      <c r="Q192" t="s">
        <v>2358</v>
      </c>
      <c r="R192" t="s">
        <v>2358</v>
      </c>
      <c r="S192" t="s">
        <v>2371</v>
      </c>
      <c r="T192">
        <f t="shared" ca="1" si="11"/>
        <v>24</v>
      </c>
      <c r="U192">
        <f>VLOOKUP($A192,'Medical Examination'!$A:$Z,2,FALSE)</f>
        <v>38.28</v>
      </c>
    </row>
    <row r="193" spans="1:21" ht="15.5" x14ac:dyDescent="0.35">
      <c r="A193" s="2" t="s">
        <v>193</v>
      </c>
      <c r="B193" s="2" t="s">
        <v>2779</v>
      </c>
      <c r="C193">
        <v>33.57</v>
      </c>
      <c r="D193">
        <v>8.82</v>
      </c>
      <c r="E193" t="s">
        <v>2346</v>
      </c>
      <c r="F193" t="s">
        <v>2344</v>
      </c>
      <c r="G193" t="s">
        <v>2344</v>
      </c>
      <c r="H193">
        <v>0</v>
      </c>
      <c r="I193" t="s">
        <v>2346</v>
      </c>
      <c r="J193" t="str">
        <f t="shared" si="8"/>
        <v>Obesity</v>
      </c>
      <c r="K193" t="str">
        <f t="shared" si="9"/>
        <v>Diabetes</v>
      </c>
      <c r="L193">
        <v>14</v>
      </c>
      <c r="M193" t="s">
        <v>2363</v>
      </c>
      <c r="N193">
        <v>1998</v>
      </c>
      <c r="O193" s="8">
        <f t="shared" si="10"/>
        <v>36052</v>
      </c>
      <c r="P193" s="10">
        <v>1986.93</v>
      </c>
      <c r="Q193" t="s">
        <v>2358</v>
      </c>
      <c r="R193" t="s">
        <v>2357</v>
      </c>
      <c r="S193" t="s">
        <v>2359</v>
      </c>
      <c r="T193">
        <f t="shared" ca="1" si="11"/>
        <v>28</v>
      </c>
      <c r="U193">
        <f>VLOOKUP($A193,'Medical Examination'!$A:$Z,2,FALSE)</f>
        <v>33.57</v>
      </c>
    </row>
    <row r="194" spans="1:21" ht="15.5" x14ac:dyDescent="0.35">
      <c r="A194" s="2" t="s">
        <v>194</v>
      </c>
      <c r="B194" s="2" t="s">
        <v>2781</v>
      </c>
      <c r="C194">
        <v>52.06</v>
      </c>
      <c r="D194">
        <v>4.6900000000000004</v>
      </c>
      <c r="E194" t="s">
        <v>2344</v>
      </c>
      <c r="F194" t="s">
        <v>2344</v>
      </c>
      <c r="G194" t="s">
        <v>2344</v>
      </c>
      <c r="H194">
        <v>1</v>
      </c>
      <c r="I194" t="s">
        <v>2346</v>
      </c>
      <c r="J194" t="str">
        <f t="shared" si="8"/>
        <v>Obesity</v>
      </c>
      <c r="K194" t="str">
        <f t="shared" si="9"/>
        <v>Normal</v>
      </c>
      <c r="L194">
        <v>14</v>
      </c>
      <c r="M194" t="s">
        <v>2366</v>
      </c>
      <c r="N194">
        <v>2001</v>
      </c>
      <c r="O194" s="8">
        <f t="shared" si="10"/>
        <v>37117</v>
      </c>
      <c r="P194" s="10">
        <v>2007.95</v>
      </c>
      <c r="Q194" t="s">
        <v>2358</v>
      </c>
      <c r="R194" t="s">
        <v>2357</v>
      </c>
      <c r="S194" t="s">
        <v>2368</v>
      </c>
      <c r="T194">
        <f t="shared" ca="1" si="11"/>
        <v>25</v>
      </c>
      <c r="U194">
        <f>VLOOKUP($A194,'Medical Examination'!$A:$Z,2,FALSE)</f>
        <v>52.06</v>
      </c>
    </row>
    <row r="195" spans="1:21" ht="15.5" x14ac:dyDescent="0.35">
      <c r="A195" s="2" t="s">
        <v>195</v>
      </c>
      <c r="B195" s="2" t="s">
        <v>2783</v>
      </c>
      <c r="C195">
        <v>38.17</v>
      </c>
      <c r="D195">
        <v>4.53</v>
      </c>
      <c r="E195" t="s">
        <v>2344</v>
      </c>
      <c r="F195" t="s">
        <v>2345</v>
      </c>
      <c r="G195" t="s">
        <v>2344</v>
      </c>
      <c r="H195">
        <v>1</v>
      </c>
      <c r="I195" t="s">
        <v>2346</v>
      </c>
      <c r="J195" t="str">
        <f t="shared" ref="J195:J258" si="12">IF(C195&lt;18.5,"Under Weight",IF(C195&lt;25,"Normal Weight",IF(C195&lt;30,"Over weight","Obesity")))</f>
        <v>Obesity</v>
      </c>
      <c r="K195" t="str">
        <f t="shared" ref="K195:K258" si="13">IF(D195&lt;5.7,"Normal",IF(D195&lt;6.5,"Prediabetes","Diabetes"))</f>
        <v>Normal</v>
      </c>
      <c r="L195">
        <v>1</v>
      </c>
      <c r="M195" t="s">
        <v>2356</v>
      </c>
      <c r="N195">
        <v>2001</v>
      </c>
      <c r="O195" s="8">
        <f t="shared" ref="O195:O258" si="14">DATE(N195,MONTH(1&amp;M195),L195)</f>
        <v>37073</v>
      </c>
      <c r="P195" s="10">
        <v>2020.18</v>
      </c>
      <c r="Q195" t="s">
        <v>2358</v>
      </c>
      <c r="R195" t="s">
        <v>2361</v>
      </c>
      <c r="S195" t="s">
        <v>2368</v>
      </c>
      <c r="T195">
        <f t="shared" ref="T195:T258" ca="1" si="15">YEAR(TODAY())-YEAR(O195)</f>
        <v>25</v>
      </c>
      <c r="U195">
        <f>VLOOKUP($A195,'Medical Examination'!$A:$Z,2,FALSE)</f>
        <v>38.17</v>
      </c>
    </row>
    <row r="196" spans="1:21" ht="15.5" x14ac:dyDescent="0.35">
      <c r="A196" s="2" t="s">
        <v>196</v>
      </c>
      <c r="B196" s="2" t="s">
        <v>2785</v>
      </c>
      <c r="C196">
        <v>36.954999999999998</v>
      </c>
      <c r="D196">
        <v>5.84</v>
      </c>
      <c r="E196" t="s">
        <v>2344</v>
      </c>
      <c r="F196" t="s">
        <v>2344</v>
      </c>
      <c r="G196" t="s">
        <v>2346</v>
      </c>
      <c r="H196">
        <v>1</v>
      </c>
      <c r="I196" t="s">
        <v>2346</v>
      </c>
      <c r="J196" t="str">
        <f t="shared" si="12"/>
        <v>Obesity</v>
      </c>
      <c r="K196" t="str">
        <f t="shared" si="13"/>
        <v>Prediabetes</v>
      </c>
      <c r="L196">
        <v>6</v>
      </c>
      <c r="M196" t="s">
        <v>2363</v>
      </c>
      <c r="N196">
        <v>2001</v>
      </c>
      <c r="O196" s="8">
        <f t="shared" si="14"/>
        <v>37140</v>
      </c>
      <c r="P196" s="10">
        <v>2020.55</v>
      </c>
      <c r="Q196" t="s">
        <v>2358</v>
      </c>
      <c r="R196" t="s">
        <v>2357</v>
      </c>
      <c r="S196" t="s">
        <v>2359</v>
      </c>
      <c r="T196">
        <f t="shared" ca="1" si="15"/>
        <v>25</v>
      </c>
      <c r="U196">
        <f>VLOOKUP($A196,'Medical Examination'!$A:$Z,2,FALSE)</f>
        <v>36.954999999999998</v>
      </c>
    </row>
    <row r="197" spans="1:21" ht="15.5" x14ac:dyDescent="0.35">
      <c r="A197" s="2" t="s">
        <v>197</v>
      </c>
      <c r="B197" s="2" t="s">
        <v>2787</v>
      </c>
      <c r="C197">
        <v>34.4</v>
      </c>
      <c r="D197">
        <v>4.9000000000000004</v>
      </c>
      <c r="E197" t="s">
        <v>2344</v>
      </c>
      <c r="F197" t="s">
        <v>2344</v>
      </c>
      <c r="G197" t="s">
        <v>2346</v>
      </c>
      <c r="H197">
        <v>1</v>
      </c>
      <c r="I197" t="s">
        <v>2346</v>
      </c>
      <c r="J197" t="str">
        <f t="shared" si="12"/>
        <v>Obesity</v>
      </c>
      <c r="K197" t="str">
        <f t="shared" si="13"/>
        <v>Normal</v>
      </c>
      <c r="L197">
        <v>4</v>
      </c>
      <c r="M197" t="s">
        <v>2366</v>
      </c>
      <c r="N197">
        <v>2001</v>
      </c>
      <c r="O197" s="8">
        <f t="shared" si="14"/>
        <v>37107</v>
      </c>
      <c r="P197" s="10">
        <v>2026.97</v>
      </c>
      <c r="Q197" t="s">
        <v>2358</v>
      </c>
      <c r="R197" t="s">
        <v>2357</v>
      </c>
      <c r="S197" t="s">
        <v>2359</v>
      </c>
      <c r="T197">
        <f t="shared" ca="1" si="15"/>
        <v>25</v>
      </c>
      <c r="U197">
        <f>VLOOKUP($A197,'Medical Examination'!$A:$Z,2,FALSE)</f>
        <v>34.4</v>
      </c>
    </row>
    <row r="198" spans="1:21" ht="15.5" x14ac:dyDescent="0.35">
      <c r="A198" s="2" t="s">
        <v>198</v>
      </c>
      <c r="B198" s="2" t="s">
        <v>2789</v>
      </c>
      <c r="C198">
        <v>31.73</v>
      </c>
      <c r="D198">
        <v>4.3</v>
      </c>
      <c r="E198" t="s">
        <v>2344</v>
      </c>
      <c r="F198" t="s">
        <v>2344</v>
      </c>
      <c r="G198" t="s">
        <v>2344</v>
      </c>
      <c r="H198">
        <v>0</v>
      </c>
      <c r="I198" t="s">
        <v>2346</v>
      </c>
      <c r="J198" t="str">
        <f t="shared" si="12"/>
        <v>Obesity</v>
      </c>
      <c r="K198" t="str">
        <f t="shared" si="13"/>
        <v>Normal</v>
      </c>
      <c r="L198">
        <v>2</v>
      </c>
      <c r="M198" t="s">
        <v>2363</v>
      </c>
      <c r="N198">
        <v>2000</v>
      </c>
      <c r="O198" s="8">
        <f t="shared" si="14"/>
        <v>36771</v>
      </c>
      <c r="P198" s="10">
        <v>2045.69</v>
      </c>
      <c r="Q198" t="s">
        <v>2358</v>
      </c>
      <c r="R198" t="s">
        <v>2358</v>
      </c>
      <c r="S198" t="s">
        <v>2364</v>
      </c>
      <c r="T198">
        <f t="shared" ca="1" si="15"/>
        <v>26</v>
      </c>
      <c r="U198">
        <f>VLOOKUP($A198,'Medical Examination'!$A:$Z,2,FALSE)</f>
        <v>31.73</v>
      </c>
    </row>
    <row r="199" spans="1:21" ht="15.5" x14ac:dyDescent="0.35">
      <c r="A199" s="2" t="s">
        <v>199</v>
      </c>
      <c r="B199" s="2" t="s">
        <v>2791</v>
      </c>
      <c r="C199">
        <v>36.64</v>
      </c>
      <c r="D199">
        <v>11.34</v>
      </c>
      <c r="E199" t="s">
        <v>2344</v>
      </c>
      <c r="F199" t="s">
        <v>2344</v>
      </c>
      <c r="G199" t="s">
        <v>2344</v>
      </c>
      <c r="H199">
        <v>0</v>
      </c>
      <c r="I199" t="s">
        <v>2346</v>
      </c>
      <c r="J199" t="str">
        <f t="shared" si="12"/>
        <v>Obesity</v>
      </c>
      <c r="K199" t="str">
        <f t="shared" si="13"/>
        <v>Diabetes</v>
      </c>
      <c r="L199">
        <v>26</v>
      </c>
      <c r="M199" t="s">
        <v>2356</v>
      </c>
      <c r="N199">
        <v>2000</v>
      </c>
      <c r="O199" s="8">
        <f t="shared" si="14"/>
        <v>36733</v>
      </c>
      <c r="P199" s="10">
        <v>2055.3200000000002</v>
      </c>
      <c r="Q199" t="s">
        <v>2358</v>
      </c>
      <c r="R199" t="s">
        <v>2358</v>
      </c>
      <c r="S199" t="s">
        <v>2364</v>
      </c>
      <c r="T199">
        <f t="shared" ca="1" si="15"/>
        <v>26</v>
      </c>
      <c r="U199">
        <f>VLOOKUP($A199,'Medical Examination'!$A:$Z,2,FALSE)</f>
        <v>36.64</v>
      </c>
    </row>
    <row r="200" spans="1:21" ht="15.5" x14ac:dyDescent="0.35">
      <c r="A200" s="2" t="s">
        <v>200</v>
      </c>
      <c r="B200" s="2" t="s">
        <v>2792</v>
      </c>
      <c r="C200">
        <v>36.85</v>
      </c>
      <c r="D200">
        <v>5.88</v>
      </c>
      <c r="E200" t="s">
        <v>2344</v>
      </c>
      <c r="F200" t="s">
        <v>2345</v>
      </c>
      <c r="G200" t="s">
        <v>2344</v>
      </c>
      <c r="H200">
        <v>1</v>
      </c>
      <c r="I200" t="s">
        <v>2346</v>
      </c>
      <c r="J200" t="str">
        <f t="shared" si="12"/>
        <v>Obesity</v>
      </c>
      <c r="K200" t="str">
        <f t="shared" si="13"/>
        <v>Prediabetes</v>
      </c>
      <c r="L200">
        <v>12</v>
      </c>
      <c r="M200" t="s">
        <v>2362</v>
      </c>
      <c r="N200">
        <v>2004</v>
      </c>
      <c r="O200" s="8">
        <f t="shared" si="14"/>
        <v>38150</v>
      </c>
      <c r="P200" s="10">
        <v>2094.1</v>
      </c>
      <c r="Q200" t="s">
        <v>2358</v>
      </c>
      <c r="R200" t="s">
        <v>2357</v>
      </c>
      <c r="S200" t="s">
        <v>2373</v>
      </c>
      <c r="T200">
        <f t="shared" ca="1" si="15"/>
        <v>22</v>
      </c>
      <c r="U200">
        <f>VLOOKUP($A200,'Medical Examination'!$A:$Z,2,FALSE)</f>
        <v>36.85</v>
      </c>
    </row>
    <row r="201" spans="1:21" ht="15.5" x14ac:dyDescent="0.35">
      <c r="A201" s="2" t="s">
        <v>201</v>
      </c>
      <c r="B201" s="2" t="s">
        <v>2794</v>
      </c>
      <c r="C201">
        <v>33.33</v>
      </c>
      <c r="D201">
        <v>5.01</v>
      </c>
      <c r="E201" t="s">
        <v>2346</v>
      </c>
      <c r="F201" t="s">
        <v>2344</v>
      </c>
      <c r="G201" t="s">
        <v>2346</v>
      </c>
      <c r="H201">
        <v>1</v>
      </c>
      <c r="I201" t="s">
        <v>2346</v>
      </c>
      <c r="J201" t="str">
        <f t="shared" si="12"/>
        <v>Obesity</v>
      </c>
      <c r="K201" t="str">
        <f t="shared" si="13"/>
        <v>Normal</v>
      </c>
      <c r="L201">
        <v>14</v>
      </c>
      <c r="M201" t="s">
        <v>2366</v>
      </c>
      <c r="N201">
        <v>2001</v>
      </c>
      <c r="O201" s="8">
        <f t="shared" si="14"/>
        <v>37117</v>
      </c>
      <c r="P201" s="10">
        <v>2102.2600000000002</v>
      </c>
      <c r="Q201" t="s">
        <v>2358</v>
      </c>
      <c r="R201" t="s">
        <v>2357</v>
      </c>
      <c r="S201" t="s">
        <v>2370</v>
      </c>
      <c r="T201">
        <f t="shared" ca="1" si="15"/>
        <v>25</v>
      </c>
      <c r="U201">
        <f>VLOOKUP($A201,'Medical Examination'!$A:$Z,2,FALSE)</f>
        <v>33.33</v>
      </c>
    </row>
    <row r="202" spans="1:21" ht="15.5" x14ac:dyDescent="0.35">
      <c r="A202" s="2" t="s">
        <v>202</v>
      </c>
      <c r="B202" s="2" t="s">
        <v>2795</v>
      </c>
      <c r="C202">
        <v>39.14</v>
      </c>
      <c r="D202">
        <v>4.4000000000000004</v>
      </c>
      <c r="E202" t="s">
        <v>2344</v>
      </c>
      <c r="F202" t="s">
        <v>2344</v>
      </c>
      <c r="G202" t="s">
        <v>2346</v>
      </c>
      <c r="H202">
        <v>1</v>
      </c>
      <c r="I202" t="s">
        <v>2346</v>
      </c>
      <c r="J202" t="str">
        <f t="shared" si="12"/>
        <v>Obesity</v>
      </c>
      <c r="K202" t="str">
        <f t="shared" si="13"/>
        <v>Normal</v>
      </c>
      <c r="L202">
        <v>22</v>
      </c>
      <c r="M202" t="s">
        <v>2362</v>
      </c>
      <c r="N202">
        <v>2001</v>
      </c>
      <c r="O202" s="8">
        <f t="shared" si="14"/>
        <v>37064</v>
      </c>
      <c r="P202" s="10">
        <v>2103.08</v>
      </c>
      <c r="Q202" t="s">
        <v>2358</v>
      </c>
      <c r="R202" t="s">
        <v>2357</v>
      </c>
      <c r="S202" t="s">
        <v>2368</v>
      </c>
      <c r="T202">
        <f t="shared" ca="1" si="15"/>
        <v>25</v>
      </c>
      <c r="U202">
        <f>VLOOKUP($A202,'Medical Examination'!$A:$Z,2,FALSE)</f>
        <v>39.14</v>
      </c>
    </row>
    <row r="203" spans="1:21" ht="15.5" x14ac:dyDescent="0.35">
      <c r="A203" s="2" t="s">
        <v>203</v>
      </c>
      <c r="B203" s="2" t="s">
        <v>2797</v>
      </c>
      <c r="C203">
        <v>32.9</v>
      </c>
      <c r="D203">
        <v>6.26</v>
      </c>
      <c r="E203" t="s">
        <v>2346</v>
      </c>
      <c r="F203" t="s">
        <v>2344</v>
      </c>
      <c r="G203" t="s">
        <v>2344</v>
      </c>
      <c r="H203">
        <v>0</v>
      </c>
      <c r="I203" t="s">
        <v>2346</v>
      </c>
      <c r="J203" t="str">
        <f t="shared" si="12"/>
        <v>Obesity</v>
      </c>
      <c r="K203" t="str">
        <f t="shared" si="13"/>
        <v>Prediabetes</v>
      </c>
      <c r="L203">
        <v>28</v>
      </c>
      <c r="M203" t="s">
        <v>2360</v>
      </c>
      <c r="N203">
        <v>2001</v>
      </c>
      <c r="O203" s="8">
        <f t="shared" si="14"/>
        <v>37223</v>
      </c>
      <c r="P203" s="10">
        <v>2104.11</v>
      </c>
      <c r="Q203" t="s">
        <v>2357</v>
      </c>
      <c r="R203" t="s">
        <v>2361</v>
      </c>
      <c r="S203" t="s">
        <v>2371</v>
      </c>
      <c r="T203">
        <f t="shared" ca="1" si="15"/>
        <v>25</v>
      </c>
      <c r="U203">
        <f>VLOOKUP($A203,'Medical Examination'!$A:$Z,2,FALSE)</f>
        <v>32.9</v>
      </c>
    </row>
    <row r="204" spans="1:21" ht="15.5" x14ac:dyDescent="0.35">
      <c r="A204" s="2" t="s">
        <v>204</v>
      </c>
      <c r="B204" s="2" t="s">
        <v>2800</v>
      </c>
      <c r="C204">
        <v>29.78</v>
      </c>
      <c r="D204">
        <v>10.27</v>
      </c>
      <c r="E204" t="s">
        <v>2346</v>
      </c>
      <c r="F204" t="s">
        <v>2344</v>
      </c>
      <c r="G204" t="s">
        <v>2346</v>
      </c>
      <c r="H204">
        <v>1</v>
      </c>
      <c r="I204" t="s">
        <v>2346</v>
      </c>
      <c r="J204" t="str">
        <f t="shared" si="12"/>
        <v>Over weight</v>
      </c>
      <c r="K204" t="str">
        <f t="shared" si="13"/>
        <v>Diabetes</v>
      </c>
      <c r="L204">
        <v>21</v>
      </c>
      <c r="M204" t="s">
        <v>2356</v>
      </c>
      <c r="N204">
        <v>1989</v>
      </c>
      <c r="O204" s="8">
        <f t="shared" si="14"/>
        <v>32710</v>
      </c>
      <c r="P204" s="10">
        <v>2106.2600000000002</v>
      </c>
      <c r="Q204" t="s">
        <v>2357</v>
      </c>
      <c r="R204" t="s">
        <v>2357</v>
      </c>
      <c r="S204" t="s">
        <v>2359</v>
      </c>
      <c r="T204">
        <f t="shared" ca="1" si="15"/>
        <v>37</v>
      </c>
      <c r="U204">
        <f>VLOOKUP($A204,'Medical Examination'!$A:$Z,2,FALSE)</f>
        <v>29.78</v>
      </c>
    </row>
    <row r="205" spans="1:21" ht="15.5" x14ac:dyDescent="0.35">
      <c r="A205" s="2" t="s">
        <v>205</v>
      </c>
      <c r="B205" s="2" t="s">
        <v>2802</v>
      </c>
      <c r="C205">
        <v>32.78</v>
      </c>
      <c r="D205">
        <v>5.27</v>
      </c>
      <c r="E205" t="s">
        <v>2344</v>
      </c>
      <c r="F205" t="s">
        <v>2344</v>
      </c>
      <c r="G205" t="s">
        <v>2344</v>
      </c>
      <c r="H205">
        <v>0</v>
      </c>
      <c r="I205" t="s">
        <v>2346</v>
      </c>
      <c r="J205" t="str">
        <f t="shared" si="12"/>
        <v>Obesity</v>
      </c>
      <c r="K205" t="str">
        <f t="shared" si="13"/>
        <v>Normal</v>
      </c>
      <c r="L205">
        <v>30</v>
      </c>
      <c r="M205" t="s">
        <v>2363</v>
      </c>
      <c r="N205">
        <v>2003</v>
      </c>
      <c r="O205" s="8">
        <f t="shared" si="14"/>
        <v>37894</v>
      </c>
      <c r="P205" s="10">
        <v>2117.34</v>
      </c>
      <c r="Q205" t="s">
        <v>2357</v>
      </c>
      <c r="R205" t="s">
        <v>2358</v>
      </c>
      <c r="S205" t="s">
        <v>2364</v>
      </c>
      <c r="T205">
        <f t="shared" ca="1" si="15"/>
        <v>23</v>
      </c>
      <c r="U205">
        <f>VLOOKUP($A205,'Medical Examination'!$A:$Z,2,FALSE)</f>
        <v>32.78</v>
      </c>
    </row>
    <row r="206" spans="1:21" ht="15.5" x14ac:dyDescent="0.35">
      <c r="A206" s="2" t="s">
        <v>206</v>
      </c>
      <c r="B206" s="2" t="s">
        <v>2803</v>
      </c>
      <c r="C206">
        <v>41.65</v>
      </c>
      <c r="D206">
        <v>10.73</v>
      </c>
      <c r="E206" t="s">
        <v>2346</v>
      </c>
      <c r="F206" t="s">
        <v>2344</v>
      </c>
      <c r="G206" t="s">
        <v>2344</v>
      </c>
      <c r="H206">
        <v>0</v>
      </c>
      <c r="I206" t="s">
        <v>2346</v>
      </c>
      <c r="J206" t="str">
        <f t="shared" si="12"/>
        <v>Obesity</v>
      </c>
      <c r="K206" t="str">
        <f t="shared" si="13"/>
        <v>Diabetes</v>
      </c>
      <c r="L206">
        <v>4</v>
      </c>
      <c r="M206" t="s">
        <v>2360</v>
      </c>
      <c r="N206">
        <v>2004</v>
      </c>
      <c r="O206" s="8">
        <f t="shared" si="14"/>
        <v>38295</v>
      </c>
      <c r="P206" s="10">
        <v>2118.61</v>
      </c>
      <c r="Q206" t="s">
        <v>2357</v>
      </c>
      <c r="R206" t="s">
        <v>2361</v>
      </c>
      <c r="S206" t="s">
        <v>2364</v>
      </c>
      <c r="T206">
        <f t="shared" ca="1" si="15"/>
        <v>22</v>
      </c>
      <c r="U206">
        <f>VLOOKUP($A206,'Medical Examination'!$A:$Z,2,FALSE)</f>
        <v>41.65</v>
      </c>
    </row>
    <row r="207" spans="1:21" ht="15.5" x14ac:dyDescent="0.35">
      <c r="A207" s="2" t="s">
        <v>207</v>
      </c>
      <c r="B207" s="2" t="s">
        <v>2805</v>
      </c>
      <c r="C207">
        <v>50.79</v>
      </c>
      <c r="D207">
        <v>4.45</v>
      </c>
      <c r="E207" t="s">
        <v>2344</v>
      </c>
      <c r="F207" t="s">
        <v>2344</v>
      </c>
      <c r="G207" t="s">
        <v>2344</v>
      </c>
      <c r="H207">
        <v>1</v>
      </c>
      <c r="I207" t="s">
        <v>2346</v>
      </c>
      <c r="J207" t="str">
        <f t="shared" si="12"/>
        <v>Obesity</v>
      </c>
      <c r="K207" t="str">
        <f t="shared" si="13"/>
        <v>Normal</v>
      </c>
      <c r="L207">
        <v>30</v>
      </c>
      <c r="M207" t="s">
        <v>2366</v>
      </c>
      <c r="N207">
        <v>2003</v>
      </c>
      <c r="O207" s="8">
        <f t="shared" si="14"/>
        <v>37863</v>
      </c>
      <c r="P207" s="10">
        <v>2128.4299999999998</v>
      </c>
      <c r="Q207" t="s">
        <v>2357</v>
      </c>
      <c r="R207" t="s">
        <v>2361</v>
      </c>
      <c r="S207" t="s">
        <v>2364</v>
      </c>
      <c r="T207">
        <f t="shared" ca="1" si="15"/>
        <v>23</v>
      </c>
      <c r="U207">
        <f>VLOOKUP($A207,'Medical Examination'!$A:$Z,2,FALSE)</f>
        <v>50.79</v>
      </c>
    </row>
    <row r="208" spans="1:21" ht="15.5" x14ac:dyDescent="0.35">
      <c r="A208" s="2" t="s">
        <v>208</v>
      </c>
      <c r="B208" s="2" t="s">
        <v>2807</v>
      </c>
      <c r="C208">
        <v>35.43</v>
      </c>
      <c r="D208">
        <v>5.25</v>
      </c>
      <c r="E208" t="s">
        <v>2346</v>
      </c>
      <c r="F208" t="s">
        <v>2344</v>
      </c>
      <c r="G208" t="s">
        <v>2344</v>
      </c>
      <c r="H208">
        <v>0</v>
      </c>
      <c r="I208" t="s">
        <v>2346</v>
      </c>
      <c r="J208" t="str">
        <f t="shared" si="12"/>
        <v>Obesity</v>
      </c>
      <c r="K208" t="str">
        <f t="shared" si="13"/>
        <v>Normal</v>
      </c>
      <c r="L208">
        <v>22</v>
      </c>
      <c r="M208" t="s">
        <v>2365</v>
      </c>
      <c r="N208">
        <v>2003</v>
      </c>
      <c r="O208" s="8">
        <f t="shared" si="14"/>
        <v>37977</v>
      </c>
      <c r="P208" s="10">
        <v>2130.6799999999998</v>
      </c>
      <c r="Q208" t="s">
        <v>2357</v>
      </c>
      <c r="R208" t="s">
        <v>2358</v>
      </c>
      <c r="S208" t="s">
        <v>2364</v>
      </c>
      <c r="T208">
        <f t="shared" ca="1" si="15"/>
        <v>23</v>
      </c>
      <c r="U208">
        <f>VLOOKUP($A208,'Medical Examination'!$A:$Z,2,FALSE)</f>
        <v>35.43</v>
      </c>
    </row>
    <row r="209" spans="1:21" ht="15.5" x14ac:dyDescent="0.35">
      <c r="A209" s="2" t="s">
        <v>209</v>
      </c>
      <c r="B209" s="2" t="s">
        <v>2809</v>
      </c>
      <c r="C209">
        <v>35.25</v>
      </c>
      <c r="D209">
        <v>9.51</v>
      </c>
      <c r="E209" t="s">
        <v>2344</v>
      </c>
      <c r="F209" t="s">
        <v>2344</v>
      </c>
      <c r="G209" t="s">
        <v>2344</v>
      </c>
      <c r="H209">
        <v>0</v>
      </c>
      <c r="I209" t="s">
        <v>2346</v>
      </c>
      <c r="J209" t="str">
        <f t="shared" si="12"/>
        <v>Obesity</v>
      </c>
      <c r="K209" t="str">
        <f t="shared" si="13"/>
        <v>Diabetes</v>
      </c>
      <c r="L209">
        <v>1</v>
      </c>
      <c r="M209" t="s">
        <v>2363</v>
      </c>
      <c r="N209">
        <v>2003</v>
      </c>
      <c r="O209" s="8">
        <f t="shared" si="14"/>
        <v>37865</v>
      </c>
      <c r="P209" s="10">
        <v>2134.9</v>
      </c>
      <c r="Q209" t="s">
        <v>2357</v>
      </c>
      <c r="R209" t="s">
        <v>2358</v>
      </c>
      <c r="S209" t="s">
        <v>2364</v>
      </c>
      <c r="T209">
        <f t="shared" ca="1" si="15"/>
        <v>23</v>
      </c>
      <c r="U209">
        <f>VLOOKUP($A209,'Medical Examination'!$A:$Z,2,FALSE)</f>
        <v>35.25</v>
      </c>
    </row>
    <row r="210" spans="1:21" ht="15.5" x14ac:dyDescent="0.35">
      <c r="A210" s="2" t="s">
        <v>210</v>
      </c>
      <c r="B210" s="2" t="s">
        <v>2811</v>
      </c>
      <c r="C210">
        <v>36.85</v>
      </c>
      <c r="D210">
        <v>11.12</v>
      </c>
      <c r="E210" t="s">
        <v>2344</v>
      </c>
      <c r="F210" t="s">
        <v>2344</v>
      </c>
      <c r="G210" t="s">
        <v>2344</v>
      </c>
      <c r="H210">
        <v>0</v>
      </c>
      <c r="I210" t="s">
        <v>2346</v>
      </c>
      <c r="J210" t="str">
        <f t="shared" si="12"/>
        <v>Obesity</v>
      </c>
      <c r="K210" t="str">
        <f t="shared" si="13"/>
        <v>Diabetes</v>
      </c>
      <c r="L210">
        <v>26</v>
      </c>
      <c r="M210" t="s">
        <v>2363</v>
      </c>
      <c r="N210">
        <v>2003</v>
      </c>
      <c r="O210" s="8">
        <f t="shared" si="14"/>
        <v>37890</v>
      </c>
      <c r="P210" s="10">
        <v>2136.88</v>
      </c>
      <c r="Q210" t="s">
        <v>2357</v>
      </c>
      <c r="R210" t="s">
        <v>2357</v>
      </c>
      <c r="S210" t="s">
        <v>2364</v>
      </c>
      <c r="T210">
        <f t="shared" ca="1" si="15"/>
        <v>23</v>
      </c>
      <c r="U210">
        <f>VLOOKUP($A210,'Medical Examination'!$A:$Z,2,FALSE)</f>
        <v>36.85</v>
      </c>
    </row>
    <row r="211" spans="1:21" ht="15.5" x14ac:dyDescent="0.35">
      <c r="A211" s="2" t="s">
        <v>211</v>
      </c>
      <c r="B211" s="2" t="s">
        <v>2813</v>
      </c>
      <c r="C211">
        <v>31.02</v>
      </c>
      <c r="D211">
        <v>4.5599999999999996</v>
      </c>
      <c r="E211" t="s">
        <v>2344</v>
      </c>
      <c r="F211" t="s">
        <v>2345</v>
      </c>
      <c r="G211" t="s">
        <v>2344</v>
      </c>
      <c r="H211">
        <v>1</v>
      </c>
      <c r="I211" t="s">
        <v>2346</v>
      </c>
      <c r="J211" t="str">
        <f t="shared" si="12"/>
        <v>Obesity</v>
      </c>
      <c r="K211" t="str">
        <f t="shared" si="13"/>
        <v>Normal</v>
      </c>
      <c r="L211">
        <v>3</v>
      </c>
      <c r="M211" t="s">
        <v>2363</v>
      </c>
      <c r="N211">
        <v>1997</v>
      </c>
      <c r="O211" s="8">
        <f t="shared" si="14"/>
        <v>35676</v>
      </c>
      <c r="P211" s="10">
        <v>2137.65</v>
      </c>
      <c r="Q211" t="s">
        <v>2358</v>
      </c>
      <c r="R211" t="s">
        <v>2361</v>
      </c>
      <c r="S211" t="s">
        <v>2359</v>
      </c>
      <c r="T211">
        <f t="shared" ca="1" si="15"/>
        <v>29</v>
      </c>
      <c r="U211">
        <f>VLOOKUP($A211,'Medical Examination'!$A:$Z,2,FALSE)</f>
        <v>31.02</v>
      </c>
    </row>
    <row r="212" spans="1:21" ht="15.5" x14ac:dyDescent="0.35">
      <c r="A212" s="2" t="s">
        <v>212</v>
      </c>
      <c r="B212" s="2" t="s">
        <v>2814</v>
      </c>
      <c r="C212">
        <v>35.6</v>
      </c>
      <c r="D212">
        <v>4.0199999999999996</v>
      </c>
      <c r="E212" t="s">
        <v>2346</v>
      </c>
      <c r="F212" t="s">
        <v>2345</v>
      </c>
      <c r="G212" t="s">
        <v>2344</v>
      </c>
      <c r="H212">
        <v>1</v>
      </c>
      <c r="I212" t="s">
        <v>2346</v>
      </c>
      <c r="J212" t="str">
        <f t="shared" si="12"/>
        <v>Obesity</v>
      </c>
      <c r="K212" t="str">
        <f t="shared" si="13"/>
        <v>Normal</v>
      </c>
      <c r="L212">
        <v>19</v>
      </c>
      <c r="M212" t="s">
        <v>2366</v>
      </c>
      <c r="N212">
        <v>2003</v>
      </c>
      <c r="O212" s="8">
        <f t="shared" si="14"/>
        <v>37852</v>
      </c>
      <c r="P212" s="10">
        <v>2138.0700000000002</v>
      </c>
      <c r="Q212" t="s">
        <v>2357</v>
      </c>
      <c r="R212" t="s">
        <v>2361</v>
      </c>
      <c r="S212" t="s">
        <v>2364</v>
      </c>
      <c r="T212">
        <f t="shared" ca="1" si="15"/>
        <v>23</v>
      </c>
      <c r="U212">
        <f>VLOOKUP($A212,'Medical Examination'!$A:$Z,2,FALSE)</f>
        <v>35.6</v>
      </c>
    </row>
    <row r="213" spans="1:21" ht="15.5" x14ac:dyDescent="0.35">
      <c r="A213" s="2" t="s">
        <v>213</v>
      </c>
      <c r="B213" s="2" t="s">
        <v>2816</v>
      </c>
      <c r="C213">
        <v>34.39</v>
      </c>
      <c r="D213">
        <v>8.7200000000000006</v>
      </c>
      <c r="E213" t="s">
        <v>2344</v>
      </c>
      <c r="F213" t="s">
        <v>2344</v>
      </c>
      <c r="G213" t="s">
        <v>2344</v>
      </c>
      <c r="H213">
        <v>0</v>
      </c>
      <c r="I213" t="s">
        <v>2346</v>
      </c>
      <c r="J213" t="str">
        <f t="shared" si="12"/>
        <v>Obesity</v>
      </c>
      <c r="K213" t="str">
        <f t="shared" si="13"/>
        <v>Diabetes</v>
      </c>
      <c r="L213">
        <v>4</v>
      </c>
      <c r="M213" t="s">
        <v>2367</v>
      </c>
      <c r="N213">
        <v>2004</v>
      </c>
      <c r="O213" s="8">
        <f t="shared" si="14"/>
        <v>38264</v>
      </c>
      <c r="P213" s="10">
        <v>2144.85</v>
      </c>
      <c r="Q213" t="s">
        <v>2357</v>
      </c>
      <c r="R213" t="s">
        <v>2361</v>
      </c>
      <c r="S213" t="s">
        <v>2368</v>
      </c>
      <c r="T213">
        <f t="shared" ca="1" si="15"/>
        <v>22</v>
      </c>
      <c r="U213">
        <f>VLOOKUP($A213,'Medical Examination'!$A:$Z,2,FALSE)</f>
        <v>34.39</v>
      </c>
    </row>
    <row r="214" spans="1:21" ht="15.5" x14ac:dyDescent="0.35">
      <c r="A214" s="2" t="s">
        <v>214</v>
      </c>
      <c r="B214" s="2" t="s">
        <v>2817</v>
      </c>
      <c r="C214">
        <v>29.06</v>
      </c>
      <c r="D214">
        <v>6.25</v>
      </c>
      <c r="E214" t="s">
        <v>2346</v>
      </c>
      <c r="F214" t="s">
        <v>2344</v>
      </c>
      <c r="G214" t="s">
        <v>2344</v>
      </c>
      <c r="H214">
        <v>1</v>
      </c>
      <c r="I214" t="s">
        <v>2346</v>
      </c>
      <c r="J214" t="str">
        <f t="shared" si="12"/>
        <v>Over weight</v>
      </c>
      <c r="K214" t="str">
        <f t="shared" si="13"/>
        <v>Prediabetes</v>
      </c>
      <c r="L214">
        <v>27</v>
      </c>
      <c r="M214" t="s">
        <v>2365</v>
      </c>
      <c r="N214">
        <v>2000</v>
      </c>
      <c r="O214" s="8">
        <f t="shared" si="14"/>
        <v>36887</v>
      </c>
      <c r="P214" s="10">
        <v>2150.4699999999998</v>
      </c>
      <c r="Q214" t="s">
        <v>2357</v>
      </c>
      <c r="R214" t="s">
        <v>2358</v>
      </c>
      <c r="S214" t="s">
        <v>2368</v>
      </c>
      <c r="T214">
        <f t="shared" ca="1" si="15"/>
        <v>26</v>
      </c>
      <c r="U214">
        <f>VLOOKUP($A214,'Medical Examination'!$A:$Z,2,FALSE)</f>
        <v>29.06</v>
      </c>
    </row>
    <row r="215" spans="1:21" ht="15.5" x14ac:dyDescent="0.35">
      <c r="A215" s="2" t="s">
        <v>215</v>
      </c>
      <c r="B215" s="2" t="s">
        <v>2818</v>
      </c>
      <c r="C215">
        <v>35.799999999999997</v>
      </c>
      <c r="D215">
        <v>7.32</v>
      </c>
      <c r="E215" t="s">
        <v>2344</v>
      </c>
      <c r="F215" t="s">
        <v>2344</v>
      </c>
      <c r="G215" t="s">
        <v>2344</v>
      </c>
      <c r="H215">
        <v>1</v>
      </c>
      <c r="I215" t="s">
        <v>2346</v>
      </c>
      <c r="J215" t="str">
        <f t="shared" si="12"/>
        <v>Obesity</v>
      </c>
      <c r="K215" t="str">
        <f t="shared" si="13"/>
        <v>Diabetes</v>
      </c>
      <c r="L215">
        <v>22</v>
      </c>
      <c r="M215" t="s">
        <v>2367</v>
      </c>
      <c r="N215">
        <v>2000</v>
      </c>
      <c r="O215" s="8">
        <f t="shared" si="14"/>
        <v>36821</v>
      </c>
      <c r="P215" s="10">
        <v>2154.36</v>
      </c>
      <c r="Q215" t="s">
        <v>2357</v>
      </c>
      <c r="R215" t="s">
        <v>2357</v>
      </c>
      <c r="S215" t="s">
        <v>2368</v>
      </c>
      <c r="T215">
        <f t="shared" ca="1" si="15"/>
        <v>26</v>
      </c>
      <c r="U215">
        <f>VLOOKUP($A215,'Medical Examination'!$A:$Z,2,FALSE)</f>
        <v>35.799999999999997</v>
      </c>
    </row>
    <row r="216" spans="1:21" ht="15.5" x14ac:dyDescent="0.35">
      <c r="A216" s="2" t="s">
        <v>216</v>
      </c>
      <c r="B216" s="2" t="s">
        <v>2819</v>
      </c>
      <c r="C216">
        <v>49.8</v>
      </c>
      <c r="D216">
        <v>4.24</v>
      </c>
      <c r="E216" t="s">
        <v>2344</v>
      </c>
      <c r="F216" t="s">
        <v>2344</v>
      </c>
      <c r="G216" t="s">
        <v>2344</v>
      </c>
      <c r="H216">
        <v>1</v>
      </c>
      <c r="I216" t="s">
        <v>2346</v>
      </c>
      <c r="J216" t="str">
        <f t="shared" si="12"/>
        <v>Obesity</v>
      </c>
      <c r="K216" t="str">
        <f t="shared" si="13"/>
        <v>Normal</v>
      </c>
      <c r="L216">
        <v>29</v>
      </c>
      <c r="M216" t="s">
        <v>2360</v>
      </c>
      <c r="N216">
        <v>2000</v>
      </c>
      <c r="O216" s="8">
        <f t="shared" si="14"/>
        <v>36859</v>
      </c>
      <c r="P216" s="10">
        <v>2155.6799999999998</v>
      </c>
      <c r="Q216" t="s">
        <v>2357</v>
      </c>
      <c r="R216" t="s">
        <v>2358</v>
      </c>
      <c r="S216" t="s">
        <v>2359</v>
      </c>
      <c r="T216">
        <f t="shared" ca="1" si="15"/>
        <v>26</v>
      </c>
      <c r="U216">
        <f>VLOOKUP($A216,'Medical Examination'!$A:$Z,2,FALSE)</f>
        <v>49.8</v>
      </c>
    </row>
    <row r="217" spans="1:21" ht="15.5" x14ac:dyDescent="0.35">
      <c r="A217" s="2" t="s">
        <v>217</v>
      </c>
      <c r="B217" s="2" t="s">
        <v>2820</v>
      </c>
      <c r="C217">
        <v>35.71</v>
      </c>
      <c r="D217">
        <v>6.84</v>
      </c>
      <c r="E217" t="s">
        <v>2344</v>
      </c>
      <c r="F217" t="s">
        <v>2344</v>
      </c>
      <c r="G217" t="s">
        <v>2344</v>
      </c>
      <c r="H217">
        <v>1</v>
      </c>
      <c r="I217" t="s">
        <v>2346</v>
      </c>
      <c r="J217" t="str">
        <f t="shared" si="12"/>
        <v>Obesity</v>
      </c>
      <c r="K217" t="str">
        <f t="shared" si="13"/>
        <v>Diabetes</v>
      </c>
      <c r="L217">
        <v>10</v>
      </c>
      <c r="M217" t="s">
        <v>2365</v>
      </c>
      <c r="N217">
        <v>2000</v>
      </c>
      <c r="O217" s="8">
        <f t="shared" si="14"/>
        <v>36870</v>
      </c>
      <c r="P217" s="10">
        <v>2156.75</v>
      </c>
      <c r="Q217" t="s">
        <v>2357</v>
      </c>
      <c r="R217" t="s">
        <v>2357</v>
      </c>
      <c r="S217" t="s">
        <v>2359</v>
      </c>
      <c r="T217">
        <f t="shared" ca="1" si="15"/>
        <v>26</v>
      </c>
      <c r="U217">
        <f>VLOOKUP($A217,'Medical Examination'!$A:$Z,2,FALSE)</f>
        <v>35.71</v>
      </c>
    </row>
    <row r="218" spans="1:21" ht="15.5" x14ac:dyDescent="0.35">
      <c r="A218" s="2" t="s">
        <v>218</v>
      </c>
      <c r="B218" s="2" t="s">
        <v>2822</v>
      </c>
      <c r="C218">
        <v>30.8</v>
      </c>
      <c r="D218">
        <v>5.23</v>
      </c>
      <c r="E218" t="s">
        <v>2346</v>
      </c>
      <c r="F218" t="s">
        <v>2344</v>
      </c>
      <c r="G218" t="s">
        <v>2344</v>
      </c>
      <c r="H218">
        <v>1</v>
      </c>
      <c r="I218" t="s">
        <v>2346</v>
      </c>
      <c r="J218" t="str">
        <f t="shared" si="12"/>
        <v>Obesity</v>
      </c>
      <c r="K218" t="str">
        <f t="shared" si="13"/>
        <v>Normal</v>
      </c>
      <c r="L218">
        <v>23</v>
      </c>
      <c r="M218" t="s">
        <v>2366</v>
      </c>
      <c r="N218">
        <v>2000</v>
      </c>
      <c r="O218" s="8">
        <f t="shared" si="14"/>
        <v>36761</v>
      </c>
      <c r="P218" s="10">
        <v>2166.73</v>
      </c>
      <c r="Q218" t="s">
        <v>2357</v>
      </c>
      <c r="R218" t="s">
        <v>2357</v>
      </c>
      <c r="S218" t="s">
        <v>2368</v>
      </c>
      <c r="T218">
        <f t="shared" ca="1" si="15"/>
        <v>26</v>
      </c>
      <c r="U218">
        <f>VLOOKUP($A218,'Medical Examination'!$A:$Z,2,FALSE)</f>
        <v>30.8</v>
      </c>
    </row>
    <row r="219" spans="1:21" ht="15.5" x14ac:dyDescent="0.35">
      <c r="A219" s="2" t="s">
        <v>219</v>
      </c>
      <c r="B219" s="2" t="s">
        <v>2823</v>
      </c>
      <c r="C219">
        <v>33.69</v>
      </c>
      <c r="D219">
        <v>9.68</v>
      </c>
      <c r="E219" t="s">
        <v>2344</v>
      </c>
      <c r="F219" t="s">
        <v>2344</v>
      </c>
      <c r="G219" t="s">
        <v>2344</v>
      </c>
      <c r="H219">
        <v>0</v>
      </c>
      <c r="I219" t="s">
        <v>2346</v>
      </c>
      <c r="J219" t="str">
        <f t="shared" si="12"/>
        <v>Obesity</v>
      </c>
      <c r="K219" t="str">
        <f t="shared" si="13"/>
        <v>Diabetes</v>
      </c>
      <c r="L219">
        <v>27</v>
      </c>
      <c r="M219" t="s">
        <v>2363</v>
      </c>
      <c r="N219">
        <v>1994</v>
      </c>
      <c r="O219" s="8">
        <f t="shared" si="14"/>
        <v>34604</v>
      </c>
      <c r="P219" s="10">
        <v>2170.08</v>
      </c>
      <c r="Q219" t="s">
        <v>2357</v>
      </c>
      <c r="R219" t="s">
        <v>2357</v>
      </c>
      <c r="S219" t="s">
        <v>2359</v>
      </c>
      <c r="T219">
        <f t="shared" ca="1" si="15"/>
        <v>32</v>
      </c>
      <c r="U219">
        <f>VLOOKUP($A219,'Medical Examination'!$A:$Z,2,FALSE)</f>
        <v>33.69</v>
      </c>
    </row>
    <row r="220" spans="1:21" ht="15.5" x14ac:dyDescent="0.35">
      <c r="A220" s="2" t="s">
        <v>220</v>
      </c>
      <c r="B220" s="2" t="s">
        <v>2824</v>
      </c>
      <c r="C220">
        <v>42.27</v>
      </c>
      <c r="D220">
        <v>6.05</v>
      </c>
      <c r="E220" t="s">
        <v>2346</v>
      </c>
      <c r="F220" t="s">
        <v>2344</v>
      </c>
      <c r="G220" t="s">
        <v>2344</v>
      </c>
      <c r="H220">
        <v>1</v>
      </c>
      <c r="I220" t="s">
        <v>2346</v>
      </c>
      <c r="J220" t="str">
        <f t="shared" si="12"/>
        <v>Obesity</v>
      </c>
      <c r="K220" t="str">
        <f t="shared" si="13"/>
        <v>Prediabetes</v>
      </c>
      <c r="L220">
        <v>16</v>
      </c>
      <c r="M220" t="s">
        <v>2365</v>
      </c>
      <c r="N220">
        <v>1991</v>
      </c>
      <c r="O220" s="8">
        <f t="shared" si="14"/>
        <v>33588</v>
      </c>
      <c r="P220" s="10">
        <v>2193.1999999999998</v>
      </c>
      <c r="Q220" t="s">
        <v>2357</v>
      </c>
      <c r="R220" t="s">
        <v>2357</v>
      </c>
      <c r="S220" t="s">
        <v>2364</v>
      </c>
      <c r="T220">
        <f t="shared" ca="1" si="15"/>
        <v>35</v>
      </c>
      <c r="U220">
        <f>VLOOKUP($A220,'Medical Examination'!$A:$Z,2,FALSE)</f>
        <v>42.27</v>
      </c>
    </row>
    <row r="221" spans="1:21" ht="15.5" x14ac:dyDescent="0.35">
      <c r="A221" s="2" t="s">
        <v>221</v>
      </c>
      <c r="B221" s="2" t="s">
        <v>2571</v>
      </c>
      <c r="C221">
        <v>53.25</v>
      </c>
      <c r="D221">
        <v>6.11</v>
      </c>
      <c r="E221" t="s">
        <v>2346</v>
      </c>
      <c r="F221" t="s">
        <v>2344</v>
      </c>
      <c r="G221" t="s">
        <v>2346</v>
      </c>
      <c r="H221">
        <v>1</v>
      </c>
      <c r="I221" t="s">
        <v>2346</v>
      </c>
      <c r="J221" t="str">
        <f t="shared" si="12"/>
        <v>Obesity</v>
      </c>
      <c r="K221" t="str">
        <f t="shared" si="13"/>
        <v>Prediabetes</v>
      </c>
      <c r="L221">
        <v>7</v>
      </c>
      <c r="M221" t="s">
        <v>2365</v>
      </c>
      <c r="N221">
        <v>2004</v>
      </c>
      <c r="O221" s="8">
        <f t="shared" si="14"/>
        <v>38328</v>
      </c>
      <c r="P221" s="10">
        <v>2196.4699999999998</v>
      </c>
      <c r="Q221" t="s">
        <v>2357</v>
      </c>
      <c r="R221" t="s">
        <v>2358</v>
      </c>
      <c r="S221" t="s">
        <v>2374</v>
      </c>
      <c r="T221">
        <f t="shared" ca="1" si="15"/>
        <v>22</v>
      </c>
      <c r="U221">
        <f>VLOOKUP($A221,'Medical Examination'!$A:$Z,2,FALSE)</f>
        <v>53.25</v>
      </c>
    </row>
    <row r="222" spans="1:21" ht="15.5" x14ac:dyDescent="0.35">
      <c r="A222" s="2" t="s">
        <v>222</v>
      </c>
      <c r="B222" s="2" t="s">
        <v>2827</v>
      </c>
      <c r="C222">
        <v>26.8</v>
      </c>
      <c r="D222">
        <v>10.93</v>
      </c>
      <c r="E222" t="s">
        <v>2346</v>
      </c>
      <c r="F222" t="s">
        <v>2344</v>
      </c>
      <c r="G222" t="s">
        <v>2344</v>
      </c>
      <c r="H222">
        <v>0</v>
      </c>
      <c r="I222" t="s">
        <v>2344</v>
      </c>
      <c r="J222" t="str">
        <f t="shared" si="12"/>
        <v>Over weight</v>
      </c>
      <c r="K222" t="str">
        <f t="shared" si="13"/>
        <v>Diabetes</v>
      </c>
      <c r="L222">
        <v>3</v>
      </c>
      <c r="M222" t="s">
        <v>2363</v>
      </c>
      <c r="N222">
        <v>2004</v>
      </c>
      <c r="O222" s="8">
        <f t="shared" si="14"/>
        <v>38233</v>
      </c>
      <c r="P222" s="10">
        <v>2198.19</v>
      </c>
      <c r="Q222" t="s">
        <v>2357</v>
      </c>
      <c r="R222" t="s">
        <v>2361</v>
      </c>
      <c r="S222" t="s">
        <v>2375</v>
      </c>
      <c r="T222">
        <f t="shared" ca="1" si="15"/>
        <v>22</v>
      </c>
      <c r="U222">
        <f>VLOOKUP($A222,'Medical Examination'!$A:$Z,2,FALSE)</f>
        <v>26.8</v>
      </c>
    </row>
    <row r="223" spans="1:21" ht="15.5" x14ac:dyDescent="0.35">
      <c r="A223" s="2" t="s">
        <v>223</v>
      </c>
      <c r="B223" s="2" t="s">
        <v>2828</v>
      </c>
      <c r="C223">
        <v>28.5</v>
      </c>
      <c r="D223">
        <v>5.12</v>
      </c>
      <c r="E223" t="s">
        <v>2344</v>
      </c>
      <c r="F223" t="s">
        <v>2344</v>
      </c>
      <c r="G223" t="s">
        <v>2344</v>
      </c>
      <c r="H223">
        <v>1</v>
      </c>
      <c r="I223" t="s">
        <v>2346</v>
      </c>
      <c r="J223" t="str">
        <f t="shared" si="12"/>
        <v>Over weight</v>
      </c>
      <c r="K223" t="str">
        <f t="shared" si="13"/>
        <v>Normal</v>
      </c>
      <c r="L223">
        <v>12</v>
      </c>
      <c r="M223" t="s">
        <v>2363</v>
      </c>
      <c r="N223">
        <v>2004</v>
      </c>
      <c r="O223" s="8">
        <f t="shared" si="14"/>
        <v>38242</v>
      </c>
      <c r="P223" s="10">
        <v>2200.83</v>
      </c>
      <c r="Q223" t="s">
        <v>2357</v>
      </c>
      <c r="R223" t="s">
        <v>2357</v>
      </c>
      <c r="S223" t="s">
        <v>2374</v>
      </c>
      <c r="T223">
        <f t="shared" ca="1" si="15"/>
        <v>22</v>
      </c>
      <c r="U223">
        <f>VLOOKUP($A223,'Medical Examination'!$A:$Z,2,FALSE)</f>
        <v>28.5</v>
      </c>
    </row>
    <row r="224" spans="1:21" ht="15.5" x14ac:dyDescent="0.35">
      <c r="A224" s="2" t="s">
        <v>224</v>
      </c>
      <c r="B224" s="2" t="s">
        <v>2829</v>
      </c>
      <c r="C224">
        <v>22.895</v>
      </c>
      <c r="D224">
        <v>5.72</v>
      </c>
      <c r="E224" t="s">
        <v>2344</v>
      </c>
      <c r="F224" t="s">
        <v>2344</v>
      </c>
      <c r="G224" t="s">
        <v>2344</v>
      </c>
      <c r="H224">
        <v>0</v>
      </c>
      <c r="I224" t="s">
        <v>2346</v>
      </c>
      <c r="J224" t="str">
        <f t="shared" si="12"/>
        <v>Normal Weight</v>
      </c>
      <c r="K224" t="str">
        <f t="shared" si="13"/>
        <v>Prediabetes</v>
      </c>
      <c r="L224">
        <v>27</v>
      </c>
      <c r="M224" t="s">
        <v>2356</v>
      </c>
      <c r="N224">
        <v>2004</v>
      </c>
      <c r="O224" s="8">
        <f t="shared" si="14"/>
        <v>38195</v>
      </c>
      <c r="P224" s="10">
        <v>2201.1</v>
      </c>
      <c r="Q224" t="s">
        <v>2357</v>
      </c>
      <c r="R224" t="s">
        <v>2358</v>
      </c>
      <c r="S224" t="s">
        <v>2359</v>
      </c>
      <c r="T224">
        <f t="shared" ca="1" si="15"/>
        <v>22</v>
      </c>
      <c r="U224">
        <f>VLOOKUP($A224,'Medical Examination'!$A:$Z,2,FALSE)</f>
        <v>22.895</v>
      </c>
    </row>
    <row r="225" spans="1:21" ht="15.5" x14ac:dyDescent="0.35">
      <c r="A225" s="2" t="s">
        <v>225</v>
      </c>
      <c r="B225" s="2" t="s">
        <v>2831</v>
      </c>
      <c r="C225">
        <v>34.06</v>
      </c>
      <c r="D225">
        <v>11.83</v>
      </c>
      <c r="E225" t="s">
        <v>2346</v>
      </c>
      <c r="F225" t="s">
        <v>2344</v>
      </c>
      <c r="G225" t="s">
        <v>2344</v>
      </c>
      <c r="H225">
        <v>1</v>
      </c>
      <c r="I225" t="s">
        <v>2346</v>
      </c>
      <c r="J225" t="str">
        <f t="shared" si="12"/>
        <v>Obesity</v>
      </c>
      <c r="K225" t="str">
        <f t="shared" si="13"/>
        <v>Diabetes</v>
      </c>
      <c r="L225">
        <v>6</v>
      </c>
      <c r="M225" t="s">
        <v>2366</v>
      </c>
      <c r="N225">
        <v>2004</v>
      </c>
      <c r="O225" s="8">
        <f t="shared" si="14"/>
        <v>38205</v>
      </c>
      <c r="P225" s="10">
        <v>2203.4699999999998</v>
      </c>
      <c r="Q225" t="s">
        <v>2357</v>
      </c>
      <c r="R225" t="s">
        <v>2357</v>
      </c>
      <c r="S225" t="s">
        <v>2374</v>
      </c>
      <c r="T225">
        <f t="shared" ca="1" si="15"/>
        <v>22</v>
      </c>
      <c r="U225">
        <f>VLOOKUP($A225,'Medical Examination'!$A:$Z,2,FALSE)</f>
        <v>34.06</v>
      </c>
    </row>
    <row r="226" spans="1:21" ht="15.5" x14ac:dyDescent="0.35">
      <c r="A226" s="2" t="s">
        <v>226</v>
      </c>
      <c r="B226" s="2" t="s">
        <v>2833</v>
      </c>
      <c r="C226">
        <v>36.409999999999997</v>
      </c>
      <c r="D226">
        <v>4.55</v>
      </c>
      <c r="E226" t="s">
        <v>2344</v>
      </c>
      <c r="F226" t="s">
        <v>2344</v>
      </c>
      <c r="G226" t="s">
        <v>2344</v>
      </c>
      <c r="H226">
        <v>0</v>
      </c>
      <c r="I226" t="s">
        <v>2346</v>
      </c>
      <c r="J226" t="str">
        <f t="shared" si="12"/>
        <v>Obesity</v>
      </c>
      <c r="K226" t="str">
        <f t="shared" si="13"/>
        <v>Normal</v>
      </c>
      <c r="L226">
        <v>28</v>
      </c>
      <c r="M226" t="s">
        <v>2367</v>
      </c>
      <c r="N226">
        <v>2004</v>
      </c>
      <c r="O226" s="8">
        <f t="shared" si="14"/>
        <v>38288</v>
      </c>
      <c r="P226" s="10">
        <v>2203.7399999999998</v>
      </c>
      <c r="Q226" t="s">
        <v>2357</v>
      </c>
      <c r="R226" t="s">
        <v>2357</v>
      </c>
      <c r="S226" t="s">
        <v>2374</v>
      </c>
      <c r="T226">
        <f t="shared" ca="1" si="15"/>
        <v>22</v>
      </c>
      <c r="U226">
        <f>VLOOKUP($A226,'Medical Examination'!$A:$Z,2,FALSE)</f>
        <v>36.409999999999997</v>
      </c>
    </row>
    <row r="227" spans="1:21" ht="15.5" x14ac:dyDescent="0.35">
      <c r="A227" s="2" t="s">
        <v>227</v>
      </c>
      <c r="B227" s="2" t="s">
        <v>2538</v>
      </c>
      <c r="C227">
        <v>52.3</v>
      </c>
      <c r="D227">
        <v>4.87</v>
      </c>
      <c r="E227" t="s">
        <v>2346</v>
      </c>
      <c r="F227" t="s">
        <v>2344</v>
      </c>
      <c r="G227" t="s">
        <v>2346</v>
      </c>
      <c r="H227">
        <v>1</v>
      </c>
      <c r="I227" t="s">
        <v>2346</v>
      </c>
      <c r="J227" t="str">
        <f t="shared" si="12"/>
        <v>Obesity</v>
      </c>
      <c r="K227" t="str">
        <f t="shared" si="13"/>
        <v>Normal</v>
      </c>
      <c r="L227">
        <v>13</v>
      </c>
      <c r="M227" t="s">
        <v>2360</v>
      </c>
      <c r="N227">
        <v>2004</v>
      </c>
      <c r="O227" s="8">
        <f t="shared" si="14"/>
        <v>38304</v>
      </c>
      <c r="P227" s="10">
        <v>2205.98</v>
      </c>
      <c r="Q227" t="s">
        <v>2357</v>
      </c>
      <c r="R227" t="s">
        <v>2358</v>
      </c>
      <c r="S227" t="s">
        <v>2374</v>
      </c>
      <c r="T227">
        <f t="shared" ca="1" si="15"/>
        <v>22</v>
      </c>
      <c r="U227">
        <f>VLOOKUP($A227,'Medical Examination'!$A:$Z,2,FALSE)</f>
        <v>52.3</v>
      </c>
    </row>
    <row r="228" spans="1:21" ht="15.5" x14ac:dyDescent="0.35">
      <c r="A228" s="2" t="s">
        <v>228</v>
      </c>
      <c r="B228" s="2" t="s">
        <v>2835</v>
      </c>
      <c r="C228">
        <v>52.66</v>
      </c>
      <c r="D228">
        <v>4.45</v>
      </c>
      <c r="E228" t="s">
        <v>2344</v>
      </c>
      <c r="F228" t="s">
        <v>2344</v>
      </c>
      <c r="G228" t="s">
        <v>2344</v>
      </c>
      <c r="H228">
        <v>1</v>
      </c>
      <c r="I228" t="s">
        <v>2346</v>
      </c>
      <c r="J228" t="str">
        <f t="shared" si="12"/>
        <v>Obesity</v>
      </c>
      <c r="K228" t="str">
        <f t="shared" si="13"/>
        <v>Normal</v>
      </c>
      <c r="L228">
        <v>6</v>
      </c>
      <c r="M228" t="s">
        <v>2366</v>
      </c>
      <c r="N228">
        <v>2004</v>
      </c>
      <c r="O228" s="8">
        <f t="shared" si="14"/>
        <v>38205</v>
      </c>
      <c r="P228" s="10">
        <v>2207.6999999999998</v>
      </c>
      <c r="Q228" t="s">
        <v>2357</v>
      </c>
      <c r="R228" t="s">
        <v>2357</v>
      </c>
      <c r="S228" t="s">
        <v>2374</v>
      </c>
      <c r="T228">
        <f t="shared" ca="1" si="15"/>
        <v>22</v>
      </c>
      <c r="U228">
        <f>VLOOKUP($A228,'Medical Examination'!$A:$Z,2,FALSE)</f>
        <v>52.66</v>
      </c>
    </row>
    <row r="229" spans="1:21" ht="15.5" x14ac:dyDescent="0.35">
      <c r="A229" s="2" t="s">
        <v>229</v>
      </c>
      <c r="B229" s="2" t="s">
        <v>2837</v>
      </c>
      <c r="C229">
        <v>29.57</v>
      </c>
      <c r="D229">
        <v>9.42</v>
      </c>
      <c r="E229" t="s">
        <v>2346</v>
      </c>
      <c r="F229" t="s">
        <v>2344</v>
      </c>
      <c r="G229" t="s">
        <v>2344</v>
      </c>
      <c r="H229">
        <v>0</v>
      </c>
      <c r="I229" t="s">
        <v>2346</v>
      </c>
      <c r="J229" t="str">
        <f t="shared" si="12"/>
        <v>Over weight</v>
      </c>
      <c r="K229" t="str">
        <f t="shared" si="13"/>
        <v>Diabetes</v>
      </c>
      <c r="L229">
        <v>27</v>
      </c>
      <c r="M229" t="s">
        <v>2356</v>
      </c>
      <c r="N229">
        <v>2004</v>
      </c>
      <c r="O229" s="8">
        <f t="shared" si="14"/>
        <v>38195</v>
      </c>
      <c r="P229" s="10">
        <v>2211.13</v>
      </c>
      <c r="Q229" t="s">
        <v>2357</v>
      </c>
      <c r="R229" t="s">
        <v>2357</v>
      </c>
      <c r="S229" t="s">
        <v>2374</v>
      </c>
      <c r="T229">
        <f t="shared" ca="1" si="15"/>
        <v>22</v>
      </c>
      <c r="U229">
        <f>VLOOKUP($A229,'Medical Examination'!$A:$Z,2,FALSE)</f>
        <v>29.57</v>
      </c>
    </row>
    <row r="230" spans="1:21" ht="15.5" x14ac:dyDescent="0.35">
      <c r="A230" s="2" t="s">
        <v>230</v>
      </c>
      <c r="B230" s="2" t="s">
        <v>2839</v>
      </c>
      <c r="C230">
        <v>36.99</v>
      </c>
      <c r="D230">
        <v>5.37</v>
      </c>
      <c r="E230" t="s">
        <v>2346</v>
      </c>
      <c r="F230" t="s">
        <v>2344</v>
      </c>
      <c r="G230" t="s">
        <v>2346</v>
      </c>
      <c r="H230">
        <v>1</v>
      </c>
      <c r="I230" t="s">
        <v>2346</v>
      </c>
      <c r="J230" t="str">
        <f t="shared" si="12"/>
        <v>Obesity</v>
      </c>
      <c r="K230" t="str">
        <f t="shared" si="13"/>
        <v>Normal</v>
      </c>
      <c r="L230">
        <v>17</v>
      </c>
      <c r="M230" t="s">
        <v>2360</v>
      </c>
      <c r="N230">
        <v>1994</v>
      </c>
      <c r="O230" s="8">
        <f t="shared" si="14"/>
        <v>34655</v>
      </c>
      <c r="P230" s="10">
        <v>2213.21</v>
      </c>
      <c r="Q230" t="s">
        <v>2357</v>
      </c>
      <c r="R230" t="s">
        <v>2357</v>
      </c>
      <c r="S230" t="s">
        <v>2359</v>
      </c>
      <c r="T230">
        <f t="shared" ca="1" si="15"/>
        <v>32</v>
      </c>
      <c r="U230">
        <f>VLOOKUP($A230,'Medical Examination'!$A:$Z,2,FALSE)</f>
        <v>36.99</v>
      </c>
    </row>
    <row r="231" spans="1:21" ht="15.5" x14ac:dyDescent="0.35">
      <c r="A231" s="2" t="s">
        <v>231</v>
      </c>
      <c r="B231" s="2" t="s">
        <v>2841</v>
      </c>
      <c r="C231">
        <v>31.4</v>
      </c>
      <c r="D231">
        <v>4.5999999999999996</v>
      </c>
      <c r="E231" t="s">
        <v>2346</v>
      </c>
      <c r="F231" t="s">
        <v>2344</v>
      </c>
      <c r="G231" t="s">
        <v>2344</v>
      </c>
      <c r="H231">
        <v>1</v>
      </c>
      <c r="I231" t="s">
        <v>2346</v>
      </c>
      <c r="J231" t="str">
        <f t="shared" si="12"/>
        <v>Obesity</v>
      </c>
      <c r="K231" t="str">
        <f t="shared" si="13"/>
        <v>Normal</v>
      </c>
      <c r="L231">
        <v>13</v>
      </c>
      <c r="M231" t="s">
        <v>2362</v>
      </c>
      <c r="N231">
        <v>2004</v>
      </c>
      <c r="O231" s="8">
        <f t="shared" si="14"/>
        <v>38151</v>
      </c>
      <c r="P231" s="10">
        <v>2217.4699999999998</v>
      </c>
      <c r="Q231" t="s">
        <v>2357</v>
      </c>
      <c r="R231" t="s">
        <v>2361</v>
      </c>
      <c r="S231" t="s">
        <v>2374</v>
      </c>
      <c r="T231">
        <f t="shared" ca="1" si="15"/>
        <v>22</v>
      </c>
      <c r="U231">
        <f>VLOOKUP($A231,'Medical Examination'!$A:$Z,2,FALSE)</f>
        <v>31.4</v>
      </c>
    </row>
    <row r="232" spans="1:21" ht="15.5" x14ac:dyDescent="0.35">
      <c r="A232" s="2" t="s">
        <v>232</v>
      </c>
      <c r="B232" s="2" t="s">
        <v>2842</v>
      </c>
      <c r="C232">
        <v>34.9</v>
      </c>
      <c r="D232">
        <v>6.22</v>
      </c>
      <c r="E232" t="s">
        <v>2344</v>
      </c>
      <c r="F232" t="s">
        <v>2344</v>
      </c>
      <c r="G232" t="s">
        <v>2346</v>
      </c>
      <c r="H232">
        <v>1</v>
      </c>
      <c r="I232" t="s">
        <v>2346</v>
      </c>
      <c r="J232" t="str">
        <f t="shared" si="12"/>
        <v>Obesity</v>
      </c>
      <c r="K232" t="str">
        <f t="shared" si="13"/>
        <v>Prediabetes</v>
      </c>
      <c r="L232">
        <v>25</v>
      </c>
      <c r="M232" t="s">
        <v>2363</v>
      </c>
      <c r="N232">
        <v>2004</v>
      </c>
      <c r="O232" s="8">
        <f t="shared" si="14"/>
        <v>38255</v>
      </c>
      <c r="P232" s="10">
        <v>2217.6</v>
      </c>
      <c r="Q232" t="s">
        <v>2357</v>
      </c>
      <c r="R232" t="s">
        <v>2361</v>
      </c>
      <c r="S232" t="s">
        <v>2374</v>
      </c>
      <c r="T232">
        <f t="shared" ca="1" si="15"/>
        <v>22</v>
      </c>
      <c r="U232">
        <f>VLOOKUP($A232,'Medical Examination'!$A:$Z,2,FALSE)</f>
        <v>34.9</v>
      </c>
    </row>
    <row r="233" spans="1:21" ht="15.5" x14ac:dyDescent="0.35">
      <c r="A233" s="2" t="s">
        <v>233</v>
      </c>
      <c r="B233" s="2" t="s">
        <v>2843</v>
      </c>
      <c r="C233">
        <v>31.13</v>
      </c>
      <c r="D233">
        <v>4.5199999999999996</v>
      </c>
      <c r="E233" t="s">
        <v>2346</v>
      </c>
      <c r="F233" t="s">
        <v>2344</v>
      </c>
      <c r="G233" t="s">
        <v>2344</v>
      </c>
      <c r="H233">
        <v>1</v>
      </c>
      <c r="I233" t="s">
        <v>2346</v>
      </c>
      <c r="J233" t="str">
        <f t="shared" si="12"/>
        <v>Obesity</v>
      </c>
      <c r="K233" t="str">
        <f t="shared" si="13"/>
        <v>Normal</v>
      </c>
      <c r="L233">
        <v>12</v>
      </c>
      <c r="M233" t="s">
        <v>2365</v>
      </c>
      <c r="N233">
        <v>2004</v>
      </c>
      <c r="O233" s="8">
        <f t="shared" si="14"/>
        <v>38333</v>
      </c>
      <c r="P233" s="10">
        <v>2219.4499999999998</v>
      </c>
      <c r="Q233" t="s">
        <v>2357</v>
      </c>
      <c r="R233" t="s">
        <v>2361</v>
      </c>
      <c r="S233" t="s">
        <v>2359</v>
      </c>
      <c r="T233">
        <f t="shared" ca="1" si="15"/>
        <v>22</v>
      </c>
      <c r="U233">
        <f>VLOOKUP($A233,'Medical Examination'!$A:$Z,2,FALSE)</f>
        <v>31.13</v>
      </c>
    </row>
    <row r="234" spans="1:21" ht="15.5" x14ac:dyDescent="0.35">
      <c r="A234" s="2" t="s">
        <v>234</v>
      </c>
      <c r="B234" s="2" t="s">
        <v>2845</v>
      </c>
      <c r="C234">
        <v>34.799999999999997</v>
      </c>
      <c r="D234">
        <v>6.18</v>
      </c>
      <c r="E234" t="s">
        <v>2344</v>
      </c>
      <c r="F234" t="s">
        <v>2344</v>
      </c>
      <c r="G234" t="s">
        <v>2346</v>
      </c>
      <c r="H234">
        <v>1</v>
      </c>
      <c r="I234" t="s">
        <v>2346</v>
      </c>
      <c r="J234" t="str">
        <f t="shared" si="12"/>
        <v>Obesity</v>
      </c>
      <c r="K234" t="str">
        <f t="shared" si="13"/>
        <v>Prediabetes</v>
      </c>
      <c r="L234">
        <v>10</v>
      </c>
      <c r="M234" t="s">
        <v>2365</v>
      </c>
      <c r="N234">
        <v>2003</v>
      </c>
      <c r="O234" s="8">
        <f t="shared" si="14"/>
        <v>37965</v>
      </c>
      <c r="P234" s="10">
        <v>2221.56</v>
      </c>
      <c r="Q234" t="s">
        <v>2357</v>
      </c>
      <c r="R234" t="s">
        <v>2358</v>
      </c>
      <c r="S234" t="s">
        <v>2364</v>
      </c>
      <c r="T234">
        <f t="shared" ca="1" si="15"/>
        <v>23</v>
      </c>
      <c r="U234">
        <f>VLOOKUP($A234,'Medical Examination'!$A:$Z,2,FALSE)</f>
        <v>34.799999999999997</v>
      </c>
    </row>
    <row r="235" spans="1:21" ht="15.5" x14ac:dyDescent="0.35">
      <c r="A235" s="2" t="s">
        <v>235</v>
      </c>
      <c r="B235" s="2" t="s">
        <v>2847</v>
      </c>
      <c r="C235">
        <v>31.68</v>
      </c>
      <c r="D235">
        <v>4.4000000000000004</v>
      </c>
      <c r="E235" t="s">
        <v>2344</v>
      </c>
      <c r="F235" t="s">
        <v>2344</v>
      </c>
      <c r="G235" t="s">
        <v>2344</v>
      </c>
      <c r="H235">
        <v>0</v>
      </c>
      <c r="I235" t="s">
        <v>2346</v>
      </c>
      <c r="J235" t="str">
        <f t="shared" si="12"/>
        <v>Obesity</v>
      </c>
      <c r="K235" t="str">
        <f t="shared" si="13"/>
        <v>Normal</v>
      </c>
      <c r="L235">
        <v>30</v>
      </c>
      <c r="M235" t="s">
        <v>2362</v>
      </c>
      <c r="N235">
        <v>2000</v>
      </c>
      <c r="O235" s="8">
        <f t="shared" si="14"/>
        <v>36707</v>
      </c>
      <c r="P235" s="10">
        <v>2250.84</v>
      </c>
      <c r="Q235" t="s">
        <v>2357</v>
      </c>
      <c r="R235" t="s">
        <v>2357</v>
      </c>
      <c r="S235" t="s">
        <v>2372</v>
      </c>
      <c r="T235">
        <f t="shared" ca="1" si="15"/>
        <v>26</v>
      </c>
      <c r="U235">
        <f>VLOOKUP($A235,'Medical Examination'!$A:$Z,2,FALSE)</f>
        <v>31.68</v>
      </c>
    </row>
    <row r="236" spans="1:21" ht="15.5" x14ac:dyDescent="0.35">
      <c r="A236" s="2" t="s">
        <v>236</v>
      </c>
      <c r="B236" s="2" t="s">
        <v>2674</v>
      </c>
      <c r="C236">
        <v>33.534999999999997</v>
      </c>
      <c r="D236">
        <v>6.23</v>
      </c>
      <c r="E236" t="s">
        <v>2344</v>
      </c>
      <c r="F236" t="s">
        <v>2345</v>
      </c>
      <c r="G236" t="s">
        <v>2344</v>
      </c>
      <c r="H236">
        <v>1</v>
      </c>
      <c r="I236" t="s">
        <v>2346</v>
      </c>
      <c r="J236" t="str">
        <f t="shared" si="12"/>
        <v>Obesity</v>
      </c>
      <c r="K236" t="str">
        <f t="shared" si="13"/>
        <v>Prediabetes</v>
      </c>
      <c r="L236">
        <v>11</v>
      </c>
      <c r="M236" t="s">
        <v>2365</v>
      </c>
      <c r="N236">
        <v>2000</v>
      </c>
      <c r="O236" s="8">
        <f t="shared" si="14"/>
        <v>36871</v>
      </c>
      <c r="P236" s="10">
        <v>2254.8000000000002</v>
      </c>
      <c r="Q236" t="s">
        <v>2357</v>
      </c>
      <c r="R236" t="s">
        <v>2358</v>
      </c>
      <c r="S236" t="s">
        <v>2371</v>
      </c>
      <c r="T236">
        <f t="shared" ca="1" si="15"/>
        <v>26</v>
      </c>
      <c r="U236">
        <f>VLOOKUP($A236,'Medical Examination'!$A:$Z,2,FALSE)</f>
        <v>33.534999999999997</v>
      </c>
    </row>
    <row r="237" spans="1:21" ht="15.5" x14ac:dyDescent="0.35">
      <c r="A237" s="2" t="s">
        <v>237</v>
      </c>
      <c r="B237" s="2" t="s">
        <v>2848</v>
      </c>
      <c r="C237">
        <v>31.92</v>
      </c>
      <c r="D237">
        <v>5.33</v>
      </c>
      <c r="E237" t="s">
        <v>2346</v>
      </c>
      <c r="F237" t="s">
        <v>2344</v>
      </c>
      <c r="G237" t="s">
        <v>2344</v>
      </c>
      <c r="H237">
        <v>0</v>
      </c>
      <c r="I237" t="s">
        <v>2346</v>
      </c>
      <c r="J237" t="str">
        <f t="shared" si="12"/>
        <v>Obesity</v>
      </c>
      <c r="K237" t="str">
        <f t="shared" si="13"/>
        <v>Normal</v>
      </c>
      <c r="L237">
        <v>15</v>
      </c>
      <c r="M237" t="s">
        <v>2356</v>
      </c>
      <c r="N237">
        <v>2002</v>
      </c>
      <c r="O237" s="8">
        <f t="shared" si="14"/>
        <v>37452</v>
      </c>
      <c r="P237" s="10">
        <v>2257.48</v>
      </c>
      <c r="Q237" t="s">
        <v>2357</v>
      </c>
      <c r="R237" t="s">
        <v>2361</v>
      </c>
      <c r="S237" t="s">
        <v>2364</v>
      </c>
      <c r="T237">
        <f t="shared" ca="1" si="15"/>
        <v>24</v>
      </c>
      <c r="U237">
        <f>VLOOKUP($A237,'Medical Examination'!$A:$Z,2,FALSE)</f>
        <v>31.92</v>
      </c>
    </row>
    <row r="238" spans="1:21" ht="15.5" x14ac:dyDescent="0.35">
      <c r="A238" s="2" t="s">
        <v>238</v>
      </c>
      <c r="B238" s="2" t="s">
        <v>2850</v>
      </c>
      <c r="C238">
        <v>32.700000000000003</v>
      </c>
      <c r="D238">
        <v>4.09</v>
      </c>
      <c r="E238" t="s">
        <v>2344</v>
      </c>
      <c r="F238" t="s">
        <v>2344</v>
      </c>
      <c r="G238" t="s">
        <v>2344</v>
      </c>
      <c r="H238">
        <v>1</v>
      </c>
      <c r="I238" t="s">
        <v>2346</v>
      </c>
      <c r="J238" t="str">
        <f t="shared" si="12"/>
        <v>Obesity</v>
      </c>
      <c r="K238" t="str">
        <f t="shared" si="13"/>
        <v>Normal</v>
      </c>
      <c r="L238">
        <v>12</v>
      </c>
      <c r="M238" t="s">
        <v>2360</v>
      </c>
      <c r="N238">
        <v>2002</v>
      </c>
      <c r="O238" s="8">
        <f t="shared" si="14"/>
        <v>37572</v>
      </c>
      <c r="P238" s="10">
        <v>2261.5700000000002</v>
      </c>
      <c r="Q238" t="s">
        <v>2357</v>
      </c>
      <c r="R238" t="s">
        <v>2361</v>
      </c>
      <c r="S238" t="s">
        <v>2364</v>
      </c>
      <c r="T238">
        <f t="shared" ca="1" si="15"/>
        <v>24</v>
      </c>
      <c r="U238">
        <f>VLOOKUP($A238,'Medical Examination'!$A:$Z,2,FALSE)</f>
        <v>32.700000000000003</v>
      </c>
    </row>
    <row r="239" spans="1:21" ht="15.5" x14ac:dyDescent="0.35">
      <c r="A239" s="2" t="s">
        <v>239</v>
      </c>
      <c r="B239" s="2" t="s">
        <v>2852</v>
      </c>
      <c r="C239">
        <v>41.25</v>
      </c>
      <c r="D239">
        <v>5.19</v>
      </c>
      <c r="E239" t="s">
        <v>2344</v>
      </c>
      <c r="F239" t="s">
        <v>2344</v>
      </c>
      <c r="G239" t="s">
        <v>2344</v>
      </c>
      <c r="H239">
        <v>0</v>
      </c>
      <c r="I239" t="s">
        <v>2346</v>
      </c>
      <c r="J239" t="str">
        <f t="shared" si="12"/>
        <v>Obesity</v>
      </c>
      <c r="K239" t="str">
        <f t="shared" si="13"/>
        <v>Normal</v>
      </c>
      <c r="L239">
        <v>16</v>
      </c>
      <c r="M239" t="s">
        <v>2362</v>
      </c>
      <c r="N239">
        <v>1991</v>
      </c>
      <c r="O239" s="8">
        <f t="shared" si="14"/>
        <v>33405</v>
      </c>
      <c r="P239" s="10">
        <v>2277.7199999999998</v>
      </c>
      <c r="Q239" t="s">
        <v>2357</v>
      </c>
      <c r="R239" t="s">
        <v>2361</v>
      </c>
      <c r="S239" t="s">
        <v>2359</v>
      </c>
      <c r="T239">
        <f t="shared" ca="1" si="15"/>
        <v>35</v>
      </c>
      <c r="U239">
        <f>VLOOKUP($A239,'Medical Examination'!$A:$Z,2,FALSE)</f>
        <v>41.25</v>
      </c>
    </row>
    <row r="240" spans="1:21" ht="15.5" x14ac:dyDescent="0.35">
      <c r="A240" s="2" t="s">
        <v>240</v>
      </c>
      <c r="B240" s="2" t="s">
        <v>2854</v>
      </c>
      <c r="C240">
        <v>33.11</v>
      </c>
      <c r="D240">
        <v>4.12</v>
      </c>
      <c r="E240" t="s">
        <v>2344</v>
      </c>
      <c r="F240" t="s">
        <v>2344</v>
      </c>
      <c r="G240" t="s">
        <v>2346</v>
      </c>
      <c r="H240">
        <v>1</v>
      </c>
      <c r="I240" t="s">
        <v>2346</v>
      </c>
      <c r="J240" t="str">
        <f t="shared" si="12"/>
        <v>Obesity</v>
      </c>
      <c r="K240" t="str">
        <f t="shared" si="13"/>
        <v>Normal</v>
      </c>
      <c r="L240">
        <v>5</v>
      </c>
      <c r="M240" t="s">
        <v>2367</v>
      </c>
      <c r="N240">
        <v>1989</v>
      </c>
      <c r="O240" s="8">
        <f t="shared" si="14"/>
        <v>32786</v>
      </c>
      <c r="P240" s="10">
        <v>2295.2399999999998</v>
      </c>
      <c r="Q240" t="s">
        <v>2357</v>
      </c>
      <c r="R240" t="s">
        <v>2361</v>
      </c>
      <c r="S240" t="s">
        <v>2359</v>
      </c>
      <c r="T240">
        <f t="shared" ca="1" si="15"/>
        <v>37</v>
      </c>
      <c r="U240">
        <f>VLOOKUP($A240,'Medical Examination'!$A:$Z,2,FALSE)</f>
        <v>33.11</v>
      </c>
    </row>
    <row r="241" spans="1:21" ht="15.5" x14ac:dyDescent="0.35">
      <c r="A241" s="2" t="s">
        <v>241</v>
      </c>
      <c r="B241" s="2" t="s">
        <v>2856</v>
      </c>
      <c r="C241">
        <v>36.159999999999997</v>
      </c>
      <c r="D241">
        <v>5.0999999999999996</v>
      </c>
      <c r="E241" t="s">
        <v>2344</v>
      </c>
      <c r="F241" t="s">
        <v>2344</v>
      </c>
      <c r="G241" t="s">
        <v>2344</v>
      </c>
      <c r="H241">
        <v>1</v>
      </c>
      <c r="I241" t="s">
        <v>2346</v>
      </c>
      <c r="J241" t="str">
        <f t="shared" si="12"/>
        <v>Obesity</v>
      </c>
      <c r="K241" t="str">
        <f t="shared" si="13"/>
        <v>Normal</v>
      </c>
      <c r="L241">
        <v>28</v>
      </c>
      <c r="M241" t="s">
        <v>2360</v>
      </c>
      <c r="N241">
        <v>1996</v>
      </c>
      <c r="O241" s="8">
        <f t="shared" si="14"/>
        <v>35397</v>
      </c>
      <c r="P241" s="10">
        <v>2302.3000000000002</v>
      </c>
      <c r="Q241" t="s">
        <v>2361</v>
      </c>
      <c r="R241" t="s">
        <v>2357</v>
      </c>
      <c r="S241" t="s">
        <v>2368</v>
      </c>
      <c r="T241">
        <f t="shared" ca="1" si="15"/>
        <v>30</v>
      </c>
      <c r="U241">
        <f>VLOOKUP($A241,'Medical Examination'!$A:$Z,2,FALSE)</f>
        <v>36.159999999999997</v>
      </c>
    </row>
    <row r="242" spans="1:21" ht="15.5" x14ac:dyDescent="0.35">
      <c r="A242" s="2" t="s">
        <v>242</v>
      </c>
      <c r="B242" s="2" t="s">
        <v>2858</v>
      </c>
      <c r="C242">
        <v>33.72</v>
      </c>
      <c r="D242">
        <v>6.21</v>
      </c>
      <c r="E242" t="s">
        <v>2346</v>
      </c>
      <c r="F242" t="s">
        <v>2344</v>
      </c>
      <c r="G242" t="s">
        <v>2346</v>
      </c>
      <c r="H242">
        <v>1</v>
      </c>
      <c r="I242" t="s">
        <v>2346</v>
      </c>
      <c r="J242" t="str">
        <f t="shared" si="12"/>
        <v>Obesity</v>
      </c>
      <c r="K242" t="str">
        <f t="shared" si="13"/>
        <v>Prediabetes</v>
      </c>
      <c r="L242">
        <v>6</v>
      </c>
      <c r="M242" t="s">
        <v>2363</v>
      </c>
      <c r="N242">
        <v>2004</v>
      </c>
      <c r="O242" s="8">
        <f t="shared" si="14"/>
        <v>38236</v>
      </c>
      <c r="P242" s="10">
        <v>2304</v>
      </c>
      <c r="Q242" t="s">
        <v>2357</v>
      </c>
      <c r="R242" t="s">
        <v>2358</v>
      </c>
      <c r="S242" t="s">
        <v>2359</v>
      </c>
      <c r="T242">
        <f t="shared" ca="1" si="15"/>
        <v>22</v>
      </c>
      <c r="U242">
        <f>VLOOKUP($A242,'Medical Examination'!$A:$Z,2,FALSE)</f>
        <v>33.72</v>
      </c>
    </row>
    <row r="243" spans="1:21" ht="15.5" x14ac:dyDescent="0.35">
      <c r="A243" s="2" t="s">
        <v>243</v>
      </c>
      <c r="B243" s="2" t="s">
        <v>2860</v>
      </c>
      <c r="C243">
        <v>37.74</v>
      </c>
      <c r="D243">
        <v>9.5299999999999994</v>
      </c>
      <c r="E243" t="s">
        <v>2346</v>
      </c>
      <c r="F243" t="s">
        <v>2344</v>
      </c>
      <c r="G243" t="s">
        <v>2344</v>
      </c>
      <c r="H243">
        <v>1</v>
      </c>
      <c r="I243" t="s">
        <v>2346</v>
      </c>
      <c r="J243" t="str">
        <f t="shared" si="12"/>
        <v>Obesity</v>
      </c>
      <c r="K243" t="str">
        <f t="shared" si="13"/>
        <v>Diabetes</v>
      </c>
      <c r="L243">
        <v>17</v>
      </c>
      <c r="M243" t="s">
        <v>2365</v>
      </c>
      <c r="N243">
        <v>1996</v>
      </c>
      <c r="O243" s="8">
        <f t="shared" si="14"/>
        <v>35416</v>
      </c>
      <c r="P243" s="10">
        <v>2322.62</v>
      </c>
      <c r="Q243" t="s">
        <v>2357</v>
      </c>
      <c r="R243" t="s">
        <v>2361</v>
      </c>
      <c r="S243" t="s">
        <v>2359</v>
      </c>
      <c r="T243">
        <f t="shared" ca="1" si="15"/>
        <v>30</v>
      </c>
      <c r="U243">
        <f>VLOOKUP($A243,'Medical Examination'!$A:$Z,2,FALSE)</f>
        <v>37.74</v>
      </c>
    </row>
    <row r="244" spans="1:21" ht="15.5" x14ac:dyDescent="0.35">
      <c r="A244" s="2" t="s">
        <v>244</v>
      </c>
      <c r="B244" s="2" t="s">
        <v>2862</v>
      </c>
      <c r="C244">
        <v>48.75</v>
      </c>
      <c r="D244">
        <v>4.6399999999999997</v>
      </c>
      <c r="E244" t="s">
        <v>2346</v>
      </c>
      <c r="F244" t="s">
        <v>2344</v>
      </c>
      <c r="G244" t="s">
        <v>2344</v>
      </c>
      <c r="H244">
        <v>1</v>
      </c>
      <c r="I244" t="s">
        <v>2346</v>
      </c>
      <c r="J244" t="str">
        <f t="shared" si="12"/>
        <v>Obesity</v>
      </c>
      <c r="K244" t="str">
        <f t="shared" si="13"/>
        <v>Normal</v>
      </c>
      <c r="L244">
        <v>18</v>
      </c>
      <c r="M244" t="s">
        <v>2360</v>
      </c>
      <c r="N244">
        <v>2003</v>
      </c>
      <c r="O244" s="8">
        <f t="shared" si="14"/>
        <v>37943</v>
      </c>
      <c r="P244" s="10">
        <v>2331.52</v>
      </c>
      <c r="Q244" t="s">
        <v>2357</v>
      </c>
      <c r="R244" t="s">
        <v>2358</v>
      </c>
      <c r="S244" t="s">
        <v>2368</v>
      </c>
      <c r="T244">
        <f t="shared" ca="1" si="15"/>
        <v>23</v>
      </c>
      <c r="U244">
        <f>VLOOKUP($A244,'Medical Examination'!$A:$Z,2,FALSE)</f>
        <v>48.75</v>
      </c>
    </row>
    <row r="245" spans="1:21" ht="15.5" x14ac:dyDescent="0.35">
      <c r="A245" s="2" t="s">
        <v>245</v>
      </c>
      <c r="B245" s="2" t="s">
        <v>2864</v>
      </c>
      <c r="C245">
        <v>31.065000000000001</v>
      </c>
      <c r="D245">
        <v>5.05</v>
      </c>
      <c r="E245" t="s">
        <v>2344</v>
      </c>
      <c r="F245" t="s">
        <v>2344</v>
      </c>
      <c r="G245" t="s">
        <v>2344</v>
      </c>
      <c r="H245">
        <v>1</v>
      </c>
      <c r="I245" t="s">
        <v>2346</v>
      </c>
      <c r="J245" t="str">
        <f t="shared" si="12"/>
        <v>Obesity</v>
      </c>
      <c r="K245" t="str">
        <f t="shared" si="13"/>
        <v>Normal</v>
      </c>
      <c r="L245">
        <v>21</v>
      </c>
      <c r="M245" t="s">
        <v>2367</v>
      </c>
      <c r="N245">
        <v>1998</v>
      </c>
      <c r="O245" s="8">
        <f t="shared" si="14"/>
        <v>36089</v>
      </c>
      <c r="P245" s="10">
        <v>2352.9699999999998</v>
      </c>
      <c r="Q245" t="s">
        <v>2358</v>
      </c>
      <c r="R245" t="s">
        <v>2358</v>
      </c>
      <c r="S245" t="s">
        <v>2364</v>
      </c>
      <c r="T245">
        <f t="shared" ca="1" si="15"/>
        <v>28</v>
      </c>
      <c r="U245">
        <f>VLOOKUP($A245,'Medical Examination'!$A:$Z,2,FALSE)</f>
        <v>31.065000000000001</v>
      </c>
    </row>
    <row r="246" spans="1:21" ht="15.5" x14ac:dyDescent="0.35">
      <c r="A246" s="2" t="s">
        <v>246</v>
      </c>
      <c r="B246" s="2" t="s">
        <v>2865</v>
      </c>
      <c r="C246">
        <v>23.55</v>
      </c>
      <c r="D246">
        <v>10.38</v>
      </c>
      <c r="E246" t="s">
        <v>2344</v>
      </c>
      <c r="F246" t="s">
        <v>2344</v>
      </c>
      <c r="G246" t="s">
        <v>2344</v>
      </c>
      <c r="H246">
        <v>0</v>
      </c>
      <c r="I246" t="s">
        <v>2346</v>
      </c>
      <c r="J246" t="str">
        <f t="shared" si="12"/>
        <v>Normal Weight</v>
      </c>
      <c r="K246" t="str">
        <f t="shared" si="13"/>
        <v>Diabetes</v>
      </c>
      <c r="L246">
        <v>5</v>
      </c>
      <c r="M246" t="s">
        <v>2360</v>
      </c>
      <c r="N246">
        <v>2002</v>
      </c>
      <c r="O246" s="8">
        <f t="shared" si="14"/>
        <v>37565</v>
      </c>
      <c r="P246" s="10">
        <v>2362.23</v>
      </c>
      <c r="Q246" t="s">
        <v>2357</v>
      </c>
      <c r="R246" t="s">
        <v>2361</v>
      </c>
      <c r="S246" t="s">
        <v>2364</v>
      </c>
      <c r="T246">
        <f t="shared" ca="1" si="15"/>
        <v>24</v>
      </c>
      <c r="U246">
        <f>VLOOKUP($A246,'Medical Examination'!$A:$Z,2,FALSE)</f>
        <v>23.55</v>
      </c>
    </row>
    <row r="247" spans="1:21" ht="15.5" x14ac:dyDescent="0.35">
      <c r="A247" s="2" t="s">
        <v>247</v>
      </c>
      <c r="B247" s="2" t="s">
        <v>2866</v>
      </c>
      <c r="C247">
        <v>30.18</v>
      </c>
      <c r="D247">
        <v>8.31</v>
      </c>
      <c r="E247" t="s">
        <v>2346</v>
      </c>
      <c r="F247" t="s">
        <v>2344</v>
      </c>
      <c r="G247" t="s">
        <v>2344</v>
      </c>
      <c r="H247">
        <v>1</v>
      </c>
      <c r="I247" t="s">
        <v>2346</v>
      </c>
      <c r="J247" t="str">
        <f t="shared" si="12"/>
        <v>Obesity</v>
      </c>
      <c r="K247" t="str">
        <f t="shared" si="13"/>
        <v>Diabetes</v>
      </c>
      <c r="L247">
        <v>12</v>
      </c>
      <c r="M247" t="s">
        <v>2365</v>
      </c>
      <c r="N247">
        <v>1988</v>
      </c>
      <c r="O247" s="8">
        <f t="shared" si="14"/>
        <v>32489</v>
      </c>
      <c r="P247" s="10">
        <v>2373.3000000000002</v>
      </c>
      <c r="Q247" t="s">
        <v>2357</v>
      </c>
      <c r="R247" t="s">
        <v>2357</v>
      </c>
      <c r="S247" t="s">
        <v>2359</v>
      </c>
      <c r="T247">
        <f t="shared" ca="1" si="15"/>
        <v>38</v>
      </c>
      <c r="U247">
        <f>VLOOKUP($A247,'Medical Examination'!$A:$Z,2,FALSE)</f>
        <v>30.18</v>
      </c>
    </row>
    <row r="248" spans="1:21" ht="15.5" x14ac:dyDescent="0.35">
      <c r="A248" s="2" t="s">
        <v>248</v>
      </c>
      <c r="B248" s="2" t="s">
        <v>2868</v>
      </c>
      <c r="C248">
        <v>29.94</v>
      </c>
      <c r="D248">
        <v>7.59</v>
      </c>
      <c r="E248" t="s">
        <v>2344</v>
      </c>
      <c r="F248" t="s">
        <v>2344</v>
      </c>
      <c r="G248" t="s">
        <v>2344</v>
      </c>
      <c r="H248">
        <v>0</v>
      </c>
      <c r="I248" t="s">
        <v>2346</v>
      </c>
      <c r="J248" t="str">
        <f t="shared" si="12"/>
        <v>Over weight</v>
      </c>
      <c r="K248" t="str">
        <f t="shared" si="13"/>
        <v>Diabetes</v>
      </c>
      <c r="L248">
        <v>17</v>
      </c>
      <c r="M248" t="s">
        <v>2365</v>
      </c>
      <c r="N248">
        <v>1999</v>
      </c>
      <c r="O248" s="8">
        <f t="shared" si="14"/>
        <v>36511</v>
      </c>
      <c r="P248" s="10">
        <v>2395.17</v>
      </c>
      <c r="Q248" t="s">
        <v>2357</v>
      </c>
      <c r="R248" t="s">
        <v>2361</v>
      </c>
      <c r="S248" t="s">
        <v>2376</v>
      </c>
      <c r="T248">
        <f t="shared" ca="1" si="15"/>
        <v>27</v>
      </c>
      <c r="U248">
        <f>VLOOKUP($A248,'Medical Examination'!$A:$Z,2,FALSE)</f>
        <v>29.94</v>
      </c>
    </row>
    <row r="249" spans="1:21" ht="15.5" x14ac:dyDescent="0.35">
      <c r="A249" s="2" t="s">
        <v>249</v>
      </c>
      <c r="B249" s="2" t="s">
        <v>2869</v>
      </c>
      <c r="C249">
        <v>31.4</v>
      </c>
      <c r="D249">
        <v>5.49</v>
      </c>
      <c r="E249" t="s">
        <v>2344</v>
      </c>
      <c r="F249" t="s">
        <v>2344</v>
      </c>
      <c r="G249" t="s">
        <v>2344</v>
      </c>
      <c r="H249">
        <v>0</v>
      </c>
      <c r="I249" t="s">
        <v>2346</v>
      </c>
      <c r="J249" t="str">
        <f t="shared" si="12"/>
        <v>Obesity</v>
      </c>
      <c r="K249" t="str">
        <f t="shared" si="13"/>
        <v>Normal</v>
      </c>
      <c r="L249">
        <v>10</v>
      </c>
      <c r="M249" t="s">
        <v>2366</v>
      </c>
      <c r="N249">
        <v>1999</v>
      </c>
      <c r="O249" s="8">
        <f t="shared" si="14"/>
        <v>36382</v>
      </c>
      <c r="P249" s="10">
        <v>2396.1</v>
      </c>
      <c r="Q249" t="s">
        <v>2357</v>
      </c>
      <c r="R249" t="s">
        <v>2361</v>
      </c>
      <c r="S249" t="s">
        <v>2370</v>
      </c>
      <c r="T249">
        <f t="shared" ca="1" si="15"/>
        <v>27</v>
      </c>
      <c r="U249">
        <f>VLOOKUP($A249,'Medical Examination'!$A:$Z,2,FALSE)</f>
        <v>31.4</v>
      </c>
    </row>
    <row r="250" spans="1:21" ht="15.5" x14ac:dyDescent="0.35">
      <c r="A250" s="2" t="s">
        <v>250</v>
      </c>
      <c r="B250" s="2" t="s">
        <v>2871</v>
      </c>
      <c r="C250">
        <v>53.06</v>
      </c>
      <c r="D250">
        <v>11.68</v>
      </c>
      <c r="E250" t="s">
        <v>2344</v>
      </c>
      <c r="F250" t="s">
        <v>2344</v>
      </c>
      <c r="G250" t="s">
        <v>2344</v>
      </c>
      <c r="H250">
        <v>0</v>
      </c>
      <c r="I250" t="s">
        <v>2346</v>
      </c>
      <c r="J250" t="str">
        <f t="shared" si="12"/>
        <v>Obesity</v>
      </c>
      <c r="K250" t="str">
        <f t="shared" si="13"/>
        <v>Diabetes</v>
      </c>
      <c r="L250">
        <v>3</v>
      </c>
      <c r="M250" t="s">
        <v>2362</v>
      </c>
      <c r="N250">
        <v>2001</v>
      </c>
      <c r="O250" s="8">
        <f t="shared" si="14"/>
        <v>37045</v>
      </c>
      <c r="P250" s="10">
        <v>2404.73</v>
      </c>
      <c r="Q250" t="s">
        <v>2357</v>
      </c>
      <c r="R250" t="s">
        <v>2358</v>
      </c>
      <c r="S250" t="s">
        <v>2364</v>
      </c>
      <c r="T250">
        <f t="shared" ca="1" si="15"/>
        <v>25</v>
      </c>
      <c r="U250">
        <f>VLOOKUP($A250,'Medical Examination'!$A:$Z,2,FALSE)</f>
        <v>53.06</v>
      </c>
    </row>
    <row r="251" spans="1:21" ht="15.5" x14ac:dyDescent="0.35">
      <c r="A251" s="2" t="s">
        <v>251</v>
      </c>
      <c r="B251" s="2" t="s">
        <v>2873</v>
      </c>
      <c r="C251">
        <v>30.25</v>
      </c>
      <c r="D251">
        <v>4.1900000000000004</v>
      </c>
      <c r="E251" t="s">
        <v>2344</v>
      </c>
      <c r="F251" t="s">
        <v>2344</v>
      </c>
      <c r="G251" t="s">
        <v>2344</v>
      </c>
      <c r="H251">
        <v>1</v>
      </c>
      <c r="I251" t="s">
        <v>2346</v>
      </c>
      <c r="J251" t="str">
        <f t="shared" si="12"/>
        <v>Obesity</v>
      </c>
      <c r="K251" t="str">
        <f t="shared" si="13"/>
        <v>Normal</v>
      </c>
      <c r="L251">
        <v>12</v>
      </c>
      <c r="M251" t="s">
        <v>2360</v>
      </c>
      <c r="N251">
        <v>1999</v>
      </c>
      <c r="O251" s="8">
        <f t="shared" si="14"/>
        <v>36476</v>
      </c>
      <c r="P251" s="10">
        <v>2416.96</v>
      </c>
      <c r="Q251" t="s">
        <v>2357</v>
      </c>
      <c r="R251" t="s">
        <v>2357</v>
      </c>
      <c r="S251" t="s">
        <v>2368</v>
      </c>
      <c r="T251">
        <f t="shared" ca="1" si="15"/>
        <v>27</v>
      </c>
      <c r="U251">
        <f>VLOOKUP($A251,'Medical Examination'!$A:$Z,2,FALSE)</f>
        <v>30.25</v>
      </c>
    </row>
    <row r="252" spans="1:21" ht="15.5" x14ac:dyDescent="0.35">
      <c r="A252" s="2" t="s">
        <v>252</v>
      </c>
      <c r="B252" s="2" t="s">
        <v>2874</v>
      </c>
      <c r="C252">
        <v>46.68</v>
      </c>
      <c r="D252">
        <v>4.01</v>
      </c>
      <c r="E252" t="s">
        <v>2344</v>
      </c>
      <c r="F252" t="s">
        <v>2344</v>
      </c>
      <c r="G252" t="s">
        <v>2344</v>
      </c>
      <c r="H252">
        <v>0</v>
      </c>
      <c r="I252" t="s">
        <v>2346</v>
      </c>
      <c r="J252" t="str">
        <f t="shared" si="12"/>
        <v>Obesity</v>
      </c>
      <c r="K252" t="str">
        <f t="shared" si="13"/>
        <v>Normal</v>
      </c>
      <c r="L252">
        <v>21</v>
      </c>
      <c r="M252" t="s">
        <v>2360</v>
      </c>
      <c r="N252">
        <v>1999</v>
      </c>
      <c r="O252" s="8">
        <f t="shared" si="14"/>
        <v>36485</v>
      </c>
      <c r="P252" s="10">
        <v>2438.06</v>
      </c>
      <c r="Q252" t="s">
        <v>2357</v>
      </c>
      <c r="R252" t="s">
        <v>2357</v>
      </c>
      <c r="S252" t="s">
        <v>2359</v>
      </c>
      <c r="T252">
        <f t="shared" ca="1" si="15"/>
        <v>27</v>
      </c>
      <c r="U252">
        <f>VLOOKUP($A252,'Medical Examination'!$A:$Z,2,FALSE)</f>
        <v>46.68</v>
      </c>
    </row>
    <row r="253" spans="1:21" ht="15.5" x14ac:dyDescent="0.35">
      <c r="A253" s="2" t="s">
        <v>253</v>
      </c>
      <c r="B253" s="2" t="s">
        <v>2876</v>
      </c>
      <c r="C253">
        <v>30.4</v>
      </c>
      <c r="D253">
        <v>5.91</v>
      </c>
      <c r="E253" t="s">
        <v>2344</v>
      </c>
      <c r="F253" t="s">
        <v>2345</v>
      </c>
      <c r="G253" t="s">
        <v>2344</v>
      </c>
      <c r="H253">
        <v>1</v>
      </c>
      <c r="I253" t="s">
        <v>2346</v>
      </c>
      <c r="J253" t="str">
        <f t="shared" si="12"/>
        <v>Obesity</v>
      </c>
      <c r="K253" t="str">
        <f t="shared" si="13"/>
        <v>Prediabetes</v>
      </c>
      <c r="L253">
        <v>29</v>
      </c>
      <c r="M253" t="s">
        <v>2356</v>
      </c>
      <c r="N253">
        <v>2002</v>
      </c>
      <c r="O253" s="8">
        <f t="shared" si="14"/>
        <v>37466</v>
      </c>
      <c r="P253" s="10">
        <v>2457.21</v>
      </c>
      <c r="Q253" t="s">
        <v>2357</v>
      </c>
      <c r="R253" t="s">
        <v>2361</v>
      </c>
      <c r="S253" t="s">
        <v>2374</v>
      </c>
      <c r="T253">
        <f t="shared" ca="1" si="15"/>
        <v>24</v>
      </c>
      <c r="U253">
        <f>VLOOKUP($A253,'Medical Examination'!$A:$Z,2,FALSE)</f>
        <v>30.4</v>
      </c>
    </row>
    <row r="254" spans="1:21" ht="15.5" x14ac:dyDescent="0.35">
      <c r="A254" s="2" t="s">
        <v>254</v>
      </c>
      <c r="B254" s="2" t="s">
        <v>2877</v>
      </c>
      <c r="C254">
        <v>30.2</v>
      </c>
      <c r="D254">
        <v>4.47</v>
      </c>
      <c r="E254" t="s">
        <v>2346</v>
      </c>
      <c r="F254" t="s">
        <v>2344</v>
      </c>
      <c r="G254" t="s">
        <v>2346</v>
      </c>
      <c r="H254">
        <v>1</v>
      </c>
      <c r="I254" t="s">
        <v>2346</v>
      </c>
      <c r="J254" t="str">
        <f t="shared" si="12"/>
        <v>Obesity</v>
      </c>
      <c r="K254" t="str">
        <f t="shared" si="13"/>
        <v>Normal</v>
      </c>
      <c r="L254">
        <v>19</v>
      </c>
      <c r="M254" t="s">
        <v>2360</v>
      </c>
      <c r="N254">
        <v>1998</v>
      </c>
      <c r="O254" s="8">
        <f t="shared" si="14"/>
        <v>36118</v>
      </c>
      <c r="P254" s="10">
        <v>2457.5</v>
      </c>
      <c r="Q254" t="s">
        <v>2357</v>
      </c>
      <c r="R254" t="s">
        <v>2361</v>
      </c>
      <c r="S254" t="s">
        <v>2368</v>
      </c>
      <c r="T254">
        <f t="shared" ca="1" si="15"/>
        <v>28</v>
      </c>
      <c r="U254">
        <f>VLOOKUP($A254,'Medical Examination'!$A:$Z,2,FALSE)</f>
        <v>30.2</v>
      </c>
    </row>
    <row r="255" spans="1:21" ht="15.5" x14ac:dyDescent="0.35">
      <c r="A255" s="2" t="s">
        <v>255</v>
      </c>
      <c r="B255" s="2" t="s">
        <v>2879</v>
      </c>
      <c r="C255">
        <v>51.18</v>
      </c>
      <c r="D255">
        <v>4.5599999999999996</v>
      </c>
      <c r="E255" t="s">
        <v>2346</v>
      </c>
      <c r="F255" t="s">
        <v>2345</v>
      </c>
      <c r="G255" t="s">
        <v>2344</v>
      </c>
      <c r="H255">
        <v>1</v>
      </c>
      <c r="I255" t="s">
        <v>2346</v>
      </c>
      <c r="J255" t="str">
        <f t="shared" si="12"/>
        <v>Obesity</v>
      </c>
      <c r="K255" t="str">
        <f t="shared" si="13"/>
        <v>Normal</v>
      </c>
      <c r="L255">
        <v>11</v>
      </c>
      <c r="M255" t="s">
        <v>2356</v>
      </c>
      <c r="N255">
        <v>2002</v>
      </c>
      <c r="O255" s="8">
        <f t="shared" si="14"/>
        <v>37448</v>
      </c>
      <c r="P255" s="10">
        <v>2459.7199999999998</v>
      </c>
      <c r="Q255" t="s">
        <v>2357</v>
      </c>
      <c r="R255" t="s">
        <v>2357</v>
      </c>
      <c r="S255" t="s">
        <v>2374</v>
      </c>
      <c r="T255">
        <f t="shared" ca="1" si="15"/>
        <v>24</v>
      </c>
      <c r="U255">
        <f>VLOOKUP($A255,'Medical Examination'!$A:$Z,2,FALSE)</f>
        <v>51.18</v>
      </c>
    </row>
    <row r="256" spans="1:21" ht="15.5" x14ac:dyDescent="0.35">
      <c r="A256" s="2" t="s">
        <v>256</v>
      </c>
      <c r="B256" s="2" t="s">
        <v>2880</v>
      </c>
      <c r="C256">
        <v>22.18</v>
      </c>
      <c r="D256">
        <v>9.9</v>
      </c>
      <c r="E256" t="s">
        <v>2344</v>
      </c>
      <c r="F256" t="s">
        <v>2344</v>
      </c>
      <c r="G256" t="s">
        <v>2344</v>
      </c>
      <c r="H256">
        <v>0</v>
      </c>
      <c r="I256" t="s">
        <v>2346</v>
      </c>
      <c r="J256" t="str">
        <f t="shared" si="12"/>
        <v>Normal Weight</v>
      </c>
      <c r="K256" t="str">
        <f t="shared" si="13"/>
        <v>Diabetes</v>
      </c>
      <c r="L256">
        <v>17</v>
      </c>
      <c r="M256" t="s">
        <v>2366</v>
      </c>
      <c r="N256">
        <v>1998</v>
      </c>
      <c r="O256" s="8">
        <f t="shared" si="14"/>
        <v>36024</v>
      </c>
      <c r="P256" s="10">
        <v>2464.62</v>
      </c>
      <c r="Q256" t="s">
        <v>2357</v>
      </c>
      <c r="R256" t="s">
        <v>2358</v>
      </c>
      <c r="S256" t="s">
        <v>2359</v>
      </c>
      <c r="T256">
        <f t="shared" ca="1" si="15"/>
        <v>28</v>
      </c>
      <c r="U256">
        <f>VLOOKUP($A256,'Medical Examination'!$A:$Z,2,FALSE)</f>
        <v>22.18</v>
      </c>
    </row>
    <row r="257" spans="1:21" ht="15.5" x14ac:dyDescent="0.35">
      <c r="A257" s="2" t="s">
        <v>257</v>
      </c>
      <c r="B257" s="2" t="s">
        <v>2881</v>
      </c>
      <c r="C257">
        <v>31.92</v>
      </c>
      <c r="D257">
        <v>5.1100000000000003</v>
      </c>
      <c r="E257" t="s">
        <v>2344</v>
      </c>
      <c r="F257" t="s">
        <v>2344</v>
      </c>
      <c r="G257" t="s">
        <v>2346</v>
      </c>
      <c r="H257">
        <v>1</v>
      </c>
      <c r="I257" t="s">
        <v>2346</v>
      </c>
      <c r="J257" t="str">
        <f t="shared" si="12"/>
        <v>Obesity</v>
      </c>
      <c r="K257" t="str">
        <f t="shared" si="13"/>
        <v>Normal</v>
      </c>
      <c r="L257">
        <v>2</v>
      </c>
      <c r="M257" t="s">
        <v>2356</v>
      </c>
      <c r="N257">
        <v>1998</v>
      </c>
      <c r="O257" s="8">
        <f t="shared" si="14"/>
        <v>35978</v>
      </c>
      <c r="P257" s="10">
        <v>2473.33</v>
      </c>
      <c r="Q257" t="s">
        <v>2357</v>
      </c>
      <c r="R257" t="s">
        <v>2358</v>
      </c>
      <c r="S257" t="s">
        <v>2359</v>
      </c>
      <c r="T257">
        <f t="shared" ca="1" si="15"/>
        <v>28</v>
      </c>
      <c r="U257">
        <f>VLOOKUP($A257,'Medical Examination'!$A:$Z,2,FALSE)</f>
        <v>31.92</v>
      </c>
    </row>
    <row r="258" spans="1:21" ht="15.5" x14ac:dyDescent="0.35">
      <c r="A258" s="2" t="s">
        <v>258</v>
      </c>
      <c r="B258" s="2" t="s">
        <v>2883</v>
      </c>
      <c r="C258">
        <v>31.73</v>
      </c>
      <c r="D258">
        <v>5.73</v>
      </c>
      <c r="E258" t="s">
        <v>2344</v>
      </c>
      <c r="F258" t="s">
        <v>2345</v>
      </c>
      <c r="G258" t="s">
        <v>2344</v>
      </c>
      <c r="H258">
        <v>1</v>
      </c>
      <c r="I258" t="s">
        <v>2346</v>
      </c>
      <c r="J258" t="str">
        <f t="shared" si="12"/>
        <v>Obesity</v>
      </c>
      <c r="K258" t="str">
        <f t="shared" si="13"/>
        <v>Prediabetes</v>
      </c>
      <c r="L258">
        <v>20</v>
      </c>
      <c r="M258" t="s">
        <v>2362</v>
      </c>
      <c r="N258">
        <v>1998</v>
      </c>
      <c r="O258" s="8">
        <f t="shared" si="14"/>
        <v>35966</v>
      </c>
      <c r="P258" s="10">
        <v>2480.98</v>
      </c>
      <c r="Q258" t="s">
        <v>2357</v>
      </c>
      <c r="R258" t="s">
        <v>2357</v>
      </c>
      <c r="S258" t="s">
        <v>2359</v>
      </c>
      <c r="T258">
        <f t="shared" ca="1" si="15"/>
        <v>28</v>
      </c>
      <c r="U258">
        <f>VLOOKUP($A258,'Medical Examination'!$A:$Z,2,FALSE)</f>
        <v>31.73</v>
      </c>
    </row>
    <row r="259" spans="1:21" ht="15.5" x14ac:dyDescent="0.35">
      <c r="A259" s="2" t="s">
        <v>259</v>
      </c>
      <c r="B259" s="2" t="s">
        <v>2885</v>
      </c>
      <c r="C259">
        <v>45.52</v>
      </c>
      <c r="D259">
        <v>6.04</v>
      </c>
      <c r="E259" t="s">
        <v>2344</v>
      </c>
      <c r="F259" t="s">
        <v>2344</v>
      </c>
      <c r="G259" t="s">
        <v>2346</v>
      </c>
      <c r="H259">
        <v>1</v>
      </c>
      <c r="I259" t="s">
        <v>2346</v>
      </c>
      <c r="J259" t="str">
        <f t="shared" ref="J259:J322" si="16">IF(C259&lt;18.5,"Under Weight",IF(C259&lt;25,"Normal Weight",IF(C259&lt;30,"Over weight","Obesity")))</f>
        <v>Obesity</v>
      </c>
      <c r="K259" t="str">
        <f t="shared" ref="K259:K322" si="17">IF(D259&lt;5.7,"Normal",IF(D259&lt;6.5,"Prediabetes","Diabetes"))</f>
        <v>Prediabetes</v>
      </c>
      <c r="L259">
        <v>6</v>
      </c>
      <c r="M259" t="s">
        <v>2360</v>
      </c>
      <c r="N259">
        <v>1995</v>
      </c>
      <c r="O259" s="8">
        <f t="shared" ref="O259:O322" si="18">DATE(N259,MONTH(1&amp;M259),L259)</f>
        <v>35009</v>
      </c>
      <c r="P259" s="10">
        <v>2483.7399999999998</v>
      </c>
      <c r="Q259" t="s">
        <v>2358</v>
      </c>
      <c r="R259" t="s">
        <v>2357</v>
      </c>
      <c r="S259" t="s">
        <v>2359</v>
      </c>
      <c r="T259">
        <f t="shared" ref="T259:T322" ca="1" si="19">YEAR(TODAY())-YEAR(O259)</f>
        <v>31</v>
      </c>
      <c r="U259">
        <f>VLOOKUP($A259,'Medical Examination'!$A:$Z,2,FALSE)</f>
        <v>45.52</v>
      </c>
    </row>
    <row r="260" spans="1:21" ht="15.5" x14ac:dyDescent="0.35">
      <c r="A260" s="2" t="s">
        <v>260</v>
      </c>
      <c r="B260" s="2" t="s">
        <v>2887</v>
      </c>
      <c r="C260">
        <v>52.81</v>
      </c>
      <c r="D260">
        <v>5.19</v>
      </c>
      <c r="E260" t="s">
        <v>2344</v>
      </c>
      <c r="F260" t="s">
        <v>2344</v>
      </c>
      <c r="G260" t="s">
        <v>2346</v>
      </c>
      <c r="H260">
        <v>1</v>
      </c>
      <c r="I260" t="s">
        <v>2346</v>
      </c>
      <c r="J260" t="str">
        <f t="shared" si="16"/>
        <v>Obesity</v>
      </c>
      <c r="K260" t="str">
        <f t="shared" si="17"/>
        <v>Normal</v>
      </c>
      <c r="L260">
        <v>14</v>
      </c>
      <c r="M260" t="s">
        <v>2367</v>
      </c>
      <c r="N260">
        <v>1995</v>
      </c>
      <c r="O260" s="8">
        <f t="shared" si="18"/>
        <v>34986</v>
      </c>
      <c r="P260" s="10">
        <v>2494.02</v>
      </c>
      <c r="Q260" t="s">
        <v>2358</v>
      </c>
      <c r="R260" t="s">
        <v>2361</v>
      </c>
      <c r="S260" t="s">
        <v>2368</v>
      </c>
      <c r="T260">
        <f t="shared" ca="1" si="19"/>
        <v>31</v>
      </c>
      <c r="U260">
        <f>VLOOKUP($A260,'Medical Examination'!$A:$Z,2,FALSE)</f>
        <v>52.81</v>
      </c>
    </row>
    <row r="261" spans="1:21" ht="15.5" x14ac:dyDescent="0.35">
      <c r="A261" s="2" t="s">
        <v>261</v>
      </c>
      <c r="B261" s="2" t="s">
        <v>2889</v>
      </c>
      <c r="C261">
        <v>33.58</v>
      </c>
      <c r="D261">
        <v>5.56</v>
      </c>
      <c r="E261" t="s">
        <v>2344</v>
      </c>
      <c r="F261" t="s">
        <v>2344</v>
      </c>
      <c r="G261" t="s">
        <v>2344</v>
      </c>
      <c r="H261">
        <v>1</v>
      </c>
      <c r="I261" t="s">
        <v>2346</v>
      </c>
      <c r="J261" t="str">
        <f t="shared" si="16"/>
        <v>Obesity</v>
      </c>
      <c r="K261" t="str">
        <f t="shared" si="17"/>
        <v>Normal</v>
      </c>
      <c r="L261">
        <v>9</v>
      </c>
      <c r="M261" t="s">
        <v>2356</v>
      </c>
      <c r="N261">
        <v>1995</v>
      </c>
      <c r="O261" s="8">
        <f t="shared" si="18"/>
        <v>34889</v>
      </c>
      <c r="P261" s="10">
        <v>2497.04</v>
      </c>
      <c r="Q261" t="s">
        <v>2358</v>
      </c>
      <c r="R261" t="s">
        <v>2358</v>
      </c>
      <c r="S261" t="s">
        <v>2359</v>
      </c>
      <c r="T261">
        <f t="shared" ca="1" si="19"/>
        <v>31</v>
      </c>
      <c r="U261">
        <f>VLOOKUP($A261,'Medical Examination'!$A:$Z,2,FALSE)</f>
        <v>33.58</v>
      </c>
    </row>
    <row r="262" spans="1:21" ht="15.5" x14ac:dyDescent="0.35">
      <c r="A262" s="2" t="s">
        <v>262</v>
      </c>
      <c r="B262" s="2" t="s">
        <v>2890</v>
      </c>
      <c r="C262">
        <v>30.684999999999999</v>
      </c>
      <c r="D262">
        <v>8.23</v>
      </c>
      <c r="E262" t="s">
        <v>2344</v>
      </c>
      <c r="F262" t="s">
        <v>2344</v>
      </c>
      <c r="G262" t="s">
        <v>2344</v>
      </c>
      <c r="H262">
        <v>0</v>
      </c>
      <c r="I262" t="s">
        <v>2346</v>
      </c>
      <c r="J262" t="str">
        <f t="shared" si="16"/>
        <v>Obesity</v>
      </c>
      <c r="K262" t="str">
        <f t="shared" si="17"/>
        <v>Diabetes</v>
      </c>
      <c r="L262">
        <v>15</v>
      </c>
      <c r="M262" t="s">
        <v>2367</v>
      </c>
      <c r="N262">
        <v>1995</v>
      </c>
      <c r="O262" s="8">
        <f t="shared" si="18"/>
        <v>34987</v>
      </c>
      <c r="P262" s="10">
        <v>2498.41</v>
      </c>
      <c r="Q262" t="s">
        <v>2358</v>
      </c>
      <c r="R262" t="s">
        <v>2358</v>
      </c>
      <c r="S262" t="s">
        <v>2359</v>
      </c>
      <c r="T262">
        <f t="shared" ca="1" si="19"/>
        <v>31</v>
      </c>
      <c r="U262">
        <f>VLOOKUP($A262,'Medical Examination'!$A:$Z,2,FALSE)</f>
        <v>30.684999999999999</v>
      </c>
    </row>
    <row r="263" spans="1:21" ht="15.5" x14ac:dyDescent="0.35">
      <c r="A263" s="2" t="s">
        <v>263</v>
      </c>
      <c r="B263" s="2" t="s">
        <v>2892</v>
      </c>
      <c r="C263">
        <v>37.524999999999999</v>
      </c>
      <c r="D263">
        <v>9.0299999999999994</v>
      </c>
      <c r="E263" t="s">
        <v>2346</v>
      </c>
      <c r="F263" t="s">
        <v>2344</v>
      </c>
      <c r="G263" t="s">
        <v>2344</v>
      </c>
      <c r="H263">
        <v>1</v>
      </c>
      <c r="I263" t="s">
        <v>2344</v>
      </c>
      <c r="J263" t="str">
        <f t="shared" si="16"/>
        <v>Obesity</v>
      </c>
      <c r="K263" t="str">
        <f t="shared" si="17"/>
        <v>Diabetes</v>
      </c>
      <c r="L263">
        <v>6</v>
      </c>
      <c r="M263" t="s">
        <v>2363</v>
      </c>
      <c r="N263">
        <v>2004</v>
      </c>
      <c r="O263" s="8">
        <f t="shared" si="18"/>
        <v>38236</v>
      </c>
      <c r="P263" s="10">
        <v>2500.9299999999998</v>
      </c>
      <c r="Q263" t="s">
        <v>2357</v>
      </c>
      <c r="R263" t="s">
        <v>2357</v>
      </c>
      <c r="S263" t="s">
        <v>2364</v>
      </c>
      <c r="T263">
        <f t="shared" ca="1" si="19"/>
        <v>22</v>
      </c>
      <c r="U263">
        <f>VLOOKUP($A263,'Medical Examination'!$A:$Z,2,FALSE)</f>
        <v>37.524999999999999</v>
      </c>
    </row>
    <row r="264" spans="1:21" ht="15.5" x14ac:dyDescent="0.35">
      <c r="A264" s="2" t="s">
        <v>264</v>
      </c>
      <c r="B264" s="2" t="s">
        <v>2894</v>
      </c>
      <c r="C264">
        <v>34.5</v>
      </c>
      <c r="D264">
        <v>4.07</v>
      </c>
      <c r="E264" t="s">
        <v>2346</v>
      </c>
      <c r="F264" t="s">
        <v>2344</v>
      </c>
      <c r="G264" t="s">
        <v>2344</v>
      </c>
      <c r="H264">
        <v>0</v>
      </c>
      <c r="I264" t="s">
        <v>2346</v>
      </c>
      <c r="J264" t="str">
        <f t="shared" si="16"/>
        <v>Obesity</v>
      </c>
      <c r="K264" t="str">
        <f t="shared" si="17"/>
        <v>Normal</v>
      </c>
      <c r="L264">
        <v>5</v>
      </c>
      <c r="M264" t="s">
        <v>2366</v>
      </c>
      <c r="N264">
        <v>1991</v>
      </c>
      <c r="O264" s="8">
        <f t="shared" si="18"/>
        <v>33455</v>
      </c>
      <c r="P264" s="10">
        <v>2510.79</v>
      </c>
      <c r="Q264" t="s">
        <v>2357</v>
      </c>
      <c r="R264" t="s">
        <v>2361</v>
      </c>
      <c r="S264" t="s">
        <v>2359</v>
      </c>
      <c r="T264">
        <f t="shared" ca="1" si="19"/>
        <v>35</v>
      </c>
      <c r="U264">
        <f>VLOOKUP($A264,'Medical Examination'!$A:$Z,2,FALSE)</f>
        <v>34.5</v>
      </c>
    </row>
    <row r="265" spans="1:21" ht="15.5" x14ac:dyDescent="0.35">
      <c r="A265" s="2" t="s">
        <v>265</v>
      </c>
      <c r="B265" s="2" t="s">
        <v>2896</v>
      </c>
      <c r="C265">
        <v>28.16</v>
      </c>
      <c r="D265">
        <v>5.77</v>
      </c>
      <c r="E265" t="s">
        <v>2344</v>
      </c>
      <c r="F265" t="s">
        <v>2344</v>
      </c>
      <c r="G265" t="s">
        <v>2344</v>
      </c>
      <c r="H265">
        <v>1</v>
      </c>
      <c r="I265" t="s">
        <v>2346</v>
      </c>
      <c r="J265" t="str">
        <f t="shared" si="16"/>
        <v>Over weight</v>
      </c>
      <c r="K265" t="str">
        <f t="shared" si="17"/>
        <v>Prediabetes</v>
      </c>
      <c r="L265">
        <v>2</v>
      </c>
      <c r="M265" t="s">
        <v>2360</v>
      </c>
      <c r="N265">
        <v>1997</v>
      </c>
      <c r="O265" s="8">
        <f t="shared" si="18"/>
        <v>35736</v>
      </c>
      <c r="P265" s="10">
        <v>2523.17</v>
      </c>
      <c r="Q265" t="s">
        <v>2358</v>
      </c>
      <c r="R265" t="s">
        <v>2361</v>
      </c>
      <c r="S265" t="s">
        <v>2364</v>
      </c>
      <c r="T265">
        <f t="shared" ca="1" si="19"/>
        <v>29</v>
      </c>
      <c r="U265">
        <f>VLOOKUP($A265,'Medical Examination'!$A:$Z,2,FALSE)</f>
        <v>28.16</v>
      </c>
    </row>
    <row r="266" spans="1:21" ht="15.5" x14ac:dyDescent="0.35">
      <c r="A266" s="2" t="s">
        <v>266</v>
      </c>
      <c r="B266" s="2" t="s">
        <v>2898</v>
      </c>
      <c r="C266">
        <v>30.02</v>
      </c>
      <c r="D266">
        <v>5.98</v>
      </c>
      <c r="E266" t="s">
        <v>2344</v>
      </c>
      <c r="F266" t="s">
        <v>2344</v>
      </c>
      <c r="G266" t="s">
        <v>2346</v>
      </c>
      <c r="H266">
        <v>1</v>
      </c>
      <c r="I266" t="s">
        <v>2346</v>
      </c>
      <c r="J266" t="str">
        <f t="shared" si="16"/>
        <v>Obesity</v>
      </c>
      <c r="K266" t="str">
        <f t="shared" si="17"/>
        <v>Prediabetes</v>
      </c>
      <c r="L266">
        <v>25</v>
      </c>
      <c r="M266" t="s">
        <v>2366</v>
      </c>
      <c r="N266">
        <v>2000</v>
      </c>
      <c r="O266" s="8">
        <f t="shared" si="18"/>
        <v>36763</v>
      </c>
      <c r="P266" s="10">
        <v>2527.8200000000002</v>
      </c>
      <c r="Q266" t="s">
        <v>2357</v>
      </c>
      <c r="R266" t="s">
        <v>2358</v>
      </c>
      <c r="S266" t="s">
        <v>2364</v>
      </c>
      <c r="T266">
        <f t="shared" ca="1" si="19"/>
        <v>26</v>
      </c>
      <c r="U266">
        <f>VLOOKUP($A266,'Medical Examination'!$A:$Z,2,FALSE)</f>
        <v>30.02</v>
      </c>
    </row>
    <row r="267" spans="1:21" ht="15.5" x14ac:dyDescent="0.35">
      <c r="A267" s="2" t="s">
        <v>267</v>
      </c>
      <c r="B267" s="2" t="s">
        <v>2900</v>
      </c>
      <c r="C267">
        <v>37.82</v>
      </c>
      <c r="D267">
        <v>6.01</v>
      </c>
      <c r="E267" t="s">
        <v>2344</v>
      </c>
      <c r="F267" t="s">
        <v>2344</v>
      </c>
      <c r="G267" t="s">
        <v>2344</v>
      </c>
      <c r="H267">
        <v>0</v>
      </c>
      <c r="I267" t="s">
        <v>2346</v>
      </c>
      <c r="J267" t="str">
        <f t="shared" si="16"/>
        <v>Obesity</v>
      </c>
      <c r="K267" t="str">
        <f t="shared" si="17"/>
        <v>Prediabetes</v>
      </c>
      <c r="L267">
        <v>28</v>
      </c>
      <c r="M267" t="s">
        <v>2356</v>
      </c>
      <c r="N267">
        <v>1997</v>
      </c>
      <c r="O267" s="8">
        <f t="shared" si="18"/>
        <v>35639</v>
      </c>
      <c r="P267" s="10">
        <v>2534.39</v>
      </c>
      <c r="Q267" t="s">
        <v>2358</v>
      </c>
      <c r="R267" t="s">
        <v>2358</v>
      </c>
      <c r="S267" t="s">
        <v>2364</v>
      </c>
      <c r="T267">
        <f t="shared" ca="1" si="19"/>
        <v>29</v>
      </c>
      <c r="U267">
        <f>VLOOKUP($A267,'Medical Examination'!$A:$Z,2,FALSE)</f>
        <v>37.82</v>
      </c>
    </row>
    <row r="268" spans="1:21" ht="15.5" x14ac:dyDescent="0.35">
      <c r="A268" s="2" t="s">
        <v>268</v>
      </c>
      <c r="B268" s="2" t="s">
        <v>2901</v>
      </c>
      <c r="C268">
        <v>33.14</v>
      </c>
      <c r="D268">
        <v>5.67</v>
      </c>
      <c r="E268" t="s">
        <v>2346</v>
      </c>
      <c r="F268" t="s">
        <v>2344</v>
      </c>
      <c r="G268" t="s">
        <v>2344</v>
      </c>
      <c r="H268">
        <v>0</v>
      </c>
      <c r="I268" t="s">
        <v>2346</v>
      </c>
      <c r="J268" t="str">
        <f t="shared" si="16"/>
        <v>Obesity</v>
      </c>
      <c r="K268" t="str">
        <f t="shared" si="17"/>
        <v>Normal</v>
      </c>
      <c r="L268">
        <v>1</v>
      </c>
      <c r="M268" t="s">
        <v>2367</v>
      </c>
      <c r="N268">
        <v>1990</v>
      </c>
      <c r="O268" s="8">
        <f t="shared" si="18"/>
        <v>33147</v>
      </c>
      <c r="P268" s="10">
        <v>2540.39</v>
      </c>
      <c r="Q268" t="s">
        <v>2357</v>
      </c>
      <c r="R268" t="s">
        <v>2357</v>
      </c>
      <c r="S268" t="s">
        <v>2359</v>
      </c>
      <c r="T268">
        <f t="shared" ca="1" si="19"/>
        <v>36</v>
      </c>
      <c r="U268">
        <f>VLOOKUP($A268,'Medical Examination'!$A:$Z,2,FALSE)</f>
        <v>33.14</v>
      </c>
    </row>
    <row r="269" spans="1:21" ht="15.5" x14ac:dyDescent="0.35">
      <c r="A269" s="2" t="s">
        <v>269</v>
      </c>
      <c r="B269" s="2" t="s">
        <v>2775</v>
      </c>
      <c r="C269">
        <v>25.14</v>
      </c>
      <c r="D269">
        <v>6.02</v>
      </c>
      <c r="E269" t="s">
        <v>2346</v>
      </c>
      <c r="F269" t="s">
        <v>2344</v>
      </c>
      <c r="G269" t="s">
        <v>2346</v>
      </c>
      <c r="H269">
        <v>1</v>
      </c>
      <c r="I269" t="s">
        <v>2346</v>
      </c>
      <c r="J269" t="str">
        <f t="shared" si="16"/>
        <v>Over weight</v>
      </c>
      <c r="K269" t="str">
        <f t="shared" si="17"/>
        <v>Prediabetes</v>
      </c>
      <c r="L269">
        <v>17</v>
      </c>
      <c r="M269" t="s">
        <v>2360</v>
      </c>
      <c r="N269">
        <v>1991</v>
      </c>
      <c r="O269" s="8">
        <f t="shared" si="18"/>
        <v>33559</v>
      </c>
      <c r="P269" s="10">
        <v>2545.6799999999998</v>
      </c>
      <c r="Q269" t="s">
        <v>2357</v>
      </c>
      <c r="R269" t="s">
        <v>2361</v>
      </c>
      <c r="S269" t="s">
        <v>2359</v>
      </c>
      <c r="T269">
        <f t="shared" ca="1" si="19"/>
        <v>35</v>
      </c>
      <c r="U269">
        <f>VLOOKUP($A269,'Medical Examination'!$A:$Z,2,FALSE)</f>
        <v>25.14</v>
      </c>
    </row>
    <row r="270" spans="1:21" ht="15.5" x14ac:dyDescent="0.35">
      <c r="A270" s="2" t="s">
        <v>270</v>
      </c>
      <c r="B270" s="2" t="s">
        <v>2904</v>
      </c>
      <c r="C270">
        <v>20.18</v>
      </c>
      <c r="D270">
        <v>11.19</v>
      </c>
      <c r="E270" t="s">
        <v>2344</v>
      </c>
      <c r="F270" t="s">
        <v>2344</v>
      </c>
      <c r="G270" t="s">
        <v>2344</v>
      </c>
      <c r="H270">
        <v>0</v>
      </c>
      <c r="I270" t="s">
        <v>2346</v>
      </c>
      <c r="J270" t="str">
        <f t="shared" si="16"/>
        <v>Normal Weight</v>
      </c>
      <c r="K270" t="str">
        <f t="shared" si="17"/>
        <v>Diabetes</v>
      </c>
      <c r="L270">
        <v>11</v>
      </c>
      <c r="M270" t="s">
        <v>2367</v>
      </c>
      <c r="N270">
        <v>2002</v>
      </c>
      <c r="O270" s="8">
        <f t="shared" si="18"/>
        <v>37540</v>
      </c>
      <c r="P270" s="10">
        <v>2566.4699999999998</v>
      </c>
      <c r="Q270" t="s">
        <v>2357</v>
      </c>
      <c r="R270" t="s">
        <v>2358</v>
      </c>
      <c r="S270" t="s">
        <v>2359</v>
      </c>
      <c r="T270">
        <f t="shared" ca="1" si="19"/>
        <v>24</v>
      </c>
      <c r="U270">
        <f>VLOOKUP($A270,'Medical Examination'!$A:$Z,2,FALSE)</f>
        <v>20.18</v>
      </c>
    </row>
    <row r="271" spans="1:21" ht="15.5" x14ac:dyDescent="0.35">
      <c r="A271" s="2" t="s">
        <v>271</v>
      </c>
      <c r="B271" s="2" t="s">
        <v>2905</v>
      </c>
      <c r="C271">
        <v>44.36</v>
      </c>
      <c r="D271">
        <v>5.1100000000000003</v>
      </c>
      <c r="E271" t="s">
        <v>2344</v>
      </c>
      <c r="F271" t="s">
        <v>2344</v>
      </c>
      <c r="G271" t="s">
        <v>2344</v>
      </c>
      <c r="H271">
        <v>0</v>
      </c>
      <c r="I271" t="s">
        <v>2346</v>
      </c>
      <c r="J271" t="str">
        <f t="shared" si="16"/>
        <v>Obesity</v>
      </c>
      <c r="K271" t="str">
        <f t="shared" si="17"/>
        <v>Normal</v>
      </c>
      <c r="L271">
        <v>20</v>
      </c>
      <c r="M271" t="s">
        <v>2356</v>
      </c>
      <c r="N271">
        <v>2002</v>
      </c>
      <c r="O271" s="8">
        <f t="shared" si="18"/>
        <v>37457</v>
      </c>
      <c r="P271" s="10">
        <v>2585.04</v>
      </c>
      <c r="Q271" t="s">
        <v>2357</v>
      </c>
      <c r="R271" t="s">
        <v>2357</v>
      </c>
      <c r="S271" t="s">
        <v>2377</v>
      </c>
      <c r="T271">
        <f t="shared" ca="1" si="19"/>
        <v>24</v>
      </c>
      <c r="U271">
        <f>VLOOKUP($A271,'Medical Examination'!$A:$Z,2,FALSE)</f>
        <v>44.36</v>
      </c>
    </row>
    <row r="272" spans="1:21" ht="15.5" x14ac:dyDescent="0.35">
      <c r="A272" s="2" t="s">
        <v>272</v>
      </c>
      <c r="B272" s="2" t="s">
        <v>2907</v>
      </c>
      <c r="C272">
        <v>23.82</v>
      </c>
      <c r="D272">
        <v>10.85</v>
      </c>
      <c r="E272" t="s">
        <v>2346</v>
      </c>
      <c r="F272" t="s">
        <v>2344</v>
      </c>
      <c r="G272" t="s">
        <v>2344</v>
      </c>
      <c r="H272">
        <v>0</v>
      </c>
      <c r="I272" t="s">
        <v>2346</v>
      </c>
      <c r="J272" t="str">
        <f t="shared" si="16"/>
        <v>Normal Weight</v>
      </c>
      <c r="K272" t="str">
        <f t="shared" si="17"/>
        <v>Diabetes</v>
      </c>
      <c r="L272">
        <v>15</v>
      </c>
      <c r="M272" t="s">
        <v>2367</v>
      </c>
      <c r="N272">
        <v>2001</v>
      </c>
      <c r="O272" s="8">
        <f t="shared" si="18"/>
        <v>37179</v>
      </c>
      <c r="P272" s="10">
        <v>2585.27</v>
      </c>
      <c r="Q272" t="s">
        <v>2357</v>
      </c>
      <c r="R272" t="s">
        <v>2358</v>
      </c>
      <c r="S272" t="s">
        <v>2368</v>
      </c>
      <c r="T272">
        <f t="shared" ca="1" si="19"/>
        <v>25</v>
      </c>
      <c r="U272">
        <f>VLOOKUP($A272,'Medical Examination'!$A:$Z,2,FALSE)</f>
        <v>23.82</v>
      </c>
    </row>
    <row r="273" spans="1:21" ht="15.5" x14ac:dyDescent="0.35">
      <c r="A273" s="2" t="s">
        <v>273</v>
      </c>
      <c r="B273" s="2" t="s">
        <v>2908</v>
      </c>
      <c r="C273">
        <v>45</v>
      </c>
      <c r="D273">
        <v>5.24</v>
      </c>
      <c r="E273" t="s">
        <v>2346</v>
      </c>
      <c r="F273" t="s">
        <v>2344</v>
      </c>
      <c r="G273" t="s">
        <v>2344</v>
      </c>
      <c r="H273">
        <v>1</v>
      </c>
      <c r="I273" t="s">
        <v>2346</v>
      </c>
      <c r="J273" t="str">
        <f t="shared" si="16"/>
        <v>Obesity</v>
      </c>
      <c r="K273" t="str">
        <f t="shared" si="17"/>
        <v>Normal</v>
      </c>
      <c r="L273">
        <v>28</v>
      </c>
      <c r="M273" t="s">
        <v>2356</v>
      </c>
      <c r="N273">
        <v>2001</v>
      </c>
      <c r="O273" s="8">
        <f t="shared" si="18"/>
        <v>37100</v>
      </c>
      <c r="P273" s="10">
        <v>2585.85</v>
      </c>
      <c r="Q273" t="s">
        <v>2357</v>
      </c>
      <c r="R273" t="s">
        <v>2357</v>
      </c>
      <c r="S273" t="s">
        <v>2374</v>
      </c>
      <c r="T273">
        <f t="shared" ca="1" si="19"/>
        <v>25</v>
      </c>
      <c r="U273">
        <f>VLOOKUP($A273,'Medical Examination'!$A:$Z,2,FALSE)</f>
        <v>45</v>
      </c>
    </row>
    <row r="274" spans="1:21" ht="15.5" x14ac:dyDescent="0.35">
      <c r="A274" s="2" t="s">
        <v>274</v>
      </c>
      <c r="B274" s="2" t="s">
        <v>2909</v>
      </c>
      <c r="C274">
        <v>26.62</v>
      </c>
      <c r="D274">
        <v>10.08</v>
      </c>
      <c r="E274" t="s">
        <v>2344</v>
      </c>
      <c r="F274" t="s">
        <v>2344</v>
      </c>
      <c r="G274" t="s">
        <v>2344</v>
      </c>
      <c r="H274">
        <v>0</v>
      </c>
      <c r="I274" t="s">
        <v>2346</v>
      </c>
      <c r="J274" t="str">
        <f t="shared" si="16"/>
        <v>Over weight</v>
      </c>
      <c r="K274" t="str">
        <f t="shared" si="17"/>
        <v>Diabetes</v>
      </c>
      <c r="L274">
        <v>26</v>
      </c>
      <c r="M274" t="s">
        <v>2366</v>
      </c>
      <c r="N274">
        <v>2001</v>
      </c>
      <c r="O274" s="8">
        <f t="shared" si="18"/>
        <v>37129</v>
      </c>
      <c r="P274" s="10">
        <v>2597.7800000000002</v>
      </c>
      <c r="Q274" t="s">
        <v>2357</v>
      </c>
      <c r="R274" t="s">
        <v>2361</v>
      </c>
      <c r="S274" t="s">
        <v>2368</v>
      </c>
      <c r="T274">
        <f t="shared" ca="1" si="19"/>
        <v>25</v>
      </c>
      <c r="U274">
        <f>VLOOKUP($A274,'Medical Examination'!$A:$Z,2,FALSE)</f>
        <v>26.62</v>
      </c>
    </row>
    <row r="275" spans="1:21" ht="15.5" x14ac:dyDescent="0.35">
      <c r="A275" s="2" t="s">
        <v>275</v>
      </c>
      <c r="B275" s="2" t="s">
        <v>2910</v>
      </c>
      <c r="C275">
        <v>32.67</v>
      </c>
      <c r="D275">
        <v>10.97</v>
      </c>
      <c r="E275" t="s">
        <v>2346</v>
      </c>
      <c r="F275" t="s">
        <v>2344</v>
      </c>
      <c r="G275" t="s">
        <v>2344</v>
      </c>
      <c r="H275">
        <v>0</v>
      </c>
      <c r="I275" t="s">
        <v>2346</v>
      </c>
      <c r="J275" t="str">
        <f t="shared" si="16"/>
        <v>Obesity</v>
      </c>
      <c r="K275" t="str">
        <f t="shared" si="17"/>
        <v>Diabetes</v>
      </c>
      <c r="L275">
        <v>26</v>
      </c>
      <c r="M275" t="s">
        <v>2366</v>
      </c>
      <c r="N275">
        <v>1997</v>
      </c>
      <c r="O275" s="8">
        <f t="shared" si="18"/>
        <v>35668</v>
      </c>
      <c r="P275" s="10">
        <v>2632.99</v>
      </c>
      <c r="Q275" t="s">
        <v>2357</v>
      </c>
      <c r="R275" t="s">
        <v>2361</v>
      </c>
      <c r="S275" t="s">
        <v>2368</v>
      </c>
      <c r="T275">
        <f t="shared" ca="1" si="19"/>
        <v>29</v>
      </c>
      <c r="U275">
        <f>VLOOKUP($A275,'Medical Examination'!$A:$Z,2,FALSE)</f>
        <v>32.67</v>
      </c>
    </row>
    <row r="276" spans="1:21" ht="15.5" x14ac:dyDescent="0.35">
      <c r="A276" s="2" t="s">
        <v>276</v>
      </c>
      <c r="B276" s="2" t="s">
        <v>2911</v>
      </c>
      <c r="C276">
        <v>44.44</v>
      </c>
      <c r="D276">
        <v>4.9000000000000004</v>
      </c>
      <c r="E276" t="s">
        <v>2346</v>
      </c>
      <c r="F276" t="s">
        <v>2344</v>
      </c>
      <c r="G276" t="s">
        <v>2344</v>
      </c>
      <c r="H276">
        <v>1</v>
      </c>
      <c r="I276" t="s">
        <v>2346</v>
      </c>
      <c r="J276" t="str">
        <f t="shared" si="16"/>
        <v>Obesity</v>
      </c>
      <c r="K276" t="str">
        <f t="shared" si="17"/>
        <v>Normal</v>
      </c>
      <c r="L276">
        <v>24</v>
      </c>
      <c r="M276" t="s">
        <v>2362</v>
      </c>
      <c r="N276">
        <v>2000</v>
      </c>
      <c r="O276" s="8">
        <f t="shared" si="18"/>
        <v>36701</v>
      </c>
      <c r="P276" s="10">
        <v>2639.04</v>
      </c>
      <c r="Q276" t="s">
        <v>2357</v>
      </c>
      <c r="R276" t="s">
        <v>2357</v>
      </c>
      <c r="S276" t="s">
        <v>2364</v>
      </c>
      <c r="T276">
        <f t="shared" ca="1" si="19"/>
        <v>26</v>
      </c>
      <c r="U276">
        <f>VLOOKUP($A276,'Medical Examination'!$A:$Z,2,FALSE)</f>
        <v>44.44</v>
      </c>
    </row>
    <row r="277" spans="1:21" ht="15.5" x14ac:dyDescent="0.35">
      <c r="A277" s="2" t="s">
        <v>277</v>
      </c>
      <c r="B277" s="2" t="s">
        <v>2913</v>
      </c>
      <c r="C277">
        <v>28.31</v>
      </c>
      <c r="D277">
        <v>5.33</v>
      </c>
      <c r="E277" t="s">
        <v>2344</v>
      </c>
      <c r="F277" t="s">
        <v>2344</v>
      </c>
      <c r="G277" t="s">
        <v>2344</v>
      </c>
      <c r="H277">
        <v>0</v>
      </c>
      <c r="I277" t="s">
        <v>2346</v>
      </c>
      <c r="J277" t="str">
        <f t="shared" si="16"/>
        <v>Over weight</v>
      </c>
      <c r="K277" t="str">
        <f t="shared" si="17"/>
        <v>Normal</v>
      </c>
      <c r="L277">
        <v>9</v>
      </c>
      <c r="M277" t="s">
        <v>2365</v>
      </c>
      <c r="N277">
        <v>2000</v>
      </c>
      <c r="O277" s="8">
        <f t="shared" si="18"/>
        <v>36869</v>
      </c>
      <c r="P277" s="10">
        <v>2643.27</v>
      </c>
      <c r="Q277" t="s">
        <v>2357</v>
      </c>
      <c r="R277" t="s">
        <v>2361</v>
      </c>
      <c r="S277" t="s">
        <v>2364</v>
      </c>
      <c r="T277">
        <f t="shared" ca="1" si="19"/>
        <v>26</v>
      </c>
      <c r="U277">
        <f>VLOOKUP($A277,'Medical Examination'!$A:$Z,2,FALSE)</f>
        <v>28.31</v>
      </c>
    </row>
    <row r="278" spans="1:21" ht="15.5" x14ac:dyDescent="0.35">
      <c r="A278" s="2" t="s">
        <v>278</v>
      </c>
      <c r="B278" s="2" t="s">
        <v>2914</v>
      </c>
      <c r="C278">
        <v>25.05</v>
      </c>
      <c r="D278">
        <v>4.6100000000000003</v>
      </c>
      <c r="E278" t="s">
        <v>2344</v>
      </c>
      <c r="F278" t="s">
        <v>2344</v>
      </c>
      <c r="G278" t="s">
        <v>2344</v>
      </c>
      <c r="H278">
        <v>1</v>
      </c>
      <c r="I278" t="s">
        <v>2346</v>
      </c>
      <c r="J278" t="str">
        <f t="shared" si="16"/>
        <v>Over weight</v>
      </c>
      <c r="K278" t="str">
        <f t="shared" si="17"/>
        <v>Normal</v>
      </c>
      <c r="L278">
        <v>5</v>
      </c>
      <c r="M278" t="s">
        <v>2366</v>
      </c>
      <c r="N278">
        <v>1996</v>
      </c>
      <c r="O278" s="8">
        <f t="shared" si="18"/>
        <v>35282</v>
      </c>
      <c r="P278" s="10">
        <v>2680.95</v>
      </c>
      <c r="Q278" t="s">
        <v>2358</v>
      </c>
      <c r="R278" t="s">
        <v>2357</v>
      </c>
      <c r="S278" t="s">
        <v>2364</v>
      </c>
      <c r="T278">
        <f t="shared" ca="1" si="19"/>
        <v>30</v>
      </c>
      <c r="U278">
        <f>VLOOKUP($A278,'Medical Examination'!$A:$Z,2,FALSE)</f>
        <v>25.05</v>
      </c>
    </row>
    <row r="279" spans="1:21" ht="15.5" x14ac:dyDescent="0.35">
      <c r="A279" s="2" t="s">
        <v>279</v>
      </c>
      <c r="B279" s="2" t="s">
        <v>2916</v>
      </c>
      <c r="C279">
        <v>28.34</v>
      </c>
      <c r="D279">
        <v>8.18</v>
      </c>
      <c r="E279" t="s">
        <v>2344</v>
      </c>
      <c r="F279" t="s">
        <v>2344</v>
      </c>
      <c r="G279" t="s">
        <v>2344</v>
      </c>
      <c r="H279">
        <v>0</v>
      </c>
      <c r="I279" t="s">
        <v>2346</v>
      </c>
      <c r="J279" t="str">
        <f t="shared" si="16"/>
        <v>Over weight</v>
      </c>
      <c r="K279" t="str">
        <f t="shared" si="17"/>
        <v>Diabetes</v>
      </c>
      <c r="L279">
        <v>17</v>
      </c>
      <c r="M279" t="s">
        <v>2363</v>
      </c>
      <c r="N279">
        <v>1994</v>
      </c>
      <c r="O279" s="8">
        <f t="shared" si="18"/>
        <v>34594</v>
      </c>
      <c r="P279" s="10">
        <v>2684.69</v>
      </c>
      <c r="Q279" t="s">
        <v>2357</v>
      </c>
      <c r="R279" t="s">
        <v>2357</v>
      </c>
      <c r="S279" t="s">
        <v>2359</v>
      </c>
      <c r="T279">
        <f t="shared" ca="1" si="19"/>
        <v>32</v>
      </c>
      <c r="U279">
        <f>VLOOKUP($A279,'Medical Examination'!$A:$Z,2,FALSE)</f>
        <v>28.34</v>
      </c>
    </row>
    <row r="280" spans="1:21" ht="15.5" x14ac:dyDescent="0.35">
      <c r="A280" s="2" t="s">
        <v>280</v>
      </c>
      <c r="B280" s="2" t="s">
        <v>2759</v>
      </c>
      <c r="C280">
        <v>17.765000000000001</v>
      </c>
      <c r="D280">
        <v>5.62</v>
      </c>
      <c r="E280" t="s">
        <v>2344</v>
      </c>
      <c r="F280" t="s">
        <v>2344</v>
      </c>
      <c r="G280" t="s">
        <v>2344</v>
      </c>
      <c r="H280">
        <v>0</v>
      </c>
      <c r="I280" t="s">
        <v>2346</v>
      </c>
      <c r="J280" t="str">
        <f t="shared" si="16"/>
        <v>Under Weight</v>
      </c>
      <c r="K280" t="str">
        <f t="shared" si="17"/>
        <v>Normal</v>
      </c>
      <c r="L280">
        <v>2</v>
      </c>
      <c r="M280" t="s">
        <v>2367</v>
      </c>
      <c r="N280">
        <v>1994</v>
      </c>
      <c r="O280" s="8">
        <f t="shared" si="18"/>
        <v>34609</v>
      </c>
      <c r="P280" s="10">
        <v>2689.5</v>
      </c>
      <c r="Q280" t="s">
        <v>2358</v>
      </c>
      <c r="R280" t="s">
        <v>2357</v>
      </c>
      <c r="S280" t="s">
        <v>2359</v>
      </c>
      <c r="T280">
        <f t="shared" ca="1" si="19"/>
        <v>32</v>
      </c>
      <c r="U280">
        <f>VLOOKUP($A280,'Medical Examination'!$A:$Z,2,FALSE)</f>
        <v>17.765000000000001</v>
      </c>
    </row>
    <row r="281" spans="1:21" ht="15.5" x14ac:dyDescent="0.35">
      <c r="A281" s="2" t="s">
        <v>281</v>
      </c>
      <c r="B281" s="2" t="s">
        <v>2918</v>
      </c>
      <c r="C281">
        <v>36.119999999999997</v>
      </c>
      <c r="D281">
        <v>5.82</v>
      </c>
      <c r="E281" t="s">
        <v>2344</v>
      </c>
      <c r="F281" t="s">
        <v>2344</v>
      </c>
      <c r="G281" t="s">
        <v>2344</v>
      </c>
      <c r="H281">
        <v>0</v>
      </c>
      <c r="I281" t="s">
        <v>2346</v>
      </c>
      <c r="J281" t="str">
        <f t="shared" si="16"/>
        <v>Obesity</v>
      </c>
      <c r="K281" t="str">
        <f t="shared" si="17"/>
        <v>Prediabetes</v>
      </c>
      <c r="L281">
        <v>11</v>
      </c>
      <c r="M281" t="s">
        <v>2362</v>
      </c>
      <c r="N281">
        <v>1999</v>
      </c>
      <c r="O281" s="8">
        <f t="shared" si="18"/>
        <v>36322</v>
      </c>
      <c r="P281" s="10">
        <v>2690.11</v>
      </c>
      <c r="Q281" t="s">
        <v>2357</v>
      </c>
      <c r="R281" t="s">
        <v>2357</v>
      </c>
      <c r="S281" t="s">
        <v>2364</v>
      </c>
      <c r="T281">
        <f t="shared" ca="1" si="19"/>
        <v>27</v>
      </c>
      <c r="U281">
        <f>VLOOKUP($A281,'Medical Examination'!$A:$Z,2,FALSE)</f>
        <v>36.119999999999997</v>
      </c>
    </row>
    <row r="282" spans="1:21" ht="15.5" x14ac:dyDescent="0.35">
      <c r="A282" s="2" t="s">
        <v>282</v>
      </c>
      <c r="B282" s="2" t="s">
        <v>2919</v>
      </c>
      <c r="C282">
        <v>23.19</v>
      </c>
      <c r="D282">
        <v>7.66</v>
      </c>
      <c r="E282" t="s">
        <v>2344</v>
      </c>
      <c r="F282" t="s">
        <v>2344</v>
      </c>
      <c r="G282" t="s">
        <v>2344</v>
      </c>
      <c r="H282">
        <v>0</v>
      </c>
      <c r="I282" t="s">
        <v>2346</v>
      </c>
      <c r="J282" t="str">
        <f t="shared" si="16"/>
        <v>Normal Weight</v>
      </c>
      <c r="K282" t="str">
        <f t="shared" si="17"/>
        <v>Diabetes</v>
      </c>
      <c r="L282">
        <v>13</v>
      </c>
      <c r="M282" t="s">
        <v>2362</v>
      </c>
      <c r="N282">
        <v>1996</v>
      </c>
      <c r="O282" s="8">
        <f t="shared" si="18"/>
        <v>35229</v>
      </c>
      <c r="P282" s="10">
        <v>2699.57</v>
      </c>
      <c r="Q282" t="s">
        <v>2357</v>
      </c>
      <c r="R282" t="s">
        <v>2361</v>
      </c>
      <c r="S282" t="s">
        <v>2364</v>
      </c>
      <c r="T282">
        <f t="shared" ca="1" si="19"/>
        <v>30</v>
      </c>
      <c r="U282">
        <f>VLOOKUP($A282,'Medical Examination'!$A:$Z,2,FALSE)</f>
        <v>23.19</v>
      </c>
    </row>
    <row r="283" spans="1:21" ht="15.5" x14ac:dyDescent="0.35">
      <c r="A283" s="2" t="s">
        <v>283</v>
      </c>
      <c r="B283" s="2" t="s">
        <v>2597</v>
      </c>
      <c r="C283">
        <v>35.99</v>
      </c>
      <c r="D283">
        <v>4.2300000000000004</v>
      </c>
      <c r="E283" t="s">
        <v>2344</v>
      </c>
      <c r="F283" t="s">
        <v>2344</v>
      </c>
      <c r="G283" t="s">
        <v>2344</v>
      </c>
      <c r="H283">
        <v>0</v>
      </c>
      <c r="I283" t="s">
        <v>2346</v>
      </c>
      <c r="J283" t="str">
        <f t="shared" si="16"/>
        <v>Obesity</v>
      </c>
      <c r="K283" t="str">
        <f t="shared" si="17"/>
        <v>Normal</v>
      </c>
      <c r="L283">
        <v>17</v>
      </c>
      <c r="M283" t="s">
        <v>2356</v>
      </c>
      <c r="N283">
        <v>2003</v>
      </c>
      <c r="O283" s="8">
        <f t="shared" si="18"/>
        <v>37819</v>
      </c>
      <c r="P283" s="10">
        <v>2709.11</v>
      </c>
      <c r="Q283" t="s">
        <v>2357</v>
      </c>
      <c r="R283" t="s">
        <v>2357</v>
      </c>
      <c r="S283" t="s">
        <v>2364</v>
      </c>
      <c r="T283">
        <f t="shared" ca="1" si="19"/>
        <v>23</v>
      </c>
      <c r="U283">
        <f>VLOOKUP($A283,'Medical Examination'!$A:$Z,2,FALSE)</f>
        <v>35.99</v>
      </c>
    </row>
    <row r="284" spans="1:21" ht="15.5" x14ac:dyDescent="0.35">
      <c r="A284" s="2" t="s">
        <v>284</v>
      </c>
      <c r="B284" s="2" t="s">
        <v>2921</v>
      </c>
      <c r="C284">
        <v>30.25</v>
      </c>
      <c r="D284">
        <v>5.58</v>
      </c>
      <c r="E284" t="s">
        <v>2344</v>
      </c>
      <c r="F284" t="s">
        <v>2344</v>
      </c>
      <c r="G284" t="s">
        <v>2346</v>
      </c>
      <c r="H284">
        <v>1</v>
      </c>
      <c r="I284" t="s">
        <v>2346</v>
      </c>
      <c r="J284" t="str">
        <f t="shared" si="16"/>
        <v>Obesity</v>
      </c>
      <c r="K284" t="str">
        <f t="shared" si="17"/>
        <v>Normal</v>
      </c>
      <c r="L284">
        <v>21</v>
      </c>
      <c r="M284" t="s">
        <v>2360</v>
      </c>
      <c r="N284">
        <v>2003</v>
      </c>
      <c r="O284" s="8">
        <f t="shared" si="18"/>
        <v>37946</v>
      </c>
      <c r="P284" s="10">
        <v>2709.24</v>
      </c>
      <c r="Q284" t="s">
        <v>2357</v>
      </c>
      <c r="R284" t="s">
        <v>2357</v>
      </c>
      <c r="S284" t="s">
        <v>2364</v>
      </c>
      <c r="T284">
        <f t="shared" ca="1" si="19"/>
        <v>23</v>
      </c>
      <c r="U284">
        <f>VLOOKUP($A284,'Medical Examination'!$A:$Z,2,FALSE)</f>
        <v>30.25</v>
      </c>
    </row>
    <row r="285" spans="1:21" ht="15.5" x14ac:dyDescent="0.35">
      <c r="A285" s="2" t="s">
        <v>285</v>
      </c>
      <c r="B285" s="2" t="s">
        <v>2923</v>
      </c>
      <c r="C285">
        <v>26.24</v>
      </c>
      <c r="D285">
        <v>6.26</v>
      </c>
      <c r="E285" t="s">
        <v>2346</v>
      </c>
      <c r="F285" t="s">
        <v>2344</v>
      </c>
      <c r="G285" t="s">
        <v>2344</v>
      </c>
      <c r="H285">
        <v>0</v>
      </c>
      <c r="I285" t="s">
        <v>2346</v>
      </c>
      <c r="J285" t="str">
        <f t="shared" si="16"/>
        <v>Over weight</v>
      </c>
      <c r="K285" t="str">
        <f t="shared" si="17"/>
        <v>Prediabetes</v>
      </c>
      <c r="L285">
        <v>1</v>
      </c>
      <c r="M285" t="s">
        <v>2365</v>
      </c>
      <c r="N285">
        <v>2003</v>
      </c>
      <c r="O285" s="8">
        <f t="shared" si="18"/>
        <v>37956</v>
      </c>
      <c r="P285" s="10">
        <v>2710.83</v>
      </c>
      <c r="Q285" t="s">
        <v>2357</v>
      </c>
      <c r="R285" t="s">
        <v>2358</v>
      </c>
      <c r="S285" t="s">
        <v>2364</v>
      </c>
      <c r="T285">
        <f t="shared" ca="1" si="19"/>
        <v>23</v>
      </c>
      <c r="U285">
        <f>VLOOKUP($A285,'Medical Examination'!$A:$Z,2,FALSE)</f>
        <v>26.24</v>
      </c>
    </row>
    <row r="286" spans="1:21" ht="15.5" x14ac:dyDescent="0.35">
      <c r="A286" s="2" t="s">
        <v>286</v>
      </c>
      <c r="B286" s="2" t="s">
        <v>2924</v>
      </c>
      <c r="C286">
        <v>31.36</v>
      </c>
      <c r="D286">
        <v>10.6</v>
      </c>
      <c r="E286" t="s">
        <v>2346</v>
      </c>
      <c r="F286" t="s">
        <v>2344</v>
      </c>
      <c r="G286" t="s">
        <v>2344</v>
      </c>
      <c r="H286">
        <v>0</v>
      </c>
      <c r="I286" t="s">
        <v>2346</v>
      </c>
      <c r="J286" t="str">
        <f t="shared" si="16"/>
        <v>Obesity</v>
      </c>
      <c r="K286" t="str">
        <f t="shared" si="17"/>
        <v>Diabetes</v>
      </c>
      <c r="L286">
        <v>6</v>
      </c>
      <c r="M286" t="s">
        <v>2366</v>
      </c>
      <c r="N286">
        <v>2003</v>
      </c>
      <c r="O286" s="8">
        <f t="shared" si="18"/>
        <v>37839</v>
      </c>
      <c r="P286" s="10">
        <v>2719.28</v>
      </c>
      <c r="Q286" t="s">
        <v>2357</v>
      </c>
      <c r="R286" t="s">
        <v>2357</v>
      </c>
      <c r="S286" t="s">
        <v>2364</v>
      </c>
      <c r="T286">
        <f t="shared" ca="1" si="19"/>
        <v>23</v>
      </c>
      <c r="U286">
        <f>VLOOKUP($A286,'Medical Examination'!$A:$Z,2,FALSE)</f>
        <v>31.36</v>
      </c>
    </row>
    <row r="287" spans="1:21" ht="15.5" x14ac:dyDescent="0.35">
      <c r="A287" s="2" t="s">
        <v>287</v>
      </c>
      <c r="B287" s="2" t="s">
        <v>2926</v>
      </c>
      <c r="C287">
        <v>25.69</v>
      </c>
      <c r="D287">
        <v>4.78</v>
      </c>
      <c r="E287" t="s">
        <v>2346</v>
      </c>
      <c r="F287" t="s">
        <v>2344</v>
      </c>
      <c r="G287" t="s">
        <v>2344</v>
      </c>
      <c r="H287">
        <v>0</v>
      </c>
      <c r="I287" t="s">
        <v>2346</v>
      </c>
      <c r="J287" t="str">
        <f t="shared" si="16"/>
        <v>Over weight</v>
      </c>
      <c r="K287" t="str">
        <f t="shared" si="17"/>
        <v>Normal</v>
      </c>
      <c r="L287">
        <v>30</v>
      </c>
      <c r="M287" t="s">
        <v>2367</v>
      </c>
      <c r="N287">
        <v>1997</v>
      </c>
      <c r="O287" s="8">
        <f t="shared" si="18"/>
        <v>35733</v>
      </c>
      <c r="P287" s="10">
        <v>2721.32</v>
      </c>
      <c r="Q287" t="s">
        <v>2361</v>
      </c>
      <c r="R287" t="s">
        <v>2358</v>
      </c>
      <c r="S287" t="s">
        <v>2376</v>
      </c>
      <c r="T287">
        <f t="shared" ca="1" si="19"/>
        <v>29</v>
      </c>
      <c r="U287">
        <f>VLOOKUP($A287,'Medical Examination'!$A:$Z,2,FALSE)</f>
        <v>25.69</v>
      </c>
    </row>
    <row r="288" spans="1:21" ht="15.5" x14ac:dyDescent="0.35">
      <c r="A288" s="2" t="s">
        <v>288</v>
      </c>
      <c r="B288" s="2" t="s">
        <v>2927</v>
      </c>
      <c r="C288">
        <v>25.46</v>
      </c>
      <c r="D288">
        <v>6.03</v>
      </c>
      <c r="E288" t="s">
        <v>2344</v>
      </c>
      <c r="F288" t="s">
        <v>2344</v>
      </c>
      <c r="G288" t="s">
        <v>2344</v>
      </c>
      <c r="H288">
        <v>1</v>
      </c>
      <c r="I288" t="s">
        <v>2346</v>
      </c>
      <c r="J288" t="str">
        <f t="shared" si="16"/>
        <v>Over weight</v>
      </c>
      <c r="K288" t="str">
        <f t="shared" si="17"/>
        <v>Prediabetes</v>
      </c>
      <c r="L288">
        <v>20</v>
      </c>
      <c r="M288" t="s">
        <v>2366</v>
      </c>
      <c r="N288">
        <v>1988</v>
      </c>
      <c r="O288" s="8">
        <f t="shared" si="18"/>
        <v>32375</v>
      </c>
      <c r="P288" s="10">
        <v>2726.06</v>
      </c>
      <c r="Q288" t="s">
        <v>2357</v>
      </c>
      <c r="R288" t="s">
        <v>2357</v>
      </c>
      <c r="S288" t="s">
        <v>2359</v>
      </c>
      <c r="T288">
        <f t="shared" ca="1" si="19"/>
        <v>38</v>
      </c>
      <c r="U288">
        <f>VLOOKUP($A288,'Medical Examination'!$A:$Z,2,FALSE)</f>
        <v>25.46</v>
      </c>
    </row>
    <row r="289" spans="1:21" ht="15.5" x14ac:dyDescent="0.35">
      <c r="A289" s="2" t="s">
        <v>289</v>
      </c>
      <c r="B289" s="2" t="s">
        <v>2929</v>
      </c>
      <c r="C289">
        <v>31.83</v>
      </c>
      <c r="D289">
        <v>11.55</v>
      </c>
      <c r="E289" t="s">
        <v>2346</v>
      </c>
      <c r="F289" t="s">
        <v>2344</v>
      </c>
      <c r="G289" t="s">
        <v>2344</v>
      </c>
      <c r="H289">
        <v>1</v>
      </c>
      <c r="I289" t="s">
        <v>2346</v>
      </c>
      <c r="J289" t="str">
        <f t="shared" si="16"/>
        <v>Obesity</v>
      </c>
      <c r="K289" t="str">
        <f t="shared" si="17"/>
        <v>Diabetes</v>
      </c>
      <c r="L289">
        <v>6</v>
      </c>
      <c r="M289" t="s">
        <v>2367</v>
      </c>
      <c r="N289">
        <v>1997</v>
      </c>
      <c r="O289" s="8">
        <f t="shared" si="18"/>
        <v>35709</v>
      </c>
      <c r="P289" s="10">
        <v>2727.4</v>
      </c>
      <c r="Q289" t="s">
        <v>2358</v>
      </c>
      <c r="R289" t="s">
        <v>2358</v>
      </c>
      <c r="S289" t="s">
        <v>2371</v>
      </c>
      <c r="T289">
        <f t="shared" ca="1" si="19"/>
        <v>29</v>
      </c>
      <c r="U289">
        <f>VLOOKUP($A289,'Medical Examination'!$A:$Z,2,FALSE)</f>
        <v>31.83</v>
      </c>
    </row>
    <row r="290" spans="1:21" ht="15.5" x14ac:dyDescent="0.35">
      <c r="A290" s="2" t="s">
        <v>290</v>
      </c>
      <c r="B290" s="2" t="s">
        <v>2930</v>
      </c>
      <c r="C290">
        <v>24.43</v>
      </c>
      <c r="D290">
        <v>7.59</v>
      </c>
      <c r="E290" t="s">
        <v>2346</v>
      </c>
      <c r="F290" t="s">
        <v>2344</v>
      </c>
      <c r="G290" t="s">
        <v>2344</v>
      </c>
      <c r="H290">
        <v>1</v>
      </c>
      <c r="I290" t="s">
        <v>2346</v>
      </c>
      <c r="J290" t="str">
        <f t="shared" si="16"/>
        <v>Normal Weight</v>
      </c>
      <c r="K290" t="str">
        <f t="shared" si="17"/>
        <v>Diabetes</v>
      </c>
      <c r="L290">
        <v>3</v>
      </c>
      <c r="M290" t="s">
        <v>2365</v>
      </c>
      <c r="N290">
        <v>2003</v>
      </c>
      <c r="O290" s="8">
        <f t="shared" si="18"/>
        <v>37958</v>
      </c>
      <c r="P290" s="10">
        <v>2730.11</v>
      </c>
      <c r="Q290" t="s">
        <v>2357</v>
      </c>
      <c r="R290" t="s">
        <v>2358</v>
      </c>
      <c r="S290" t="s">
        <v>2364</v>
      </c>
      <c r="T290">
        <f t="shared" ca="1" si="19"/>
        <v>23</v>
      </c>
      <c r="U290">
        <f>VLOOKUP($A290,'Medical Examination'!$A:$Z,2,FALSE)</f>
        <v>24.43</v>
      </c>
    </row>
    <row r="291" spans="1:21" ht="15.5" x14ac:dyDescent="0.35">
      <c r="A291" s="2" t="s">
        <v>291</v>
      </c>
      <c r="B291" s="2" t="s">
        <v>2932</v>
      </c>
      <c r="C291">
        <v>41.9</v>
      </c>
      <c r="D291">
        <v>4.26</v>
      </c>
      <c r="E291" t="s">
        <v>2344</v>
      </c>
      <c r="F291" t="s">
        <v>2344</v>
      </c>
      <c r="G291" t="s">
        <v>2344</v>
      </c>
      <c r="H291">
        <v>0</v>
      </c>
      <c r="I291" t="s">
        <v>2346</v>
      </c>
      <c r="J291" t="str">
        <f t="shared" si="16"/>
        <v>Obesity</v>
      </c>
      <c r="K291" t="str">
        <f t="shared" si="17"/>
        <v>Normal</v>
      </c>
      <c r="L291">
        <v>17</v>
      </c>
      <c r="M291" t="s">
        <v>2365</v>
      </c>
      <c r="N291">
        <v>2000</v>
      </c>
      <c r="O291" s="8">
        <f t="shared" si="18"/>
        <v>36877</v>
      </c>
      <c r="P291" s="10">
        <v>2731.91</v>
      </c>
      <c r="Q291" t="s">
        <v>2357</v>
      </c>
      <c r="R291" t="s">
        <v>2358</v>
      </c>
      <c r="S291" t="s">
        <v>2374</v>
      </c>
      <c r="T291">
        <f t="shared" ca="1" si="19"/>
        <v>26</v>
      </c>
      <c r="U291">
        <f>VLOOKUP($A291,'Medical Examination'!$A:$Z,2,FALSE)</f>
        <v>41.9</v>
      </c>
    </row>
    <row r="292" spans="1:21" ht="15.5" x14ac:dyDescent="0.35">
      <c r="A292" s="2" t="s">
        <v>292</v>
      </c>
      <c r="B292" s="2" t="s">
        <v>2933</v>
      </c>
      <c r="C292">
        <v>22.88</v>
      </c>
      <c r="D292">
        <v>5.9</v>
      </c>
      <c r="E292" t="s">
        <v>2346</v>
      </c>
      <c r="F292" t="s">
        <v>2344</v>
      </c>
      <c r="G292" t="s">
        <v>2346</v>
      </c>
      <c r="H292">
        <v>1</v>
      </c>
      <c r="I292" t="s">
        <v>2346</v>
      </c>
      <c r="J292" t="str">
        <f t="shared" si="16"/>
        <v>Normal Weight</v>
      </c>
      <c r="K292" t="str">
        <f t="shared" si="17"/>
        <v>Prediabetes</v>
      </c>
      <c r="L292">
        <v>3</v>
      </c>
      <c r="M292" t="s">
        <v>2367</v>
      </c>
      <c r="N292">
        <v>2000</v>
      </c>
      <c r="O292" s="8">
        <f t="shared" si="18"/>
        <v>36802</v>
      </c>
      <c r="P292" s="10">
        <v>2741.95</v>
      </c>
      <c r="Q292" t="s">
        <v>2357</v>
      </c>
      <c r="R292" t="s">
        <v>2358</v>
      </c>
      <c r="S292" t="s">
        <v>2374</v>
      </c>
      <c r="T292">
        <f t="shared" ca="1" si="19"/>
        <v>26</v>
      </c>
      <c r="U292">
        <f>VLOOKUP($A292,'Medical Examination'!$A:$Z,2,FALSE)</f>
        <v>22.88</v>
      </c>
    </row>
    <row r="293" spans="1:21" ht="15.5" x14ac:dyDescent="0.35">
      <c r="A293" s="2" t="s">
        <v>293</v>
      </c>
      <c r="B293" s="2" t="s">
        <v>2934</v>
      </c>
      <c r="C293">
        <v>29.734999999999999</v>
      </c>
      <c r="D293">
        <v>7.79</v>
      </c>
      <c r="E293" t="s">
        <v>2344</v>
      </c>
      <c r="F293" t="s">
        <v>2344</v>
      </c>
      <c r="G293" t="s">
        <v>2344</v>
      </c>
      <c r="H293">
        <v>0</v>
      </c>
      <c r="I293" t="s">
        <v>2344</v>
      </c>
      <c r="J293" t="str">
        <f t="shared" si="16"/>
        <v>Over weight</v>
      </c>
      <c r="K293" t="str">
        <f t="shared" si="17"/>
        <v>Diabetes</v>
      </c>
      <c r="L293">
        <v>11</v>
      </c>
      <c r="M293" t="s">
        <v>2367</v>
      </c>
      <c r="N293">
        <v>2000</v>
      </c>
      <c r="O293" s="8">
        <f t="shared" si="18"/>
        <v>36810</v>
      </c>
      <c r="P293" s="10">
        <v>2755.02</v>
      </c>
      <c r="Q293" t="s">
        <v>2357</v>
      </c>
      <c r="R293" t="s">
        <v>2361</v>
      </c>
      <c r="S293" t="s">
        <v>2374</v>
      </c>
      <c r="T293">
        <f t="shared" ca="1" si="19"/>
        <v>26</v>
      </c>
      <c r="U293">
        <f>VLOOKUP($A293,'Medical Examination'!$A:$Z,2,FALSE)</f>
        <v>29.734999999999999</v>
      </c>
    </row>
    <row r="294" spans="1:21" ht="15.5" x14ac:dyDescent="0.35">
      <c r="A294" s="2" t="s">
        <v>294</v>
      </c>
      <c r="B294" s="2" t="s">
        <v>2936</v>
      </c>
      <c r="C294">
        <v>40.74</v>
      </c>
      <c r="D294">
        <v>5.28</v>
      </c>
      <c r="E294" t="s">
        <v>2344</v>
      </c>
      <c r="F294" t="s">
        <v>2344</v>
      </c>
      <c r="G294" t="s">
        <v>2346</v>
      </c>
      <c r="H294">
        <v>1</v>
      </c>
      <c r="I294" t="s">
        <v>2346</v>
      </c>
      <c r="J294" t="str">
        <f t="shared" si="16"/>
        <v>Obesity</v>
      </c>
      <c r="K294" t="str">
        <f t="shared" si="17"/>
        <v>Normal</v>
      </c>
      <c r="L294">
        <v>10</v>
      </c>
      <c r="M294" t="s">
        <v>2366</v>
      </c>
      <c r="N294">
        <v>1997</v>
      </c>
      <c r="O294" s="8">
        <f t="shared" si="18"/>
        <v>35652</v>
      </c>
      <c r="P294" s="10">
        <v>2758.99</v>
      </c>
      <c r="Q294" t="s">
        <v>2357</v>
      </c>
      <c r="R294" t="s">
        <v>2361</v>
      </c>
      <c r="S294" t="s">
        <v>2364</v>
      </c>
      <c r="T294">
        <f t="shared" ca="1" si="19"/>
        <v>29</v>
      </c>
      <c r="U294">
        <f>VLOOKUP($A294,'Medical Examination'!$A:$Z,2,FALSE)</f>
        <v>40.74</v>
      </c>
    </row>
    <row r="295" spans="1:21" ht="15.5" x14ac:dyDescent="0.35">
      <c r="A295" s="2" t="s">
        <v>295</v>
      </c>
      <c r="B295" s="2" t="s">
        <v>2938</v>
      </c>
      <c r="C295">
        <v>24.14</v>
      </c>
      <c r="D295">
        <v>5.87</v>
      </c>
      <c r="E295" t="s">
        <v>2344</v>
      </c>
      <c r="F295" t="s">
        <v>2344</v>
      </c>
      <c r="G295" t="s">
        <v>2344</v>
      </c>
      <c r="H295">
        <v>1</v>
      </c>
      <c r="I295" t="s">
        <v>2346</v>
      </c>
      <c r="J295" t="str">
        <f t="shared" si="16"/>
        <v>Normal Weight</v>
      </c>
      <c r="K295" t="str">
        <f t="shared" si="17"/>
        <v>Prediabetes</v>
      </c>
      <c r="L295">
        <v>14</v>
      </c>
      <c r="M295" t="s">
        <v>2360</v>
      </c>
      <c r="N295">
        <v>2004</v>
      </c>
      <c r="O295" s="8">
        <f t="shared" si="18"/>
        <v>38305</v>
      </c>
      <c r="P295" s="10">
        <v>2773.46</v>
      </c>
      <c r="Q295" t="s">
        <v>2357</v>
      </c>
      <c r="R295" t="s">
        <v>2361</v>
      </c>
      <c r="S295" t="s">
        <v>2377</v>
      </c>
      <c r="T295">
        <f t="shared" ca="1" si="19"/>
        <v>22</v>
      </c>
      <c r="U295">
        <f>VLOOKUP($A295,'Medical Examination'!$A:$Z,2,FALSE)</f>
        <v>24.14</v>
      </c>
    </row>
    <row r="296" spans="1:21" ht="15.5" x14ac:dyDescent="0.35">
      <c r="A296" s="2" t="s">
        <v>296</v>
      </c>
      <c r="B296" s="2" t="s">
        <v>2940</v>
      </c>
      <c r="C296">
        <v>25.15</v>
      </c>
      <c r="D296">
        <v>9.08</v>
      </c>
      <c r="E296" t="s">
        <v>2346</v>
      </c>
      <c r="F296" t="s">
        <v>2344</v>
      </c>
      <c r="G296" t="s">
        <v>2344</v>
      </c>
      <c r="H296">
        <v>1</v>
      </c>
      <c r="I296" t="s">
        <v>2346</v>
      </c>
      <c r="J296" t="str">
        <f t="shared" si="16"/>
        <v>Over weight</v>
      </c>
      <c r="K296" t="str">
        <f t="shared" si="17"/>
        <v>Diabetes</v>
      </c>
      <c r="L296">
        <v>9</v>
      </c>
      <c r="M296" t="s">
        <v>2362</v>
      </c>
      <c r="N296">
        <v>1999</v>
      </c>
      <c r="O296" s="8">
        <f t="shared" si="18"/>
        <v>36320</v>
      </c>
      <c r="P296" s="10">
        <v>2775.19</v>
      </c>
      <c r="Q296" t="s">
        <v>2357</v>
      </c>
      <c r="R296" t="s">
        <v>2361</v>
      </c>
      <c r="S296" t="s">
        <v>2364</v>
      </c>
      <c r="T296">
        <f t="shared" ca="1" si="19"/>
        <v>27</v>
      </c>
      <c r="U296">
        <f>VLOOKUP($A296,'Medical Examination'!$A:$Z,2,FALSE)</f>
        <v>25.15</v>
      </c>
    </row>
    <row r="297" spans="1:21" ht="15.5" x14ac:dyDescent="0.35">
      <c r="A297" s="2" t="s">
        <v>297</v>
      </c>
      <c r="B297" s="2" t="s">
        <v>2941</v>
      </c>
      <c r="C297">
        <v>28.71</v>
      </c>
      <c r="D297">
        <v>5.2</v>
      </c>
      <c r="E297" t="s">
        <v>2344</v>
      </c>
      <c r="F297" t="s">
        <v>2344</v>
      </c>
      <c r="G297" t="s">
        <v>2344</v>
      </c>
      <c r="H297">
        <v>1</v>
      </c>
      <c r="I297" t="s">
        <v>2346</v>
      </c>
      <c r="J297" t="str">
        <f t="shared" si="16"/>
        <v>Over weight</v>
      </c>
      <c r="K297" t="str">
        <f t="shared" si="17"/>
        <v>Normal</v>
      </c>
      <c r="L297">
        <v>29</v>
      </c>
      <c r="M297" t="s">
        <v>2366</v>
      </c>
      <c r="N297">
        <v>1999</v>
      </c>
      <c r="O297" s="8">
        <f t="shared" si="18"/>
        <v>36401</v>
      </c>
      <c r="P297" s="10">
        <v>2775.19</v>
      </c>
      <c r="Q297" t="s">
        <v>2357</v>
      </c>
      <c r="R297" t="s">
        <v>2361</v>
      </c>
      <c r="S297" t="s">
        <v>2364</v>
      </c>
      <c r="T297">
        <f t="shared" ca="1" si="19"/>
        <v>27</v>
      </c>
      <c r="U297">
        <f>VLOOKUP($A297,'Medical Examination'!$A:$Z,2,FALSE)</f>
        <v>28.71</v>
      </c>
    </row>
    <row r="298" spans="1:21" ht="15.5" x14ac:dyDescent="0.35">
      <c r="A298" s="2" t="s">
        <v>298</v>
      </c>
      <c r="B298" s="2" t="s">
        <v>2943</v>
      </c>
      <c r="C298">
        <v>23</v>
      </c>
      <c r="D298">
        <v>5.48</v>
      </c>
      <c r="E298" t="s">
        <v>2344</v>
      </c>
      <c r="F298" t="s">
        <v>2344</v>
      </c>
      <c r="G298" t="s">
        <v>2344</v>
      </c>
      <c r="H298">
        <v>0</v>
      </c>
      <c r="I298" t="s">
        <v>2346</v>
      </c>
      <c r="J298" t="str">
        <f t="shared" si="16"/>
        <v>Normal Weight</v>
      </c>
      <c r="K298" t="str">
        <f t="shared" si="17"/>
        <v>Normal</v>
      </c>
      <c r="L298">
        <v>24</v>
      </c>
      <c r="M298" t="s">
        <v>2365</v>
      </c>
      <c r="N298">
        <v>1999</v>
      </c>
      <c r="O298" s="8">
        <f t="shared" si="18"/>
        <v>36518</v>
      </c>
      <c r="P298" s="10">
        <v>2789.06</v>
      </c>
      <c r="Q298" t="s">
        <v>2357</v>
      </c>
      <c r="R298" t="s">
        <v>2358</v>
      </c>
      <c r="S298" t="s">
        <v>2364</v>
      </c>
      <c r="T298">
        <f t="shared" ca="1" si="19"/>
        <v>27</v>
      </c>
      <c r="U298">
        <f>VLOOKUP($A298,'Medical Examination'!$A:$Z,2,FALSE)</f>
        <v>23</v>
      </c>
    </row>
    <row r="299" spans="1:21" ht="15.5" x14ac:dyDescent="0.35">
      <c r="A299" s="2" t="s">
        <v>299</v>
      </c>
      <c r="B299" s="2" t="s">
        <v>2945</v>
      </c>
      <c r="C299">
        <v>36.86</v>
      </c>
      <c r="D299">
        <v>11.95</v>
      </c>
      <c r="E299" t="s">
        <v>2344</v>
      </c>
      <c r="F299" t="s">
        <v>2344</v>
      </c>
      <c r="G299" t="s">
        <v>2344</v>
      </c>
      <c r="H299">
        <v>0</v>
      </c>
      <c r="I299" t="s">
        <v>2344</v>
      </c>
      <c r="J299" t="str">
        <f t="shared" si="16"/>
        <v>Obesity</v>
      </c>
      <c r="K299" t="str">
        <f t="shared" si="17"/>
        <v>Diabetes</v>
      </c>
      <c r="L299">
        <v>4</v>
      </c>
      <c r="M299" t="s">
        <v>2366</v>
      </c>
      <c r="N299">
        <v>2004</v>
      </c>
      <c r="O299" s="8">
        <f t="shared" si="18"/>
        <v>38203</v>
      </c>
      <c r="P299" s="10">
        <v>2801.26</v>
      </c>
      <c r="Q299" t="s">
        <v>2357</v>
      </c>
      <c r="R299" t="s">
        <v>2358</v>
      </c>
      <c r="S299" t="s">
        <v>2359</v>
      </c>
      <c r="T299">
        <f t="shared" ca="1" si="19"/>
        <v>22</v>
      </c>
      <c r="U299">
        <f>VLOOKUP($A299,'Medical Examination'!$A:$Z,2,FALSE)</f>
        <v>36.86</v>
      </c>
    </row>
    <row r="300" spans="1:21" ht="15.5" x14ac:dyDescent="0.35">
      <c r="A300" s="2" t="s">
        <v>300</v>
      </c>
      <c r="B300" s="2" t="s">
        <v>2946</v>
      </c>
      <c r="C300">
        <v>24.25</v>
      </c>
      <c r="D300">
        <v>8.6999999999999993</v>
      </c>
      <c r="E300" t="s">
        <v>2346</v>
      </c>
      <c r="F300" t="s">
        <v>2344</v>
      </c>
      <c r="G300" t="s">
        <v>2344</v>
      </c>
      <c r="H300">
        <v>1</v>
      </c>
      <c r="I300" t="s">
        <v>2346</v>
      </c>
      <c r="J300" t="str">
        <f t="shared" si="16"/>
        <v>Normal Weight</v>
      </c>
      <c r="K300" t="str">
        <f t="shared" si="17"/>
        <v>Diabetes</v>
      </c>
      <c r="L300">
        <v>23</v>
      </c>
      <c r="M300" t="s">
        <v>2363</v>
      </c>
      <c r="N300">
        <v>2003</v>
      </c>
      <c r="O300" s="8">
        <f t="shared" si="18"/>
        <v>37887</v>
      </c>
      <c r="P300" s="10">
        <v>2803.7</v>
      </c>
      <c r="Q300" t="s">
        <v>2357</v>
      </c>
      <c r="R300" t="s">
        <v>2361</v>
      </c>
      <c r="S300" t="s">
        <v>2364</v>
      </c>
      <c r="T300">
        <f t="shared" ca="1" si="19"/>
        <v>23</v>
      </c>
      <c r="U300">
        <f>VLOOKUP($A300,'Medical Examination'!$A:$Z,2,FALSE)</f>
        <v>24.25</v>
      </c>
    </row>
    <row r="301" spans="1:21" ht="15.5" x14ac:dyDescent="0.35">
      <c r="A301" s="2" t="s">
        <v>301</v>
      </c>
      <c r="B301" s="2" t="s">
        <v>2948</v>
      </c>
      <c r="C301">
        <v>23.85</v>
      </c>
      <c r="D301">
        <v>7.84</v>
      </c>
      <c r="E301" t="s">
        <v>2344</v>
      </c>
      <c r="F301" t="s">
        <v>2344</v>
      </c>
      <c r="G301" t="s">
        <v>2344</v>
      </c>
      <c r="H301">
        <v>0</v>
      </c>
      <c r="I301" t="s">
        <v>2346</v>
      </c>
      <c r="J301" t="str">
        <f t="shared" si="16"/>
        <v>Normal Weight</v>
      </c>
      <c r="K301" t="str">
        <f t="shared" si="17"/>
        <v>Diabetes</v>
      </c>
      <c r="L301">
        <v>1</v>
      </c>
      <c r="M301" t="s">
        <v>2367</v>
      </c>
      <c r="N301">
        <v>2000</v>
      </c>
      <c r="O301" s="8">
        <f t="shared" si="18"/>
        <v>36800</v>
      </c>
      <c r="P301" s="10">
        <v>2819.51</v>
      </c>
      <c r="Q301" t="s">
        <v>2357</v>
      </c>
      <c r="R301" t="s">
        <v>2358</v>
      </c>
      <c r="S301" t="s">
        <v>2368</v>
      </c>
      <c r="T301">
        <f t="shared" ca="1" si="19"/>
        <v>26</v>
      </c>
      <c r="U301">
        <f>VLOOKUP($A301,'Medical Examination'!$A:$Z,2,FALSE)</f>
        <v>23.85</v>
      </c>
    </row>
    <row r="302" spans="1:21" ht="15.5" x14ac:dyDescent="0.35">
      <c r="A302" s="2" t="s">
        <v>302</v>
      </c>
      <c r="B302" s="2" t="s">
        <v>2862</v>
      </c>
      <c r="C302">
        <v>40.020000000000003</v>
      </c>
      <c r="D302">
        <v>5.19</v>
      </c>
      <c r="E302" t="s">
        <v>2346</v>
      </c>
      <c r="F302" t="s">
        <v>2344</v>
      </c>
      <c r="G302" t="s">
        <v>2344</v>
      </c>
      <c r="H302">
        <v>1</v>
      </c>
      <c r="I302" t="s">
        <v>2346</v>
      </c>
      <c r="J302" t="str">
        <f t="shared" si="16"/>
        <v>Obesity</v>
      </c>
      <c r="K302" t="str">
        <f t="shared" si="17"/>
        <v>Normal</v>
      </c>
      <c r="L302">
        <v>15</v>
      </c>
      <c r="M302" t="s">
        <v>2360</v>
      </c>
      <c r="N302">
        <v>1998</v>
      </c>
      <c r="O302" s="8">
        <f t="shared" si="18"/>
        <v>36114</v>
      </c>
      <c r="P302" s="10">
        <v>2842.76</v>
      </c>
      <c r="Q302" t="s">
        <v>2357</v>
      </c>
      <c r="R302" t="s">
        <v>2358</v>
      </c>
      <c r="S302" t="s">
        <v>2364</v>
      </c>
      <c r="T302">
        <f t="shared" ca="1" si="19"/>
        <v>28</v>
      </c>
      <c r="U302">
        <f>VLOOKUP($A302,'Medical Examination'!$A:$Z,2,FALSE)</f>
        <v>40.020000000000003</v>
      </c>
    </row>
    <row r="303" spans="1:21" ht="15.5" x14ac:dyDescent="0.35">
      <c r="A303" s="2" t="s">
        <v>303</v>
      </c>
      <c r="B303" s="2" t="s">
        <v>2951</v>
      </c>
      <c r="C303">
        <v>19.170000000000002</v>
      </c>
      <c r="D303">
        <v>8.41</v>
      </c>
      <c r="E303" t="s">
        <v>2344</v>
      </c>
      <c r="F303" t="s">
        <v>2344</v>
      </c>
      <c r="G303" t="s">
        <v>2344</v>
      </c>
      <c r="H303">
        <v>0</v>
      </c>
      <c r="I303" t="s">
        <v>2346</v>
      </c>
      <c r="J303" t="str">
        <f t="shared" si="16"/>
        <v>Normal Weight</v>
      </c>
      <c r="K303" t="str">
        <f t="shared" si="17"/>
        <v>Diabetes</v>
      </c>
      <c r="L303">
        <v>17</v>
      </c>
      <c r="M303" t="s">
        <v>2362</v>
      </c>
      <c r="N303">
        <v>1998</v>
      </c>
      <c r="O303" s="8">
        <f t="shared" si="18"/>
        <v>35963</v>
      </c>
      <c r="P303" s="10">
        <v>2850.68</v>
      </c>
      <c r="Q303" t="s">
        <v>2357</v>
      </c>
      <c r="R303" t="s">
        <v>2358</v>
      </c>
      <c r="S303" t="s">
        <v>2364</v>
      </c>
      <c r="T303">
        <f t="shared" ca="1" si="19"/>
        <v>28</v>
      </c>
      <c r="U303">
        <f>VLOOKUP($A303,'Medical Examination'!$A:$Z,2,FALSE)</f>
        <v>19.170000000000002</v>
      </c>
    </row>
    <row r="304" spans="1:21" ht="15.5" x14ac:dyDescent="0.35">
      <c r="A304" s="2" t="s">
        <v>304</v>
      </c>
      <c r="B304" s="2" t="s">
        <v>2952</v>
      </c>
      <c r="C304">
        <v>43.53</v>
      </c>
      <c r="D304">
        <v>5.86</v>
      </c>
      <c r="E304" t="s">
        <v>2346</v>
      </c>
      <c r="F304" t="s">
        <v>2345</v>
      </c>
      <c r="G304" t="s">
        <v>2344</v>
      </c>
      <c r="H304">
        <v>1</v>
      </c>
      <c r="I304" t="s">
        <v>2346</v>
      </c>
      <c r="J304" t="str">
        <f t="shared" si="16"/>
        <v>Obesity</v>
      </c>
      <c r="K304" t="str">
        <f t="shared" si="17"/>
        <v>Prediabetes</v>
      </c>
      <c r="L304">
        <v>4</v>
      </c>
      <c r="M304" t="s">
        <v>2363</v>
      </c>
      <c r="N304">
        <v>1998</v>
      </c>
      <c r="O304" s="8">
        <f t="shared" si="18"/>
        <v>36042</v>
      </c>
      <c r="P304" s="10">
        <v>2855.44</v>
      </c>
      <c r="Q304" t="s">
        <v>2357</v>
      </c>
      <c r="R304" t="s">
        <v>2358</v>
      </c>
      <c r="S304" t="s">
        <v>2364</v>
      </c>
      <c r="T304">
        <f t="shared" ca="1" si="19"/>
        <v>28</v>
      </c>
      <c r="U304">
        <f>VLOOKUP($A304,'Medical Examination'!$A:$Z,2,FALSE)</f>
        <v>43.53</v>
      </c>
    </row>
    <row r="305" spans="1:21" ht="15.5" x14ac:dyDescent="0.35">
      <c r="A305" s="2" t="s">
        <v>305</v>
      </c>
      <c r="B305" s="2" t="s">
        <v>2954</v>
      </c>
      <c r="C305">
        <v>46.06</v>
      </c>
      <c r="D305">
        <v>4.18</v>
      </c>
      <c r="E305" t="s">
        <v>2344</v>
      </c>
      <c r="F305" t="s">
        <v>2345</v>
      </c>
      <c r="G305" t="s">
        <v>2344</v>
      </c>
      <c r="H305">
        <v>1</v>
      </c>
      <c r="I305" t="s">
        <v>2346</v>
      </c>
      <c r="J305" t="str">
        <f t="shared" si="16"/>
        <v>Obesity</v>
      </c>
      <c r="K305" t="str">
        <f t="shared" si="17"/>
        <v>Normal</v>
      </c>
      <c r="L305">
        <v>1</v>
      </c>
      <c r="M305" t="s">
        <v>2360</v>
      </c>
      <c r="N305">
        <v>1993</v>
      </c>
      <c r="O305" s="8">
        <f t="shared" si="18"/>
        <v>34274</v>
      </c>
      <c r="P305" s="10">
        <v>2866.09</v>
      </c>
      <c r="Q305" t="s">
        <v>2358</v>
      </c>
      <c r="R305" t="s">
        <v>2358</v>
      </c>
      <c r="S305" t="s">
        <v>2368</v>
      </c>
      <c r="T305">
        <f t="shared" ca="1" si="19"/>
        <v>33</v>
      </c>
      <c r="U305">
        <f>VLOOKUP($A305,'Medical Examination'!$A:$Z,2,FALSE)</f>
        <v>46.06</v>
      </c>
    </row>
    <row r="306" spans="1:21" ht="15.5" x14ac:dyDescent="0.35">
      <c r="A306" s="2" t="s">
        <v>306</v>
      </c>
      <c r="B306" s="2" t="s">
        <v>2956</v>
      </c>
      <c r="C306">
        <v>29.92</v>
      </c>
      <c r="D306">
        <v>11.99</v>
      </c>
      <c r="E306" t="s">
        <v>2346</v>
      </c>
      <c r="F306" t="s">
        <v>2344</v>
      </c>
      <c r="G306" t="s">
        <v>2344</v>
      </c>
      <c r="H306">
        <v>1</v>
      </c>
      <c r="I306" t="s">
        <v>2346</v>
      </c>
      <c r="J306" t="str">
        <f t="shared" si="16"/>
        <v>Over weight</v>
      </c>
      <c r="K306" t="str">
        <f t="shared" si="17"/>
        <v>Diabetes</v>
      </c>
      <c r="L306">
        <v>12</v>
      </c>
      <c r="M306" t="s">
        <v>2366</v>
      </c>
      <c r="N306">
        <v>1993</v>
      </c>
      <c r="O306" s="8">
        <f t="shared" si="18"/>
        <v>34193</v>
      </c>
      <c r="P306" s="10">
        <v>2867.12</v>
      </c>
      <c r="Q306" t="s">
        <v>2361</v>
      </c>
      <c r="R306" t="s">
        <v>2358</v>
      </c>
      <c r="S306" t="s">
        <v>2359</v>
      </c>
      <c r="T306">
        <f t="shared" ca="1" si="19"/>
        <v>33</v>
      </c>
      <c r="U306">
        <f>VLOOKUP($A306,'Medical Examination'!$A:$Z,2,FALSE)</f>
        <v>29.92</v>
      </c>
    </row>
    <row r="307" spans="1:21" ht="15.5" x14ac:dyDescent="0.35">
      <c r="A307" s="2" t="s">
        <v>307</v>
      </c>
      <c r="B307" s="2" t="s">
        <v>2856</v>
      </c>
      <c r="C307">
        <v>28.46</v>
      </c>
      <c r="D307">
        <v>4.8499999999999996</v>
      </c>
      <c r="E307" t="s">
        <v>2346</v>
      </c>
      <c r="F307" t="s">
        <v>2344</v>
      </c>
      <c r="G307" t="s">
        <v>2344</v>
      </c>
      <c r="H307">
        <v>1</v>
      </c>
      <c r="I307" t="s">
        <v>2346</v>
      </c>
      <c r="J307" t="str">
        <f t="shared" si="16"/>
        <v>Over weight</v>
      </c>
      <c r="K307" t="str">
        <f t="shared" si="17"/>
        <v>Normal</v>
      </c>
      <c r="L307">
        <v>21</v>
      </c>
      <c r="M307" t="s">
        <v>2362</v>
      </c>
      <c r="N307">
        <v>1996</v>
      </c>
      <c r="O307" s="8">
        <f t="shared" si="18"/>
        <v>35237</v>
      </c>
      <c r="P307" s="10">
        <v>2897.32</v>
      </c>
      <c r="Q307" t="s">
        <v>2358</v>
      </c>
      <c r="R307" t="s">
        <v>2358</v>
      </c>
      <c r="S307" t="s">
        <v>2371</v>
      </c>
      <c r="T307">
        <f t="shared" ca="1" si="19"/>
        <v>30</v>
      </c>
      <c r="U307">
        <f>VLOOKUP($A307,'Medical Examination'!$A:$Z,2,FALSE)</f>
        <v>28.46</v>
      </c>
    </row>
    <row r="308" spans="1:21" ht="15.5" x14ac:dyDescent="0.35">
      <c r="A308" s="2" t="s">
        <v>308</v>
      </c>
      <c r="B308" s="2" t="s">
        <v>2958</v>
      </c>
      <c r="C308">
        <v>24.56</v>
      </c>
      <c r="D308">
        <v>6.18</v>
      </c>
      <c r="E308" t="s">
        <v>2346</v>
      </c>
      <c r="F308" t="s">
        <v>2344</v>
      </c>
      <c r="G308" t="s">
        <v>2346</v>
      </c>
      <c r="H308">
        <v>1</v>
      </c>
      <c r="I308" t="s">
        <v>2346</v>
      </c>
      <c r="J308" t="str">
        <f t="shared" si="16"/>
        <v>Normal Weight</v>
      </c>
      <c r="K308" t="str">
        <f t="shared" si="17"/>
        <v>Prediabetes</v>
      </c>
      <c r="L308">
        <v>14</v>
      </c>
      <c r="M308" t="s">
        <v>2356</v>
      </c>
      <c r="N308">
        <v>2000</v>
      </c>
      <c r="O308" s="8">
        <f t="shared" si="18"/>
        <v>36721</v>
      </c>
      <c r="P308" s="10">
        <v>2897.46</v>
      </c>
      <c r="Q308" t="s">
        <v>2357</v>
      </c>
      <c r="R308" t="s">
        <v>2361</v>
      </c>
      <c r="S308" t="s">
        <v>2364</v>
      </c>
      <c r="T308">
        <f t="shared" ca="1" si="19"/>
        <v>26</v>
      </c>
      <c r="U308">
        <f>VLOOKUP($A308,'Medical Examination'!$A:$Z,2,FALSE)</f>
        <v>24.56</v>
      </c>
    </row>
    <row r="309" spans="1:21" ht="15.5" x14ac:dyDescent="0.35">
      <c r="A309" s="2" t="s">
        <v>309</v>
      </c>
      <c r="B309" s="2" t="s">
        <v>2959</v>
      </c>
      <c r="C309">
        <v>41.19</v>
      </c>
      <c r="D309">
        <v>6.37</v>
      </c>
      <c r="E309" t="s">
        <v>2344</v>
      </c>
      <c r="F309" t="s">
        <v>2344</v>
      </c>
      <c r="G309" t="s">
        <v>2344</v>
      </c>
      <c r="H309">
        <v>0</v>
      </c>
      <c r="I309" t="s">
        <v>2346</v>
      </c>
      <c r="J309" t="str">
        <f t="shared" si="16"/>
        <v>Obesity</v>
      </c>
      <c r="K309" t="str">
        <f t="shared" si="17"/>
        <v>Prediabetes</v>
      </c>
      <c r="L309">
        <v>1</v>
      </c>
      <c r="M309" t="s">
        <v>2360</v>
      </c>
      <c r="N309">
        <v>1999</v>
      </c>
      <c r="O309" s="8">
        <f t="shared" si="18"/>
        <v>36465</v>
      </c>
      <c r="P309" s="10">
        <v>2899.49</v>
      </c>
      <c r="Q309" t="s">
        <v>2357</v>
      </c>
      <c r="R309" t="s">
        <v>2357</v>
      </c>
      <c r="S309" t="s">
        <v>2374</v>
      </c>
      <c r="T309">
        <f t="shared" ca="1" si="19"/>
        <v>27</v>
      </c>
      <c r="U309">
        <f>VLOOKUP($A309,'Medical Examination'!$A:$Z,2,FALSE)</f>
        <v>41.19</v>
      </c>
    </row>
    <row r="310" spans="1:21" ht="15.5" x14ac:dyDescent="0.35">
      <c r="A310" s="2" t="s">
        <v>310</v>
      </c>
      <c r="B310" s="2" t="s">
        <v>2960</v>
      </c>
      <c r="C310">
        <v>18.63</v>
      </c>
      <c r="D310">
        <v>9.81</v>
      </c>
      <c r="E310" t="s">
        <v>2346</v>
      </c>
      <c r="F310" t="s">
        <v>2344</v>
      </c>
      <c r="G310" t="s">
        <v>2344</v>
      </c>
      <c r="H310">
        <v>1</v>
      </c>
      <c r="I310" t="s">
        <v>2346</v>
      </c>
      <c r="J310" t="str">
        <f t="shared" si="16"/>
        <v>Normal Weight</v>
      </c>
      <c r="K310" t="str">
        <f t="shared" si="17"/>
        <v>Diabetes</v>
      </c>
      <c r="L310">
        <v>24</v>
      </c>
      <c r="M310" t="s">
        <v>2367</v>
      </c>
      <c r="N310">
        <v>1996</v>
      </c>
      <c r="O310" s="8">
        <f t="shared" si="18"/>
        <v>35362</v>
      </c>
      <c r="P310" s="10">
        <v>2902.91</v>
      </c>
      <c r="Q310" t="s">
        <v>2357</v>
      </c>
      <c r="R310" t="s">
        <v>2357</v>
      </c>
      <c r="S310" t="s">
        <v>2359</v>
      </c>
      <c r="T310">
        <f t="shared" ca="1" si="19"/>
        <v>30</v>
      </c>
      <c r="U310">
        <f>VLOOKUP($A310,'Medical Examination'!$A:$Z,2,FALSE)</f>
        <v>18.63</v>
      </c>
    </row>
    <row r="311" spans="1:21" ht="15.5" x14ac:dyDescent="0.35">
      <c r="A311" s="2" t="s">
        <v>311</v>
      </c>
      <c r="B311" s="2" t="s">
        <v>2962</v>
      </c>
      <c r="C311">
        <v>26.26</v>
      </c>
      <c r="D311">
        <v>11.8</v>
      </c>
      <c r="E311" t="s">
        <v>2346</v>
      </c>
      <c r="F311" t="s">
        <v>2344</v>
      </c>
      <c r="G311" t="s">
        <v>2344</v>
      </c>
      <c r="H311">
        <v>1</v>
      </c>
      <c r="I311" t="s">
        <v>2346</v>
      </c>
      <c r="J311" t="str">
        <f t="shared" si="16"/>
        <v>Over weight</v>
      </c>
      <c r="K311" t="str">
        <f t="shared" si="17"/>
        <v>Diabetes</v>
      </c>
      <c r="L311">
        <v>13</v>
      </c>
      <c r="M311" t="s">
        <v>2362</v>
      </c>
      <c r="N311">
        <v>1996</v>
      </c>
      <c r="O311" s="8">
        <f t="shared" si="18"/>
        <v>35229</v>
      </c>
      <c r="P311" s="10">
        <v>2904.09</v>
      </c>
      <c r="Q311" t="s">
        <v>2357</v>
      </c>
      <c r="R311" t="s">
        <v>2357</v>
      </c>
      <c r="S311" t="s">
        <v>2368</v>
      </c>
      <c r="T311">
        <f t="shared" ca="1" si="19"/>
        <v>30</v>
      </c>
      <c r="U311">
        <f>VLOOKUP($A311,'Medical Examination'!$A:$Z,2,FALSE)</f>
        <v>26.26</v>
      </c>
    </row>
    <row r="312" spans="1:21" ht="15.5" x14ac:dyDescent="0.35">
      <c r="A312" s="2" t="s">
        <v>312</v>
      </c>
      <c r="B312" s="2" t="s">
        <v>2551</v>
      </c>
      <c r="C312">
        <v>22.37</v>
      </c>
      <c r="D312">
        <v>5.86</v>
      </c>
      <c r="E312" t="s">
        <v>2346</v>
      </c>
      <c r="F312" t="s">
        <v>2344</v>
      </c>
      <c r="G312" t="s">
        <v>2346</v>
      </c>
      <c r="H312">
        <v>1</v>
      </c>
      <c r="I312" t="s">
        <v>2346</v>
      </c>
      <c r="J312" t="str">
        <f t="shared" si="16"/>
        <v>Normal Weight</v>
      </c>
      <c r="K312" t="str">
        <f t="shared" si="17"/>
        <v>Prediabetes</v>
      </c>
      <c r="L312">
        <v>5</v>
      </c>
      <c r="M312" t="s">
        <v>2362</v>
      </c>
      <c r="N312">
        <v>2003</v>
      </c>
      <c r="O312" s="8">
        <f t="shared" si="18"/>
        <v>37777</v>
      </c>
      <c r="P312" s="10">
        <v>2913.57</v>
      </c>
      <c r="Q312" t="s">
        <v>2357</v>
      </c>
      <c r="R312" t="s">
        <v>2357</v>
      </c>
      <c r="S312" t="s">
        <v>2368</v>
      </c>
      <c r="T312">
        <f t="shared" ca="1" si="19"/>
        <v>23</v>
      </c>
      <c r="U312">
        <f>VLOOKUP($A312,'Medical Examination'!$A:$Z,2,FALSE)</f>
        <v>22.37</v>
      </c>
    </row>
    <row r="313" spans="1:21" ht="15.5" x14ac:dyDescent="0.35">
      <c r="A313" s="2" t="s">
        <v>313</v>
      </c>
      <c r="B313" s="2" t="s">
        <v>2964</v>
      </c>
      <c r="C313">
        <v>39.619999999999997</v>
      </c>
      <c r="D313">
        <v>4.28</v>
      </c>
      <c r="E313" t="s">
        <v>2344</v>
      </c>
      <c r="F313" t="s">
        <v>2344</v>
      </c>
      <c r="G313" t="s">
        <v>2344</v>
      </c>
      <c r="H313">
        <v>1</v>
      </c>
      <c r="I313" t="s">
        <v>2346</v>
      </c>
      <c r="J313" t="str">
        <f t="shared" si="16"/>
        <v>Obesity</v>
      </c>
      <c r="K313" t="str">
        <f t="shared" si="17"/>
        <v>Normal</v>
      </c>
      <c r="L313">
        <v>30</v>
      </c>
      <c r="M313" t="s">
        <v>2362</v>
      </c>
      <c r="N313">
        <v>1996</v>
      </c>
      <c r="O313" s="8">
        <f t="shared" si="18"/>
        <v>35246</v>
      </c>
      <c r="P313" s="10">
        <v>2927.06</v>
      </c>
      <c r="Q313" t="s">
        <v>2357</v>
      </c>
      <c r="R313" t="s">
        <v>2357</v>
      </c>
      <c r="S313" t="s">
        <v>2359</v>
      </c>
      <c r="T313">
        <f t="shared" ca="1" si="19"/>
        <v>30</v>
      </c>
      <c r="U313">
        <f>VLOOKUP($A313,'Medical Examination'!$A:$Z,2,FALSE)</f>
        <v>39.619999999999997</v>
      </c>
    </row>
    <row r="314" spans="1:21" ht="15.5" x14ac:dyDescent="0.35">
      <c r="A314" s="2" t="s">
        <v>314</v>
      </c>
      <c r="B314" s="2" t="s">
        <v>2966</v>
      </c>
      <c r="C314">
        <v>18.329999999999998</v>
      </c>
      <c r="D314">
        <v>4.16</v>
      </c>
      <c r="E314" t="s">
        <v>2346</v>
      </c>
      <c r="F314" t="s">
        <v>2344</v>
      </c>
      <c r="G314" t="s">
        <v>2344</v>
      </c>
      <c r="H314">
        <v>0</v>
      </c>
      <c r="I314" t="s">
        <v>2346</v>
      </c>
      <c r="J314" t="str">
        <f t="shared" si="16"/>
        <v>Under Weight</v>
      </c>
      <c r="K314" t="str">
        <f t="shared" si="17"/>
        <v>Normal</v>
      </c>
      <c r="L314">
        <v>30</v>
      </c>
      <c r="M314" t="s">
        <v>2363</v>
      </c>
      <c r="N314">
        <v>2002</v>
      </c>
      <c r="O314" s="8">
        <f t="shared" si="18"/>
        <v>37529</v>
      </c>
      <c r="P314" s="10">
        <v>2943.41</v>
      </c>
      <c r="Q314" t="s">
        <v>2357</v>
      </c>
      <c r="R314" t="s">
        <v>2358</v>
      </c>
      <c r="S314" t="s">
        <v>2364</v>
      </c>
      <c r="T314">
        <f t="shared" ca="1" si="19"/>
        <v>24</v>
      </c>
      <c r="U314">
        <f>VLOOKUP($A314,'Medical Examination'!$A:$Z,2,FALSE)</f>
        <v>18.329999999999998</v>
      </c>
    </row>
    <row r="315" spans="1:21" ht="15.5" x14ac:dyDescent="0.35">
      <c r="A315" s="2" t="s">
        <v>315</v>
      </c>
      <c r="B315" s="2" t="s">
        <v>2967</v>
      </c>
      <c r="C315">
        <v>17.11</v>
      </c>
      <c r="D315">
        <v>4.9800000000000004</v>
      </c>
      <c r="E315" t="s">
        <v>2346</v>
      </c>
      <c r="F315" t="s">
        <v>2344</v>
      </c>
      <c r="G315" t="s">
        <v>2346</v>
      </c>
      <c r="H315">
        <v>1</v>
      </c>
      <c r="I315" t="s">
        <v>2346</v>
      </c>
      <c r="J315" t="str">
        <f t="shared" si="16"/>
        <v>Under Weight</v>
      </c>
      <c r="K315" t="str">
        <f t="shared" si="17"/>
        <v>Normal</v>
      </c>
      <c r="L315">
        <v>24</v>
      </c>
      <c r="M315" t="s">
        <v>2363</v>
      </c>
      <c r="N315">
        <v>1995</v>
      </c>
      <c r="O315" s="8">
        <f t="shared" si="18"/>
        <v>34966</v>
      </c>
      <c r="P315" s="10">
        <v>2974.13</v>
      </c>
      <c r="Q315" t="s">
        <v>2357</v>
      </c>
      <c r="R315" t="s">
        <v>2361</v>
      </c>
      <c r="S315" t="s">
        <v>2368</v>
      </c>
      <c r="T315">
        <f t="shared" ca="1" si="19"/>
        <v>31</v>
      </c>
      <c r="U315">
        <f>VLOOKUP($A315,'Medical Examination'!$A:$Z,2,FALSE)</f>
        <v>17.11</v>
      </c>
    </row>
    <row r="316" spans="1:21" ht="15.5" x14ac:dyDescent="0.35">
      <c r="A316" s="2" t="s">
        <v>316</v>
      </c>
      <c r="B316" s="2" t="s">
        <v>2970</v>
      </c>
      <c r="C316">
        <v>43.5</v>
      </c>
      <c r="D316">
        <v>6.38</v>
      </c>
      <c r="E316" t="s">
        <v>2344</v>
      </c>
      <c r="F316" t="s">
        <v>2345</v>
      </c>
      <c r="G316" t="s">
        <v>2344</v>
      </c>
      <c r="H316">
        <v>1</v>
      </c>
      <c r="I316" t="s">
        <v>2346</v>
      </c>
      <c r="J316" t="str">
        <f t="shared" si="16"/>
        <v>Obesity</v>
      </c>
      <c r="K316" t="str">
        <f t="shared" si="17"/>
        <v>Prediabetes</v>
      </c>
      <c r="L316">
        <v>18</v>
      </c>
      <c r="M316" t="s">
        <v>2362</v>
      </c>
      <c r="N316">
        <v>1987</v>
      </c>
      <c r="O316" s="8">
        <f t="shared" si="18"/>
        <v>31946</v>
      </c>
      <c r="P316" s="10">
        <v>2979.52</v>
      </c>
      <c r="Q316" t="s">
        <v>2357</v>
      </c>
      <c r="R316" t="s">
        <v>2358</v>
      </c>
      <c r="S316" t="s">
        <v>2359</v>
      </c>
      <c r="T316">
        <f t="shared" ca="1" si="19"/>
        <v>39</v>
      </c>
      <c r="U316">
        <f>VLOOKUP($A316,'Medical Examination'!$A:$Z,2,FALSE)</f>
        <v>43.5</v>
      </c>
    </row>
    <row r="317" spans="1:21" ht="15.5" x14ac:dyDescent="0.35">
      <c r="A317" s="2" t="s">
        <v>317</v>
      </c>
      <c r="B317" s="2" t="s">
        <v>2972</v>
      </c>
      <c r="C317">
        <v>25.364999999999998</v>
      </c>
      <c r="D317">
        <v>5.19</v>
      </c>
      <c r="E317" t="s">
        <v>2344</v>
      </c>
      <c r="F317" t="s">
        <v>2344</v>
      </c>
      <c r="G317" t="s">
        <v>2344</v>
      </c>
      <c r="H317">
        <v>1</v>
      </c>
      <c r="I317" t="s">
        <v>2344</v>
      </c>
      <c r="J317" t="str">
        <f t="shared" si="16"/>
        <v>Over weight</v>
      </c>
      <c r="K317" t="str">
        <f t="shared" si="17"/>
        <v>Normal</v>
      </c>
      <c r="L317">
        <v>20</v>
      </c>
      <c r="M317" t="s">
        <v>2360</v>
      </c>
      <c r="N317">
        <v>1991</v>
      </c>
      <c r="O317" s="8">
        <f t="shared" si="18"/>
        <v>33562</v>
      </c>
      <c r="P317" s="10">
        <v>2985.67</v>
      </c>
      <c r="Q317" t="s">
        <v>2357</v>
      </c>
      <c r="R317" t="s">
        <v>2357</v>
      </c>
      <c r="S317" t="s">
        <v>2359</v>
      </c>
      <c r="T317">
        <f t="shared" ca="1" si="19"/>
        <v>35</v>
      </c>
      <c r="U317">
        <f>VLOOKUP($A317,'Medical Examination'!$A:$Z,2,FALSE)</f>
        <v>25.364999999999998</v>
      </c>
    </row>
    <row r="318" spans="1:21" ht="15.5" x14ac:dyDescent="0.35">
      <c r="A318" s="2" t="s">
        <v>318</v>
      </c>
      <c r="B318" s="2" t="s">
        <v>2973</v>
      </c>
      <c r="C318">
        <v>28.594999999999999</v>
      </c>
      <c r="D318">
        <v>10.210000000000001</v>
      </c>
      <c r="E318" t="s">
        <v>2344</v>
      </c>
      <c r="F318" t="s">
        <v>2344</v>
      </c>
      <c r="G318" t="s">
        <v>2344</v>
      </c>
      <c r="H318">
        <v>0</v>
      </c>
      <c r="I318" t="s">
        <v>2344</v>
      </c>
      <c r="J318" t="str">
        <f t="shared" si="16"/>
        <v>Over weight</v>
      </c>
      <c r="K318" t="str">
        <f t="shared" si="17"/>
        <v>Diabetes</v>
      </c>
      <c r="L318">
        <v>15</v>
      </c>
      <c r="M318" t="s">
        <v>2365</v>
      </c>
      <c r="N318">
        <v>2002</v>
      </c>
      <c r="O318" s="8">
        <f t="shared" si="18"/>
        <v>37605</v>
      </c>
      <c r="P318" s="10">
        <v>3012.22</v>
      </c>
      <c r="Q318" t="s">
        <v>2357</v>
      </c>
      <c r="R318" t="s">
        <v>2358</v>
      </c>
      <c r="S318" t="s">
        <v>2364</v>
      </c>
      <c r="T318">
        <f t="shared" ca="1" si="19"/>
        <v>24</v>
      </c>
      <c r="U318">
        <f>VLOOKUP($A318,'Medical Examination'!$A:$Z,2,FALSE)</f>
        <v>28.594999999999999</v>
      </c>
    </row>
    <row r="319" spans="1:21" ht="15.5" x14ac:dyDescent="0.35">
      <c r="A319" s="2" t="s">
        <v>319</v>
      </c>
      <c r="B319" s="2" t="s">
        <v>2974</v>
      </c>
      <c r="C319">
        <v>29.83</v>
      </c>
      <c r="D319">
        <v>9.6999999999999993</v>
      </c>
      <c r="E319" t="s">
        <v>2346</v>
      </c>
      <c r="F319" t="s">
        <v>2344</v>
      </c>
      <c r="G319" t="s">
        <v>2346</v>
      </c>
      <c r="H319">
        <v>1</v>
      </c>
      <c r="I319" t="s">
        <v>2346</v>
      </c>
      <c r="J319" t="str">
        <f t="shared" si="16"/>
        <v>Over weight</v>
      </c>
      <c r="K319" t="str">
        <f t="shared" si="17"/>
        <v>Diabetes</v>
      </c>
      <c r="L319">
        <v>28</v>
      </c>
      <c r="M319" t="s">
        <v>2363</v>
      </c>
      <c r="N319">
        <v>1988</v>
      </c>
      <c r="O319" s="8">
        <f t="shared" si="18"/>
        <v>32414</v>
      </c>
      <c r="P319" s="10">
        <v>3018.04</v>
      </c>
      <c r="Q319" t="s">
        <v>2357</v>
      </c>
      <c r="R319" t="s">
        <v>2357</v>
      </c>
      <c r="S319" t="s">
        <v>2364</v>
      </c>
      <c r="T319">
        <f t="shared" ca="1" si="19"/>
        <v>38</v>
      </c>
      <c r="U319">
        <f>VLOOKUP($A319,'Medical Examination'!$A:$Z,2,FALSE)</f>
        <v>29.83</v>
      </c>
    </row>
    <row r="320" spans="1:21" ht="15.5" x14ac:dyDescent="0.35">
      <c r="A320" s="2" t="s">
        <v>320</v>
      </c>
      <c r="B320" s="2" t="s">
        <v>2976</v>
      </c>
      <c r="C320">
        <v>24.7</v>
      </c>
      <c r="D320">
        <v>10.25</v>
      </c>
      <c r="E320" t="s">
        <v>2344</v>
      </c>
      <c r="F320" t="s">
        <v>2344</v>
      </c>
      <c r="G320" t="s">
        <v>2344</v>
      </c>
      <c r="H320">
        <v>1</v>
      </c>
      <c r="I320" t="s">
        <v>2344</v>
      </c>
      <c r="J320" t="str">
        <f t="shared" si="16"/>
        <v>Normal Weight</v>
      </c>
      <c r="K320" t="str">
        <f t="shared" si="17"/>
        <v>Diabetes</v>
      </c>
      <c r="L320">
        <v>19</v>
      </c>
      <c r="M320" t="s">
        <v>2365</v>
      </c>
      <c r="N320">
        <v>1997</v>
      </c>
      <c r="O320" s="8">
        <f t="shared" si="18"/>
        <v>35783</v>
      </c>
      <c r="P320" s="10">
        <v>3021.81</v>
      </c>
      <c r="Q320" t="s">
        <v>2357</v>
      </c>
      <c r="R320" t="s">
        <v>2358</v>
      </c>
      <c r="S320" t="s">
        <v>2364</v>
      </c>
      <c r="T320">
        <f t="shared" ca="1" si="19"/>
        <v>29</v>
      </c>
      <c r="U320">
        <f>VLOOKUP($A320,'Medical Examination'!$A:$Z,2,FALSE)</f>
        <v>24.7</v>
      </c>
    </row>
    <row r="321" spans="1:21" ht="15.5" x14ac:dyDescent="0.35">
      <c r="A321" s="2" t="s">
        <v>321</v>
      </c>
      <c r="B321" s="2" t="s">
        <v>2977</v>
      </c>
      <c r="C321">
        <v>17.940000000000001</v>
      </c>
      <c r="D321">
        <v>9.77</v>
      </c>
      <c r="E321" t="s">
        <v>2344</v>
      </c>
      <c r="F321" t="s">
        <v>2344</v>
      </c>
      <c r="G321" t="s">
        <v>2344</v>
      </c>
      <c r="H321">
        <v>0</v>
      </c>
      <c r="I321" t="s">
        <v>2346</v>
      </c>
      <c r="J321" t="str">
        <f t="shared" si="16"/>
        <v>Under Weight</v>
      </c>
      <c r="K321" t="str">
        <f t="shared" si="17"/>
        <v>Diabetes</v>
      </c>
      <c r="L321">
        <v>15</v>
      </c>
      <c r="M321" t="s">
        <v>2363</v>
      </c>
      <c r="N321">
        <v>1998</v>
      </c>
      <c r="O321" s="8">
        <f t="shared" si="18"/>
        <v>36053</v>
      </c>
      <c r="P321" s="10">
        <v>3044.21</v>
      </c>
      <c r="Q321" t="s">
        <v>2357</v>
      </c>
      <c r="R321" t="s">
        <v>2358</v>
      </c>
      <c r="S321" t="s">
        <v>2374</v>
      </c>
      <c r="T321">
        <f t="shared" ca="1" si="19"/>
        <v>28</v>
      </c>
      <c r="U321">
        <f>VLOOKUP($A321,'Medical Examination'!$A:$Z,2,FALSE)</f>
        <v>17.940000000000001</v>
      </c>
    </row>
    <row r="322" spans="1:21" ht="15.5" x14ac:dyDescent="0.35">
      <c r="A322" s="2" t="s">
        <v>322</v>
      </c>
      <c r="B322" s="2" t="s">
        <v>2979</v>
      </c>
      <c r="C322">
        <v>21.08</v>
      </c>
      <c r="D322">
        <v>4.83</v>
      </c>
      <c r="E322" t="s">
        <v>2344</v>
      </c>
      <c r="F322" t="s">
        <v>2344</v>
      </c>
      <c r="G322" t="s">
        <v>2346</v>
      </c>
      <c r="H322">
        <v>1</v>
      </c>
      <c r="I322" t="s">
        <v>2346</v>
      </c>
      <c r="J322" t="str">
        <f t="shared" si="16"/>
        <v>Normal Weight</v>
      </c>
      <c r="K322" t="str">
        <f t="shared" si="17"/>
        <v>Normal</v>
      </c>
      <c r="L322">
        <v>9</v>
      </c>
      <c r="M322" t="s">
        <v>2366</v>
      </c>
      <c r="N322">
        <v>1998</v>
      </c>
      <c r="O322" s="8">
        <f t="shared" si="18"/>
        <v>36016</v>
      </c>
      <c r="P322" s="10">
        <v>3046.06</v>
      </c>
      <c r="Q322" t="s">
        <v>2357</v>
      </c>
      <c r="R322" t="s">
        <v>2361</v>
      </c>
      <c r="S322" t="s">
        <v>2375</v>
      </c>
      <c r="T322">
        <f t="shared" ca="1" si="19"/>
        <v>28</v>
      </c>
      <c r="U322">
        <f>VLOOKUP($A322,'Medical Examination'!$A:$Z,2,FALSE)</f>
        <v>21.08</v>
      </c>
    </row>
    <row r="323" spans="1:21" ht="15.5" x14ac:dyDescent="0.35">
      <c r="A323" s="2" t="s">
        <v>323</v>
      </c>
      <c r="B323" s="2" t="s">
        <v>2981</v>
      </c>
      <c r="C323">
        <v>37.715000000000003</v>
      </c>
      <c r="D323">
        <v>10.86</v>
      </c>
      <c r="E323" t="s">
        <v>2346</v>
      </c>
      <c r="F323" t="s">
        <v>2344</v>
      </c>
      <c r="G323" t="s">
        <v>2344</v>
      </c>
      <c r="H323">
        <v>0</v>
      </c>
      <c r="I323" t="s">
        <v>2344</v>
      </c>
      <c r="J323" t="str">
        <f t="shared" ref="J323:J386" si="20">IF(C323&lt;18.5,"Under Weight",IF(C323&lt;25,"Normal Weight",IF(C323&lt;30,"Over weight","Obesity")))</f>
        <v>Obesity</v>
      </c>
      <c r="K323" t="str">
        <f t="shared" ref="K323:K386" si="21">IF(D323&lt;5.7,"Normal",IF(D323&lt;6.5,"Prediabetes","Diabetes"))</f>
        <v>Diabetes</v>
      </c>
      <c r="L323">
        <v>22</v>
      </c>
      <c r="M323" t="s">
        <v>2365</v>
      </c>
      <c r="N323">
        <v>1997</v>
      </c>
      <c r="O323" s="8">
        <f t="shared" ref="O323:O386" si="22">DATE(N323,MONTH(1&amp;M323),L323)</f>
        <v>35786</v>
      </c>
      <c r="P323" s="10">
        <v>3051.73</v>
      </c>
      <c r="Q323" t="s">
        <v>2357</v>
      </c>
      <c r="R323" t="s">
        <v>2357</v>
      </c>
      <c r="S323" t="s">
        <v>2368</v>
      </c>
      <c r="T323">
        <f t="shared" ref="T323:T386" ca="1" si="23">YEAR(TODAY())-YEAR(O323)</f>
        <v>29</v>
      </c>
      <c r="U323">
        <f>VLOOKUP($A323,'Medical Examination'!$A:$Z,2,FALSE)</f>
        <v>37.715000000000003</v>
      </c>
    </row>
    <row r="324" spans="1:21" ht="15.5" x14ac:dyDescent="0.35">
      <c r="A324" s="2" t="s">
        <v>324</v>
      </c>
      <c r="B324" s="2" t="s">
        <v>2921</v>
      </c>
      <c r="C324">
        <v>22.39</v>
      </c>
      <c r="D324">
        <v>9.5299999999999994</v>
      </c>
      <c r="E324" t="s">
        <v>2346</v>
      </c>
      <c r="F324" t="s">
        <v>2344</v>
      </c>
      <c r="G324" t="s">
        <v>2344</v>
      </c>
      <c r="H324">
        <v>0</v>
      </c>
      <c r="I324" t="s">
        <v>2346</v>
      </c>
      <c r="J324" t="str">
        <f t="shared" si="20"/>
        <v>Normal Weight</v>
      </c>
      <c r="K324" t="str">
        <f t="shared" si="21"/>
        <v>Diabetes</v>
      </c>
      <c r="L324">
        <v>21</v>
      </c>
      <c r="M324" t="s">
        <v>2362</v>
      </c>
      <c r="N324">
        <v>2002</v>
      </c>
      <c r="O324" s="8">
        <f t="shared" si="22"/>
        <v>37428</v>
      </c>
      <c r="P324" s="10">
        <v>3056.39</v>
      </c>
      <c r="Q324" t="s">
        <v>2357</v>
      </c>
      <c r="R324" t="s">
        <v>2358</v>
      </c>
      <c r="S324" t="s">
        <v>2359</v>
      </c>
      <c r="T324">
        <f t="shared" ca="1" si="23"/>
        <v>24</v>
      </c>
      <c r="U324">
        <f>VLOOKUP($A324,'Medical Examination'!$A:$Z,2,FALSE)</f>
        <v>22.39</v>
      </c>
    </row>
    <row r="325" spans="1:21" ht="15.5" x14ac:dyDescent="0.35">
      <c r="A325" s="2" t="s">
        <v>325</v>
      </c>
      <c r="B325" s="2" t="s">
        <v>2982</v>
      </c>
      <c r="C325">
        <v>28.78</v>
      </c>
      <c r="D325">
        <v>5.68</v>
      </c>
      <c r="E325" t="s">
        <v>2344</v>
      </c>
      <c r="F325" t="s">
        <v>2344</v>
      </c>
      <c r="G325" t="s">
        <v>2344</v>
      </c>
      <c r="H325">
        <v>0</v>
      </c>
      <c r="I325" t="s">
        <v>2346</v>
      </c>
      <c r="J325" t="str">
        <f t="shared" si="20"/>
        <v>Over weight</v>
      </c>
      <c r="K325" t="str">
        <f t="shared" si="21"/>
        <v>Normal</v>
      </c>
      <c r="L325">
        <v>26</v>
      </c>
      <c r="M325" t="s">
        <v>2363</v>
      </c>
      <c r="N325">
        <v>1994</v>
      </c>
      <c r="O325" s="8">
        <f t="shared" si="22"/>
        <v>34603</v>
      </c>
      <c r="P325" s="10">
        <v>3062.51</v>
      </c>
      <c r="Q325" t="s">
        <v>2358</v>
      </c>
      <c r="R325" t="s">
        <v>2361</v>
      </c>
      <c r="S325" t="s">
        <v>2364</v>
      </c>
      <c r="T325">
        <f t="shared" ca="1" si="23"/>
        <v>32</v>
      </c>
      <c r="U325">
        <f>VLOOKUP($A325,'Medical Examination'!$A:$Z,2,FALSE)</f>
        <v>28.78</v>
      </c>
    </row>
    <row r="326" spans="1:21" ht="15.5" x14ac:dyDescent="0.35">
      <c r="A326" s="2" t="s">
        <v>326</v>
      </c>
      <c r="B326" s="2" t="s">
        <v>2983</v>
      </c>
      <c r="C326">
        <v>18.329999999999998</v>
      </c>
      <c r="D326">
        <v>5.57</v>
      </c>
      <c r="E326" t="s">
        <v>2346</v>
      </c>
      <c r="F326" t="s">
        <v>2344</v>
      </c>
      <c r="G326" t="s">
        <v>2344</v>
      </c>
      <c r="H326">
        <v>0</v>
      </c>
      <c r="I326" t="s">
        <v>2346</v>
      </c>
      <c r="J326" t="str">
        <f t="shared" si="20"/>
        <v>Under Weight</v>
      </c>
      <c r="K326" t="str">
        <f t="shared" si="21"/>
        <v>Normal</v>
      </c>
      <c r="L326">
        <v>1</v>
      </c>
      <c r="M326" t="s">
        <v>2367</v>
      </c>
      <c r="N326">
        <v>1989</v>
      </c>
      <c r="O326" s="8">
        <f t="shared" si="22"/>
        <v>32782</v>
      </c>
      <c r="P326" s="10">
        <v>3065.49</v>
      </c>
      <c r="Q326" t="s">
        <v>2357</v>
      </c>
      <c r="R326" t="s">
        <v>2361</v>
      </c>
      <c r="S326" t="s">
        <v>2364</v>
      </c>
      <c r="T326">
        <f t="shared" ca="1" si="23"/>
        <v>37</v>
      </c>
      <c r="U326">
        <f>VLOOKUP($A326,'Medical Examination'!$A:$Z,2,FALSE)</f>
        <v>18.329999999999998</v>
      </c>
    </row>
    <row r="327" spans="1:21" ht="15.5" x14ac:dyDescent="0.35">
      <c r="A327" s="2" t="s">
        <v>327</v>
      </c>
      <c r="B327" s="2" t="s">
        <v>2985</v>
      </c>
      <c r="C327">
        <v>26.39</v>
      </c>
      <c r="D327">
        <v>4.58</v>
      </c>
      <c r="E327" t="s">
        <v>2346</v>
      </c>
      <c r="F327" t="s">
        <v>2344</v>
      </c>
      <c r="G327" t="s">
        <v>2344</v>
      </c>
      <c r="H327">
        <v>1</v>
      </c>
      <c r="I327" t="s">
        <v>2346</v>
      </c>
      <c r="J327" t="str">
        <f t="shared" si="20"/>
        <v>Over weight</v>
      </c>
      <c r="K327" t="str">
        <f t="shared" si="21"/>
        <v>Normal</v>
      </c>
      <c r="L327">
        <v>10</v>
      </c>
      <c r="M327" t="s">
        <v>2363</v>
      </c>
      <c r="N327">
        <v>1995</v>
      </c>
      <c r="O327" s="8">
        <f t="shared" si="22"/>
        <v>34952</v>
      </c>
      <c r="P327" s="10">
        <v>3070.81</v>
      </c>
      <c r="Q327" t="s">
        <v>2358</v>
      </c>
      <c r="R327" t="s">
        <v>2361</v>
      </c>
      <c r="S327" t="s">
        <v>2378</v>
      </c>
      <c r="T327">
        <f t="shared" ca="1" si="23"/>
        <v>31</v>
      </c>
      <c r="U327">
        <f>VLOOKUP($A327,'Medical Examination'!$A:$Z,2,FALSE)</f>
        <v>26.39</v>
      </c>
    </row>
    <row r="328" spans="1:21" ht="15.5" x14ac:dyDescent="0.35">
      <c r="A328" s="2" t="s">
        <v>328</v>
      </c>
      <c r="B328" s="2" t="s">
        <v>2987</v>
      </c>
      <c r="C328">
        <v>19.260000000000002</v>
      </c>
      <c r="D328">
        <v>8.9600000000000009</v>
      </c>
      <c r="E328" t="s">
        <v>2346</v>
      </c>
      <c r="F328" t="s">
        <v>2344</v>
      </c>
      <c r="G328" t="s">
        <v>2344</v>
      </c>
      <c r="H328">
        <v>1</v>
      </c>
      <c r="I328" t="s">
        <v>2346</v>
      </c>
      <c r="J328" t="str">
        <f t="shared" si="20"/>
        <v>Normal Weight</v>
      </c>
      <c r="K328" t="str">
        <f t="shared" si="21"/>
        <v>Diabetes</v>
      </c>
      <c r="L328">
        <v>13</v>
      </c>
      <c r="M328" t="s">
        <v>2367</v>
      </c>
      <c r="N328">
        <v>2001</v>
      </c>
      <c r="O328" s="8">
        <f t="shared" si="22"/>
        <v>37177</v>
      </c>
      <c r="P328" s="10">
        <v>3077.1</v>
      </c>
      <c r="Q328" t="s">
        <v>2357</v>
      </c>
      <c r="R328" t="s">
        <v>2361</v>
      </c>
      <c r="S328" t="s">
        <v>2364</v>
      </c>
      <c r="T328">
        <f t="shared" ca="1" si="23"/>
        <v>25</v>
      </c>
      <c r="U328">
        <f>VLOOKUP($A328,'Medical Examination'!$A:$Z,2,FALSE)</f>
        <v>19.260000000000002</v>
      </c>
    </row>
    <row r="329" spans="1:21" ht="15.5" x14ac:dyDescent="0.35">
      <c r="A329" s="2" t="s">
        <v>329</v>
      </c>
      <c r="B329" s="2" t="s">
        <v>2988</v>
      </c>
      <c r="C329">
        <v>26.92</v>
      </c>
      <c r="D329">
        <v>6.09</v>
      </c>
      <c r="E329" t="s">
        <v>2344</v>
      </c>
      <c r="F329" t="s">
        <v>2344</v>
      </c>
      <c r="G329" t="s">
        <v>2344</v>
      </c>
      <c r="H329">
        <v>0</v>
      </c>
      <c r="I329" t="s">
        <v>2346</v>
      </c>
      <c r="J329" t="str">
        <f t="shared" si="20"/>
        <v>Over weight</v>
      </c>
      <c r="K329" t="str">
        <f t="shared" si="21"/>
        <v>Prediabetes</v>
      </c>
      <c r="L329">
        <v>1</v>
      </c>
      <c r="M329" t="s">
        <v>2366</v>
      </c>
      <c r="N329">
        <v>1987</v>
      </c>
      <c r="O329" s="8">
        <f t="shared" si="22"/>
        <v>31990</v>
      </c>
      <c r="P329" s="10">
        <v>3088.06</v>
      </c>
      <c r="Q329" t="s">
        <v>2357</v>
      </c>
      <c r="R329" t="s">
        <v>2357</v>
      </c>
      <c r="S329" t="s">
        <v>2359</v>
      </c>
      <c r="T329">
        <f t="shared" ca="1" si="23"/>
        <v>39</v>
      </c>
      <c r="U329">
        <f>VLOOKUP($A329,'Medical Examination'!$A:$Z,2,FALSE)</f>
        <v>26.92</v>
      </c>
    </row>
    <row r="330" spans="1:21" ht="15.5" x14ac:dyDescent="0.35">
      <c r="A330" s="2" t="s">
        <v>330</v>
      </c>
      <c r="B330" s="2" t="s">
        <v>2989</v>
      </c>
      <c r="C330">
        <v>19.73</v>
      </c>
      <c r="D330">
        <v>4.3600000000000003</v>
      </c>
      <c r="E330" t="s">
        <v>2344</v>
      </c>
      <c r="F330" t="s">
        <v>2344</v>
      </c>
      <c r="G330" t="s">
        <v>2344</v>
      </c>
      <c r="H330">
        <v>0</v>
      </c>
      <c r="I330" t="s">
        <v>2346</v>
      </c>
      <c r="J330" t="str">
        <f t="shared" si="20"/>
        <v>Normal Weight</v>
      </c>
      <c r="K330" t="str">
        <f t="shared" si="21"/>
        <v>Normal</v>
      </c>
      <c r="L330">
        <v>25</v>
      </c>
      <c r="M330" t="s">
        <v>2362</v>
      </c>
      <c r="N330">
        <v>1999</v>
      </c>
      <c r="O330" s="8">
        <f t="shared" si="22"/>
        <v>36336</v>
      </c>
      <c r="P330" s="10">
        <v>3128.35</v>
      </c>
      <c r="Q330" t="s">
        <v>2357</v>
      </c>
      <c r="R330" t="s">
        <v>2358</v>
      </c>
      <c r="S330" t="s">
        <v>2377</v>
      </c>
      <c r="T330">
        <f t="shared" ca="1" si="23"/>
        <v>27</v>
      </c>
      <c r="U330">
        <f>VLOOKUP($A330,'Medical Examination'!$A:$Z,2,FALSE)</f>
        <v>19.73</v>
      </c>
    </row>
    <row r="331" spans="1:21" ht="15.5" x14ac:dyDescent="0.35">
      <c r="A331" s="2" t="s">
        <v>331</v>
      </c>
      <c r="B331" s="2" t="s">
        <v>2990</v>
      </c>
      <c r="C331">
        <v>23.56</v>
      </c>
      <c r="D331">
        <v>11.74</v>
      </c>
      <c r="E331" t="s">
        <v>2346</v>
      </c>
      <c r="F331" t="s">
        <v>2344</v>
      </c>
      <c r="G331" t="s">
        <v>2344</v>
      </c>
      <c r="H331">
        <v>0</v>
      </c>
      <c r="I331" t="s">
        <v>2346</v>
      </c>
      <c r="J331" t="str">
        <f t="shared" si="20"/>
        <v>Normal Weight</v>
      </c>
      <c r="K331" t="str">
        <f t="shared" si="21"/>
        <v>Diabetes</v>
      </c>
      <c r="L331">
        <v>10</v>
      </c>
      <c r="M331" t="s">
        <v>2356</v>
      </c>
      <c r="N331">
        <v>1994</v>
      </c>
      <c r="O331" s="8">
        <f t="shared" si="22"/>
        <v>34525</v>
      </c>
      <c r="P331" s="10">
        <v>3161.45</v>
      </c>
      <c r="Q331" t="s">
        <v>2357</v>
      </c>
      <c r="R331" t="s">
        <v>2361</v>
      </c>
      <c r="S331" t="s">
        <v>2368</v>
      </c>
      <c r="T331">
        <f t="shared" ca="1" si="23"/>
        <v>32</v>
      </c>
      <c r="U331">
        <f>VLOOKUP($A331,'Medical Examination'!$A:$Z,2,FALSE)</f>
        <v>23.56</v>
      </c>
    </row>
    <row r="332" spans="1:21" ht="15.5" x14ac:dyDescent="0.35">
      <c r="A332" s="2" t="s">
        <v>332</v>
      </c>
      <c r="B332" s="2" t="s">
        <v>2992</v>
      </c>
      <c r="C332">
        <v>37.67</v>
      </c>
      <c r="D332">
        <v>5.89</v>
      </c>
      <c r="E332" t="s">
        <v>2344</v>
      </c>
      <c r="F332" t="s">
        <v>2344</v>
      </c>
      <c r="G332" t="s">
        <v>2344</v>
      </c>
      <c r="H332">
        <v>1</v>
      </c>
      <c r="I332" t="s">
        <v>2346</v>
      </c>
      <c r="J332" t="str">
        <f t="shared" si="20"/>
        <v>Obesity</v>
      </c>
      <c r="K332" t="str">
        <f t="shared" si="21"/>
        <v>Prediabetes</v>
      </c>
      <c r="L332">
        <v>25</v>
      </c>
      <c r="M332" t="s">
        <v>2363</v>
      </c>
      <c r="N332">
        <v>1993</v>
      </c>
      <c r="O332" s="8">
        <f t="shared" si="22"/>
        <v>34237</v>
      </c>
      <c r="P332" s="10">
        <v>3162.02</v>
      </c>
      <c r="Q332" t="s">
        <v>2357</v>
      </c>
      <c r="R332" t="s">
        <v>2358</v>
      </c>
      <c r="S332" t="s">
        <v>2359</v>
      </c>
      <c r="T332">
        <f t="shared" ca="1" si="23"/>
        <v>33</v>
      </c>
      <c r="U332">
        <f>VLOOKUP($A332,'Medical Examination'!$A:$Z,2,FALSE)</f>
        <v>37.67</v>
      </c>
    </row>
    <row r="333" spans="1:21" ht="15.5" x14ac:dyDescent="0.35">
      <c r="A333" s="2" t="s">
        <v>333</v>
      </c>
      <c r="B333" s="2" t="s">
        <v>2994</v>
      </c>
      <c r="C333">
        <v>18.73</v>
      </c>
      <c r="D333">
        <v>10.64</v>
      </c>
      <c r="E333" t="s">
        <v>2344</v>
      </c>
      <c r="F333" t="s">
        <v>2344</v>
      </c>
      <c r="G333" t="s">
        <v>2344</v>
      </c>
      <c r="H333">
        <v>1</v>
      </c>
      <c r="I333" t="s">
        <v>2346</v>
      </c>
      <c r="J333" t="str">
        <f t="shared" si="20"/>
        <v>Normal Weight</v>
      </c>
      <c r="K333" t="str">
        <f t="shared" si="21"/>
        <v>Diabetes</v>
      </c>
      <c r="L333">
        <v>29</v>
      </c>
      <c r="M333" t="s">
        <v>2366</v>
      </c>
      <c r="N333">
        <v>2001</v>
      </c>
      <c r="O333" s="8">
        <f t="shared" si="22"/>
        <v>37132</v>
      </c>
      <c r="P333" s="10">
        <v>3167.46</v>
      </c>
      <c r="Q333" t="s">
        <v>2357</v>
      </c>
      <c r="R333" t="s">
        <v>2358</v>
      </c>
      <c r="S333" t="s">
        <v>2374</v>
      </c>
      <c r="T333">
        <f t="shared" ca="1" si="23"/>
        <v>25</v>
      </c>
      <c r="U333">
        <f>VLOOKUP($A333,'Medical Examination'!$A:$Z,2,FALSE)</f>
        <v>18.73</v>
      </c>
    </row>
    <row r="334" spans="1:21" ht="15.5" x14ac:dyDescent="0.35">
      <c r="A334" s="2" t="s">
        <v>334</v>
      </c>
      <c r="B334" s="2" t="s">
        <v>2995</v>
      </c>
      <c r="C334">
        <v>33.090000000000003</v>
      </c>
      <c r="D334">
        <v>6.06</v>
      </c>
      <c r="E334" t="s">
        <v>2344</v>
      </c>
      <c r="F334" t="s">
        <v>2344</v>
      </c>
      <c r="G334" t="s">
        <v>2346</v>
      </c>
      <c r="H334">
        <v>1</v>
      </c>
      <c r="I334" t="s">
        <v>2346</v>
      </c>
      <c r="J334" t="str">
        <f t="shared" si="20"/>
        <v>Obesity</v>
      </c>
      <c r="K334" t="str">
        <f t="shared" si="21"/>
        <v>Prediabetes</v>
      </c>
      <c r="L334">
        <v>25</v>
      </c>
      <c r="M334" t="s">
        <v>2367</v>
      </c>
      <c r="N334">
        <v>1994</v>
      </c>
      <c r="O334" s="8">
        <f t="shared" si="22"/>
        <v>34632</v>
      </c>
      <c r="P334" s="10">
        <v>3171.61</v>
      </c>
      <c r="Q334" t="s">
        <v>2357</v>
      </c>
      <c r="R334" t="s">
        <v>2358</v>
      </c>
      <c r="S334" t="s">
        <v>2359</v>
      </c>
      <c r="T334">
        <f t="shared" ca="1" si="23"/>
        <v>32</v>
      </c>
      <c r="U334">
        <f>VLOOKUP($A334,'Medical Examination'!$A:$Z,2,FALSE)</f>
        <v>33.090000000000003</v>
      </c>
    </row>
    <row r="335" spans="1:21" ht="15.5" x14ac:dyDescent="0.35">
      <c r="A335" s="2" t="s">
        <v>335</v>
      </c>
      <c r="B335" s="2" t="s">
        <v>2997</v>
      </c>
      <c r="C335">
        <v>18.329999999999998</v>
      </c>
      <c r="D335">
        <v>7.46</v>
      </c>
      <c r="E335" t="s">
        <v>2346</v>
      </c>
      <c r="F335" t="s">
        <v>2344</v>
      </c>
      <c r="G335" t="s">
        <v>2344</v>
      </c>
      <c r="H335">
        <v>1</v>
      </c>
      <c r="I335" t="s">
        <v>2346</v>
      </c>
      <c r="J335" t="str">
        <f t="shared" si="20"/>
        <v>Under Weight</v>
      </c>
      <c r="K335" t="str">
        <f t="shared" si="21"/>
        <v>Diabetes</v>
      </c>
      <c r="L335">
        <v>6</v>
      </c>
      <c r="M335" t="s">
        <v>2356</v>
      </c>
      <c r="N335">
        <v>1994</v>
      </c>
      <c r="O335" s="8">
        <f t="shared" si="22"/>
        <v>34521</v>
      </c>
      <c r="P335" s="10">
        <v>3172.02</v>
      </c>
      <c r="Q335" t="s">
        <v>2357</v>
      </c>
      <c r="R335" t="s">
        <v>2361</v>
      </c>
      <c r="S335" t="s">
        <v>2368</v>
      </c>
      <c r="T335">
        <f t="shared" ca="1" si="23"/>
        <v>32</v>
      </c>
      <c r="U335">
        <f>VLOOKUP($A335,'Medical Examination'!$A:$Z,2,FALSE)</f>
        <v>18.329999999999998</v>
      </c>
    </row>
    <row r="336" spans="1:21" ht="15.5" x14ac:dyDescent="0.35">
      <c r="A336" s="2" t="s">
        <v>336</v>
      </c>
      <c r="B336" s="2" t="s">
        <v>2999</v>
      </c>
      <c r="C336">
        <v>27.74</v>
      </c>
      <c r="D336">
        <v>4.68</v>
      </c>
      <c r="E336" t="s">
        <v>2346</v>
      </c>
      <c r="F336" t="s">
        <v>2344</v>
      </c>
      <c r="G336" t="s">
        <v>2344</v>
      </c>
      <c r="H336">
        <v>1</v>
      </c>
      <c r="I336" t="s">
        <v>2346</v>
      </c>
      <c r="J336" t="str">
        <f t="shared" si="20"/>
        <v>Over weight</v>
      </c>
      <c r="K336" t="str">
        <f t="shared" si="21"/>
        <v>Normal</v>
      </c>
      <c r="L336">
        <v>14</v>
      </c>
      <c r="M336" t="s">
        <v>2366</v>
      </c>
      <c r="N336">
        <v>1996</v>
      </c>
      <c r="O336" s="8">
        <f t="shared" si="22"/>
        <v>35291</v>
      </c>
      <c r="P336" s="10">
        <v>3176.29</v>
      </c>
      <c r="Q336" t="s">
        <v>2357</v>
      </c>
      <c r="R336" t="s">
        <v>2357</v>
      </c>
      <c r="S336" t="s">
        <v>2364</v>
      </c>
      <c r="T336">
        <f t="shared" ca="1" si="23"/>
        <v>30</v>
      </c>
      <c r="U336">
        <f>VLOOKUP($A336,'Medical Examination'!$A:$Z,2,FALSE)</f>
        <v>27.74</v>
      </c>
    </row>
    <row r="337" spans="1:21" ht="15.5" x14ac:dyDescent="0.35">
      <c r="A337" s="2" t="s">
        <v>337</v>
      </c>
      <c r="B337" s="2" t="s">
        <v>3001</v>
      </c>
      <c r="C337">
        <v>24.2</v>
      </c>
      <c r="D337">
        <v>6.15</v>
      </c>
      <c r="E337" t="s">
        <v>2344</v>
      </c>
      <c r="F337" t="s">
        <v>2344</v>
      </c>
      <c r="G337" t="s">
        <v>2344</v>
      </c>
      <c r="H337">
        <v>1</v>
      </c>
      <c r="I337" t="s">
        <v>2346</v>
      </c>
      <c r="J337" t="str">
        <f t="shared" si="20"/>
        <v>Normal Weight</v>
      </c>
      <c r="K337" t="str">
        <f t="shared" si="21"/>
        <v>Prediabetes</v>
      </c>
      <c r="L337">
        <v>3</v>
      </c>
      <c r="M337" t="s">
        <v>2356</v>
      </c>
      <c r="N337">
        <v>1996</v>
      </c>
      <c r="O337" s="8">
        <f t="shared" si="22"/>
        <v>35249</v>
      </c>
      <c r="P337" s="10">
        <v>3176.82</v>
      </c>
      <c r="Q337" t="s">
        <v>2357</v>
      </c>
      <c r="R337" t="s">
        <v>2361</v>
      </c>
      <c r="S337" t="s">
        <v>2364</v>
      </c>
      <c r="T337">
        <f t="shared" ca="1" si="23"/>
        <v>30</v>
      </c>
      <c r="U337">
        <f>VLOOKUP($A337,'Medical Examination'!$A:$Z,2,FALSE)</f>
        <v>24.2</v>
      </c>
    </row>
    <row r="338" spans="1:21" ht="15.5" x14ac:dyDescent="0.35">
      <c r="A338" s="2" t="s">
        <v>338</v>
      </c>
      <c r="B338" s="2" t="s">
        <v>3003</v>
      </c>
      <c r="C338">
        <v>22.03</v>
      </c>
      <c r="D338">
        <v>4.28</v>
      </c>
      <c r="E338" t="s">
        <v>2346</v>
      </c>
      <c r="F338" t="s">
        <v>2344</v>
      </c>
      <c r="G338" t="s">
        <v>2344</v>
      </c>
      <c r="H338">
        <v>0</v>
      </c>
      <c r="I338" t="s">
        <v>2346</v>
      </c>
      <c r="J338" t="str">
        <f t="shared" si="20"/>
        <v>Normal Weight</v>
      </c>
      <c r="K338" t="str">
        <f t="shared" si="21"/>
        <v>Normal</v>
      </c>
      <c r="L338">
        <v>23</v>
      </c>
      <c r="M338" t="s">
        <v>2363</v>
      </c>
      <c r="N338">
        <v>2000</v>
      </c>
      <c r="O338" s="8">
        <f t="shared" si="22"/>
        <v>36792</v>
      </c>
      <c r="P338" s="10">
        <v>3179.96</v>
      </c>
      <c r="Q338" t="s">
        <v>2357</v>
      </c>
      <c r="R338" t="s">
        <v>2357</v>
      </c>
      <c r="S338" t="s">
        <v>2364</v>
      </c>
      <c r="T338">
        <f t="shared" ca="1" si="23"/>
        <v>26</v>
      </c>
      <c r="U338">
        <f>VLOOKUP($A338,'Medical Examination'!$A:$Z,2,FALSE)</f>
        <v>22.03</v>
      </c>
    </row>
    <row r="339" spans="1:21" ht="15.5" x14ac:dyDescent="0.35">
      <c r="A339" s="2" t="s">
        <v>339</v>
      </c>
      <c r="B339" s="2" t="s">
        <v>3005</v>
      </c>
      <c r="C339">
        <v>26.885000000000002</v>
      </c>
      <c r="D339">
        <v>9.86</v>
      </c>
      <c r="E339" t="s">
        <v>2344</v>
      </c>
      <c r="F339" t="s">
        <v>2344</v>
      </c>
      <c r="G339" t="s">
        <v>2344</v>
      </c>
      <c r="H339">
        <v>1</v>
      </c>
      <c r="I339" t="s">
        <v>2346</v>
      </c>
      <c r="J339" t="str">
        <f t="shared" si="20"/>
        <v>Over weight</v>
      </c>
      <c r="K339" t="str">
        <f t="shared" si="21"/>
        <v>Diabetes</v>
      </c>
      <c r="L339">
        <v>2</v>
      </c>
      <c r="M339" t="s">
        <v>2363</v>
      </c>
      <c r="N339">
        <v>2001</v>
      </c>
      <c r="O339" s="8">
        <f t="shared" si="22"/>
        <v>37136</v>
      </c>
      <c r="P339" s="10">
        <v>3180.51</v>
      </c>
      <c r="Q339" t="s">
        <v>2357</v>
      </c>
      <c r="R339" t="s">
        <v>2357</v>
      </c>
      <c r="S339" t="s">
        <v>2359</v>
      </c>
      <c r="T339">
        <f t="shared" ca="1" si="23"/>
        <v>25</v>
      </c>
      <c r="U339">
        <f>VLOOKUP($A339,'Medical Examination'!$A:$Z,2,FALSE)</f>
        <v>26.885000000000002</v>
      </c>
    </row>
    <row r="340" spans="1:21" ht="15.5" x14ac:dyDescent="0.35">
      <c r="A340" s="2" t="s">
        <v>340</v>
      </c>
      <c r="B340" s="2" t="s">
        <v>3006</v>
      </c>
      <c r="C340">
        <v>16.36</v>
      </c>
      <c r="D340">
        <v>11.19</v>
      </c>
      <c r="E340" t="s">
        <v>2344</v>
      </c>
      <c r="F340" t="s">
        <v>2344</v>
      </c>
      <c r="G340" t="s">
        <v>2344</v>
      </c>
      <c r="H340">
        <v>0</v>
      </c>
      <c r="I340" t="s">
        <v>2346</v>
      </c>
      <c r="J340" t="str">
        <f t="shared" si="20"/>
        <v>Under Weight</v>
      </c>
      <c r="K340" t="str">
        <f t="shared" si="21"/>
        <v>Diabetes</v>
      </c>
      <c r="L340">
        <v>11</v>
      </c>
      <c r="M340" t="s">
        <v>2367</v>
      </c>
      <c r="N340">
        <v>1996</v>
      </c>
      <c r="O340" s="8">
        <f t="shared" si="22"/>
        <v>35349</v>
      </c>
      <c r="P340" s="10">
        <v>3201.25</v>
      </c>
      <c r="Q340" t="s">
        <v>2357</v>
      </c>
      <c r="R340" t="s">
        <v>2358</v>
      </c>
      <c r="S340" t="s">
        <v>2364</v>
      </c>
      <c r="T340">
        <f t="shared" ca="1" si="23"/>
        <v>30</v>
      </c>
      <c r="U340">
        <f>VLOOKUP($A340,'Medical Examination'!$A:$Z,2,FALSE)</f>
        <v>16.36</v>
      </c>
    </row>
    <row r="341" spans="1:21" ht="15.5" x14ac:dyDescent="0.35">
      <c r="A341" s="2" t="s">
        <v>341</v>
      </c>
      <c r="B341" s="2" t="s">
        <v>3007</v>
      </c>
      <c r="C341">
        <v>32.299999999999997</v>
      </c>
      <c r="D341">
        <v>4.8899999999999997</v>
      </c>
      <c r="E341" t="s">
        <v>2346</v>
      </c>
      <c r="F341" t="s">
        <v>2344</v>
      </c>
      <c r="G341" t="s">
        <v>2346</v>
      </c>
      <c r="H341">
        <v>1</v>
      </c>
      <c r="I341" t="s">
        <v>2344</v>
      </c>
      <c r="J341" t="str">
        <f t="shared" si="20"/>
        <v>Obesity</v>
      </c>
      <c r="K341" t="str">
        <f t="shared" si="21"/>
        <v>Normal</v>
      </c>
      <c r="L341">
        <v>5</v>
      </c>
      <c r="M341" t="s">
        <v>2356</v>
      </c>
      <c r="N341">
        <v>1997</v>
      </c>
      <c r="O341" s="8">
        <f t="shared" si="22"/>
        <v>35616</v>
      </c>
      <c r="P341" s="10">
        <v>3206.49</v>
      </c>
      <c r="Q341" t="s">
        <v>2357</v>
      </c>
      <c r="R341" t="s">
        <v>2358</v>
      </c>
      <c r="S341" t="s">
        <v>2374</v>
      </c>
      <c r="T341">
        <f t="shared" ca="1" si="23"/>
        <v>29</v>
      </c>
      <c r="U341">
        <f>VLOOKUP($A341,'Medical Examination'!$A:$Z,2,FALSE)</f>
        <v>32.299999999999997</v>
      </c>
    </row>
    <row r="342" spans="1:21" ht="15.5" x14ac:dyDescent="0.35">
      <c r="A342" s="2" t="s">
        <v>342</v>
      </c>
      <c r="B342" s="2" t="s">
        <v>3009</v>
      </c>
      <c r="C342">
        <v>16.05</v>
      </c>
      <c r="D342">
        <v>4.3499999999999996</v>
      </c>
      <c r="E342" t="s">
        <v>2346</v>
      </c>
      <c r="F342" t="s">
        <v>2344</v>
      </c>
      <c r="G342" t="s">
        <v>2344</v>
      </c>
      <c r="H342">
        <v>0</v>
      </c>
      <c r="I342" t="s">
        <v>2346</v>
      </c>
      <c r="J342" t="str">
        <f t="shared" si="20"/>
        <v>Under Weight</v>
      </c>
      <c r="K342" t="str">
        <f t="shared" si="21"/>
        <v>Normal</v>
      </c>
      <c r="L342">
        <v>22</v>
      </c>
      <c r="M342" t="s">
        <v>2365</v>
      </c>
      <c r="N342">
        <v>1997</v>
      </c>
      <c r="O342" s="8">
        <f t="shared" si="22"/>
        <v>35786</v>
      </c>
      <c r="P342" s="10">
        <v>3208.79</v>
      </c>
      <c r="Q342" t="s">
        <v>2357</v>
      </c>
      <c r="R342" t="s">
        <v>2358</v>
      </c>
      <c r="S342" t="s">
        <v>2368</v>
      </c>
      <c r="T342">
        <f t="shared" ca="1" si="23"/>
        <v>29</v>
      </c>
      <c r="U342">
        <f>VLOOKUP($A342,'Medical Examination'!$A:$Z,2,FALSE)</f>
        <v>16.05</v>
      </c>
    </row>
    <row r="343" spans="1:21" ht="15.5" x14ac:dyDescent="0.35">
      <c r="A343" s="2" t="s">
        <v>343</v>
      </c>
      <c r="B343" s="2" t="s">
        <v>3011</v>
      </c>
      <c r="C343">
        <v>29.07</v>
      </c>
      <c r="D343">
        <v>8.66</v>
      </c>
      <c r="E343" t="s">
        <v>2346</v>
      </c>
      <c r="F343" t="s">
        <v>2344</v>
      </c>
      <c r="G343" t="s">
        <v>2344</v>
      </c>
      <c r="H343">
        <v>1</v>
      </c>
      <c r="I343" t="s">
        <v>2346</v>
      </c>
      <c r="J343" t="str">
        <f t="shared" si="20"/>
        <v>Over weight</v>
      </c>
      <c r="K343" t="str">
        <f t="shared" si="21"/>
        <v>Diabetes</v>
      </c>
      <c r="L343">
        <v>6</v>
      </c>
      <c r="M343" t="s">
        <v>2356</v>
      </c>
      <c r="N343">
        <v>1997</v>
      </c>
      <c r="O343" s="8">
        <f t="shared" si="22"/>
        <v>35617</v>
      </c>
      <c r="P343" s="10">
        <v>3213.62</v>
      </c>
      <c r="Q343" t="s">
        <v>2357</v>
      </c>
      <c r="R343" t="s">
        <v>2357</v>
      </c>
      <c r="S343" t="s">
        <v>2374</v>
      </c>
      <c r="T343">
        <f t="shared" ca="1" si="23"/>
        <v>29</v>
      </c>
      <c r="U343">
        <f>VLOOKUP($A343,'Medical Examination'!$A:$Z,2,FALSE)</f>
        <v>29.07</v>
      </c>
    </row>
    <row r="344" spans="1:21" ht="15.5" x14ac:dyDescent="0.35">
      <c r="A344" s="2" t="s">
        <v>344</v>
      </c>
      <c r="B344" s="2" t="s">
        <v>3013</v>
      </c>
      <c r="C344">
        <v>17.43</v>
      </c>
      <c r="D344">
        <v>8.64</v>
      </c>
      <c r="E344" t="s">
        <v>2344</v>
      </c>
      <c r="F344" t="s">
        <v>2344</v>
      </c>
      <c r="G344" t="s">
        <v>2344</v>
      </c>
      <c r="H344">
        <v>0</v>
      </c>
      <c r="I344" t="s">
        <v>2346</v>
      </c>
      <c r="J344" t="str">
        <f t="shared" si="20"/>
        <v>Under Weight</v>
      </c>
      <c r="K344" t="str">
        <f t="shared" si="21"/>
        <v>Diabetes</v>
      </c>
      <c r="L344">
        <v>2</v>
      </c>
      <c r="M344" t="s">
        <v>2366</v>
      </c>
      <c r="N344">
        <v>1997</v>
      </c>
      <c r="O344" s="8">
        <f t="shared" si="22"/>
        <v>35644</v>
      </c>
      <c r="P344" s="10">
        <v>3227.12</v>
      </c>
      <c r="Q344" t="s">
        <v>2357</v>
      </c>
      <c r="R344" t="s">
        <v>2358</v>
      </c>
      <c r="S344" t="s">
        <v>2359</v>
      </c>
      <c r="T344">
        <f t="shared" ca="1" si="23"/>
        <v>29</v>
      </c>
      <c r="U344">
        <f>VLOOKUP($A344,'Medical Examination'!$A:$Z,2,FALSE)</f>
        <v>17.43</v>
      </c>
    </row>
    <row r="345" spans="1:21" ht="15.5" x14ac:dyDescent="0.35">
      <c r="A345" s="2" t="s">
        <v>345</v>
      </c>
      <c r="B345" s="2" t="s">
        <v>3014</v>
      </c>
      <c r="C345">
        <v>19.329999999999998</v>
      </c>
      <c r="D345">
        <v>4.2699999999999996</v>
      </c>
      <c r="E345" t="s">
        <v>2344</v>
      </c>
      <c r="F345" t="s">
        <v>2344</v>
      </c>
      <c r="G345" t="s">
        <v>2344</v>
      </c>
      <c r="H345">
        <v>0</v>
      </c>
      <c r="I345" t="s">
        <v>2346</v>
      </c>
      <c r="J345" t="str">
        <f t="shared" si="20"/>
        <v>Normal Weight</v>
      </c>
      <c r="K345" t="str">
        <f t="shared" si="21"/>
        <v>Normal</v>
      </c>
      <c r="L345">
        <v>2</v>
      </c>
      <c r="M345" t="s">
        <v>2363</v>
      </c>
      <c r="N345">
        <v>1997</v>
      </c>
      <c r="O345" s="8">
        <f t="shared" si="22"/>
        <v>35675</v>
      </c>
      <c r="P345" s="10">
        <v>3238.44</v>
      </c>
      <c r="Q345" t="s">
        <v>2357</v>
      </c>
      <c r="R345" t="s">
        <v>2358</v>
      </c>
      <c r="S345" t="s">
        <v>2359</v>
      </c>
      <c r="T345">
        <f t="shared" ca="1" si="23"/>
        <v>29</v>
      </c>
      <c r="U345">
        <f>VLOOKUP($A345,'Medical Examination'!$A:$Z,2,FALSE)</f>
        <v>19.329999999999998</v>
      </c>
    </row>
    <row r="346" spans="1:21" ht="15.5" x14ac:dyDescent="0.35">
      <c r="A346" s="2" t="s">
        <v>346</v>
      </c>
      <c r="B346" s="2" t="s">
        <v>3016</v>
      </c>
      <c r="C346">
        <v>30.52</v>
      </c>
      <c r="D346">
        <v>4.21</v>
      </c>
      <c r="E346" t="s">
        <v>2344</v>
      </c>
      <c r="F346" t="s">
        <v>2344</v>
      </c>
      <c r="G346" t="s">
        <v>2344</v>
      </c>
      <c r="H346">
        <v>1</v>
      </c>
      <c r="I346" t="s">
        <v>2346</v>
      </c>
      <c r="J346" t="str">
        <f t="shared" si="20"/>
        <v>Obesity</v>
      </c>
      <c r="K346" t="str">
        <f t="shared" si="21"/>
        <v>Normal</v>
      </c>
      <c r="L346">
        <v>13</v>
      </c>
      <c r="M346" t="s">
        <v>2360</v>
      </c>
      <c r="N346">
        <v>1991</v>
      </c>
      <c r="O346" s="8">
        <f t="shared" si="22"/>
        <v>33555</v>
      </c>
      <c r="P346" s="10">
        <v>3260.2</v>
      </c>
      <c r="Q346" t="s">
        <v>2358</v>
      </c>
      <c r="R346" t="s">
        <v>2357</v>
      </c>
      <c r="S346" t="s">
        <v>2368</v>
      </c>
      <c r="T346">
        <f t="shared" ca="1" si="23"/>
        <v>35</v>
      </c>
      <c r="U346">
        <f>VLOOKUP($A346,'Medical Examination'!$A:$Z,2,FALSE)</f>
        <v>30.52</v>
      </c>
    </row>
    <row r="347" spans="1:21" ht="15.5" x14ac:dyDescent="0.35">
      <c r="A347" s="2" t="s">
        <v>347</v>
      </c>
      <c r="B347" s="2" t="s">
        <v>3017</v>
      </c>
      <c r="C347">
        <v>39.21</v>
      </c>
      <c r="D347">
        <v>5.04</v>
      </c>
      <c r="E347" t="s">
        <v>2344</v>
      </c>
      <c r="F347" t="s">
        <v>2344</v>
      </c>
      <c r="G347" t="s">
        <v>2346</v>
      </c>
      <c r="H347">
        <v>1</v>
      </c>
      <c r="I347" t="s">
        <v>2346</v>
      </c>
      <c r="J347" t="str">
        <f t="shared" si="20"/>
        <v>Obesity</v>
      </c>
      <c r="K347" t="str">
        <f t="shared" si="21"/>
        <v>Normal</v>
      </c>
      <c r="L347">
        <v>2</v>
      </c>
      <c r="M347" t="s">
        <v>2365</v>
      </c>
      <c r="N347">
        <v>1994</v>
      </c>
      <c r="O347" s="8">
        <f t="shared" si="22"/>
        <v>34670</v>
      </c>
      <c r="P347" s="10">
        <v>3268.85</v>
      </c>
      <c r="Q347" t="s">
        <v>2358</v>
      </c>
      <c r="R347" t="s">
        <v>2361</v>
      </c>
      <c r="S347" t="s">
        <v>2371</v>
      </c>
      <c r="T347">
        <f t="shared" ca="1" si="23"/>
        <v>32</v>
      </c>
      <c r="U347">
        <f>VLOOKUP($A347,'Medical Examination'!$A:$Z,2,FALSE)</f>
        <v>39.21</v>
      </c>
    </row>
    <row r="348" spans="1:21" ht="15.5" x14ac:dyDescent="0.35">
      <c r="A348" s="2" t="s">
        <v>348</v>
      </c>
      <c r="B348" s="2" t="s">
        <v>3018</v>
      </c>
      <c r="C348">
        <v>26.98</v>
      </c>
      <c r="D348">
        <v>5.21</v>
      </c>
      <c r="E348" t="s">
        <v>2346</v>
      </c>
      <c r="F348" t="s">
        <v>2344</v>
      </c>
      <c r="G348" t="s">
        <v>2344</v>
      </c>
      <c r="H348">
        <v>1</v>
      </c>
      <c r="I348" t="s">
        <v>2346</v>
      </c>
      <c r="J348" t="str">
        <f t="shared" si="20"/>
        <v>Over weight</v>
      </c>
      <c r="K348" t="str">
        <f t="shared" si="21"/>
        <v>Normal</v>
      </c>
      <c r="L348">
        <v>1</v>
      </c>
      <c r="M348" t="s">
        <v>2356</v>
      </c>
      <c r="N348">
        <v>1994</v>
      </c>
      <c r="O348" s="8">
        <f t="shared" si="22"/>
        <v>34516</v>
      </c>
      <c r="P348" s="10">
        <v>3277.16</v>
      </c>
      <c r="Q348" t="s">
        <v>2357</v>
      </c>
      <c r="R348" t="s">
        <v>2358</v>
      </c>
      <c r="S348" t="s">
        <v>2368</v>
      </c>
      <c r="T348">
        <f t="shared" ca="1" si="23"/>
        <v>32</v>
      </c>
      <c r="U348">
        <f>VLOOKUP($A348,'Medical Examination'!$A:$Z,2,FALSE)</f>
        <v>26.98</v>
      </c>
    </row>
    <row r="349" spans="1:21" ht="15.5" x14ac:dyDescent="0.35">
      <c r="A349" s="2" t="s">
        <v>349</v>
      </c>
      <c r="B349" s="2" t="s">
        <v>3020</v>
      </c>
      <c r="C349">
        <v>25.84</v>
      </c>
      <c r="D349">
        <v>8.83</v>
      </c>
      <c r="E349" t="s">
        <v>2344</v>
      </c>
      <c r="F349" t="s">
        <v>2344</v>
      </c>
      <c r="G349" t="s">
        <v>2344</v>
      </c>
      <c r="H349">
        <v>0</v>
      </c>
      <c r="I349" t="s">
        <v>2344</v>
      </c>
      <c r="J349" t="str">
        <f t="shared" si="20"/>
        <v>Over weight</v>
      </c>
      <c r="K349" t="str">
        <f t="shared" si="21"/>
        <v>Diabetes</v>
      </c>
      <c r="L349">
        <v>6</v>
      </c>
      <c r="M349" t="s">
        <v>2367</v>
      </c>
      <c r="N349">
        <v>2001</v>
      </c>
      <c r="O349" s="8">
        <f t="shared" si="22"/>
        <v>37170</v>
      </c>
      <c r="P349" s="10">
        <v>3279.87</v>
      </c>
      <c r="Q349" t="s">
        <v>2357</v>
      </c>
      <c r="R349" t="s">
        <v>2361</v>
      </c>
      <c r="S349" t="s">
        <v>2378</v>
      </c>
      <c r="T349">
        <f t="shared" ca="1" si="23"/>
        <v>25</v>
      </c>
      <c r="U349">
        <f>VLOOKUP($A349,'Medical Examination'!$A:$Z,2,FALSE)</f>
        <v>25.84</v>
      </c>
    </row>
    <row r="350" spans="1:21" ht="15.5" x14ac:dyDescent="0.35">
      <c r="A350" s="2" t="s">
        <v>350</v>
      </c>
      <c r="B350" s="2" t="s">
        <v>3022</v>
      </c>
      <c r="C350">
        <v>28.31</v>
      </c>
      <c r="D350">
        <v>8.4700000000000006</v>
      </c>
      <c r="E350" t="s">
        <v>2346</v>
      </c>
      <c r="F350" t="s">
        <v>2344</v>
      </c>
      <c r="G350" t="s">
        <v>2344</v>
      </c>
      <c r="H350">
        <v>1</v>
      </c>
      <c r="I350" t="s">
        <v>2346</v>
      </c>
      <c r="J350" t="str">
        <f t="shared" si="20"/>
        <v>Over weight</v>
      </c>
      <c r="K350" t="str">
        <f t="shared" si="21"/>
        <v>Diabetes</v>
      </c>
      <c r="L350">
        <v>3</v>
      </c>
      <c r="M350" t="s">
        <v>2356</v>
      </c>
      <c r="N350">
        <v>2003</v>
      </c>
      <c r="O350" s="8">
        <f t="shared" si="22"/>
        <v>37805</v>
      </c>
      <c r="P350" s="10">
        <v>3280.22</v>
      </c>
      <c r="Q350" t="s">
        <v>2357</v>
      </c>
      <c r="R350" t="s">
        <v>2358</v>
      </c>
      <c r="S350" t="s">
        <v>2368</v>
      </c>
      <c r="T350">
        <f t="shared" ca="1" si="23"/>
        <v>23</v>
      </c>
      <c r="U350">
        <f>VLOOKUP($A350,'Medical Examination'!$A:$Z,2,FALSE)</f>
        <v>28.31</v>
      </c>
    </row>
    <row r="351" spans="1:21" ht="15.5" x14ac:dyDescent="0.35">
      <c r="A351" s="2" t="s">
        <v>351</v>
      </c>
      <c r="B351" s="2" t="s">
        <v>3023</v>
      </c>
      <c r="C351">
        <v>23.94</v>
      </c>
      <c r="D351">
        <v>4.2</v>
      </c>
      <c r="E351" t="s">
        <v>2344</v>
      </c>
      <c r="F351" t="s">
        <v>2344</v>
      </c>
      <c r="G351" t="s">
        <v>2344</v>
      </c>
      <c r="H351">
        <v>0</v>
      </c>
      <c r="I351" t="s">
        <v>2346</v>
      </c>
      <c r="J351" t="str">
        <f t="shared" si="20"/>
        <v>Normal Weight</v>
      </c>
      <c r="K351" t="str">
        <f t="shared" si="21"/>
        <v>Normal</v>
      </c>
      <c r="L351">
        <v>17</v>
      </c>
      <c r="M351" t="s">
        <v>2360</v>
      </c>
      <c r="N351">
        <v>1996</v>
      </c>
      <c r="O351" s="8">
        <f t="shared" si="22"/>
        <v>35386</v>
      </c>
      <c r="P351" s="10">
        <v>3292.53</v>
      </c>
      <c r="Q351" t="s">
        <v>2357</v>
      </c>
      <c r="R351" t="s">
        <v>2357</v>
      </c>
      <c r="S351" t="s">
        <v>2364</v>
      </c>
      <c r="T351">
        <f t="shared" ca="1" si="23"/>
        <v>30</v>
      </c>
      <c r="U351">
        <f>VLOOKUP($A351,'Medical Examination'!$A:$Z,2,FALSE)</f>
        <v>23.94</v>
      </c>
    </row>
    <row r="352" spans="1:21" ht="15.5" x14ac:dyDescent="0.35">
      <c r="A352" s="2" t="s">
        <v>352</v>
      </c>
      <c r="B352" s="2" t="s">
        <v>3025</v>
      </c>
      <c r="C352">
        <v>20.03</v>
      </c>
      <c r="D352">
        <v>6.14</v>
      </c>
      <c r="E352" t="s">
        <v>2346</v>
      </c>
      <c r="F352" t="s">
        <v>2344</v>
      </c>
      <c r="G352" t="s">
        <v>2344</v>
      </c>
      <c r="H352">
        <v>0</v>
      </c>
      <c r="I352" t="s">
        <v>2346</v>
      </c>
      <c r="J352" t="str">
        <f t="shared" si="20"/>
        <v>Normal Weight</v>
      </c>
      <c r="K352" t="str">
        <f t="shared" si="21"/>
        <v>Prediabetes</v>
      </c>
      <c r="L352">
        <v>5</v>
      </c>
      <c r="M352" t="s">
        <v>2365</v>
      </c>
      <c r="N352">
        <v>2003</v>
      </c>
      <c r="O352" s="8">
        <f t="shared" si="22"/>
        <v>37960</v>
      </c>
      <c r="P352" s="10">
        <v>3300.7</v>
      </c>
      <c r="Q352" t="s">
        <v>2357</v>
      </c>
      <c r="R352" t="s">
        <v>2357</v>
      </c>
      <c r="S352" t="s">
        <v>2373</v>
      </c>
      <c r="T352">
        <f t="shared" ca="1" si="23"/>
        <v>23</v>
      </c>
      <c r="U352">
        <f>VLOOKUP($A352,'Medical Examination'!$A:$Z,2,FALSE)</f>
        <v>20.03</v>
      </c>
    </row>
    <row r="353" spans="1:21" ht="15.5" x14ac:dyDescent="0.35">
      <c r="A353" s="2" t="s">
        <v>353</v>
      </c>
      <c r="B353" s="2" t="s">
        <v>3027</v>
      </c>
      <c r="C353">
        <v>41.42</v>
      </c>
      <c r="D353">
        <v>6.07</v>
      </c>
      <c r="E353" t="s">
        <v>2344</v>
      </c>
      <c r="F353" t="s">
        <v>2344</v>
      </c>
      <c r="G353" t="s">
        <v>2344</v>
      </c>
      <c r="H353">
        <v>0</v>
      </c>
      <c r="I353" t="s">
        <v>2344</v>
      </c>
      <c r="J353" t="str">
        <f t="shared" si="20"/>
        <v>Obesity</v>
      </c>
      <c r="K353" t="str">
        <f t="shared" si="21"/>
        <v>Prediabetes</v>
      </c>
      <c r="L353">
        <v>18</v>
      </c>
      <c r="M353" t="s">
        <v>2360</v>
      </c>
      <c r="N353">
        <v>2003</v>
      </c>
      <c r="O353" s="8">
        <f t="shared" si="22"/>
        <v>37943</v>
      </c>
      <c r="P353" s="10">
        <v>3308.46</v>
      </c>
      <c r="Q353" t="s">
        <v>2357</v>
      </c>
      <c r="R353" t="s">
        <v>2361</v>
      </c>
      <c r="S353" t="s">
        <v>2377</v>
      </c>
      <c r="T353">
        <f t="shared" ca="1" si="23"/>
        <v>23</v>
      </c>
      <c r="U353">
        <f>VLOOKUP($A353,'Medical Examination'!$A:$Z,2,FALSE)</f>
        <v>41.42</v>
      </c>
    </row>
    <row r="354" spans="1:21" ht="15.5" x14ac:dyDescent="0.35">
      <c r="A354" s="2" t="s">
        <v>354</v>
      </c>
      <c r="B354" s="2" t="s">
        <v>2571</v>
      </c>
      <c r="C354">
        <v>36.67</v>
      </c>
      <c r="D354">
        <v>10.210000000000001</v>
      </c>
      <c r="E354" t="s">
        <v>2344</v>
      </c>
      <c r="F354" t="s">
        <v>2344</v>
      </c>
      <c r="G354" t="s">
        <v>2344</v>
      </c>
      <c r="H354">
        <v>0</v>
      </c>
      <c r="I354" t="s">
        <v>2344</v>
      </c>
      <c r="J354" t="str">
        <f t="shared" si="20"/>
        <v>Obesity</v>
      </c>
      <c r="K354" t="str">
        <f t="shared" si="21"/>
        <v>Diabetes</v>
      </c>
      <c r="L354">
        <v>20</v>
      </c>
      <c r="M354" t="s">
        <v>2362</v>
      </c>
      <c r="N354">
        <v>1997</v>
      </c>
      <c r="O354" s="8">
        <f t="shared" si="22"/>
        <v>35601</v>
      </c>
      <c r="P354" s="10">
        <v>3309.79</v>
      </c>
      <c r="Q354" t="s">
        <v>2358</v>
      </c>
      <c r="R354" t="s">
        <v>2358</v>
      </c>
      <c r="S354" t="s">
        <v>2378</v>
      </c>
      <c r="T354">
        <f t="shared" ca="1" si="23"/>
        <v>29</v>
      </c>
      <c r="U354">
        <f>VLOOKUP($A354,'Medical Examination'!$A:$Z,2,FALSE)</f>
        <v>36.67</v>
      </c>
    </row>
    <row r="355" spans="1:21" ht="15.5" x14ac:dyDescent="0.35">
      <c r="A355" s="2" t="s">
        <v>355</v>
      </c>
      <c r="B355" s="2" t="s">
        <v>3030</v>
      </c>
      <c r="C355">
        <v>27.645</v>
      </c>
      <c r="D355">
        <v>4.6900000000000004</v>
      </c>
      <c r="E355" t="s">
        <v>2344</v>
      </c>
      <c r="F355" t="s">
        <v>2344</v>
      </c>
      <c r="G355" t="s">
        <v>2344</v>
      </c>
      <c r="H355">
        <v>0</v>
      </c>
      <c r="I355" t="s">
        <v>2344</v>
      </c>
      <c r="J355" t="str">
        <f t="shared" si="20"/>
        <v>Over weight</v>
      </c>
      <c r="K355" t="str">
        <f t="shared" si="21"/>
        <v>Normal</v>
      </c>
      <c r="L355">
        <v>1</v>
      </c>
      <c r="M355" t="s">
        <v>2363</v>
      </c>
      <c r="N355">
        <v>1991</v>
      </c>
      <c r="O355" s="8">
        <f t="shared" si="22"/>
        <v>33482</v>
      </c>
      <c r="P355" s="10">
        <v>3342.79</v>
      </c>
      <c r="Q355" t="s">
        <v>2357</v>
      </c>
      <c r="R355" t="s">
        <v>2361</v>
      </c>
      <c r="S355" t="s">
        <v>2359</v>
      </c>
      <c r="T355">
        <f t="shared" ca="1" si="23"/>
        <v>35</v>
      </c>
      <c r="U355">
        <f>VLOOKUP($A355,'Medical Examination'!$A:$Z,2,FALSE)</f>
        <v>27.645</v>
      </c>
    </row>
    <row r="356" spans="1:21" ht="15.5" x14ac:dyDescent="0.35">
      <c r="A356" s="2" t="s">
        <v>356</v>
      </c>
      <c r="B356" s="2" t="s">
        <v>3032</v>
      </c>
      <c r="C356">
        <v>22.72</v>
      </c>
      <c r="D356">
        <v>5.71</v>
      </c>
      <c r="E356" t="s">
        <v>2344</v>
      </c>
      <c r="F356" t="s">
        <v>2344</v>
      </c>
      <c r="G356" t="s">
        <v>2344</v>
      </c>
      <c r="H356">
        <v>0</v>
      </c>
      <c r="I356" t="s">
        <v>2346</v>
      </c>
      <c r="J356" t="str">
        <f t="shared" si="20"/>
        <v>Normal Weight</v>
      </c>
      <c r="K356" t="str">
        <f t="shared" si="21"/>
        <v>Prediabetes</v>
      </c>
      <c r="L356">
        <v>28</v>
      </c>
      <c r="M356" t="s">
        <v>2367</v>
      </c>
      <c r="N356">
        <v>1993</v>
      </c>
      <c r="O356" s="8">
        <f t="shared" si="22"/>
        <v>34270</v>
      </c>
      <c r="P356" s="10">
        <v>3353.28</v>
      </c>
      <c r="Q356" t="s">
        <v>2357</v>
      </c>
      <c r="R356" t="s">
        <v>2361</v>
      </c>
      <c r="S356" t="s">
        <v>2368</v>
      </c>
      <c r="T356">
        <f t="shared" ca="1" si="23"/>
        <v>33</v>
      </c>
      <c r="U356">
        <f>VLOOKUP($A356,'Medical Examination'!$A:$Z,2,FALSE)</f>
        <v>22.72</v>
      </c>
    </row>
    <row r="357" spans="1:21" ht="15.5" x14ac:dyDescent="0.35">
      <c r="A357" s="2" t="s">
        <v>357</v>
      </c>
      <c r="B357" s="2" t="s">
        <v>3035</v>
      </c>
      <c r="C357">
        <v>36.520000000000003</v>
      </c>
      <c r="D357">
        <v>9.07</v>
      </c>
      <c r="E357" t="s">
        <v>2346</v>
      </c>
      <c r="F357" t="s">
        <v>2344</v>
      </c>
      <c r="G357" t="s">
        <v>2346</v>
      </c>
      <c r="H357">
        <v>1</v>
      </c>
      <c r="I357" t="s">
        <v>2344</v>
      </c>
      <c r="J357" t="str">
        <f t="shared" si="20"/>
        <v>Obesity</v>
      </c>
      <c r="K357" t="str">
        <f t="shared" si="21"/>
        <v>Diabetes</v>
      </c>
      <c r="L357">
        <v>23</v>
      </c>
      <c r="M357" t="s">
        <v>2362</v>
      </c>
      <c r="N357">
        <v>1995</v>
      </c>
      <c r="O357" s="8">
        <f t="shared" si="22"/>
        <v>34873</v>
      </c>
      <c r="P357" s="10">
        <v>3353.47</v>
      </c>
      <c r="Q357" t="s">
        <v>2357</v>
      </c>
      <c r="R357" t="s">
        <v>2358</v>
      </c>
      <c r="S357" t="s">
        <v>2364</v>
      </c>
      <c r="T357">
        <f t="shared" ca="1" si="23"/>
        <v>31</v>
      </c>
      <c r="U357">
        <f>VLOOKUP($A357,'Medical Examination'!$A:$Z,2,FALSE)</f>
        <v>36.520000000000003</v>
      </c>
    </row>
    <row r="358" spans="1:21" ht="15.5" x14ac:dyDescent="0.35">
      <c r="A358" s="2" t="s">
        <v>358</v>
      </c>
      <c r="B358" s="2" t="s">
        <v>3037</v>
      </c>
      <c r="C358">
        <v>33.96</v>
      </c>
      <c r="D358">
        <v>4.99</v>
      </c>
      <c r="E358" t="s">
        <v>2344</v>
      </c>
      <c r="F358" t="s">
        <v>2344</v>
      </c>
      <c r="G358" t="s">
        <v>2344</v>
      </c>
      <c r="H358">
        <v>0</v>
      </c>
      <c r="I358" t="s">
        <v>2346</v>
      </c>
      <c r="J358" t="str">
        <f t="shared" si="20"/>
        <v>Obesity</v>
      </c>
      <c r="K358" t="str">
        <f t="shared" si="21"/>
        <v>Normal</v>
      </c>
      <c r="L358">
        <v>7</v>
      </c>
      <c r="M358" t="s">
        <v>2367</v>
      </c>
      <c r="N358">
        <v>1993</v>
      </c>
      <c r="O358" s="8">
        <f t="shared" si="22"/>
        <v>34249</v>
      </c>
      <c r="P358" s="10">
        <v>3366.67</v>
      </c>
      <c r="Q358" t="s">
        <v>2357</v>
      </c>
      <c r="R358" t="s">
        <v>2357</v>
      </c>
      <c r="S358" t="s">
        <v>2359</v>
      </c>
      <c r="T358">
        <f t="shared" ca="1" si="23"/>
        <v>33</v>
      </c>
      <c r="U358">
        <f>VLOOKUP($A358,'Medical Examination'!$A:$Z,2,FALSE)</f>
        <v>33.96</v>
      </c>
    </row>
    <row r="359" spans="1:21" ht="15.5" x14ac:dyDescent="0.35">
      <c r="A359" s="2" t="s">
        <v>359</v>
      </c>
      <c r="B359" s="2" t="s">
        <v>3039</v>
      </c>
      <c r="C359">
        <v>26.695</v>
      </c>
      <c r="D359">
        <v>8.31</v>
      </c>
      <c r="E359" t="s">
        <v>2344</v>
      </c>
      <c r="F359" t="s">
        <v>2344</v>
      </c>
      <c r="G359" t="s">
        <v>2344</v>
      </c>
      <c r="H359">
        <v>0</v>
      </c>
      <c r="I359" t="s">
        <v>2346</v>
      </c>
      <c r="J359" t="str">
        <f t="shared" si="20"/>
        <v>Over weight</v>
      </c>
      <c r="K359" t="str">
        <f t="shared" si="21"/>
        <v>Diabetes</v>
      </c>
      <c r="L359">
        <v>14</v>
      </c>
      <c r="M359" t="s">
        <v>2365</v>
      </c>
      <c r="N359">
        <v>1996</v>
      </c>
      <c r="O359" s="8">
        <f t="shared" si="22"/>
        <v>35413</v>
      </c>
      <c r="P359" s="10">
        <v>3378.91</v>
      </c>
      <c r="Q359" t="s">
        <v>2357</v>
      </c>
      <c r="R359" t="s">
        <v>2361</v>
      </c>
      <c r="S359" t="s">
        <v>2368</v>
      </c>
      <c r="T359">
        <f t="shared" ca="1" si="23"/>
        <v>30</v>
      </c>
      <c r="U359">
        <f>VLOOKUP($A359,'Medical Examination'!$A:$Z,2,FALSE)</f>
        <v>26.695</v>
      </c>
    </row>
    <row r="360" spans="1:21" ht="15.5" x14ac:dyDescent="0.35">
      <c r="A360" s="2" t="s">
        <v>360</v>
      </c>
      <c r="B360" s="2" t="s">
        <v>3041</v>
      </c>
      <c r="C360">
        <v>18.45</v>
      </c>
      <c r="D360">
        <v>5.07</v>
      </c>
      <c r="E360" t="s">
        <v>2346</v>
      </c>
      <c r="F360" t="s">
        <v>2344</v>
      </c>
      <c r="G360" t="s">
        <v>2344</v>
      </c>
      <c r="H360">
        <v>0</v>
      </c>
      <c r="I360" t="s">
        <v>2346</v>
      </c>
      <c r="J360" t="str">
        <f t="shared" si="20"/>
        <v>Under Weight</v>
      </c>
      <c r="K360" t="str">
        <f t="shared" si="21"/>
        <v>Normal</v>
      </c>
      <c r="L360">
        <v>13</v>
      </c>
      <c r="M360" t="s">
        <v>2360</v>
      </c>
      <c r="N360">
        <v>1996</v>
      </c>
      <c r="O360" s="8">
        <f t="shared" si="22"/>
        <v>35382</v>
      </c>
      <c r="P360" s="10">
        <v>3385.4</v>
      </c>
      <c r="Q360" t="s">
        <v>2357</v>
      </c>
      <c r="R360" t="s">
        <v>2357</v>
      </c>
      <c r="S360" t="s">
        <v>2374</v>
      </c>
      <c r="T360">
        <f t="shared" ca="1" si="23"/>
        <v>30</v>
      </c>
      <c r="U360">
        <f>VLOOKUP($A360,'Medical Examination'!$A:$Z,2,FALSE)</f>
        <v>18.45</v>
      </c>
    </row>
    <row r="361" spans="1:21" ht="15.5" x14ac:dyDescent="0.35">
      <c r="A361" s="2" t="s">
        <v>361</v>
      </c>
      <c r="B361" s="2" t="s">
        <v>2773</v>
      </c>
      <c r="C361">
        <v>33.18</v>
      </c>
      <c r="D361">
        <v>4.79</v>
      </c>
      <c r="E361" t="s">
        <v>2344</v>
      </c>
      <c r="F361" t="s">
        <v>2344</v>
      </c>
      <c r="G361" t="s">
        <v>2344</v>
      </c>
      <c r="H361">
        <v>0</v>
      </c>
      <c r="I361" t="s">
        <v>2346</v>
      </c>
      <c r="J361" t="str">
        <f t="shared" si="20"/>
        <v>Obesity</v>
      </c>
      <c r="K361" t="str">
        <f t="shared" si="21"/>
        <v>Normal</v>
      </c>
      <c r="L361">
        <v>10</v>
      </c>
      <c r="M361" t="s">
        <v>2366</v>
      </c>
      <c r="N361">
        <v>1996</v>
      </c>
      <c r="O361" s="8">
        <f t="shared" si="22"/>
        <v>35287</v>
      </c>
      <c r="P361" s="10">
        <v>3392.37</v>
      </c>
      <c r="Q361" t="s">
        <v>2357</v>
      </c>
      <c r="R361" t="s">
        <v>2358</v>
      </c>
      <c r="S361" t="s">
        <v>2359</v>
      </c>
      <c r="T361">
        <f t="shared" ca="1" si="23"/>
        <v>30</v>
      </c>
      <c r="U361">
        <f>VLOOKUP($A361,'Medical Examination'!$A:$Z,2,FALSE)</f>
        <v>33.18</v>
      </c>
    </row>
    <row r="362" spans="1:21" ht="15.5" x14ac:dyDescent="0.35">
      <c r="A362" s="2" t="s">
        <v>362</v>
      </c>
      <c r="B362" s="2" t="s">
        <v>3043</v>
      </c>
      <c r="C362">
        <v>36.1</v>
      </c>
      <c r="D362">
        <v>11.39</v>
      </c>
      <c r="E362" t="s">
        <v>2346</v>
      </c>
      <c r="F362" t="s">
        <v>2344</v>
      </c>
      <c r="G362" t="s">
        <v>2344</v>
      </c>
      <c r="H362">
        <v>1</v>
      </c>
      <c r="I362" t="s">
        <v>2344</v>
      </c>
      <c r="J362" t="str">
        <f t="shared" si="20"/>
        <v>Obesity</v>
      </c>
      <c r="K362" t="str">
        <f t="shared" si="21"/>
        <v>Diabetes</v>
      </c>
      <c r="L362">
        <v>27</v>
      </c>
      <c r="M362" t="s">
        <v>2367</v>
      </c>
      <c r="N362">
        <v>1996</v>
      </c>
      <c r="O362" s="8">
        <f t="shared" si="22"/>
        <v>35365</v>
      </c>
      <c r="P362" s="10">
        <v>3392.98</v>
      </c>
      <c r="Q362" t="s">
        <v>2357</v>
      </c>
      <c r="R362" t="s">
        <v>2358</v>
      </c>
      <c r="S362" t="s">
        <v>2359</v>
      </c>
      <c r="T362">
        <f t="shared" ca="1" si="23"/>
        <v>30</v>
      </c>
      <c r="U362">
        <f>VLOOKUP($A362,'Medical Examination'!$A:$Z,2,FALSE)</f>
        <v>36.1</v>
      </c>
    </row>
    <row r="363" spans="1:21" ht="15.5" x14ac:dyDescent="0.35">
      <c r="A363" s="2" t="s">
        <v>363</v>
      </c>
      <c r="B363" s="2" t="s">
        <v>3045</v>
      </c>
      <c r="C363">
        <v>22.77</v>
      </c>
      <c r="D363" t="s">
        <v>2346</v>
      </c>
      <c r="E363" t="s">
        <v>2344</v>
      </c>
      <c r="F363" t="s">
        <v>2344</v>
      </c>
      <c r="G363" t="s">
        <v>2344</v>
      </c>
      <c r="H363">
        <v>0</v>
      </c>
      <c r="I363" t="s">
        <v>2346</v>
      </c>
      <c r="J363" t="str">
        <f t="shared" si="20"/>
        <v>Normal Weight</v>
      </c>
      <c r="K363" t="str">
        <f t="shared" si="21"/>
        <v>Diabetes</v>
      </c>
      <c r="L363">
        <v>16</v>
      </c>
      <c r="M363" t="s">
        <v>2356</v>
      </c>
      <c r="N363">
        <v>2004</v>
      </c>
      <c r="O363" s="8">
        <f t="shared" si="22"/>
        <v>38184</v>
      </c>
      <c r="P363" s="10">
        <v>3393.36</v>
      </c>
      <c r="Q363" t="s">
        <v>2357</v>
      </c>
      <c r="R363" t="s">
        <v>2357</v>
      </c>
      <c r="S363" t="s">
        <v>2375</v>
      </c>
      <c r="T363">
        <f t="shared" ca="1" si="23"/>
        <v>22</v>
      </c>
      <c r="U363">
        <f>VLOOKUP($A363,'Medical Examination'!$A:$Z,2,FALSE)</f>
        <v>22.77</v>
      </c>
    </row>
    <row r="364" spans="1:21" ht="15.5" x14ac:dyDescent="0.35">
      <c r="A364" s="2" t="s">
        <v>364</v>
      </c>
      <c r="B364" s="2" t="s">
        <v>3046</v>
      </c>
      <c r="C364">
        <v>21.24</v>
      </c>
      <c r="D364">
        <v>5.13</v>
      </c>
      <c r="E364" t="s">
        <v>2344</v>
      </c>
      <c r="F364" t="s">
        <v>2344</v>
      </c>
      <c r="G364" t="s">
        <v>2344</v>
      </c>
      <c r="H364">
        <v>0</v>
      </c>
      <c r="I364" t="s">
        <v>2346</v>
      </c>
      <c r="J364" t="str">
        <f t="shared" si="20"/>
        <v>Normal Weight</v>
      </c>
      <c r="K364" t="str">
        <f t="shared" si="21"/>
        <v>Normal</v>
      </c>
      <c r="L364">
        <v>19</v>
      </c>
      <c r="M364" t="s">
        <v>2365</v>
      </c>
      <c r="N364">
        <v>1996</v>
      </c>
      <c r="O364" s="8">
        <f t="shared" si="22"/>
        <v>35418</v>
      </c>
      <c r="P364" s="10">
        <v>3410.32</v>
      </c>
      <c r="Q364" t="s">
        <v>2357</v>
      </c>
      <c r="R364" t="s">
        <v>2357</v>
      </c>
      <c r="S364" t="s">
        <v>2368</v>
      </c>
      <c r="T364">
        <f t="shared" ca="1" si="23"/>
        <v>30</v>
      </c>
      <c r="U364">
        <f>VLOOKUP($A364,'Medical Examination'!$A:$Z,2,FALSE)</f>
        <v>21.24</v>
      </c>
    </row>
    <row r="365" spans="1:21" ht="15.5" x14ac:dyDescent="0.35">
      <c r="A365" s="2" t="s">
        <v>365</v>
      </c>
      <c r="B365" s="2" t="s">
        <v>3047</v>
      </c>
      <c r="C365">
        <v>17.600000000000001</v>
      </c>
      <c r="D365">
        <v>5.26</v>
      </c>
      <c r="E365" t="s">
        <v>2346</v>
      </c>
      <c r="F365" t="s">
        <v>2344</v>
      </c>
      <c r="G365" t="s">
        <v>2344</v>
      </c>
      <c r="H365">
        <v>0</v>
      </c>
      <c r="I365" t="s">
        <v>2346</v>
      </c>
      <c r="J365" t="str">
        <f t="shared" si="20"/>
        <v>Under Weight</v>
      </c>
      <c r="K365" t="str">
        <f t="shared" si="21"/>
        <v>Normal</v>
      </c>
      <c r="L365">
        <v>26</v>
      </c>
      <c r="M365" t="s">
        <v>2365</v>
      </c>
      <c r="N365">
        <v>2001</v>
      </c>
      <c r="O365" s="8">
        <f t="shared" si="22"/>
        <v>37251</v>
      </c>
      <c r="P365" s="10">
        <v>3434.38</v>
      </c>
      <c r="Q365" t="s">
        <v>2357</v>
      </c>
      <c r="R365" t="s">
        <v>2357</v>
      </c>
      <c r="S365" t="s">
        <v>2368</v>
      </c>
      <c r="T365">
        <f t="shared" ca="1" si="23"/>
        <v>25</v>
      </c>
      <c r="U365">
        <f>VLOOKUP($A365,'Medical Examination'!$A:$Z,2,FALSE)</f>
        <v>17.600000000000001</v>
      </c>
    </row>
    <row r="366" spans="1:21" ht="15.5" x14ac:dyDescent="0.35">
      <c r="A366" s="2" t="s">
        <v>366</v>
      </c>
      <c r="B366" s="2" t="s">
        <v>3049</v>
      </c>
      <c r="C366">
        <v>26.29</v>
      </c>
      <c r="D366">
        <v>6.84</v>
      </c>
      <c r="E366" t="s">
        <v>2344</v>
      </c>
      <c r="F366" t="s">
        <v>2344</v>
      </c>
      <c r="G366" t="s">
        <v>2344</v>
      </c>
      <c r="H366">
        <v>0</v>
      </c>
      <c r="I366" t="s">
        <v>2346</v>
      </c>
      <c r="J366" t="str">
        <f t="shared" si="20"/>
        <v>Over weight</v>
      </c>
      <c r="K366" t="str">
        <f t="shared" si="21"/>
        <v>Diabetes</v>
      </c>
      <c r="L366">
        <v>27</v>
      </c>
      <c r="M366" t="s">
        <v>2366</v>
      </c>
      <c r="N366">
        <v>1986</v>
      </c>
      <c r="O366" s="8">
        <f t="shared" si="22"/>
        <v>31651</v>
      </c>
      <c r="P366" s="10">
        <v>3436.5</v>
      </c>
      <c r="Q366" t="s">
        <v>2357</v>
      </c>
      <c r="R366" t="s">
        <v>2361</v>
      </c>
      <c r="S366" t="s">
        <v>2359</v>
      </c>
      <c r="T366">
        <f t="shared" ca="1" si="23"/>
        <v>40</v>
      </c>
      <c r="U366">
        <f>VLOOKUP($A366,'Medical Examination'!$A:$Z,2,FALSE)</f>
        <v>26.29</v>
      </c>
    </row>
    <row r="367" spans="1:21" ht="15.5" x14ac:dyDescent="0.35">
      <c r="A367" s="2" t="s">
        <v>367</v>
      </c>
      <c r="B367" s="2" t="s">
        <v>3051</v>
      </c>
      <c r="C367">
        <v>35.31</v>
      </c>
      <c r="D367">
        <v>9.0399999999999991</v>
      </c>
      <c r="E367" t="s">
        <v>2344</v>
      </c>
      <c r="F367" t="s">
        <v>2344</v>
      </c>
      <c r="G367" t="s">
        <v>2344</v>
      </c>
      <c r="H367">
        <v>0</v>
      </c>
      <c r="I367" t="s">
        <v>2344</v>
      </c>
      <c r="J367" t="str">
        <f t="shared" si="20"/>
        <v>Obesity</v>
      </c>
      <c r="K367" t="str">
        <f t="shared" si="21"/>
        <v>Diabetes</v>
      </c>
      <c r="L367">
        <v>20</v>
      </c>
      <c r="M367" t="s">
        <v>2362</v>
      </c>
      <c r="N367">
        <v>2000</v>
      </c>
      <c r="O367" s="8">
        <f t="shared" si="22"/>
        <v>36697</v>
      </c>
      <c r="P367" s="10">
        <v>3443.06</v>
      </c>
      <c r="Q367" t="s">
        <v>2357</v>
      </c>
      <c r="R367" t="s">
        <v>2361</v>
      </c>
      <c r="S367" t="s">
        <v>2368</v>
      </c>
      <c r="T367">
        <f t="shared" ca="1" si="23"/>
        <v>26</v>
      </c>
      <c r="U367">
        <f>VLOOKUP($A367,'Medical Examination'!$A:$Z,2,FALSE)</f>
        <v>35.31</v>
      </c>
    </row>
    <row r="368" spans="1:21" ht="15.5" x14ac:dyDescent="0.35">
      <c r="A368" s="2" t="s">
        <v>368</v>
      </c>
      <c r="B368" s="2" t="s">
        <v>3053</v>
      </c>
      <c r="C368">
        <v>27.04</v>
      </c>
      <c r="D368">
        <v>4.0999999999999996</v>
      </c>
      <c r="E368" t="s">
        <v>2344</v>
      </c>
      <c r="F368" t="s">
        <v>2344</v>
      </c>
      <c r="G368" t="s">
        <v>2344</v>
      </c>
      <c r="H368">
        <v>1</v>
      </c>
      <c r="I368" t="s">
        <v>2346</v>
      </c>
      <c r="J368" t="str">
        <f t="shared" si="20"/>
        <v>Over weight</v>
      </c>
      <c r="K368" t="str">
        <f t="shared" si="21"/>
        <v>Normal</v>
      </c>
      <c r="L368">
        <v>14</v>
      </c>
      <c r="M368" t="s">
        <v>2363</v>
      </c>
      <c r="N368">
        <v>1987</v>
      </c>
      <c r="O368" s="8">
        <f t="shared" si="22"/>
        <v>32034</v>
      </c>
      <c r="P368" s="10">
        <v>3453.77</v>
      </c>
      <c r="Q368" t="s">
        <v>2357</v>
      </c>
      <c r="R368" t="s">
        <v>2361</v>
      </c>
      <c r="S368" t="s">
        <v>2368</v>
      </c>
      <c r="T368">
        <f t="shared" ca="1" si="23"/>
        <v>39</v>
      </c>
      <c r="U368">
        <f>VLOOKUP($A368,'Medical Examination'!$A:$Z,2,FALSE)</f>
        <v>27.04</v>
      </c>
    </row>
    <row r="369" spans="1:21" ht="15.5" x14ac:dyDescent="0.35">
      <c r="A369" s="2" t="s">
        <v>369</v>
      </c>
      <c r="B369" s="2" t="s">
        <v>3055</v>
      </c>
      <c r="C369">
        <v>30.23</v>
      </c>
      <c r="D369">
        <v>4.2300000000000004</v>
      </c>
      <c r="E369" t="s">
        <v>2346</v>
      </c>
      <c r="F369" t="s">
        <v>2344</v>
      </c>
      <c r="G369" t="s">
        <v>2346</v>
      </c>
      <c r="H369">
        <v>1</v>
      </c>
      <c r="I369" t="s">
        <v>2346</v>
      </c>
      <c r="J369" t="str">
        <f t="shared" si="20"/>
        <v>Obesity</v>
      </c>
      <c r="K369" t="str">
        <f t="shared" si="21"/>
        <v>Normal</v>
      </c>
      <c r="L369">
        <v>29</v>
      </c>
      <c r="M369" t="s">
        <v>2356</v>
      </c>
      <c r="N369">
        <v>2003</v>
      </c>
      <c r="O369" s="8">
        <f t="shared" si="22"/>
        <v>37831</v>
      </c>
      <c r="P369" s="10">
        <v>3463.51</v>
      </c>
      <c r="Q369" t="s">
        <v>2357</v>
      </c>
      <c r="R369" t="s">
        <v>2361</v>
      </c>
      <c r="S369" t="s">
        <v>2373</v>
      </c>
      <c r="T369">
        <f t="shared" ca="1" si="23"/>
        <v>23</v>
      </c>
      <c r="U369">
        <f>VLOOKUP($A369,'Medical Examination'!$A:$Z,2,FALSE)</f>
        <v>30.23</v>
      </c>
    </row>
    <row r="370" spans="1:21" ht="15.5" x14ac:dyDescent="0.35">
      <c r="A370" s="2" t="s">
        <v>370</v>
      </c>
      <c r="B370" s="2" t="s">
        <v>3057</v>
      </c>
      <c r="C370">
        <v>30.6</v>
      </c>
      <c r="D370">
        <v>6.48</v>
      </c>
      <c r="E370" t="s">
        <v>2346</v>
      </c>
      <c r="F370" t="s">
        <v>2344</v>
      </c>
      <c r="G370" t="s">
        <v>2346</v>
      </c>
      <c r="H370">
        <v>1</v>
      </c>
      <c r="I370" t="s">
        <v>2346</v>
      </c>
      <c r="J370" t="str">
        <f t="shared" si="20"/>
        <v>Obesity</v>
      </c>
      <c r="K370" t="str">
        <f t="shared" si="21"/>
        <v>Prediabetes</v>
      </c>
      <c r="L370">
        <v>12</v>
      </c>
      <c r="M370" t="s">
        <v>2367</v>
      </c>
      <c r="N370">
        <v>1993</v>
      </c>
      <c r="O370" s="8">
        <f t="shared" si="22"/>
        <v>34254</v>
      </c>
      <c r="P370" s="10">
        <v>3471.41</v>
      </c>
      <c r="Q370" t="s">
        <v>2357</v>
      </c>
      <c r="R370" t="s">
        <v>2357</v>
      </c>
      <c r="S370" t="s">
        <v>2359</v>
      </c>
      <c r="T370">
        <f t="shared" ca="1" si="23"/>
        <v>33</v>
      </c>
      <c r="U370">
        <f>VLOOKUP($A370,'Medical Examination'!$A:$Z,2,FALSE)</f>
        <v>30.6</v>
      </c>
    </row>
    <row r="371" spans="1:21" ht="15.5" x14ac:dyDescent="0.35">
      <c r="A371" s="2" t="s">
        <v>371</v>
      </c>
      <c r="B371" s="2" t="s">
        <v>3059</v>
      </c>
      <c r="C371">
        <v>26.8</v>
      </c>
      <c r="D371">
        <v>5.53</v>
      </c>
      <c r="E371" t="s">
        <v>2344</v>
      </c>
      <c r="F371" t="s">
        <v>2344</v>
      </c>
      <c r="G371" t="s">
        <v>2344</v>
      </c>
      <c r="H371">
        <v>1</v>
      </c>
      <c r="I371" t="s">
        <v>2346</v>
      </c>
      <c r="J371" t="str">
        <f t="shared" si="20"/>
        <v>Over weight</v>
      </c>
      <c r="K371" t="str">
        <f t="shared" si="21"/>
        <v>Normal</v>
      </c>
      <c r="L371">
        <v>26</v>
      </c>
      <c r="M371" t="s">
        <v>2362</v>
      </c>
      <c r="N371">
        <v>2004</v>
      </c>
      <c r="O371" s="8">
        <f t="shared" si="22"/>
        <v>38164</v>
      </c>
      <c r="P371" s="10">
        <v>3481.87</v>
      </c>
      <c r="Q371" t="s">
        <v>2357</v>
      </c>
      <c r="R371" t="s">
        <v>2358</v>
      </c>
      <c r="S371" t="s">
        <v>2371</v>
      </c>
      <c r="T371">
        <f t="shared" ca="1" si="23"/>
        <v>22</v>
      </c>
      <c r="U371">
        <f>VLOOKUP($A371,'Medical Examination'!$A:$Z,2,FALSE)</f>
        <v>26.8</v>
      </c>
    </row>
    <row r="372" spans="1:21" ht="15.5" x14ac:dyDescent="0.35">
      <c r="A372" s="2" t="s">
        <v>372</v>
      </c>
      <c r="B372" s="2" t="s">
        <v>3061</v>
      </c>
      <c r="C372">
        <v>16.86</v>
      </c>
      <c r="D372">
        <v>4.07</v>
      </c>
      <c r="E372" t="s">
        <v>2346</v>
      </c>
      <c r="F372" t="s">
        <v>2344</v>
      </c>
      <c r="G372" t="s">
        <v>2344</v>
      </c>
      <c r="H372">
        <v>0</v>
      </c>
      <c r="I372" t="s">
        <v>2346</v>
      </c>
      <c r="J372" t="str">
        <f t="shared" si="20"/>
        <v>Under Weight</v>
      </c>
      <c r="K372" t="str">
        <f t="shared" si="21"/>
        <v>Normal</v>
      </c>
      <c r="L372">
        <v>19</v>
      </c>
      <c r="M372" t="s">
        <v>2363</v>
      </c>
      <c r="N372">
        <v>1996</v>
      </c>
      <c r="O372" s="8">
        <f t="shared" si="22"/>
        <v>35327</v>
      </c>
      <c r="P372" s="10">
        <v>3484.33</v>
      </c>
      <c r="Q372" t="s">
        <v>2358</v>
      </c>
      <c r="R372" t="s">
        <v>2358</v>
      </c>
      <c r="S372" t="s">
        <v>2368</v>
      </c>
      <c r="T372">
        <f t="shared" ca="1" si="23"/>
        <v>30</v>
      </c>
      <c r="U372">
        <f>VLOOKUP($A372,'Medical Examination'!$A:$Z,2,FALSE)</f>
        <v>16.86</v>
      </c>
    </row>
    <row r="373" spans="1:21" ht="15.5" x14ac:dyDescent="0.35">
      <c r="A373" s="2" t="s">
        <v>373</v>
      </c>
      <c r="B373" s="2" t="s">
        <v>3063</v>
      </c>
      <c r="C373">
        <v>16.3</v>
      </c>
      <c r="D373">
        <v>5.51</v>
      </c>
      <c r="E373" t="s">
        <v>2344</v>
      </c>
      <c r="F373" t="s">
        <v>2344</v>
      </c>
      <c r="G373" t="s">
        <v>2344</v>
      </c>
      <c r="H373">
        <v>1</v>
      </c>
      <c r="I373" t="s">
        <v>2346</v>
      </c>
      <c r="J373" t="str">
        <f t="shared" si="20"/>
        <v>Under Weight</v>
      </c>
      <c r="K373" t="str">
        <f t="shared" si="21"/>
        <v>Normal</v>
      </c>
      <c r="L373">
        <v>18</v>
      </c>
      <c r="M373" t="s">
        <v>2363</v>
      </c>
      <c r="N373">
        <v>1996</v>
      </c>
      <c r="O373" s="8">
        <f t="shared" si="22"/>
        <v>35326</v>
      </c>
      <c r="P373" s="10">
        <v>3490.55</v>
      </c>
      <c r="Q373" t="s">
        <v>2361</v>
      </c>
      <c r="R373" t="s">
        <v>2357</v>
      </c>
      <c r="S373" t="s">
        <v>2369</v>
      </c>
      <c r="T373">
        <f t="shared" ca="1" si="23"/>
        <v>30</v>
      </c>
      <c r="U373">
        <f>VLOOKUP($A373,'Medical Examination'!$A:$Z,2,FALSE)</f>
        <v>16.3</v>
      </c>
    </row>
    <row r="374" spans="1:21" ht="15.5" x14ac:dyDescent="0.35">
      <c r="A374" s="2" t="s">
        <v>374</v>
      </c>
      <c r="B374" s="2" t="s">
        <v>3064</v>
      </c>
      <c r="C374">
        <v>29.81</v>
      </c>
      <c r="D374">
        <v>11.66</v>
      </c>
      <c r="E374" t="s">
        <v>2344</v>
      </c>
      <c r="F374" t="s">
        <v>2344</v>
      </c>
      <c r="G374" t="s">
        <v>2344</v>
      </c>
      <c r="H374">
        <v>0</v>
      </c>
      <c r="I374" t="s">
        <v>2346</v>
      </c>
      <c r="J374" t="str">
        <f t="shared" si="20"/>
        <v>Over weight</v>
      </c>
      <c r="K374" t="str">
        <f t="shared" si="21"/>
        <v>Diabetes</v>
      </c>
      <c r="L374">
        <v>22</v>
      </c>
      <c r="M374" t="s">
        <v>2363</v>
      </c>
      <c r="N374">
        <v>1999</v>
      </c>
      <c r="O374" s="8">
        <f t="shared" si="22"/>
        <v>36425</v>
      </c>
      <c r="P374" s="10">
        <v>3500.61</v>
      </c>
      <c r="Q374" t="s">
        <v>2357</v>
      </c>
      <c r="R374" t="s">
        <v>2357</v>
      </c>
      <c r="S374" t="s">
        <v>2359</v>
      </c>
      <c r="T374">
        <f t="shared" ca="1" si="23"/>
        <v>27</v>
      </c>
      <c r="U374">
        <f>VLOOKUP($A374,'Medical Examination'!$A:$Z,2,FALSE)</f>
        <v>29.81</v>
      </c>
    </row>
    <row r="375" spans="1:21" ht="15.5" x14ac:dyDescent="0.35">
      <c r="A375" s="2" t="s">
        <v>375</v>
      </c>
      <c r="B375" s="2" t="s">
        <v>3066</v>
      </c>
      <c r="C375">
        <v>16.329999999999998</v>
      </c>
      <c r="D375">
        <v>7.26</v>
      </c>
      <c r="E375" t="s">
        <v>2346</v>
      </c>
      <c r="F375" t="s">
        <v>2344</v>
      </c>
      <c r="G375" t="s">
        <v>2344</v>
      </c>
      <c r="H375">
        <v>0</v>
      </c>
      <c r="I375" t="s">
        <v>2346</v>
      </c>
      <c r="J375" t="str">
        <f t="shared" si="20"/>
        <v>Under Weight</v>
      </c>
      <c r="K375" t="str">
        <f t="shared" si="21"/>
        <v>Diabetes</v>
      </c>
      <c r="L375">
        <v>16</v>
      </c>
      <c r="M375" t="s">
        <v>2363</v>
      </c>
      <c r="N375">
        <v>1998</v>
      </c>
      <c r="O375" s="8">
        <f t="shared" si="22"/>
        <v>36054</v>
      </c>
      <c r="P375" s="10">
        <v>3537.7</v>
      </c>
      <c r="Q375" t="s">
        <v>2358</v>
      </c>
      <c r="R375" t="s">
        <v>2358</v>
      </c>
      <c r="S375" t="s">
        <v>2364</v>
      </c>
      <c r="T375">
        <f t="shared" ca="1" si="23"/>
        <v>28</v>
      </c>
      <c r="U375">
        <f>VLOOKUP($A375,'Medical Examination'!$A:$Z,2,FALSE)</f>
        <v>16.329999999999998</v>
      </c>
    </row>
    <row r="376" spans="1:21" ht="15.5" x14ac:dyDescent="0.35">
      <c r="A376" s="2" t="s">
        <v>376</v>
      </c>
      <c r="B376" s="2" t="s">
        <v>3067</v>
      </c>
      <c r="C376">
        <v>16.37</v>
      </c>
      <c r="D376">
        <v>4.79</v>
      </c>
      <c r="E376" t="s">
        <v>2346</v>
      </c>
      <c r="F376" t="s">
        <v>2344</v>
      </c>
      <c r="G376" t="s">
        <v>2344</v>
      </c>
      <c r="H376">
        <v>0</v>
      </c>
      <c r="I376" t="s">
        <v>2346</v>
      </c>
      <c r="J376" t="str">
        <f t="shared" si="20"/>
        <v>Under Weight</v>
      </c>
      <c r="K376" t="str">
        <f t="shared" si="21"/>
        <v>Normal</v>
      </c>
      <c r="L376">
        <v>24</v>
      </c>
      <c r="M376" t="s">
        <v>2366</v>
      </c>
      <c r="N376">
        <v>2003</v>
      </c>
      <c r="O376" s="8">
        <f t="shared" si="22"/>
        <v>37857</v>
      </c>
      <c r="P376" s="10">
        <v>3538.9</v>
      </c>
      <c r="Q376" t="s">
        <v>2357</v>
      </c>
      <c r="R376" t="s">
        <v>2357</v>
      </c>
      <c r="S376" t="s">
        <v>2364</v>
      </c>
      <c r="T376">
        <f t="shared" ca="1" si="23"/>
        <v>23</v>
      </c>
      <c r="U376">
        <f>VLOOKUP($A376,'Medical Examination'!$A:$Z,2,FALSE)</f>
        <v>16.37</v>
      </c>
    </row>
    <row r="377" spans="1:21" ht="15.5" x14ac:dyDescent="0.35">
      <c r="A377" s="2" t="s">
        <v>377</v>
      </c>
      <c r="B377" s="2" t="s">
        <v>3069</v>
      </c>
      <c r="C377">
        <v>22.42</v>
      </c>
      <c r="D377">
        <v>4.68</v>
      </c>
      <c r="E377" t="s">
        <v>2346</v>
      </c>
      <c r="F377" t="s">
        <v>2344</v>
      </c>
      <c r="G377" t="s">
        <v>2344</v>
      </c>
      <c r="H377">
        <v>1</v>
      </c>
      <c r="I377" t="s">
        <v>2344</v>
      </c>
      <c r="J377" t="str">
        <f t="shared" si="20"/>
        <v>Normal Weight</v>
      </c>
      <c r="K377" t="str">
        <f t="shared" si="21"/>
        <v>Normal</v>
      </c>
      <c r="L377">
        <v>15</v>
      </c>
      <c r="M377" t="s">
        <v>2367</v>
      </c>
      <c r="N377">
        <v>1988</v>
      </c>
      <c r="O377" s="8">
        <f t="shared" si="22"/>
        <v>32431</v>
      </c>
      <c r="P377" s="10">
        <v>3540.12</v>
      </c>
      <c r="Q377" t="s">
        <v>2357</v>
      </c>
      <c r="R377" t="s">
        <v>2361</v>
      </c>
      <c r="S377" t="s">
        <v>2359</v>
      </c>
      <c r="T377">
        <f t="shared" ca="1" si="23"/>
        <v>38</v>
      </c>
      <c r="U377">
        <f>VLOOKUP($A377,'Medical Examination'!$A:$Z,2,FALSE)</f>
        <v>22.42</v>
      </c>
    </row>
    <row r="378" spans="1:21" ht="15.5" x14ac:dyDescent="0.35">
      <c r="A378" s="2" t="s">
        <v>378</v>
      </c>
      <c r="B378" s="2" t="s">
        <v>3071</v>
      </c>
      <c r="C378">
        <v>31.35</v>
      </c>
      <c r="D378">
        <v>4.33</v>
      </c>
      <c r="E378" t="s">
        <v>2346</v>
      </c>
      <c r="F378" t="s">
        <v>2344</v>
      </c>
      <c r="G378" t="s">
        <v>2346</v>
      </c>
      <c r="H378">
        <v>1</v>
      </c>
      <c r="I378" t="s">
        <v>2344</v>
      </c>
      <c r="J378" t="str">
        <f t="shared" si="20"/>
        <v>Obesity</v>
      </c>
      <c r="K378" t="str">
        <f t="shared" si="21"/>
        <v>Normal</v>
      </c>
      <c r="L378">
        <v>22</v>
      </c>
      <c r="M378" t="s">
        <v>2365</v>
      </c>
      <c r="N378">
        <v>1992</v>
      </c>
      <c r="O378" s="8">
        <f t="shared" si="22"/>
        <v>33960</v>
      </c>
      <c r="P378" s="10">
        <v>3554.2</v>
      </c>
      <c r="Q378" t="s">
        <v>2357</v>
      </c>
      <c r="R378" t="s">
        <v>2358</v>
      </c>
      <c r="S378" t="s">
        <v>2368</v>
      </c>
      <c r="T378">
        <f t="shared" ca="1" si="23"/>
        <v>34</v>
      </c>
      <c r="U378">
        <f>VLOOKUP($A378,'Medical Examination'!$A:$Z,2,FALSE)</f>
        <v>31.35</v>
      </c>
    </row>
    <row r="379" spans="1:21" ht="15.5" x14ac:dyDescent="0.35">
      <c r="A379" s="2" t="s">
        <v>379</v>
      </c>
      <c r="B379" s="2" t="s">
        <v>3072</v>
      </c>
      <c r="C379">
        <v>31.9</v>
      </c>
      <c r="D379">
        <v>11.89</v>
      </c>
      <c r="E379" t="s">
        <v>2344</v>
      </c>
      <c r="F379" t="s">
        <v>2344</v>
      </c>
      <c r="G379" t="s">
        <v>2344</v>
      </c>
      <c r="H379">
        <v>0</v>
      </c>
      <c r="I379" t="s">
        <v>2344</v>
      </c>
      <c r="J379" t="str">
        <f t="shared" si="20"/>
        <v>Obesity</v>
      </c>
      <c r="K379" t="str">
        <f t="shared" si="21"/>
        <v>Diabetes</v>
      </c>
      <c r="L379">
        <v>24</v>
      </c>
      <c r="M379" t="s">
        <v>2363</v>
      </c>
      <c r="N379">
        <v>1994</v>
      </c>
      <c r="O379" s="8">
        <f t="shared" si="22"/>
        <v>34601</v>
      </c>
      <c r="P379" s="10">
        <v>3556.92</v>
      </c>
      <c r="Q379" t="s">
        <v>2357</v>
      </c>
      <c r="R379" t="s">
        <v>2358</v>
      </c>
      <c r="S379" t="s">
        <v>2364</v>
      </c>
      <c r="T379">
        <f t="shared" ca="1" si="23"/>
        <v>32</v>
      </c>
      <c r="U379">
        <f>VLOOKUP($A379,'Medical Examination'!$A:$Z,2,FALSE)</f>
        <v>31.9</v>
      </c>
    </row>
    <row r="380" spans="1:21" ht="15.5" x14ac:dyDescent="0.35">
      <c r="A380" s="2" t="s">
        <v>380</v>
      </c>
      <c r="B380" s="2" t="s">
        <v>3074</v>
      </c>
      <c r="C380">
        <v>30.6</v>
      </c>
      <c r="D380">
        <v>5.24</v>
      </c>
      <c r="E380" t="s">
        <v>2344</v>
      </c>
      <c r="F380" t="s">
        <v>2344</v>
      </c>
      <c r="G380" t="s">
        <v>2344</v>
      </c>
      <c r="H380">
        <v>0</v>
      </c>
      <c r="I380" t="s">
        <v>2346</v>
      </c>
      <c r="J380" t="str">
        <f t="shared" si="20"/>
        <v>Obesity</v>
      </c>
      <c r="K380" t="str">
        <f t="shared" si="21"/>
        <v>Normal</v>
      </c>
      <c r="L380">
        <v>9</v>
      </c>
      <c r="M380" t="s">
        <v>2367</v>
      </c>
      <c r="N380">
        <v>1995</v>
      </c>
      <c r="O380" s="8">
        <f t="shared" si="22"/>
        <v>34981</v>
      </c>
      <c r="P380" s="10">
        <v>3558.62</v>
      </c>
      <c r="Q380" t="s">
        <v>2357</v>
      </c>
      <c r="R380" t="s">
        <v>2358</v>
      </c>
      <c r="S380" t="s">
        <v>2374</v>
      </c>
      <c r="T380">
        <f t="shared" ca="1" si="23"/>
        <v>31</v>
      </c>
      <c r="U380">
        <f>VLOOKUP($A380,'Medical Examination'!$A:$Z,2,FALSE)</f>
        <v>30.6</v>
      </c>
    </row>
    <row r="381" spans="1:21" ht="15.5" x14ac:dyDescent="0.35">
      <c r="A381" s="2" t="s">
        <v>381</v>
      </c>
      <c r="B381" s="2" t="s">
        <v>3075</v>
      </c>
      <c r="C381">
        <v>28.975000000000001</v>
      </c>
      <c r="D381">
        <v>7.63</v>
      </c>
      <c r="E381" t="s">
        <v>2344</v>
      </c>
      <c r="F381" t="s">
        <v>2344</v>
      </c>
      <c r="G381" t="s">
        <v>2344</v>
      </c>
      <c r="H381">
        <v>0</v>
      </c>
      <c r="I381" t="s">
        <v>2346</v>
      </c>
      <c r="J381" t="str">
        <f t="shared" si="20"/>
        <v>Over weight</v>
      </c>
      <c r="K381" t="str">
        <f t="shared" si="21"/>
        <v>Diabetes</v>
      </c>
      <c r="L381">
        <v>16</v>
      </c>
      <c r="M381" t="s">
        <v>2362</v>
      </c>
      <c r="N381">
        <v>1995</v>
      </c>
      <c r="O381" s="8">
        <f t="shared" si="22"/>
        <v>34866</v>
      </c>
      <c r="P381" s="10">
        <v>3561.89</v>
      </c>
      <c r="Q381" t="s">
        <v>2357</v>
      </c>
      <c r="R381" t="s">
        <v>2361</v>
      </c>
      <c r="S381" t="s">
        <v>2359</v>
      </c>
      <c r="T381">
        <f t="shared" ca="1" si="23"/>
        <v>31</v>
      </c>
      <c r="U381">
        <f>VLOOKUP($A381,'Medical Examination'!$A:$Z,2,FALSE)</f>
        <v>28.975000000000001</v>
      </c>
    </row>
    <row r="382" spans="1:21" ht="15.5" x14ac:dyDescent="0.35">
      <c r="A382" s="2" t="s">
        <v>382</v>
      </c>
      <c r="B382" s="2" t="s">
        <v>3077</v>
      </c>
      <c r="C382">
        <v>24.86</v>
      </c>
      <c r="D382">
        <v>8.92</v>
      </c>
      <c r="E382" t="s">
        <v>2346</v>
      </c>
      <c r="F382" t="s">
        <v>2344</v>
      </c>
      <c r="G382" t="s">
        <v>2344</v>
      </c>
      <c r="H382">
        <v>1</v>
      </c>
      <c r="I382" t="s">
        <v>2344</v>
      </c>
      <c r="J382" t="str">
        <f t="shared" si="20"/>
        <v>Normal Weight</v>
      </c>
      <c r="K382" t="str">
        <f t="shared" si="21"/>
        <v>Diabetes</v>
      </c>
      <c r="L382">
        <v>10</v>
      </c>
      <c r="M382" t="s">
        <v>2367</v>
      </c>
      <c r="N382">
        <v>1981</v>
      </c>
      <c r="O382" s="8">
        <f t="shared" si="22"/>
        <v>29869</v>
      </c>
      <c r="P382" s="10">
        <v>3562.87</v>
      </c>
      <c r="Q382" t="s">
        <v>2357</v>
      </c>
      <c r="R382" t="s">
        <v>2361</v>
      </c>
      <c r="S382" t="s">
        <v>2359</v>
      </c>
      <c r="T382">
        <f t="shared" ca="1" si="23"/>
        <v>45</v>
      </c>
      <c r="U382">
        <f>VLOOKUP($A382,'Medical Examination'!$A:$Z,2,FALSE)</f>
        <v>24.86</v>
      </c>
    </row>
    <row r="383" spans="1:21" ht="15.5" x14ac:dyDescent="0.35">
      <c r="A383" s="2" t="s">
        <v>383</v>
      </c>
      <c r="B383" s="2" t="s">
        <v>3078</v>
      </c>
      <c r="C383">
        <v>19.54</v>
      </c>
      <c r="D383">
        <v>5.37</v>
      </c>
      <c r="E383" t="s">
        <v>2344</v>
      </c>
      <c r="F383" t="s">
        <v>2344</v>
      </c>
      <c r="G383" t="s">
        <v>2344</v>
      </c>
      <c r="H383">
        <v>0</v>
      </c>
      <c r="I383" t="s">
        <v>2346</v>
      </c>
      <c r="J383" t="str">
        <f t="shared" si="20"/>
        <v>Normal Weight</v>
      </c>
      <c r="K383" t="str">
        <f t="shared" si="21"/>
        <v>Normal</v>
      </c>
      <c r="L383">
        <v>18</v>
      </c>
      <c r="M383" t="s">
        <v>2366</v>
      </c>
      <c r="N383">
        <v>1988</v>
      </c>
      <c r="O383" s="8">
        <f t="shared" si="22"/>
        <v>32373</v>
      </c>
      <c r="P383" s="10">
        <v>3569.96</v>
      </c>
      <c r="Q383" t="s">
        <v>2357</v>
      </c>
      <c r="R383" t="s">
        <v>2361</v>
      </c>
      <c r="S383" t="s">
        <v>2364</v>
      </c>
      <c r="T383">
        <f t="shared" ca="1" si="23"/>
        <v>38</v>
      </c>
      <c r="U383">
        <f>VLOOKUP($A383,'Medical Examination'!$A:$Z,2,FALSE)</f>
        <v>19.54</v>
      </c>
    </row>
    <row r="384" spans="1:21" ht="15.5" x14ac:dyDescent="0.35">
      <c r="A384" s="2" t="s">
        <v>384</v>
      </c>
      <c r="B384" s="2" t="s">
        <v>3079</v>
      </c>
      <c r="C384">
        <v>26.74</v>
      </c>
      <c r="D384">
        <v>4.3099999999999996</v>
      </c>
      <c r="E384" t="s">
        <v>2344</v>
      </c>
      <c r="F384" t="s">
        <v>2344</v>
      </c>
      <c r="G384" t="s">
        <v>2344</v>
      </c>
      <c r="H384">
        <v>0</v>
      </c>
      <c r="I384" t="s">
        <v>2346</v>
      </c>
      <c r="J384" t="str">
        <f t="shared" si="20"/>
        <v>Over weight</v>
      </c>
      <c r="K384" t="str">
        <f t="shared" si="21"/>
        <v>Normal</v>
      </c>
      <c r="L384">
        <v>23</v>
      </c>
      <c r="M384" t="s">
        <v>2366</v>
      </c>
      <c r="N384">
        <v>1995</v>
      </c>
      <c r="O384" s="8">
        <f t="shared" si="22"/>
        <v>34934</v>
      </c>
      <c r="P384" s="10">
        <v>3578</v>
      </c>
      <c r="Q384" t="s">
        <v>2357</v>
      </c>
      <c r="R384" t="s">
        <v>2358</v>
      </c>
      <c r="S384" t="s">
        <v>2368</v>
      </c>
      <c r="T384">
        <f t="shared" ca="1" si="23"/>
        <v>31</v>
      </c>
      <c r="U384">
        <f>VLOOKUP($A384,'Medical Examination'!$A:$Z,2,FALSE)</f>
        <v>26.74</v>
      </c>
    </row>
    <row r="385" spans="1:21" ht="15.5" x14ac:dyDescent="0.35">
      <c r="A385" s="2" t="s">
        <v>385</v>
      </c>
      <c r="B385" s="2" t="s">
        <v>3080</v>
      </c>
      <c r="C385">
        <v>22.99</v>
      </c>
      <c r="D385">
        <v>10.46</v>
      </c>
      <c r="E385" t="s">
        <v>2344</v>
      </c>
      <c r="F385" t="s">
        <v>2344</v>
      </c>
      <c r="G385" t="s">
        <v>2344</v>
      </c>
      <c r="H385">
        <v>1</v>
      </c>
      <c r="I385" t="s">
        <v>2346</v>
      </c>
      <c r="J385" t="str">
        <f t="shared" si="20"/>
        <v>Normal Weight</v>
      </c>
      <c r="K385" t="str">
        <f t="shared" si="21"/>
        <v>Diabetes</v>
      </c>
      <c r="L385">
        <v>11</v>
      </c>
      <c r="M385" t="s">
        <v>2360</v>
      </c>
      <c r="N385">
        <v>2001</v>
      </c>
      <c r="O385" s="8">
        <f t="shared" si="22"/>
        <v>37206</v>
      </c>
      <c r="P385" s="10">
        <v>3579.83</v>
      </c>
      <c r="Q385" t="s">
        <v>2357</v>
      </c>
      <c r="R385" t="s">
        <v>2357</v>
      </c>
      <c r="S385" t="s">
        <v>2364</v>
      </c>
      <c r="T385">
        <f t="shared" ca="1" si="23"/>
        <v>25</v>
      </c>
      <c r="U385">
        <f>VLOOKUP($A385,'Medical Examination'!$A:$Z,2,FALSE)</f>
        <v>22.99</v>
      </c>
    </row>
    <row r="386" spans="1:21" ht="15.5" x14ac:dyDescent="0.35">
      <c r="A386" s="2" t="s">
        <v>386</v>
      </c>
      <c r="B386" s="2" t="s">
        <v>3081</v>
      </c>
      <c r="C386">
        <v>31.46</v>
      </c>
      <c r="D386">
        <v>7.39</v>
      </c>
      <c r="E386" t="s">
        <v>2344</v>
      </c>
      <c r="F386" t="s">
        <v>2344</v>
      </c>
      <c r="G386" t="s">
        <v>2344</v>
      </c>
      <c r="H386">
        <v>0</v>
      </c>
      <c r="I386" t="s">
        <v>2344</v>
      </c>
      <c r="J386" t="str">
        <f t="shared" si="20"/>
        <v>Obesity</v>
      </c>
      <c r="K386" t="str">
        <f t="shared" si="21"/>
        <v>Diabetes</v>
      </c>
      <c r="L386">
        <v>27</v>
      </c>
      <c r="M386" t="s">
        <v>2365</v>
      </c>
      <c r="N386">
        <v>1986</v>
      </c>
      <c r="O386" s="8">
        <f t="shared" si="22"/>
        <v>31773</v>
      </c>
      <c r="P386" s="10">
        <v>3589.14</v>
      </c>
      <c r="Q386" t="s">
        <v>2357</v>
      </c>
      <c r="R386" t="s">
        <v>2357</v>
      </c>
      <c r="S386" t="s">
        <v>2359</v>
      </c>
      <c r="T386">
        <f t="shared" ca="1" si="23"/>
        <v>40</v>
      </c>
      <c r="U386">
        <f>VLOOKUP($A386,'Medical Examination'!$A:$Z,2,FALSE)</f>
        <v>31.46</v>
      </c>
    </row>
    <row r="387" spans="1:21" ht="15.5" x14ac:dyDescent="0.35">
      <c r="A387" s="2" t="s">
        <v>387</v>
      </c>
      <c r="B387" s="2" t="s">
        <v>3082</v>
      </c>
      <c r="C387">
        <v>30.86</v>
      </c>
      <c r="D387">
        <v>6.18</v>
      </c>
      <c r="E387" t="s">
        <v>2344</v>
      </c>
      <c r="F387" t="s">
        <v>2345</v>
      </c>
      <c r="G387" t="s">
        <v>2344</v>
      </c>
      <c r="H387">
        <v>1</v>
      </c>
      <c r="I387" t="s">
        <v>2346</v>
      </c>
      <c r="J387" t="str">
        <f t="shared" ref="J387:J450" si="24">IF(C387&lt;18.5,"Under Weight",IF(C387&lt;25,"Normal Weight",IF(C387&lt;30,"Over weight","Obesity")))</f>
        <v>Obesity</v>
      </c>
      <c r="K387" t="str">
        <f t="shared" ref="K387:K450" si="25">IF(D387&lt;5.7,"Normal",IF(D387&lt;6.5,"Prediabetes","Diabetes"))</f>
        <v>Prediabetes</v>
      </c>
      <c r="L387">
        <v>6</v>
      </c>
      <c r="M387" t="s">
        <v>2362</v>
      </c>
      <c r="N387">
        <v>1999</v>
      </c>
      <c r="O387" s="8">
        <f t="shared" ref="O387:O450" si="26">DATE(N387,MONTH(1&amp;M387),L387)</f>
        <v>36317</v>
      </c>
      <c r="P387" s="10">
        <v>3591.48</v>
      </c>
      <c r="Q387" t="s">
        <v>2357</v>
      </c>
      <c r="R387" t="s">
        <v>2358</v>
      </c>
      <c r="S387" t="s">
        <v>2368</v>
      </c>
      <c r="T387">
        <f t="shared" ref="T387:T450" ca="1" si="27">YEAR(TODAY())-YEAR(O387)</f>
        <v>27</v>
      </c>
      <c r="U387">
        <f>VLOOKUP($A387,'Medical Examination'!$A:$Z,2,FALSE)</f>
        <v>30.86</v>
      </c>
    </row>
    <row r="388" spans="1:21" ht="15.5" x14ac:dyDescent="0.35">
      <c r="A388" s="2" t="s">
        <v>388</v>
      </c>
      <c r="B388" s="2" t="s">
        <v>3084</v>
      </c>
      <c r="C388">
        <v>31.96</v>
      </c>
      <c r="D388">
        <v>8.86</v>
      </c>
      <c r="E388" t="s">
        <v>2344</v>
      </c>
      <c r="F388" t="s">
        <v>2344</v>
      </c>
      <c r="G388" t="s">
        <v>2344</v>
      </c>
      <c r="H388">
        <v>0</v>
      </c>
      <c r="I388" t="s">
        <v>2346</v>
      </c>
      <c r="J388" t="str">
        <f t="shared" si="24"/>
        <v>Obesity</v>
      </c>
      <c r="K388" t="str">
        <f t="shared" si="25"/>
        <v>Diabetes</v>
      </c>
      <c r="L388">
        <v>4</v>
      </c>
      <c r="M388" t="s">
        <v>2360</v>
      </c>
      <c r="N388">
        <v>1997</v>
      </c>
      <c r="O388" s="8">
        <f t="shared" si="26"/>
        <v>35738</v>
      </c>
      <c r="P388" s="10">
        <v>3594.17</v>
      </c>
      <c r="Q388" t="s">
        <v>2357</v>
      </c>
      <c r="R388" t="s">
        <v>2357</v>
      </c>
      <c r="S388" t="s">
        <v>2364</v>
      </c>
      <c r="T388">
        <f t="shared" ca="1" si="27"/>
        <v>29</v>
      </c>
      <c r="U388">
        <f>VLOOKUP($A388,'Medical Examination'!$A:$Z,2,FALSE)</f>
        <v>31.96</v>
      </c>
    </row>
    <row r="389" spans="1:21" ht="15.5" x14ac:dyDescent="0.35">
      <c r="A389" s="2" t="s">
        <v>389</v>
      </c>
      <c r="B389" s="2" t="s">
        <v>3086</v>
      </c>
      <c r="C389">
        <v>23.76</v>
      </c>
      <c r="D389">
        <v>10.96</v>
      </c>
      <c r="E389" t="s">
        <v>2344</v>
      </c>
      <c r="F389" t="s">
        <v>2344</v>
      </c>
      <c r="G389" t="s">
        <v>2344</v>
      </c>
      <c r="H389">
        <v>1</v>
      </c>
      <c r="I389" t="s">
        <v>2346</v>
      </c>
      <c r="J389" t="str">
        <f t="shared" si="24"/>
        <v>Normal Weight</v>
      </c>
      <c r="K389" t="str">
        <f t="shared" si="25"/>
        <v>Diabetes</v>
      </c>
      <c r="L389">
        <v>12</v>
      </c>
      <c r="M389" t="s">
        <v>2366</v>
      </c>
      <c r="N389">
        <v>1999</v>
      </c>
      <c r="O389" s="8">
        <f t="shared" si="26"/>
        <v>36384</v>
      </c>
      <c r="P389" s="10">
        <v>3597.6</v>
      </c>
      <c r="Q389" t="s">
        <v>2357</v>
      </c>
      <c r="R389" t="s">
        <v>2357</v>
      </c>
      <c r="S389" t="s">
        <v>2368</v>
      </c>
      <c r="T389">
        <f t="shared" ca="1" si="27"/>
        <v>27</v>
      </c>
      <c r="U389">
        <f>VLOOKUP($A389,'Medical Examination'!$A:$Z,2,FALSE)</f>
        <v>23.76</v>
      </c>
    </row>
    <row r="390" spans="1:21" ht="15.5" x14ac:dyDescent="0.35">
      <c r="A390" s="2" t="s">
        <v>390</v>
      </c>
      <c r="B390" s="2" t="s">
        <v>3087</v>
      </c>
      <c r="C390">
        <v>19.38</v>
      </c>
      <c r="D390">
        <v>6.28</v>
      </c>
      <c r="E390" t="s">
        <v>2344</v>
      </c>
      <c r="F390" t="s">
        <v>2344</v>
      </c>
      <c r="G390" t="s">
        <v>2344</v>
      </c>
      <c r="H390">
        <v>0</v>
      </c>
      <c r="I390" t="s">
        <v>2346</v>
      </c>
      <c r="J390" t="str">
        <f t="shared" si="24"/>
        <v>Normal Weight</v>
      </c>
      <c r="K390" t="str">
        <f t="shared" si="25"/>
        <v>Prediabetes</v>
      </c>
      <c r="L390">
        <v>4</v>
      </c>
      <c r="M390" t="s">
        <v>2360</v>
      </c>
      <c r="N390">
        <v>1988</v>
      </c>
      <c r="O390" s="8">
        <f t="shared" si="26"/>
        <v>32451</v>
      </c>
      <c r="P390" s="10">
        <v>3603.6</v>
      </c>
      <c r="Q390" t="s">
        <v>2357</v>
      </c>
      <c r="R390" t="s">
        <v>2361</v>
      </c>
      <c r="S390" t="s">
        <v>2359</v>
      </c>
      <c r="T390">
        <f t="shared" ca="1" si="27"/>
        <v>38</v>
      </c>
      <c r="U390">
        <f>VLOOKUP($A390,'Medical Examination'!$A:$Z,2,FALSE)</f>
        <v>19.38</v>
      </c>
    </row>
    <row r="391" spans="1:21" ht="15.5" x14ac:dyDescent="0.35">
      <c r="A391" s="2" t="s">
        <v>391</v>
      </c>
      <c r="B391" s="2" t="s">
        <v>3088</v>
      </c>
      <c r="C391">
        <v>16.21</v>
      </c>
      <c r="D391">
        <v>6.29</v>
      </c>
      <c r="E391" t="s">
        <v>2346</v>
      </c>
      <c r="F391" t="s">
        <v>2344</v>
      </c>
      <c r="G391" t="s">
        <v>2344</v>
      </c>
      <c r="H391">
        <v>1</v>
      </c>
      <c r="I391" t="s">
        <v>2346</v>
      </c>
      <c r="J391" t="str">
        <f t="shared" si="24"/>
        <v>Under Weight</v>
      </c>
      <c r="K391" t="str">
        <f t="shared" si="25"/>
        <v>Prediabetes</v>
      </c>
      <c r="L391">
        <v>11</v>
      </c>
      <c r="M391" t="s">
        <v>2367</v>
      </c>
      <c r="N391">
        <v>1990</v>
      </c>
      <c r="O391" s="8">
        <f t="shared" si="26"/>
        <v>33157</v>
      </c>
      <c r="P391" s="10">
        <v>3606.43</v>
      </c>
      <c r="Q391" t="s">
        <v>2357</v>
      </c>
      <c r="R391" t="s">
        <v>2361</v>
      </c>
      <c r="S391" t="s">
        <v>2359</v>
      </c>
      <c r="T391">
        <f t="shared" ca="1" si="27"/>
        <v>36</v>
      </c>
      <c r="U391">
        <f>VLOOKUP($A391,'Medical Examination'!$A:$Z,2,FALSE)</f>
        <v>16.21</v>
      </c>
    </row>
    <row r="392" spans="1:21" ht="15.5" x14ac:dyDescent="0.35">
      <c r="A392" s="2" t="s">
        <v>392</v>
      </c>
      <c r="B392" s="2" t="s">
        <v>3090</v>
      </c>
      <c r="C392">
        <v>32.54</v>
      </c>
      <c r="D392">
        <v>4.0199999999999996</v>
      </c>
      <c r="E392" t="s">
        <v>2344</v>
      </c>
      <c r="F392" t="s">
        <v>2345</v>
      </c>
      <c r="G392" t="s">
        <v>2344</v>
      </c>
      <c r="H392">
        <v>1</v>
      </c>
      <c r="I392" t="s">
        <v>2346</v>
      </c>
      <c r="J392" t="str">
        <f t="shared" si="24"/>
        <v>Obesity</v>
      </c>
      <c r="K392" t="str">
        <f t="shared" si="25"/>
        <v>Normal</v>
      </c>
      <c r="L392">
        <v>14</v>
      </c>
      <c r="M392" t="s">
        <v>2362</v>
      </c>
      <c r="N392">
        <v>1985</v>
      </c>
      <c r="O392" s="8">
        <f t="shared" si="26"/>
        <v>31212</v>
      </c>
      <c r="P392" s="10">
        <v>3622.13</v>
      </c>
      <c r="Q392" t="s">
        <v>2357</v>
      </c>
      <c r="R392" t="s">
        <v>2361</v>
      </c>
      <c r="S392" t="s">
        <v>2359</v>
      </c>
      <c r="T392">
        <f t="shared" ca="1" si="27"/>
        <v>41</v>
      </c>
      <c r="U392">
        <f>VLOOKUP($A392,'Medical Examination'!$A:$Z,2,FALSE)</f>
        <v>32.54</v>
      </c>
    </row>
    <row r="393" spans="1:21" ht="15.5" x14ac:dyDescent="0.35">
      <c r="A393" s="2" t="s">
        <v>393</v>
      </c>
      <c r="B393" s="2" t="s">
        <v>3092</v>
      </c>
      <c r="C393">
        <v>36.765000000000001</v>
      </c>
      <c r="D393">
        <v>11.95</v>
      </c>
      <c r="E393" t="s">
        <v>2346</v>
      </c>
      <c r="F393" t="s">
        <v>2344</v>
      </c>
      <c r="G393" t="s">
        <v>2344</v>
      </c>
      <c r="H393">
        <v>1</v>
      </c>
      <c r="I393" t="s">
        <v>2344</v>
      </c>
      <c r="J393" t="str">
        <f t="shared" si="24"/>
        <v>Obesity</v>
      </c>
      <c r="K393" t="str">
        <f t="shared" si="25"/>
        <v>Diabetes</v>
      </c>
      <c r="L393">
        <v>17</v>
      </c>
      <c r="M393" t="s">
        <v>2360</v>
      </c>
      <c r="N393">
        <v>1992</v>
      </c>
      <c r="O393" s="8">
        <f t="shared" si="26"/>
        <v>33925</v>
      </c>
      <c r="P393" s="10">
        <v>3645.09</v>
      </c>
      <c r="Q393" t="s">
        <v>2361</v>
      </c>
      <c r="R393" t="s">
        <v>2357</v>
      </c>
      <c r="S393" t="s">
        <v>2376</v>
      </c>
      <c r="T393">
        <f t="shared" ca="1" si="27"/>
        <v>34</v>
      </c>
      <c r="U393">
        <f>VLOOKUP($A393,'Medical Examination'!$A:$Z,2,FALSE)</f>
        <v>36.765000000000001</v>
      </c>
    </row>
    <row r="394" spans="1:21" ht="15.5" x14ac:dyDescent="0.35">
      <c r="A394" s="2" t="s">
        <v>394</v>
      </c>
      <c r="B394" s="2" t="s">
        <v>3093</v>
      </c>
      <c r="C394">
        <v>35.909999999999997</v>
      </c>
      <c r="D394">
        <v>8.7100000000000009</v>
      </c>
      <c r="E394" t="s">
        <v>2344</v>
      </c>
      <c r="F394" t="s">
        <v>2344</v>
      </c>
      <c r="G394" t="s">
        <v>2344</v>
      </c>
      <c r="H394">
        <v>0</v>
      </c>
      <c r="I394" t="s">
        <v>2344</v>
      </c>
      <c r="J394" t="str">
        <f t="shared" si="24"/>
        <v>Obesity</v>
      </c>
      <c r="K394" t="str">
        <f t="shared" si="25"/>
        <v>Diabetes</v>
      </c>
      <c r="L394">
        <v>8</v>
      </c>
      <c r="M394" t="s">
        <v>2360</v>
      </c>
      <c r="N394">
        <v>1990</v>
      </c>
      <c r="O394" s="8">
        <f t="shared" si="26"/>
        <v>33185</v>
      </c>
      <c r="P394" s="10">
        <v>3653.29</v>
      </c>
      <c r="Q394" t="s">
        <v>2357</v>
      </c>
      <c r="R394" t="s">
        <v>2358</v>
      </c>
      <c r="S394" t="s">
        <v>2368</v>
      </c>
      <c r="T394">
        <f t="shared" ca="1" si="27"/>
        <v>36</v>
      </c>
      <c r="U394">
        <f>VLOOKUP($A394,'Medical Examination'!$A:$Z,2,FALSE)</f>
        <v>35.909999999999997</v>
      </c>
    </row>
    <row r="395" spans="1:21" ht="15.5" x14ac:dyDescent="0.35">
      <c r="A395" s="2" t="s">
        <v>395</v>
      </c>
      <c r="B395" s="2" t="s">
        <v>2805</v>
      </c>
      <c r="C395">
        <v>32.06</v>
      </c>
      <c r="D395">
        <v>4.67</v>
      </c>
      <c r="E395" t="s">
        <v>2344</v>
      </c>
      <c r="F395" t="s">
        <v>2345</v>
      </c>
      <c r="G395" t="s">
        <v>2344</v>
      </c>
      <c r="H395">
        <v>1</v>
      </c>
      <c r="I395" t="s">
        <v>2346</v>
      </c>
      <c r="J395" t="str">
        <f t="shared" si="24"/>
        <v>Obesity</v>
      </c>
      <c r="K395" t="str">
        <f t="shared" si="25"/>
        <v>Normal</v>
      </c>
      <c r="L395">
        <v>14</v>
      </c>
      <c r="M395" t="s">
        <v>2363</v>
      </c>
      <c r="N395">
        <v>1992</v>
      </c>
      <c r="O395" s="8">
        <f t="shared" si="26"/>
        <v>33861</v>
      </c>
      <c r="P395" s="10">
        <v>3659.35</v>
      </c>
      <c r="Q395" t="s">
        <v>2358</v>
      </c>
      <c r="R395" t="s">
        <v>2361</v>
      </c>
      <c r="S395" t="s">
        <v>2368</v>
      </c>
      <c r="T395">
        <f t="shared" ca="1" si="27"/>
        <v>34</v>
      </c>
      <c r="U395">
        <f>VLOOKUP($A395,'Medical Examination'!$A:$Z,2,FALSE)</f>
        <v>32.06</v>
      </c>
    </row>
    <row r="396" spans="1:21" ht="15.5" x14ac:dyDescent="0.35">
      <c r="A396" s="2" t="s">
        <v>396</v>
      </c>
      <c r="B396" s="2" t="s">
        <v>3096</v>
      </c>
      <c r="C396">
        <v>24.1</v>
      </c>
      <c r="D396">
        <v>11.14</v>
      </c>
      <c r="E396" t="s">
        <v>2346</v>
      </c>
      <c r="F396" t="s">
        <v>2344</v>
      </c>
      <c r="G396" t="s">
        <v>2344</v>
      </c>
      <c r="H396">
        <v>1</v>
      </c>
      <c r="I396" t="s">
        <v>2344</v>
      </c>
      <c r="J396" t="str">
        <f t="shared" si="24"/>
        <v>Normal Weight</v>
      </c>
      <c r="K396" t="str">
        <f t="shared" si="25"/>
        <v>Diabetes</v>
      </c>
      <c r="L396">
        <v>6</v>
      </c>
      <c r="M396" t="s">
        <v>2356</v>
      </c>
      <c r="N396">
        <v>1984</v>
      </c>
      <c r="O396" s="8">
        <f t="shared" si="26"/>
        <v>30869</v>
      </c>
      <c r="P396" s="10">
        <v>3678.86</v>
      </c>
      <c r="Q396" t="s">
        <v>2357</v>
      </c>
      <c r="R396" t="s">
        <v>2358</v>
      </c>
      <c r="S396" t="s">
        <v>2359</v>
      </c>
      <c r="T396">
        <f t="shared" ca="1" si="27"/>
        <v>42</v>
      </c>
      <c r="U396">
        <f>VLOOKUP($A396,'Medical Examination'!$A:$Z,2,FALSE)</f>
        <v>24.1</v>
      </c>
    </row>
    <row r="397" spans="1:21" ht="15.5" x14ac:dyDescent="0.35">
      <c r="A397" s="2" t="s">
        <v>397</v>
      </c>
      <c r="B397" s="2" t="s">
        <v>3098</v>
      </c>
      <c r="C397">
        <v>27.1</v>
      </c>
      <c r="D397">
        <v>9.0500000000000007</v>
      </c>
      <c r="E397" t="s">
        <v>2344</v>
      </c>
      <c r="F397" t="s">
        <v>2344</v>
      </c>
      <c r="G397" t="s">
        <v>2344</v>
      </c>
      <c r="H397">
        <v>1</v>
      </c>
      <c r="I397" t="s">
        <v>2344</v>
      </c>
      <c r="J397" t="str">
        <f t="shared" si="24"/>
        <v>Over weight</v>
      </c>
      <c r="K397" t="str">
        <f t="shared" si="25"/>
        <v>Diabetes</v>
      </c>
      <c r="L397">
        <v>10</v>
      </c>
      <c r="M397" t="s">
        <v>2356</v>
      </c>
      <c r="N397">
        <v>2003</v>
      </c>
      <c r="O397" s="8">
        <f t="shared" si="26"/>
        <v>37812</v>
      </c>
      <c r="P397" s="10">
        <v>3688.35</v>
      </c>
      <c r="Q397" t="s">
        <v>2357</v>
      </c>
      <c r="R397" t="s">
        <v>2357</v>
      </c>
      <c r="S397" t="s">
        <v>2377</v>
      </c>
      <c r="T397">
        <f t="shared" ca="1" si="27"/>
        <v>23</v>
      </c>
      <c r="U397">
        <f>VLOOKUP($A397,'Medical Examination'!$A:$Z,2,FALSE)</f>
        <v>27.1</v>
      </c>
    </row>
    <row r="398" spans="1:21" ht="15.5" x14ac:dyDescent="0.35">
      <c r="A398" s="2" t="s">
        <v>398</v>
      </c>
      <c r="B398" s="2" t="s">
        <v>3099</v>
      </c>
      <c r="C398">
        <v>24.42</v>
      </c>
      <c r="D398">
        <v>11.31</v>
      </c>
      <c r="E398" t="s">
        <v>2344</v>
      </c>
      <c r="F398" t="s">
        <v>2344</v>
      </c>
      <c r="G398" t="s">
        <v>2344</v>
      </c>
      <c r="H398">
        <v>0</v>
      </c>
      <c r="I398" t="s">
        <v>2346</v>
      </c>
      <c r="J398" t="str">
        <f t="shared" si="24"/>
        <v>Normal Weight</v>
      </c>
      <c r="K398" t="str">
        <f t="shared" si="25"/>
        <v>Diabetes</v>
      </c>
      <c r="L398">
        <v>14</v>
      </c>
      <c r="M398" t="s">
        <v>2365</v>
      </c>
      <c r="N398">
        <v>1981</v>
      </c>
      <c r="O398" s="8">
        <f t="shared" si="26"/>
        <v>29934</v>
      </c>
      <c r="P398" s="10">
        <v>3688.38</v>
      </c>
      <c r="Q398" t="s">
        <v>2357</v>
      </c>
      <c r="R398" t="s">
        <v>2357</v>
      </c>
      <c r="S398" t="s">
        <v>2359</v>
      </c>
      <c r="T398">
        <f t="shared" ca="1" si="27"/>
        <v>45</v>
      </c>
      <c r="U398">
        <f>VLOOKUP($A398,'Medical Examination'!$A:$Z,2,FALSE)</f>
        <v>24.42</v>
      </c>
    </row>
    <row r="399" spans="1:21" ht="15.5" x14ac:dyDescent="0.35">
      <c r="A399" s="2" t="s">
        <v>399</v>
      </c>
      <c r="B399" s="2" t="s">
        <v>3101</v>
      </c>
      <c r="C399">
        <v>26.695</v>
      </c>
      <c r="D399">
        <v>4.68</v>
      </c>
      <c r="E399" t="s">
        <v>2346</v>
      </c>
      <c r="F399" t="s">
        <v>2344</v>
      </c>
      <c r="G399" t="s">
        <v>2344</v>
      </c>
      <c r="H399">
        <v>1</v>
      </c>
      <c r="I399" t="s">
        <v>2346</v>
      </c>
      <c r="J399" t="str">
        <f t="shared" si="24"/>
        <v>Over weight</v>
      </c>
      <c r="K399" t="str">
        <f t="shared" si="25"/>
        <v>Normal</v>
      </c>
      <c r="L399">
        <v>21</v>
      </c>
      <c r="M399" t="s">
        <v>2367</v>
      </c>
      <c r="N399">
        <v>1995</v>
      </c>
      <c r="O399" s="8">
        <f t="shared" si="26"/>
        <v>34993</v>
      </c>
      <c r="P399" s="10">
        <v>3693.43</v>
      </c>
      <c r="Q399" t="s">
        <v>2357</v>
      </c>
      <c r="R399" t="s">
        <v>2358</v>
      </c>
      <c r="S399" t="s">
        <v>2368</v>
      </c>
      <c r="T399">
        <f t="shared" ca="1" si="27"/>
        <v>31</v>
      </c>
      <c r="U399">
        <f>VLOOKUP($A399,'Medical Examination'!$A:$Z,2,FALSE)</f>
        <v>26.695</v>
      </c>
    </row>
    <row r="400" spans="1:21" ht="15.5" x14ac:dyDescent="0.35">
      <c r="A400" s="2" t="s">
        <v>400</v>
      </c>
      <c r="B400" s="2" t="s">
        <v>3102</v>
      </c>
      <c r="C400">
        <v>27.79</v>
      </c>
      <c r="D400">
        <v>6.05</v>
      </c>
      <c r="E400" t="s">
        <v>2346</v>
      </c>
      <c r="F400" t="s">
        <v>2345</v>
      </c>
      <c r="G400" t="s">
        <v>2344</v>
      </c>
      <c r="H400">
        <v>1</v>
      </c>
      <c r="I400" t="s">
        <v>2346</v>
      </c>
      <c r="J400" t="str">
        <f t="shared" si="24"/>
        <v>Over weight</v>
      </c>
      <c r="K400" t="str">
        <f t="shared" si="25"/>
        <v>Prediabetes</v>
      </c>
      <c r="L400">
        <v>18</v>
      </c>
      <c r="M400" t="s">
        <v>2366</v>
      </c>
      <c r="N400">
        <v>1988</v>
      </c>
      <c r="O400" s="8">
        <f t="shared" si="26"/>
        <v>32373</v>
      </c>
      <c r="P400" s="10">
        <v>3699.54</v>
      </c>
      <c r="Q400" t="s">
        <v>2357</v>
      </c>
      <c r="R400" t="s">
        <v>2358</v>
      </c>
      <c r="S400" t="s">
        <v>2359</v>
      </c>
      <c r="T400">
        <f t="shared" ca="1" si="27"/>
        <v>38</v>
      </c>
      <c r="U400">
        <f>VLOOKUP($A400,'Medical Examination'!$A:$Z,2,FALSE)</f>
        <v>27.79</v>
      </c>
    </row>
    <row r="401" spans="1:21" ht="15.5" x14ac:dyDescent="0.35">
      <c r="A401" s="2" t="s">
        <v>401</v>
      </c>
      <c r="B401" s="2" t="s">
        <v>3103</v>
      </c>
      <c r="C401">
        <v>32.68</v>
      </c>
      <c r="D401">
        <v>4.68</v>
      </c>
      <c r="E401" t="s">
        <v>2346</v>
      </c>
      <c r="F401" t="s">
        <v>2344</v>
      </c>
      <c r="G401" t="s">
        <v>2344</v>
      </c>
      <c r="H401">
        <v>0</v>
      </c>
      <c r="I401" t="s">
        <v>2344</v>
      </c>
      <c r="J401" t="str">
        <f t="shared" si="24"/>
        <v>Obesity</v>
      </c>
      <c r="K401" t="str">
        <f t="shared" si="25"/>
        <v>Normal</v>
      </c>
      <c r="L401">
        <v>2</v>
      </c>
      <c r="M401" t="s">
        <v>2365</v>
      </c>
      <c r="N401">
        <v>1989</v>
      </c>
      <c r="O401" s="8">
        <f t="shared" si="26"/>
        <v>32844</v>
      </c>
      <c r="P401" s="10">
        <v>3704.35</v>
      </c>
      <c r="Q401" t="s">
        <v>2357</v>
      </c>
      <c r="R401" t="s">
        <v>2357</v>
      </c>
      <c r="S401" t="s">
        <v>2359</v>
      </c>
      <c r="T401">
        <f t="shared" ca="1" si="27"/>
        <v>37</v>
      </c>
      <c r="U401">
        <f>VLOOKUP($A401,'Medical Examination'!$A:$Z,2,FALSE)</f>
        <v>32.68</v>
      </c>
    </row>
    <row r="402" spans="1:21" ht="15.5" x14ac:dyDescent="0.35">
      <c r="A402" s="2" t="s">
        <v>402</v>
      </c>
      <c r="B402" s="2" t="s">
        <v>3104</v>
      </c>
      <c r="C402">
        <v>26.4</v>
      </c>
      <c r="D402">
        <v>9.5</v>
      </c>
      <c r="E402" t="s">
        <v>2346</v>
      </c>
      <c r="F402" t="s">
        <v>2344</v>
      </c>
      <c r="G402" t="s">
        <v>2344</v>
      </c>
      <c r="H402">
        <v>1</v>
      </c>
      <c r="I402" t="s">
        <v>2344</v>
      </c>
      <c r="J402" t="str">
        <f t="shared" si="24"/>
        <v>Over weight</v>
      </c>
      <c r="K402" t="str">
        <f t="shared" si="25"/>
        <v>Diabetes</v>
      </c>
      <c r="L402">
        <v>5</v>
      </c>
      <c r="M402" t="s">
        <v>2360</v>
      </c>
      <c r="N402">
        <v>2004</v>
      </c>
      <c r="O402" s="8">
        <f t="shared" si="26"/>
        <v>38296</v>
      </c>
      <c r="P402" s="10">
        <v>3722.23</v>
      </c>
      <c r="Q402" t="s">
        <v>2357</v>
      </c>
      <c r="R402" t="s">
        <v>2357</v>
      </c>
      <c r="S402" t="s">
        <v>2373</v>
      </c>
      <c r="T402">
        <f t="shared" ca="1" si="27"/>
        <v>22</v>
      </c>
      <c r="U402">
        <f>VLOOKUP($A402,'Medical Examination'!$A:$Z,2,FALSE)</f>
        <v>26.4</v>
      </c>
    </row>
    <row r="403" spans="1:21" ht="15.5" x14ac:dyDescent="0.35">
      <c r="A403" s="2" t="s">
        <v>403</v>
      </c>
      <c r="B403" s="2" t="s">
        <v>3106</v>
      </c>
      <c r="C403">
        <v>23.655000000000001</v>
      </c>
      <c r="D403">
        <v>10.84</v>
      </c>
      <c r="E403" t="s">
        <v>2346</v>
      </c>
      <c r="F403" t="s">
        <v>2344</v>
      </c>
      <c r="G403" t="s">
        <v>2346</v>
      </c>
      <c r="H403">
        <v>1</v>
      </c>
      <c r="I403" t="s">
        <v>2346</v>
      </c>
      <c r="J403" t="str">
        <f t="shared" si="24"/>
        <v>Normal Weight</v>
      </c>
      <c r="K403" t="str">
        <f t="shared" si="25"/>
        <v>Diabetes</v>
      </c>
      <c r="L403">
        <v>1</v>
      </c>
      <c r="M403" t="s">
        <v>2365</v>
      </c>
      <c r="N403">
        <v>1986</v>
      </c>
      <c r="O403" s="8">
        <f t="shared" si="26"/>
        <v>31747</v>
      </c>
      <c r="P403" s="10">
        <v>3731.6</v>
      </c>
      <c r="Q403" t="s">
        <v>2357</v>
      </c>
      <c r="R403" t="s">
        <v>2357</v>
      </c>
      <c r="S403" t="s">
        <v>2359</v>
      </c>
      <c r="T403">
        <f t="shared" ca="1" si="27"/>
        <v>40</v>
      </c>
      <c r="U403">
        <f>VLOOKUP($A403,'Medical Examination'!$A:$Z,2,FALSE)</f>
        <v>23.655000000000001</v>
      </c>
    </row>
    <row r="404" spans="1:21" ht="15.5" x14ac:dyDescent="0.35">
      <c r="A404" s="2" t="s">
        <v>404</v>
      </c>
      <c r="B404" s="2" t="s">
        <v>3107</v>
      </c>
      <c r="C404">
        <v>27.36</v>
      </c>
      <c r="D404">
        <v>5.88</v>
      </c>
      <c r="E404" t="s">
        <v>2344</v>
      </c>
      <c r="F404" t="s">
        <v>2344</v>
      </c>
      <c r="G404" t="s">
        <v>2344</v>
      </c>
      <c r="H404">
        <v>1</v>
      </c>
      <c r="I404" t="s">
        <v>2344</v>
      </c>
      <c r="J404" t="str">
        <f t="shared" si="24"/>
        <v>Over weight</v>
      </c>
      <c r="K404" t="str">
        <f t="shared" si="25"/>
        <v>Prediabetes</v>
      </c>
      <c r="L404">
        <v>22</v>
      </c>
      <c r="M404" t="s">
        <v>2366</v>
      </c>
      <c r="N404">
        <v>1994</v>
      </c>
      <c r="O404" s="8">
        <f t="shared" si="26"/>
        <v>34568</v>
      </c>
      <c r="P404" s="10">
        <v>3732.63</v>
      </c>
      <c r="Q404" t="s">
        <v>2357</v>
      </c>
      <c r="R404" t="s">
        <v>2358</v>
      </c>
      <c r="S404" t="s">
        <v>2374</v>
      </c>
      <c r="T404">
        <f t="shared" ca="1" si="27"/>
        <v>32</v>
      </c>
      <c r="U404">
        <f>VLOOKUP($A404,'Medical Examination'!$A:$Z,2,FALSE)</f>
        <v>27.36</v>
      </c>
    </row>
    <row r="405" spans="1:21" ht="15.5" x14ac:dyDescent="0.35">
      <c r="A405" s="2" t="s">
        <v>405</v>
      </c>
      <c r="B405" s="2" t="s">
        <v>3110</v>
      </c>
      <c r="C405">
        <v>27.82</v>
      </c>
      <c r="D405">
        <v>5.24</v>
      </c>
      <c r="E405" t="s">
        <v>2346</v>
      </c>
      <c r="F405" t="s">
        <v>2344</v>
      </c>
      <c r="G405" t="s">
        <v>2344</v>
      </c>
      <c r="H405">
        <v>0</v>
      </c>
      <c r="I405" t="s">
        <v>2346</v>
      </c>
      <c r="J405" t="str">
        <f t="shared" si="24"/>
        <v>Over weight</v>
      </c>
      <c r="K405" t="str">
        <f t="shared" si="25"/>
        <v>Normal</v>
      </c>
      <c r="L405">
        <v>22</v>
      </c>
      <c r="M405" t="s">
        <v>2362</v>
      </c>
      <c r="N405">
        <v>1993</v>
      </c>
      <c r="O405" s="8">
        <f t="shared" si="26"/>
        <v>34142</v>
      </c>
      <c r="P405" s="10">
        <v>3736.46</v>
      </c>
      <c r="Q405" t="s">
        <v>2357</v>
      </c>
      <c r="R405" t="s">
        <v>2357</v>
      </c>
      <c r="S405" t="s">
        <v>2364</v>
      </c>
      <c r="T405">
        <f t="shared" ca="1" si="27"/>
        <v>33</v>
      </c>
      <c r="U405">
        <f>VLOOKUP($A405,'Medical Examination'!$A:$Z,2,FALSE)</f>
        <v>27.82</v>
      </c>
    </row>
    <row r="406" spans="1:21" ht="15.5" x14ac:dyDescent="0.35">
      <c r="A406" s="2" t="s">
        <v>406</v>
      </c>
      <c r="B406" s="2" t="s">
        <v>3111</v>
      </c>
      <c r="C406">
        <v>25.46</v>
      </c>
      <c r="D406">
        <v>11.75</v>
      </c>
      <c r="E406" t="s">
        <v>2344</v>
      </c>
      <c r="F406" t="s">
        <v>2344</v>
      </c>
      <c r="G406" t="s">
        <v>2344</v>
      </c>
      <c r="H406">
        <v>0</v>
      </c>
      <c r="I406" t="s">
        <v>2344</v>
      </c>
      <c r="J406" t="str">
        <f t="shared" si="24"/>
        <v>Over weight</v>
      </c>
      <c r="K406" t="str">
        <f t="shared" si="25"/>
        <v>Diabetes</v>
      </c>
      <c r="L406">
        <v>9</v>
      </c>
      <c r="M406" t="s">
        <v>2363</v>
      </c>
      <c r="N406">
        <v>1986</v>
      </c>
      <c r="O406" s="8">
        <f t="shared" si="26"/>
        <v>31664</v>
      </c>
      <c r="P406" s="10">
        <v>3748.56</v>
      </c>
      <c r="Q406" t="s">
        <v>2357</v>
      </c>
      <c r="R406" t="s">
        <v>2357</v>
      </c>
      <c r="S406" t="s">
        <v>2359</v>
      </c>
      <c r="T406">
        <f t="shared" ca="1" si="27"/>
        <v>40</v>
      </c>
      <c r="U406">
        <f>VLOOKUP($A406,'Medical Examination'!$A:$Z,2,FALSE)</f>
        <v>25.46</v>
      </c>
    </row>
    <row r="407" spans="1:21" ht="15.5" x14ac:dyDescent="0.35">
      <c r="A407" s="2" t="s">
        <v>407</v>
      </c>
      <c r="B407" s="2" t="s">
        <v>3113</v>
      </c>
      <c r="C407">
        <v>25.1</v>
      </c>
      <c r="D407">
        <v>6.97</v>
      </c>
      <c r="E407" t="s">
        <v>2344</v>
      </c>
      <c r="F407" t="s">
        <v>2344</v>
      </c>
      <c r="G407" t="s">
        <v>2344</v>
      </c>
      <c r="H407">
        <v>0</v>
      </c>
      <c r="I407" t="s">
        <v>2346</v>
      </c>
      <c r="J407" t="str">
        <f t="shared" si="24"/>
        <v>Over weight</v>
      </c>
      <c r="K407" t="str">
        <f t="shared" si="25"/>
        <v>Diabetes</v>
      </c>
      <c r="L407">
        <v>28</v>
      </c>
      <c r="M407" t="s">
        <v>2367</v>
      </c>
      <c r="N407">
        <v>1991</v>
      </c>
      <c r="O407" s="8">
        <f t="shared" si="26"/>
        <v>33539</v>
      </c>
      <c r="P407" s="10">
        <v>3756.62</v>
      </c>
      <c r="Q407" t="s">
        <v>2357</v>
      </c>
      <c r="R407" t="s">
        <v>2357</v>
      </c>
      <c r="S407" t="s">
        <v>2359</v>
      </c>
      <c r="T407">
        <f t="shared" ca="1" si="27"/>
        <v>35</v>
      </c>
      <c r="U407">
        <f>VLOOKUP($A407,'Medical Examination'!$A:$Z,2,FALSE)</f>
        <v>25.1</v>
      </c>
    </row>
    <row r="408" spans="1:21" ht="15.5" x14ac:dyDescent="0.35">
      <c r="A408" s="2" t="s">
        <v>408</v>
      </c>
      <c r="B408" s="2" t="s">
        <v>3114</v>
      </c>
      <c r="C408">
        <v>32.11</v>
      </c>
      <c r="D408">
        <v>4.76</v>
      </c>
      <c r="E408" t="s">
        <v>2344</v>
      </c>
      <c r="F408" t="s">
        <v>2344</v>
      </c>
      <c r="G408" t="s">
        <v>2344</v>
      </c>
      <c r="H408">
        <v>1</v>
      </c>
      <c r="I408" t="s">
        <v>2344</v>
      </c>
      <c r="J408" t="str">
        <f t="shared" si="24"/>
        <v>Obesity</v>
      </c>
      <c r="K408" t="str">
        <f t="shared" si="25"/>
        <v>Normal</v>
      </c>
      <c r="L408">
        <v>25</v>
      </c>
      <c r="M408" t="s">
        <v>2366</v>
      </c>
      <c r="N408">
        <v>1991</v>
      </c>
      <c r="O408" s="8">
        <f t="shared" si="26"/>
        <v>33475</v>
      </c>
      <c r="P408" s="10">
        <v>3757.84</v>
      </c>
      <c r="Q408" t="s">
        <v>2357</v>
      </c>
      <c r="R408" t="s">
        <v>2361</v>
      </c>
      <c r="S408" t="s">
        <v>2359</v>
      </c>
      <c r="T408">
        <f t="shared" ca="1" si="27"/>
        <v>35</v>
      </c>
      <c r="U408">
        <f>VLOOKUP($A408,'Medical Examination'!$A:$Z,2,FALSE)</f>
        <v>32.11</v>
      </c>
    </row>
    <row r="409" spans="1:21" ht="15.5" x14ac:dyDescent="0.35">
      <c r="A409" s="2" t="s">
        <v>409</v>
      </c>
      <c r="B409" s="2" t="s">
        <v>3116</v>
      </c>
      <c r="C409">
        <v>29.8</v>
      </c>
      <c r="D409">
        <v>8.24</v>
      </c>
      <c r="E409" t="s">
        <v>2346</v>
      </c>
      <c r="F409" t="s">
        <v>2344</v>
      </c>
      <c r="G409" t="s">
        <v>2344</v>
      </c>
      <c r="H409">
        <v>1</v>
      </c>
      <c r="I409" t="s">
        <v>2346</v>
      </c>
      <c r="J409" t="str">
        <f t="shared" si="24"/>
        <v>Over weight</v>
      </c>
      <c r="K409" t="str">
        <f t="shared" si="25"/>
        <v>Diabetes</v>
      </c>
      <c r="L409">
        <v>24</v>
      </c>
      <c r="M409" t="s">
        <v>2367</v>
      </c>
      <c r="N409">
        <v>1991</v>
      </c>
      <c r="O409" s="8">
        <f t="shared" si="26"/>
        <v>33535</v>
      </c>
      <c r="P409" s="10">
        <v>3761.29</v>
      </c>
      <c r="Q409" t="s">
        <v>2357</v>
      </c>
      <c r="R409" t="s">
        <v>2358</v>
      </c>
      <c r="S409" t="s">
        <v>2368</v>
      </c>
      <c r="T409">
        <f t="shared" ca="1" si="27"/>
        <v>35</v>
      </c>
      <c r="U409">
        <f>VLOOKUP($A409,'Medical Examination'!$A:$Z,2,FALSE)</f>
        <v>29.8</v>
      </c>
    </row>
    <row r="410" spans="1:21" ht="15.5" x14ac:dyDescent="0.35">
      <c r="A410" s="2" t="s">
        <v>410</v>
      </c>
      <c r="B410" s="2" t="s">
        <v>3117</v>
      </c>
      <c r="C410">
        <v>24.01</v>
      </c>
      <c r="D410">
        <v>4.76</v>
      </c>
      <c r="E410" t="s">
        <v>2344</v>
      </c>
      <c r="F410" t="s">
        <v>2344</v>
      </c>
      <c r="G410" t="s">
        <v>2344</v>
      </c>
      <c r="H410">
        <v>1</v>
      </c>
      <c r="I410" t="s">
        <v>2346</v>
      </c>
      <c r="J410" t="str">
        <f t="shared" si="24"/>
        <v>Normal Weight</v>
      </c>
      <c r="K410" t="str">
        <f t="shared" si="25"/>
        <v>Normal</v>
      </c>
      <c r="L410">
        <v>21</v>
      </c>
      <c r="M410" t="s">
        <v>2360</v>
      </c>
      <c r="N410">
        <v>1994</v>
      </c>
      <c r="O410" s="8">
        <f t="shared" si="26"/>
        <v>34659</v>
      </c>
      <c r="P410" s="10">
        <v>3766.88</v>
      </c>
      <c r="Q410" t="s">
        <v>2357</v>
      </c>
      <c r="R410" t="s">
        <v>2361</v>
      </c>
      <c r="S410" t="s">
        <v>2359</v>
      </c>
      <c r="T410">
        <f t="shared" ca="1" si="27"/>
        <v>32</v>
      </c>
      <c r="U410">
        <f>VLOOKUP($A410,'Medical Examination'!$A:$Z,2,FALSE)</f>
        <v>24.01</v>
      </c>
    </row>
    <row r="411" spans="1:21" ht="15.5" x14ac:dyDescent="0.35">
      <c r="A411" s="2" t="s">
        <v>411</v>
      </c>
      <c r="B411" s="2" t="s">
        <v>3118</v>
      </c>
      <c r="C411">
        <v>23.21</v>
      </c>
      <c r="D411">
        <v>6.03</v>
      </c>
      <c r="E411" t="s">
        <v>2344</v>
      </c>
      <c r="F411" t="s">
        <v>2344</v>
      </c>
      <c r="G411" t="s">
        <v>2344</v>
      </c>
      <c r="H411">
        <v>1</v>
      </c>
      <c r="I411" t="s">
        <v>2344</v>
      </c>
      <c r="J411" t="str">
        <f t="shared" si="24"/>
        <v>Normal Weight</v>
      </c>
      <c r="K411" t="str">
        <f t="shared" si="25"/>
        <v>Prediabetes</v>
      </c>
      <c r="L411">
        <v>24</v>
      </c>
      <c r="M411" t="s">
        <v>2367</v>
      </c>
      <c r="N411">
        <v>1987</v>
      </c>
      <c r="O411" s="8">
        <f t="shared" si="26"/>
        <v>32074</v>
      </c>
      <c r="P411" s="10">
        <v>3773.23</v>
      </c>
      <c r="Q411" t="s">
        <v>2357</v>
      </c>
      <c r="R411" t="s">
        <v>2358</v>
      </c>
      <c r="S411" t="s">
        <v>2359</v>
      </c>
      <c r="T411">
        <f t="shared" ca="1" si="27"/>
        <v>39</v>
      </c>
      <c r="U411">
        <f>VLOOKUP($A411,'Medical Examination'!$A:$Z,2,FALSE)</f>
        <v>23.21</v>
      </c>
    </row>
    <row r="412" spans="1:21" ht="15.5" x14ac:dyDescent="0.35">
      <c r="A412" s="2" t="s">
        <v>412</v>
      </c>
      <c r="B412" s="2" t="s">
        <v>3119</v>
      </c>
      <c r="C412">
        <v>21.2</v>
      </c>
      <c r="D412">
        <v>4.07</v>
      </c>
      <c r="E412" t="s">
        <v>2346</v>
      </c>
      <c r="F412" t="s">
        <v>2344</v>
      </c>
      <c r="G412" t="s">
        <v>2344</v>
      </c>
      <c r="H412">
        <v>1</v>
      </c>
      <c r="I412" t="s">
        <v>2346</v>
      </c>
      <c r="J412" t="str">
        <f t="shared" si="24"/>
        <v>Normal Weight</v>
      </c>
      <c r="K412" t="str">
        <f t="shared" si="25"/>
        <v>Normal</v>
      </c>
      <c r="L412">
        <v>13</v>
      </c>
      <c r="M412" t="s">
        <v>2365</v>
      </c>
      <c r="N412">
        <v>1981</v>
      </c>
      <c r="O412" s="8">
        <f t="shared" si="26"/>
        <v>29933</v>
      </c>
      <c r="P412" s="10">
        <v>3785.77</v>
      </c>
      <c r="Q412" t="s">
        <v>2357</v>
      </c>
      <c r="R412" t="s">
        <v>2361</v>
      </c>
      <c r="S412" t="s">
        <v>2359</v>
      </c>
      <c r="T412">
        <f t="shared" ca="1" si="27"/>
        <v>45</v>
      </c>
      <c r="U412">
        <f>VLOOKUP($A412,'Medical Examination'!$A:$Z,2,FALSE)</f>
        <v>21.2</v>
      </c>
    </row>
    <row r="413" spans="1:21" ht="15.5" x14ac:dyDescent="0.35">
      <c r="A413" s="2" t="s">
        <v>413</v>
      </c>
      <c r="B413" s="2" t="s">
        <v>3121</v>
      </c>
      <c r="C413">
        <v>28.215</v>
      </c>
      <c r="D413">
        <v>8.26</v>
      </c>
      <c r="E413" t="s">
        <v>2346</v>
      </c>
      <c r="F413" t="s">
        <v>2344</v>
      </c>
      <c r="G413" t="s">
        <v>2344</v>
      </c>
      <c r="H413">
        <v>1</v>
      </c>
      <c r="I413" t="s">
        <v>2346</v>
      </c>
      <c r="J413" t="str">
        <f t="shared" si="24"/>
        <v>Over weight</v>
      </c>
      <c r="K413" t="str">
        <f t="shared" si="25"/>
        <v>Diabetes</v>
      </c>
      <c r="L413">
        <v>28</v>
      </c>
      <c r="M413" t="s">
        <v>2366</v>
      </c>
      <c r="N413">
        <v>1988</v>
      </c>
      <c r="O413" s="8">
        <f t="shared" si="26"/>
        <v>32383</v>
      </c>
      <c r="P413" s="10">
        <v>3793.55</v>
      </c>
      <c r="Q413" t="s">
        <v>2357</v>
      </c>
      <c r="R413" t="s">
        <v>2358</v>
      </c>
      <c r="S413" t="s">
        <v>2359</v>
      </c>
      <c r="T413">
        <f t="shared" ca="1" si="27"/>
        <v>38</v>
      </c>
      <c r="U413">
        <f>VLOOKUP($A413,'Medical Examination'!$A:$Z,2,FALSE)</f>
        <v>28.215</v>
      </c>
    </row>
    <row r="414" spans="1:21" ht="15.5" x14ac:dyDescent="0.35">
      <c r="A414" s="2" t="s">
        <v>414</v>
      </c>
      <c r="B414" s="2" t="s">
        <v>3122</v>
      </c>
      <c r="C414">
        <v>38.094999999999999</v>
      </c>
      <c r="D414">
        <v>4.76</v>
      </c>
      <c r="E414" t="s">
        <v>2344</v>
      </c>
      <c r="F414" t="s">
        <v>2344</v>
      </c>
      <c r="G414" t="s">
        <v>2344</v>
      </c>
      <c r="H414">
        <v>1</v>
      </c>
      <c r="I414" t="s">
        <v>2344</v>
      </c>
      <c r="J414" t="str">
        <f t="shared" si="24"/>
        <v>Obesity</v>
      </c>
      <c r="K414" t="str">
        <f t="shared" si="25"/>
        <v>Normal</v>
      </c>
      <c r="L414">
        <v>24</v>
      </c>
      <c r="M414" t="s">
        <v>2362</v>
      </c>
      <c r="N414">
        <v>1999</v>
      </c>
      <c r="O414" s="8">
        <f t="shared" si="26"/>
        <v>36335</v>
      </c>
      <c r="P414" s="10">
        <v>3796.36</v>
      </c>
      <c r="Q414" t="s">
        <v>2357</v>
      </c>
      <c r="R414" t="s">
        <v>2358</v>
      </c>
      <c r="S414" t="s">
        <v>2364</v>
      </c>
      <c r="T414">
        <f t="shared" ca="1" si="27"/>
        <v>27</v>
      </c>
      <c r="U414">
        <f>VLOOKUP($A414,'Medical Examination'!$A:$Z,2,FALSE)</f>
        <v>38.094999999999999</v>
      </c>
    </row>
    <row r="415" spans="1:21" ht="15.5" x14ac:dyDescent="0.35">
      <c r="A415" s="2" t="s">
        <v>415</v>
      </c>
      <c r="B415" s="2" t="s">
        <v>3124</v>
      </c>
      <c r="C415">
        <v>22.61</v>
      </c>
      <c r="D415">
        <v>6.13</v>
      </c>
      <c r="E415" t="s">
        <v>2346</v>
      </c>
      <c r="F415" t="s">
        <v>2344</v>
      </c>
      <c r="G415" t="s">
        <v>2346</v>
      </c>
      <c r="H415">
        <v>1</v>
      </c>
      <c r="I415" t="s">
        <v>2346</v>
      </c>
      <c r="J415" t="str">
        <f t="shared" si="24"/>
        <v>Normal Weight</v>
      </c>
      <c r="K415" t="str">
        <f t="shared" si="25"/>
        <v>Prediabetes</v>
      </c>
      <c r="L415">
        <v>29</v>
      </c>
      <c r="M415" t="s">
        <v>2363</v>
      </c>
      <c r="N415">
        <v>1981</v>
      </c>
      <c r="O415" s="8">
        <f t="shared" si="26"/>
        <v>29858</v>
      </c>
      <c r="P415" s="10">
        <v>3797.2</v>
      </c>
      <c r="Q415" t="s">
        <v>2357</v>
      </c>
      <c r="R415" t="s">
        <v>2358</v>
      </c>
      <c r="S415" t="s">
        <v>2364</v>
      </c>
      <c r="T415">
        <f t="shared" ca="1" si="27"/>
        <v>45</v>
      </c>
      <c r="U415">
        <f>VLOOKUP($A415,'Medical Examination'!$A:$Z,2,FALSE)</f>
        <v>22.61</v>
      </c>
    </row>
    <row r="416" spans="1:21" ht="15.5" x14ac:dyDescent="0.35">
      <c r="A416" s="2" t="s">
        <v>416</v>
      </c>
      <c r="B416" s="2" t="s">
        <v>3126</v>
      </c>
      <c r="C416">
        <v>24.32</v>
      </c>
      <c r="D416">
        <v>10.47</v>
      </c>
      <c r="E416" t="s">
        <v>2346</v>
      </c>
      <c r="F416" t="s">
        <v>2344</v>
      </c>
      <c r="G416" t="s">
        <v>2344</v>
      </c>
      <c r="H416">
        <v>1</v>
      </c>
      <c r="I416" t="s">
        <v>2346</v>
      </c>
      <c r="J416" t="str">
        <f t="shared" si="24"/>
        <v>Normal Weight</v>
      </c>
      <c r="K416" t="str">
        <f t="shared" si="25"/>
        <v>Diabetes</v>
      </c>
      <c r="L416">
        <v>12</v>
      </c>
      <c r="M416" t="s">
        <v>2366</v>
      </c>
      <c r="N416">
        <v>1994</v>
      </c>
      <c r="O416" s="8">
        <f t="shared" si="26"/>
        <v>34558</v>
      </c>
      <c r="P416" s="10">
        <v>3847.67</v>
      </c>
      <c r="Q416" t="s">
        <v>2358</v>
      </c>
      <c r="R416" t="s">
        <v>2357</v>
      </c>
      <c r="S416" t="s">
        <v>2368</v>
      </c>
      <c r="T416">
        <f t="shared" ca="1" si="27"/>
        <v>32</v>
      </c>
      <c r="U416">
        <f>VLOOKUP($A416,'Medical Examination'!$A:$Z,2,FALSE)</f>
        <v>24.32</v>
      </c>
    </row>
    <row r="417" spans="1:21" ht="15.5" x14ac:dyDescent="0.35">
      <c r="A417" s="2" t="s">
        <v>417</v>
      </c>
      <c r="B417" s="2" t="s">
        <v>3128</v>
      </c>
      <c r="C417">
        <v>20.96</v>
      </c>
      <c r="D417">
        <v>4.04</v>
      </c>
      <c r="E417" t="s">
        <v>2346</v>
      </c>
      <c r="F417" t="s">
        <v>2344</v>
      </c>
      <c r="G417" t="s">
        <v>2344</v>
      </c>
      <c r="H417">
        <v>1</v>
      </c>
      <c r="I417" t="s">
        <v>2346</v>
      </c>
      <c r="J417" t="str">
        <f t="shared" si="24"/>
        <v>Normal Weight</v>
      </c>
      <c r="K417" t="str">
        <f t="shared" si="25"/>
        <v>Normal</v>
      </c>
      <c r="L417">
        <v>19</v>
      </c>
      <c r="M417" t="s">
        <v>2366</v>
      </c>
      <c r="N417">
        <v>1991</v>
      </c>
      <c r="O417" s="8">
        <f t="shared" si="26"/>
        <v>33469</v>
      </c>
      <c r="P417" s="10">
        <v>3857.76</v>
      </c>
      <c r="Q417" t="s">
        <v>2358</v>
      </c>
      <c r="R417" t="s">
        <v>2361</v>
      </c>
      <c r="S417" t="s">
        <v>2371</v>
      </c>
      <c r="T417">
        <f t="shared" ca="1" si="27"/>
        <v>35</v>
      </c>
      <c r="U417">
        <f>VLOOKUP($A417,'Medical Examination'!$A:$Z,2,FALSE)</f>
        <v>20.96</v>
      </c>
    </row>
    <row r="418" spans="1:21" ht="15.5" x14ac:dyDescent="0.35">
      <c r="A418" s="2" t="s">
        <v>418</v>
      </c>
      <c r="B418" s="2" t="s">
        <v>3129</v>
      </c>
      <c r="C418">
        <v>19.68</v>
      </c>
      <c r="D418">
        <v>5.74</v>
      </c>
      <c r="E418" t="s">
        <v>2344</v>
      </c>
      <c r="F418" t="s">
        <v>2344</v>
      </c>
      <c r="G418" t="s">
        <v>2344</v>
      </c>
      <c r="H418">
        <v>0</v>
      </c>
      <c r="I418" t="s">
        <v>2346</v>
      </c>
      <c r="J418" t="str">
        <f t="shared" si="24"/>
        <v>Normal Weight</v>
      </c>
      <c r="K418" t="str">
        <f t="shared" si="25"/>
        <v>Prediabetes</v>
      </c>
      <c r="L418">
        <v>6</v>
      </c>
      <c r="M418" t="s">
        <v>2362</v>
      </c>
      <c r="N418">
        <v>2001</v>
      </c>
      <c r="O418" s="8">
        <f t="shared" si="26"/>
        <v>37048</v>
      </c>
      <c r="P418" s="10">
        <v>3858.51</v>
      </c>
      <c r="Q418" t="s">
        <v>2357</v>
      </c>
      <c r="R418" t="s">
        <v>2358</v>
      </c>
      <c r="S418" t="s">
        <v>2373</v>
      </c>
      <c r="T418">
        <f t="shared" ca="1" si="27"/>
        <v>25</v>
      </c>
      <c r="U418">
        <f>VLOOKUP($A418,'Medical Examination'!$A:$Z,2,FALSE)</f>
        <v>19.68</v>
      </c>
    </row>
    <row r="419" spans="1:21" ht="15.5" x14ac:dyDescent="0.35">
      <c r="A419" s="2" t="s">
        <v>419</v>
      </c>
      <c r="B419" s="2" t="s">
        <v>3130</v>
      </c>
      <c r="C419">
        <v>18.100000000000001</v>
      </c>
      <c r="D419">
        <v>6.33</v>
      </c>
      <c r="E419" t="s">
        <v>2344</v>
      </c>
      <c r="F419" t="s">
        <v>2344</v>
      </c>
      <c r="G419" t="s">
        <v>2344</v>
      </c>
      <c r="H419">
        <v>1</v>
      </c>
      <c r="I419" t="s">
        <v>2346</v>
      </c>
      <c r="J419" t="str">
        <f t="shared" si="24"/>
        <v>Under Weight</v>
      </c>
      <c r="K419" t="str">
        <f t="shared" si="25"/>
        <v>Prediabetes</v>
      </c>
      <c r="L419">
        <v>18</v>
      </c>
      <c r="M419" t="s">
        <v>2367</v>
      </c>
      <c r="N419">
        <v>2001</v>
      </c>
      <c r="O419" s="8">
        <f t="shared" si="26"/>
        <v>37182</v>
      </c>
      <c r="P419" s="10">
        <v>3861.21</v>
      </c>
      <c r="Q419" t="s">
        <v>2357</v>
      </c>
      <c r="R419" t="s">
        <v>2357</v>
      </c>
      <c r="S419" t="s">
        <v>2371</v>
      </c>
      <c r="T419">
        <f t="shared" ca="1" si="27"/>
        <v>25</v>
      </c>
      <c r="U419">
        <f>VLOOKUP($A419,'Medical Examination'!$A:$Z,2,FALSE)</f>
        <v>18.100000000000001</v>
      </c>
    </row>
    <row r="420" spans="1:21" ht="15.5" x14ac:dyDescent="0.35">
      <c r="A420" s="2" t="s">
        <v>420</v>
      </c>
      <c r="B420" s="2" t="s">
        <v>3131</v>
      </c>
      <c r="C420">
        <v>29.64</v>
      </c>
      <c r="D420">
        <v>4.28</v>
      </c>
      <c r="E420" t="s">
        <v>2346</v>
      </c>
      <c r="F420" t="s">
        <v>2344</v>
      </c>
      <c r="G420" t="s">
        <v>2344</v>
      </c>
      <c r="H420">
        <v>0</v>
      </c>
      <c r="I420" t="s">
        <v>2344</v>
      </c>
      <c r="J420" t="str">
        <f t="shared" si="24"/>
        <v>Over weight</v>
      </c>
      <c r="K420" t="str">
        <f t="shared" si="25"/>
        <v>Normal</v>
      </c>
      <c r="L420">
        <v>24</v>
      </c>
      <c r="M420" t="s">
        <v>2362</v>
      </c>
      <c r="N420">
        <v>1990</v>
      </c>
      <c r="O420" s="8">
        <f t="shared" si="26"/>
        <v>33048</v>
      </c>
      <c r="P420" s="10">
        <v>3866.86</v>
      </c>
      <c r="Q420" t="s">
        <v>2361</v>
      </c>
      <c r="R420" t="s">
        <v>2361</v>
      </c>
      <c r="S420" t="s">
        <v>2364</v>
      </c>
      <c r="T420">
        <f t="shared" ca="1" si="27"/>
        <v>36</v>
      </c>
      <c r="U420">
        <f>VLOOKUP($A420,'Medical Examination'!$A:$Z,2,FALSE)</f>
        <v>29.64</v>
      </c>
    </row>
    <row r="421" spans="1:21" ht="15.5" x14ac:dyDescent="0.35">
      <c r="A421" s="2" t="s">
        <v>421</v>
      </c>
      <c r="B421" s="2" t="s">
        <v>3134</v>
      </c>
      <c r="C421">
        <v>25.3</v>
      </c>
      <c r="D421">
        <v>9.4700000000000006</v>
      </c>
      <c r="E421" t="s">
        <v>2346</v>
      </c>
      <c r="F421" t="s">
        <v>2344</v>
      </c>
      <c r="G421" t="s">
        <v>2344</v>
      </c>
      <c r="H421">
        <v>1</v>
      </c>
      <c r="I421" t="s">
        <v>2346</v>
      </c>
      <c r="J421" t="str">
        <f t="shared" si="24"/>
        <v>Over weight</v>
      </c>
      <c r="K421" t="str">
        <f t="shared" si="25"/>
        <v>Diabetes</v>
      </c>
      <c r="L421">
        <v>25</v>
      </c>
      <c r="M421" t="s">
        <v>2356</v>
      </c>
      <c r="N421">
        <v>1991</v>
      </c>
      <c r="O421" s="8">
        <f t="shared" si="26"/>
        <v>33444</v>
      </c>
      <c r="P421" s="10">
        <v>3875.73</v>
      </c>
      <c r="Q421" t="s">
        <v>2357</v>
      </c>
      <c r="R421" t="s">
        <v>2358</v>
      </c>
      <c r="S421" t="s">
        <v>2359</v>
      </c>
      <c r="T421">
        <f t="shared" ca="1" si="27"/>
        <v>35</v>
      </c>
      <c r="U421">
        <f>VLOOKUP($A421,'Medical Examination'!$A:$Z,2,FALSE)</f>
        <v>25.3</v>
      </c>
    </row>
    <row r="422" spans="1:21" ht="15.5" x14ac:dyDescent="0.35">
      <c r="A422" s="2" t="s">
        <v>422</v>
      </c>
      <c r="B422" s="2" t="s">
        <v>3136</v>
      </c>
      <c r="C422">
        <v>27.6</v>
      </c>
      <c r="D422">
        <v>4.8499999999999996</v>
      </c>
      <c r="E422" t="s">
        <v>2346</v>
      </c>
      <c r="F422" t="s">
        <v>2344</v>
      </c>
      <c r="G422" t="s">
        <v>2344</v>
      </c>
      <c r="H422">
        <v>0</v>
      </c>
      <c r="I422" t="s">
        <v>2344</v>
      </c>
      <c r="J422" t="str">
        <f t="shared" si="24"/>
        <v>Over weight</v>
      </c>
      <c r="K422" t="str">
        <f t="shared" si="25"/>
        <v>Normal</v>
      </c>
      <c r="L422">
        <v>23</v>
      </c>
      <c r="M422" t="s">
        <v>2367</v>
      </c>
      <c r="N422">
        <v>1996</v>
      </c>
      <c r="O422" s="8">
        <f t="shared" si="26"/>
        <v>35361</v>
      </c>
      <c r="P422" s="10">
        <v>3877.3</v>
      </c>
      <c r="Q422" t="s">
        <v>2361</v>
      </c>
      <c r="R422" t="s">
        <v>2358</v>
      </c>
      <c r="S422" t="s">
        <v>2364</v>
      </c>
      <c r="T422">
        <f t="shared" ca="1" si="27"/>
        <v>30</v>
      </c>
      <c r="U422">
        <f>VLOOKUP($A422,'Medical Examination'!$A:$Z,2,FALSE)</f>
        <v>27.6</v>
      </c>
    </row>
    <row r="423" spans="1:21" ht="15.5" x14ac:dyDescent="0.35">
      <c r="A423" s="2" t="s">
        <v>423</v>
      </c>
      <c r="B423" s="2" t="s">
        <v>2629</v>
      </c>
      <c r="C423">
        <v>27.645</v>
      </c>
      <c r="D423">
        <v>11.03</v>
      </c>
      <c r="E423" t="s">
        <v>2346</v>
      </c>
      <c r="F423" t="s">
        <v>2344</v>
      </c>
      <c r="G423" t="s">
        <v>2344</v>
      </c>
      <c r="H423">
        <v>1</v>
      </c>
      <c r="I423" t="s">
        <v>2346</v>
      </c>
      <c r="J423" t="str">
        <f t="shared" si="24"/>
        <v>Over weight</v>
      </c>
      <c r="K423" t="str">
        <f t="shared" si="25"/>
        <v>Diabetes</v>
      </c>
      <c r="L423">
        <v>13</v>
      </c>
      <c r="M423" t="s">
        <v>2356</v>
      </c>
      <c r="N423">
        <v>2004</v>
      </c>
      <c r="O423" s="8">
        <f t="shared" si="26"/>
        <v>38181</v>
      </c>
      <c r="P423" s="10">
        <v>3889.2</v>
      </c>
      <c r="Q423" t="s">
        <v>2357</v>
      </c>
      <c r="R423" t="s">
        <v>2357</v>
      </c>
      <c r="S423" t="s">
        <v>2364</v>
      </c>
      <c r="T423">
        <f t="shared" ca="1" si="27"/>
        <v>22</v>
      </c>
      <c r="U423">
        <f>VLOOKUP($A423,'Medical Examination'!$A:$Z,2,FALSE)</f>
        <v>27.645</v>
      </c>
    </row>
    <row r="424" spans="1:21" ht="15.5" x14ac:dyDescent="0.35">
      <c r="A424" s="2" t="s">
        <v>424</v>
      </c>
      <c r="B424" s="2" t="s">
        <v>3139</v>
      </c>
      <c r="C424">
        <v>27.6</v>
      </c>
      <c r="D424">
        <v>5.22</v>
      </c>
      <c r="E424" t="s">
        <v>2344</v>
      </c>
      <c r="F424" t="s">
        <v>2344</v>
      </c>
      <c r="G424" t="s">
        <v>2344</v>
      </c>
      <c r="H424">
        <v>1</v>
      </c>
      <c r="I424" t="s">
        <v>2346</v>
      </c>
      <c r="J424" t="str">
        <f t="shared" si="24"/>
        <v>Over weight</v>
      </c>
      <c r="K424" t="str">
        <f t="shared" si="25"/>
        <v>Normal</v>
      </c>
      <c r="L424">
        <v>14</v>
      </c>
      <c r="M424" t="s">
        <v>2363</v>
      </c>
      <c r="N424">
        <v>1993</v>
      </c>
      <c r="O424" s="8">
        <f t="shared" si="26"/>
        <v>34226</v>
      </c>
      <c r="P424" s="10">
        <v>3898.35</v>
      </c>
      <c r="Q424" t="s">
        <v>2357</v>
      </c>
      <c r="R424" t="s">
        <v>2357</v>
      </c>
      <c r="S424" t="s">
        <v>2364</v>
      </c>
      <c r="T424">
        <f t="shared" ca="1" si="27"/>
        <v>33</v>
      </c>
      <c r="U424">
        <f>VLOOKUP($A424,'Medical Examination'!$A:$Z,2,FALSE)</f>
        <v>27.6</v>
      </c>
    </row>
    <row r="425" spans="1:21" ht="15.5" x14ac:dyDescent="0.35">
      <c r="A425" s="2" t="s">
        <v>425</v>
      </c>
      <c r="B425" s="2" t="s">
        <v>3140</v>
      </c>
      <c r="C425">
        <v>25.08</v>
      </c>
      <c r="D425">
        <v>9.52</v>
      </c>
      <c r="E425" t="s">
        <v>2346</v>
      </c>
      <c r="F425" t="s">
        <v>2344</v>
      </c>
      <c r="G425" t="s">
        <v>2344</v>
      </c>
      <c r="H425">
        <v>1</v>
      </c>
      <c r="I425" t="s">
        <v>2344</v>
      </c>
      <c r="J425" t="str">
        <f t="shared" si="24"/>
        <v>Over weight</v>
      </c>
      <c r="K425" t="str">
        <f t="shared" si="25"/>
        <v>Diabetes</v>
      </c>
      <c r="L425">
        <v>27</v>
      </c>
      <c r="M425" t="s">
        <v>2366</v>
      </c>
      <c r="N425">
        <v>1981</v>
      </c>
      <c r="O425" s="8">
        <f t="shared" si="26"/>
        <v>29825</v>
      </c>
      <c r="P425" s="10">
        <v>3902.07</v>
      </c>
      <c r="Q425" t="s">
        <v>2357</v>
      </c>
      <c r="R425" t="s">
        <v>2357</v>
      </c>
      <c r="S425" t="s">
        <v>2359</v>
      </c>
      <c r="T425">
        <f t="shared" ca="1" si="27"/>
        <v>45</v>
      </c>
      <c r="U425">
        <f>VLOOKUP($A425,'Medical Examination'!$A:$Z,2,FALSE)</f>
        <v>25.08</v>
      </c>
    </row>
    <row r="426" spans="1:21" ht="15.5" x14ac:dyDescent="0.35">
      <c r="A426" s="2" t="s">
        <v>426</v>
      </c>
      <c r="B426" s="2" t="s">
        <v>3142</v>
      </c>
      <c r="C426">
        <v>30.02</v>
      </c>
      <c r="D426">
        <v>11.09</v>
      </c>
      <c r="E426" t="s">
        <v>2344</v>
      </c>
      <c r="F426" t="s">
        <v>2344</v>
      </c>
      <c r="G426" t="s">
        <v>2344</v>
      </c>
      <c r="H426">
        <v>0</v>
      </c>
      <c r="I426" t="s">
        <v>2344</v>
      </c>
      <c r="J426" t="str">
        <f t="shared" si="24"/>
        <v>Obesity</v>
      </c>
      <c r="K426" t="str">
        <f t="shared" si="25"/>
        <v>Diabetes</v>
      </c>
      <c r="L426">
        <v>24</v>
      </c>
      <c r="M426" t="s">
        <v>2360</v>
      </c>
      <c r="N426">
        <v>1997</v>
      </c>
      <c r="O426" s="8">
        <f t="shared" si="26"/>
        <v>35758</v>
      </c>
      <c r="P426" s="10">
        <v>3906.13</v>
      </c>
      <c r="Q426" t="s">
        <v>2358</v>
      </c>
      <c r="R426" t="s">
        <v>2358</v>
      </c>
      <c r="S426" t="s">
        <v>2368</v>
      </c>
      <c r="T426">
        <f t="shared" ca="1" si="27"/>
        <v>29</v>
      </c>
      <c r="U426">
        <f>VLOOKUP($A426,'Medical Examination'!$A:$Z,2,FALSE)</f>
        <v>30.02</v>
      </c>
    </row>
    <row r="427" spans="1:21" ht="15.5" x14ac:dyDescent="0.35">
      <c r="A427" s="2" t="s">
        <v>427</v>
      </c>
      <c r="B427" s="2" t="s">
        <v>3143</v>
      </c>
      <c r="C427">
        <v>27.36</v>
      </c>
      <c r="D427">
        <v>9.4499999999999993</v>
      </c>
      <c r="E427" t="s">
        <v>2346</v>
      </c>
      <c r="F427" t="s">
        <v>2344</v>
      </c>
      <c r="G427" t="s">
        <v>2344</v>
      </c>
      <c r="H427">
        <v>1</v>
      </c>
      <c r="I427" t="s">
        <v>2346</v>
      </c>
      <c r="J427" t="str">
        <f t="shared" si="24"/>
        <v>Over weight</v>
      </c>
      <c r="K427" t="str">
        <f t="shared" si="25"/>
        <v>Diabetes</v>
      </c>
      <c r="L427">
        <v>5</v>
      </c>
      <c r="M427" t="s">
        <v>2356</v>
      </c>
      <c r="N427">
        <v>1985</v>
      </c>
      <c r="O427" s="8">
        <f t="shared" si="26"/>
        <v>31233</v>
      </c>
      <c r="P427" s="10">
        <v>3910.44</v>
      </c>
      <c r="Q427" t="s">
        <v>2357</v>
      </c>
      <c r="R427" t="s">
        <v>2357</v>
      </c>
      <c r="S427" t="s">
        <v>2359</v>
      </c>
      <c r="T427">
        <f t="shared" ca="1" si="27"/>
        <v>41</v>
      </c>
      <c r="U427">
        <f>VLOOKUP($A427,'Medical Examination'!$A:$Z,2,FALSE)</f>
        <v>27.36</v>
      </c>
    </row>
    <row r="428" spans="1:21" ht="15.5" x14ac:dyDescent="0.35">
      <c r="A428" s="2" t="s">
        <v>428</v>
      </c>
      <c r="B428" s="2" t="s">
        <v>3144</v>
      </c>
      <c r="C428">
        <v>22.2</v>
      </c>
      <c r="D428">
        <v>5.51</v>
      </c>
      <c r="E428" t="s">
        <v>2344</v>
      </c>
      <c r="F428" t="s">
        <v>2344</v>
      </c>
      <c r="G428" t="s">
        <v>2344</v>
      </c>
      <c r="H428">
        <v>0</v>
      </c>
      <c r="I428" t="s">
        <v>2346</v>
      </c>
      <c r="J428" t="str">
        <f t="shared" si="24"/>
        <v>Normal Weight</v>
      </c>
      <c r="K428" t="str">
        <f t="shared" si="25"/>
        <v>Normal</v>
      </c>
      <c r="L428">
        <v>10</v>
      </c>
      <c r="M428" t="s">
        <v>2356</v>
      </c>
      <c r="N428">
        <v>2000</v>
      </c>
      <c r="O428" s="8">
        <f t="shared" si="26"/>
        <v>36717</v>
      </c>
      <c r="P428" s="10">
        <v>3925.76</v>
      </c>
      <c r="Q428" t="s">
        <v>2357</v>
      </c>
      <c r="R428" t="s">
        <v>2357</v>
      </c>
      <c r="S428" t="s">
        <v>2374</v>
      </c>
      <c r="T428">
        <f t="shared" ca="1" si="27"/>
        <v>26</v>
      </c>
      <c r="U428">
        <f>VLOOKUP($A428,'Medical Examination'!$A:$Z,2,FALSE)</f>
        <v>22.2</v>
      </c>
    </row>
    <row r="429" spans="1:21" ht="15.5" x14ac:dyDescent="0.35">
      <c r="A429" s="2" t="s">
        <v>429</v>
      </c>
      <c r="B429" s="2" t="s">
        <v>3146</v>
      </c>
      <c r="C429">
        <v>25.71</v>
      </c>
      <c r="D429">
        <v>4.18</v>
      </c>
      <c r="E429" t="s">
        <v>2344</v>
      </c>
      <c r="F429" t="s">
        <v>2345</v>
      </c>
      <c r="G429" t="s">
        <v>2344</v>
      </c>
      <c r="H429">
        <v>1</v>
      </c>
      <c r="I429" t="s">
        <v>2346</v>
      </c>
      <c r="J429" t="str">
        <f t="shared" si="24"/>
        <v>Over weight</v>
      </c>
      <c r="K429" t="str">
        <f t="shared" si="25"/>
        <v>Normal</v>
      </c>
      <c r="L429">
        <v>15</v>
      </c>
      <c r="M429" t="s">
        <v>2362</v>
      </c>
      <c r="N429">
        <v>2002</v>
      </c>
      <c r="O429" s="8">
        <f t="shared" si="26"/>
        <v>37422</v>
      </c>
      <c r="P429" s="10">
        <v>3931.51</v>
      </c>
      <c r="Q429" t="s">
        <v>2357</v>
      </c>
      <c r="R429" t="s">
        <v>2358</v>
      </c>
      <c r="S429" t="s">
        <v>2368</v>
      </c>
      <c r="T429">
        <f t="shared" ca="1" si="27"/>
        <v>24</v>
      </c>
      <c r="U429">
        <f>VLOOKUP($A429,'Medical Examination'!$A:$Z,2,FALSE)</f>
        <v>25.71</v>
      </c>
    </row>
    <row r="430" spans="1:21" ht="15.5" x14ac:dyDescent="0.35">
      <c r="A430" s="2" t="s">
        <v>430</v>
      </c>
      <c r="B430" s="2" t="s">
        <v>3148</v>
      </c>
      <c r="C430">
        <v>41.91</v>
      </c>
      <c r="D430">
        <v>5.98</v>
      </c>
      <c r="E430" t="s">
        <v>2346</v>
      </c>
      <c r="F430" t="s">
        <v>2344</v>
      </c>
      <c r="G430" t="s">
        <v>2344</v>
      </c>
      <c r="H430">
        <v>1</v>
      </c>
      <c r="I430" t="s">
        <v>2344</v>
      </c>
      <c r="J430" t="str">
        <f t="shared" si="24"/>
        <v>Obesity</v>
      </c>
      <c r="K430" t="str">
        <f t="shared" si="25"/>
        <v>Prediabetes</v>
      </c>
      <c r="L430">
        <v>24</v>
      </c>
      <c r="M430" t="s">
        <v>2367</v>
      </c>
      <c r="N430">
        <v>1988</v>
      </c>
      <c r="O430" s="8">
        <f t="shared" si="26"/>
        <v>32440</v>
      </c>
      <c r="P430" s="10">
        <v>3935.18</v>
      </c>
      <c r="Q430" t="s">
        <v>2358</v>
      </c>
      <c r="R430" t="s">
        <v>2361</v>
      </c>
      <c r="S430" t="s">
        <v>2359</v>
      </c>
      <c r="T430">
        <f t="shared" ca="1" si="27"/>
        <v>38</v>
      </c>
      <c r="U430">
        <f>VLOOKUP($A430,'Medical Examination'!$A:$Z,2,FALSE)</f>
        <v>41.91</v>
      </c>
    </row>
    <row r="431" spans="1:21" ht="15.5" x14ac:dyDescent="0.35">
      <c r="A431" s="2" t="s">
        <v>431</v>
      </c>
      <c r="B431" s="2" t="s">
        <v>3149</v>
      </c>
      <c r="C431">
        <v>25.85</v>
      </c>
      <c r="D431">
        <v>10.16</v>
      </c>
      <c r="E431" t="s">
        <v>2344</v>
      </c>
      <c r="F431" t="s">
        <v>2344</v>
      </c>
      <c r="G431" t="s">
        <v>2344</v>
      </c>
      <c r="H431">
        <v>0</v>
      </c>
      <c r="I431" t="s">
        <v>2346</v>
      </c>
      <c r="J431" t="str">
        <f t="shared" si="24"/>
        <v>Over weight</v>
      </c>
      <c r="K431" t="str">
        <f t="shared" si="25"/>
        <v>Diabetes</v>
      </c>
      <c r="L431">
        <v>29</v>
      </c>
      <c r="M431" t="s">
        <v>2363</v>
      </c>
      <c r="N431">
        <v>1993</v>
      </c>
      <c r="O431" s="8">
        <f t="shared" si="26"/>
        <v>34241</v>
      </c>
      <c r="P431" s="10">
        <v>3943.6</v>
      </c>
      <c r="Q431" t="s">
        <v>2357</v>
      </c>
      <c r="R431" t="s">
        <v>2358</v>
      </c>
      <c r="S431" t="s">
        <v>2374</v>
      </c>
      <c r="T431">
        <f t="shared" ca="1" si="27"/>
        <v>33</v>
      </c>
      <c r="U431">
        <f>VLOOKUP($A431,'Medical Examination'!$A:$Z,2,FALSE)</f>
        <v>25.85</v>
      </c>
    </row>
    <row r="432" spans="1:21" ht="15.5" x14ac:dyDescent="0.35">
      <c r="A432" s="2" t="s">
        <v>432</v>
      </c>
      <c r="B432" s="2" t="s">
        <v>3151</v>
      </c>
      <c r="C432">
        <v>23.844999999999999</v>
      </c>
      <c r="D432">
        <v>11.71</v>
      </c>
      <c r="E432" t="s">
        <v>2344</v>
      </c>
      <c r="F432" t="s">
        <v>2344</v>
      </c>
      <c r="G432" t="s">
        <v>2344</v>
      </c>
      <c r="H432">
        <v>1</v>
      </c>
      <c r="I432" t="s">
        <v>2346</v>
      </c>
      <c r="J432" t="str">
        <f t="shared" si="24"/>
        <v>Normal Weight</v>
      </c>
      <c r="K432" t="str">
        <f t="shared" si="25"/>
        <v>Diabetes</v>
      </c>
      <c r="L432">
        <v>11</v>
      </c>
      <c r="M432" t="s">
        <v>2360</v>
      </c>
      <c r="N432">
        <v>1993</v>
      </c>
      <c r="O432" s="8">
        <f t="shared" si="26"/>
        <v>34284</v>
      </c>
      <c r="P432" s="10">
        <v>3947.41</v>
      </c>
      <c r="Q432" t="s">
        <v>2357</v>
      </c>
      <c r="R432" t="s">
        <v>2357</v>
      </c>
      <c r="S432" t="s">
        <v>2359</v>
      </c>
      <c r="T432">
        <f t="shared" ca="1" si="27"/>
        <v>33</v>
      </c>
      <c r="U432">
        <f>VLOOKUP($A432,'Medical Examination'!$A:$Z,2,FALSE)</f>
        <v>23.844999999999999</v>
      </c>
    </row>
    <row r="433" spans="1:21" ht="15.5" x14ac:dyDescent="0.35">
      <c r="A433" s="2" t="s">
        <v>433</v>
      </c>
      <c r="B433" s="2" t="s">
        <v>3153</v>
      </c>
      <c r="C433">
        <v>30.59</v>
      </c>
      <c r="D433">
        <v>5.23</v>
      </c>
      <c r="E433" t="s">
        <v>2344</v>
      </c>
      <c r="F433" t="s">
        <v>2344</v>
      </c>
      <c r="G433" t="s">
        <v>2346</v>
      </c>
      <c r="H433">
        <v>1</v>
      </c>
      <c r="I433" t="s">
        <v>2344</v>
      </c>
      <c r="J433" t="str">
        <f t="shared" si="24"/>
        <v>Obesity</v>
      </c>
      <c r="K433" t="str">
        <f t="shared" si="25"/>
        <v>Normal</v>
      </c>
      <c r="L433">
        <v>10</v>
      </c>
      <c r="M433" t="s">
        <v>2356</v>
      </c>
      <c r="N433">
        <v>1999</v>
      </c>
      <c r="O433" s="8">
        <f t="shared" si="26"/>
        <v>36351</v>
      </c>
      <c r="P433" s="10">
        <v>3955.98</v>
      </c>
      <c r="Q433" t="s">
        <v>2357</v>
      </c>
      <c r="R433" t="s">
        <v>2358</v>
      </c>
      <c r="S433" t="s">
        <v>2377</v>
      </c>
      <c r="T433">
        <f t="shared" ca="1" si="27"/>
        <v>27</v>
      </c>
      <c r="U433">
        <f>VLOOKUP($A433,'Medical Examination'!$A:$Z,2,FALSE)</f>
        <v>30.59</v>
      </c>
    </row>
    <row r="434" spans="1:21" ht="15.5" x14ac:dyDescent="0.35">
      <c r="A434" s="2" t="s">
        <v>434</v>
      </c>
      <c r="B434" s="2" t="s">
        <v>3155</v>
      </c>
      <c r="C434">
        <v>24.795000000000002</v>
      </c>
      <c r="D434">
        <v>6.85</v>
      </c>
      <c r="E434" t="s">
        <v>2344</v>
      </c>
      <c r="F434" t="s">
        <v>2344</v>
      </c>
      <c r="G434" t="s">
        <v>2344</v>
      </c>
      <c r="H434">
        <v>0</v>
      </c>
      <c r="I434" t="s">
        <v>2346</v>
      </c>
      <c r="J434" t="str">
        <f t="shared" si="24"/>
        <v>Normal Weight</v>
      </c>
      <c r="K434" t="str">
        <f t="shared" si="25"/>
        <v>Diabetes</v>
      </c>
      <c r="L434">
        <v>11</v>
      </c>
      <c r="M434" t="s">
        <v>2356</v>
      </c>
      <c r="N434">
        <v>1995</v>
      </c>
      <c r="O434" s="8">
        <f t="shared" si="26"/>
        <v>34891</v>
      </c>
      <c r="P434" s="10">
        <v>3956.07</v>
      </c>
      <c r="Q434" t="s">
        <v>2357</v>
      </c>
      <c r="R434" t="s">
        <v>2357</v>
      </c>
      <c r="S434" t="s">
        <v>2364</v>
      </c>
      <c r="T434">
        <f t="shared" ca="1" si="27"/>
        <v>31</v>
      </c>
      <c r="U434">
        <f>VLOOKUP($A434,'Medical Examination'!$A:$Z,2,FALSE)</f>
        <v>24.795000000000002</v>
      </c>
    </row>
    <row r="435" spans="1:21" ht="15.5" x14ac:dyDescent="0.35">
      <c r="A435" s="2" t="s">
        <v>435</v>
      </c>
      <c r="B435" s="2" t="s">
        <v>3156</v>
      </c>
      <c r="C435">
        <v>24.13</v>
      </c>
      <c r="D435">
        <v>7.05</v>
      </c>
      <c r="E435" t="s">
        <v>2346</v>
      </c>
      <c r="F435" t="s">
        <v>2344</v>
      </c>
      <c r="G435" t="s">
        <v>2344</v>
      </c>
      <c r="H435">
        <v>1</v>
      </c>
      <c r="I435" t="s">
        <v>2346</v>
      </c>
      <c r="J435" t="str">
        <f t="shared" si="24"/>
        <v>Normal Weight</v>
      </c>
      <c r="K435" t="str">
        <f t="shared" si="25"/>
        <v>Diabetes</v>
      </c>
      <c r="L435">
        <v>29</v>
      </c>
      <c r="M435" t="s">
        <v>2356</v>
      </c>
      <c r="N435">
        <v>1990</v>
      </c>
      <c r="O435" s="8">
        <f t="shared" si="26"/>
        <v>33083</v>
      </c>
      <c r="P435" s="10">
        <v>3972.92</v>
      </c>
      <c r="Q435" t="s">
        <v>2357</v>
      </c>
      <c r="R435" t="s">
        <v>2358</v>
      </c>
      <c r="S435" t="s">
        <v>2359</v>
      </c>
      <c r="T435">
        <f t="shared" ca="1" si="27"/>
        <v>36</v>
      </c>
      <c r="U435">
        <f>VLOOKUP($A435,'Medical Examination'!$A:$Z,2,FALSE)</f>
        <v>24.13</v>
      </c>
    </row>
    <row r="436" spans="1:21" ht="15.5" x14ac:dyDescent="0.35">
      <c r="A436" s="2" t="s">
        <v>436</v>
      </c>
      <c r="B436" s="2" t="s">
        <v>3157</v>
      </c>
      <c r="C436">
        <v>25.84</v>
      </c>
      <c r="D436">
        <v>11.64</v>
      </c>
      <c r="E436" t="s">
        <v>2344</v>
      </c>
      <c r="F436" t="s">
        <v>2344</v>
      </c>
      <c r="G436" t="s">
        <v>2344</v>
      </c>
      <c r="H436">
        <v>1</v>
      </c>
      <c r="I436" t="s">
        <v>2346</v>
      </c>
      <c r="J436" t="str">
        <f t="shared" si="24"/>
        <v>Over weight</v>
      </c>
      <c r="K436" t="str">
        <f t="shared" si="25"/>
        <v>Diabetes</v>
      </c>
      <c r="L436">
        <v>17</v>
      </c>
      <c r="M436" t="s">
        <v>2366</v>
      </c>
      <c r="N436">
        <v>1996</v>
      </c>
      <c r="O436" s="8">
        <f t="shared" si="26"/>
        <v>35294</v>
      </c>
      <c r="P436" s="10">
        <v>3981.98</v>
      </c>
      <c r="Q436" t="s">
        <v>2357</v>
      </c>
      <c r="R436" t="s">
        <v>2357</v>
      </c>
      <c r="S436" t="s">
        <v>2359</v>
      </c>
      <c r="T436">
        <f t="shared" ca="1" si="27"/>
        <v>30</v>
      </c>
      <c r="U436">
        <f>VLOOKUP($A436,'Medical Examination'!$A:$Z,2,FALSE)</f>
        <v>25.84</v>
      </c>
    </row>
    <row r="437" spans="1:21" ht="15.5" x14ac:dyDescent="0.35">
      <c r="A437" s="2" t="s">
        <v>437</v>
      </c>
      <c r="B437" s="2" t="s">
        <v>3158</v>
      </c>
      <c r="C437">
        <v>28</v>
      </c>
      <c r="D437">
        <v>10.52</v>
      </c>
      <c r="E437" t="s">
        <v>2344</v>
      </c>
      <c r="F437" t="s">
        <v>2344</v>
      </c>
      <c r="G437" t="s">
        <v>2344</v>
      </c>
      <c r="H437">
        <v>0</v>
      </c>
      <c r="I437" t="s">
        <v>2346</v>
      </c>
      <c r="J437" t="str">
        <f t="shared" si="24"/>
        <v>Over weight</v>
      </c>
      <c r="K437" t="str">
        <f t="shared" si="25"/>
        <v>Diabetes</v>
      </c>
      <c r="L437">
        <v>8</v>
      </c>
      <c r="M437" t="s">
        <v>2363</v>
      </c>
      <c r="N437">
        <v>1996</v>
      </c>
      <c r="O437" s="8">
        <f t="shared" si="26"/>
        <v>35316</v>
      </c>
      <c r="P437" s="10">
        <v>3987.93</v>
      </c>
      <c r="Q437" t="s">
        <v>2357</v>
      </c>
      <c r="R437" t="s">
        <v>2357</v>
      </c>
      <c r="S437" t="s">
        <v>2368</v>
      </c>
      <c r="T437">
        <f t="shared" ca="1" si="27"/>
        <v>30</v>
      </c>
      <c r="U437">
        <f>VLOOKUP($A437,'Medical Examination'!$A:$Z,2,FALSE)</f>
        <v>28</v>
      </c>
    </row>
    <row r="438" spans="1:21" ht="15.5" x14ac:dyDescent="0.35">
      <c r="A438" s="2" t="s">
        <v>438</v>
      </c>
      <c r="B438" s="2" t="s">
        <v>3160</v>
      </c>
      <c r="C438">
        <v>34.1</v>
      </c>
      <c r="D438">
        <v>4.01</v>
      </c>
      <c r="E438" t="s">
        <v>2346</v>
      </c>
      <c r="F438" t="s">
        <v>2344</v>
      </c>
      <c r="G438" t="s">
        <v>2346</v>
      </c>
      <c r="H438">
        <v>1</v>
      </c>
      <c r="I438" t="s">
        <v>2344</v>
      </c>
      <c r="J438" t="str">
        <f t="shared" si="24"/>
        <v>Obesity</v>
      </c>
      <c r="K438" t="str">
        <f t="shared" si="25"/>
        <v>Normal</v>
      </c>
      <c r="L438">
        <v>22</v>
      </c>
      <c r="M438" t="s">
        <v>2360</v>
      </c>
      <c r="N438">
        <v>1990</v>
      </c>
      <c r="O438" s="8">
        <f t="shared" si="26"/>
        <v>33199</v>
      </c>
      <c r="P438" s="10">
        <v>3989.84</v>
      </c>
      <c r="Q438" t="s">
        <v>2357</v>
      </c>
      <c r="R438" t="s">
        <v>2357</v>
      </c>
      <c r="S438" t="s">
        <v>2368</v>
      </c>
      <c r="T438">
        <f t="shared" ca="1" si="27"/>
        <v>36</v>
      </c>
      <c r="U438">
        <f>VLOOKUP($A438,'Medical Examination'!$A:$Z,2,FALSE)</f>
        <v>34.1</v>
      </c>
    </row>
    <row r="439" spans="1:21" ht="15.5" x14ac:dyDescent="0.35">
      <c r="A439" s="2" t="s">
        <v>439</v>
      </c>
      <c r="B439" s="2" t="s">
        <v>3162</v>
      </c>
      <c r="C439">
        <v>26.125</v>
      </c>
      <c r="D439">
        <v>8.56</v>
      </c>
      <c r="E439" t="s">
        <v>2346</v>
      </c>
      <c r="F439" t="s">
        <v>2344</v>
      </c>
      <c r="G439" t="s">
        <v>2344</v>
      </c>
      <c r="H439">
        <v>1</v>
      </c>
      <c r="I439" t="s">
        <v>2346</v>
      </c>
      <c r="J439" t="str">
        <f t="shared" si="24"/>
        <v>Over weight</v>
      </c>
      <c r="K439" t="str">
        <f t="shared" si="25"/>
        <v>Diabetes</v>
      </c>
      <c r="L439">
        <v>1</v>
      </c>
      <c r="M439" t="s">
        <v>2360</v>
      </c>
      <c r="N439">
        <v>1990</v>
      </c>
      <c r="O439" s="8">
        <f t="shared" si="26"/>
        <v>33178</v>
      </c>
      <c r="P439" s="10">
        <v>3994.18</v>
      </c>
      <c r="Q439" t="s">
        <v>2357</v>
      </c>
      <c r="R439" t="s">
        <v>2357</v>
      </c>
      <c r="S439" t="s">
        <v>2359</v>
      </c>
      <c r="T439">
        <f t="shared" ca="1" si="27"/>
        <v>36</v>
      </c>
      <c r="U439">
        <f>VLOOKUP($A439,'Medical Examination'!$A:$Z,2,FALSE)</f>
        <v>26.125</v>
      </c>
    </row>
    <row r="440" spans="1:21" ht="15.5" x14ac:dyDescent="0.35">
      <c r="A440" s="2" t="s">
        <v>440</v>
      </c>
      <c r="B440" s="2" t="s">
        <v>3163</v>
      </c>
      <c r="C440">
        <v>25.6</v>
      </c>
      <c r="D440">
        <v>10.5</v>
      </c>
      <c r="E440" t="s">
        <v>2344</v>
      </c>
      <c r="F440" t="s">
        <v>2344</v>
      </c>
      <c r="G440" t="s">
        <v>2344</v>
      </c>
      <c r="H440">
        <v>1</v>
      </c>
      <c r="I440" t="s">
        <v>2346</v>
      </c>
      <c r="J440" t="str">
        <f t="shared" si="24"/>
        <v>Over weight</v>
      </c>
      <c r="K440" t="str">
        <f t="shared" si="25"/>
        <v>Diabetes</v>
      </c>
      <c r="L440">
        <v>10</v>
      </c>
      <c r="M440" t="s">
        <v>2356</v>
      </c>
      <c r="N440">
        <v>1989</v>
      </c>
      <c r="O440" s="8">
        <f t="shared" si="26"/>
        <v>32699</v>
      </c>
      <c r="P440" s="10">
        <v>4002.36</v>
      </c>
      <c r="Q440" t="s">
        <v>2357</v>
      </c>
      <c r="R440" t="s">
        <v>2361</v>
      </c>
      <c r="S440" t="s">
        <v>2359</v>
      </c>
      <c r="T440">
        <f t="shared" ca="1" si="27"/>
        <v>37</v>
      </c>
      <c r="U440">
        <f>VLOOKUP($A440,'Medical Examination'!$A:$Z,2,FALSE)</f>
        <v>25.6</v>
      </c>
    </row>
    <row r="441" spans="1:21" ht="15.5" x14ac:dyDescent="0.35">
      <c r="A441" s="2" t="s">
        <v>441</v>
      </c>
      <c r="B441" s="2" t="s">
        <v>3164</v>
      </c>
      <c r="C441">
        <v>24.32</v>
      </c>
      <c r="D441">
        <v>6.39</v>
      </c>
      <c r="E441" t="s">
        <v>2344</v>
      </c>
      <c r="F441" t="s">
        <v>2344</v>
      </c>
      <c r="G441" t="s">
        <v>2344</v>
      </c>
      <c r="H441">
        <v>0</v>
      </c>
      <c r="I441" t="s">
        <v>2344</v>
      </c>
      <c r="J441" t="str">
        <f t="shared" si="24"/>
        <v>Normal Weight</v>
      </c>
      <c r="K441" t="str">
        <f t="shared" si="25"/>
        <v>Prediabetes</v>
      </c>
      <c r="L441">
        <v>13</v>
      </c>
      <c r="M441" t="s">
        <v>2363</v>
      </c>
      <c r="N441">
        <v>2000</v>
      </c>
      <c r="O441" s="8">
        <f t="shared" si="26"/>
        <v>36782</v>
      </c>
      <c r="P441" s="10">
        <v>4005.42</v>
      </c>
      <c r="Q441" t="s">
        <v>2357</v>
      </c>
      <c r="R441" t="s">
        <v>2361</v>
      </c>
      <c r="S441" t="s">
        <v>2369</v>
      </c>
      <c r="T441">
        <f t="shared" ca="1" si="27"/>
        <v>26</v>
      </c>
      <c r="U441">
        <f>VLOOKUP($A441,'Medical Examination'!$A:$Z,2,FALSE)</f>
        <v>24.32</v>
      </c>
    </row>
    <row r="442" spans="1:21" ht="15.5" x14ac:dyDescent="0.35">
      <c r="A442" s="2" t="s">
        <v>442</v>
      </c>
      <c r="B442" s="2" t="s">
        <v>3166</v>
      </c>
      <c r="C442">
        <v>22.88</v>
      </c>
      <c r="D442">
        <v>5.71</v>
      </c>
      <c r="E442" t="s">
        <v>2346</v>
      </c>
      <c r="F442" t="s">
        <v>2344</v>
      </c>
      <c r="G442" t="s">
        <v>2346</v>
      </c>
      <c r="H442">
        <v>1</v>
      </c>
      <c r="I442" t="s">
        <v>2346</v>
      </c>
      <c r="J442" t="str">
        <f t="shared" si="24"/>
        <v>Normal Weight</v>
      </c>
      <c r="K442" t="str">
        <f t="shared" si="25"/>
        <v>Prediabetes</v>
      </c>
      <c r="L442">
        <v>11</v>
      </c>
      <c r="M442" t="s">
        <v>2367</v>
      </c>
      <c r="N442">
        <v>1992</v>
      </c>
      <c r="O442" s="8">
        <f t="shared" si="26"/>
        <v>33888</v>
      </c>
      <c r="P442" s="10">
        <v>4032.24</v>
      </c>
      <c r="Q442" t="s">
        <v>2358</v>
      </c>
      <c r="R442" t="s">
        <v>2358</v>
      </c>
      <c r="S442" t="s">
        <v>2364</v>
      </c>
      <c r="T442">
        <f t="shared" ca="1" si="27"/>
        <v>34</v>
      </c>
      <c r="U442">
        <f>VLOOKUP($A442,'Medical Examination'!$A:$Z,2,FALSE)</f>
        <v>22.88</v>
      </c>
    </row>
    <row r="443" spans="1:21" ht="15.5" x14ac:dyDescent="0.35">
      <c r="A443" s="2" t="s">
        <v>443</v>
      </c>
      <c r="B443" s="2" t="s">
        <v>3168</v>
      </c>
      <c r="C443">
        <v>24.984999999999999</v>
      </c>
      <c r="D443">
        <v>4.43</v>
      </c>
      <c r="E443" t="s">
        <v>2346</v>
      </c>
      <c r="F443" t="s">
        <v>2344</v>
      </c>
      <c r="G443" t="s">
        <v>2346</v>
      </c>
      <c r="H443">
        <v>1</v>
      </c>
      <c r="I443" t="s">
        <v>2344</v>
      </c>
      <c r="J443" t="str">
        <f t="shared" si="24"/>
        <v>Normal Weight</v>
      </c>
      <c r="K443" t="str">
        <f t="shared" si="25"/>
        <v>Normal</v>
      </c>
      <c r="L443">
        <v>7</v>
      </c>
      <c r="M443" t="s">
        <v>2356</v>
      </c>
      <c r="N443">
        <v>1984</v>
      </c>
      <c r="O443" s="8">
        <f t="shared" si="26"/>
        <v>30870</v>
      </c>
      <c r="P443" s="10">
        <v>4038.41</v>
      </c>
      <c r="Q443" t="s">
        <v>2357</v>
      </c>
      <c r="R443" t="s">
        <v>2361</v>
      </c>
      <c r="S443" t="s">
        <v>2359</v>
      </c>
      <c r="T443">
        <f t="shared" ca="1" si="27"/>
        <v>42</v>
      </c>
      <c r="U443">
        <f>VLOOKUP($A443,'Medical Examination'!$A:$Z,2,FALSE)</f>
        <v>24.984999999999999</v>
      </c>
    </row>
    <row r="444" spans="1:21" ht="15.5" x14ac:dyDescent="0.35">
      <c r="A444" s="2" t="s">
        <v>444</v>
      </c>
      <c r="B444" s="2" t="s">
        <v>2549</v>
      </c>
      <c r="C444">
        <v>33.1</v>
      </c>
      <c r="D444">
        <v>5.52</v>
      </c>
      <c r="E444" t="s">
        <v>2344</v>
      </c>
      <c r="F444" t="s">
        <v>2344</v>
      </c>
      <c r="G444" t="s">
        <v>2346</v>
      </c>
      <c r="H444">
        <v>1</v>
      </c>
      <c r="I444" t="s">
        <v>2344</v>
      </c>
      <c r="J444" t="str">
        <f t="shared" si="24"/>
        <v>Obesity</v>
      </c>
      <c r="K444" t="str">
        <f t="shared" si="25"/>
        <v>Normal</v>
      </c>
      <c r="L444">
        <v>10</v>
      </c>
      <c r="M444" t="s">
        <v>2360</v>
      </c>
      <c r="N444">
        <v>1983</v>
      </c>
      <c r="O444" s="8">
        <f t="shared" si="26"/>
        <v>30630</v>
      </c>
      <c r="P444" s="10">
        <v>4039.9</v>
      </c>
      <c r="Q444" t="s">
        <v>2357</v>
      </c>
      <c r="R444" t="s">
        <v>2361</v>
      </c>
      <c r="S444" t="s">
        <v>2359</v>
      </c>
      <c r="T444">
        <f t="shared" ca="1" si="27"/>
        <v>43</v>
      </c>
      <c r="U444">
        <f>VLOOKUP($A444,'Medical Examination'!$A:$Z,2,FALSE)</f>
        <v>33.1</v>
      </c>
    </row>
    <row r="445" spans="1:21" ht="15.5" x14ac:dyDescent="0.35">
      <c r="A445" s="2" t="s">
        <v>445</v>
      </c>
      <c r="B445" s="2" t="s">
        <v>3170</v>
      </c>
      <c r="C445">
        <v>27.83</v>
      </c>
      <c r="D445">
        <v>9.1999999999999993</v>
      </c>
      <c r="E445" t="s">
        <v>2346</v>
      </c>
      <c r="F445" t="s">
        <v>2344</v>
      </c>
      <c r="G445" t="s">
        <v>2344</v>
      </c>
      <c r="H445">
        <v>1</v>
      </c>
      <c r="I445" t="s">
        <v>2346</v>
      </c>
      <c r="J445" t="str">
        <f t="shared" si="24"/>
        <v>Over weight</v>
      </c>
      <c r="K445" t="str">
        <f t="shared" si="25"/>
        <v>Diabetes</v>
      </c>
      <c r="L445">
        <v>26</v>
      </c>
      <c r="M445" t="s">
        <v>2365</v>
      </c>
      <c r="N445">
        <v>1993</v>
      </c>
      <c r="O445" s="8">
        <f t="shared" si="26"/>
        <v>34329</v>
      </c>
      <c r="P445" s="10">
        <v>4040.56</v>
      </c>
      <c r="Q445" t="s">
        <v>2358</v>
      </c>
      <c r="R445" t="s">
        <v>2358</v>
      </c>
      <c r="S445" t="s">
        <v>2369</v>
      </c>
      <c r="T445">
        <f t="shared" ca="1" si="27"/>
        <v>33</v>
      </c>
      <c r="U445">
        <f>VLOOKUP($A445,'Medical Examination'!$A:$Z,2,FALSE)</f>
        <v>27.83</v>
      </c>
    </row>
    <row r="446" spans="1:21" ht="15.5" x14ac:dyDescent="0.35">
      <c r="A446" s="2" t="s">
        <v>446</v>
      </c>
      <c r="B446" s="2" t="s">
        <v>3172</v>
      </c>
      <c r="C446">
        <v>30.875</v>
      </c>
      <c r="D446">
        <v>10.97</v>
      </c>
      <c r="E446" t="s">
        <v>2346</v>
      </c>
      <c r="F446" t="s">
        <v>2344</v>
      </c>
      <c r="G446" t="s">
        <v>2344</v>
      </c>
      <c r="H446">
        <v>1</v>
      </c>
      <c r="I446" t="s">
        <v>2344</v>
      </c>
      <c r="J446" t="str">
        <f t="shared" si="24"/>
        <v>Obesity</v>
      </c>
      <c r="K446" t="str">
        <f t="shared" si="25"/>
        <v>Diabetes</v>
      </c>
      <c r="L446">
        <v>30</v>
      </c>
      <c r="M446" t="s">
        <v>2360</v>
      </c>
      <c r="N446">
        <v>1988</v>
      </c>
      <c r="O446" s="8">
        <f t="shared" si="26"/>
        <v>32477</v>
      </c>
      <c r="P446" s="10">
        <v>4047.94</v>
      </c>
      <c r="Q446" t="s">
        <v>2357</v>
      </c>
      <c r="R446" t="s">
        <v>2361</v>
      </c>
      <c r="S446" t="s">
        <v>2359</v>
      </c>
      <c r="T446">
        <f t="shared" ca="1" si="27"/>
        <v>38</v>
      </c>
      <c r="U446">
        <f>VLOOKUP($A446,'Medical Examination'!$A:$Z,2,FALSE)</f>
        <v>30.875</v>
      </c>
    </row>
    <row r="447" spans="1:21" ht="15.5" x14ac:dyDescent="0.35">
      <c r="A447" s="2" t="s">
        <v>447</v>
      </c>
      <c r="B447" s="2" t="s">
        <v>3174</v>
      </c>
      <c r="C447">
        <v>27.265000000000001</v>
      </c>
      <c r="D447">
        <v>4.25</v>
      </c>
      <c r="E447" t="s">
        <v>2344</v>
      </c>
      <c r="F447" t="s">
        <v>2344</v>
      </c>
      <c r="G447" t="s">
        <v>2346</v>
      </c>
      <c r="H447">
        <v>1</v>
      </c>
      <c r="I447" t="s">
        <v>2344</v>
      </c>
      <c r="J447" t="str">
        <f t="shared" si="24"/>
        <v>Over weight</v>
      </c>
      <c r="K447" t="str">
        <f t="shared" si="25"/>
        <v>Normal</v>
      </c>
      <c r="L447">
        <v>13</v>
      </c>
      <c r="M447" t="s">
        <v>2366</v>
      </c>
      <c r="N447">
        <v>1993</v>
      </c>
      <c r="O447" s="8">
        <f t="shared" si="26"/>
        <v>34194</v>
      </c>
      <c r="P447" s="10">
        <v>4058.12</v>
      </c>
      <c r="Q447" t="s">
        <v>2357</v>
      </c>
      <c r="R447" t="s">
        <v>2361</v>
      </c>
      <c r="S447" t="s">
        <v>2359</v>
      </c>
      <c r="T447">
        <f t="shared" ca="1" si="27"/>
        <v>33</v>
      </c>
      <c r="U447">
        <f>VLOOKUP($A447,'Medical Examination'!$A:$Z,2,FALSE)</f>
        <v>27.265000000000001</v>
      </c>
    </row>
    <row r="448" spans="1:21" ht="15.5" x14ac:dyDescent="0.35">
      <c r="A448" s="2" t="s">
        <v>448</v>
      </c>
      <c r="B448" s="2" t="s">
        <v>3175</v>
      </c>
      <c r="C448">
        <v>26.7</v>
      </c>
      <c r="D448">
        <v>5.23</v>
      </c>
      <c r="E448" t="s">
        <v>2344</v>
      </c>
      <c r="F448" t="s">
        <v>2344</v>
      </c>
      <c r="G448" t="s">
        <v>2346</v>
      </c>
      <c r="H448">
        <v>1</v>
      </c>
      <c r="I448" t="s">
        <v>2346</v>
      </c>
      <c r="J448" t="str">
        <f t="shared" si="24"/>
        <v>Over weight</v>
      </c>
      <c r="K448" t="str">
        <f t="shared" si="25"/>
        <v>Normal</v>
      </c>
      <c r="L448">
        <v>14</v>
      </c>
      <c r="M448" t="s">
        <v>2363</v>
      </c>
      <c r="N448">
        <v>1995</v>
      </c>
      <c r="O448" s="8">
        <f t="shared" si="26"/>
        <v>34956</v>
      </c>
      <c r="P448" s="10">
        <v>4058.71</v>
      </c>
      <c r="Q448" t="s">
        <v>2358</v>
      </c>
      <c r="R448" t="s">
        <v>2358</v>
      </c>
      <c r="S448" t="s">
        <v>2364</v>
      </c>
      <c r="T448">
        <f t="shared" ca="1" si="27"/>
        <v>31</v>
      </c>
      <c r="U448">
        <f>VLOOKUP($A448,'Medical Examination'!$A:$Z,2,FALSE)</f>
        <v>26.7</v>
      </c>
    </row>
    <row r="449" spans="1:21" ht="15.5" x14ac:dyDescent="0.35">
      <c r="A449" s="2" t="s">
        <v>449</v>
      </c>
      <c r="B449" s="2" t="s">
        <v>3177</v>
      </c>
      <c r="C449">
        <v>29.925000000000001</v>
      </c>
      <c r="D449">
        <v>5.96</v>
      </c>
      <c r="E449" t="s">
        <v>2346</v>
      </c>
      <c r="F449" t="s">
        <v>2344</v>
      </c>
      <c r="G449" t="s">
        <v>2346</v>
      </c>
      <c r="H449">
        <v>1</v>
      </c>
      <c r="I449" t="s">
        <v>2346</v>
      </c>
      <c r="J449" t="str">
        <f t="shared" si="24"/>
        <v>Over weight</v>
      </c>
      <c r="K449" t="str">
        <f t="shared" si="25"/>
        <v>Prediabetes</v>
      </c>
      <c r="L449">
        <v>16</v>
      </c>
      <c r="M449" t="s">
        <v>2363</v>
      </c>
      <c r="N449">
        <v>1983</v>
      </c>
      <c r="O449" s="8">
        <f t="shared" si="26"/>
        <v>30575</v>
      </c>
      <c r="P449" s="10">
        <v>4070.42</v>
      </c>
      <c r="Q449" t="s">
        <v>2357</v>
      </c>
      <c r="R449" t="s">
        <v>2361</v>
      </c>
      <c r="S449" t="s">
        <v>2359</v>
      </c>
      <c r="T449">
        <f t="shared" ca="1" si="27"/>
        <v>43</v>
      </c>
      <c r="U449">
        <f>VLOOKUP($A449,'Medical Examination'!$A:$Z,2,FALSE)</f>
        <v>29.925000000000001</v>
      </c>
    </row>
    <row r="450" spans="1:21" ht="15.5" x14ac:dyDescent="0.35">
      <c r="A450" s="2" t="s">
        <v>450</v>
      </c>
      <c r="B450" s="2" t="s">
        <v>3179</v>
      </c>
      <c r="C450">
        <v>19.95</v>
      </c>
      <c r="D450">
        <v>4.29</v>
      </c>
      <c r="E450" t="s">
        <v>2346</v>
      </c>
      <c r="F450" t="s">
        <v>2344</v>
      </c>
      <c r="G450" t="s">
        <v>2344</v>
      </c>
      <c r="H450">
        <v>1</v>
      </c>
      <c r="I450" t="s">
        <v>2346</v>
      </c>
      <c r="J450" t="str">
        <f t="shared" si="24"/>
        <v>Normal Weight</v>
      </c>
      <c r="K450" t="str">
        <f t="shared" si="25"/>
        <v>Normal</v>
      </c>
      <c r="L450">
        <v>18</v>
      </c>
      <c r="M450" t="s">
        <v>2367</v>
      </c>
      <c r="N450">
        <v>2002</v>
      </c>
      <c r="O450" s="8">
        <f t="shared" si="26"/>
        <v>37547</v>
      </c>
      <c r="P450" s="10">
        <v>4070.51</v>
      </c>
      <c r="Q450" t="s">
        <v>2357</v>
      </c>
      <c r="R450" t="s">
        <v>2361</v>
      </c>
      <c r="S450" t="s">
        <v>2364</v>
      </c>
      <c r="T450">
        <f t="shared" ca="1" si="27"/>
        <v>24</v>
      </c>
      <c r="U450">
        <f>VLOOKUP($A450,'Medical Examination'!$A:$Z,2,FALSE)</f>
        <v>19.95</v>
      </c>
    </row>
    <row r="451" spans="1:21" ht="15.5" x14ac:dyDescent="0.35">
      <c r="A451" s="2" t="s">
        <v>451</v>
      </c>
      <c r="B451" s="2" t="s">
        <v>3180</v>
      </c>
      <c r="C451">
        <v>24.225000000000001</v>
      </c>
      <c r="D451">
        <v>4.09</v>
      </c>
      <c r="E451" t="s">
        <v>2344</v>
      </c>
      <c r="F451" t="s">
        <v>2344</v>
      </c>
      <c r="G451" t="s">
        <v>2344</v>
      </c>
      <c r="H451">
        <v>0</v>
      </c>
      <c r="I451" t="s">
        <v>2344</v>
      </c>
      <c r="J451" t="str">
        <f t="shared" ref="J451:J514" si="28">IF(C451&lt;18.5,"Under Weight",IF(C451&lt;25,"Normal Weight",IF(C451&lt;30,"Over weight","Obesity")))</f>
        <v>Normal Weight</v>
      </c>
      <c r="K451" t="str">
        <f t="shared" ref="K451:K514" si="29">IF(D451&lt;5.7,"Normal",IF(D451&lt;6.5,"Prediabetes","Diabetes"))</f>
        <v>Normal</v>
      </c>
      <c r="L451">
        <v>1</v>
      </c>
      <c r="M451" t="s">
        <v>2365</v>
      </c>
      <c r="N451">
        <v>1990</v>
      </c>
      <c r="O451" s="8">
        <f t="shared" ref="O451:O514" si="30">DATE(N451,MONTH(1&amp;M451),L451)</f>
        <v>33208</v>
      </c>
      <c r="P451" s="10">
        <v>4074.45</v>
      </c>
      <c r="Q451" t="s">
        <v>2358</v>
      </c>
      <c r="R451" t="s">
        <v>2357</v>
      </c>
      <c r="S451" t="s">
        <v>2359</v>
      </c>
      <c r="T451">
        <f t="shared" ref="T451:T514" ca="1" si="31">YEAR(TODAY())-YEAR(O451)</f>
        <v>36</v>
      </c>
      <c r="U451">
        <f>VLOOKUP($A451,'Medical Examination'!$A:$Z,2,FALSE)</f>
        <v>24.225000000000001</v>
      </c>
    </row>
    <row r="452" spans="1:21" ht="15.5" x14ac:dyDescent="0.35">
      <c r="A452" s="2" t="s">
        <v>452</v>
      </c>
      <c r="B452" s="2" t="s">
        <v>3023</v>
      </c>
      <c r="C452">
        <v>28.12</v>
      </c>
      <c r="D452">
        <v>4.88</v>
      </c>
      <c r="E452" t="s">
        <v>2344</v>
      </c>
      <c r="F452" t="s">
        <v>2344</v>
      </c>
      <c r="G452" t="s">
        <v>2344</v>
      </c>
      <c r="H452">
        <v>0</v>
      </c>
      <c r="I452" t="s">
        <v>2346</v>
      </c>
      <c r="J452" t="str">
        <f t="shared" si="28"/>
        <v>Over weight</v>
      </c>
      <c r="K452" t="str">
        <f t="shared" si="29"/>
        <v>Normal</v>
      </c>
      <c r="L452">
        <v>14</v>
      </c>
      <c r="M452" t="s">
        <v>2365</v>
      </c>
      <c r="N452">
        <v>1990</v>
      </c>
      <c r="O452" s="8">
        <f t="shared" si="30"/>
        <v>33221</v>
      </c>
      <c r="P452" s="10">
        <v>4076.5</v>
      </c>
      <c r="Q452" t="s">
        <v>2357</v>
      </c>
      <c r="R452" t="s">
        <v>2358</v>
      </c>
      <c r="S452" t="s">
        <v>2368</v>
      </c>
      <c r="T452">
        <f t="shared" ca="1" si="31"/>
        <v>36</v>
      </c>
      <c r="U452">
        <f>VLOOKUP($A452,'Medical Examination'!$A:$Z,2,FALSE)</f>
        <v>28.12</v>
      </c>
    </row>
    <row r="453" spans="1:21" ht="15.5" x14ac:dyDescent="0.35">
      <c r="A453" s="2" t="s">
        <v>453</v>
      </c>
      <c r="B453" s="2" t="s">
        <v>2511</v>
      </c>
      <c r="C453">
        <v>23.21</v>
      </c>
      <c r="D453">
        <v>6.76</v>
      </c>
      <c r="E453" t="s">
        <v>2344</v>
      </c>
      <c r="F453" t="s">
        <v>2344</v>
      </c>
      <c r="G453" t="s">
        <v>2344</v>
      </c>
      <c r="H453">
        <v>0</v>
      </c>
      <c r="I453" t="s">
        <v>2346</v>
      </c>
      <c r="J453" t="str">
        <f t="shared" si="28"/>
        <v>Normal Weight</v>
      </c>
      <c r="K453" t="str">
        <f t="shared" si="29"/>
        <v>Diabetes</v>
      </c>
      <c r="L453">
        <v>21</v>
      </c>
      <c r="M453" t="s">
        <v>2366</v>
      </c>
      <c r="N453">
        <v>1994</v>
      </c>
      <c r="O453" s="8">
        <f t="shared" si="30"/>
        <v>34567</v>
      </c>
      <c r="P453" s="10">
        <v>4133.6400000000003</v>
      </c>
      <c r="Q453" t="s">
        <v>2357</v>
      </c>
      <c r="R453" t="s">
        <v>2358</v>
      </c>
      <c r="S453" t="s">
        <v>2364</v>
      </c>
      <c r="T453">
        <f t="shared" ca="1" si="31"/>
        <v>32</v>
      </c>
      <c r="U453">
        <f>VLOOKUP($A453,'Medical Examination'!$A:$Z,2,FALSE)</f>
        <v>23.21</v>
      </c>
    </row>
    <row r="454" spans="1:21" ht="15.5" x14ac:dyDescent="0.35">
      <c r="A454" s="2" t="s">
        <v>454</v>
      </c>
      <c r="B454" s="2" t="s">
        <v>3183</v>
      </c>
      <c r="C454">
        <v>23.98</v>
      </c>
      <c r="D454">
        <v>10.67</v>
      </c>
      <c r="E454" t="s">
        <v>2344</v>
      </c>
      <c r="F454" t="s">
        <v>2344</v>
      </c>
      <c r="G454" t="s">
        <v>2344</v>
      </c>
      <c r="H454">
        <v>0</v>
      </c>
      <c r="I454" t="s">
        <v>2344</v>
      </c>
      <c r="J454" t="str">
        <f t="shared" si="28"/>
        <v>Normal Weight</v>
      </c>
      <c r="K454" t="str">
        <f t="shared" si="29"/>
        <v>Diabetes</v>
      </c>
      <c r="L454">
        <v>6</v>
      </c>
      <c r="M454" t="s">
        <v>2366</v>
      </c>
      <c r="N454">
        <v>1991</v>
      </c>
      <c r="O454" s="8">
        <f t="shared" si="30"/>
        <v>33456</v>
      </c>
      <c r="P454" s="10">
        <v>4134.08</v>
      </c>
      <c r="Q454" t="s">
        <v>2357</v>
      </c>
      <c r="R454" t="s">
        <v>2361</v>
      </c>
      <c r="S454" t="s">
        <v>2364</v>
      </c>
      <c r="T454">
        <f t="shared" ca="1" si="31"/>
        <v>35</v>
      </c>
      <c r="U454">
        <f>VLOOKUP($A454,'Medical Examination'!$A:$Z,2,FALSE)</f>
        <v>23.98</v>
      </c>
    </row>
    <row r="455" spans="1:21" ht="15.5" x14ac:dyDescent="0.35">
      <c r="A455" s="2" t="s">
        <v>455</v>
      </c>
      <c r="B455" s="2" t="s">
        <v>3185</v>
      </c>
      <c r="C455">
        <v>30</v>
      </c>
      <c r="D455">
        <v>6.21</v>
      </c>
      <c r="E455" t="s">
        <v>2344</v>
      </c>
      <c r="F455" t="s">
        <v>2344</v>
      </c>
      <c r="G455" t="s">
        <v>2344</v>
      </c>
      <c r="H455">
        <v>0</v>
      </c>
      <c r="I455" t="s">
        <v>2346</v>
      </c>
      <c r="J455" t="str">
        <f t="shared" si="28"/>
        <v>Obesity</v>
      </c>
      <c r="K455" t="str">
        <f t="shared" si="29"/>
        <v>Prediabetes</v>
      </c>
      <c r="L455">
        <v>18</v>
      </c>
      <c r="M455" t="s">
        <v>2362</v>
      </c>
      <c r="N455">
        <v>1992</v>
      </c>
      <c r="O455" s="8">
        <f t="shared" si="30"/>
        <v>33773</v>
      </c>
      <c r="P455" s="10">
        <v>4137.5200000000004</v>
      </c>
      <c r="Q455" t="s">
        <v>2357</v>
      </c>
      <c r="R455" t="s">
        <v>2358</v>
      </c>
      <c r="S455" t="s">
        <v>2374</v>
      </c>
      <c r="T455">
        <f t="shared" ca="1" si="31"/>
        <v>34</v>
      </c>
      <c r="U455">
        <f>VLOOKUP($A455,'Medical Examination'!$A:$Z,2,FALSE)</f>
        <v>30</v>
      </c>
    </row>
    <row r="456" spans="1:21" ht="15.5" x14ac:dyDescent="0.35">
      <c r="A456" s="2" t="s">
        <v>456</v>
      </c>
      <c r="B456" s="2" t="s">
        <v>3186</v>
      </c>
      <c r="C456">
        <v>17.350000000000001</v>
      </c>
      <c r="D456">
        <v>5.03</v>
      </c>
      <c r="E456" t="s">
        <v>2346</v>
      </c>
      <c r="F456" t="s">
        <v>2344</v>
      </c>
      <c r="G456" t="s">
        <v>2344</v>
      </c>
      <c r="H456">
        <v>0</v>
      </c>
      <c r="I456" t="s">
        <v>2346</v>
      </c>
      <c r="J456" t="str">
        <f t="shared" si="28"/>
        <v>Under Weight</v>
      </c>
      <c r="K456" t="str">
        <f t="shared" si="29"/>
        <v>Normal</v>
      </c>
      <c r="L456">
        <v>28</v>
      </c>
      <c r="M456" t="s">
        <v>2362</v>
      </c>
      <c r="N456">
        <v>1992</v>
      </c>
      <c r="O456" s="8">
        <f t="shared" si="30"/>
        <v>33783</v>
      </c>
      <c r="P456" s="10">
        <v>4149.74</v>
      </c>
      <c r="Q456" t="s">
        <v>2357</v>
      </c>
      <c r="R456" t="s">
        <v>2361</v>
      </c>
      <c r="S456" t="s">
        <v>2368</v>
      </c>
      <c r="T456">
        <f t="shared" ca="1" si="31"/>
        <v>34</v>
      </c>
      <c r="U456">
        <f>VLOOKUP($A456,'Medical Examination'!$A:$Z,2,FALSE)</f>
        <v>17.350000000000001</v>
      </c>
    </row>
    <row r="457" spans="1:21" ht="15.5" x14ac:dyDescent="0.35">
      <c r="A457" s="2" t="s">
        <v>457</v>
      </c>
      <c r="B457" s="2" t="s">
        <v>3187</v>
      </c>
      <c r="C457">
        <v>22.704999999999998</v>
      </c>
      <c r="D457">
        <v>5.27</v>
      </c>
      <c r="E457" t="s">
        <v>2344</v>
      </c>
      <c r="F457" t="s">
        <v>2344</v>
      </c>
      <c r="G457" t="s">
        <v>2344</v>
      </c>
      <c r="H457">
        <v>0</v>
      </c>
      <c r="I457" t="s">
        <v>2344</v>
      </c>
      <c r="J457" t="str">
        <f t="shared" si="28"/>
        <v>Normal Weight</v>
      </c>
      <c r="K457" t="str">
        <f t="shared" si="29"/>
        <v>Normal</v>
      </c>
      <c r="L457">
        <v>4</v>
      </c>
      <c r="M457" t="s">
        <v>2366</v>
      </c>
      <c r="N457">
        <v>1992</v>
      </c>
      <c r="O457" s="8">
        <f t="shared" si="30"/>
        <v>33820</v>
      </c>
      <c r="P457" s="10">
        <v>4151.03</v>
      </c>
      <c r="Q457" t="s">
        <v>2357</v>
      </c>
      <c r="R457" t="s">
        <v>2357</v>
      </c>
      <c r="S457" t="s">
        <v>2359</v>
      </c>
      <c r="T457">
        <f t="shared" ca="1" si="31"/>
        <v>34</v>
      </c>
      <c r="U457">
        <f>VLOOKUP($A457,'Medical Examination'!$A:$Z,2,FALSE)</f>
        <v>22.704999999999998</v>
      </c>
    </row>
    <row r="458" spans="1:21" ht="15.5" x14ac:dyDescent="0.35">
      <c r="A458" s="2" t="s">
        <v>458</v>
      </c>
      <c r="B458" s="2" t="s">
        <v>3189</v>
      </c>
      <c r="C458">
        <v>25.41</v>
      </c>
      <c r="D458">
        <v>10.53</v>
      </c>
      <c r="E458" t="s">
        <v>2346</v>
      </c>
      <c r="F458" t="s">
        <v>2344</v>
      </c>
      <c r="G458" t="s">
        <v>2344</v>
      </c>
      <c r="H458">
        <v>1</v>
      </c>
      <c r="I458" t="s">
        <v>2346</v>
      </c>
      <c r="J458" t="str">
        <f t="shared" si="28"/>
        <v>Over weight</v>
      </c>
      <c r="K458" t="str">
        <f t="shared" si="29"/>
        <v>Diabetes</v>
      </c>
      <c r="L458">
        <v>26</v>
      </c>
      <c r="M458" t="s">
        <v>2360</v>
      </c>
      <c r="N458">
        <v>1998</v>
      </c>
      <c r="O458" s="8">
        <f t="shared" si="30"/>
        <v>36125</v>
      </c>
      <c r="P458" s="10">
        <v>4154.97</v>
      </c>
      <c r="Q458" t="s">
        <v>2357</v>
      </c>
      <c r="R458" t="s">
        <v>2361</v>
      </c>
      <c r="S458" t="s">
        <v>2364</v>
      </c>
      <c r="T458">
        <f t="shared" ca="1" si="31"/>
        <v>28</v>
      </c>
      <c r="U458">
        <f>VLOOKUP($A458,'Medical Examination'!$A:$Z,2,FALSE)</f>
        <v>25.41</v>
      </c>
    </row>
    <row r="459" spans="1:21" ht="15.5" x14ac:dyDescent="0.35">
      <c r="A459" s="2" t="s">
        <v>459</v>
      </c>
      <c r="B459" s="2" t="s">
        <v>3190</v>
      </c>
      <c r="C459">
        <v>18.23</v>
      </c>
      <c r="D459">
        <v>5.78</v>
      </c>
      <c r="E459" t="s">
        <v>2344</v>
      </c>
      <c r="F459" t="s">
        <v>2344</v>
      </c>
      <c r="G459" t="s">
        <v>2346</v>
      </c>
      <c r="H459">
        <v>1</v>
      </c>
      <c r="I459" t="s">
        <v>2346</v>
      </c>
      <c r="J459" t="str">
        <f t="shared" si="28"/>
        <v>Under Weight</v>
      </c>
      <c r="K459" t="str">
        <f t="shared" si="29"/>
        <v>Prediabetes</v>
      </c>
      <c r="L459">
        <v>16</v>
      </c>
      <c r="M459" t="s">
        <v>2363</v>
      </c>
      <c r="N459">
        <v>1984</v>
      </c>
      <c r="O459" s="8">
        <f t="shared" si="30"/>
        <v>30941</v>
      </c>
      <c r="P459" s="10">
        <v>4163.21</v>
      </c>
      <c r="Q459" t="s">
        <v>2357</v>
      </c>
      <c r="R459" t="s">
        <v>2357</v>
      </c>
      <c r="S459" t="s">
        <v>2364</v>
      </c>
      <c r="T459">
        <f t="shared" ca="1" si="31"/>
        <v>42</v>
      </c>
      <c r="U459">
        <f>VLOOKUP($A459,'Medical Examination'!$A:$Z,2,FALSE)</f>
        <v>18.23</v>
      </c>
    </row>
    <row r="460" spans="1:21" ht="15.5" x14ac:dyDescent="0.35">
      <c r="A460" s="2" t="s">
        <v>460</v>
      </c>
      <c r="B460" s="2" t="s">
        <v>3192</v>
      </c>
      <c r="C460">
        <v>24.7</v>
      </c>
      <c r="D460">
        <v>4.3600000000000003</v>
      </c>
      <c r="E460" t="s">
        <v>2344</v>
      </c>
      <c r="F460" t="s">
        <v>2344</v>
      </c>
      <c r="G460" t="s">
        <v>2346</v>
      </c>
      <c r="H460">
        <v>1</v>
      </c>
      <c r="I460" t="s">
        <v>2346</v>
      </c>
      <c r="J460" t="str">
        <f t="shared" si="28"/>
        <v>Normal Weight</v>
      </c>
      <c r="K460" t="str">
        <f t="shared" si="29"/>
        <v>Normal</v>
      </c>
      <c r="L460">
        <v>25</v>
      </c>
      <c r="M460" t="s">
        <v>2362</v>
      </c>
      <c r="N460">
        <v>1989</v>
      </c>
      <c r="O460" s="8">
        <f t="shared" si="30"/>
        <v>32684</v>
      </c>
      <c r="P460" s="10">
        <v>4185.1000000000004</v>
      </c>
      <c r="Q460" t="s">
        <v>2357</v>
      </c>
      <c r="R460" t="s">
        <v>2358</v>
      </c>
      <c r="S460" t="s">
        <v>2359</v>
      </c>
      <c r="T460">
        <f t="shared" ca="1" si="31"/>
        <v>37</v>
      </c>
      <c r="U460">
        <f>VLOOKUP($A460,'Medical Examination'!$A:$Z,2,FALSE)</f>
        <v>24.7</v>
      </c>
    </row>
    <row r="461" spans="1:21" ht="15.5" x14ac:dyDescent="0.35">
      <c r="A461" s="2" t="s">
        <v>461</v>
      </c>
      <c r="B461" s="2" t="s">
        <v>2538</v>
      </c>
      <c r="C461">
        <v>37.4</v>
      </c>
      <c r="D461">
        <v>9.7200000000000006</v>
      </c>
      <c r="E461" t="s">
        <v>2346</v>
      </c>
      <c r="F461" t="s">
        <v>2344</v>
      </c>
      <c r="G461" t="s">
        <v>2346</v>
      </c>
      <c r="H461">
        <v>1</v>
      </c>
      <c r="I461" t="s">
        <v>2344</v>
      </c>
      <c r="J461" t="str">
        <f t="shared" si="28"/>
        <v>Obesity</v>
      </c>
      <c r="K461" t="str">
        <f t="shared" si="29"/>
        <v>Diabetes</v>
      </c>
      <c r="L461">
        <v>3</v>
      </c>
      <c r="M461" t="s">
        <v>2367</v>
      </c>
      <c r="N461">
        <v>1995</v>
      </c>
      <c r="O461" s="8">
        <f t="shared" si="30"/>
        <v>34975</v>
      </c>
      <c r="P461" s="10">
        <v>4188.7299999999996</v>
      </c>
      <c r="Q461" t="s">
        <v>2357</v>
      </c>
      <c r="R461" t="s">
        <v>2357</v>
      </c>
      <c r="S461" t="s">
        <v>2373</v>
      </c>
      <c r="T461">
        <f t="shared" ca="1" si="31"/>
        <v>31</v>
      </c>
      <c r="U461">
        <f>VLOOKUP($A461,'Medical Examination'!$A:$Z,2,FALSE)</f>
        <v>37.4</v>
      </c>
    </row>
    <row r="462" spans="1:21" ht="15.5" x14ac:dyDescent="0.35">
      <c r="A462" s="2" t="s">
        <v>462</v>
      </c>
      <c r="B462" s="2" t="s">
        <v>2940</v>
      </c>
      <c r="C462">
        <v>26.885000000000002</v>
      </c>
      <c r="D462">
        <v>5.18</v>
      </c>
      <c r="E462" t="s">
        <v>2344</v>
      </c>
      <c r="F462" t="s">
        <v>2344</v>
      </c>
      <c r="G462" t="s">
        <v>2346</v>
      </c>
      <c r="H462">
        <v>1</v>
      </c>
      <c r="I462" t="s">
        <v>2346</v>
      </c>
      <c r="J462" t="str">
        <f t="shared" si="28"/>
        <v>Over weight</v>
      </c>
      <c r="K462" t="str">
        <f t="shared" si="29"/>
        <v>Normal</v>
      </c>
      <c r="L462">
        <v>6</v>
      </c>
      <c r="M462" t="s">
        <v>2363</v>
      </c>
      <c r="N462">
        <v>1997</v>
      </c>
      <c r="O462" s="8">
        <f t="shared" si="30"/>
        <v>35679</v>
      </c>
      <c r="P462" s="10">
        <v>4189.1099999999997</v>
      </c>
      <c r="Q462" t="s">
        <v>2357</v>
      </c>
      <c r="R462" t="s">
        <v>2357</v>
      </c>
      <c r="S462" t="s">
        <v>2364</v>
      </c>
      <c r="T462">
        <f t="shared" ca="1" si="31"/>
        <v>29</v>
      </c>
      <c r="U462">
        <f>VLOOKUP($A462,'Medical Examination'!$A:$Z,2,FALSE)</f>
        <v>26.885000000000002</v>
      </c>
    </row>
    <row r="463" spans="1:21" ht="15.5" x14ac:dyDescent="0.35">
      <c r="A463" s="2" t="s">
        <v>463</v>
      </c>
      <c r="B463" s="2" t="s">
        <v>2571</v>
      </c>
      <c r="C463">
        <v>25.27</v>
      </c>
      <c r="D463">
        <v>5.29</v>
      </c>
      <c r="E463" t="s">
        <v>2344</v>
      </c>
      <c r="F463" t="s">
        <v>2344</v>
      </c>
      <c r="G463" t="s">
        <v>2346</v>
      </c>
      <c r="H463">
        <v>1</v>
      </c>
      <c r="I463" t="s">
        <v>2346</v>
      </c>
      <c r="J463" t="str">
        <f t="shared" si="28"/>
        <v>Over weight</v>
      </c>
      <c r="K463" t="str">
        <f t="shared" si="29"/>
        <v>Normal</v>
      </c>
      <c r="L463">
        <v>14</v>
      </c>
      <c r="M463" t="s">
        <v>2365</v>
      </c>
      <c r="N463">
        <v>1998</v>
      </c>
      <c r="O463" s="8">
        <f t="shared" si="30"/>
        <v>36143</v>
      </c>
      <c r="P463" s="10">
        <v>4234.93</v>
      </c>
      <c r="Q463" t="s">
        <v>2357</v>
      </c>
      <c r="R463" t="s">
        <v>2361</v>
      </c>
      <c r="S463" t="s">
        <v>2368</v>
      </c>
      <c r="T463">
        <f t="shared" ca="1" si="31"/>
        <v>28</v>
      </c>
      <c r="U463">
        <f>VLOOKUP($A463,'Medical Examination'!$A:$Z,2,FALSE)</f>
        <v>25.27</v>
      </c>
    </row>
    <row r="464" spans="1:21" ht="15.5" x14ac:dyDescent="0.35">
      <c r="A464" s="2" t="s">
        <v>464</v>
      </c>
      <c r="B464" s="2" t="s">
        <v>3196</v>
      </c>
      <c r="C464">
        <v>23.655000000000001</v>
      </c>
      <c r="D464">
        <v>4.8600000000000003</v>
      </c>
      <c r="E464" t="s">
        <v>2346</v>
      </c>
      <c r="F464" t="s">
        <v>2344</v>
      </c>
      <c r="G464" t="s">
        <v>2344</v>
      </c>
      <c r="H464">
        <v>0</v>
      </c>
      <c r="I464" t="s">
        <v>2346</v>
      </c>
      <c r="J464" t="str">
        <f t="shared" si="28"/>
        <v>Normal Weight</v>
      </c>
      <c r="K464" t="str">
        <f t="shared" si="29"/>
        <v>Normal</v>
      </c>
      <c r="L464">
        <v>27</v>
      </c>
      <c r="M464" t="s">
        <v>2362</v>
      </c>
      <c r="N464">
        <v>1992</v>
      </c>
      <c r="O464" s="8">
        <f t="shared" si="30"/>
        <v>33782</v>
      </c>
      <c r="P464" s="10">
        <v>4237.13</v>
      </c>
      <c r="Q464" t="s">
        <v>2358</v>
      </c>
      <c r="R464" t="s">
        <v>2361</v>
      </c>
      <c r="S464" t="s">
        <v>2371</v>
      </c>
      <c r="T464">
        <f t="shared" ca="1" si="31"/>
        <v>34</v>
      </c>
      <c r="U464">
        <f>VLOOKUP($A464,'Medical Examination'!$A:$Z,2,FALSE)</f>
        <v>23.655000000000001</v>
      </c>
    </row>
    <row r="465" spans="1:21" ht="15.5" x14ac:dyDescent="0.35">
      <c r="A465" s="2" t="s">
        <v>465</v>
      </c>
      <c r="B465" s="2" t="s">
        <v>3198</v>
      </c>
      <c r="C465">
        <v>55.05</v>
      </c>
      <c r="D465">
        <v>7.66</v>
      </c>
      <c r="E465" t="s">
        <v>2344</v>
      </c>
      <c r="F465" t="s">
        <v>2344</v>
      </c>
      <c r="G465" t="s">
        <v>2344</v>
      </c>
      <c r="H465">
        <v>0</v>
      </c>
      <c r="I465" t="s">
        <v>2344</v>
      </c>
      <c r="J465" t="str">
        <f t="shared" si="28"/>
        <v>Obesity</v>
      </c>
      <c r="K465" t="str">
        <f t="shared" si="29"/>
        <v>Diabetes</v>
      </c>
      <c r="L465">
        <v>3</v>
      </c>
      <c r="M465" t="s">
        <v>2360</v>
      </c>
      <c r="N465">
        <v>1991</v>
      </c>
      <c r="O465" s="8">
        <f t="shared" si="30"/>
        <v>33545</v>
      </c>
      <c r="P465" s="10">
        <v>4239.8900000000003</v>
      </c>
      <c r="Q465" t="s">
        <v>2357</v>
      </c>
      <c r="R465" t="s">
        <v>2357</v>
      </c>
      <c r="S465" t="s">
        <v>2364</v>
      </c>
      <c r="T465">
        <f t="shared" ca="1" si="31"/>
        <v>35</v>
      </c>
      <c r="U465">
        <f>VLOOKUP($A465,'Medical Examination'!$A:$Z,2,FALSE)</f>
        <v>55.05</v>
      </c>
    </row>
    <row r="466" spans="1:21" ht="15.5" x14ac:dyDescent="0.35">
      <c r="A466" s="2" t="s">
        <v>466</v>
      </c>
      <c r="B466" s="2" t="s">
        <v>3201</v>
      </c>
      <c r="C466">
        <v>24.89</v>
      </c>
      <c r="D466">
        <v>6.1</v>
      </c>
      <c r="E466" t="s">
        <v>2346</v>
      </c>
      <c r="F466" t="s">
        <v>2344</v>
      </c>
      <c r="G466" t="s">
        <v>2346</v>
      </c>
      <c r="H466">
        <v>1</v>
      </c>
      <c r="I466" t="s">
        <v>2346</v>
      </c>
      <c r="J466" t="str">
        <f t="shared" si="28"/>
        <v>Normal Weight</v>
      </c>
      <c r="K466" t="str">
        <f t="shared" si="29"/>
        <v>Prediabetes</v>
      </c>
      <c r="L466">
        <v>1</v>
      </c>
      <c r="M466" t="s">
        <v>2365</v>
      </c>
      <c r="N466">
        <v>1991</v>
      </c>
      <c r="O466" s="8">
        <f t="shared" si="30"/>
        <v>33573</v>
      </c>
      <c r="P466" s="10">
        <v>4243.59</v>
      </c>
      <c r="Q466" t="s">
        <v>2358</v>
      </c>
      <c r="R466" t="s">
        <v>2361</v>
      </c>
      <c r="S466" t="s">
        <v>2364</v>
      </c>
      <c r="T466">
        <f t="shared" ca="1" si="31"/>
        <v>35</v>
      </c>
      <c r="U466">
        <f>VLOOKUP($A466,'Medical Examination'!$A:$Z,2,FALSE)</f>
        <v>24.89</v>
      </c>
    </row>
    <row r="467" spans="1:21" ht="15.5" x14ac:dyDescent="0.35">
      <c r="A467" s="2" t="s">
        <v>467</v>
      </c>
      <c r="B467" s="2" t="s">
        <v>3202</v>
      </c>
      <c r="C467">
        <v>18.715</v>
      </c>
      <c r="D467">
        <v>4.4400000000000004</v>
      </c>
      <c r="E467" t="s">
        <v>2344</v>
      </c>
      <c r="F467" t="s">
        <v>2344</v>
      </c>
      <c r="G467" t="s">
        <v>2344</v>
      </c>
      <c r="H467">
        <v>0</v>
      </c>
      <c r="I467" t="s">
        <v>2344</v>
      </c>
      <c r="J467" t="str">
        <f t="shared" si="28"/>
        <v>Normal Weight</v>
      </c>
      <c r="K467" t="str">
        <f t="shared" si="29"/>
        <v>Normal</v>
      </c>
      <c r="L467">
        <v>16</v>
      </c>
      <c r="M467" t="s">
        <v>2362</v>
      </c>
      <c r="N467">
        <v>1982</v>
      </c>
      <c r="O467" s="8">
        <f t="shared" si="30"/>
        <v>30118</v>
      </c>
      <c r="P467" s="10">
        <v>4250.24</v>
      </c>
      <c r="Q467" t="s">
        <v>2357</v>
      </c>
      <c r="R467" t="s">
        <v>2358</v>
      </c>
      <c r="S467" t="s">
        <v>2359</v>
      </c>
      <c r="T467">
        <f t="shared" ca="1" si="31"/>
        <v>44</v>
      </c>
      <c r="U467">
        <f>VLOOKUP($A467,'Medical Examination'!$A:$Z,2,FALSE)</f>
        <v>18.715</v>
      </c>
    </row>
    <row r="468" spans="1:21" ht="15.5" x14ac:dyDescent="0.35">
      <c r="A468" s="2" t="s">
        <v>468</v>
      </c>
      <c r="B468" s="2" t="s">
        <v>2545</v>
      </c>
      <c r="C468">
        <v>28.12</v>
      </c>
      <c r="D468">
        <v>6.15</v>
      </c>
      <c r="E468" t="s">
        <v>2344</v>
      </c>
      <c r="F468" t="s">
        <v>2344</v>
      </c>
      <c r="G468" t="s">
        <v>2344</v>
      </c>
      <c r="H468">
        <v>0</v>
      </c>
      <c r="I468" t="s">
        <v>2346</v>
      </c>
      <c r="J468" t="str">
        <f t="shared" si="28"/>
        <v>Over weight</v>
      </c>
      <c r="K468" t="str">
        <f t="shared" si="29"/>
        <v>Prediabetes</v>
      </c>
      <c r="L468">
        <v>14</v>
      </c>
      <c r="M468" t="s">
        <v>2367</v>
      </c>
      <c r="N468">
        <v>1995</v>
      </c>
      <c r="O468" s="8">
        <f t="shared" si="30"/>
        <v>34986</v>
      </c>
      <c r="P468" s="10">
        <v>4260.74</v>
      </c>
      <c r="Q468" t="s">
        <v>2358</v>
      </c>
      <c r="R468" t="s">
        <v>2357</v>
      </c>
      <c r="S468" t="s">
        <v>2368</v>
      </c>
      <c r="T468">
        <f t="shared" ca="1" si="31"/>
        <v>31</v>
      </c>
      <c r="U468">
        <f>VLOOKUP($A468,'Medical Examination'!$A:$Z,2,FALSE)</f>
        <v>28.12</v>
      </c>
    </row>
    <row r="469" spans="1:21" ht="15.5" x14ac:dyDescent="0.35">
      <c r="A469" s="2" t="s">
        <v>469</v>
      </c>
      <c r="B469" s="2" t="s">
        <v>3204</v>
      </c>
      <c r="C469">
        <v>26.6</v>
      </c>
      <c r="D469">
        <v>4.53</v>
      </c>
      <c r="E469" t="s">
        <v>2344</v>
      </c>
      <c r="F469" t="s">
        <v>2344</v>
      </c>
      <c r="G469" t="s">
        <v>2344</v>
      </c>
      <c r="H469">
        <v>0</v>
      </c>
      <c r="I469" t="s">
        <v>2346</v>
      </c>
      <c r="J469" t="str">
        <f t="shared" si="28"/>
        <v>Over weight</v>
      </c>
      <c r="K469" t="str">
        <f t="shared" si="29"/>
        <v>Normal</v>
      </c>
      <c r="L469">
        <v>20</v>
      </c>
      <c r="M469" t="s">
        <v>2360</v>
      </c>
      <c r="N469">
        <v>1983</v>
      </c>
      <c r="O469" s="8">
        <f t="shared" si="30"/>
        <v>30640</v>
      </c>
      <c r="P469" s="10">
        <v>4265.01</v>
      </c>
      <c r="Q469" t="s">
        <v>2357</v>
      </c>
      <c r="R469" t="s">
        <v>2361</v>
      </c>
      <c r="S469" t="s">
        <v>2364</v>
      </c>
      <c r="T469">
        <f t="shared" ca="1" si="31"/>
        <v>43</v>
      </c>
      <c r="U469">
        <f>VLOOKUP($A469,'Medical Examination'!$A:$Z,2,FALSE)</f>
        <v>26.6</v>
      </c>
    </row>
    <row r="470" spans="1:21" ht="15.5" x14ac:dyDescent="0.35">
      <c r="A470" s="2" t="s">
        <v>470</v>
      </c>
      <c r="B470" s="2" t="s">
        <v>3206</v>
      </c>
      <c r="C470">
        <v>30.114999999999998</v>
      </c>
      <c r="D470">
        <v>5.48</v>
      </c>
      <c r="E470" t="s">
        <v>2344</v>
      </c>
      <c r="F470" t="s">
        <v>2345</v>
      </c>
      <c r="G470" t="s">
        <v>2344</v>
      </c>
      <c r="H470">
        <v>1</v>
      </c>
      <c r="I470" t="s">
        <v>2344</v>
      </c>
      <c r="J470" t="str">
        <f t="shared" si="28"/>
        <v>Obesity</v>
      </c>
      <c r="K470" t="str">
        <f t="shared" si="29"/>
        <v>Normal</v>
      </c>
      <c r="L470">
        <v>18</v>
      </c>
      <c r="M470" t="s">
        <v>2362</v>
      </c>
      <c r="N470">
        <v>1992</v>
      </c>
      <c r="O470" s="8">
        <f t="shared" si="30"/>
        <v>33773</v>
      </c>
      <c r="P470" s="10">
        <v>4266.17</v>
      </c>
      <c r="Q470" t="s">
        <v>2358</v>
      </c>
      <c r="R470" t="s">
        <v>2357</v>
      </c>
      <c r="S470" t="s">
        <v>2359</v>
      </c>
      <c r="T470">
        <f t="shared" ca="1" si="31"/>
        <v>34</v>
      </c>
      <c r="U470">
        <f>VLOOKUP($A470,'Medical Examination'!$A:$Z,2,FALSE)</f>
        <v>30.114999999999998</v>
      </c>
    </row>
    <row r="471" spans="1:21" ht="15.5" x14ac:dyDescent="0.35">
      <c r="A471" s="2" t="s">
        <v>471</v>
      </c>
      <c r="B471" s="2" t="s">
        <v>3208</v>
      </c>
      <c r="C471">
        <v>24.605</v>
      </c>
      <c r="D471">
        <v>5.48</v>
      </c>
      <c r="E471" t="s">
        <v>2344</v>
      </c>
      <c r="F471" t="s">
        <v>2344</v>
      </c>
      <c r="G471" t="s">
        <v>2344</v>
      </c>
      <c r="H471">
        <v>0</v>
      </c>
      <c r="I471" t="s">
        <v>2346</v>
      </c>
      <c r="J471" t="str">
        <f t="shared" si="28"/>
        <v>Normal Weight</v>
      </c>
      <c r="K471" t="str">
        <f t="shared" si="29"/>
        <v>Normal</v>
      </c>
      <c r="L471">
        <v>8</v>
      </c>
      <c r="M471" t="s">
        <v>2362</v>
      </c>
      <c r="N471">
        <v>2003</v>
      </c>
      <c r="O471" s="8">
        <f t="shared" si="30"/>
        <v>37780</v>
      </c>
      <c r="P471" s="10">
        <v>4278.55</v>
      </c>
      <c r="Q471" t="s">
        <v>2357</v>
      </c>
      <c r="R471" t="s">
        <v>2361</v>
      </c>
      <c r="S471" t="s">
        <v>2377</v>
      </c>
      <c r="T471">
        <f t="shared" ca="1" si="31"/>
        <v>23</v>
      </c>
      <c r="U471">
        <f>VLOOKUP($A471,'Medical Examination'!$A:$Z,2,FALSE)</f>
        <v>24.605</v>
      </c>
    </row>
    <row r="472" spans="1:21" ht="15.5" x14ac:dyDescent="0.35">
      <c r="A472" s="2" t="s">
        <v>472</v>
      </c>
      <c r="B472" s="2" t="s">
        <v>3210</v>
      </c>
      <c r="C472">
        <v>29.6</v>
      </c>
      <c r="D472">
        <v>8.1</v>
      </c>
      <c r="E472" t="s">
        <v>2344</v>
      </c>
      <c r="F472" t="s">
        <v>2344</v>
      </c>
      <c r="G472" t="s">
        <v>2344</v>
      </c>
      <c r="H472">
        <v>0</v>
      </c>
      <c r="I472" t="s">
        <v>2344</v>
      </c>
      <c r="J472" t="str">
        <f t="shared" si="28"/>
        <v>Over weight</v>
      </c>
      <c r="K472" t="str">
        <f t="shared" si="29"/>
        <v>Diabetes</v>
      </c>
      <c r="L472">
        <v>25</v>
      </c>
      <c r="M472" t="s">
        <v>2360</v>
      </c>
      <c r="N472">
        <v>2000</v>
      </c>
      <c r="O472" s="8">
        <f t="shared" si="30"/>
        <v>36855</v>
      </c>
      <c r="P472" s="10">
        <v>4296.2700000000004</v>
      </c>
      <c r="Q472" t="s">
        <v>2357</v>
      </c>
      <c r="R472" t="s">
        <v>2358</v>
      </c>
      <c r="S472" t="s">
        <v>2364</v>
      </c>
      <c r="T472">
        <f t="shared" ca="1" si="31"/>
        <v>26</v>
      </c>
      <c r="U472">
        <f>VLOOKUP($A472,'Medical Examination'!$A:$Z,2,FALSE)</f>
        <v>29.6</v>
      </c>
    </row>
    <row r="473" spans="1:21" ht="15.5" x14ac:dyDescent="0.35">
      <c r="A473" s="2" t="s">
        <v>473</v>
      </c>
      <c r="B473" s="2" t="s">
        <v>3212</v>
      </c>
      <c r="C473">
        <v>24.42</v>
      </c>
      <c r="D473">
        <v>7.16</v>
      </c>
      <c r="E473" t="s">
        <v>2344</v>
      </c>
      <c r="F473" t="s">
        <v>2344</v>
      </c>
      <c r="G473" t="s">
        <v>2344</v>
      </c>
      <c r="H473">
        <v>0</v>
      </c>
      <c r="I473" t="s">
        <v>2346</v>
      </c>
      <c r="J473" t="str">
        <f t="shared" si="28"/>
        <v>Normal Weight</v>
      </c>
      <c r="K473" t="str">
        <f t="shared" si="29"/>
        <v>Diabetes</v>
      </c>
      <c r="L473">
        <v>19</v>
      </c>
      <c r="M473" t="s">
        <v>2365</v>
      </c>
      <c r="N473">
        <v>1988</v>
      </c>
      <c r="O473" s="8">
        <f t="shared" si="30"/>
        <v>32496</v>
      </c>
      <c r="P473" s="10">
        <v>4320.41</v>
      </c>
      <c r="Q473" t="s">
        <v>2357</v>
      </c>
      <c r="R473" t="s">
        <v>2361</v>
      </c>
      <c r="S473" t="s">
        <v>2364</v>
      </c>
      <c r="T473">
        <f t="shared" ca="1" si="31"/>
        <v>38</v>
      </c>
      <c r="U473">
        <f>VLOOKUP($A473,'Medical Examination'!$A:$Z,2,FALSE)</f>
        <v>24.42</v>
      </c>
    </row>
    <row r="474" spans="1:21" ht="15.5" x14ac:dyDescent="0.35">
      <c r="A474" s="2" t="s">
        <v>474</v>
      </c>
      <c r="B474" s="2" t="s">
        <v>2865</v>
      </c>
      <c r="C474">
        <v>20.9</v>
      </c>
      <c r="D474">
        <v>4.55</v>
      </c>
      <c r="E474" t="s">
        <v>2346</v>
      </c>
      <c r="F474" t="s">
        <v>2344</v>
      </c>
      <c r="G474" t="s">
        <v>2346</v>
      </c>
      <c r="H474">
        <v>1</v>
      </c>
      <c r="I474" t="s">
        <v>2346</v>
      </c>
      <c r="J474" t="str">
        <f t="shared" si="28"/>
        <v>Normal Weight</v>
      </c>
      <c r="K474" t="str">
        <f t="shared" si="29"/>
        <v>Normal</v>
      </c>
      <c r="L474">
        <v>2</v>
      </c>
      <c r="M474" t="s">
        <v>2360</v>
      </c>
      <c r="N474">
        <v>1994</v>
      </c>
      <c r="O474" s="8">
        <f t="shared" si="30"/>
        <v>34640</v>
      </c>
      <c r="P474" s="10">
        <v>4337.74</v>
      </c>
      <c r="Q474" t="s">
        <v>2357</v>
      </c>
      <c r="R474" t="s">
        <v>2361</v>
      </c>
      <c r="S474" t="s">
        <v>2374</v>
      </c>
      <c r="T474">
        <f t="shared" ca="1" si="31"/>
        <v>32</v>
      </c>
      <c r="U474">
        <f>VLOOKUP($A474,'Medical Examination'!$A:$Z,2,FALSE)</f>
        <v>20.9</v>
      </c>
    </row>
    <row r="475" spans="1:21" ht="15.5" x14ac:dyDescent="0.35">
      <c r="A475" s="2" t="s">
        <v>475</v>
      </c>
      <c r="B475" s="2" t="s">
        <v>3213</v>
      </c>
      <c r="C475">
        <v>22.895</v>
      </c>
      <c r="D475">
        <v>6.03</v>
      </c>
      <c r="E475" t="s">
        <v>2344</v>
      </c>
      <c r="F475" t="s">
        <v>2344</v>
      </c>
      <c r="G475" t="s">
        <v>2344</v>
      </c>
      <c r="H475">
        <v>0</v>
      </c>
      <c r="I475" t="s">
        <v>2346</v>
      </c>
      <c r="J475" t="str">
        <f t="shared" si="28"/>
        <v>Normal Weight</v>
      </c>
      <c r="K475" t="str">
        <f t="shared" si="29"/>
        <v>Prediabetes</v>
      </c>
      <c r="L475">
        <v>26</v>
      </c>
      <c r="M475" t="s">
        <v>2367</v>
      </c>
      <c r="N475">
        <v>1994</v>
      </c>
      <c r="O475" s="8">
        <f t="shared" si="30"/>
        <v>34633</v>
      </c>
      <c r="P475" s="10">
        <v>4340.4399999999996</v>
      </c>
      <c r="Q475" t="s">
        <v>2357</v>
      </c>
      <c r="R475" t="s">
        <v>2361</v>
      </c>
      <c r="S475" t="s">
        <v>2359</v>
      </c>
      <c r="T475">
        <f t="shared" ca="1" si="31"/>
        <v>32</v>
      </c>
      <c r="U475">
        <f>VLOOKUP($A475,'Medical Examination'!$A:$Z,2,FALSE)</f>
        <v>22.895</v>
      </c>
    </row>
    <row r="476" spans="1:21" ht="15.5" x14ac:dyDescent="0.35">
      <c r="A476" s="2" t="s">
        <v>476</v>
      </c>
      <c r="B476" s="2" t="s">
        <v>3214</v>
      </c>
      <c r="C476">
        <v>28.3</v>
      </c>
      <c r="D476">
        <v>5.47</v>
      </c>
      <c r="E476" t="s">
        <v>2346</v>
      </c>
      <c r="F476" t="s">
        <v>2344</v>
      </c>
      <c r="G476" t="s">
        <v>2346</v>
      </c>
      <c r="H476">
        <v>1</v>
      </c>
      <c r="I476" t="s">
        <v>2346</v>
      </c>
      <c r="J476" t="str">
        <f t="shared" si="28"/>
        <v>Over weight</v>
      </c>
      <c r="K476" t="str">
        <f t="shared" si="29"/>
        <v>Normal</v>
      </c>
      <c r="L476">
        <v>1</v>
      </c>
      <c r="M476" t="s">
        <v>2362</v>
      </c>
      <c r="N476">
        <v>1991</v>
      </c>
      <c r="O476" s="8">
        <f t="shared" si="30"/>
        <v>33390</v>
      </c>
      <c r="P476" s="10">
        <v>4347.0200000000004</v>
      </c>
      <c r="Q476" t="s">
        <v>2357</v>
      </c>
      <c r="R476" t="s">
        <v>2361</v>
      </c>
      <c r="S476" t="s">
        <v>2374</v>
      </c>
      <c r="T476">
        <f t="shared" ca="1" si="31"/>
        <v>35</v>
      </c>
      <c r="U476">
        <f>VLOOKUP($A476,'Medical Examination'!$A:$Z,2,FALSE)</f>
        <v>28.3</v>
      </c>
    </row>
    <row r="477" spans="1:21" ht="15.5" x14ac:dyDescent="0.35">
      <c r="A477" s="2" t="s">
        <v>477</v>
      </c>
      <c r="B477" s="2" t="s">
        <v>3216</v>
      </c>
      <c r="C477">
        <v>54.3</v>
      </c>
      <c r="D477">
        <v>4.1500000000000004</v>
      </c>
      <c r="E477" t="s">
        <v>2346</v>
      </c>
      <c r="F477" t="s">
        <v>2344</v>
      </c>
      <c r="G477" t="s">
        <v>2344</v>
      </c>
      <c r="H477">
        <v>1</v>
      </c>
      <c r="I477" t="s">
        <v>2344</v>
      </c>
      <c r="J477" t="str">
        <f t="shared" si="28"/>
        <v>Obesity</v>
      </c>
      <c r="K477" t="str">
        <f t="shared" si="29"/>
        <v>Normal</v>
      </c>
      <c r="L477">
        <v>1</v>
      </c>
      <c r="M477" t="s">
        <v>2360</v>
      </c>
      <c r="N477">
        <v>1994</v>
      </c>
      <c r="O477" s="8">
        <f t="shared" si="30"/>
        <v>34639</v>
      </c>
      <c r="P477" s="10">
        <v>4349.46</v>
      </c>
      <c r="Q477" t="s">
        <v>2357</v>
      </c>
      <c r="R477" t="s">
        <v>2357</v>
      </c>
      <c r="S477" t="s">
        <v>2359</v>
      </c>
      <c r="T477">
        <f t="shared" ca="1" si="31"/>
        <v>32</v>
      </c>
      <c r="U477">
        <f>VLOOKUP($A477,'Medical Examination'!$A:$Z,2,FALSE)</f>
        <v>54.3</v>
      </c>
    </row>
    <row r="478" spans="1:21" ht="15.5" x14ac:dyDescent="0.35">
      <c r="A478" s="2" t="s">
        <v>478</v>
      </c>
      <c r="B478" s="2" t="s">
        <v>3217</v>
      </c>
      <c r="C478">
        <v>33.344999999999999</v>
      </c>
      <c r="D478">
        <v>11.32</v>
      </c>
      <c r="E478" t="s">
        <v>2346</v>
      </c>
      <c r="F478" t="s">
        <v>2344</v>
      </c>
      <c r="G478" t="s">
        <v>2344</v>
      </c>
      <c r="H478">
        <v>1</v>
      </c>
      <c r="I478" t="s">
        <v>2344</v>
      </c>
      <c r="J478" t="str">
        <f t="shared" si="28"/>
        <v>Obesity</v>
      </c>
      <c r="K478" t="str">
        <f t="shared" si="29"/>
        <v>Diabetes</v>
      </c>
      <c r="L478">
        <v>13</v>
      </c>
      <c r="M478" t="s">
        <v>2363</v>
      </c>
      <c r="N478">
        <v>1991</v>
      </c>
      <c r="O478" s="8">
        <f t="shared" si="30"/>
        <v>33494</v>
      </c>
      <c r="P478" s="10">
        <v>4350.51</v>
      </c>
      <c r="Q478" t="s">
        <v>2357</v>
      </c>
      <c r="R478" t="s">
        <v>2357</v>
      </c>
      <c r="S478" t="s">
        <v>2359</v>
      </c>
      <c r="T478">
        <f t="shared" ca="1" si="31"/>
        <v>35</v>
      </c>
      <c r="U478">
        <f>VLOOKUP($A478,'Medical Examination'!$A:$Z,2,FALSE)</f>
        <v>33.344999999999999</v>
      </c>
    </row>
    <row r="479" spans="1:21" ht="15.5" x14ac:dyDescent="0.35">
      <c r="A479" s="2" t="s">
        <v>479</v>
      </c>
      <c r="B479" s="2" t="s">
        <v>3218</v>
      </c>
      <c r="C479">
        <v>33</v>
      </c>
      <c r="D479">
        <v>9.51</v>
      </c>
      <c r="E479" t="s">
        <v>2346</v>
      </c>
      <c r="F479" t="s">
        <v>2344</v>
      </c>
      <c r="G479" t="s">
        <v>2344</v>
      </c>
      <c r="H479">
        <v>0</v>
      </c>
      <c r="I479" t="s">
        <v>2344</v>
      </c>
      <c r="J479" t="str">
        <f t="shared" si="28"/>
        <v>Obesity</v>
      </c>
      <c r="K479" t="str">
        <f t="shared" si="29"/>
        <v>Diabetes</v>
      </c>
      <c r="L479">
        <v>28</v>
      </c>
      <c r="M479" t="s">
        <v>2366</v>
      </c>
      <c r="N479">
        <v>1990</v>
      </c>
      <c r="O479" s="8">
        <f t="shared" si="30"/>
        <v>33113</v>
      </c>
      <c r="P479" s="10">
        <v>4357.04</v>
      </c>
      <c r="Q479" t="s">
        <v>2357</v>
      </c>
      <c r="R479" t="s">
        <v>2358</v>
      </c>
      <c r="S479" t="s">
        <v>2364</v>
      </c>
      <c r="T479">
        <f t="shared" ca="1" si="31"/>
        <v>36</v>
      </c>
      <c r="U479">
        <f>VLOOKUP($A479,'Medical Examination'!$A:$Z,2,FALSE)</f>
        <v>33</v>
      </c>
    </row>
    <row r="480" spans="1:21" ht="15.5" x14ac:dyDescent="0.35">
      <c r="A480" s="2" t="s">
        <v>480</v>
      </c>
      <c r="B480" s="2" t="s">
        <v>3220</v>
      </c>
      <c r="C480">
        <v>28.024999999999999</v>
      </c>
      <c r="D480">
        <v>7.67</v>
      </c>
      <c r="E480" t="s">
        <v>2346</v>
      </c>
      <c r="F480" t="s">
        <v>2344</v>
      </c>
      <c r="G480" t="s">
        <v>2344</v>
      </c>
      <c r="H480">
        <v>1</v>
      </c>
      <c r="I480" t="s">
        <v>2346</v>
      </c>
      <c r="J480" t="str">
        <f t="shared" si="28"/>
        <v>Over weight</v>
      </c>
      <c r="K480" t="str">
        <f t="shared" si="29"/>
        <v>Diabetes</v>
      </c>
      <c r="L480">
        <v>29</v>
      </c>
      <c r="M480" t="s">
        <v>2360</v>
      </c>
      <c r="N480">
        <v>1997</v>
      </c>
      <c r="O480" s="8">
        <f t="shared" si="30"/>
        <v>35763</v>
      </c>
      <c r="P480" s="10">
        <v>4391.6499999999996</v>
      </c>
      <c r="Q480" t="s">
        <v>2357</v>
      </c>
      <c r="R480" t="s">
        <v>2357</v>
      </c>
      <c r="S480" t="s">
        <v>2368</v>
      </c>
      <c r="T480">
        <f t="shared" ca="1" si="31"/>
        <v>29</v>
      </c>
      <c r="U480">
        <f>VLOOKUP($A480,'Medical Examination'!$A:$Z,2,FALSE)</f>
        <v>28.024999999999999</v>
      </c>
    </row>
    <row r="481" spans="1:21" ht="15.5" x14ac:dyDescent="0.35">
      <c r="A481" s="2" t="s">
        <v>481</v>
      </c>
      <c r="B481" s="2" t="s">
        <v>3221</v>
      </c>
      <c r="C481">
        <v>28.69</v>
      </c>
      <c r="D481">
        <v>6.23</v>
      </c>
      <c r="E481" t="s">
        <v>2344</v>
      </c>
      <c r="F481" t="s">
        <v>2344</v>
      </c>
      <c r="G481" t="s">
        <v>2344</v>
      </c>
      <c r="H481">
        <v>1</v>
      </c>
      <c r="I481" t="s">
        <v>2346</v>
      </c>
      <c r="J481" t="str">
        <f t="shared" si="28"/>
        <v>Over weight</v>
      </c>
      <c r="K481" t="str">
        <f t="shared" si="29"/>
        <v>Prediabetes</v>
      </c>
      <c r="L481">
        <v>29</v>
      </c>
      <c r="M481" t="s">
        <v>2362</v>
      </c>
      <c r="N481">
        <v>1982</v>
      </c>
      <c r="O481" s="8">
        <f t="shared" si="30"/>
        <v>30131</v>
      </c>
      <c r="P481" s="10">
        <v>4392.7</v>
      </c>
      <c r="Q481" t="s">
        <v>2357</v>
      </c>
      <c r="R481" t="s">
        <v>2357</v>
      </c>
      <c r="S481" t="s">
        <v>2359</v>
      </c>
      <c r="T481">
        <f t="shared" ca="1" si="31"/>
        <v>44</v>
      </c>
      <c r="U481">
        <f>VLOOKUP($A481,'Medical Examination'!$A:$Z,2,FALSE)</f>
        <v>28.69</v>
      </c>
    </row>
    <row r="482" spans="1:21" ht="15.5" x14ac:dyDescent="0.35">
      <c r="A482" s="2" t="s">
        <v>482</v>
      </c>
      <c r="B482" s="2" t="s">
        <v>3223</v>
      </c>
      <c r="C482">
        <v>40.28</v>
      </c>
      <c r="D482">
        <v>8.9</v>
      </c>
      <c r="E482" t="s">
        <v>2344</v>
      </c>
      <c r="F482" t="s">
        <v>2344</v>
      </c>
      <c r="G482" t="s">
        <v>2344</v>
      </c>
      <c r="H482">
        <v>0</v>
      </c>
      <c r="I482" t="s">
        <v>2344</v>
      </c>
      <c r="J482" t="str">
        <f t="shared" si="28"/>
        <v>Obesity</v>
      </c>
      <c r="K482" t="str">
        <f t="shared" si="29"/>
        <v>Diabetes</v>
      </c>
      <c r="L482">
        <v>18</v>
      </c>
      <c r="M482" t="s">
        <v>2356</v>
      </c>
      <c r="N482">
        <v>1988</v>
      </c>
      <c r="O482" s="8">
        <f t="shared" si="30"/>
        <v>32342</v>
      </c>
      <c r="P482" s="10">
        <v>4397.3100000000004</v>
      </c>
      <c r="Q482" t="s">
        <v>2357</v>
      </c>
      <c r="R482" t="s">
        <v>2357</v>
      </c>
      <c r="S482" t="s">
        <v>2359</v>
      </c>
      <c r="T482">
        <f t="shared" ca="1" si="31"/>
        <v>38</v>
      </c>
      <c r="U482">
        <f>VLOOKUP($A482,'Medical Examination'!$A:$Z,2,FALSE)</f>
        <v>40.28</v>
      </c>
    </row>
    <row r="483" spans="1:21" ht="15.5" x14ac:dyDescent="0.35">
      <c r="A483" s="2" t="s">
        <v>483</v>
      </c>
      <c r="B483" s="2" t="s">
        <v>3224</v>
      </c>
      <c r="C483">
        <v>37.299999999999997</v>
      </c>
      <c r="D483">
        <v>7.79</v>
      </c>
      <c r="E483" t="s">
        <v>2346</v>
      </c>
      <c r="F483" t="s">
        <v>2344</v>
      </c>
      <c r="G483" t="s">
        <v>2344</v>
      </c>
      <c r="H483">
        <v>0</v>
      </c>
      <c r="I483" t="s">
        <v>2344</v>
      </c>
      <c r="J483" t="str">
        <f t="shared" si="28"/>
        <v>Obesity</v>
      </c>
      <c r="K483" t="str">
        <f t="shared" si="29"/>
        <v>Diabetes</v>
      </c>
      <c r="L483">
        <v>11</v>
      </c>
      <c r="M483" t="s">
        <v>2366</v>
      </c>
      <c r="N483">
        <v>1986</v>
      </c>
      <c r="O483" s="8">
        <f t="shared" si="30"/>
        <v>31635</v>
      </c>
      <c r="P483" s="10">
        <v>4399.7299999999996</v>
      </c>
      <c r="Q483" t="s">
        <v>2358</v>
      </c>
      <c r="R483" t="s">
        <v>2357</v>
      </c>
      <c r="S483" t="s">
        <v>2359</v>
      </c>
      <c r="T483">
        <f t="shared" ca="1" si="31"/>
        <v>40</v>
      </c>
      <c r="U483">
        <f>VLOOKUP($A483,'Medical Examination'!$A:$Z,2,FALSE)</f>
        <v>37.299999999999997</v>
      </c>
    </row>
    <row r="484" spans="1:21" ht="15.5" x14ac:dyDescent="0.35">
      <c r="A484" s="2" t="s">
        <v>484</v>
      </c>
      <c r="B484" s="2" t="s">
        <v>3226</v>
      </c>
      <c r="C484">
        <v>54.47</v>
      </c>
      <c r="D484">
        <v>4.49</v>
      </c>
      <c r="E484" t="s">
        <v>2346</v>
      </c>
      <c r="F484" t="s">
        <v>2344</v>
      </c>
      <c r="G484" t="s">
        <v>2344</v>
      </c>
      <c r="H484">
        <v>1</v>
      </c>
      <c r="I484" t="s">
        <v>2344</v>
      </c>
      <c r="J484" t="str">
        <f t="shared" si="28"/>
        <v>Obesity</v>
      </c>
      <c r="K484" t="str">
        <f t="shared" si="29"/>
        <v>Normal</v>
      </c>
      <c r="L484">
        <v>13</v>
      </c>
      <c r="M484" t="s">
        <v>2356</v>
      </c>
      <c r="N484">
        <v>1986</v>
      </c>
      <c r="O484" s="8">
        <f t="shared" si="30"/>
        <v>31606</v>
      </c>
      <c r="P484" s="10">
        <v>4402.2299999999996</v>
      </c>
      <c r="Q484" t="s">
        <v>2357</v>
      </c>
      <c r="R484" t="s">
        <v>2357</v>
      </c>
      <c r="S484" t="s">
        <v>2368</v>
      </c>
      <c r="T484">
        <f t="shared" ca="1" si="31"/>
        <v>40</v>
      </c>
      <c r="U484">
        <f>VLOOKUP($A484,'Medical Examination'!$A:$Z,2,FALSE)</f>
        <v>54.47</v>
      </c>
    </row>
    <row r="485" spans="1:21" ht="15.5" x14ac:dyDescent="0.35">
      <c r="A485" s="2" t="s">
        <v>485</v>
      </c>
      <c r="B485" s="2" t="s">
        <v>2667</v>
      </c>
      <c r="C485">
        <v>38.06</v>
      </c>
      <c r="D485">
        <v>5.24</v>
      </c>
      <c r="E485" t="s">
        <v>2346</v>
      </c>
      <c r="F485" t="s">
        <v>2344</v>
      </c>
      <c r="G485" t="s">
        <v>2346</v>
      </c>
      <c r="H485">
        <v>1</v>
      </c>
      <c r="I485" t="s">
        <v>2344</v>
      </c>
      <c r="J485" t="str">
        <f t="shared" si="28"/>
        <v>Obesity</v>
      </c>
      <c r="K485" t="str">
        <f t="shared" si="29"/>
        <v>Normal</v>
      </c>
      <c r="L485">
        <v>16</v>
      </c>
      <c r="M485" t="s">
        <v>2363</v>
      </c>
      <c r="N485">
        <v>1988</v>
      </c>
      <c r="O485" s="8">
        <f t="shared" si="30"/>
        <v>32402</v>
      </c>
      <c r="P485" s="10">
        <v>4415.16</v>
      </c>
      <c r="Q485" t="s">
        <v>2357</v>
      </c>
      <c r="R485" t="s">
        <v>2361</v>
      </c>
      <c r="S485" t="s">
        <v>2359</v>
      </c>
      <c r="T485">
        <f t="shared" ca="1" si="31"/>
        <v>38</v>
      </c>
      <c r="U485">
        <f>VLOOKUP($A485,'Medical Examination'!$A:$Z,2,FALSE)</f>
        <v>38.06</v>
      </c>
    </row>
    <row r="486" spans="1:21" ht="15.5" x14ac:dyDescent="0.35">
      <c r="A486" s="2" t="s">
        <v>486</v>
      </c>
      <c r="B486" s="2" t="s">
        <v>3229</v>
      </c>
      <c r="C486">
        <v>51.47</v>
      </c>
      <c r="D486">
        <v>9.6</v>
      </c>
      <c r="E486" t="s">
        <v>2344</v>
      </c>
      <c r="F486" t="s">
        <v>2344</v>
      </c>
      <c r="G486" t="s">
        <v>2344</v>
      </c>
      <c r="H486">
        <v>0</v>
      </c>
      <c r="I486" t="s">
        <v>2344</v>
      </c>
      <c r="J486" t="str">
        <f t="shared" si="28"/>
        <v>Obesity</v>
      </c>
      <c r="K486" t="str">
        <f t="shared" si="29"/>
        <v>Diabetes</v>
      </c>
      <c r="L486">
        <v>15</v>
      </c>
      <c r="M486" t="s">
        <v>2366</v>
      </c>
      <c r="N486">
        <v>1992</v>
      </c>
      <c r="O486" s="8">
        <f t="shared" si="30"/>
        <v>33831</v>
      </c>
      <c r="P486" s="10">
        <v>4420.95</v>
      </c>
      <c r="Q486" t="s">
        <v>2357</v>
      </c>
      <c r="R486" t="s">
        <v>2358</v>
      </c>
      <c r="S486" t="s">
        <v>2379</v>
      </c>
      <c r="T486">
        <f t="shared" ca="1" si="31"/>
        <v>34</v>
      </c>
      <c r="U486">
        <f>VLOOKUP($A486,'Medical Examination'!$A:$Z,2,FALSE)</f>
        <v>51.47</v>
      </c>
    </row>
    <row r="487" spans="1:21" ht="15.5" x14ac:dyDescent="0.35">
      <c r="A487" s="2" t="s">
        <v>487</v>
      </c>
      <c r="B487" s="2" t="s">
        <v>2989</v>
      </c>
      <c r="C487">
        <v>29.8</v>
      </c>
      <c r="D487">
        <v>5.78</v>
      </c>
      <c r="E487" t="s">
        <v>2346</v>
      </c>
      <c r="F487" t="s">
        <v>2344</v>
      </c>
      <c r="G487" t="s">
        <v>2344</v>
      </c>
      <c r="H487">
        <v>0</v>
      </c>
      <c r="I487" t="s">
        <v>2344</v>
      </c>
      <c r="J487" t="str">
        <f t="shared" si="28"/>
        <v>Over weight</v>
      </c>
      <c r="K487" t="str">
        <f t="shared" si="29"/>
        <v>Prediabetes</v>
      </c>
      <c r="L487">
        <v>29</v>
      </c>
      <c r="M487" t="s">
        <v>2365</v>
      </c>
      <c r="N487">
        <v>1994</v>
      </c>
      <c r="O487" s="8">
        <f t="shared" si="30"/>
        <v>34697</v>
      </c>
      <c r="P487" s="10">
        <v>4428.8900000000003</v>
      </c>
      <c r="Q487" t="s">
        <v>2358</v>
      </c>
      <c r="R487" t="s">
        <v>2361</v>
      </c>
      <c r="S487" t="s">
        <v>2378</v>
      </c>
      <c r="T487">
        <f t="shared" ca="1" si="31"/>
        <v>32</v>
      </c>
      <c r="U487">
        <f>VLOOKUP($A487,'Medical Examination'!$A:$Z,2,FALSE)</f>
        <v>29.8</v>
      </c>
    </row>
    <row r="488" spans="1:21" ht="15.5" x14ac:dyDescent="0.35">
      <c r="A488" s="2" t="s">
        <v>488</v>
      </c>
      <c r="B488" s="2" t="s">
        <v>3230</v>
      </c>
      <c r="C488">
        <v>49.77</v>
      </c>
      <c r="D488">
        <v>7.02</v>
      </c>
      <c r="E488" t="s">
        <v>2344</v>
      </c>
      <c r="F488" t="s">
        <v>2344</v>
      </c>
      <c r="G488" t="s">
        <v>2344</v>
      </c>
      <c r="H488">
        <v>0</v>
      </c>
      <c r="I488" t="s">
        <v>2344</v>
      </c>
      <c r="J488" t="str">
        <f t="shared" si="28"/>
        <v>Obesity</v>
      </c>
      <c r="K488" t="str">
        <f t="shared" si="29"/>
        <v>Diabetes</v>
      </c>
      <c r="L488">
        <v>4</v>
      </c>
      <c r="M488" t="s">
        <v>2363</v>
      </c>
      <c r="N488">
        <v>1993</v>
      </c>
      <c r="O488" s="8">
        <f t="shared" si="30"/>
        <v>34216</v>
      </c>
      <c r="P488" s="10">
        <v>4433.3900000000003</v>
      </c>
      <c r="Q488" t="s">
        <v>2357</v>
      </c>
      <c r="R488" t="s">
        <v>2358</v>
      </c>
      <c r="S488" t="s">
        <v>2364</v>
      </c>
      <c r="T488">
        <f t="shared" ca="1" si="31"/>
        <v>33</v>
      </c>
      <c r="U488">
        <f>VLOOKUP($A488,'Medical Examination'!$A:$Z,2,FALSE)</f>
        <v>49.77</v>
      </c>
    </row>
    <row r="489" spans="1:21" ht="15.5" x14ac:dyDescent="0.35">
      <c r="A489" s="2" t="s">
        <v>489</v>
      </c>
      <c r="B489" s="2" t="s">
        <v>3233</v>
      </c>
      <c r="C489">
        <v>25.555</v>
      </c>
      <c r="D489">
        <v>4.09</v>
      </c>
      <c r="E489" t="s">
        <v>2346</v>
      </c>
      <c r="F489" t="s">
        <v>2344</v>
      </c>
      <c r="G489" t="s">
        <v>2344</v>
      </c>
      <c r="H489">
        <v>0</v>
      </c>
      <c r="I489" t="s">
        <v>2346</v>
      </c>
      <c r="J489" t="str">
        <f t="shared" si="28"/>
        <v>Over weight</v>
      </c>
      <c r="K489" t="str">
        <f t="shared" si="29"/>
        <v>Normal</v>
      </c>
      <c r="L489">
        <v>23</v>
      </c>
      <c r="M489" t="s">
        <v>2365</v>
      </c>
      <c r="N489">
        <v>1993</v>
      </c>
      <c r="O489" s="8">
        <f t="shared" si="30"/>
        <v>34326</v>
      </c>
      <c r="P489" s="10">
        <v>4433.92</v>
      </c>
      <c r="Q489" t="s">
        <v>2357</v>
      </c>
      <c r="R489" t="s">
        <v>2357</v>
      </c>
      <c r="S489" t="s">
        <v>2364</v>
      </c>
      <c r="T489">
        <f t="shared" ca="1" si="31"/>
        <v>33</v>
      </c>
      <c r="U489">
        <f>VLOOKUP($A489,'Medical Examination'!$A:$Z,2,FALSE)</f>
        <v>25.555</v>
      </c>
    </row>
    <row r="490" spans="1:21" ht="15.5" x14ac:dyDescent="0.35">
      <c r="A490" s="2" t="s">
        <v>490</v>
      </c>
      <c r="B490" s="2" t="s">
        <v>3235</v>
      </c>
      <c r="C490">
        <v>29.64</v>
      </c>
      <c r="D490">
        <v>4.93</v>
      </c>
      <c r="E490" t="s">
        <v>2344</v>
      </c>
      <c r="F490" t="s">
        <v>2344</v>
      </c>
      <c r="G490" t="s">
        <v>2346</v>
      </c>
      <c r="H490">
        <v>1</v>
      </c>
      <c r="I490" t="s">
        <v>2344</v>
      </c>
      <c r="J490" t="str">
        <f t="shared" si="28"/>
        <v>Over weight</v>
      </c>
      <c r="K490" t="str">
        <f t="shared" si="29"/>
        <v>Normal</v>
      </c>
      <c r="L490">
        <v>8</v>
      </c>
      <c r="M490" t="s">
        <v>2367</v>
      </c>
      <c r="N490">
        <v>1994</v>
      </c>
      <c r="O490" s="8">
        <f t="shared" si="30"/>
        <v>34615</v>
      </c>
      <c r="P490" s="10">
        <v>4435.09</v>
      </c>
      <c r="Q490" t="s">
        <v>2358</v>
      </c>
      <c r="R490" t="s">
        <v>2357</v>
      </c>
      <c r="S490" t="s">
        <v>2371</v>
      </c>
      <c r="T490">
        <f t="shared" ca="1" si="31"/>
        <v>32</v>
      </c>
      <c r="U490">
        <f>VLOOKUP($A490,'Medical Examination'!$A:$Z,2,FALSE)</f>
        <v>29.64</v>
      </c>
    </row>
    <row r="491" spans="1:21" ht="15.5" x14ac:dyDescent="0.35">
      <c r="A491" s="2" t="s">
        <v>491</v>
      </c>
      <c r="B491" s="2" t="s">
        <v>3236</v>
      </c>
      <c r="C491">
        <v>53.93</v>
      </c>
      <c r="D491">
        <v>5.34</v>
      </c>
      <c r="E491" t="s">
        <v>2346</v>
      </c>
      <c r="F491" t="s">
        <v>2344</v>
      </c>
      <c r="G491" t="s">
        <v>2344</v>
      </c>
      <c r="H491">
        <v>1</v>
      </c>
      <c r="I491" t="s">
        <v>2344</v>
      </c>
      <c r="J491" t="str">
        <f t="shared" si="28"/>
        <v>Obesity</v>
      </c>
      <c r="K491" t="str">
        <f t="shared" si="29"/>
        <v>Normal</v>
      </c>
      <c r="L491">
        <v>24</v>
      </c>
      <c r="M491" t="s">
        <v>2367</v>
      </c>
      <c r="N491">
        <v>1994</v>
      </c>
      <c r="O491" s="8">
        <f t="shared" si="30"/>
        <v>34631</v>
      </c>
      <c r="P491" s="10">
        <v>4438.26</v>
      </c>
      <c r="Q491" t="s">
        <v>2357</v>
      </c>
      <c r="R491" t="s">
        <v>2358</v>
      </c>
      <c r="S491" t="s">
        <v>2378</v>
      </c>
      <c r="T491">
        <f t="shared" ca="1" si="31"/>
        <v>32</v>
      </c>
      <c r="U491">
        <f>VLOOKUP($A491,'Medical Examination'!$A:$Z,2,FALSE)</f>
        <v>53.93</v>
      </c>
    </row>
    <row r="492" spans="1:21" ht="15.5" x14ac:dyDescent="0.35">
      <c r="A492" s="2" t="s">
        <v>492</v>
      </c>
      <c r="B492" s="2" t="s">
        <v>3237</v>
      </c>
      <c r="C492">
        <v>28.024999999999999</v>
      </c>
      <c r="D492">
        <v>5.65</v>
      </c>
      <c r="E492" t="s">
        <v>2344</v>
      </c>
      <c r="F492" t="s">
        <v>2344</v>
      </c>
      <c r="G492" t="s">
        <v>2344</v>
      </c>
      <c r="H492">
        <v>1</v>
      </c>
      <c r="I492" t="s">
        <v>2346</v>
      </c>
      <c r="J492" t="str">
        <f t="shared" si="28"/>
        <v>Over weight</v>
      </c>
      <c r="K492" t="str">
        <f t="shared" si="29"/>
        <v>Normal</v>
      </c>
      <c r="L492">
        <v>3</v>
      </c>
      <c r="M492" t="s">
        <v>2363</v>
      </c>
      <c r="N492">
        <v>1991</v>
      </c>
      <c r="O492" s="8">
        <f t="shared" si="30"/>
        <v>33484</v>
      </c>
      <c r="P492" s="10">
        <v>4441.21</v>
      </c>
      <c r="Q492" t="s">
        <v>2361</v>
      </c>
      <c r="R492" t="s">
        <v>2357</v>
      </c>
      <c r="S492" t="s">
        <v>2376</v>
      </c>
      <c r="T492">
        <f t="shared" ca="1" si="31"/>
        <v>35</v>
      </c>
      <c r="U492">
        <f>VLOOKUP($A492,'Medical Examination'!$A:$Z,2,FALSE)</f>
        <v>28.024999999999999</v>
      </c>
    </row>
    <row r="493" spans="1:21" ht="15.5" x14ac:dyDescent="0.35">
      <c r="A493" s="2" t="s">
        <v>493</v>
      </c>
      <c r="B493" s="2" t="s">
        <v>3239</v>
      </c>
      <c r="C493">
        <v>27.5</v>
      </c>
      <c r="D493">
        <v>4.49</v>
      </c>
      <c r="E493" t="s">
        <v>2344</v>
      </c>
      <c r="F493" t="s">
        <v>2344</v>
      </c>
      <c r="G493" t="s">
        <v>2344</v>
      </c>
      <c r="H493">
        <v>0</v>
      </c>
      <c r="I493" t="s">
        <v>2344</v>
      </c>
      <c r="J493" t="str">
        <f t="shared" si="28"/>
        <v>Over weight</v>
      </c>
      <c r="K493" t="str">
        <f t="shared" si="29"/>
        <v>Normal</v>
      </c>
      <c r="L493">
        <v>28</v>
      </c>
      <c r="M493" t="s">
        <v>2362</v>
      </c>
      <c r="N493">
        <v>1994</v>
      </c>
      <c r="O493" s="8">
        <f t="shared" si="30"/>
        <v>34513</v>
      </c>
      <c r="P493" s="10">
        <v>4449.46</v>
      </c>
      <c r="Q493" t="s">
        <v>2361</v>
      </c>
      <c r="R493" t="s">
        <v>2357</v>
      </c>
      <c r="S493" t="s">
        <v>2359</v>
      </c>
      <c r="T493">
        <f t="shared" ca="1" si="31"/>
        <v>32</v>
      </c>
      <c r="U493">
        <f>VLOOKUP($A493,'Medical Examination'!$A:$Z,2,FALSE)</f>
        <v>27.5</v>
      </c>
    </row>
    <row r="494" spans="1:21" ht="15.5" x14ac:dyDescent="0.35">
      <c r="A494" s="2" t="s">
        <v>494</v>
      </c>
      <c r="B494" s="2" t="s">
        <v>3241</v>
      </c>
      <c r="C494">
        <v>21.8</v>
      </c>
      <c r="D494">
        <v>10.55</v>
      </c>
      <c r="E494" t="s">
        <v>2344</v>
      </c>
      <c r="F494" t="s">
        <v>2344</v>
      </c>
      <c r="G494" t="s">
        <v>2344</v>
      </c>
      <c r="H494">
        <v>0</v>
      </c>
      <c r="I494" t="s">
        <v>2346</v>
      </c>
      <c r="J494" t="str">
        <f t="shared" si="28"/>
        <v>Normal Weight</v>
      </c>
      <c r="K494" t="str">
        <f t="shared" si="29"/>
        <v>Diabetes</v>
      </c>
      <c r="L494">
        <v>8</v>
      </c>
      <c r="M494" t="s">
        <v>2366</v>
      </c>
      <c r="N494">
        <v>1990</v>
      </c>
      <c r="O494" s="8">
        <f t="shared" si="30"/>
        <v>33093</v>
      </c>
      <c r="P494" s="10">
        <v>4454.3999999999996</v>
      </c>
      <c r="Q494" t="s">
        <v>2357</v>
      </c>
      <c r="R494" t="s">
        <v>2358</v>
      </c>
      <c r="S494" t="s">
        <v>2364</v>
      </c>
      <c r="T494">
        <f t="shared" ca="1" si="31"/>
        <v>36</v>
      </c>
      <c r="U494">
        <f>VLOOKUP($A494,'Medical Examination'!$A:$Z,2,FALSE)</f>
        <v>21.8</v>
      </c>
    </row>
    <row r="495" spans="1:21" ht="15.5" x14ac:dyDescent="0.35">
      <c r="A495" s="2" t="s">
        <v>495</v>
      </c>
      <c r="B495" s="2" t="s">
        <v>3242</v>
      </c>
      <c r="C495">
        <v>26.41</v>
      </c>
      <c r="D495">
        <v>4.92</v>
      </c>
      <c r="E495" t="s">
        <v>2346</v>
      </c>
      <c r="F495" t="s">
        <v>2344</v>
      </c>
      <c r="G495" t="s">
        <v>2346</v>
      </c>
      <c r="H495">
        <v>1</v>
      </c>
      <c r="I495" t="s">
        <v>2346</v>
      </c>
      <c r="J495" t="str">
        <f t="shared" si="28"/>
        <v>Over weight</v>
      </c>
      <c r="K495" t="str">
        <f t="shared" si="29"/>
        <v>Normal</v>
      </c>
      <c r="L495">
        <v>15</v>
      </c>
      <c r="M495" t="s">
        <v>2356</v>
      </c>
      <c r="N495">
        <v>1990</v>
      </c>
      <c r="O495" s="8">
        <f t="shared" si="30"/>
        <v>33069</v>
      </c>
      <c r="P495" s="10">
        <v>4462.72</v>
      </c>
      <c r="Q495" t="s">
        <v>2357</v>
      </c>
      <c r="R495" t="s">
        <v>2358</v>
      </c>
      <c r="S495" t="s">
        <v>2364</v>
      </c>
      <c r="T495">
        <f t="shared" ca="1" si="31"/>
        <v>36</v>
      </c>
      <c r="U495">
        <f>VLOOKUP($A495,'Medical Examination'!$A:$Z,2,FALSE)</f>
        <v>26.41</v>
      </c>
    </row>
    <row r="496" spans="1:21" ht="15.5" x14ac:dyDescent="0.35">
      <c r="A496" s="2" t="s">
        <v>496</v>
      </c>
      <c r="B496" s="2" t="s">
        <v>3223</v>
      </c>
      <c r="C496">
        <v>27.835000000000001</v>
      </c>
      <c r="D496">
        <v>5.9</v>
      </c>
      <c r="E496" t="s">
        <v>2346</v>
      </c>
      <c r="F496" t="s">
        <v>2344</v>
      </c>
      <c r="G496" t="s">
        <v>2344</v>
      </c>
      <c r="H496">
        <v>1</v>
      </c>
      <c r="I496" t="s">
        <v>2346</v>
      </c>
      <c r="J496" t="str">
        <f t="shared" si="28"/>
        <v>Over weight</v>
      </c>
      <c r="K496" t="str">
        <f t="shared" si="29"/>
        <v>Prediabetes</v>
      </c>
      <c r="L496">
        <v>4</v>
      </c>
      <c r="M496" t="s">
        <v>2356</v>
      </c>
      <c r="N496">
        <v>1991</v>
      </c>
      <c r="O496" s="8">
        <f t="shared" si="30"/>
        <v>33423</v>
      </c>
      <c r="P496" s="10">
        <v>4463.21</v>
      </c>
      <c r="Q496" t="s">
        <v>2358</v>
      </c>
      <c r="R496" t="s">
        <v>2358</v>
      </c>
      <c r="S496" t="s">
        <v>2359</v>
      </c>
      <c r="T496">
        <f t="shared" ca="1" si="31"/>
        <v>35</v>
      </c>
      <c r="U496">
        <f>VLOOKUP($A496,'Medical Examination'!$A:$Z,2,FALSE)</f>
        <v>27.835000000000001</v>
      </c>
    </row>
    <row r="497" spans="1:21" ht="15.5" x14ac:dyDescent="0.35">
      <c r="A497" s="2" t="s">
        <v>497</v>
      </c>
      <c r="B497" s="2" t="s">
        <v>3244</v>
      </c>
      <c r="C497">
        <v>51.74</v>
      </c>
      <c r="D497">
        <v>4.9800000000000004</v>
      </c>
      <c r="E497" t="s">
        <v>2346</v>
      </c>
      <c r="F497" t="s">
        <v>2344</v>
      </c>
      <c r="G497" t="s">
        <v>2344</v>
      </c>
      <c r="H497">
        <v>1</v>
      </c>
      <c r="I497" t="s">
        <v>2344</v>
      </c>
      <c r="J497" t="str">
        <f t="shared" si="28"/>
        <v>Obesity</v>
      </c>
      <c r="K497" t="str">
        <f t="shared" si="29"/>
        <v>Normal</v>
      </c>
      <c r="L497">
        <v>20</v>
      </c>
      <c r="M497" t="s">
        <v>2360</v>
      </c>
      <c r="N497">
        <v>1999</v>
      </c>
      <c r="O497" s="8">
        <f t="shared" si="30"/>
        <v>36484</v>
      </c>
      <c r="P497" s="10">
        <v>4466.62</v>
      </c>
      <c r="Q497" t="s">
        <v>2357</v>
      </c>
      <c r="R497" t="s">
        <v>2357</v>
      </c>
      <c r="S497" t="s">
        <v>2364</v>
      </c>
      <c r="T497">
        <f t="shared" ca="1" si="31"/>
        <v>27</v>
      </c>
      <c r="U497">
        <f>VLOOKUP($A497,'Medical Examination'!$A:$Z,2,FALSE)</f>
        <v>51.74</v>
      </c>
    </row>
    <row r="498" spans="1:21" ht="15.5" x14ac:dyDescent="0.35">
      <c r="A498" s="2" t="s">
        <v>498</v>
      </c>
      <c r="B498" s="2" t="s">
        <v>3245</v>
      </c>
      <c r="C498">
        <v>23.37</v>
      </c>
      <c r="D498">
        <v>5.8</v>
      </c>
      <c r="E498" t="s">
        <v>2344</v>
      </c>
      <c r="F498" t="s">
        <v>2344</v>
      </c>
      <c r="G498" t="s">
        <v>2344</v>
      </c>
      <c r="H498">
        <v>0</v>
      </c>
      <c r="I498" t="s">
        <v>2346</v>
      </c>
      <c r="J498" t="str">
        <f t="shared" si="28"/>
        <v>Normal Weight</v>
      </c>
      <c r="K498" t="str">
        <f t="shared" si="29"/>
        <v>Prediabetes</v>
      </c>
      <c r="L498">
        <v>18</v>
      </c>
      <c r="M498" t="s">
        <v>2356</v>
      </c>
      <c r="N498">
        <v>2004</v>
      </c>
      <c r="O498" s="8">
        <f t="shared" si="30"/>
        <v>38186</v>
      </c>
      <c r="P498" s="10">
        <v>4468.25</v>
      </c>
      <c r="Q498" t="s">
        <v>2357</v>
      </c>
      <c r="R498" t="s">
        <v>2357</v>
      </c>
      <c r="S498" t="s">
        <v>2364</v>
      </c>
      <c r="T498">
        <f t="shared" ca="1" si="31"/>
        <v>22</v>
      </c>
      <c r="U498">
        <f>VLOOKUP($A498,'Medical Examination'!$A:$Z,2,FALSE)</f>
        <v>23.37</v>
      </c>
    </row>
    <row r="499" spans="1:21" ht="15.5" x14ac:dyDescent="0.35">
      <c r="A499" s="2" t="s">
        <v>499</v>
      </c>
      <c r="B499" s="2" t="s">
        <v>2600</v>
      </c>
      <c r="C499">
        <v>29.7</v>
      </c>
      <c r="D499">
        <v>6.21</v>
      </c>
      <c r="E499" t="s">
        <v>2346</v>
      </c>
      <c r="F499" t="s">
        <v>2344</v>
      </c>
      <c r="G499" t="s">
        <v>2346</v>
      </c>
      <c r="H499">
        <v>1</v>
      </c>
      <c r="I499" t="s">
        <v>2346</v>
      </c>
      <c r="J499" t="str">
        <f t="shared" si="28"/>
        <v>Over weight</v>
      </c>
      <c r="K499" t="str">
        <f t="shared" si="29"/>
        <v>Prediabetes</v>
      </c>
      <c r="L499">
        <v>12</v>
      </c>
      <c r="M499" t="s">
        <v>2356</v>
      </c>
      <c r="N499">
        <v>1992</v>
      </c>
      <c r="O499" s="8">
        <f t="shared" si="30"/>
        <v>33797</v>
      </c>
      <c r="P499" s="10">
        <v>4488.58</v>
      </c>
      <c r="Q499" t="s">
        <v>2357</v>
      </c>
      <c r="R499" t="s">
        <v>2358</v>
      </c>
      <c r="S499" t="s">
        <v>2364</v>
      </c>
      <c r="T499">
        <f t="shared" ca="1" si="31"/>
        <v>34</v>
      </c>
      <c r="U499">
        <f>VLOOKUP($A499,'Medical Examination'!$A:$Z,2,FALSE)</f>
        <v>29.7</v>
      </c>
    </row>
    <row r="500" spans="1:21" ht="15.5" x14ac:dyDescent="0.35">
      <c r="A500" s="2" t="s">
        <v>500</v>
      </c>
      <c r="B500" s="2" t="s">
        <v>3248</v>
      </c>
      <c r="C500">
        <v>20.045000000000002</v>
      </c>
      <c r="D500">
        <v>6.17</v>
      </c>
      <c r="E500" t="s">
        <v>2344</v>
      </c>
      <c r="F500" t="s">
        <v>2344</v>
      </c>
      <c r="G500" t="s">
        <v>2346</v>
      </c>
      <c r="H500">
        <v>1</v>
      </c>
      <c r="I500" t="s">
        <v>2346</v>
      </c>
      <c r="J500" t="str">
        <f t="shared" si="28"/>
        <v>Normal Weight</v>
      </c>
      <c r="K500" t="str">
        <f t="shared" si="29"/>
        <v>Prediabetes</v>
      </c>
      <c r="L500">
        <v>26</v>
      </c>
      <c r="M500" t="s">
        <v>2362</v>
      </c>
      <c r="N500">
        <v>1988</v>
      </c>
      <c r="O500" s="8">
        <f t="shared" si="30"/>
        <v>32320</v>
      </c>
      <c r="P500" s="10">
        <v>4500.34</v>
      </c>
      <c r="Q500" t="s">
        <v>2357</v>
      </c>
      <c r="R500" t="s">
        <v>2361</v>
      </c>
      <c r="S500" t="s">
        <v>2378</v>
      </c>
      <c r="T500">
        <f t="shared" ca="1" si="31"/>
        <v>38</v>
      </c>
      <c r="U500">
        <f>VLOOKUP($A500,'Medical Examination'!$A:$Z,2,FALSE)</f>
        <v>20.045000000000002</v>
      </c>
    </row>
    <row r="501" spans="1:21" ht="15.5" x14ac:dyDescent="0.35">
      <c r="A501" s="2" t="s">
        <v>501</v>
      </c>
      <c r="B501" s="2" t="s">
        <v>3250</v>
      </c>
      <c r="C501">
        <v>27.83</v>
      </c>
      <c r="D501">
        <v>5.36</v>
      </c>
      <c r="E501" t="s">
        <v>2344</v>
      </c>
      <c r="F501" t="s">
        <v>2344</v>
      </c>
      <c r="G501" t="s">
        <v>2344</v>
      </c>
      <c r="H501">
        <v>1</v>
      </c>
      <c r="I501" t="s">
        <v>2344</v>
      </c>
      <c r="J501" t="str">
        <f t="shared" si="28"/>
        <v>Over weight</v>
      </c>
      <c r="K501" t="str">
        <f t="shared" si="29"/>
        <v>Normal</v>
      </c>
      <c r="L501">
        <v>13</v>
      </c>
      <c r="M501" t="s">
        <v>2367</v>
      </c>
      <c r="N501">
        <v>1997</v>
      </c>
      <c r="O501" s="8">
        <f t="shared" si="30"/>
        <v>35716</v>
      </c>
      <c r="P501" s="10">
        <v>4504.66</v>
      </c>
      <c r="Q501" t="s">
        <v>2361</v>
      </c>
      <c r="R501" t="s">
        <v>2357</v>
      </c>
      <c r="S501" t="s">
        <v>2359</v>
      </c>
      <c r="T501">
        <f t="shared" ca="1" si="31"/>
        <v>29</v>
      </c>
      <c r="U501">
        <f>VLOOKUP($A501,'Medical Examination'!$A:$Z,2,FALSE)</f>
        <v>27.83</v>
      </c>
    </row>
    <row r="502" spans="1:21" ht="15.5" x14ac:dyDescent="0.35">
      <c r="A502" s="2" t="s">
        <v>502</v>
      </c>
      <c r="B502" s="2" t="s">
        <v>3251</v>
      </c>
      <c r="C502">
        <v>28.93</v>
      </c>
      <c r="D502">
        <v>5.2</v>
      </c>
      <c r="E502" t="s">
        <v>2344</v>
      </c>
      <c r="F502" t="s">
        <v>2344</v>
      </c>
      <c r="G502" t="s">
        <v>2344</v>
      </c>
      <c r="H502">
        <v>0</v>
      </c>
      <c r="I502" t="s">
        <v>2346</v>
      </c>
      <c r="J502" t="str">
        <f t="shared" si="28"/>
        <v>Over weight</v>
      </c>
      <c r="K502" t="str">
        <f t="shared" si="29"/>
        <v>Normal</v>
      </c>
      <c r="L502">
        <v>27</v>
      </c>
      <c r="M502" t="s">
        <v>2363</v>
      </c>
      <c r="N502">
        <v>1982</v>
      </c>
      <c r="O502" s="8">
        <f t="shared" si="30"/>
        <v>30221</v>
      </c>
      <c r="P502" s="10">
        <v>4511.41</v>
      </c>
      <c r="Q502" t="s">
        <v>2357</v>
      </c>
      <c r="R502" t="s">
        <v>2358</v>
      </c>
      <c r="S502" t="s">
        <v>2359</v>
      </c>
      <c r="T502">
        <f t="shared" ca="1" si="31"/>
        <v>44</v>
      </c>
      <c r="U502">
        <f>VLOOKUP($A502,'Medical Examination'!$A:$Z,2,FALSE)</f>
        <v>28.93</v>
      </c>
    </row>
    <row r="503" spans="1:21" ht="15.5" x14ac:dyDescent="0.35">
      <c r="A503" s="2" t="s">
        <v>503</v>
      </c>
      <c r="B503" s="2" t="s">
        <v>2549</v>
      </c>
      <c r="C503">
        <v>33.82</v>
      </c>
      <c r="D503">
        <v>5.42</v>
      </c>
      <c r="E503" t="s">
        <v>2344</v>
      </c>
      <c r="F503" t="s">
        <v>2344</v>
      </c>
      <c r="G503" t="s">
        <v>2344</v>
      </c>
      <c r="H503">
        <v>0</v>
      </c>
      <c r="I503" t="s">
        <v>2344</v>
      </c>
      <c r="J503" t="str">
        <f t="shared" si="28"/>
        <v>Obesity</v>
      </c>
      <c r="K503" t="str">
        <f t="shared" si="29"/>
        <v>Normal</v>
      </c>
      <c r="L503">
        <v>16</v>
      </c>
      <c r="M503" t="s">
        <v>2362</v>
      </c>
      <c r="N503">
        <v>1980</v>
      </c>
      <c r="O503" s="8">
        <f t="shared" si="30"/>
        <v>29388</v>
      </c>
      <c r="P503" s="10">
        <v>4515.71</v>
      </c>
      <c r="Q503" t="s">
        <v>2357</v>
      </c>
      <c r="R503" t="s">
        <v>2358</v>
      </c>
      <c r="S503" t="s">
        <v>2359</v>
      </c>
      <c r="T503">
        <f t="shared" ca="1" si="31"/>
        <v>46</v>
      </c>
      <c r="U503">
        <f>VLOOKUP($A503,'Medical Examination'!$A:$Z,2,FALSE)</f>
        <v>33.82</v>
      </c>
    </row>
    <row r="504" spans="1:21" ht="15.5" x14ac:dyDescent="0.35">
      <c r="A504" s="2" t="s">
        <v>504</v>
      </c>
      <c r="B504" s="2" t="s">
        <v>3254</v>
      </c>
      <c r="C504">
        <v>20.234999999999999</v>
      </c>
      <c r="D504">
        <v>6.84</v>
      </c>
      <c r="E504" t="s">
        <v>2344</v>
      </c>
      <c r="F504" t="s">
        <v>2344</v>
      </c>
      <c r="G504" t="s">
        <v>2344</v>
      </c>
      <c r="H504">
        <v>0</v>
      </c>
      <c r="I504" t="s">
        <v>2346</v>
      </c>
      <c r="J504" t="str">
        <f t="shared" si="28"/>
        <v>Normal Weight</v>
      </c>
      <c r="K504" t="str">
        <f t="shared" si="29"/>
        <v>Diabetes</v>
      </c>
      <c r="L504">
        <v>2</v>
      </c>
      <c r="M504" t="s">
        <v>2367</v>
      </c>
      <c r="N504">
        <v>2003</v>
      </c>
      <c r="O504" s="8">
        <f t="shared" si="30"/>
        <v>37896</v>
      </c>
      <c r="P504" s="10">
        <v>4518.3999999999996</v>
      </c>
      <c r="Q504" t="s">
        <v>2357</v>
      </c>
      <c r="R504" t="s">
        <v>2358</v>
      </c>
      <c r="S504" t="s">
        <v>2380</v>
      </c>
      <c r="T504">
        <f t="shared" ca="1" si="31"/>
        <v>23</v>
      </c>
      <c r="U504">
        <f>VLOOKUP($A504,'Medical Examination'!$A:$Z,2,FALSE)</f>
        <v>20.234999999999999</v>
      </c>
    </row>
    <row r="505" spans="1:21" ht="15.5" x14ac:dyDescent="0.35">
      <c r="A505" s="2" t="s">
        <v>505</v>
      </c>
      <c r="B505" s="2" t="s">
        <v>3256</v>
      </c>
      <c r="C505">
        <v>49.2</v>
      </c>
      <c r="D505">
        <v>10.9</v>
      </c>
      <c r="E505" t="s">
        <v>2346</v>
      </c>
      <c r="F505" t="s">
        <v>2344</v>
      </c>
      <c r="G505" t="s">
        <v>2346</v>
      </c>
      <c r="H505">
        <v>1</v>
      </c>
      <c r="I505" t="s">
        <v>2344</v>
      </c>
      <c r="J505" t="str">
        <f t="shared" si="28"/>
        <v>Obesity</v>
      </c>
      <c r="K505" t="str">
        <f t="shared" si="29"/>
        <v>Diabetes</v>
      </c>
      <c r="L505">
        <v>5</v>
      </c>
      <c r="M505" t="s">
        <v>2365</v>
      </c>
      <c r="N505">
        <v>1987</v>
      </c>
      <c r="O505" s="8">
        <f t="shared" si="30"/>
        <v>32116</v>
      </c>
      <c r="P505" s="10">
        <v>4518.7700000000004</v>
      </c>
      <c r="Q505" t="s">
        <v>2357</v>
      </c>
      <c r="R505" t="s">
        <v>2358</v>
      </c>
      <c r="S505" t="s">
        <v>2364</v>
      </c>
      <c r="T505">
        <f t="shared" ca="1" si="31"/>
        <v>39</v>
      </c>
      <c r="U505">
        <f>VLOOKUP($A505,'Medical Examination'!$A:$Z,2,FALSE)</f>
        <v>49.2</v>
      </c>
    </row>
    <row r="506" spans="1:21" ht="15.5" x14ac:dyDescent="0.35">
      <c r="A506" s="2" t="s">
        <v>506</v>
      </c>
      <c r="B506" s="2" t="s">
        <v>3258</v>
      </c>
      <c r="C506">
        <v>26.4</v>
      </c>
      <c r="D506">
        <v>4.87</v>
      </c>
      <c r="E506" t="s">
        <v>2346</v>
      </c>
      <c r="F506" t="s">
        <v>2344</v>
      </c>
      <c r="G506" t="s">
        <v>2344</v>
      </c>
      <c r="H506">
        <v>0</v>
      </c>
      <c r="I506" t="s">
        <v>2346</v>
      </c>
      <c r="J506" t="str">
        <f t="shared" si="28"/>
        <v>Over weight</v>
      </c>
      <c r="K506" t="str">
        <f t="shared" si="29"/>
        <v>Normal</v>
      </c>
      <c r="L506">
        <v>21</v>
      </c>
      <c r="M506" t="s">
        <v>2365</v>
      </c>
      <c r="N506">
        <v>1988</v>
      </c>
      <c r="O506" s="8">
        <f t="shared" si="30"/>
        <v>32498</v>
      </c>
      <c r="P506" s="10">
        <v>4518.83</v>
      </c>
      <c r="Q506" t="s">
        <v>2357</v>
      </c>
      <c r="R506" t="s">
        <v>2357</v>
      </c>
      <c r="S506" t="s">
        <v>2378</v>
      </c>
      <c r="T506">
        <f t="shared" ca="1" si="31"/>
        <v>38</v>
      </c>
      <c r="U506">
        <f>VLOOKUP($A506,'Medical Examination'!$A:$Z,2,FALSE)</f>
        <v>26.4</v>
      </c>
    </row>
    <row r="507" spans="1:21" ht="15.5" x14ac:dyDescent="0.35">
      <c r="A507" s="2" t="s">
        <v>507</v>
      </c>
      <c r="B507" s="2" t="s">
        <v>3259</v>
      </c>
      <c r="C507">
        <v>28.38</v>
      </c>
      <c r="D507">
        <v>6.07</v>
      </c>
      <c r="E507" t="s">
        <v>2344</v>
      </c>
      <c r="F507" t="s">
        <v>2344</v>
      </c>
      <c r="G507" t="s">
        <v>2344</v>
      </c>
      <c r="H507">
        <v>1</v>
      </c>
      <c r="I507" t="s">
        <v>2346</v>
      </c>
      <c r="J507" t="str">
        <f t="shared" si="28"/>
        <v>Over weight</v>
      </c>
      <c r="K507" t="str">
        <f t="shared" si="29"/>
        <v>Prediabetes</v>
      </c>
      <c r="L507">
        <v>13</v>
      </c>
      <c r="M507" t="s">
        <v>2366</v>
      </c>
      <c r="N507">
        <v>1992</v>
      </c>
      <c r="O507" s="8">
        <f t="shared" si="30"/>
        <v>33829</v>
      </c>
      <c r="P507" s="10">
        <v>4527.18</v>
      </c>
      <c r="Q507" t="s">
        <v>2357</v>
      </c>
      <c r="R507" t="s">
        <v>2357</v>
      </c>
      <c r="S507" t="s">
        <v>2364</v>
      </c>
      <c r="T507">
        <f t="shared" ca="1" si="31"/>
        <v>34</v>
      </c>
      <c r="U507">
        <f>VLOOKUP($A507,'Medical Examination'!$A:$Z,2,FALSE)</f>
        <v>28.38</v>
      </c>
    </row>
    <row r="508" spans="1:21" ht="15.5" x14ac:dyDescent="0.35">
      <c r="A508" s="2" t="s">
        <v>508</v>
      </c>
      <c r="B508" s="2" t="s">
        <v>3261</v>
      </c>
      <c r="C508">
        <v>24.64</v>
      </c>
      <c r="D508">
        <v>4.33</v>
      </c>
      <c r="E508" t="s">
        <v>2344</v>
      </c>
      <c r="F508" t="s">
        <v>2344</v>
      </c>
      <c r="G508" t="s">
        <v>2344</v>
      </c>
      <c r="H508">
        <v>0</v>
      </c>
      <c r="I508" t="s">
        <v>2346</v>
      </c>
      <c r="J508" t="str">
        <f t="shared" si="28"/>
        <v>Normal Weight</v>
      </c>
      <c r="K508" t="str">
        <f t="shared" si="29"/>
        <v>Normal</v>
      </c>
      <c r="L508">
        <v>29</v>
      </c>
      <c r="M508" t="s">
        <v>2362</v>
      </c>
      <c r="N508">
        <v>1993</v>
      </c>
      <c r="O508" s="8">
        <f t="shared" si="30"/>
        <v>34149</v>
      </c>
      <c r="P508" s="10">
        <v>4529.4799999999996</v>
      </c>
      <c r="Q508" t="s">
        <v>2357</v>
      </c>
      <c r="R508" t="s">
        <v>2361</v>
      </c>
      <c r="S508" t="s">
        <v>2368</v>
      </c>
      <c r="T508">
        <f t="shared" ca="1" si="31"/>
        <v>33</v>
      </c>
      <c r="U508">
        <f>VLOOKUP($A508,'Medical Examination'!$A:$Z,2,FALSE)</f>
        <v>24.64</v>
      </c>
    </row>
    <row r="509" spans="1:21" ht="15.5" x14ac:dyDescent="0.35">
      <c r="A509" s="2" t="s">
        <v>509</v>
      </c>
      <c r="B509" s="2" t="s">
        <v>3262</v>
      </c>
      <c r="C509">
        <v>39.71</v>
      </c>
      <c r="D509">
        <v>5.83</v>
      </c>
      <c r="E509" t="s">
        <v>2344</v>
      </c>
      <c r="F509" t="s">
        <v>2344</v>
      </c>
      <c r="G509" t="s">
        <v>2344</v>
      </c>
      <c r="H509">
        <v>1</v>
      </c>
      <c r="I509" t="s">
        <v>2344</v>
      </c>
      <c r="J509" t="str">
        <f t="shared" si="28"/>
        <v>Obesity</v>
      </c>
      <c r="K509" t="str">
        <f t="shared" si="29"/>
        <v>Prediabetes</v>
      </c>
      <c r="L509">
        <v>13</v>
      </c>
      <c r="M509" t="s">
        <v>2362</v>
      </c>
      <c r="N509">
        <v>1988</v>
      </c>
      <c r="O509" s="8">
        <f t="shared" si="30"/>
        <v>32307</v>
      </c>
      <c r="P509" s="10">
        <v>4536.26</v>
      </c>
      <c r="Q509" t="s">
        <v>2357</v>
      </c>
      <c r="R509" t="s">
        <v>2357</v>
      </c>
      <c r="S509" t="s">
        <v>2368</v>
      </c>
      <c r="T509">
        <f t="shared" ca="1" si="31"/>
        <v>38</v>
      </c>
      <c r="U509">
        <f>VLOOKUP($A509,'Medical Examination'!$A:$Z,2,FALSE)</f>
        <v>39.71</v>
      </c>
    </row>
    <row r="510" spans="1:21" ht="15.5" x14ac:dyDescent="0.35">
      <c r="A510" s="2" t="s">
        <v>510</v>
      </c>
      <c r="B510" s="2" t="s">
        <v>3263</v>
      </c>
      <c r="C510">
        <v>22.22</v>
      </c>
      <c r="D510">
        <v>5.5</v>
      </c>
      <c r="E510" t="s">
        <v>2344</v>
      </c>
      <c r="F510" t="s">
        <v>2344</v>
      </c>
      <c r="G510" t="s">
        <v>2344</v>
      </c>
      <c r="H510">
        <v>0</v>
      </c>
      <c r="I510" t="s">
        <v>2346</v>
      </c>
      <c r="J510" t="str">
        <f t="shared" si="28"/>
        <v>Normal Weight</v>
      </c>
      <c r="K510" t="str">
        <f t="shared" si="29"/>
        <v>Normal</v>
      </c>
      <c r="L510">
        <v>17</v>
      </c>
      <c r="M510" t="s">
        <v>2360</v>
      </c>
      <c r="N510">
        <v>1990</v>
      </c>
      <c r="O510" s="8">
        <f t="shared" si="30"/>
        <v>33194</v>
      </c>
      <c r="P510" s="10">
        <v>4544.2299999999996</v>
      </c>
      <c r="Q510" t="s">
        <v>2357</v>
      </c>
      <c r="R510" t="s">
        <v>2361</v>
      </c>
      <c r="S510" t="s">
        <v>2374</v>
      </c>
      <c r="T510">
        <f t="shared" ca="1" si="31"/>
        <v>36</v>
      </c>
      <c r="U510">
        <f>VLOOKUP($A510,'Medical Examination'!$A:$Z,2,FALSE)</f>
        <v>22.22</v>
      </c>
    </row>
    <row r="511" spans="1:21" ht="15.5" x14ac:dyDescent="0.35">
      <c r="A511" s="2" t="s">
        <v>511</v>
      </c>
      <c r="B511" s="2" t="s">
        <v>3265</v>
      </c>
      <c r="C511">
        <v>33.344999999999999</v>
      </c>
      <c r="D511">
        <v>4.79</v>
      </c>
      <c r="E511" t="s">
        <v>2344</v>
      </c>
      <c r="F511" t="s">
        <v>2344</v>
      </c>
      <c r="G511" t="s">
        <v>2346</v>
      </c>
      <c r="H511">
        <v>1</v>
      </c>
      <c r="I511" t="s">
        <v>2344</v>
      </c>
      <c r="J511" t="str">
        <f t="shared" si="28"/>
        <v>Obesity</v>
      </c>
      <c r="K511" t="str">
        <f t="shared" si="29"/>
        <v>Normal</v>
      </c>
      <c r="L511">
        <v>22</v>
      </c>
      <c r="M511" t="s">
        <v>2365</v>
      </c>
      <c r="N511">
        <v>2004</v>
      </c>
      <c r="O511" s="8">
        <f t="shared" si="30"/>
        <v>38343</v>
      </c>
      <c r="P511" s="10">
        <v>4561.1899999999996</v>
      </c>
      <c r="Q511" t="s">
        <v>2357</v>
      </c>
      <c r="R511" t="s">
        <v>2357</v>
      </c>
      <c r="S511" t="s">
        <v>2374</v>
      </c>
      <c r="T511">
        <f t="shared" ca="1" si="31"/>
        <v>22</v>
      </c>
      <c r="U511">
        <f>VLOOKUP($A511,'Medical Examination'!$A:$Z,2,FALSE)</f>
        <v>33.344999999999999</v>
      </c>
    </row>
    <row r="512" spans="1:21" ht="15.5" x14ac:dyDescent="0.35">
      <c r="A512" s="2" t="s">
        <v>512</v>
      </c>
      <c r="B512" s="2" t="s">
        <v>3266</v>
      </c>
      <c r="C512">
        <v>24.42</v>
      </c>
      <c r="D512">
        <v>5.81</v>
      </c>
      <c r="E512" t="s">
        <v>2344</v>
      </c>
      <c r="F512" t="s">
        <v>2344</v>
      </c>
      <c r="G512" t="s">
        <v>2344</v>
      </c>
      <c r="H512">
        <v>1</v>
      </c>
      <c r="I512" t="s">
        <v>2346</v>
      </c>
      <c r="J512" t="str">
        <f t="shared" si="28"/>
        <v>Normal Weight</v>
      </c>
      <c r="K512" t="str">
        <f t="shared" si="29"/>
        <v>Prediabetes</v>
      </c>
      <c r="L512">
        <v>20</v>
      </c>
      <c r="M512" t="s">
        <v>2363</v>
      </c>
      <c r="N512">
        <v>1990</v>
      </c>
      <c r="O512" s="8">
        <f t="shared" si="30"/>
        <v>33136</v>
      </c>
      <c r="P512" s="10">
        <v>4562.84</v>
      </c>
      <c r="Q512" t="s">
        <v>2357</v>
      </c>
      <c r="R512" t="s">
        <v>2357</v>
      </c>
      <c r="S512" t="s">
        <v>2359</v>
      </c>
      <c r="T512">
        <f t="shared" ca="1" si="31"/>
        <v>36</v>
      </c>
      <c r="U512">
        <f>VLOOKUP($A512,'Medical Examination'!$A:$Z,2,FALSE)</f>
        <v>24.42</v>
      </c>
    </row>
    <row r="513" spans="1:21" ht="15.5" x14ac:dyDescent="0.35">
      <c r="A513" s="2" t="s">
        <v>513</v>
      </c>
      <c r="B513" s="2" t="s">
        <v>3267</v>
      </c>
      <c r="C513">
        <v>29.81</v>
      </c>
      <c r="D513">
        <v>5.58</v>
      </c>
      <c r="E513" t="s">
        <v>2344</v>
      </c>
      <c r="F513" t="s">
        <v>2344</v>
      </c>
      <c r="G513" t="s">
        <v>2344</v>
      </c>
      <c r="H513">
        <v>0</v>
      </c>
      <c r="I513" t="s">
        <v>2346</v>
      </c>
      <c r="J513" t="str">
        <f t="shared" si="28"/>
        <v>Over weight</v>
      </c>
      <c r="K513" t="str">
        <f t="shared" si="29"/>
        <v>Normal</v>
      </c>
      <c r="L513">
        <v>25</v>
      </c>
      <c r="M513" t="s">
        <v>2365</v>
      </c>
      <c r="N513">
        <v>1996</v>
      </c>
      <c r="O513" s="8">
        <f t="shared" si="30"/>
        <v>35424</v>
      </c>
      <c r="P513" s="10">
        <v>4564.1899999999996</v>
      </c>
      <c r="Q513" t="s">
        <v>2357</v>
      </c>
      <c r="R513" t="s">
        <v>2357</v>
      </c>
      <c r="S513" t="s">
        <v>2374</v>
      </c>
      <c r="T513">
        <f t="shared" ca="1" si="31"/>
        <v>30</v>
      </c>
      <c r="U513">
        <f>VLOOKUP($A513,'Medical Examination'!$A:$Z,2,FALSE)</f>
        <v>29.81</v>
      </c>
    </row>
    <row r="514" spans="1:21" ht="15.5" x14ac:dyDescent="0.35">
      <c r="A514" s="2" t="s">
        <v>514</v>
      </c>
      <c r="B514" s="2" t="s">
        <v>3268</v>
      </c>
      <c r="C514">
        <v>51.18</v>
      </c>
      <c r="D514">
        <v>4.4000000000000004</v>
      </c>
      <c r="E514" t="s">
        <v>2346</v>
      </c>
      <c r="F514" t="s">
        <v>2344</v>
      </c>
      <c r="G514" t="s">
        <v>2344</v>
      </c>
      <c r="H514">
        <v>1</v>
      </c>
      <c r="I514" t="s">
        <v>2344</v>
      </c>
      <c r="J514" t="str">
        <f t="shared" si="28"/>
        <v>Obesity</v>
      </c>
      <c r="K514" t="str">
        <f t="shared" si="29"/>
        <v>Normal</v>
      </c>
      <c r="L514">
        <v>18</v>
      </c>
      <c r="M514" t="s">
        <v>2363</v>
      </c>
      <c r="N514">
        <v>1989</v>
      </c>
      <c r="O514" s="8">
        <f t="shared" si="30"/>
        <v>32769</v>
      </c>
      <c r="P514" s="10">
        <v>4571.41</v>
      </c>
      <c r="Q514" t="s">
        <v>2357</v>
      </c>
      <c r="R514" t="s">
        <v>2357</v>
      </c>
      <c r="S514" t="s">
        <v>2364</v>
      </c>
      <c r="T514">
        <f t="shared" ca="1" si="31"/>
        <v>37</v>
      </c>
      <c r="U514">
        <f>VLOOKUP($A514,'Medical Examination'!$A:$Z,2,FALSE)</f>
        <v>51.18</v>
      </c>
    </row>
    <row r="515" spans="1:21" ht="15.5" x14ac:dyDescent="0.35">
      <c r="A515" s="2" t="s">
        <v>515</v>
      </c>
      <c r="B515" s="2" t="s">
        <v>3270</v>
      </c>
      <c r="C515">
        <v>51.37</v>
      </c>
      <c r="D515">
        <v>8.18</v>
      </c>
      <c r="E515" t="s">
        <v>2346</v>
      </c>
      <c r="F515" t="s">
        <v>2344</v>
      </c>
      <c r="G515" t="s">
        <v>2344</v>
      </c>
      <c r="H515">
        <v>0</v>
      </c>
      <c r="I515" t="s">
        <v>2344</v>
      </c>
      <c r="J515" t="str">
        <f t="shared" ref="J515:J578" si="32">IF(C515&lt;18.5,"Under Weight",IF(C515&lt;25,"Normal Weight",IF(C515&lt;30,"Over weight","Obesity")))</f>
        <v>Obesity</v>
      </c>
      <c r="K515" t="str">
        <f t="shared" ref="K515:K522" si="33">IF(D515&lt;5.7,"Normal",IF(D515&lt;6.5,"Prediabetes","Diabetes"))</f>
        <v>Diabetes</v>
      </c>
      <c r="L515">
        <v>2</v>
      </c>
      <c r="M515" t="s">
        <v>2356</v>
      </c>
      <c r="N515">
        <v>2000</v>
      </c>
      <c r="O515" s="8">
        <f t="shared" ref="O515:O578" si="34">DATE(N515,MONTH(1&amp;M515),L515)</f>
        <v>36709</v>
      </c>
      <c r="P515" s="10">
        <v>4608.03</v>
      </c>
      <c r="Q515" t="s">
        <v>2357</v>
      </c>
      <c r="R515" t="s">
        <v>2358</v>
      </c>
      <c r="S515" t="s">
        <v>2368</v>
      </c>
      <c r="T515">
        <f t="shared" ref="T515:T578" ca="1" si="35">YEAR(TODAY())-YEAR(O515)</f>
        <v>26</v>
      </c>
      <c r="U515">
        <f>VLOOKUP($A515,'Medical Examination'!$A:$Z,2,FALSE)</f>
        <v>51.37</v>
      </c>
    </row>
    <row r="516" spans="1:21" ht="15.5" x14ac:dyDescent="0.35">
      <c r="A516" s="2" t="s">
        <v>516</v>
      </c>
      <c r="B516" s="2" t="s">
        <v>3272</v>
      </c>
      <c r="C516">
        <v>36.19</v>
      </c>
      <c r="D516">
        <v>5.52</v>
      </c>
      <c r="E516" t="s">
        <v>2346</v>
      </c>
      <c r="F516" t="s">
        <v>2344</v>
      </c>
      <c r="G516" t="s">
        <v>2344</v>
      </c>
      <c r="H516">
        <v>0</v>
      </c>
      <c r="I516" t="s">
        <v>2344</v>
      </c>
      <c r="J516" t="str">
        <f t="shared" si="32"/>
        <v>Obesity</v>
      </c>
      <c r="K516" t="str">
        <f t="shared" si="33"/>
        <v>Normal</v>
      </c>
      <c r="L516">
        <v>29</v>
      </c>
      <c r="M516" t="s">
        <v>2362</v>
      </c>
      <c r="N516">
        <v>1998</v>
      </c>
      <c r="O516" s="8">
        <f t="shared" si="34"/>
        <v>35975</v>
      </c>
      <c r="P516" s="10">
        <v>4618.08</v>
      </c>
      <c r="Q516" t="s">
        <v>2357</v>
      </c>
      <c r="R516" t="s">
        <v>2361</v>
      </c>
      <c r="S516" t="s">
        <v>2364</v>
      </c>
      <c r="T516">
        <f t="shared" ca="1" si="35"/>
        <v>28</v>
      </c>
      <c r="U516">
        <f>VLOOKUP($A516,'Medical Examination'!$A:$Z,2,FALSE)</f>
        <v>36.19</v>
      </c>
    </row>
    <row r="517" spans="1:21" ht="15.5" x14ac:dyDescent="0.35">
      <c r="A517" s="2" t="s">
        <v>517</v>
      </c>
      <c r="B517" s="2" t="s">
        <v>3273</v>
      </c>
      <c r="C517">
        <v>25.9</v>
      </c>
      <c r="D517">
        <v>4.84</v>
      </c>
      <c r="E517" t="s">
        <v>2344</v>
      </c>
      <c r="F517" t="s">
        <v>2344</v>
      </c>
      <c r="G517" t="s">
        <v>2344</v>
      </c>
      <c r="H517">
        <v>0</v>
      </c>
      <c r="I517" t="s">
        <v>2346</v>
      </c>
      <c r="J517" t="str">
        <f t="shared" si="32"/>
        <v>Over weight</v>
      </c>
      <c r="K517" t="str">
        <f t="shared" si="33"/>
        <v>Normal</v>
      </c>
      <c r="L517">
        <v>22</v>
      </c>
      <c r="M517" t="s">
        <v>2362</v>
      </c>
      <c r="N517">
        <v>1985</v>
      </c>
      <c r="O517" s="8">
        <f t="shared" si="34"/>
        <v>31220</v>
      </c>
      <c r="P517" s="10">
        <v>4646.76</v>
      </c>
      <c r="Q517" t="s">
        <v>2361</v>
      </c>
      <c r="R517" t="s">
        <v>2361</v>
      </c>
      <c r="S517" t="s">
        <v>2368</v>
      </c>
      <c r="T517">
        <f t="shared" ca="1" si="35"/>
        <v>41</v>
      </c>
      <c r="U517">
        <f>VLOOKUP($A517,'Medical Examination'!$A:$Z,2,FALSE)</f>
        <v>25.9</v>
      </c>
    </row>
    <row r="518" spans="1:21" ht="15.5" x14ac:dyDescent="0.35">
      <c r="A518" s="2" t="s">
        <v>518</v>
      </c>
      <c r="B518" s="2" t="s">
        <v>3274</v>
      </c>
      <c r="C518">
        <v>35.72</v>
      </c>
      <c r="D518">
        <v>4.08</v>
      </c>
      <c r="E518" t="s">
        <v>2344</v>
      </c>
      <c r="F518" t="s">
        <v>2344</v>
      </c>
      <c r="G518" t="s">
        <v>2346</v>
      </c>
      <c r="H518">
        <v>1</v>
      </c>
      <c r="I518" t="s">
        <v>2344</v>
      </c>
      <c r="J518" t="str">
        <f t="shared" si="32"/>
        <v>Obesity</v>
      </c>
      <c r="K518" t="str">
        <f t="shared" si="33"/>
        <v>Normal</v>
      </c>
      <c r="L518">
        <v>25</v>
      </c>
      <c r="M518" t="s">
        <v>2367</v>
      </c>
      <c r="N518">
        <v>1996</v>
      </c>
      <c r="O518" s="8">
        <f t="shared" si="34"/>
        <v>35363</v>
      </c>
      <c r="P518" s="10">
        <v>4661.29</v>
      </c>
      <c r="Q518" t="s">
        <v>2357</v>
      </c>
      <c r="R518" t="s">
        <v>2361</v>
      </c>
      <c r="S518" t="s">
        <v>2378</v>
      </c>
      <c r="T518">
        <f t="shared" ca="1" si="35"/>
        <v>30</v>
      </c>
      <c r="U518">
        <f>VLOOKUP($A518,'Medical Examination'!$A:$Z,2,FALSE)</f>
        <v>35.72</v>
      </c>
    </row>
    <row r="519" spans="1:21" ht="15.5" x14ac:dyDescent="0.35">
      <c r="A519" s="2" t="s">
        <v>519</v>
      </c>
      <c r="B519" s="2" t="s">
        <v>3275</v>
      </c>
      <c r="C519">
        <v>27.94</v>
      </c>
      <c r="D519">
        <v>4.4800000000000004</v>
      </c>
      <c r="E519" t="s">
        <v>2344</v>
      </c>
      <c r="F519" t="s">
        <v>2344</v>
      </c>
      <c r="G519" t="s">
        <v>2346</v>
      </c>
      <c r="H519">
        <v>1</v>
      </c>
      <c r="I519" t="s">
        <v>2346</v>
      </c>
      <c r="J519" t="str">
        <f t="shared" si="32"/>
        <v>Over weight</v>
      </c>
      <c r="K519" t="str">
        <f t="shared" si="33"/>
        <v>Normal</v>
      </c>
      <c r="L519">
        <v>5</v>
      </c>
      <c r="M519" t="s">
        <v>2366</v>
      </c>
      <c r="N519">
        <v>1990</v>
      </c>
      <c r="O519" s="8">
        <f t="shared" si="34"/>
        <v>33090</v>
      </c>
      <c r="P519" s="10">
        <v>4667.6099999999997</v>
      </c>
      <c r="Q519" t="s">
        <v>2358</v>
      </c>
      <c r="R519" t="s">
        <v>2358</v>
      </c>
      <c r="S519" t="s">
        <v>2371</v>
      </c>
      <c r="T519">
        <f t="shared" ca="1" si="35"/>
        <v>36</v>
      </c>
      <c r="U519">
        <f>VLOOKUP($A519,'Medical Examination'!$A:$Z,2,FALSE)</f>
        <v>27.94</v>
      </c>
    </row>
    <row r="520" spans="1:21" ht="15.5" x14ac:dyDescent="0.35">
      <c r="A520" s="2" t="s">
        <v>520</v>
      </c>
      <c r="B520" s="2" t="s">
        <v>3276</v>
      </c>
      <c r="C520">
        <v>27.1</v>
      </c>
      <c r="D520">
        <v>5.73</v>
      </c>
      <c r="E520" t="s">
        <v>2344</v>
      </c>
      <c r="F520" t="s">
        <v>2344</v>
      </c>
      <c r="G520" t="s">
        <v>2344</v>
      </c>
      <c r="H520">
        <v>0</v>
      </c>
      <c r="I520" t="s">
        <v>2346</v>
      </c>
      <c r="J520" t="str">
        <f t="shared" si="32"/>
        <v>Over weight</v>
      </c>
      <c r="K520" t="str">
        <f t="shared" si="33"/>
        <v>Prediabetes</v>
      </c>
      <c r="L520">
        <v>26</v>
      </c>
      <c r="M520" t="s">
        <v>2363</v>
      </c>
      <c r="N520">
        <v>1990</v>
      </c>
      <c r="O520" s="8">
        <f t="shared" si="34"/>
        <v>33142</v>
      </c>
      <c r="P520" s="10">
        <v>4670.6400000000003</v>
      </c>
      <c r="Q520" t="s">
        <v>2357</v>
      </c>
      <c r="R520" t="s">
        <v>2357</v>
      </c>
      <c r="S520" t="s">
        <v>2368</v>
      </c>
      <c r="T520">
        <f t="shared" ca="1" si="35"/>
        <v>36</v>
      </c>
      <c r="U520">
        <f>VLOOKUP($A520,'Medical Examination'!$A:$Z,2,FALSE)</f>
        <v>27.1</v>
      </c>
    </row>
    <row r="521" spans="1:21" ht="15.5" x14ac:dyDescent="0.35">
      <c r="A521" s="2" t="s">
        <v>521</v>
      </c>
      <c r="B521" s="2" t="s">
        <v>3277</v>
      </c>
      <c r="C521">
        <v>18.3</v>
      </c>
      <c r="D521">
        <v>5.46</v>
      </c>
      <c r="E521" t="s">
        <v>2346</v>
      </c>
      <c r="F521" t="s">
        <v>2344</v>
      </c>
      <c r="G521" t="s">
        <v>2346</v>
      </c>
      <c r="H521">
        <v>1</v>
      </c>
      <c r="I521" t="s">
        <v>2346</v>
      </c>
      <c r="J521" t="str">
        <f t="shared" si="32"/>
        <v>Under Weight</v>
      </c>
      <c r="K521" t="str">
        <f t="shared" si="33"/>
        <v>Normal</v>
      </c>
      <c r="L521">
        <v>13</v>
      </c>
      <c r="M521" t="s">
        <v>2356</v>
      </c>
      <c r="N521">
        <v>1990</v>
      </c>
      <c r="O521" s="8">
        <f t="shared" si="34"/>
        <v>33067</v>
      </c>
      <c r="P521" s="10">
        <v>4673.3900000000003</v>
      </c>
      <c r="Q521" t="s">
        <v>2357</v>
      </c>
      <c r="R521" t="s">
        <v>2361</v>
      </c>
      <c r="S521" t="s">
        <v>2359</v>
      </c>
      <c r="T521">
        <f t="shared" ca="1" si="35"/>
        <v>36</v>
      </c>
      <c r="U521">
        <f>VLOOKUP($A521,'Medical Examination'!$A:$Z,2,FALSE)</f>
        <v>18.3</v>
      </c>
    </row>
    <row r="522" spans="1:21" ht="15.5" x14ac:dyDescent="0.35">
      <c r="A522" s="2" t="s">
        <v>522</v>
      </c>
      <c r="B522" s="2" t="s">
        <v>3279</v>
      </c>
      <c r="C522">
        <v>25.3</v>
      </c>
      <c r="D522">
        <v>5.0199999999999996</v>
      </c>
      <c r="E522" t="s">
        <v>2346</v>
      </c>
      <c r="F522" t="s">
        <v>2344</v>
      </c>
      <c r="G522" t="s">
        <v>2344</v>
      </c>
      <c r="H522">
        <v>1</v>
      </c>
      <c r="I522" t="s">
        <v>2346</v>
      </c>
      <c r="J522" t="str">
        <f t="shared" si="32"/>
        <v>Over weight</v>
      </c>
      <c r="K522" t="str">
        <f t="shared" si="33"/>
        <v>Normal</v>
      </c>
      <c r="L522">
        <v>18</v>
      </c>
      <c r="M522" t="s">
        <v>2367</v>
      </c>
      <c r="N522">
        <v>1979</v>
      </c>
      <c r="O522" s="8">
        <f t="shared" si="34"/>
        <v>29146</v>
      </c>
      <c r="P522" s="10">
        <v>4674.2</v>
      </c>
      <c r="Q522" t="s">
        <v>2357</v>
      </c>
      <c r="R522" t="s">
        <v>2361</v>
      </c>
      <c r="S522" t="s">
        <v>2359</v>
      </c>
      <c r="T522">
        <f t="shared" ca="1" si="35"/>
        <v>47</v>
      </c>
      <c r="U522">
        <f>VLOOKUP($A522,'Medical Examination'!$A:$Z,2,FALSE)</f>
        <v>25.3</v>
      </c>
    </row>
    <row r="523" spans="1:21" ht="15.5" x14ac:dyDescent="0.35">
      <c r="A523" s="2" t="s">
        <v>523</v>
      </c>
      <c r="B523" s="2" t="s">
        <v>3281</v>
      </c>
      <c r="C523">
        <v>38.83</v>
      </c>
      <c r="D523">
        <v>6.36</v>
      </c>
      <c r="E523" t="s">
        <v>2344</v>
      </c>
      <c r="F523" t="s">
        <v>2344</v>
      </c>
      <c r="G523" t="s">
        <v>2344</v>
      </c>
      <c r="H523">
        <v>1</v>
      </c>
      <c r="I523" t="s">
        <v>2344</v>
      </c>
      <c r="J523" t="str">
        <f t="shared" si="32"/>
        <v>Obesity</v>
      </c>
      <c r="K523" t="str">
        <f>IF(D523&lt;5.7,"Normal",IF(D523&lt;6.5,"Prediabetes","Diabetes"))</f>
        <v>Prediabetes</v>
      </c>
      <c r="L523">
        <v>4</v>
      </c>
      <c r="M523" t="s">
        <v>2367</v>
      </c>
      <c r="N523">
        <v>2003</v>
      </c>
      <c r="O523" s="8">
        <f t="shared" si="34"/>
        <v>37898</v>
      </c>
      <c r="P523" s="10">
        <v>4678.8</v>
      </c>
      <c r="Q523" t="s">
        <v>2357</v>
      </c>
      <c r="R523" t="s">
        <v>2361</v>
      </c>
      <c r="S523" t="s">
        <v>2377</v>
      </c>
      <c r="T523">
        <f t="shared" ca="1" si="35"/>
        <v>23</v>
      </c>
      <c r="U523">
        <f>VLOOKUP($A523,'Medical Examination'!$A:$Z,2,FALSE)</f>
        <v>38.83</v>
      </c>
    </row>
    <row r="524" spans="1:21" ht="15.5" x14ac:dyDescent="0.35">
      <c r="A524" s="2" t="s">
        <v>524</v>
      </c>
      <c r="B524" s="2" t="s">
        <v>3282</v>
      </c>
      <c r="C524">
        <v>27.6</v>
      </c>
      <c r="D524">
        <v>5.36</v>
      </c>
      <c r="E524" t="s">
        <v>2344</v>
      </c>
      <c r="F524" t="s">
        <v>2344</v>
      </c>
      <c r="G524" t="s">
        <v>2344</v>
      </c>
      <c r="H524">
        <v>1</v>
      </c>
      <c r="I524" t="s">
        <v>2344</v>
      </c>
      <c r="J524" t="str">
        <f t="shared" si="32"/>
        <v>Over weight</v>
      </c>
      <c r="K524" t="str">
        <f t="shared" ref="K524:K587" si="36">IF(D524&lt;5.7,"Normal",IF(D524&lt;6.5,"Prediabetes","Diabetes"))</f>
        <v>Normal</v>
      </c>
      <c r="L524">
        <v>4</v>
      </c>
      <c r="M524" t="s">
        <v>2363</v>
      </c>
      <c r="N524">
        <v>1990</v>
      </c>
      <c r="O524" s="8">
        <f t="shared" si="34"/>
        <v>33120</v>
      </c>
      <c r="P524" s="10">
        <v>4686.3900000000003</v>
      </c>
      <c r="Q524" t="s">
        <v>2358</v>
      </c>
      <c r="R524" t="s">
        <v>2358</v>
      </c>
      <c r="S524" t="s">
        <v>2359</v>
      </c>
      <c r="T524">
        <f t="shared" ca="1" si="35"/>
        <v>36</v>
      </c>
      <c r="U524">
        <f>VLOOKUP($A524,'Medical Examination'!$A:$Z,2,FALSE)</f>
        <v>27.6</v>
      </c>
    </row>
    <row r="525" spans="1:21" ht="15.5" x14ac:dyDescent="0.35">
      <c r="A525" s="2" t="s">
        <v>525</v>
      </c>
      <c r="B525" s="2" t="s">
        <v>3284</v>
      </c>
      <c r="C525">
        <v>46.4</v>
      </c>
      <c r="D525">
        <v>8.3699999999999992</v>
      </c>
      <c r="E525" t="s">
        <v>2346</v>
      </c>
      <c r="F525" t="s">
        <v>2344</v>
      </c>
      <c r="G525" t="s">
        <v>2346</v>
      </c>
      <c r="H525">
        <v>1</v>
      </c>
      <c r="I525" t="s">
        <v>2344</v>
      </c>
      <c r="J525" t="str">
        <f t="shared" si="32"/>
        <v>Obesity</v>
      </c>
      <c r="K525" t="str">
        <f t="shared" si="36"/>
        <v>Diabetes</v>
      </c>
      <c r="L525">
        <v>22</v>
      </c>
      <c r="M525" t="s">
        <v>2362</v>
      </c>
      <c r="N525">
        <v>2003</v>
      </c>
      <c r="O525" s="8">
        <f t="shared" si="34"/>
        <v>37794</v>
      </c>
      <c r="P525" s="10">
        <v>4687.8</v>
      </c>
      <c r="Q525" t="s">
        <v>2357</v>
      </c>
      <c r="R525" t="s">
        <v>2358</v>
      </c>
      <c r="S525" t="s">
        <v>2368</v>
      </c>
      <c r="T525">
        <f t="shared" ca="1" si="35"/>
        <v>23</v>
      </c>
      <c r="U525">
        <f>VLOOKUP($A525,'Medical Examination'!$A:$Z,2,FALSE)</f>
        <v>46.4</v>
      </c>
    </row>
    <row r="526" spans="1:21" ht="15.5" x14ac:dyDescent="0.35">
      <c r="A526" s="2" t="s">
        <v>526</v>
      </c>
      <c r="B526" s="2" t="s">
        <v>3286</v>
      </c>
      <c r="C526">
        <v>51.92</v>
      </c>
      <c r="D526">
        <v>5.18</v>
      </c>
      <c r="E526" t="s">
        <v>2346</v>
      </c>
      <c r="F526" t="s">
        <v>2344</v>
      </c>
      <c r="G526" t="s">
        <v>2346</v>
      </c>
      <c r="H526">
        <v>1</v>
      </c>
      <c r="I526" t="s">
        <v>2344</v>
      </c>
      <c r="J526" t="str">
        <f t="shared" si="32"/>
        <v>Obesity</v>
      </c>
      <c r="K526" t="str">
        <f t="shared" si="36"/>
        <v>Normal</v>
      </c>
      <c r="L526">
        <v>4</v>
      </c>
      <c r="M526" t="s">
        <v>2365</v>
      </c>
      <c r="N526">
        <v>1977</v>
      </c>
      <c r="O526" s="8">
        <f t="shared" si="34"/>
        <v>28463</v>
      </c>
      <c r="P526" s="10">
        <v>4699.47</v>
      </c>
      <c r="Q526" t="s">
        <v>2357</v>
      </c>
      <c r="R526" t="s">
        <v>2358</v>
      </c>
      <c r="S526" t="s">
        <v>2359</v>
      </c>
      <c r="T526">
        <f t="shared" ca="1" si="35"/>
        <v>49</v>
      </c>
      <c r="U526">
        <f>VLOOKUP($A526,'Medical Examination'!$A:$Z,2,FALSE)</f>
        <v>51.92</v>
      </c>
    </row>
    <row r="527" spans="1:21" ht="15.5" x14ac:dyDescent="0.35">
      <c r="A527" s="2" t="s">
        <v>527</v>
      </c>
      <c r="B527" s="2" t="s">
        <v>3288</v>
      </c>
      <c r="C527">
        <v>32.395000000000003</v>
      </c>
      <c r="D527">
        <v>5.68</v>
      </c>
      <c r="E527" t="s">
        <v>2346</v>
      </c>
      <c r="F527" t="s">
        <v>2344</v>
      </c>
      <c r="G527" t="s">
        <v>2344</v>
      </c>
      <c r="H527">
        <v>1</v>
      </c>
      <c r="I527" t="s">
        <v>2344</v>
      </c>
      <c r="J527" t="str">
        <f t="shared" si="32"/>
        <v>Obesity</v>
      </c>
      <c r="K527" t="str">
        <f t="shared" si="36"/>
        <v>Normal</v>
      </c>
      <c r="L527">
        <v>12</v>
      </c>
      <c r="M527" t="s">
        <v>2366</v>
      </c>
      <c r="N527">
        <v>1981</v>
      </c>
      <c r="O527" s="8">
        <f t="shared" si="34"/>
        <v>29810</v>
      </c>
      <c r="P527" s="10">
        <v>4712.12</v>
      </c>
      <c r="Q527" t="s">
        <v>2357</v>
      </c>
      <c r="R527" t="s">
        <v>2358</v>
      </c>
      <c r="S527" t="s">
        <v>2368</v>
      </c>
      <c r="T527">
        <f t="shared" ca="1" si="35"/>
        <v>45</v>
      </c>
      <c r="U527">
        <f>VLOOKUP($A527,'Medical Examination'!$A:$Z,2,FALSE)</f>
        <v>32.395000000000003</v>
      </c>
    </row>
    <row r="528" spans="1:21" ht="15.5" x14ac:dyDescent="0.35">
      <c r="A528" s="2" t="s">
        <v>528</v>
      </c>
      <c r="B528" s="2" t="s">
        <v>3289</v>
      </c>
      <c r="C528">
        <v>46.19</v>
      </c>
      <c r="D528">
        <v>7.31</v>
      </c>
      <c r="E528" t="s">
        <v>2346</v>
      </c>
      <c r="F528" t="s">
        <v>2344</v>
      </c>
      <c r="G528" t="s">
        <v>2346</v>
      </c>
      <c r="H528">
        <v>1</v>
      </c>
      <c r="I528" t="s">
        <v>2344</v>
      </c>
      <c r="J528" t="str">
        <f t="shared" si="32"/>
        <v>Obesity</v>
      </c>
      <c r="K528" t="str">
        <f t="shared" si="36"/>
        <v>Diabetes</v>
      </c>
      <c r="L528">
        <v>9</v>
      </c>
      <c r="M528" t="s">
        <v>2367</v>
      </c>
      <c r="N528">
        <v>1992</v>
      </c>
      <c r="O528" s="8">
        <f t="shared" si="34"/>
        <v>33886</v>
      </c>
      <c r="P528" s="10">
        <v>4718.2</v>
      </c>
      <c r="Q528" t="s">
        <v>2357</v>
      </c>
      <c r="R528" t="s">
        <v>2358</v>
      </c>
      <c r="S528" t="s">
        <v>2374</v>
      </c>
      <c r="T528">
        <f t="shared" ca="1" si="35"/>
        <v>34</v>
      </c>
      <c r="U528">
        <f>VLOOKUP($A528,'Medical Examination'!$A:$Z,2,FALSE)</f>
        <v>46.19</v>
      </c>
    </row>
    <row r="529" spans="1:21" ht="15.5" x14ac:dyDescent="0.35">
      <c r="A529" s="2" t="s">
        <v>529</v>
      </c>
      <c r="B529" s="2" t="s">
        <v>3290</v>
      </c>
      <c r="C529">
        <v>27.93</v>
      </c>
      <c r="D529">
        <v>4.67</v>
      </c>
      <c r="E529" t="s">
        <v>2344</v>
      </c>
      <c r="F529" t="s">
        <v>2344</v>
      </c>
      <c r="G529" t="s">
        <v>2346</v>
      </c>
      <c r="H529">
        <v>1</v>
      </c>
      <c r="I529" t="s">
        <v>2344</v>
      </c>
      <c r="J529" t="str">
        <f t="shared" si="32"/>
        <v>Over weight</v>
      </c>
      <c r="K529" t="str">
        <f t="shared" si="36"/>
        <v>Normal</v>
      </c>
      <c r="L529">
        <v>28</v>
      </c>
      <c r="M529" t="s">
        <v>2363</v>
      </c>
      <c r="N529">
        <v>1992</v>
      </c>
      <c r="O529" s="8">
        <f t="shared" si="34"/>
        <v>33875</v>
      </c>
      <c r="P529" s="10">
        <v>4719.5200000000004</v>
      </c>
      <c r="Q529" t="s">
        <v>2357</v>
      </c>
      <c r="R529" t="s">
        <v>2357</v>
      </c>
      <c r="S529" t="s">
        <v>2374</v>
      </c>
      <c r="T529">
        <f t="shared" ca="1" si="35"/>
        <v>34</v>
      </c>
      <c r="U529">
        <f>VLOOKUP($A529,'Medical Examination'!$A:$Z,2,FALSE)</f>
        <v>27.93</v>
      </c>
    </row>
    <row r="530" spans="1:21" ht="15.5" x14ac:dyDescent="0.35">
      <c r="A530" s="2" t="s">
        <v>530</v>
      </c>
      <c r="B530" s="2" t="s">
        <v>3291</v>
      </c>
      <c r="C530">
        <v>45.62</v>
      </c>
      <c r="D530">
        <v>6.87</v>
      </c>
      <c r="E530" t="s">
        <v>2344</v>
      </c>
      <c r="F530" t="s">
        <v>2344</v>
      </c>
      <c r="G530" t="s">
        <v>2344</v>
      </c>
      <c r="H530">
        <v>0</v>
      </c>
      <c r="I530" t="s">
        <v>2344</v>
      </c>
      <c r="J530" t="str">
        <f t="shared" si="32"/>
        <v>Obesity</v>
      </c>
      <c r="K530" t="str">
        <f t="shared" si="36"/>
        <v>Diabetes</v>
      </c>
      <c r="L530">
        <v>12</v>
      </c>
      <c r="M530" t="s">
        <v>2366</v>
      </c>
      <c r="N530">
        <v>1994</v>
      </c>
      <c r="O530" s="8">
        <f t="shared" si="34"/>
        <v>34558</v>
      </c>
      <c r="P530" s="10">
        <v>4719.74</v>
      </c>
      <c r="Q530" t="s">
        <v>2357</v>
      </c>
      <c r="R530" t="s">
        <v>2361</v>
      </c>
      <c r="S530" t="s">
        <v>2364</v>
      </c>
      <c r="T530">
        <f t="shared" ca="1" si="35"/>
        <v>32</v>
      </c>
      <c r="U530">
        <f>VLOOKUP($A530,'Medical Examination'!$A:$Z,2,FALSE)</f>
        <v>45.62</v>
      </c>
    </row>
    <row r="531" spans="1:21" ht="15.5" x14ac:dyDescent="0.35">
      <c r="A531" s="2" t="s">
        <v>531</v>
      </c>
      <c r="B531" s="2" t="s">
        <v>3292</v>
      </c>
      <c r="C531">
        <v>35.31</v>
      </c>
      <c r="D531">
        <v>5.87</v>
      </c>
      <c r="E531" t="s">
        <v>2344</v>
      </c>
      <c r="F531" t="s">
        <v>2344</v>
      </c>
      <c r="G531" t="s">
        <v>2346</v>
      </c>
      <c r="H531">
        <v>1</v>
      </c>
      <c r="I531" t="s">
        <v>2344</v>
      </c>
      <c r="J531" t="str">
        <f t="shared" si="32"/>
        <v>Obesity</v>
      </c>
      <c r="K531" t="str">
        <f t="shared" si="36"/>
        <v>Prediabetes</v>
      </c>
      <c r="L531">
        <v>2</v>
      </c>
      <c r="M531" t="s">
        <v>2356</v>
      </c>
      <c r="N531">
        <v>1980</v>
      </c>
      <c r="O531" s="8">
        <f t="shared" si="34"/>
        <v>29404</v>
      </c>
      <c r="P531" s="10">
        <v>4728.71</v>
      </c>
      <c r="Q531" t="s">
        <v>2357</v>
      </c>
      <c r="R531" t="s">
        <v>2358</v>
      </c>
      <c r="S531" t="s">
        <v>2364</v>
      </c>
      <c r="T531">
        <f t="shared" ca="1" si="35"/>
        <v>46</v>
      </c>
      <c r="U531">
        <f>VLOOKUP($A531,'Medical Examination'!$A:$Z,2,FALSE)</f>
        <v>35.31</v>
      </c>
    </row>
    <row r="532" spans="1:21" ht="15.5" x14ac:dyDescent="0.35">
      <c r="A532" s="2" t="s">
        <v>532</v>
      </c>
      <c r="B532" s="2" t="s">
        <v>3293</v>
      </c>
      <c r="C532">
        <v>30.4</v>
      </c>
      <c r="D532">
        <v>4.07</v>
      </c>
      <c r="E532" t="s">
        <v>2346</v>
      </c>
      <c r="F532" t="s">
        <v>2344</v>
      </c>
      <c r="G532" t="s">
        <v>2344</v>
      </c>
      <c r="H532">
        <v>1</v>
      </c>
      <c r="I532" t="s">
        <v>2344</v>
      </c>
      <c r="J532" t="str">
        <f t="shared" si="32"/>
        <v>Obesity</v>
      </c>
      <c r="K532" t="str">
        <f t="shared" si="36"/>
        <v>Normal</v>
      </c>
      <c r="L532">
        <v>5</v>
      </c>
      <c r="M532" t="s">
        <v>2363</v>
      </c>
      <c r="N532">
        <v>1986</v>
      </c>
      <c r="O532" s="8">
        <f t="shared" si="34"/>
        <v>31660</v>
      </c>
      <c r="P532" s="10">
        <v>4734.6400000000003</v>
      </c>
      <c r="Q532" t="s">
        <v>2357</v>
      </c>
      <c r="R532" t="s">
        <v>2361</v>
      </c>
      <c r="S532" t="s">
        <v>2359</v>
      </c>
      <c r="T532">
        <f t="shared" ca="1" si="35"/>
        <v>40</v>
      </c>
      <c r="U532">
        <f>VLOOKUP($A532,'Medical Examination'!$A:$Z,2,FALSE)</f>
        <v>30.4</v>
      </c>
    </row>
    <row r="533" spans="1:21" ht="15.5" x14ac:dyDescent="0.35">
      <c r="A533" s="2" t="s">
        <v>533</v>
      </c>
      <c r="B533" s="2" t="s">
        <v>3294</v>
      </c>
      <c r="C533">
        <v>20.13</v>
      </c>
      <c r="D533">
        <v>6.47</v>
      </c>
      <c r="E533" t="s">
        <v>2344</v>
      </c>
      <c r="F533" t="s">
        <v>2344</v>
      </c>
      <c r="G533" t="s">
        <v>2346</v>
      </c>
      <c r="H533">
        <v>1</v>
      </c>
      <c r="I533" t="s">
        <v>2346</v>
      </c>
      <c r="J533" t="str">
        <f t="shared" si="32"/>
        <v>Normal Weight</v>
      </c>
      <c r="K533" t="str">
        <f t="shared" si="36"/>
        <v>Prediabetes</v>
      </c>
      <c r="L533">
        <v>12</v>
      </c>
      <c r="M533" t="s">
        <v>2367</v>
      </c>
      <c r="N533">
        <v>1991</v>
      </c>
      <c r="O533" s="8">
        <f t="shared" si="34"/>
        <v>33523</v>
      </c>
      <c r="P533" s="10">
        <v>4738.2700000000004</v>
      </c>
      <c r="Q533" t="s">
        <v>2357</v>
      </c>
      <c r="R533" t="s">
        <v>2358</v>
      </c>
      <c r="S533" t="s">
        <v>2364</v>
      </c>
      <c r="T533">
        <f t="shared" ca="1" si="35"/>
        <v>35</v>
      </c>
      <c r="U533">
        <f>VLOOKUP($A533,'Medical Examination'!$A:$Z,2,FALSE)</f>
        <v>20.13</v>
      </c>
    </row>
    <row r="534" spans="1:21" ht="15.5" x14ac:dyDescent="0.35">
      <c r="A534" s="2" t="s">
        <v>534</v>
      </c>
      <c r="B534" s="2" t="s">
        <v>3295</v>
      </c>
      <c r="C534">
        <v>23.655000000000001</v>
      </c>
      <c r="D534">
        <v>5.14</v>
      </c>
      <c r="E534" t="s">
        <v>2344</v>
      </c>
      <c r="F534" t="s">
        <v>2344</v>
      </c>
      <c r="G534" t="s">
        <v>2344</v>
      </c>
      <c r="H534">
        <v>1</v>
      </c>
      <c r="I534" t="s">
        <v>2346</v>
      </c>
      <c r="J534" t="str">
        <f t="shared" si="32"/>
        <v>Normal Weight</v>
      </c>
      <c r="K534" t="str">
        <f t="shared" si="36"/>
        <v>Normal</v>
      </c>
      <c r="L534">
        <v>24</v>
      </c>
      <c r="M534" t="s">
        <v>2360</v>
      </c>
      <c r="N534">
        <v>2004</v>
      </c>
      <c r="O534" s="8">
        <f t="shared" si="34"/>
        <v>38315</v>
      </c>
      <c r="P534" s="10">
        <v>4740.78</v>
      </c>
      <c r="Q534" t="s">
        <v>2357</v>
      </c>
      <c r="R534" t="s">
        <v>2358</v>
      </c>
      <c r="S534" t="s">
        <v>2377</v>
      </c>
      <c r="T534">
        <f t="shared" ca="1" si="35"/>
        <v>22</v>
      </c>
      <c r="U534">
        <f>VLOOKUP($A534,'Medical Examination'!$A:$Z,2,FALSE)</f>
        <v>23.655000000000001</v>
      </c>
    </row>
    <row r="535" spans="1:21" ht="15.5" x14ac:dyDescent="0.35">
      <c r="A535" s="2" t="s">
        <v>535</v>
      </c>
      <c r="B535" s="2" t="s">
        <v>3297</v>
      </c>
      <c r="C535">
        <v>49.05</v>
      </c>
      <c r="D535">
        <v>9.77</v>
      </c>
      <c r="E535" t="s">
        <v>2346</v>
      </c>
      <c r="F535" t="s">
        <v>2344</v>
      </c>
      <c r="G535" t="s">
        <v>2344</v>
      </c>
      <c r="H535">
        <v>0</v>
      </c>
      <c r="I535" t="s">
        <v>2344</v>
      </c>
      <c r="J535" t="str">
        <f t="shared" si="32"/>
        <v>Obesity</v>
      </c>
      <c r="K535" t="str">
        <f t="shared" si="36"/>
        <v>Diabetes</v>
      </c>
      <c r="L535">
        <v>5</v>
      </c>
      <c r="M535" t="s">
        <v>2362</v>
      </c>
      <c r="N535">
        <v>1987</v>
      </c>
      <c r="O535" s="8">
        <f t="shared" si="34"/>
        <v>31933</v>
      </c>
      <c r="P535" s="10">
        <v>4746.34</v>
      </c>
      <c r="Q535" t="s">
        <v>2357</v>
      </c>
      <c r="R535" t="s">
        <v>2357</v>
      </c>
      <c r="S535" t="s">
        <v>2368</v>
      </c>
      <c r="T535">
        <f t="shared" ca="1" si="35"/>
        <v>39</v>
      </c>
      <c r="U535">
        <f>VLOOKUP($A535,'Medical Examination'!$A:$Z,2,FALSE)</f>
        <v>49.05</v>
      </c>
    </row>
    <row r="536" spans="1:21" ht="15.5" x14ac:dyDescent="0.35">
      <c r="A536" s="2" t="s">
        <v>536</v>
      </c>
      <c r="B536" s="2" t="s">
        <v>3298</v>
      </c>
      <c r="C536">
        <v>51.94</v>
      </c>
      <c r="D536">
        <v>8.8000000000000007</v>
      </c>
      <c r="E536" t="s">
        <v>2346</v>
      </c>
      <c r="F536" t="s">
        <v>2344</v>
      </c>
      <c r="G536" t="s">
        <v>2344</v>
      </c>
      <c r="H536">
        <v>1</v>
      </c>
      <c r="I536" t="s">
        <v>2344</v>
      </c>
      <c r="J536" t="str">
        <f t="shared" si="32"/>
        <v>Obesity</v>
      </c>
      <c r="K536" t="str">
        <f t="shared" si="36"/>
        <v>Diabetes</v>
      </c>
      <c r="L536">
        <v>2</v>
      </c>
      <c r="M536" t="s">
        <v>2363</v>
      </c>
      <c r="N536">
        <v>1987</v>
      </c>
      <c r="O536" s="8">
        <f t="shared" si="34"/>
        <v>32022</v>
      </c>
      <c r="P536" s="10">
        <v>4747.05</v>
      </c>
      <c r="Q536" t="s">
        <v>2357</v>
      </c>
      <c r="R536" t="s">
        <v>2357</v>
      </c>
      <c r="S536" t="s">
        <v>2359</v>
      </c>
      <c r="T536">
        <f t="shared" ca="1" si="35"/>
        <v>39</v>
      </c>
      <c r="U536">
        <f>VLOOKUP($A536,'Medical Examination'!$A:$Z,2,FALSE)</f>
        <v>51.94</v>
      </c>
    </row>
    <row r="537" spans="1:21" ht="15.5" x14ac:dyDescent="0.35">
      <c r="A537" s="2" t="s">
        <v>537</v>
      </c>
      <c r="B537" s="2" t="s">
        <v>2549</v>
      </c>
      <c r="C537">
        <v>29.83</v>
      </c>
      <c r="D537">
        <v>5.84</v>
      </c>
      <c r="E537" t="s">
        <v>2344</v>
      </c>
      <c r="F537" t="s">
        <v>2344</v>
      </c>
      <c r="G537" t="s">
        <v>2344</v>
      </c>
      <c r="H537">
        <v>1</v>
      </c>
      <c r="I537" t="s">
        <v>2346</v>
      </c>
      <c r="J537" t="str">
        <f t="shared" si="32"/>
        <v>Over weight</v>
      </c>
      <c r="K537" t="str">
        <f t="shared" si="36"/>
        <v>Prediabetes</v>
      </c>
      <c r="L537">
        <v>22</v>
      </c>
      <c r="M537" t="s">
        <v>2360</v>
      </c>
      <c r="N537">
        <v>1987</v>
      </c>
      <c r="O537" s="8">
        <f t="shared" si="34"/>
        <v>32103</v>
      </c>
      <c r="P537" s="10">
        <v>4751.07</v>
      </c>
      <c r="Q537" t="s">
        <v>2358</v>
      </c>
      <c r="R537" t="s">
        <v>2361</v>
      </c>
      <c r="S537" t="s">
        <v>2368</v>
      </c>
      <c r="T537">
        <f t="shared" ca="1" si="35"/>
        <v>39</v>
      </c>
      <c r="U537">
        <f>VLOOKUP($A537,'Medical Examination'!$A:$Z,2,FALSE)</f>
        <v>29.83</v>
      </c>
    </row>
    <row r="538" spans="1:21" ht="15.5" x14ac:dyDescent="0.35">
      <c r="A538" s="2" t="s">
        <v>538</v>
      </c>
      <c r="B538" s="2" t="s">
        <v>3301</v>
      </c>
      <c r="C538">
        <v>22.6</v>
      </c>
      <c r="D538">
        <v>10.43</v>
      </c>
      <c r="E538" t="s">
        <v>2346</v>
      </c>
      <c r="F538" t="s">
        <v>2344</v>
      </c>
      <c r="G538" t="s">
        <v>2344</v>
      </c>
      <c r="H538">
        <v>1</v>
      </c>
      <c r="I538" t="s">
        <v>2346</v>
      </c>
      <c r="J538" t="str">
        <f t="shared" si="32"/>
        <v>Normal Weight</v>
      </c>
      <c r="K538" t="str">
        <f t="shared" si="36"/>
        <v>Diabetes</v>
      </c>
      <c r="L538">
        <v>16</v>
      </c>
      <c r="M538" t="s">
        <v>2366</v>
      </c>
      <c r="N538">
        <v>1992</v>
      </c>
      <c r="O538" s="8">
        <f t="shared" si="34"/>
        <v>33832</v>
      </c>
      <c r="P538" s="10">
        <v>4753.6400000000003</v>
      </c>
      <c r="Q538" t="s">
        <v>2357</v>
      </c>
      <c r="R538" t="s">
        <v>2358</v>
      </c>
      <c r="S538" t="s">
        <v>2359</v>
      </c>
      <c r="T538">
        <f t="shared" ca="1" si="35"/>
        <v>34</v>
      </c>
      <c r="U538">
        <f>VLOOKUP($A538,'Medical Examination'!$A:$Z,2,FALSE)</f>
        <v>22.6</v>
      </c>
    </row>
    <row r="539" spans="1:21" ht="15.5" x14ac:dyDescent="0.35">
      <c r="A539" s="2" t="s">
        <v>539</v>
      </c>
      <c r="B539" s="2" t="s">
        <v>3303</v>
      </c>
      <c r="C539">
        <v>46.69</v>
      </c>
      <c r="D539">
        <v>4.25</v>
      </c>
      <c r="E539" t="s">
        <v>2346</v>
      </c>
      <c r="F539" t="s">
        <v>2344</v>
      </c>
      <c r="G539" t="s">
        <v>2344</v>
      </c>
      <c r="H539">
        <v>1</v>
      </c>
      <c r="I539" t="s">
        <v>2344</v>
      </c>
      <c r="J539" t="str">
        <f t="shared" si="32"/>
        <v>Obesity</v>
      </c>
      <c r="K539" t="str">
        <f t="shared" si="36"/>
        <v>Normal</v>
      </c>
      <c r="L539">
        <v>27</v>
      </c>
      <c r="M539" t="s">
        <v>2363</v>
      </c>
      <c r="N539">
        <v>1987</v>
      </c>
      <c r="O539" s="8">
        <f t="shared" si="34"/>
        <v>32047</v>
      </c>
      <c r="P539" s="10">
        <v>4762.33</v>
      </c>
      <c r="Q539" t="s">
        <v>2358</v>
      </c>
      <c r="R539" t="s">
        <v>2358</v>
      </c>
      <c r="S539" t="s">
        <v>2368</v>
      </c>
      <c r="T539">
        <f t="shared" ca="1" si="35"/>
        <v>39</v>
      </c>
      <c r="U539">
        <f>VLOOKUP($A539,'Medical Examination'!$A:$Z,2,FALSE)</f>
        <v>46.69</v>
      </c>
    </row>
    <row r="540" spans="1:21" ht="15.5" x14ac:dyDescent="0.35">
      <c r="A540" s="2" t="s">
        <v>540</v>
      </c>
      <c r="B540" s="2" t="s">
        <v>3305</v>
      </c>
      <c r="C540">
        <v>28.49</v>
      </c>
      <c r="D540">
        <v>4.8899999999999997</v>
      </c>
      <c r="E540" t="s">
        <v>2344</v>
      </c>
      <c r="F540" t="s">
        <v>2344</v>
      </c>
      <c r="G540" t="s">
        <v>2344</v>
      </c>
      <c r="H540">
        <v>0</v>
      </c>
      <c r="I540" t="s">
        <v>2346</v>
      </c>
      <c r="J540" t="str">
        <f t="shared" si="32"/>
        <v>Over weight</v>
      </c>
      <c r="K540" t="str">
        <f t="shared" si="36"/>
        <v>Normal</v>
      </c>
      <c r="L540">
        <v>1</v>
      </c>
      <c r="M540" t="s">
        <v>2366</v>
      </c>
      <c r="N540">
        <v>1989</v>
      </c>
      <c r="O540" s="8">
        <f t="shared" si="34"/>
        <v>32721</v>
      </c>
      <c r="P540" s="10">
        <v>4766.0200000000004</v>
      </c>
      <c r="Q540" t="s">
        <v>2357</v>
      </c>
      <c r="R540" t="s">
        <v>2358</v>
      </c>
      <c r="S540" t="s">
        <v>2368</v>
      </c>
      <c r="T540">
        <f t="shared" ca="1" si="35"/>
        <v>37</v>
      </c>
      <c r="U540">
        <f>VLOOKUP($A540,'Medical Examination'!$A:$Z,2,FALSE)</f>
        <v>28.49</v>
      </c>
    </row>
    <row r="541" spans="1:21" ht="15.5" x14ac:dyDescent="0.35">
      <c r="A541" s="2" t="s">
        <v>541</v>
      </c>
      <c r="B541" s="2" t="s">
        <v>3306</v>
      </c>
      <c r="C541">
        <v>28.5</v>
      </c>
      <c r="D541">
        <v>5.55</v>
      </c>
      <c r="E541" t="s">
        <v>2346</v>
      </c>
      <c r="F541" t="s">
        <v>2344</v>
      </c>
      <c r="G541" t="s">
        <v>2344</v>
      </c>
      <c r="H541">
        <v>1</v>
      </c>
      <c r="I541" t="s">
        <v>2346</v>
      </c>
      <c r="J541" t="str">
        <f t="shared" si="32"/>
        <v>Over weight</v>
      </c>
      <c r="K541" t="str">
        <f t="shared" si="36"/>
        <v>Normal</v>
      </c>
      <c r="L541">
        <v>9</v>
      </c>
      <c r="M541" t="s">
        <v>2365</v>
      </c>
      <c r="N541">
        <v>1989</v>
      </c>
      <c r="O541" s="8">
        <f t="shared" si="34"/>
        <v>32851</v>
      </c>
      <c r="P541" s="10">
        <v>4779.6000000000004</v>
      </c>
      <c r="Q541" t="s">
        <v>2357</v>
      </c>
      <c r="R541" t="s">
        <v>2358</v>
      </c>
      <c r="S541" t="s">
        <v>2359</v>
      </c>
      <c r="T541">
        <f t="shared" ca="1" si="35"/>
        <v>37</v>
      </c>
      <c r="U541">
        <f>VLOOKUP($A541,'Medical Examination'!$A:$Z,2,FALSE)</f>
        <v>28.5</v>
      </c>
    </row>
    <row r="542" spans="1:21" ht="15.5" x14ac:dyDescent="0.35">
      <c r="A542" s="2" t="s">
        <v>542</v>
      </c>
      <c r="B542" s="2" t="s">
        <v>3307</v>
      </c>
      <c r="C542">
        <v>24.4</v>
      </c>
      <c r="D542">
        <v>4.5199999999999996</v>
      </c>
      <c r="E542" t="s">
        <v>2344</v>
      </c>
      <c r="F542" t="s">
        <v>2344</v>
      </c>
      <c r="G542" t="s">
        <v>2344</v>
      </c>
      <c r="H542">
        <v>1</v>
      </c>
      <c r="I542" t="s">
        <v>2346</v>
      </c>
      <c r="J542" t="str">
        <f t="shared" si="32"/>
        <v>Normal Weight</v>
      </c>
      <c r="K542" t="str">
        <f t="shared" si="36"/>
        <v>Normal</v>
      </c>
      <c r="L542">
        <v>22</v>
      </c>
      <c r="M542" t="s">
        <v>2362</v>
      </c>
      <c r="N542">
        <v>1987</v>
      </c>
      <c r="O542" s="8">
        <f t="shared" si="34"/>
        <v>31950</v>
      </c>
      <c r="P542" s="10">
        <v>4787.42</v>
      </c>
      <c r="Q542" t="s">
        <v>2357</v>
      </c>
      <c r="R542" t="s">
        <v>2358</v>
      </c>
      <c r="S542" t="s">
        <v>2359</v>
      </c>
      <c r="T542">
        <f t="shared" ca="1" si="35"/>
        <v>39</v>
      </c>
      <c r="U542">
        <f>VLOOKUP($A542,'Medical Examination'!$A:$Z,2,FALSE)</f>
        <v>24.4</v>
      </c>
    </row>
    <row r="543" spans="1:21" ht="15.5" x14ac:dyDescent="0.35">
      <c r="A543" s="2" t="s">
        <v>543</v>
      </c>
      <c r="B543" s="2" t="s">
        <v>3308</v>
      </c>
      <c r="C543">
        <v>29.15</v>
      </c>
      <c r="D543">
        <v>4.45</v>
      </c>
      <c r="E543" t="s">
        <v>2346</v>
      </c>
      <c r="F543" t="s">
        <v>2344</v>
      </c>
      <c r="G543" t="s">
        <v>2344</v>
      </c>
      <c r="H543">
        <v>1</v>
      </c>
      <c r="I543" t="s">
        <v>2346</v>
      </c>
      <c r="J543" t="str">
        <f t="shared" si="32"/>
        <v>Over weight</v>
      </c>
      <c r="K543" t="str">
        <f t="shared" si="36"/>
        <v>Normal</v>
      </c>
      <c r="L543">
        <v>16</v>
      </c>
      <c r="M543" t="s">
        <v>2365</v>
      </c>
      <c r="N543">
        <v>1989</v>
      </c>
      <c r="O543" s="8">
        <f t="shared" si="34"/>
        <v>32858</v>
      </c>
      <c r="P543" s="10">
        <v>4795.66</v>
      </c>
      <c r="Q543" t="s">
        <v>2357</v>
      </c>
      <c r="R543" t="s">
        <v>2361</v>
      </c>
      <c r="S543" t="s">
        <v>2359</v>
      </c>
      <c r="T543">
        <f t="shared" ca="1" si="35"/>
        <v>37</v>
      </c>
      <c r="U543">
        <f>VLOOKUP($A543,'Medical Examination'!$A:$Z,2,FALSE)</f>
        <v>29.15</v>
      </c>
    </row>
    <row r="544" spans="1:21" ht="15.5" x14ac:dyDescent="0.35">
      <c r="A544" s="2" t="s">
        <v>544</v>
      </c>
      <c r="B544" s="2" t="s">
        <v>3310</v>
      </c>
      <c r="C544">
        <v>27.28</v>
      </c>
      <c r="D544">
        <v>4.72</v>
      </c>
      <c r="E544" t="s">
        <v>2344</v>
      </c>
      <c r="F544" t="s">
        <v>2345</v>
      </c>
      <c r="G544" t="s">
        <v>2344</v>
      </c>
      <c r="H544">
        <v>1</v>
      </c>
      <c r="I544" t="s">
        <v>2346</v>
      </c>
      <c r="J544" t="str">
        <f t="shared" si="32"/>
        <v>Over weight</v>
      </c>
      <c r="K544" t="str">
        <f t="shared" si="36"/>
        <v>Normal</v>
      </c>
      <c r="L544">
        <v>3</v>
      </c>
      <c r="M544" t="s">
        <v>2367</v>
      </c>
      <c r="N544">
        <v>1978</v>
      </c>
      <c r="O544" s="8">
        <f t="shared" si="34"/>
        <v>28766</v>
      </c>
      <c r="P544" s="10">
        <v>4812.34</v>
      </c>
      <c r="Q544" t="s">
        <v>2357</v>
      </c>
      <c r="R544" t="s">
        <v>2358</v>
      </c>
      <c r="S544" t="s">
        <v>2359</v>
      </c>
      <c r="T544">
        <f t="shared" ca="1" si="35"/>
        <v>48</v>
      </c>
      <c r="U544">
        <f>VLOOKUP($A544,'Medical Examination'!$A:$Z,2,FALSE)</f>
        <v>27.28</v>
      </c>
    </row>
    <row r="545" spans="1:21" ht="15.5" x14ac:dyDescent="0.35">
      <c r="A545" s="2" t="s">
        <v>545</v>
      </c>
      <c r="B545" s="2" t="s">
        <v>3311</v>
      </c>
      <c r="C545">
        <v>32.229999999999997</v>
      </c>
      <c r="D545">
        <v>4.6500000000000004</v>
      </c>
      <c r="E545" t="s">
        <v>2346</v>
      </c>
      <c r="F545" t="s">
        <v>2344</v>
      </c>
      <c r="G545" t="s">
        <v>2346</v>
      </c>
      <c r="H545">
        <v>1</v>
      </c>
      <c r="I545" t="s">
        <v>2344</v>
      </c>
      <c r="J545" t="str">
        <f t="shared" si="32"/>
        <v>Obesity</v>
      </c>
      <c r="K545" t="str">
        <f t="shared" si="36"/>
        <v>Normal</v>
      </c>
      <c r="L545">
        <v>3</v>
      </c>
      <c r="M545" t="s">
        <v>2356</v>
      </c>
      <c r="N545">
        <v>1981</v>
      </c>
      <c r="O545" s="8">
        <f t="shared" si="34"/>
        <v>29770</v>
      </c>
      <c r="P545" s="10">
        <v>4827.1000000000004</v>
      </c>
      <c r="Q545" t="s">
        <v>2357</v>
      </c>
      <c r="R545" t="s">
        <v>2361</v>
      </c>
      <c r="S545" t="s">
        <v>2359</v>
      </c>
      <c r="T545">
        <f t="shared" ca="1" si="35"/>
        <v>45</v>
      </c>
      <c r="U545">
        <f>VLOOKUP($A545,'Medical Examination'!$A:$Z,2,FALSE)</f>
        <v>32.229999999999997</v>
      </c>
    </row>
    <row r="546" spans="1:21" ht="15.5" x14ac:dyDescent="0.35">
      <c r="A546" s="2" t="s">
        <v>546</v>
      </c>
      <c r="B546" s="2" t="s">
        <v>3312</v>
      </c>
      <c r="C546">
        <v>44.2</v>
      </c>
      <c r="D546">
        <v>11.34</v>
      </c>
      <c r="E546" t="s">
        <v>2346</v>
      </c>
      <c r="F546" t="s">
        <v>2344</v>
      </c>
      <c r="G546" t="s">
        <v>2346</v>
      </c>
      <c r="H546">
        <v>1</v>
      </c>
      <c r="I546" t="s">
        <v>2344</v>
      </c>
      <c r="J546" t="str">
        <f t="shared" si="32"/>
        <v>Obesity</v>
      </c>
      <c r="K546" t="str">
        <f t="shared" si="36"/>
        <v>Diabetes</v>
      </c>
      <c r="L546">
        <v>1</v>
      </c>
      <c r="M546" t="s">
        <v>2365</v>
      </c>
      <c r="N546">
        <v>1995</v>
      </c>
      <c r="O546" s="8">
        <f t="shared" si="34"/>
        <v>35034</v>
      </c>
      <c r="P546" s="10">
        <v>4827.8999999999996</v>
      </c>
      <c r="Q546" t="s">
        <v>2361</v>
      </c>
      <c r="R546" t="s">
        <v>2357</v>
      </c>
      <c r="S546" t="s">
        <v>2347</v>
      </c>
      <c r="T546">
        <f t="shared" ca="1" si="35"/>
        <v>31</v>
      </c>
      <c r="U546">
        <f>VLOOKUP($A546,'Medical Examination'!$A:$Z,2,FALSE)</f>
        <v>44.2</v>
      </c>
    </row>
    <row r="547" spans="1:21" ht="15.5" x14ac:dyDescent="0.35">
      <c r="A547" s="2" t="s">
        <v>547</v>
      </c>
      <c r="B547" s="2" t="s">
        <v>3314</v>
      </c>
      <c r="C547">
        <v>29.734999999999999</v>
      </c>
      <c r="D547">
        <v>4.53</v>
      </c>
      <c r="E547" t="s">
        <v>2344</v>
      </c>
      <c r="F547" t="s">
        <v>2344</v>
      </c>
      <c r="G547" t="s">
        <v>2346</v>
      </c>
      <c r="H547">
        <v>1</v>
      </c>
      <c r="I547" t="s">
        <v>2344</v>
      </c>
      <c r="J547" t="str">
        <f t="shared" si="32"/>
        <v>Over weight</v>
      </c>
      <c r="K547" t="str">
        <f t="shared" si="36"/>
        <v>Normal</v>
      </c>
      <c r="L547">
        <v>27</v>
      </c>
      <c r="M547" t="s">
        <v>2362</v>
      </c>
      <c r="N547">
        <v>2002</v>
      </c>
      <c r="O547" s="8">
        <f t="shared" si="34"/>
        <v>37434</v>
      </c>
      <c r="P547" s="10">
        <v>4830.63</v>
      </c>
      <c r="Q547" t="s">
        <v>2357</v>
      </c>
      <c r="R547" t="s">
        <v>2361</v>
      </c>
      <c r="S547" t="s">
        <v>2368</v>
      </c>
      <c r="T547">
        <f t="shared" ca="1" si="35"/>
        <v>24</v>
      </c>
      <c r="U547">
        <f>VLOOKUP($A547,'Medical Examination'!$A:$Z,2,FALSE)</f>
        <v>29.734999999999999</v>
      </c>
    </row>
    <row r="548" spans="1:21" ht="15.5" x14ac:dyDescent="0.35">
      <c r="A548" s="2" t="s">
        <v>548</v>
      </c>
      <c r="B548" s="2" t="s">
        <v>3315</v>
      </c>
      <c r="C548">
        <v>28.31</v>
      </c>
      <c r="D548">
        <v>6.35</v>
      </c>
      <c r="E548" t="s">
        <v>2344</v>
      </c>
      <c r="F548" t="s">
        <v>2344</v>
      </c>
      <c r="G548" t="s">
        <v>2344</v>
      </c>
      <c r="H548">
        <v>0</v>
      </c>
      <c r="I548" t="s">
        <v>2346</v>
      </c>
      <c r="J548" t="str">
        <f t="shared" si="32"/>
        <v>Over weight</v>
      </c>
      <c r="K548" t="str">
        <f t="shared" si="36"/>
        <v>Prediabetes</v>
      </c>
      <c r="L548">
        <v>11</v>
      </c>
      <c r="M548" t="s">
        <v>2365</v>
      </c>
      <c r="N548">
        <v>2000</v>
      </c>
      <c r="O548" s="8">
        <f t="shared" si="34"/>
        <v>36871</v>
      </c>
      <c r="P548" s="10">
        <v>4835.43</v>
      </c>
      <c r="Q548" t="s">
        <v>2357</v>
      </c>
      <c r="R548" t="s">
        <v>2357</v>
      </c>
      <c r="S548" t="s">
        <v>2377</v>
      </c>
      <c r="T548">
        <f t="shared" ca="1" si="35"/>
        <v>26</v>
      </c>
      <c r="U548">
        <f>VLOOKUP($A548,'Medical Examination'!$A:$Z,2,FALSE)</f>
        <v>28.31</v>
      </c>
    </row>
    <row r="549" spans="1:21" ht="15.5" x14ac:dyDescent="0.35">
      <c r="A549" s="2" t="s">
        <v>549</v>
      </c>
      <c r="B549" s="2" t="s">
        <v>3317</v>
      </c>
      <c r="C549">
        <v>46.62</v>
      </c>
      <c r="D549">
        <v>8.51</v>
      </c>
      <c r="E549" t="s">
        <v>2344</v>
      </c>
      <c r="F549" t="s">
        <v>2344</v>
      </c>
      <c r="G549" t="s">
        <v>2344</v>
      </c>
      <c r="H549">
        <v>0</v>
      </c>
      <c r="I549" t="s">
        <v>2344</v>
      </c>
      <c r="J549" t="str">
        <f t="shared" si="32"/>
        <v>Obesity</v>
      </c>
      <c r="K549" t="str">
        <f t="shared" si="36"/>
        <v>Diabetes</v>
      </c>
      <c r="L549">
        <v>10</v>
      </c>
      <c r="M549" t="s">
        <v>2363</v>
      </c>
      <c r="N549">
        <v>1992</v>
      </c>
      <c r="O549" s="8">
        <f t="shared" si="34"/>
        <v>33857</v>
      </c>
      <c r="P549" s="10">
        <v>4837.58</v>
      </c>
      <c r="Q549" t="s">
        <v>2358</v>
      </c>
      <c r="R549" t="s">
        <v>2357</v>
      </c>
      <c r="S549" t="s">
        <v>2359</v>
      </c>
      <c r="T549">
        <f t="shared" ca="1" si="35"/>
        <v>34</v>
      </c>
      <c r="U549">
        <f>VLOOKUP($A549,'Medical Examination'!$A:$Z,2,FALSE)</f>
        <v>46.62</v>
      </c>
    </row>
    <row r="550" spans="1:21" ht="15.5" x14ac:dyDescent="0.35">
      <c r="A550" s="2" t="s">
        <v>550</v>
      </c>
      <c r="B550" s="2" t="s">
        <v>3318</v>
      </c>
      <c r="C550">
        <v>51.75</v>
      </c>
      <c r="D550">
        <v>8.59</v>
      </c>
      <c r="E550" t="s">
        <v>2346</v>
      </c>
      <c r="F550" t="s">
        <v>2344</v>
      </c>
      <c r="G550" t="s">
        <v>2344</v>
      </c>
      <c r="H550">
        <v>1</v>
      </c>
      <c r="I550" t="s">
        <v>2344</v>
      </c>
      <c r="J550" t="str">
        <f t="shared" si="32"/>
        <v>Obesity</v>
      </c>
      <c r="K550" t="str">
        <f t="shared" si="36"/>
        <v>Diabetes</v>
      </c>
      <c r="L550">
        <v>15</v>
      </c>
      <c r="M550" t="s">
        <v>2367</v>
      </c>
      <c r="N550">
        <v>1984</v>
      </c>
      <c r="O550" s="8">
        <f t="shared" si="34"/>
        <v>30970</v>
      </c>
      <c r="P550" s="10">
        <v>4839.18</v>
      </c>
      <c r="Q550" t="s">
        <v>2357</v>
      </c>
      <c r="R550" t="s">
        <v>2361</v>
      </c>
      <c r="S550" t="s">
        <v>2364</v>
      </c>
      <c r="T550">
        <f t="shared" ca="1" si="35"/>
        <v>42</v>
      </c>
      <c r="U550">
        <f>VLOOKUP($A550,'Medical Examination'!$A:$Z,2,FALSE)</f>
        <v>51.75</v>
      </c>
    </row>
    <row r="551" spans="1:21" ht="15.5" x14ac:dyDescent="0.35">
      <c r="A551" s="2" t="s">
        <v>551</v>
      </c>
      <c r="B551" s="2" t="s">
        <v>3320</v>
      </c>
      <c r="C551">
        <v>25.7</v>
      </c>
      <c r="D551">
        <v>4.13</v>
      </c>
      <c r="E551" t="s">
        <v>2346</v>
      </c>
      <c r="F551" t="s">
        <v>2344</v>
      </c>
      <c r="G551" t="s">
        <v>2344</v>
      </c>
      <c r="H551">
        <v>0</v>
      </c>
      <c r="I551" t="s">
        <v>2346</v>
      </c>
      <c r="J551" t="str">
        <f t="shared" si="32"/>
        <v>Over weight</v>
      </c>
      <c r="K551" t="str">
        <f t="shared" si="36"/>
        <v>Normal</v>
      </c>
      <c r="L551">
        <v>29</v>
      </c>
      <c r="M551" t="s">
        <v>2363</v>
      </c>
      <c r="N551">
        <v>1995</v>
      </c>
      <c r="O551" s="8">
        <f t="shared" si="34"/>
        <v>34971</v>
      </c>
      <c r="P551" s="10">
        <v>4840.95</v>
      </c>
      <c r="Q551" t="s">
        <v>2357</v>
      </c>
      <c r="R551" t="s">
        <v>2361</v>
      </c>
      <c r="S551" t="s">
        <v>2377</v>
      </c>
      <c r="T551">
        <f t="shared" ca="1" si="35"/>
        <v>31</v>
      </c>
      <c r="U551">
        <f>VLOOKUP($A551,'Medical Examination'!$A:$Z,2,FALSE)</f>
        <v>25.7</v>
      </c>
    </row>
    <row r="552" spans="1:21" ht="15.5" x14ac:dyDescent="0.35">
      <c r="A552" s="2" t="s">
        <v>552</v>
      </c>
      <c r="B552" s="2" t="s">
        <v>3321</v>
      </c>
      <c r="C552">
        <v>31.79</v>
      </c>
      <c r="D552">
        <v>4.55</v>
      </c>
      <c r="E552" t="s">
        <v>2344</v>
      </c>
      <c r="F552" t="s">
        <v>2344</v>
      </c>
      <c r="G552" t="s">
        <v>2344</v>
      </c>
      <c r="H552">
        <v>0</v>
      </c>
      <c r="I552" t="s">
        <v>2344</v>
      </c>
      <c r="J552" t="str">
        <f t="shared" si="32"/>
        <v>Obesity</v>
      </c>
      <c r="K552" t="str">
        <f t="shared" si="36"/>
        <v>Normal</v>
      </c>
      <c r="L552">
        <v>13</v>
      </c>
      <c r="M552" t="s">
        <v>2365</v>
      </c>
      <c r="N552">
        <v>1979</v>
      </c>
      <c r="O552" s="8">
        <f t="shared" si="34"/>
        <v>29202</v>
      </c>
      <c r="P552" s="10">
        <v>4843.79</v>
      </c>
      <c r="Q552" t="s">
        <v>2357</v>
      </c>
      <c r="R552" t="s">
        <v>2358</v>
      </c>
      <c r="S552" t="s">
        <v>2359</v>
      </c>
      <c r="T552">
        <f t="shared" ca="1" si="35"/>
        <v>47</v>
      </c>
      <c r="U552">
        <f>VLOOKUP($A552,'Medical Examination'!$A:$Z,2,FALSE)</f>
        <v>31.79</v>
      </c>
    </row>
    <row r="553" spans="1:21" ht="15.5" x14ac:dyDescent="0.35">
      <c r="A553" s="2" t="s">
        <v>553</v>
      </c>
      <c r="B553" s="2" t="s">
        <v>2758</v>
      </c>
      <c r="C553">
        <v>24.795000000000002</v>
      </c>
      <c r="D553">
        <v>4.5199999999999996</v>
      </c>
      <c r="E553" t="s">
        <v>2344</v>
      </c>
      <c r="F553" t="s">
        <v>2344</v>
      </c>
      <c r="G553" t="s">
        <v>2344</v>
      </c>
      <c r="H553">
        <v>0</v>
      </c>
      <c r="I553" t="s">
        <v>2346</v>
      </c>
      <c r="J553" t="str">
        <f t="shared" si="32"/>
        <v>Normal Weight</v>
      </c>
      <c r="K553" t="str">
        <f t="shared" si="36"/>
        <v>Normal</v>
      </c>
      <c r="L553">
        <v>11</v>
      </c>
      <c r="M553" t="s">
        <v>2363</v>
      </c>
      <c r="N553">
        <v>1974</v>
      </c>
      <c r="O553" s="8">
        <f t="shared" si="34"/>
        <v>27283</v>
      </c>
      <c r="P553" s="10">
        <v>4844.67</v>
      </c>
      <c r="Q553" t="s">
        <v>2357</v>
      </c>
      <c r="R553" t="s">
        <v>2357</v>
      </c>
      <c r="S553" t="s">
        <v>2359</v>
      </c>
      <c r="T553">
        <f t="shared" ca="1" si="35"/>
        <v>52</v>
      </c>
      <c r="U553">
        <f>VLOOKUP($A553,'Medical Examination'!$A:$Z,2,FALSE)</f>
        <v>24.795000000000002</v>
      </c>
    </row>
    <row r="554" spans="1:21" ht="15.5" x14ac:dyDescent="0.35">
      <c r="A554" s="2" t="s">
        <v>554</v>
      </c>
      <c r="B554" s="2" t="s">
        <v>3323</v>
      </c>
      <c r="C554">
        <v>53.98</v>
      </c>
      <c r="D554">
        <v>5.07</v>
      </c>
      <c r="E554" t="s">
        <v>2344</v>
      </c>
      <c r="F554" t="s">
        <v>2344</v>
      </c>
      <c r="G554" t="s">
        <v>2346</v>
      </c>
      <c r="H554">
        <v>1</v>
      </c>
      <c r="I554" t="s">
        <v>2344</v>
      </c>
      <c r="J554" t="str">
        <f t="shared" si="32"/>
        <v>Obesity</v>
      </c>
      <c r="K554" t="str">
        <f t="shared" si="36"/>
        <v>Normal</v>
      </c>
      <c r="L554">
        <v>7</v>
      </c>
      <c r="M554" t="s">
        <v>2362</v>
      </c>
      <c r="N554">
        <v>2001</v>
      </c>
      <c r="O554" s="8">
        <f t="shared" si="34"/>
        <v>37049</v>
      </c>
      <c r="P554" s="10">
        <v>4846.53</v>
      </c>
      <c r="Q554" t="s">
        <v>2357</v>
      </c>
      <c r="R554" t="s">
        <v>2358</v>
      </c>
      <c r="S554" t="s">
        <v>2377</v>
      </c>
      <c r="T554">
        <f t="shared" ca="1" si="35"/>
        <v>25</v>
      </c>
      <c r="U554">
        <f>VLOOKUP($A554,'Medical Examination'!$A:$Z,2,FALSE)</f>
        <v>53.98</v>
      </c>
    </row>
    <row r="555" spans="1:21" ht="15.5" x14ac:dyDescent="0.35">
      <c r="A555" s="2" t="s">
        <v>555</v>
      </c>
      <c r="B555" s="2" t="s">
        <v>3325</v>
      </c>
      <c r="C555">
        <v>41.325000000000003</v>
      </c>
      <c r="D555">
        <v>4.04</v>
      </c>
      <c r="E555" t="s">
        <v>2346</v>
      </c>
      <c r="F555" t="s">
        <v>2344</v>
      </c>
      <c r="G555" t="s">
        <v>2346</v>
      </c>
      <c r="H555">
        <v>1</v>
      </c>
      <c r="I555" t="s">
        <v>2344</v>
      </c>
      <c r="J555" t="str">
        <f t="shared" si="32"/>
        <v>Obesity</v>
      </c>
      <c r="K555" t="str">
        <f t="shared" si="36"/>
        <v>Normal</v>
      </c>
      <c r="L555">
        <v>27</v>
      </c>
      <c r="M555" t="s">
        <v>2365</v>
      </c>
      <c r="N555">
        <v>1995</v>
      </c>
      <c r="O555" s="8">
        <f t="shared" si="34"/>
        <v>35060</v>
      </c>
      <c r="P555" s="10">
        <v>4846.92</v>
      </c>
      <c r="Q555" t="s">
        <v>2357</v>
      </c>
      <c r="R555" t="s">
        <v>2358</v>
      </c>
      <c r="S555" t="s">
        <v>2378</v>
      </c>
      <c r="T555">
        <f t="shared" ca="1" si="35"/>
        <v>31</v>
      </c>
      <c r="U555">
        <f>VLOOKUP($A555,'Medical Examination'!$A:$Z,2,FALSE)</f>
        <v>41.325000000000003</v>
      </c>
    </row>
    <row r="556" spans="1:21" ht="15.5" x14ac:dyDescent="0.35">
      <c r="A556" s="2" t="s">
        <v>556</v>
      </c>
      <c r="B556" s="2" t="s">
        <v>3326</v>
      </c>
      <c r="C556">
        <v>51.65</v>
      </c>
      <c r="D556">
        <v>5.3</v>
      </c>
      <c r="E556" t="s">
        <v>2346</v>
      </c>
      <c r="F556" t="s">
        <v>2344</v>
      </c>
      <c r="G556" t="s">
        <v>2344</v>
      </c>
      <c r="H556">
        <v>0</v>
      </c>
      <c r="I556" t="s">
        <v>2344</v>
      </c>
      <c r="J556" t="str">
        <f t="shared" si="32"/>
        <v>Obesity</v>
      </c>
      <c r="K556" t="str">
        <f t="shared" si="36"/>
        <v>Normal</v>
      </c>
      <c r="L556">
        <v>1</v>
      </c>
      <c r="M556" t="s">
        <v>2363</v>
      </c>
      <c r="N556">
        <v>1989</v>
      </c>
      <c r="O556" s="8">
        <f t="shared" si="34"/>
        <v>32752</v>
      </c>
      <c r="P556" s="10">
        <v>4859.8900000000003</v>
      </c>
      <c r="Q556" t="s">
        <v>2357</v>
      </c>
      <c r="R556" t="s">
        <v>2358</v>
      </c>
      <c r="S556" t="s">
        <v>2368</v>
      </c>
      <c r="T556">
        <f t="shared" ca="1" si="35"/>
        <v>37</v>
      </c>
      <c r="U556">
        <f>VLOOKUP($A556,'Medical Examination'!$A:$Z,2,FALSE)</f>
        <v>51.65</v>
      </c>
    </row>
    <row r="557" spans="1:21" ht="15.5" x14ac:dyDescent="0.35">
      <c r="A557" s="2" t="s">
        <v>557</v>
      </c>
      <c r="B557" s="2" t="s">
        <v>3327</v>
      </c>
      <c r="C557">
        <v>44.52</v>
      </c>
      <c r="D557">
        <v>8.64</v>
      </c>
      <c r="E557" t="s">
        <v>2346</v>
      </c>
      <c r="F557" t="s">
        <v>2344</v>
      </c>
      <c r="G557" t="s">
        <v>2346</v>
      </c>
      <c r="H557">
        <v>1</v>
      </c>
      <c r="I557" t="s">
        <v>2344</v>
      </c>
      <c r="J557" t="str">
        <f t="shared" si="32"/>
        <v>Obesity</v>
      </c>
      <c r="K557" t="str">
        <f t="shared" si="36"/>
        <v>Diabetes</v>
      </c>
      <c r="L557">
        <v>29</v>
      </c>
      <c r="M557" t="s">
        <v>2363</v>
      </c>
      <c r="N557">
        <v>1997</v>
      </c>
      <c r="O557" s="8">
        <f t="shared" si="34"/>
        <v>35702</v>
      </c>
      <c r="P557" s="10">
        <v>4877.9799999999996</v>
      </c>
      <c r="Q557" t="s">
        <v>2357</v>
      </c>
      <c r="R557" t="s">
        <v>2358</v>
      </c>
      <c r="S557" t="s">
        <v>2364</v>
      </c>
      <c r="T557">
        <f t="shared" ca="1" si="35"/>
        <v>29</v>
      </c>
      <c r="U557">
        <f>VLOOKUP($A557,'Medical Examination'!$A:$Z,2,FALSE)</f>
        <v>44.52</v>
      </c>
    </row>
    <row r="558" spans="1:21" ht="15.5" x14ac:dyDescent="0.35">
      <c r="A558" s="2" t="s">
        <v>558</v>
      </c>
      <c r="B558" s="2" t="s">
        <v>3329</v>
      </c>
      <c r="C558">
        <v>53.29</v>
      </c>
      <c r="D558">
        <v>4.03</v>
      </c>
      <c r="E558" t="s">
        <v>2344</v>
      </c>
      <c r="F558" t="s">
        <v>2344</v>
      </c>
      <c r="G558" t="s">
        <v>2346</v>
      </c>
      <c r="H558">
        <v>1</v>
      </c>
      <c r="I558" t="s">
        <v>2344</v>
      </c>
      <c r="J558" t="str">
        <f t="shared" si="32"/>
        <v>Obesity</v>
      </c>
      <c r="K558" t="str">
        <f t="shared" si="36"/>
        <v>Normal</v>
      </c>
      <c r="L558">
        <v>23</v>
      </c>
      <c r="M558" t="s">
        <v>2365</v>
      </c>
      <c r="N558">
        <v>1986</v>
      </c>
      <c r="O558" s="8">
        <f t="shared" si="34"/>
        <v>31769</v>
      </c>
      <c r="P558" s="10">
        <v>4883.87</v>
      </c>
      <c r="Q558" t="s">
        <v>2357</v>
      </c>
      <c r="R558" t="s">
        <v>2361</v>
      </c>
      <c r="S558" t="s">
        <v>2368</v>
      </c>
      <c r="T558">
        <f t="shared" ca="1" si="35"/>
        <v>40</v>
      </c>
      <c r="U558">
        <f>VLOOKUP($A558,'Medical Examination'!$A:$Z,2,FALSE)</f>
        <v>53.29</v>
      </c>
    </row>
    <row r="559" spans="1:21" ht="15.5" x14ac:dyDescent="0.35">
      <c r="A559" s="2" t="s">
        <v>559</v>
      </c>
      <c r="B559" s="2" t="s">
        <v>3331</v>
      </c>
      <c r="C559">
        <v>46.63</v>
      </c>
      <c r="D559">
        <v>4.26</v>
      </c>
      <c r="E559" t="s">
        <v>2346</v>
      </c>
      <c r="F559" t="s">
        <v>2344</v>
      </c>
      <c r="G559" t="s">
        <v>2344</v>
      </c>
      <c r="H559">
        <v>1</v>
      </c>
      <c r="I559" t="s">
        <v>2344</v>
      </c>
      <c r="J559" t="str">
        <f t="shared" si="32"/>
        <v>Obesity</v>
      </c>
      <c r="K559" t="str">
        <f t="shared" si="36"/>
        <v>Normal</v>
      </c>
      <c r="L559">
        <v>27</v>
      </c>
      <c r="M559" t="s">
        <v>2367</v>
      </c>
      <c r="N559">
        <v>1986</v>
      </c>
      <c r="O559" s="8">
        <f t="shared" si="34"/>
        <v>31712</v>
      </c>
      <c r="P559" s="10">
        <v>4889.04</v>
      </c>
      <c r="Q559" t="s">
        <v>2357</v>
      </c>
      <c r="R559" t="s">
        <v>2361</v>
      </c>
      <c r="S559" t="s">
        <v>2359</v>
      </c>
      <c r="T559">
        <f t="shared" ca="1" si="35"/>
        <v>40</v>
      </c>
      <c r="U559">
        <f>VLOOKUP($A559,'Medical Examination'!$A:$Z,2,FALSE)</f>
        <v>46.63</v>
      </c>
    </row>
    <row r="560" spans="1:21" ht="15.5" x14ac:dyDescent="0.35">
      <c r="A560" s="2" t="s">
        <v>560</v>
      </c>
      <c r="B560" s="2" t="s">
        <v>3332</v>
      </c>
      <c r="C560">
        <v>28.88</v>
      </c>
      <c r="D560">
        <v>5.35</v>
      </c>
      <c r="E560" t="s">
        <v>2344</v>
      </c>
      <c r="F560" t="s">
        <v>2344</v>
      </c>
      <c r="G560" t="s">
        <v>2346</v>
      </c>
      <c r="H560">
        <v>1</v>
      </c>
      <c r="I560" t="s">
        <v>2346</v>
      </c>
      <c r="J560" t="str">
        <f t="shared" si="32"/>
        <v>Over weight</v>
      </c>
      <c r="K560" t="str">
        <f t="shared" si="36"/>
        <v>Normal</v>
      </c>
      <c r="L560">
        <v>10</v>
      </c>
      <c r="M560" t="s">
        <v>2356</v>
      </c>
      <c r="N560">
        <v>1989</v>
      </c>
      <c r="O560" s="8">
        <f t="shared" si="34"/>
        <v>32699</v>
      </c>
      <c r="P560" s="10">
        <v>4890</v>
      </c>
      <c r="Q560" t="s">
        <v>2358</v>
      </c>
      <c r="R560" t="s">
        <v>2357</v>
      </c>
      <c r="S560" t="s">
        <v>2359</v>
      </c>
      <c r="T560">
        <f t="shared" ca="1" si="35"/>
        <v>37</v>
      </c>
      <c r="U560">
        <f>VLOOKUP($A560,'Medical Examination'!$A:$Z,2,FALSE)</f>
        <v>28.88</v>
      </c>
    </row>
    <row r="561" spans="1:21" ht="15.5" x14ac:dyDescent="0.35">
      <c r="A561" s="2" t="s">
        <v>561</v>
      </c>
      <c r="B561" s="2" t="s">
        <v>3333</v>
      </c>
      <c r="C561">
        <v>23.98</v>
      </c>
      <c r="D561">
        <v>4.9000000000000004</v>
      </c>
      <c r="E561" t="s">
        <v>2344</v>
      </c>
      <c r="F561" t="s">
        <v>2344</v>
      </c>
      <c r="G561" t="s">
        <v>2344</v>
      </c>
      <c r="H561">
        <v>0</v>
      </c>
      <c r="I561" t="s">
        <v>2346</v>
      </c>
      <c r="J561" t="str">
        <f t="shared" si="32"/>
        <v>Normal Weight</v>
      </c>
      <c r="K561" t="str">
        <f t="shared" si="36"/>
        <v>Normal</v>
      </c>
      <c r="L561">
        <v>28</v>
      </c>
      <c r="M561" t="s">
        <v>2360</v>
      </c>
      <c r="N561">
        <v>1990</v>
      </c>
      <c r="O561" s="8">
        <f t="shared" si="34"/>
        <v>33205</v>
      </c>
      <c r="P561" s="10">
        <v>4894.3900000000003</v>
      </c>
      <c r="Q561" t="s">
        <v>2357</v>
      </c>
      <c r="R561" t="s">
        <v>2358</v>
      </c>
      <c r="S561" t="s">
        <v>2359</v>
      </c>
      <c r="T561">
        <f t="shared" ca="1" si="35"/>
        <v>36</v>
      </c>
      <c r="U561">
        <f>VLOOKUP($A561,'Medical Examination'!$A:$Z,2,FALSE)</f>
        <v>23.98</v>
      </c>
    </row>
    <row r="562" spans="1:21" ht="15.5" x14ac:dyDescent="0.35">
      <c r="A562" s="2" t="s">
        <v>562</v>
      </c>
      <c r="B562" s="2" t="s">
        <v>3335</v>
      </c>
      <c r="C562">
        <v>23.65</v>
      </c>
      <c r="D562">
        <v>4.5</v>
      </c>
      <c r="E562" t="s">
        <v>2344</v>
      </c>
      <c r="F562" t="s">
        <v>2344</v>
      </c>
      <c r="G562" t="s">
        <v>2344</v>
      </c>
      <c r="H562">
        <v>0</v>
      </c>
      <c r="I562" t="s">
        <v>2344</v>
      </c>
      <c r="J562" t="str">
        <f t="shared" si="32"/>
        <v>Normal Weight</v>
      </c>
      <c r="K562" t="str">
        <f t="shared" si="36"/>
        <v>Normal</v>
      </c>
      <c r="L562">
        <v>23</v>
      </c>
      <c r="M562" t="s">
        <v>2363</v>
      </c>
      <c r="N562">
        <v>1988</v>
      </c>
      <c r="O562" s="8">
        <f t="shared" si="34"/>
        <v>32409</v>
      </c>
      <c r="P562" s="10">
        <v>4894.75</v>
      </c>
      <c r="Q562" t="s">
        <v>2358</v>
      </c>
      <c r="R562" t="s">
        <v>2358</v>
      </c>
      <c r="S562" t="s">
        <v>2364</v>
      </c>
      <c r="T562">
        <f t="shared" ca="1" si="35"/>
        <v>38</v>
      </c>
      <c r="U562">
        <f>VLOOKUP($A562,'Medical Examination'!$A:$Z,2,FALSE)</f>
        <v>23.65</v>
      </c>
    </row>
    <row r="563" spans="1:21" ht="15.5" x14ac:dyDescent="0.35">
      <c r="A563" s="2" t="s">
        <v>563</v>
      </c>
      <c r="B563" s="2" t="s">
        <v>3336</v>
      </c>
      <c r="C563">
        <v>49.09</v>
      </c>
      <c r="D563">
        <v>8.3800000000000008</v>
      </c>
      <c r="E563" t="s">
        <v>2346</v>
      </c>
      <c r="F563" t="s">
        <v>2344</v>
      </c>
      <c r="G563" t="s">
        <v>2344</v>
      </c>
      <c r="H563">
        <v>1</v>
      </c>
      <c r="I563" t="s">
        <v>2344</v>
      </c>
      <c r="J563" t="str">
        <f t="shared" si="32"/>
        <v>Obesity</v>
      </c>
      <c r="K563" t="str">
        <f t="shared" si="36"/>
        <v>Diabetes</v>
      </c>
      <c r="L563">
        <v>10</v>
      </c>
      <c r="M563" t="s">
        <v>2356</v>
      </c>
      <c r="N563">
        <v>1993</v>
      </c>
      <c r="O563" s="8">
        <f t="shared" si="34"/>
        <v>34160</v>
      </c>
      <c r="P563" s="10">
        <v>4906.41</v>
      </c>
      <c r="Q563" t="s">
        <v>2357</v>
      </c>
      <c r="R563" t="s">
        <v>2361</v>
      </c>
      <c r="S563" t="s">
        <v>2364</v>
      </c>
      <c r="T563">
        <f t="shared" ca="1" si="35"/>
        <v>33</v>
      </c>
      <c r="U563">
        <f>VLOOKUP($A563,'Medical Examination'!$A:$Z,2,FALSE)</f>
        <v>49.09</v>
      </c>
    </row>
    <row r="564" spans="1:21" ht="15.5" x14ac:dyDescent="0.35">
      <c r="A564" s="2" t="s">
        <v>564</v>
      </c>
      <c r="B564" s="2" t="s">
        <v>3337</v>
      </c>
      <c r="C564">
        <v>28.024999999999999</v>
      </c>
      <c r="D564">
        <v>7.03</v>
      </c>
      <c r="E564" t="s">
        <v>2344</v>
      </c>
      <c r="F564" t="s">
        <v>2344</v>
      </c>
      <c r="G564" t="s">
        <v>2344</v>
      </c>
      <c r="H564">
        <v>0</v>
      </c>
      <c r="I564" t="s">
        <v>2346</v>
      </c>
      <c r="J564" t="str">
        <f t="shared" si="32"/>
        <v>Over weight</v>
      </c>
      <c r="K564" t="str">
        <f t="shared" si="36"/>
        <v>Diabetes</v>
      </c>
      <c r="L564">
        <v>18</v>
      </c>
      <c r="M564" t="s">
        <v>2367</v>
      </c>
      <c r="N564">
        <v>1981</v>
      </c>
      <c r="O564" s="8">
        <f t="shared" si="34"/>
        <v>29877</v>
      </c>
      <c r="P564" s="10">
        <v>4911.8900000000003</v>
      </c>
      <c r="Q564" t="s">
        <v>2357</v>
      </c>
      <c r="R564" t="s">
        <v>2358</v>
      </c>
      <c r="S564" t="s">
        <v>2359</v>
      </c>
      <c r="T564">
        <f t="shared" ca="1" si="35"/>
        <v>45</v>
      </c>
      <c r="U564">
        <f>VLOOKUP($A564,'Medical Examination'!$A:$Z,2,FALSE)</f>
        <v>28.024999999999999</v>
      </c>
    </row>
    <row r="565" spans="1:21" ht="15.5" x14ac:dyDescent="0.35">
      <c r="A565" s="2" t="s">
        <v>565</v>
      </c>
      <c r="B565" s="2" t="s">
        <v>3338</v>
      </c>
      <c r="C565">
        <v>43.32</v>
      </c>
      <c r="D565">
        <v>8.75</v>
      </c>
      <c r="E565" t="s">
        <v>2346</v>
      </c>
      <c r="F565" t="s">
        <v>2344</v>
      </c>
      <c r="G565" t="s">
        <v>2346</v>
      </c>
      <c r="H565">
        <v>1</v>
      </c>
      <c r="I565" t="s">
        <v>2344</v>
      </c>
      <c r="J565" t="str">
        <f t="shared" si="32"/>
        <v>Obesity</v>
      </c>
      <c r="K565" t="str">
        <f t="shared" si="36"/>
        <v>Diabetes</v>
      </c>
      <c r="L565">
        <v>21</v>
      </c>
      <c r="M565" t="s">
        <v>2366</v>
      </c>
      <c r="N565">
        <v>2002</v>
      </c>
      <c r="O565" s="8">
        <f t="shared" si="34"/>
        <v>37489</v>
      </c>
      <c r="P565" s="10">
        <v>4915.0600000000004</v>
      </c>
      <c r="Q565" t="s">
        <v>2357</v>
      </c>
      <c r="R565" t="s">
        <v>2361</v>
      </c>
      <c r="S565" t="s">
        <v>2378</v>
      </c>
      <c r="T565">
        <f t="shared" ca="1" si="35"/>
        <v>24</v>
      </c>
      <c r="U565">
        <f>VLOOKUP($A565,'Medical Examination'!$A:$Z,2,FALSE)</f>
        <v>43.32</v>
      </c>
    </row>
    <row r="566" spans="1:21" ht="15.5" x14ac:dyDescent="0.35">
      <c r="A566" s="2" t="s">
        <v>566</v>
      </c>
      <c r="B566" s="2" t="s">
        <v>3339</v>
      </c>
      <c r="C566">
        <v>45.92</v>
      </c>
      <c r="D566">
        <v>9.51</v>
      </c>
      <c r="E566" t="s">
        <v>2344</v>
      </c>
      <c r="F566" t="s">
        <v>2344</v>
      </c>
      <c r="G566" t="s">
        <v>2344</v>
      </c>
      <c r="H566">
        <v>0</v>
      </c>
      <c r="I566" t="s">
        <v>2344</v>
      </c>
      <c r="J566" t="str">
        <f t="shared" si="32"/>
        <v>Obesity</v>
      </c>
      <c r="K566" t="str">
        <f t="shared" si="36"/>
        <v>Diabetes</v>
      </c>
      <c r="L566">
        <v>10</v>
      </c>
      <c r="M566" t="s">
        <v>2366</v>
      </c>
      <c r="N566">
        <v>1993</v>
      </c>
      <c r="O566" s="8">
        <f t="shared" si="34"/>
        <v>34191</v>
      </c>
      <c r="P566" s="10">
        <v>4922.92</v>
      </c>
      <c r="Q566" t="s">
        <v>2357</v>
      </c>
      <c r="R566" t="s">
        <v>2357</v>
      </c>
      <c r="S566" t="s">
        <v>2364</v>
      </c>
      <c r="T566">
        <f t="shared" ca="1" si="35"/>
        <v>33</v>
      </c>
      <c r="U566">
        <f>VLOOKUP($A566,'Medical Examination'!$A:$Z,2,FALSE)</f>
        <v>45.92</v>
      </c>
    </row>
    <row r="567" spans="1:21" ht="15.5" x14ac:dyDescent="0.35">
      <c r="A567" s="2" t="s">
        <v>567</v>
      </c>
      <c r="B567" s="2" t="s">
        <v>3340</v>
      </c>
      <c r="C567">
        <v>44.03</v>
      </c>
      <c r="D567">
        <v>9.36</v>
      </c>
      <c r="E567" t="s">
        <v>2344</v>
      </c>
      <c r="F567" t="s">
        <v>2344</v>
      </c>
      <c r="G567" t="s">
        <v>2344</v>
      </c>
      <c r="H567">
        <v>0</v>
      </c>
      <c r="I567" t="s">
        <v>2344</v>
      </c>
      <c r="J567" t="str">
        <f t="shared" si="32"/>
        <v>Obesity</v>
      </c>
      <c r="K567" t="str">
        <f t="shared" si="36"/>
        <v>Diabetes</v>
      </c>
      <c r="L567">
        <v>23</v>
      </c>
      <c r="M567" t="s">
        <v>2366</v>
      </c>
      <c r="N567">
        <v>1991</v>
      </c>
      <c r="O567" s="8">
        <f t="shared" si="34"/>
        <v>33473</v>
      </c>
      <c r="P567" s="10">
        <v>4931.6499999999996</v>
      </c>
      <c r="Q567" t="s">
        <v>2357</v>
      </c>
      <c r="R567" t="s">
        <v>2358</v>
      </c>
      <c r="S567" t="s">
        <v>2368</v>
      </c>
      <c r="T567">
        <f t="shared" ca="1" si="35"/>
        <v>35</v>
      </c>
      <c r="U567">
        <f>VLOOKUP($A567,'Medical Examination'!$A:$Z,2,FALSE)</f>
        <v>44.03</v>
      </c>
    </row>
    <row r="568" spans="1:21" ht="15.5" x14ac:dyDescent="0.35">
      <c r="A568" s="2" t="s">
        <v>568</v>
      </c>
      <c r="B568" s="2" t="s">
        <v>3341</v>
      </c>
      <c r="C568">
        <v>24.6</v>
      </c>
      <c r="D568">
        <v>4.8099999999999996</v>
      </c>
      <c r="E568" t="s">
        <v>2344</v>
      </c>
      <c r="F568" t="s">
        <v>2344</v>
      </c>
      <c r="G568" t="s">
        <v>2344</v>
      </c>
      <c r="H568">
        <v>0</v>
      </c>
      <c r="I568" t="s">
        <v>2346</v>
      </c>
      <c r="J568" t="str">
        <f t="shared" si="32"/>
        <v>Normal Weight</v>
      </c>
      <c r="K568" t="str">
        <f t="shared" si="36"/>
        <v>Normal</v>
      </c>
      <c r="L568">
        <v>27</v>
      </c>
      <c r="M568" t="s">
        <v>2360</v>
      </c>
      <c r="N568">
        <v>1991</v>
      </c>
      <c r="O568" s="8">
        <f t="shared" si="34"/>
        <v>33569</v>
      </c>
      <c r="P568" s="10">
        <v>4934.71</v>
      </c>
      <c r="Q568" t="s">
        <v>2357</v>
      </c>
      <c r="R568" t="s">
        <v>2358</v>
      </c>
      <c r="S568" t="s">
        <v>2368</v>
      </c>
      <c r="T568">
        <f t="shared" ca="1" si="35"/>
        <v>35</v>
      </c>
      <c r="U568">
        <f>VLOOKUP($A568,'Medical Examination'!$A:$Z,2,FALSE)</f>
        <v>24.6</v>
      </c>
    </row>
    <row r="569" spans="1:21" ht="15.5" x14ac:dyDescent="0.35">
      <c r="A569" s="2" t="s">
        <v>569</v>
      </c>
      <c r="B569" s="2" t="s">
        <v>3342</v>
      </c>
      <c r="C569">
        <v>49.15</v>
      </c>
      <c r="D569">
        <v>8.08</v>
      </c>
      <c r="E569" t="s">
        <v>2344</v>
      </c>
      <c r="F569" t="s">
        <v>2344</v>
      </c>
      <c r="G569" t="s">
        <v>2344</v>
      </c>
      <c r="H569">
        <v>0</v>
      </c>
      <c r="I569" t="s">
        <v>2344</v>
      </c>
      <c r="J569" t="str">
        <f t="shared" si="32"/>
        <v>Obesity</v>
      </c>
      <c r="K569" t="str">
        <f t="shared" si="36"/>
        <v>Diabetes</v>
      </c>
      <c r="L569">
        <v>26</v>
      </c>
      <c r="M569" t="s">
        <v>2362</v>
      </c>
      <c r="N569">
        <v>1974</v>
      </c>
      <c r="O569" s="8">
        <f t="shared" si="34"/>
        <v>27206</v>
      </c>
      <c r="P569" s="10">
        <v>4942.0600000000004</v>
      </c>
      <c r="Q569" t="s">
        <v>2357</v>
      </c>
      <c r="R569" t="s">
        <v>2357</v>
      </c>
      <c r="S569" t="s">
        <v>2359</v>
      </c>
      <c r="T569">
        <f t="shared" ca="1" si="35"/>
        <v>52</v>
      </c>
      <c r="U569">
        <f>VLOOKUP($A569,'Medical Examination'!$A:$Z,2,FALSE)</f>
        <v>49.15</v>
      </c>
    </row>
    <row r="570" spans="1:21" ht="15.5" x14ac:dyDescent="0.35">
      <c r="A570" s="2" t="s">
        <v>570</v>
      </c>
      <c r="B570" s="2" t="s">
        <v>3344</v>
      </c>
      <c r="C570">
        <v>28.31</v>
      </c>
      <c r="D570">
        <v>6.29</v>
      </c>
      <c r="E570" t="s">
        <v>2344</v>
      </c>
      <c r="F570" t="s">
        <v>2344</v>
      </c>
      <c r="G570" t="s">
        <v>2346</v>
      </c>
      <c r="H570">
        <v>1</v>
      </c>
      <c r="I570" t="s">
        <v>2346</v>
      </c>
      <c r="J570" t="str">
        <f t="shared" si="32"/>
        <v>Over weight</v>
      </c>
      <c r="K570" t="str">
        <f t="shared" si="36"/>
        <v>Prediabetes</v>
      </c>
      <c r="L570">
        <v>30</v>
      </c>
      <c r="M570" t="s">
        <v>2366</v>
      </c>
      <c r="N570">
        <v>1991</v>
      </c>
      <c r="O570" s="8">
        <f t="shared" si="34"/>
        <v>33480</v>
      </c>
      <c r="P570" s="10">
        <v>4949.76</v>
      </c>
      <c r="Q570" t="s">
        <v>2357</v>
      </c>
      <c r="R570" t="s">
        <v>2361</v>
      </c>
      <c r="S570" t="s">
        <v>2359</v>
      </c>
      <c r="T570">
        <f t="shared" ca="1" si="35"/>
        <v>35</v>
      </c>
      <c r="U570">
        <f>VLOOKUP($A570,'Medical Examination'!$A:$Z,2,FALSE)</f>
        <v>28.31</v>
      </c>
    </row>
    <row r="571" spans="1:21" ht="15.5" x14ac:dyDescent="0.35">
      <c r="A571" s="2" t="s">
        <v>571</v>
      </c>
      <c r="B571" s="2" t="s">
        <v>3346</v>
      </c>
      <c r="C571">
        <v>22.99</v>
      </c>
      <c r="D571">
        <v>6.29</v>
      </c>
      <c r="E571" t="s">
        <v>2344</v>
      </c>
      <c r="F571" t="s">
        <v>2344</v>
      </c>
      <c r="G571" t="s">
        <v>2344</v>
      </c>
      <c r="H571">
        <v>1</v>
      </c>
      <c r="I571" t="s">
        <v>2346</v>
      </c>
      <c r="J571" t="str">
        <f t="shared" si="32"/>
        <v>Normal Weight</v>
      </c>
      <c r="K571" t="str">
        <f t="shared" si="36"/>
        <v>Prediabetes</v>
      </c>
      <c r="L571">
        <v>7</v>
      </c>
      <c r="M571" t="s">
        <v>2360</v>
      </c>
      <c r="N571">
        <v>1973</v>
      </c>
      <c r="O571" s="8">
        <f t="shared" si="34"/>
        <v>26975</v>
      </c>
      <c r="P571" s="10">
        <v>4985.22</v>
      </c>
      <c r="Q571" t="s">
        <v>2357</v>
      </c>
      <c r="R571" t="s">
        <v>2358</v>
      </c>
      <c r="S571" t="s">
        <v>2359</v>
      </c>
      <c r="T571">
        <f t="shared" ca="1" si="35"/>
        <v>53</v>
      </c>
      <c r="U571">
        <f>VLOOKUP($A571,'Medical Examination'!$A:$Z,2,FALSE)</f>
        <v>22.99</v>
      </c>
    </row>
    <row r="572" spans="1:21" ht="15.5" x14ac:dyDescent="0.35">
      <c r="A572" s="2" t="s">
        <v>572</v>
      </c>
      <c r="B572" s="2" t="s">
        <v>3347</v>
      </c>
      <c r="C572">
        <v>29.07</v>
      </c>
      <c r="D572">
        <v>5.12</v>
      </c>
      <c r="E572" t="s">
        <v>2344</v>
      </c>
      <c r="F572" t="s">
        <v>2344</v>
      </c>
      <c r="G572" t="s">
        <v>2346</v>
      </c>
      <c r="H572">
        <v>1</v>
      </c>
      <c r="I572" t="s">
        <v>2346</v>
      </c>
      <c r="J572" t="str">
        <f t="shared" si="32"/>
        <v>Over weight</v>
      </c>
      <c r="K572" t="str">
        <f t="shared" si="36"/>
        <v>Normal</v>
      </c>
      <c r="L572">
        <v>24</v>
      </c>
      <c r="M572" t="s">
        <v>2362</v>
      </c>
      <c r="N572">
        <v>1988</v>
      </c>
      <c r="O572" s="8">
        <f t="shared" si="34"/>
        <v>32318</v>
      </c>
      <c r="P572" s="10">
        <v>4992.38</v>
      </c>
      <c r="Q572" t="s">
        <v>2357</v>
      </c>
      <c r="R572" t="s">
        <v>2358</v>
      </c>
      <c r="S572" t="s">
        <v>2374</v>
      </c>
      <c r="T572">
        <f t="shared" ca="1" si="35"/>
        <v>38</v>
      </c>
      <c r="U572">
        <f>VLOOKUP($A572,'Medical Examination'!$A:$Z,2,FALSE)</f>
        <v>29.07</v>
      </c>
    </row>
    <row r="573" spans="1:21" ht="15.5" x14ac:dyDescent="0.35">
      <c r="A573" s="2" t="s">
        <v>573</v>
      </c>
      <c r="B573" s="2" t="s">
        <v>3348</v>
      </c>
      <c r="C573">
        <v>42.02</v>
      </c>
      <c r="D573">
        <v>9.9499999999999993</v>
      </c>
      <c r="E573" t="s">
        <v>2346</v>
      </c>
      <c r="F573" t="s">
        <v>2344</v>
      </c>
      <c r="G573" t="s">
        <v>2346</v>
      </c>
      <c r="H573">
        <v>1</v>
      </c>
      <c r="I573" t="s">
        <v>2344</v>
      </c>
      <c r="J573" t="str">
        <f t="shared" si="32"/>
        <v>Obesity</v>
      </c>
      <c r="K573" t="str">
        <f t="shared" si="36"/>
        <v>Diabetes</v>
      </c>
      <c r="L573">
        <v>5</v>
      </c>
      <c r="M573" t="s">
        <v>2367</v>
      </c>
      <c r="N573">
        <v>2001</v>
      </c>
      <c r="O573" s="8">
        <f t="shared" si="34"/>
        <v>37169</v>
      </c>
      <c r="P573" s="10">
        <v>4999.04</v>
      </c>
      <c r="Q573" t="s">
        <v>2357</v>
      </c>
      <c r="R573" t="s">
        <v>2357</v>
      </c>
      <c r="S573" t="s">
        <v>2368</v>
      </c>
      <c r="T573">
        <f t="shared" ca="1" si="35"/>
        <v>25</v>
      </c>
      <c r="U573">
        <f>VLOOKUP($A573,'Medical Examination'!$A:$Z,2,FALSE)</f>
        <v>42.02</v>
      </c>
    </row>
    <row r="574" spans="1:21" ht="15.5" x14ac:dyDescent="0.35">
      <c r="A574" s="2" t="s">
        <v>574</v>
      </c>
      <c r="B574" s="2" t="s">
        <v>3349</v>
      </c>
      <c r="C574">
        <v>49.07</v>
      </c>
      <c r="D574">
        <v>9.08</v>
      </c>
      <c r="E574" t="s">
        <v>2346</v>
      </c>
      <c r="F574" t="s">
        <v>2344</v>
      </c>
      <c r="G574" t="s">
        <v>2344</v>
      </c>
      <c r="H574">
        <v>1</v>
      </c>
      <c r="I574" t="s">
        <v>2344</v>
      </c>
      <c r="J574" t="str">
        <f t="shared" si="32"/>
        <v>Obesity</v>
      </c>
      <c r="K574" t="str">
        <f t="shared" si="36"/>
        <v>Diabetes</v>
      </c>
      <c r="L574">
        <v>4</v>
      </c>
      <c r="M574" t="s">
        <v>2363</v>
      </c>
      <c r="N574">
        <v>1988</v>
      </c>
      <c r="O574" s="8">
        <f t="shared" si="34"/>
        <v>32390</v>
      </c>
      <c r="P574" s="10">
        <v>5002.78</v>
      </c>
      <c r="Q574" t="s">
        <v>2357</v>
      </c>
      <c r="R574" t="s">
        <v>2357</v>
      </c>
      <c r="S574" t="s">
        <v>2359</v>
      </c>
      <c r="T574">
        <f t="shared" ca="1" si="35"/>
        <v>38</v>
      </c>
      <c r="U574">
        <f>VLOOKUP($A574,'Medical Examination'!$A:$Z,2,FALSE)</f>
        <v>49.07</v>
      </c>
    </row>
    <row r="575" spans="1:21" ht="15.5" x14ac:dyDescent="0.35">
      <c r="A575" s="2" t="s">
        <v>575</v>
      </c>
      <c r="B575" s="2" t="s">
        <v>3351</v>
      </c>
      <c r="C575">
        <v>19.8</v>
      </c>
      <c r="D575">
        <v>4.82</v>
      </c>
      <c r="E575" t="s">
        <v>2344</v>
      </c>
      <c r="F575" t="s">
        <v>2344</v>
      </c>
      <c r="G575" t="s">
        <v>2344</v>
      </c>
      <c r="H575">
        <v>0</v>
      </c>
      <c r="I575" t="s">
        <v>2346</v>
      </c>
      <c r="J575" t="str">
        <f t="shared" si="32"/>
        <v>Normal Weight</v>
      </c>
      <c r="K575" t="str">
        <f t="shared" si="36"/>
        <v>Normal</v>
      </c>
      <c r="L575">
        <v>9</v>
      </c>
      <c r="M575" t="s">
        <v>2362</v>
      </c>
      <c r="N575">
        <v>1977</v>
      </c>
      <c r="O575" s="8">
        <f t="shared" si="34"/>
        <v>28285</v>
      </c>
      <c r="P575" s="10">
        <v>5003.7700000000004</v>
      </c>
      <c r="Q575" t="s">
        <v>2357</v>
      </c>
      <c r="R575" t="s">
        <v>2358</v>
      </c>
      <c r="S575" t="s">
        <v>2359</v>
      </c>
      <c r="T575">
        <f t="shared" ca="1" si="35"/>
        <v>49</v>
      </c>
      <c r="U575">
        <f>VLOOKUP($A575,'Medical Examination'!$A:$Z,2,FALSE)</f>
        <v>19.8</v>
      </c>
    </row>
    <row r="576" spans="1:21" ht="15.5" x14ac:dyDescent="0.35">
      <c r="A576" s="2" t="s">
        <v>576</v>
      </c>
      <c r="B576" s="2" t="s">
        <v>3352</v>
      </c>
      <c r="C576">
        <v>27.36</v>
      </c>
      <c r="D576">
        <v>4.6500000000000004</v>
      </c>
      <c r="E576" t="s">
        <v>2344</v>
      </c>
      <c r="F576" t="s">
        <v>2345</v>
      </c>
      <c r="G576" t="s">
        <v>2344</v>
      </c>
      <c r="H576">
        <v>1</v>
      </c>
      <c r="I576" t="s">
        <v>2346</v>
      </c>
      <c r="J576" t="str">
        <f t="shared" si="32"/>
        <v>Over weight</v>
      </c>
      <c r="K576" t="str">
        <f t="shared" si="36"/>
        <v>Normal</v>
      </c>
      <c r="L576">
        <v>8</v>
      </c>
      <c r="M576" t="s">
        <v>2356</v>
      </c>
      <c r="N576">
        <v>1988</v>
      </c>
      <c r="O576" s="8">
        <f t="shared" si="34"/>
        <v>32332</v>
      </c>
      <c r="P576" s="10">
        <v>5003.8500000000004</v>
      </c>
      <c r="Q576" t="s">
        <v>2357</v>
      </c>
      <c r="R576" t="s">
        <v>2358</v>
      </c>
      <c r="S576" t="s">
        <v>2368</v>
      </c>
      <c r="T576">
        <f t="shared" ca="1" si="35"/>
        <v>38</v>
      </c>
      <c r="U576">
        <f>VLOOKUP($A576,'Medical Examination'!$A:$Z,2,FALSE)</f>
        <v>27.36</v>
      </c>
    </row>
    <row r="577" spans="1:21" ht="15.5" x14ac:dyDescent="0.35">
      <c r="A577" s="2" t="s">
        <v>577</v>
      </c>
      <c r="B577" s="2" t="s">
        <v>3354</v>
      </c>
      <c r="C577">
        <v>42.95</v>
      </c>
      <c r="D577">
        <v>5.16</v>
      </c>
      <c r="E577" t="s">
        <v>2346</v>
      </c>
      <c r="F577" t="s">
        <v>2344</v>
      </c>
      <c r="G577" t="s">
        <v>2344</v>
      </c>
      <c r="H577">
        <v>1</v>
      </c>
      <c r="I577" t="s">
        <v>2344</v>
      </c>
      <c r="J577" t="str">
        <f t="shared" si="32"/>
        <v>Obesity</v>
      </c>
      <c r="K577" t="str">
        <f t="shared" si="36"/>
        <v>Normal</v>
      </c>
      <c r="L577">
        <v>9</v>
      </c>
      <c r="M577" t="s">
        <v>2360</v>
      </c>
      <c r="N577">
        <v>1988</v>
      </c>
      <c r="O577" s="8">
        <f t="shared" si="34"/>
        <v>32456</v>
      </c>
      <c r="P577" s="10">
        <v>5012.47</v>
      </c>
      <c r="Q577" t="s">
        <v>2357</v>
      </c>
      <c r="R577" t="s">
        <v>2358</v>
      </c>
      <c r="S577" t="s">
        <v>2368</v>
      </c>
      <c r="T577">
        <f t="shared" ca="1" si="35"/>
        <v>38</v>
      </c>
      <c r="U577">
        <f>VLOOKUP($A577,'Medical Examination'!$A:$Z,2,FALSE)</f>
        <v>42.95</v>
      </c>
    </row>
    <row r="578" spans="1:21" ht="15.5" x14ac:dyDescent="0.35">
      <c r="A578" s="2" t="s">
        <v>578</v>
      </c>
      <c r="B578" s="2" t="s">
        <v>3355</v>
      </c>
      <c r="C578">
        <v>42.66</v>
      </c>
      <c r="D578">
        <v>10.44</v>
      </c>
      <c r="E578" t="s">
        <v>2344</v>
      </c>
      <c r="F578" t="s">
        <v>2344</v>
      </c>
      <c r="G578" t="s">
        <v>2344</v>
      </c>
      <c r="H578">
        <v>0</v>
      </c>
      <c r="I578" t="s">
        <v>2344</v>
      </c>
      <c r="J578" t="str">
        <f t="shared" si="32"/>
        <v>Obesity</v>
      </c>
      <c r="K578" t="str">
        <f t="shared" si="36"/>
        <v>Diabetes</v>
      </c>
      <c r="L578">
        <v>28</v>
      </c>
      <c r="M578" t="s">
        <v>2365</v>
      </c>
      <c r="N578">
        <v>1985</v>
      </c>
      <c r="O578" s="8">
        <f t="shared" si="34"/>
        <v>31409</v>
      </c>
      <c r="P578" s="10">
        <v>5028.1499999999996</v>
      </c>
      <c r="Q578" t="s">
        <v>2361</v>
      </c>
      <c r="R578" t="s">
        <v>2357</v>
      </c>
      <c r="S578" t="s">
        <v>2364</v>
      </c>
      <c r="T578">
        <f t="shared" ca="1" si="35"/>
        <v>41</v>
      </c>
      <c r="U578">
        <f>VLOOKUP($A578,'Medical Examination'!$A:$Z,2,FALSE)</f>
        <v>42.66</v>
      </c>
    </row>
    <row r="579" spans="1:21" ht="15.5" x14ac:dyDescent="0.35">
      <c r="A579" s="2" t="s">
        <v>579</v>
      </c>
      <c r="B579" s="2" t="s">
        <v>3356</v>
      </c>
      <c r="C579">
        <v>33.630000000000003</v>
      </c>
      <c r="D579">
        <v>5.69</v>
      </c>
      <c r="E579" t="s">
        <v>2344</v>
      </c>
      <c r="F579" t="s">
        <v>2344</v>
      </c>
      <c r="G579" t="s">
        <v>2344</v>
      </c>
      <c r="H579">
        <v>1</v>
      </c>
      <c r="I579" t="s">
        <v>2344</v>
      </c>
      <c r="J579" t="str">
        <f t="shared" ref="J579:J642" si="37">IF(C579&lt;18.5,"Under Weight",IF(C579&lt;25,"Normal Weight",IF(C579&lt;30,"Over weight","Obesity")))</f>
        <v>Obesity</v>
      </c>
      <c r="K579" t="str">
        <f t="shared" si="36"/>
        <v>Normal</v>
      </c>
      <c r="L579">
        <v>10</v>
      </c>
      <c r="M579" t="s">
        <v>2363</v>
      </c>
      <c r="N579">
        <v>1991</v>
      </c>
      <c r="O579" s="8">
        <f t="shared" ref="O579:O642" si="38">DATE(N579,MONTH(1&amp;M579),L579)</f>
        <v>33491</v>
      </c>
      <c r="P579" s="10">
        <v>5031.2700000000004</v>
      </c>
      <c r="Q579" t="s">
        <v>2358</v>
      </c>
      <c r="R579" t="s">
        <v>2361</v>
      </c>
      <c r="S579" t="s">
        <v>2371</v>
      </c>
      <c r="T579">
        <f t="shared" ref="T579:T642" ca="1" si="39">YEAR(TODAY())-YEAR(O579)</f>
        <v>35</v>
      </c>
      <c r="U579">
        <f>VLOOKUP($A579,'Medical Examination'!$A:$Z,2,FALSE)</f>
        <v>33.630000000000003</v>
      </c>
    </row>
    <row r="580" spans="1:21" ht="15.5" x14ac:dyDescent="0.35">
      <c r="A580" s="2" t="s">
        <v>580</v>
      </c>
      <c r="B580" s="2" t="s">
        <v>3358</v>
      </c>
      <c r="C580">
        <v>26.84</v>
      </c>
      <c r="D580">
        <v>6.5</v>
      </c>
      <c r="E580" t="s">
        <v>2344</v>
      </c>
      <c r="F580" t="s">
        <v>2344</v>
      </c>
      <c r="G580" t="s">
        <v>2344</v>
      </c>
      <c r="H580">
        <v>0</v>
      </c>
      <c r="I580" t="s">
        <v>2346</v>
      </c>
      <c r="J580" t="str">
        <f t="shared" si="37"/>
        <v>Over weight</v>
      </c>
      <c r="K580" t="str">
        <f t="shared" si="36"/>
        <v>Diabetes</v>
      </c>
      <c r="L580">
        <v>29</v>
      </c>
      <c r="M580" t="s">
        <v>2362</v>
      </c>
      <c r="N580">
        <v>1986</v>
      </c>
      <c r="O580" s="8">
        <f t="shared" si="38"/>
        <v>31592</v>
      </c>
      <c r="P580" s="10">
        <v>5034.1000000000004</v>
      </c>
      <c r="Q580" t="s">
        <v>2357</v>
      </c>
      <c r="R580" t="s">
        <v>2357</v>
      </c>
      <c r="S580" t="s">
        <v>2359</v>
      </c>
      <c r="T580">
        <f t="shared" ca="1" si="39"/>
        <v>40</v>
      </c>
      <c r="U580">
        <f>VLOOKUP($A580,'Medical Examination'!$A:$Z,2,FALSE)</f>
        <v>26.84</v>
      </c>
    </row>
    <row r="581" spans="1:21" ht="15.5" x14ac:dyDescent="0.35">
      <c r="A581" s="2" t="s">
        <v>581</v>
      </c>
      <c r="B581" s="2" t="s">
        <v>3360</v>
      </c>
      <c r="C581">
        <v>28.3</v>
      </c>
      <c r="D581">
        <v>5.73</v>
      </c>
      <c r="E581" t="s">
        <v>2344</v>
      </c>
      <c r="F581" t="s">
        <v>2344</v>
      </c>
      <c r="G581" t="s">
        <v>2346</v>
      </c>
      <c r="H581">
        <v>1</v>
      </c>
      <c r="I581" t="s">
        <v>2346</v>
      </c>
      <c r="J581" t="str">
        <f t="shared" si="37"/>
        <v>Over weight</v>
      </c>
      <c r="K581" t="str">
        <f t="shared" si="36"/>
        <v>Prediabetes</v>
      </c>
      <c r="L581">
        <v>4</v>
      </c>
      <c r="M581" t="s">
        <v>2365</v>
      </c>
      <c r="N581">
        <v>1997</v>
      </c>
      <c r="O581" s="8">
        <f t="shared" si="38"/>
        <v>35768</v>
      </c>
      <c r="P581" s="10">
        <v>5038.57</v>
      </c>
      <c r="Q581" t="s">
        <v>2357</v>
      </c>
      <c r="R581" t="s">
        <v>2357</v>
      </c>
      <c r="S581" t="s">
        <v>2373</v>
      </c>
      <c r="T581">
        <f t="shared" ca="1" si="39"/>
        <v>29</v>
      </c>
      <c r="U581">
        <f>VLOOKUP($A581,'Medical Examination'!$A:$Z,2,FALSE)</f>
        <v>28.3</v>
      </c>
    </row>
    <row r="582" spans="1:21" ht="15.5" x14ac:dyDescent="0.35">
      <c r="A582" s="2" t="s">
        <v>582</v>
      </c>
      <c r="B582" s="2" t="s">
        <v>3362</v>
      </c>
      <c r="C582">
        <v>27.06</v>
      </c>
      <c r="D582">
        <v>5.74</v>
      </c>
      <c r="E582" t="s">
        <v>2346</v>
      </c>
      <c r="F582" t="s">
        <v>2344</v>
      </c>
      <c r="G582" t="s">
        <v>2344</v>
      </c>
      <c r="H582">
        <v>0</v>
      </c>
      <c r="I582" t="s">
        <v>2346</v>
      </c>
      <c r="J582" t="str">
        <f t="shared" si="37"/>
        <v>Over weight</v>
      </c>
      <c r="K582" t="str">
        <f t="shared" si="36"/>
        <v>Prediabetes</v>
      </c>
      <c r="L582">
        <v>16</v>
      </c>
      <c r="M582" t="s">
        <v>2367</v>
      </c>
      <c r="N582">
        <v>2001</v>
      </c>
      <c r="O582" s="8">
        <f t="shared" si="38"/>
        <v>37180</v>
      </c>
      <c r="P582" s="10">
        <v>5043.13</v>
      </c>
      <c r="Q582" t="s">
        <v>2357</v>
      </c>
      <c r="R582" t="s">
        <v>2358</v>
      </c>
      <c r="S582" t="s">
        <v>2368</v>
      </c>
      <c r="T582">
        <f t="shared" ca="1" si="39"/>
        <v>25</v>
      </c>
      <c r="U582">
        <f>VLOOKUP($A582,'Medical Examination'!$A:$Z,2,FALSE)</f>
        <v>27.06</v>
      </c>
    </row>
    <row r="583" spans="1:21" ht="15.5" x14ac:dyDescent="0.35">
      <c r="A583" s="2" t="s">
        <v>583</v>
      </c>
      <c r="B583" s="2" t="s">
        <v>3364</v>
      </c>
      <c r="C583">
        <v>47.13</v>
      </c>
      <c r="D583">
        <v>8.6999999999999993</v>
      </c>
      <c r="E583" t="s">
        <v>2344</v>
      </c>
      <c r="F583" t="s">
        <v>2344</v>
      </c>
      <c r="G583" t="s">
        <v>2344</v>
      </c>
      <c r="H583">
        <v>0</v>
      </c>
      <c r="I583" t="s">
        <v>2344</v>
      </c>
      <c r="J583" t="str">
        <f t="shared" si="37"/>
        <v>Obesity</v>
      </c>
      <c r="K583" t="str">
        <f t="shared" si="36"/>
        <v>Diabetes</v>
      </c>
      <c r="L583">
        <v>29</v>
      </c>
      <c r="M583" t="s">
        <v>2356</v>
      </c>
      <c r="N583">
        <v>1997</v>
      </c>
      <c r="O583" s="8">
        <f t="shared" si="38"/>
        <v>35640</v>
      </c>
      <c r="P583" s="10">
        <v>5045.1499999999996</v>
      </c>
      <c r="Q583" t="s">
        <v>2357</v>
      </c>
      <c r="R583" t="s">
        <v>2357</v>
      </c>
      <c r="S583" t="s">
        <v>2364</v>
      </c>
      <c r="T583">
        <f t="shared" ca="1" si="39"/>
        <v>29</v>
      </c>
      <c r="U583">
        <f>VLOOKUP($A583,'Medical Examination'!$A:$Z,2,FALSE)</f>
        <v>47.13</v>
      </c>
    </row>
    <row r="584" spans="1:21" ht="15.5" x14ac:dyDescent="0.35">
      <c r="A584" s="2" t="s">
        <v>584</v>
      </c>
      <c r="B584" s="2" t="s">
        <v>3365</v>
      </c>
      <c r="C584">
        <v>51.72</v>
      </c>
      <c r="D584">
        <v>5.09</v>
      </c>
      <c r="E584" t="s">
        <v>2344</v>
      </c>
      <c r="F584" t="s">
        <v>2344</v>
      </c>
      <c r="G584" t="s">
        <v>2344</v>
      </c>
      <c r="H584">
        <v>0</v>
      </c>
      <c r="I584" t="s">
        <v>2344</v>
      </c>
      <c r="J584" t="str">
        <f t="shared" si="37"/>
        <v>Obesity</v>
      </c>
      <c r="K584" t="str">
        <f t="shared" si="36"/>
        <v>Normal</v>
      </c>
      <c r="L584">
        <v>7</v>
      </c>
      <c r="M584" t="s">
        <v>2363</v>
      </c>
      <c r="N584">
        <v>1980</v>
      </c>
      <c r="O584" s="8">
        <f t="shared" si="38"/>
        <v>29471</v>
      </c>
      <c r="P584" s="10">
        <v>5054.05</v>
      </c>
      <c r="Q584" t="s">
        <v>2357</v>
      </c>
      <c r="R584" t="s">
        <v>2357</v>
      </c>
      <c r="S584" t="s">
        <v>2359</v>
      </c>
      <c r="T584">
        <f t="shared" ca="1" si="39"/>
        <v>46</v>
      </c>
      <c r="U584">
        <f>VLOOKUP($A584,'Medical Examination'!$A:$Z,2,FALSE)</f>
        <v>51.72</v>
      </c>
    </row>
    <row r="585" spans="1:21" ht="15.5" x14ac:dyDescent="0.35">
      <c r="A585" s="2" t="s">
        <v>585</v>
      </c>
      <c r="B585" s="2" t="s">
        <v>3367</v>
      </c>
      <c r="C585">
        <v>48.59</v>
      </c>
      <c r="D585">
        <v>5.57</v>
      </c>
      <c r="E585" t="s">
        <v>2344</v>
      </c>
      <c r="F585" t="s">
        <v>2344</v>
      </c>
      <c r="G585" t="s">
        <v>2344</v>
      </c>
      <c r="H585">
        <v>0</v>
      </c>
      <c r="I585" t="s">
        <v>2344</v>
      </c>
      <c r="J585" t="str">
        <f t="shared" si="37"/>
        <v>Obesity</v>
      </c>
      <c r="K585" t="str">
        <f t="shared" si="36"/>
        <v>Normal</v>
      </c>
      <c r="L585">
        <v>11</v>
      </c>
      <c r="M585" t="s">
        <v>2362</v>
      </c>
      <c r="N585">
        <v>1993</v>
      </c>
      <c r="O585" s="8">
        <f t="shared" si="38"/>
        <v>34131</v>
      </c>
      <c r="P585" s="10">
        <v>5059.5600000000004</v>
      </c>
      <c r="Q585" t="s">
        <v>2357</v>
      </c>
      <c r="R585" t="s">
        <v>2361</v>
      </c>
      <c r="S585" t="s">
        <v>2377</v>
      </c>
      <c r="T585">
        <f t="shared" ca="1" si="39"/>
        <v>33</v>
      </c>
      <c r="U585">
        <f>VLOOKUP($A585,'Medical Examination'!$A:$Z,2,FALSE)</f>
        <v>48.59</v>
      </c>
    </row>
    <row r="586" spans="1:21" ht="15.5" x14ac:dyDescent="0.35">
      <c r="A586" s="2" t="s">
        <v>586</v>
      </c>
      <c r="B586" s="2" t="s">
        <v>3368</v>
      </c>
      <c r="C586">
        <v>45.18</v>
      </c>
      <c r="D586">
        <v>10.87</v>
      </c>
      <c r="E586" t="s">
        <v>2344</v>
      </c>
      <c r="F586" t="s">
        <v>2344</v>
      </c>
      <c r="G586" t="s">
        <v>2344</v>
      </c>
      <c r="H586">
        <v>0</v>
      </c>
      <c r="I586" t="s">
        <v>2344</v>
      </c>
      <c r="J586" t="str">
        <f t="shared" si="37"/>
        <v>Obesity</v>
      </c>
      <c r="K586" t="str">
        <f t="shared" si="36"/>
        <v>Diabetes</v>
      </c>
      <c r="L586">
        <v>22</v>
      </c>
      <c r="M586" t="s">
        <v>2360</v>
      </c>
      <c r="N586">
        <v>1978</v>
      </c>
      <c r="O586" s="8">
        <f t="shared" si="38"/>
        <v>28816</v>
      </c>
      <c r="P586" s="10">
        <v>5077.1899999999996</v>
      </c>
      <c r="Q586" t="s">
        <v>2357</v>
      </c>
      <c r="R586" t="s">
        <v>2358</v>
      </c>
      <c r="S586" t="s">
        <v>2364</v>
      </c>
      <c r="T586">
        <f t="shared" ca="1" si="39"/>
        <v>48</v>
      </c>
      <c r="U586">
        <f>VLOOKUP($A586,'Medical Examination'!$A:$Z,2,FALSE)</f>
        <v>45.18</v>
      </c>
    </row>
    <row r="587" spans="1:21" ht="15.5" x14ac:dyDescent="0.35">
      <c r="A587" s="2" t="s">
        <v>587</v>
      </c>
      <c r="B587" s="2" t="s">
        <v>3370</v>
      </c>
      <c r="C587">
        <v>27.9</v>
      </c>
      <c r="D587">
        <v>6.02</v>
      </c>
      <c r="E587" t="s">
        <v>2344</v>
      </c>
      <c r="F587" t="s">
        <v>2344</v>
      </c>
      <c r="G587" t="s">
        <v>2346</v>
      </c>
      <c r="H587">
        <v>1</v>
      </c>
      <c r="I587" t="s">
        <v>2346</v>
      </c>
      <c r="J587" t="str">
        <f t="shared" si="37"/>
        <v>Over weight</v>
      </c>
      <c r="K587" t="str">
        <f t="shared" si="36"/>
        <v>Prediabetes</v>
      </c>
      <c r="L587">
        <v>14</v>
      </c>
      <c r="M587" t="s">
        <v>2356</v>
      </c>
      <c r="N587">
        <v>1997</v>
      </c>
      <c r="O587" s="8">
        <f t="shared" si="38"/>
        <v>35625</v>
      </c>
      <c r="P587" s="10">
        <v>5080.1000000000004</v>
      </c>
      <c r="Q587" t="s">
        <v>2358</v>
      </c>
      <c r="R587" t="s">
        <v>2357</v>
      </c>
      <c r="S587" t="s">
        <v>2368</v>
      </c>
      <c r="T587">
        <f t="shared" ca="1" si="39"/>
        <v>29</v>
      </c>
      <c r="U587">
        <f>VLOOKUP($A587,'Medical Examination'!$A:$Z,2,FALSE)</f>
        <v>27.9</v>
      </c>
    </row>
    <row r="588" spans="1:21" ht="15.5" x14ac:dyDescent="0.35">
      <c r="A588" s="2" t="s">
        <v>588</v>
      </c>
      <c r="B588" s="2" t="s">
        <v>3371</v>
      </c>
      <c r="C588">
        <v>51.33</v>
      </c>
      <c r="D588" t="s">
        <v>2346</v>
      </c>
      <c r="E588" t="s">
        <v>2344</v>
      </c>
      <c r="F588" t="s">
        <v>2344</v>
      </c>
      <c r="G588" t="s">
        <v>2344</v>
      </c>
      <c r="H588">
        <v>0</v>
      </c>
      <c r="I588" t="s">
        <v>2344</v>
      </c>
      <c r="J588" t="str">
        <f t="shared" si="37"/>
        <v>Obesity</v>
      </c>
      <c r="K588" t="str">
        <f t="shared" ref="K588:K651" si="40">IF(D588&lt;5.7,"Normal",IF(D588&lt;6.5,"Prediabetes","Diabetes"))</f>
        <v>Diabetes</v>
      </c>
      <c r="L588">
        <v>19</v>
      </c>
      <c r="M588" t="s">
        <v>2362</v>
      </c>
      <c r="N588">
        <v>1999</v>
      </c>
      <c r="O588" s="8">
        <f t="shared" si="38"/>
        <v>36330</v>
      </c>
      <c r="P588" s="10">
        <v>5087.92</v>
      </c>
      <c r="Q588" t="s">
        <v>2357</v>
      </c>
      <c r="R588" t="s">
        <v>2357</v>
      </c>
      <c r="S588" t="s">
        <v>2380</v>
      </c>
      <c r="T588">
        <f t="shared" ca="1" si="39"/>
        <v>27</v>
      </c>
      <c r="U588">
        <f>VLOOKUP($A588,'Medical Examination'!$A:$Z,2,FALSE)</f>
        <v>51.33</v>
      </c>
    </row>
    <row r="589" spans="1:21" ht="15.5" x14ac:dyDescent="0.35">
      <c r="A589" s="2" t="s">
        <v>589</v>
      </c>
      <c r="B589" s="2" t="s">
        <v>3373</v>
      </c>
      <c r="C589">
        <v>30.59</v>
      </c>
      <c r="D589">
        <v>5.56</v>
      </c>
      <c r="E589" t="s">
        <v>2346</v>
      </c>
      <c r="F589" t="s">
        <v>2344</v>
      </c>
      <c r="G589" t="s">
        <v>2344</v>
      </c>
      <c r="H589">
        <v>1</v>
      </c>
      <c r="I589" t="s">
        <v>2344</v>
      </c>
      <c r="J589" t="str">
        <f t="shared" si="37"/>
        <v>Obesity</v>
      </c>
      <c r="K589" t="str">
        <f t="shared" si="40"/>
        <v>Normal</v>
      </c>
      <c r="L589">
        <v>18</v>
      </c>
      <c r="M589" t="s">
        <v>2360</v>
      </c>
      <c r="N589">
        <v>1987</v>
      </c>
      <c r="O589" s="8">
        <f t="shared" si="38"/>
        <v>32099</v>
      </c>
      <c r="P589" s="10">
        <v>5116.5</v>
      </c>
      <c r="Q589" t="s">
        <v>2357</v>
      </c>
      <c r="R589" t="s">
        <v>2357</v>
      </c>
      <c r="S589" t="s">
        <v>2364</v>
      </c>
      <c r="T589">
        <f t="shared" ca="1" si="39"/>
        <v>39</v>
      </c>
      <c r="U589">
        <f>VLOOKUP($A589,'Medical Examination'!$A:$Z,2,FALSE)</f>
        <v>30.59</v>
      </c>
    </row>
    <row r="590" spans="1:21" ht="15.5" x14ac:dyDescent="0.35">
      <c r="A590" s="2" t="s">
        <v>590</v>
      </c>
      <c r="B590" s="2" t="s">
        <v>2568</v>
      </c>
      <c r="C590">
        <v>39.229999999999997</v>
      </c>
      <c r="D590">
        <v>8.4499999999999993</v>
      </c>
      <c r="E590" t="s">
        <v>2344</v>
      </c>
      <c r="F590" t="s">
        <v>2344</v>
      </c>
      <c r="G590" t="s">
        <v>2344</v>
      </c>
      <c r="H590">
        <v>0</v>
      </c>
      <c r="I590" t="s">
        <v>2344</v>
      </c>
      <c r="J590" t="str">
        <f t="shared" si="37"/>
        <v>Obesity</v>
      </c>
      <c r="K590" t="str">
        <f t="shared" si="40"/>
        <v>Diabetes</v>
      </c>
      <c r="L590">
        <v>1</v>
      </c>
      <c r="M590" t="s">
        <v>2360</v>
      </c>
      <c r="N590">
        <v>1988</v>
      </c>
      <c r="O590" s="8">
        <f t="shared" si="38"/>
        <v>32448</v>
      </c>
      <c r="P590" s="10">
        <v>5124.1899999999996</v>
      </c>
      <c r="Q590" t="s">
        <v>2357</v>
      </c>
      <c r="R590" t="s">
        <v>2358</v>
      </c>
      <c r="S590" t="s">
        <v>2359</v>
      </c>
      <c r="T590">
        <f t="shared" ca="1" si="39"/>
        <v>38</v>
      </c>
      <c r="U590">
        <f>VLOOKUP($A590,'Medical Examination'!$A:$Z,2,FALSE)</f>
        <v>39.229999999999997</v>
      </c>
    </row>
    <row r="591" spans="1:21" ht="15.5" x14ac:dyDescent="0.35">
      <c r="A591" s="2" t="s">
        <v>591</v>
      </c>
      <c r="B591" s="2" t="s">
        <v>3376</v>
      </c>
      <c r="C591">
        <v>19.094999999999999</v>
      </c>
      <c r="D591">
        <v>6.19</v>
      </c>
      <c r="E591" t="s">
        <v>2344</v>
      </c>
      <c r="F591" t="s">
        <v>2344</v>
      </c>
      <c r="G591" t="s">
        <v>2344</v>
      </c>
      <c r="H591">
        <v>0</v>
      </c>
      <c r="I591" t="s">
        <v>2346</v>
      </c>
      <c r="J591" t="str">
        <f t="shared" si="37"/>
        <v>Normal Weight</v>
      </c>
      <c r="K591" t="str">
        <f t="shared" si="40"/>
        <v>Prediabetes</v>
      </c>
      <c r="L591">
        <v>13</v>
      </c>
      <c r="M591" t="s">
        <v>2363</v>
      </c>
      <c r="N591">
        <v>1987</v>
      </c>
      <c r="O591" s="8">
        <f t="shared" si="38"/>
        <v>32033</v>
      </c>
      <c r="P591" s="10">
        <v>5125.22</v>
      </c>
      <c r="Q591" t="s">
        <v>2361</v>
      </c>
      <c r="R591" t="s">
        <v>2357</v>
      </c>
      <c r="S591" t="s">
        <v>2364</v>
      </c>
      <c r="T591">
        <f t="shared" ca="1" si="39"/>
        <v>39</v>
      </c>
      <c r="U591">
        <f>VLOOKUP($A591,'Medical Examination'!$A:$Z,2,FALSE)</f>
        <v>19.094999999999999</v>
      </c>
    </row>
    <row r="592" spans="1:21" ht="15.5" x14ac:dyDescent="0.35">
      <c r="A592" s="2" t="s">
        <v>592</v>
      </c>
      <c r="B592" s="2" t="s">
        <v>3378</v>
      </c>
      <c r="C592">
        <v>49.72</v>
      </c>
      <c r="D592">
        <v>7.71</v>
      </c>
      <c r="E592" t="s">
        <v>2344</v>
      </c>
      <c r="F592" t="s">
        <v>2344</v>
      </c>
      <c r="G592" t="s">
        <v>2344</v>
      </c>
      <c r="H592">
        <v>0</v>
      </c>
      <c r="I592" t="s">
        <v>2344</v>
      </c>
      <c r="J592" t="str">
        <f t="shared" si="37"/>
        <v>Obesity</v>
      </c>
      <c r="K592" t="str">
        <f t="shared" si="40"/>
        <v>Diabetes</v>
      </c>
      <c r="L592">
        <v>15</v>
      </c>
      <c r="M592" t="s">
        <v>2363</v>
      </c>
      <c r="N592">
        <v>1988</v>
      </c>
      <c r="O592" s="8">
        <f t="shared" si="38"/>
        <v>32401</v>
      </c>
      <c r="P592" s="10">
        <v>5136.75</v>
      </c>
      <c r="Q592" t="s">
        <v>2357</v>
      </c>
      <c r="R592" t="s">
        <v>2361</v>
      </c>
      <c r="S592" t="s">
        <v>2359</v>
      </c>
      <c r="T592">
        <f t="shared" ca="1" si="39"/>
        <v>38</v>
      </c>
      <c r="U592">
        <f>VLOOKUP($A592,'Medical Examination'!$A:$Z,2,FALSE)</f>
        <v>49.72</v>
      </c>
    </row>
    <row r="593" spans="1:21" ht="15.5" x14ac:dyDescent="0.35">
      <c r="A593" s="2" t="s">
        <v>593</v>
      </c>
      <c r="B593" s="2" t="s">
        <v>2545</v>
      </c>
      <c r="C593">
        <v>21.754999999999999</v>
      </c>
      <c r="D593">
        <v>4.63</v>
      </c>
      <c r="E593" t="s">
        <v>2344</v>
      </c>
      <c r="F593" t="s">
        <v>2344</v>
      </c>
      <c r="G593" t="s">
        <v>2346</v>
      </c>
      <c r="H593">
        <v>1</v>
      </c>
      <c r="I593" t="s">
        <v>2346</v>
      </c>
      <c r="J593" t="str">
        <f t="shared" si="37"/>
        <v>Normal Weight</v>
      </c>
      <c r="K593" t="str">
        <f t="shared" si="40"/>
        <v>Normal</v>
      </c>
      <c r="L593">
        <v>10</v>
      </c>
      <c r="M593" t="s">
        <v>2365</v>
      </c>
      <c r="N593">
        <v>1993</v>
      </c>
      <c r="O593" s="8">
        <f t="shared" si="38"/>
        <v>34313</v>
      </c>
      <c r="P593" s="10">
        <v>5138.26</v>
      </c>
      <c r="Q593" t="s">
        <v>2357</v>
      </c>
      <c r="R593" t="s">
        <v>2357</v>
      </c>
      <c r="S593" t="s">
        <v>2359</v>
      </c>
      <c r="T593">
        <f t="shared" ca="1" si="39"/>
        <v>33</v>
      </c>
      <c r="U593">
        <f>VLOOKUP($A593,'Medical Examination'!$A:$Z,2,FALSE)</f>
        <v>21.754999999999999</v>
      </c>
    </row>
    <row r="594" spans="1:21" ht="15.5" x14ac:dyDescent="0.35">
      <c r="A594" s="2" t="s">
        <v>594</v>
      </c>
      <c r="B594" s="2" t="s">
        <v>3380</v>
      </c>
      <c r="C594">
        <v>48.39</v>
      </c>
      <c r="D594">
        <v>4.6100000000000003</v>
      </c>
      <c r="E594" t="s">
        <v>2344</v>
      </c>
      <c r="F594" t="s">
        <v>2344</v>
      </c>
      <c r="G594" t="s">
        <v>2344</v>
      </c>
      <c r="H594">
        <v>0</v>
      </c>
      <c r="I594" t="s">
        <v>2344</v>
      </c>
      <c r="J594" t="str">
        <f t="shared" si="37"/>
        <v>Obesity</v>
      </c>
      <c r="K594" t="str">
        <f t="shared" si="40"/>
        <v>Normal</v>
      </c>
      <c r="L594">
        <v>22</v>
      </c>
      <c r="M594" t="s">
        <v>2366</v>
      </c>
      <c r="N594">
        <v>1984</v>
      </c>
      <c r="O594" s="8">
        <f t="shared" si="38"/>
        <v>30916</v>
      </c>
      <c r="P594" s="10">
        <v>5144.18</v>
      </c>
      <c r="Q594" t="s">
        <v>2357</v>
      </c>
      <c r="R594" t="s">
        <v>2361</v>
      </c>
      <c r="S594" t="s">
        <v>2359</v>
      </c>
      <c r="T594">
        <f t="shared" ca="1" si="39"/>
        <v>42</v>
      </c>
      <c r="U594">
        <f>VLOOKUP($A594,'Medical Examination'!$A:$Z,2,FALSE)</f>
        <v>48.39</v>
      </c>
    </row>
    <row r="595" spans="1:21" ht="15.5" x14ac:dyDescent="0.35">
      <c r="A595" s="2" t="s">
        <v>595</v>
      </c>
      <c r="B595" s="2" t="s">
        <v>3382</v>
      </c>
      <c r="C595">
        <v>47.15</v>
      </c>
      <c r="D595">
        <v>9.5299999999999994</v>
      </c>
      <c r="E595" t="s">
        <v>2346</v>
      </c>
      <c r="F595" t="s">
        <v>2344</v>
      </c>
      <c r="G595" t="s">
        <v>2344</v>
      </c>
      <c r="H595">
        <v>1</v>
      </c>
      <c r="I595" t="s">
        <v>2344</v>
      </c>
      <c r="J595" t="str">
        <f t="shared" si="37"/>
        <v>Obesity</v>
      </c>
      <c r="K595" t="str">
        <f t="shared" si="40"/>
        <v>Diabetes</v>
      </c>
      <c r="L595">
        <v>22</v>
      </c>
      <c r="M595" t="s">
        <v>2366</v>
      </c>
      <c r="N595">
        <v>1990</v>
      </c>
      <c r="O595" s="8">
        <f t="shared" si="38"/>
        <v>33107</v>
      </c>
      <c r="P595" s="10">
        <v>5148.55</v>
      </c>
      <c r="Q595" t="s">
        <v>2357</v>
      </c>
      <c r="R595" t="s">
        <v>2357</v>
      </c>
      <c r="S595" t="s">
        <v>2374</v>
      </c>
      <c r="T595">
        <f t="shared" ca="1" si="39"/>
        <v>36</v>
      </c>
      <c r="U595">
        <f>VLOOKUP($A595,'Medical Examination'!$A:$Z,2,FALSE)</f>
        <v>47.15</v>
      </c>
    </row>
    <row r="596" spans="1:21" ht="15.5" x14ac:dyDescent="0.35">
      <c r="A596" s="2" t="s">
        <v>596</v>
      </c>
      <c r="B596" s="2" t="s">
        <v>3383</v>
      </c>
      <c r="C596">
        <v>47.59</v>
      </c>
      <c r="D596">
        <v>11.43</v>
      </c>
      <c r="E596" t="s">
        <v>2346</v>
      </c>
      <c r="F596" t="s">
        <v>2344</v>
      </c>
      <c r="G596" t="s">
        <v>2344</v>
      </c>
      <c r="H596">
        <v>1</v>
      </c>
      <c r="I596" t="s">
        <v>2344</v>
      </c>
      <c r="J596" t="str">
        <f t="shared" si="37"/>
        <v>Obesity</v>
      </c>
      <c r="K596" t="str">
        <f t="shared" si="40"/>
        <v>Diabetes</v>
      </c>
      <c r="L596">
        <v>9</v>
      </c>
      <c r="M596" t="s">
        <v>2367</v>
      </c>
      <c r="N596">
        <v>1990</v>
      </c>
      <c r="O596" s="8">
        <f t="shared" si="38"/>
        <v>33155</v>
      </c>
      <c r="P596" s="10">
        <v>5152.13</v>
      </c>
      <c r="Q596" t="s">
        <v>2357</v>
      </c>
      <c r="R596" t="s">
        <v>2357</v>
      </c>
      <c r="S596" t="s">
        <v>2368</v>
      </c>
      <c r="T596">
        <f t="shared" ca="1" si="39"/>
        <v>36</v>
      </c>
      <c r="U596">
        <f>VLOOKUP($A596,'Medical Examination'!$A:$Z,2,FALSE)</f>
        <v>47.59</v>
      </c>
    </row>
    <row r="597" spans="1:21" ht="15.5" x14ac:dyDescent="0.35">
      <c r="A597" s="2" t="s">
        <v>597</v>
      </c>
      <c r="B597" s="2" t="s">
        <v>3385</v>
      </c>
      <c r="C597">
        <v>39.81</v>
      </c>
      <c r="D597">
        <v>7.65</v>
      </c>
      <c r="E597" t="s">
        <v>2346</v>
      </c>
      <c r="F597" t="s">
        <v>2344</v>
      </c>
      <c r="G597" t="s">
        <v>2346</v>
      </c>
      <c r="H597">
        <v>1</v>
      </c>
      <c r="I597" t="s">
        <v>2344</v>
      </c>
      <c r="J597" t="str">
        <f t="shared" si="37"/>
        <v>Obesity</v>
      </c>
      <c r="K597" t="str">
        <f t="shared" si="40"/>
        <v>Diabetes</v>
      </c>
      <c r="L597">
        <v>29</v>
      </c>
      <c r="M597" t="s">
        <v>2366</v>
      </c>
      <c r="N597">
        <v>1991</v>
      </c>
      <c r="O597" s="8">
        <f t="shared" si="38"/>
        <v>33479</v>
      </c>
      <c r="P597" s="10">
        <v>5166.96</v>
      </c>
      <c r="Q597" t="s">
        <v>2357</v>
      </c>
      <c r="R597" t="s">
        <v>2357</v>
      </c>
      <c r="S597" t="s">
        <v>2364</v>
      </c>
      <c r="T597">
        <f t="shared" ca="1" si="39"/>
        <v>35</v>
      </c>
      <c r="U597">
        <f>VLOOKUP($A597,'Medical Examination'!$A:$Z,2,FALSE)</f>
        <v>39.81</v>
      </c>
    </row>
    <row r="598" spans="1:21" ht="15.5" x14ac:dyDescent="0.35">
      <c r="A598" s="2" t="s">
        <v>598</v>
      </c>
      <c r="B598" s="2" t="s">
        <v>3387</v>
      </c>
      <c r="C598">
        <v>31.02</v>
      </c>
      <c r="D598">
        <v>5.87</v>
      </c>
      <c r="E598" t="s">
        <v>2346</v>
      </c>
      <c r="F598" t="s">
        <v>2344</v>
      </c>
      <c r="G598" t="s">
        <v>2344</v>
      </c>
      <c r="H598">
        <v>0</v>
      </c>
      <c r="I598" t="s">
        <v>2344</v>
      </c>
      <c r="J598" t="str">
        <f t="shared" si="37"/>
        <v>Obesity</v>
      </c>
      <c r="K598" t="str">
        <f t="shared" si="40"/>
        <v>Prediabetes</v>
      </c>
      <c r="L598">
        <v>16</v>
      </c>
      <c r="M598" t="s">
        <v>2367</v>
      </c>
      <c r="N598">
        <v>1984</v>
      </c>
      <c r="O598" s="8">
        <f t="shared" si="38"/>
        <v>30971</v>
      </c>
      <c r="P598" s="10">
        <v>5177.12</v>
      </c>
      <c r="Q598" t="s">
        <v>2357</v>
      </c>
      <c r="R598" t="s">
        <v>2361</v>
      </c>
      <c r="S598" t="s">
        <v>2359</v>
      </c>
      <c r="T598">
        <f t="shared" ca="1" si="39"/>
        <v>42</v>
      </c>
      <c r="U598">
        <f>VLOOKUP($A598,'Medical Examination'!$A:$Z,2,FALSE)</f>
        <v>31.02</v>
      </c>
    </row>
    <row r="599" spans="1:21" ht="15.5" x14ac:dyDescent="0.35">
      <c r="A599" s="2" t="s">
        <v>599</v>
      </c>
      <c r="B599" s="2" t="s">
        <v>3389</v>
      </c>
      <c r="C599">
        <v>24.75</v>
      </c>
      <c r="D599">
        <v>4.3600000000000003</v>
      </c>
      <c r="E599" t="s">
        <v>2346</v>
      </c>
      <c r="F599" t="s">
        <v>2344</v>
      </c>
      <c r="G599" t="s">
        <v>2344</v>
      </c>
      <c r="H599">
        <v>1</v>
      </c>
      <c r="I599" t="s">
        <v>2346</v>
      </c>
      <c r="J599" t="str">
        <f t="shared" si="37"/>
        <v>Normal Weight</v>
      </c>
      <c r="K599" t="str">
        <f t="shared" si="40"/>
        <v>Normal</v>
      </c>
      <c r="L599">
        <v>12</v>
      </c>
      <c r="M599" t="s">
        <v>2363</v>
      </c>
      <c r="N599">
        <v>1979</v>
      </c>
      <c r="O599" s="8">
        <f t="shared" si="38"/>
        <v>29110</v>
      </c>
      <c r="P599" s="10">
        <v>5195.58</v>
      </c>
      <c r="Q599" t="s">
        <v>2357</v>
      </c>
      <c r="R599" t="s">
        <v>2357</v>
      </c>
      <c r="S599" t="s">
        <v>2359</v>
      </c>
      <c r="T599">
        <f t="shared" ca="1" si="39"/>
        <v>47</v>
      </c>
      <c r="U599">
        <f>VLOOKUP($A599,'Medical Examination'!$A:$Z,2,FALSE)</f>
        <v>24.75</v>
      </c>
    </row>
    <row r="600" spans="1:21" ht="15.5" x14ac:dyDescent="0.35">
      <c r="A600" s="2" t="s">
        <v>600</v>
      </c>
      <c r="B600" s="2" t="s">
        <v>3390</v>
      </c>
      <c r="C600">
        <v>30.114999999999998</v>
      </c>
      <c r="D600">
        <v>10.119999999999999</v>
      </c>
      <c r="E600" t="s">
        <v>2344</v>
      </c>
      <c r="F600" t="s">
        <v>2344</v>
      </c>
      <c r="G600" t="s">
        <v>2344</v>
      </c>
      <c r="H600">
        <v>1</v>
      </c>
      <c r="I600" t="s">
        <v>2344</v>
      </c>
      <c r="J600" t="str">
        <f t="shared" si="37"/>
        <v>Obesity</v>
      </c>
      <c r="K600" t="str">
        <f t="shared" si="40"/>
        <v>Diabetes</v>
      </c>
      <c r="L600">
        <v>6</v>
      </c>
      <c r="M600" t="s">
        <v>2362</v>
      </c>
      <c r="N600">
        <v>2004</v>
      </c>
      <c r="O600" s="8">
        <f t="shared" si="38"/>
        <v>38144</v>
      </c>
      <c r="P600" s="10">
        <v>5198.6899999999996</v>
      </c>
      <c r="Q600" t="s">
        <v>2357</v>
      </c>
      <c r="R600" t="s">
        <v>2357</v>
      </c>
      <c r="S600" t="s">
        <v>2381</v>
      </c>
      <c r="T600">
        <f t="shared" ca="1" si="39"/>
        <v>22</v>
      </c>
      <c r="U600">
        <f>VLOOKUP($A600,'Medical Examination'!$A:$Z,2,FALSE)</f>
        <v>30.114999999999998</v>
      </c>
    </row>
    <row r="601" spans="1:21" ht="15.5" x14ac:dyDescent="0.35">
      <c r="A601" s="2" t="s">
        <v>601</v>
      </c>
      <c r="B601" s="2" t="s">
        <v>3392</v>
      </c>
      <c r="C601">
        <v>26.03</v>
      </c>
      <c r="D601">
        <v>4.01</v>
      </c>
      <c r="E601" t="s">
        <v>2344</v>
      </c>
      <c r="F601" t="s">
        <v>2344</v>
      </c>
      <c r="G601" t="s">
        <v>2346</v>
      </c>
      <c r="H601">
        <v>1</v>
      </c>
      <c r="I601" t="s">
        <v>2346</v>
      </c>
      <c r="J601" t="str">
        <f t="shared" si="37"/>
        <v>Over weight</v>
      </c>
      <c r="K601" t="str">
        <f t="shared" si="40"/>
        <v>Normal</v>
      </c>
      <c r="L601">
        <v>24</v>
      </c>
      <c r="M601" t="s">
        <v>2367</v>
      </c>
      <c r="N601">
        <v>1983</v>
      </c>
      <c r="O601" s="8">
        <f t="shared" si="38"/>
        <v>30613</v>
      </c>
      <c r="P601" s="10">
        <v>5207.97</v>
      </c>
      <c r="Q601" t="s">
        <v>2357</v>
      </c>
      <c r="R601" t="s">
        <v>2357</v>
      </c>
      <c r="S601" t="s">
        <v>2364</v>
      </c>
      <c r="T601">
        <f t="shared" ca="1" si="39"/>
        <v>43</v>
      </c>
      <c r="U601">
        <f>VLOOKUP($A601,'Medical Examination'!$A:$Z,2,FALSE)</f>
        <v>26.03</v>
      </c>
    </row>
    <row r="602" spans="1:21" ht="15.5" x14ac:dyDescent="0.35">
      <c r="A602" s="2" t="s">
        <v>602</v>
      </c>
      <c r="B602" s="2" t="s">
        <v>3394</v>
      </c>
      <c r="C602">
        <v>20.045000000000002</v>
      </c>
      <c r="D602">
        <v>4.7699999999999996</v>
      </c>
      <c r="E602" t="s">
        <v>2346</v>
      </c>
      <c r="F602" t="s">
        <v>2344</v>
      </c>
      <c r="G602" t="s">
        <v>2344</v>
      </c>
      <c r="H602">
        <v>1</v>
      </c>
      <c r="I602" t="s">
        <v>2346</v>
      </c>
      <c r="J602" t="str">
        <f t="shared" si="37"/>
        <v>Normal Weight</v>
      </c>
      <c r="K602" t="str">
        <f t="shared" si="40"/>
        <v>Normal</v>
      </c>
      <c r="L602">
        <v>17</v>
      </c>
      <c r="M602" t="s">
        <v>2362</v>
      </c>
      <c r="N602">
        <v>1993</v>
      </c>
      <c r="O602" s="8">
        <f t="shared" si="38"/>
        <v>34137</v>
      </c>
      <c r="P602" s="10">
        <v>5209.58</v>
      </c>
      <c r="Q602" t="s">
        <v>2358</v>
      </c>
      <c r="R602" t="s">
        <v>2358</v>
      </c>
      <c r="S602" t="s">
        <v>2378</v>
      </c>
      <c r="T602">
        <f t="shared" ca="1" si="39"/>
        <v>33</v>
      </c>
      <c r="U602">
        <f>VLOOKUP($A602,'Medical Examination'!$A:$Z,2,FALSE)</f>
        <v>20.045000000000002</v>
      </c>
    </row>
    <row r="603" spans="1:21" ht="15.5" x14ac:dyDescent="0.35">
      <c r="A603" s="2" t="s">
        <v>603</v>
      </c>
      <c r="B603" s="2" t="s">
        <v>3395</v>
      </c>
      <c r="C603">
        <v>40.24</v>
      </c>
      <c r="D603">
        <v>6.83</v>
      </c>
      <c r="E603" t="s">
        <v>2344</v>
      </c>
      <c r="F603" t="s">
        <v>2344</v>
      </c>
      <c r="G603" t="s">
        <v>2344</v>
      </c>
      <c r="H603">
        <v>0</v>
      </c>
      <c r="I603" t="s">
        <v>2344</v>
      </c>
      <c r="J603" t="str">
        <f t="shared" si="37"/>
        <v>Obesity</v>
      </c>
      <c r="K603" t="str">
        <f t="shared" si="40"/>
        <v>Diabetes</v>
      </c>
      <c r="L603">
        <v>1</v>
      </c>
      <c r="M603" t="s">
        <v>2365</v>
      </c>
      <c r="N603">
        <v>1999</v>
      </c>
      <c r="O603" s="8">
        <f t="shared" si="38"/>
        <v>36495</v>
      </c>
      <c r="P603" s="10">
        <v>5213.22</v>
      </c>
      <c r="Q603" t="s">
        <v>2357</v>
      </c>
      <c r="R603" t="s">
        <v>2361</v>
      </c>
      <c r="S603" t="s">
        <v>2364</v>
      </c>
      <c r="T603">
        <f t="shared" ca="1" si="39"/>
        <v>27</v>
      </c>
      <c r="U603">
        <f>VLOOKUP($A603,'Medical Examination'!$A:$Z,2,FALSE)</f>
        <v>40.24</v>
      </c>
    </row>
    <row r="604" spans="1:21" ht="15.5" x14ac:dyDescent="0.35">
      <c r="A604" s="2" t="s">
        <v>604</v>
      </c>
      <c r="B604" s="2" t="s">
        <v>3396</v>
      </c>
      <c r="C604">
        <v>43.15</v>
      </c>
      <c r="D604">
        <v>6.14</v>
      </c>
      <c r="E604" t="s">
        <v>2346</v>
      </c>
      <c r="F604" t="s">
        <v>2344</v>
      </c>
      <c r="G604" t="s">
        <v>2346</v>
      </c>
      <c r="H604">
        <v>1</v>
      </c>
      <c r="I604" t="s">
        <v>2344</v>
      </c>
      <c r="J604" t="str">
        <f t="shared" si="37"/>
        <v>Obesity</v>
      </c>
      <c r="K604" t="str">
        <f t="shared" si="40"/>
        <v>Prediabetes</v>
      </c>
      <c r="L604">
        <v>6</v>
      </c>
      <c r="M604" t="s">
        <v>2362</v>
      </c>
      <c r="N604">
        <v>1995</v>
      </c>
      <c r="O604" s="8">
        <f t="shared" si="38"/>
        <v>34856</v>
      </c>
      <c r="P604" s="10">
        <v>5216.4799999999996</v>
      </c>
      <c r="Q604" t="s">
        <v>2357</v>
      </c>
      <c r="R604" t="s">
        <v>2357</v>
      </c>
      <c r="S604" t="s">
        <v>2373</v>
      </c>
      <c r="T604">
        <f t="shared" ca="1" si="39"/>
        <v>31</v>
      </c>
      <c r="U604">
        <f>VLOOKUP($A604,'Medical Examination'!$A:$Z,2,FALSE)</f>
        <v>43.15</v>
      </c>
    </row>
    <row r="605" spans="1:21" ht="15.5" x14ac:dyDescent="0.35">
      <c r="A605" s="2" t="s">
        <v>605</v>
      </c>
      <c r="B605" s="2" t="s">
        <v>3397</v>
      </c>
      <c r="C605">
        <v>27.7</v>
      </c>
      <c r="D605">
        <v>5.6</v>
      </c>
      <c r="E605" t="s">
        <v>2344</v>
      </c>
      <c r="F605" t="s">
        <v>2344</v>
      </c>
      <c r="G605" t="s">
        <v>2346</v>
      </c>
      <c r="H605">
        <v>1</v>
      </c>
      <c r="I605" t="s">
        <v>2346</v>
      </c>
      <c r="J605" t="str">
        <f t="shared" si="37"/>
        <v>Over weight</v>
      </c>
      <c r="K605" t="str">
        <f t="shared" si="40"/>
        <v>Normal</v>
      </c>
      <c r="L605">
        <v>29</v>
      </c>
      <c r="M605" t="s">
        <v>2362</v>
      </c>
      <c r="N605">
        <v>1987</v>
      </c>
      <c r="O605" s="8">
        <f t="shared" si="38"/>
        <v>31957</v>
      </c>
      <c r="P605" s="10">
        <v>5227.99</v>
      </c>
      <c r="Q605" t="s">
        <v>2357</v>
      </c>
      <c r="R605" t="s">
        <v>2361</v>
      </c>
      <c r="S605" t="s">
        <v>2374</v>
      </c>
      <c r="T605">
        <f t="shared" ca="1" si="39"/>
        <v>39</v>
      </c>
      <c r="U605">
        <f>VLOOKUP($A605,'Medical Examination'!$A:$Z,2,FALSE)</f>
        <v>27.7</v>
      </c>
    </row>
    <row r="606" spans="1:21" ht="15.5" x14ac:dyDescent="0.35">
      <c r="A606" s="2" t="s">
        <v>606</v>
      </c>
      <c r="B606" s="2" t="s">
        <v>2639</v>
      </c>
      <c r="C606">
        <v>45.68</v>
      </c>
      <c r="D606">
        <v>4.8</v>
      </c>
      <c r="E606" t="s">
        <v>2344</v>
      </c>
      <c r="F606" t="s">
        <v>2344</v>
      </c>
      <c r="G606" t="s">
        <v>2344</v>
      </c>
      <c r="H606">
        <v>1</v>
      </c>
      <c r="I606" t="s">
        <v>2344</v>
      </c>
      <c r="J606" t="str">
        <f t="shared" si="37"/>
        <v>Obesity</v>
      </c>
      <c r="K606" t="str">
        <f t="shared" si="40"/>
        <v>Normal</v>
      </c>
      <c r="L606">
        <v>26</v>
      </c>
      <c r="M606" t="s">
        <v>2365</v>
      </c>
      <c r="N606">
        <v>1987</v>
      </c>
      <c r="O606" s="8">
        <f t="shared" si="38"/>
        <v>32137</v>
      </c>
      <c r="P606" s="10">
        <v>5240.7700000000004</v>
      </c>
      <c r="Q606" t="s">
        <v>2357</v>
      </c>
      <c r="R606" t="s">
        <v>2357</v>
      </c>
      <c r="S606" t="s">
        <v>2368</v>
      </c>
      <c r="T606">
        <f t="shared" ca="1" si="39"/>
        <v>39</v>
      </c>
      <c r="U606">
        <f>VLOOKUP($A606,'Medical Examination'!$A:$Z,2,FALSE)</f>
        <v>45.68</v>
      </c>
    </row>
    <row r="607" spans="1:21" ht="15.5" x14ac:dyDescent="0.35">
      <c r="A607" s="2" t="s">
        <v>607</v>
      </c>
      <c r="B607" s="2" t="s">
        <v>3398</v>
      </c>
      <c r="C607">
        <v>27.3</v>
      </c>
      <c r="D607">
        <v>11.89</v>
      </c>
      <c r="E607" t="s">
        <v>2344</v>
      </c>
      <c r="F607" t="s">
        <v>2344</v>
      </c>
      <c r="G607" t="s">
        <v>2344</v>
      </c>
      <c r="H607">
        <v>0</v>
      </c>
      <c r="I607" t="s">
        <v>2346</v>
      </c>
      <c r="J607" t="str">
        <f t="shared" si="37"/>
        <v>Over weight</v>
      </c>
      <c r="K607" t="str">
        <f t="shared" si="40"/>
        <v>Diabetes</v>
      </c>
      <c r="L607">
        <v>5</v>
      </c>
      <c r="M607" t="s">
        <v>2356</v>
      </c>
      <c r="N607">
        <v>1987</v>
      </c>
      <c r="O607" s="8">
        <f t="shared" si="38"/>
        <v>31963</v>
      </c>
      <c r="P607" s="10">
        <v>5245.23</v>
      </c>
      <c r="Q607" t="s">
        <v>2357</v>
      </c>
      <c r="R607" t="s">
        <v>2357</v>
      </c>
      <c r="S607" t="s">
        <v>2359</v>
      </c>
      <c r="T607">
        <f t="shared" ca="1" si="39"/>
        <v>39</v>
      </c>
      <c r="U607">
        <f>VLOOKUP($A607,'Medical Examination'!$A:$Z,2,FALSE)</f>
        <v>27.3</v>
      </c>
    </row>
    <row r="608" spans="1:21" ht="15.5" x14ac:dyDescent="0.35">
      <c r="A608" s="2" t="s">
        <v>608</v>
      </c>
      <c r="B608" s="2" t="s">
        <v>3399</v>
      </c>
      <c r="C608">
        <v>54.45</v>
      </c>
      <c r="D608">
        <v>4.7300000000000004</v>
      </c>
      <c r="E608" t="s">
        <v>2346</v>
      </c>
      <c r="F608" t="s">
        <v>2344</v>
      </c>
      <c r="G608" t="s">
        <v>2344</v>
      </c>
      <c r="H608">
        <v>1</v>
      </c>
      <c r="I608" t="s">
        <v>2344</v>
      </c>
      <c r="J608" t="str">
        <f t="shared" si="37"/>
        <v>Obesity</v>
      </c>
      <c r="K608" t="str">
        <f t="shared" si="40"/>
        <v>Normal</v>
      </c>
      <c r="L608">
        <v>9</v>
      </c>
      <c r="M608" t="s">
        <v>2363</v>
      </c>
      <c r="N608">
        <v>1987</v>
      </c>
      <c r="O608" s="8">
        <f t="shared" si="38"/>
        <v>32029</v>
      </c>
      <c r="P608" s="10">
        <v>5246.05</v>
      </c>
      <c r="Q608" t="s">
        <v>2357</v>
      </c>
      <c r="R608" t="s">
        <v>2358</v>
      </c>
      <c r="S608" t="s">
        <v>2368</v>
      </c>
      <c r="T608">
        <f t="shared" ca="1" si="39"/>
        <v>39</v>
      </c>
      <c r="U608">
        <f>VLOOKUP($A608,'Medical Examination'!$A:$Z,2,FALSE)</f>
        <v>54.45</v>
      </c>
    </row>
    <row r="609" spans="1:21" ht="15.5" x14ac:dyDescent="0.35">
      <c r="A609" s="2" t="s">
        <v>609</v>
      </c>
      <c r="B609" s="2" t="s">
        <v>3401</v>
      </c>
      <c r="C609">
        <v>54.43</v>
      </c>
      <c r="D609">
        <v>4.6100000000000003</v>
      </c>
      <c r="E609" t="s">
        <v>2346</v>
      </c>
      <c r="F609" t="s">
        <v>2344</v>
      </c>
      <c r="G609" t="s">
        <v>2344</v>
      </c>
      <c r="H609">
        <v>1</v>
      </c>
      <c r="I609" t="s">
        <v>2344</v>
      </c>
      <c r="J609" t="str">
        <f t="shared" si="37"/>
        <v>Obesity</v>
      </c>
      <c r="K609" t="str">
        <f t="shared" si="40"/>
        <v>Normal</v>
      </c>
      <c r="L609">
        <v>6</v>
      </c>
      <c r="M609" t="s">
        <v>2356</v>
      </c>
      <c r="N609">
        <v>1990</v>
      </c>
      <c r="O609" s="8">
        <f t="shared" si="38"/>
        <v>33060</v>
      </c>
      <c r="P609" s="10">
        <v>5253.52</v>
      </c>
      <c r="Q609" t="s">
        <v>2358</v>
      </c>
      <c r="R609" t="s">
        <v>2358</v>
      </c>
      <c r="S609" t="s">
        <v>2368</v>
      </c>
      <c r="T609">
        <f t="shared" ca="1" si="39"/>
        <v>36</v>
      </c>
      <c r="U609">
        <f>VLOOKUP($A609,'Medical Examination'!$A:$Z,2,FALSE)</f>
        <v>54.43</v>
      </c>
    </row>
    <row r="610" spans="1:21" ht="15.5" x14ac:dyDescent="0.35">
      <c r="A610" s="2" t="s">
        <v>610</v>
      </c>
      <c r="B610" s="2" t="s">
        <v>3402</v>
      </c>
      <c r="C610">
        <v>48.01</v>
      </c>
      <c r="D610">
        <v>7.3</v>
      </c>
      <c r="E610" t="s">
        <v>2344</v>
      </c>
      <c r="F610" t="s">
        <v>2344</v>
      </c>
      <c r="G610" t="s">
        <v>2344</v>
      </c>
      <c r="H610">
        <v>0</v>
      </c>
      <c r="I610" t="s">
        <v>2344</v>
      </c>
      <c r="J610" t="str">
        <f t="shared" si="37"/>
        <v>Obesity</v>
      </c>
      <c r="K610" t="str">
        <f t="shared" si="40"/>
        <v>Diabetes</v>
      </c>
      <c r="L610">
        <v>25</v>
      </c>
      <c r="M610" t="s">
        <v>2360</v>
      </c>
      <c r="N610">
        <v>1989</v>
      </c>
      <c r="O610" s="8">
        <f t="shared" si="38"/>
        <v>32837</v>
      </c>
      <c r="P610" s="10">
        <v>5257.51</v>
      </c>
      <c r="Q610" t="s">
        <v>2357</v>
      </c>
      <c r="R610" t="s">
        <v>2357</v>
      </c>
      <c r="S610" t="s">
        <v>2364</v>
      </c>
      <c r="T610">
        <f t="shared" ca="1" si="39"/>
        <v>37</v>
      </c>
      <c r="U610">
        <f>VLOOKUP($A610,'Medical Examination'!$A:$Z,2,FALSE)</f>
        <v>48.01</v>
      </c>
    </row>
    <row r="611" spans="1:21" ht="15.5" x14ac:dyDescent="0.35">
      <c r="A611" s="2" t="s">
        <v>611</v>
      </c>
      <c r="B611" s="2" t="s">
        <v>3403</v>
      </c>
      <c r="C611">
        <v>48.32</v>
      </c>
      <c r="D611">
        <v>5.88</v>
      </c>
      <c r="E611" t="s">
        <v>2344</v>
      </c>
      <c r="F611" t="s">
        <v>2344</v>
      </c>
      <c r="G611" t="s">
        <v>2344</v>
      </c>
      <c r="H611">
        <v>0</v>
      </c>
      <c r="I611" t="s">
        <v>2344</v>
      </c>
      <c r="J611" t="str">
        <f t="shared" si="37"/>
        <v>Obesity</v>
      </c>
      <c r="K611" t="str">
        <f t="shared" si="40"/>
        <v>Prediabetes</v>
      </c>
      <c r="L611">
        <v>19</v>
      </c>
      <c r="M611" t="s">
        <v>2356</v>
      </c>
      <c r="N611">
        <v>1989</v>
      </c>
      <c r="O611" s="8">
        <f t="shared" si="38"/>
        <v>32708</v>
      </c>
      <c r="P611" s="10">
        <v>5261.47</v>
      </c>
      <c r="Q611" t="s">
        <v>2357</v>
      </c>
      <c r="R611" t="s">
        <v>2357</v>
      </c>
      <c r="S611" t="s">
        <v>2364</v>
      </c>
      <c r="T611">
        <f t="shared" ca="1" si="39"/>
        <v>37</v>
      </c>
      <c r="U611">
        <f>VLOOKUP($A611,'Medical Examination'!$A:$Z,2,FALSE)</f>
        <v>48.32</v>
      </c>
    </row>
    <row r="612" spans="1:21" ht="15.5" x14ac:dyDescent="0.35">
      <c r="A612" s="2" t="s">
        <v>612</v>
      </c>
      <c r="B612" s="2" t="s">
        <v>3405</v>
      </c>
      <c r="C612">
        <v>22.895</v>
      </c>
      <c r="D612">
        <v>4.0599999999999996</v>
      </c>
      <c r="E612" t="s">
        <v>2344</v>
      </c>
      <c r="F612" t="s">
        <v>2344</v>
      </c>
      <c r="G612" t="s">
        <v>2346</v>
      </c>
      <c r="H612">
        <v>1</v>
      </c>
      <c r="I612" t="s">
        <v>2346</v>
      </c>
      <c r="J612" t="str">
        <f t="shared" si="37"/>
        <v>Normal Weight</v>
      </c>
      <c r="K612" t="str">
        <f t="shared" si="40"/>
        <v>Normal</v>
      </c>
      <c r="L612">
        <v>25</v>
      </c>
      <c r="M612" t="s">
        <v>2367</v>
      </c>
      <c r="N612">
        <v>1986</v>
      </c>
      <c r="O612" s="8">
        <f t="shared" si="38"/>
        <v>31710</v>
      </c>
      <c r="P612" s="10">
        <v>5266.37</v>
      </c>
      <c r="Q612" t="s">
        <v>2357</v>
      </c>
      <c r="R612" t="s">
        <v>2357</v>
      </c>
      <c r="S612" t="s">
        <v>2364</v>
      </c>
      <c r="T612">
        <f t="shared" ca="1" si="39"/>
        <v>40</v>
      </c>
      <c r="U612">
        <f>VLOOKUP($A612,'Medical Examination'!$A:$Z,2,FALSE)</f>
        <v>22.895</v>
      </c>
    </row>
    <row r="613" spans="1:21" ht="15.5" x14ac:dyDescent="0.35">
      <c r="A613" s="2" t="s">
        <v>613</v>
      </c>
      <c r="B613" s="2" t="s">
        <v>3407</v>
      </c>
      <c r="C613">
        <v>54.85</v>
      </c>
      <c r="D613">
        <v>4.9000000000000004</v>
      </c>
      <c r="E613" t="s">
        <v>2344</v>
      </c>
      <c r="F613" t="s">
        <v>2344</v>
      </c>
      <c r="G613" t="s">
        <v>2344</v>
      </c>
      <c r="H613">
        <v>1</v>
      </c>
      <c r="I613" t="s">
        <v>2344</v>
      </c>
      <c r="J613" t="str">
        <f t="shared" si="37"/>
        <v>Obesity</v>
      </c>
      <c r="K613" t="str">
        <f t="shared" si="40"/>
        <v>Normal</v>
      </c>
      <c r="L613">
        <v>20</v>
      </c>
      <c r="M613" t="s">
        <v>2363</v>
      </c>
      <c r="N613">
        <v>1986</v>
      </c>
      <c r="O613" s="8">
        <f t="shared" si="38"/>
        <v>31675</v>
      </c>
      <c r="P613" s="10">
        <v>5267.82</v>
      </c>
      <c r="Q613" t="s">
        <v>2357</v>
      </c>
      <c r="R613" t="s">
        <v>2357</v>
      </c>
      <c r="S613" t="s">
        <v>2364</v>
      </c>
      <c r="T613">
        <f t="shared" ca="1" si="39"/>
        <v>40</v>
      </c>
      <c r="U613">
        <f>VLOOKUP($A613,'Medical Examination'!$A:$Z,2,FALSE)</f>
        <v>54.85</v>
      </c>
    </row>
    <row r="614" spans="1:21" ht="15.5" x14ac:dyDescent="0.35">
      <c r="A614" s="2" t="s">
        <v>614</v>
      </c>
      <c r="B614" s="2" t="s">
        <v>3408</v>
      </c>
      <c r="C614">
        <v>21.85</v>
      </c>
      <c r="D614">
        <v>5.52</v>
      </c>
      <c r="E614" t="s">
        <v>2344</v>
      </c>
      <c r="F614" t="s">
        <v>2344</v>
      </c>
      <c r="G614" t="s">
        <v>2346</v>
      </c>
      <c r="H614">
        <v>1</v>
      </c>
      <c r="I614" t="s">
        <v>2346</v>
      </c>
      <c r="J614" t="str">
        <f t="shared" si="37"/>
        <v>Normal Weight</v>
      </c>
      <c r="K614" t="str">
        <f t="shared" si="40"/>
        <v>Normal</v>
      </c>
      <c r="L614">
        <v>20</v>
      </c>
      <c r="M614" t="s">
        <v>2367</v>
      </c>
      <c r="N614">
        <v>1986</v>
      </c>
      <c r="O614" s="8">
        <f t="shared" si="38"/>
        <v>31705</v>
      </c>
      <c r="P614" s="10">
        <v>5272.18</v>
      </c>
      <c r="Q614" t="s">
        <v>2357</v>
      </c>
      <c r="R614" t="s">
        <v>2358</v>
      </c>
      <c r="S614" t="s">
        <v>2364</v>
      </c>
      <c r="T614">
        <f t="shared" ca="1" si="39"/>
        <v>40</v>
      </c>
      <c r="U614">
        <f>VLOOKUP($A614,'Medical Examination'!$A:$Z,2,FALSE)</f>
        <v>21.85</v>
      </c>
    </row>
    <row r="615" spans="1:21" ht="15.5" x14ac:dyDescent="0.35">
      <c r="A615" s="2" t="s">
        <v>615</v>
      </c>
      <c r="B615" s="2" t="s">
        <v>3410</v>
      </c>
      <c r="C615">
        <v>51.86</v>
      </c>
      <c r="D615">
        <v>5.2</v>
      </c>
      <c r="E615" t="s">
        <v>2346</v>
      </c>
      <c r="F615" t="s">
        <v>2344</v>
      </c>
      <c r="G615" t="s">
        <v>2344</v>
      </c>
      <c r="H615">
        <v>0</v>
      </c>
      <c r="I615" t="s">
        <v>2344</v>
      </c>
      <c r="J615" t="str">
        <f t="shared" si="37"/>
        <v>Obesity</v>
      </c>
      <c r="K615" t="str">
        <f t="shared" si="40"/>
        <v>Normal</v>
      </c>
      <c r="L615">
        <v>1</v>
      </c>
      <c r="M615" t="s">
        <v>2363</v>
      </c>
      <c r="N615">
        <v>1987</v>
      </c>
      <c r="O615" s="8">
        <f t="shared" si="38"/>
        <v>32021</v>
      </c>
      <c r="P615" s="10">
        <v>5275.86</v>
      </c>
      <c r="Q615" t="s">
        <v>2357</v>
      </c>
      <c r="R615" t="s">
        <v>2357</v>
      </c>
      <c r="S615" t="s">
        <v>2359</v>
      </c>
      <c r="T615">
        <f t="shared" ca="1" si="39"/>
        <v>39</v>
      </c>
      <c r="U615">
        <f>VLOOKUP($A615,'Medical Examination'!$A:$Z,2,FALSE)</f>
        <v>51.86</v>
      </c>
    </row>
    <row r="616" spans="1:21" ht="15.5" x14ac:dyDescent="0.35">
      <c r="A616" s="2" t="s">
        <v>616</v>
      </c>
      <c r="B616" s="2" t="s">
        <v>3411</v>
      </c>
      <c r="C616">
        <v>39.049999999999997</v>
      </c>
      <c r="D616">
        <v>7.59</v>
      </c>
      <c r="E616" t="s">
        <v>2344</v>
      </c>
      <c r="F616" t="s">
        <v>2344</v>
      </c>
      <c r="G616" t="s">
        <v>2344</v>
      </c>
      <c r="H616">
        <v>1</v>
      </c>
      <c r="I616" t="s">
        <v>2344</v>
      </c>
      <c r="J616" t="str">
        <f t="shared" si="37"/>
        <v>Obesity</v>
      </c>
      <c r="K616" t="str">
        <f t="shared" si="40"/>
        <v>Diabetes</v>
      </c>
      <c r="L616">
        <v>12</v>
      </c>
      <c r="M616" t="s">
        <v>2360</v>
      </c>
      <c r="N616">
        <v>1974</v>
      </c>
      <c r="O616" s="8">
        <f t="shared" si="38"/>
        <v>27345</v>
      </c>
      <c r="P616" s="10">
        <v>5291.71</v>
      </c>
      <c r="Q616" t="s">
        <v>2357</v>
      </c>
      <c r="R616" t="s">
        <v>2357</v>
      </c>
      <c r="S616" t="s">
        <v>2364</v>
      </c>
      <c r="T616">
        <f t="shared" ca="1" si="39"/>
        <v>52</v>
      </c>
      <c r="U616">
        <f>VLOOKUP($A616,'Medical Examination'!$A:$Z,2,FALSE)</f>
        <v>39.049999999999997</v>
      </c>
    </row>
    <row r="617" spans="1:21" ht="15.5" x14ac:dyDescent="0.35">
      <c r="A617" s="2" t="s">
        <v>617</v>
      </c>
      <c r="B617" s="2" t="s">
        <v>2551</v>
      </c>
      <c r="C617">
        <v>31.824999999999999</v>
      </c>
      <c r="D617">
        <v>8.2799999999999994</v>
      </c>
      <c r="E617" t="s">
        <v>2344</v>
      </c>
      <c r="F617" t="s">
        <v>2344</v>
      </c>
      <c r="G617" t="s">
        <v>2344</v>
      </c>
      <c r="H617">
        <v>1</v>
      </c>
      <c r="I617" t="s">
        <v>2344</v>
      </c>
      <c r="J617" t="str">
        <f t="shared" si="37"/>
        <v>Obesity</v>
      </c>
      <c r="K617" t="str">
        <f t="shared" si="40"/>
        <v>Diabetes</v>
      </c>
      <c r="L617">
        <v>22</v>
      </c>
      <c r="M617" t="s">
        <v>2366</v>
      </c>
      <c r="N617">
        <v>2004</v>
      </c>
      <c r="O617" s="8">
        <f t="shared" si="38"/>
        <v>38221</v>
      </c>
      <c r="P617" s="10">
        <v>5293.67</v>
      </c>
      <c r="Q617" t="s">
        <v>2357</v>
      </c>
      <c r="R617" t="s">
        <v>2357</v>
      </c>
      <c r="S617" t="s">
        <v>2381</v>
      </c>
      <c r="T617">
        <f t="shared" ca="1" si="39"/>
        <v>22</v>
      </c>
      <c r="U617">
        <f>VLOOKUP($A617,'Medical Examination'!$A:$Z,2,FALSE)</f>
        <v>31.824999999999999</v>
      </c>
    </row>
    <row r="618" spans="1:21" ht="15.5" x14ac:dyDescent="0.35">
      <c r="A618" s="2" t="s">
        <v>618</v>
      </c>
      <c r="B618" s="2" t="s">
        <v>2921</v>
      </c>
      <c r="C618">
        <v>46.43</v>
      </c>
      <c r="D618">
        <v>6.72</v>
      </c>
      <c r="E618" t="s">
        <v>2344</v>
      </c>
      <c r="F618" t="s">
        <v>2344</v>
      </c>
      <c r="G618" t="s">
        <v>2344</v>
      </c>
      <c r="H618">
        <v>0</v>
      </c>
      <c r="I618" t="s">
        <v>2344</v>
      </c>
      <c r="J618" t="str">
        <f t="shared" si="37"/>
        <v>Obesity</v>
      </c>
      <c r="K618" t="str">
        <f t="shared" si="40"/>
        <v>Diabetes</v>
      </c>
      <c r="L618">
        <v>9</v>
      </c>
      <c r="M618" t="s">
        <v>2363</v>
      </c>
      <c r="N618">
        <v>2000</v>
      </c>
      <c r="O618" s="8">
        <f t="shared" si="38"/>
        <v>36778</v>
      </c>
      <c r="P618" s="10">
        <v>5306.7</v>
      </c>
      <c r="Q618" t="s">
        <v>2357</v>
      </c>
      <c r="R618" t="s">
        <v>2358</v>
      </c>
      <c r="S618" t="s">
        <v>2364</v>
      </c>
      <c r="T618">
        <f t="shared" ca="1" si="39"/>
        <v>26</v>
      </c>
      <c r="U618">
        <f>VLOOKUP($A618,'Medical Examination'!$A:$Z,2,FALSE)</f>
        <v>46.43</v>
      </c>
    </row>
    <row r="619" spans="1:21" ht="15.5" x14ac:dyDescent="0.35">
      <c r="A619" s="2" t="s">
        <v>619</v>
      </c>
      <c r="B619" s="2" t="s">
        <v>3413</v>
      </c>
      <c r="C619">
        <v>53.63</v>
      </c>
      <c r="D619">
        <v>5.47</v>
      </c>
      <c r="E619" t="s">
        <v>2346</v>
      </c>
      <c r="F619" t="s">
        <v>2344</v>
      </c>
      <c r="G619" t="s">
        <v>2344</v>
      </c>
      <c r="H619">
        <v>1</v>
      </c>
      <c r="I619" t="s">
        <v>2344</v>
      </c>
      <c r="J619" t="str">
        <f t="shared" si="37"/>
        <v>Obesity</v>
      </c>
      <c r="K619" t="str">
        <f t="shared" si="40"/>
        <v>Normal</v>
      </c>
      <c r="L619">
        <v>13</v>
      </c>
      <c r="M619" t="s">
        <v>2360</v>
      </c>
      <c r="N619">
        <v>1994</v>
      </c>
      <c r="O619" s="8">
        <f t="shared" si="38"/>
        <v>34651</v>
      </c>
      <c r="P619" s="10">
        <v>5312.17</v>
      </c>
      <c r="Q619" t="s">
        <v>2357</v>
      </c>
      <c r="R619" t="s">
        <v>2357</v>
      </c>
      <c r="S619" t="s">
        <v>2364</v>
      </c>
      <c r="T619">
        <f t="shared" ca="1" si="39"/>
        <v>32</v>
      </c>
      <c r="U619">
        <f>VLOOKUP($A619,'Medical Examination'!$A:$Z,2,FALSE)</f>
        <v>53.63</v>
      </c>
    </row>
    <row r="620" spans="1:21" ht="15.5" x14ac:dyDescent="0.35">
      <c r="A620" s="2" t="s">
        <v>620</v>
      </c>
      <c r="B620" s="2" t="s">
        <v>3414</v>
      </c>
      <c r="C620">
        <v>48.7</v>
      </c>
      <c r="D620">
        <v>4.71</v>
      </c>
      <c r="E620" t="s">
        <v>2344</v>
      </c>
      <c r="F620" t="s">
        <v>2344</v>
      </c>
      <c r="G620" t="s">
        <v>2344</v>
      </c>
      <c r="H620">
        <v>0</v>
      </c>
      <c r="I620" t="s">
        <v>2344</v>
      </c>
      <c r="J620" t="str">
        <f t="shared" si="37"/>
        <v>Obesity</v>
      </c>
      <c r="K620" t="str">
        <f t="shared" si="40"/>
        <v>Normal</v>
      </c>
      <c r="L620">
        <v>2</v>
      </c>
      <c r="M620" t="s">
        <v>2363</v>
      </c>
      <c r="N620">
        <v>1974</v>
      </c>
      <c r="O620" s="8">
        <f t="shared" si="38"/>
        <v>27274</v>
      </c>
      <c r="P620" s="10">
        <v>5322.24</v>
      </c>
      <c r="Q620" t="s">
        <v>2357</v>
      </c>
      <c r="R620" t="s">
        <v>2361</v>
      </c>
      <c r="S620" t="s">
        <v>2364</v>
      </c>
      <c r="T620">
        <f t="shared" ca="1" si="39"/>
        <v>52</v>
      </c>
      <c r="U620">
        <f>VLOOKUP($A620,'Medical Examination'!$A:$Z,2,FALSE)</f>
        <v>48.7</v>
      </c>
    </row>
    <row r="621" spans="1:21" ht="15.5" x14ac:dyDescent="0.35">
      <c r="A621" s="2" t="s">
        <v>621</v>
      </c>
      <c r="B621" s="2" t="s">
        <v>3415</v>
      </c>
      <c r="C621">
        <v>48.81</v>
      </c>
      <c r="D621">
        <v>5.49</v>
      </c>
      <c r="E621" t="s">
        <v>2344</v>
      </c>
      <c r="F621" t="s">
        <v>2344</v>
      </c>
      <c r="G621" t="s">
        <v>2344</v>
      </c>
      <c r="H621">
        <v>0</v>
      </c>
      <c r="I621" t="s">
        <v>2344</v>
      </c>
      <c r="J621" t="str">
        <f t="shared" si="37"/>
        <v>Obesity</v>
      </c>
      <c r="K621" t="str">
        <f t="shared" si="40"/>
        <v>Normal</v>
      </c>
      <c r="L621">
        <v>18</v>
      </c>
      <c r="M621" t="s">
        <v>2362</v>
      </c>
      <c r="N621">
        <v>1992</v>
      </c>
      <c r="O621" s="8">
        <f t="shared" si="38"/>
        <v>33773</v>
      </c>
      <c r="P621" s="10">
        <v>5325.65</v>
      </c>
      <c r="Q621" t="s">
        <v>2357</v>
      </c>
      <c r="R621" t="s">
        <v>2361</v>
      </c>
      <c r="S621" t="s">
        <v>2368</v>
      </c>
      <c r="T621">
        <f t="shared" ca="1" si="39"/>
        <v>34</v>
      </c>
      <c r="U621">
        <f>VLOOKUP($A621,'Medical Examination'!$A:$Z,2,FALSE)</f>
        <v>48.81</v>
      </c>
    </row>
    <row r="622" spans="1:21" ht="15.5" x14ac:dyDescent="0.35">
      <c r="A622" s="2" t="s">
        <v>622</v>
      </c>
      <c r="B622" s="2" t="s">
        <v>3416</v>
      </c>
      <c r="C622">
        <v>47.53</v>
      </c>
      <c r="D622">
        <v>4.72</v>
      </c>
      <c r="E622" t="s">
        <v>2344</v>
      </c>
      <c r="F622" t="s">
        <v>2344</v>
      </c>
      <c r="G622" t="s">
        <v>2344</v>
      </c>
      <c r="H622">
        <v>0</v>
      </c>
      <c r="I622" t="s">
        <v>2344</v>
      </c>
      <c r="J622" t="str">
        <f t="shared" si="37"/>
        <v>Obesity</v>
      </c>
      <c r="K622" t="str">
        <f t="shared" si="40"/>
        <v>Normal</v>
      </c>
      <c r="L622">
        <v>28</v>
      </c>
      <c r="M622" t="s">
        <v>2366</v>
      </c>
      <c r="N622">
        <v>1991</v>
      </c>
      <c r="O622" s="8">
        <f t="shared" si="38"/>
        <v>33478</v>
      </c>
      <c r="P622" s="10">
        <v>5327.4</v>
      </c>
      <c r="Q622" t="s">
        <v>2357</v>
      </c>
      <c r="R622" t="s">
        <v>2361</v>
      </c>
      <c r="S622" t="s">
        <v>2364</v>
      </c>
      <c r="T622">
        <f t="shared" ca="1" si="39"/>
        <v>35</v>
      </c>
      <c r="U622">
        <f>VLOOKUP($A622,'Medical Examination'!$A:$Z,2,FALSE)</f>
        <v>47.53</v>
      </c>
    </row>
    <row r="623" spans="1:21" ht="15.5" x14ac:dyDescent="0.35">
      <c r="A623" s="2" t="s">
        <v>623</v>
      </c>
      <c r="B623" s="2" t="s">
        <v>3418</v>
      </c>
      <c r="C623">
        <v>36.85</v>
      </c>
      <c r="D623">
        <v>6.7</v>
      </c>
      <c r="E623" t="s">
        <v>2344</v>
      </c>
      <c r="F623" t="s">
        <v>2344</v>
      </c>
      <c r="G623" t="s">
        <v>2344</v>
      </c>
      <c r="H623">
        <v>0</v>
      </c>
      <c r="I623" t="s">
        <v>2344</v>
      </c>
      <c r="J623" t="str">
        <f t="shared" si="37"/>
        <v>Obesity</v>
      </c>
      <c r="K623" t="str">
        <f t="shared" si="40"/>
        <v>Diabetes</v>
      </c>
      <c r="L623">
        <v>15</v>
      </c>
      <c r="M623" t="s">
        <v>2365</v>
      </c>
      <c r="N623">
        <v>1972</v>
      </c>
      <c r="O623" s="8">
        <f t="shared" si="38"/>
        <v>26648</v>
      </c>
      <c r="P623" s="10">
        <v>5344.81</v>
      </c>
      <c r="Q623" t="s">
        <v>2357</v>
      </c>
      <c r="R623" t="s">
        <v>2358</v>
      </c>
      <c r="S623" t="s">
        <v>2359</v>
      </c>
      <c r="T623">
        <f t="shared" ca="1" si="39"/>
        <v>54</v>
      </c>
      <c r="U623">
        <f>VLOOKUP($A623,'Medical Examination'!$A:$Z,2,FALSE)</f>
        <v>36.85</v>
      </c>
    </row>
    <row r="624" spans="1:21" ht="15.5" x14ac:dyDescent="0.35">
      <c r="A624" s="2" t="s">
        <v>624</v>
      </c>
      <c r="B624" s="2" t="s">
        <v>3420</v>
      </c>
      <c r="C624">
        <v>29.3</v>
      </c>
      <c r="D624">
        <v>5.5</v>
      </c>
      <c r="E624" t="s">
        <v>2344</v>
      </c>
      <c r="F624" t="s">
        <v>2344</v>
      </c>
      <c r="G624" t="s">
        <v>2344</v>
      </c>
      <c r="H624">
        <v>0</v>
      </c>
      <c r="I624" t="s">
        <v>2344</v>
      </c>
      <c r="J624" t="str">
        <f t="shared" si="37"/>
        <v>Over weight</v>
      </c>
      <c r="K624" t="str">
        <f t="shared" si="40"/>
        <v>Normal</v>
      </c>
      <c r="L624">
        <v>7</v>
      </c>
      <c r="M624" t="s">
        <v>2360</v>
      </c>
      <c r="N624">
        <v>1989</v>
      </c>
      <c r="O624" s="8">
        <f t="shared" si="38"/>
        <v>32819</v>
      </c>
      <c r="P624" s="10">
        <v>5354.07</v>
      </c>
      <c r="Q624" t="s">
        <v>2357</v>
      </c>
      <c r="R624" t="s">
        <v>2358</v>
      </c>
      <c r="S624" t="s">
        <v>2374</v>
      </c>
      <c r="T624">
        <f t="shared" ca="1" si="39"/>
        <v>37</v>
      </c>
      <c r="U624">
        <f>VLOOKUP($A624,'Medical Examination'!$A:$Z,2,FALSE)</f>
        <v>29.3</v>
      </c>
    </row>
    <row r="625" spans="1:21" ht="15.5" x14ac:dyDescent="0.35">
      <c r="A625" s="2" t="s">
        <v>625</v>
      </c>
      <c r="B625" s="2" t="s">
        <v>3422</v>
      </c>
      <c r="C625">
        <v>19.3</v>
      </c>
      <c r="D625">
        <v>4.46</v>
      </c>
      <c r="E625" t="s">
        <v>2344</v>
      </c>
      <c r="F625" t="s">
        <v>2344</v>
      </c>
      <c r="G625" t="s">
        <v>2344</v>
      </c>
      <c r="H625">
        <v>1</v>
      </c>
      <c r="I625" t="s">
        <v>2346</v>
      </c>
      <c r="J625" t="str">
        <f t="shared" si="37"/>
        <v>Normal Weight</v>
      </c>
      <c r="K625" t="str">
        <f t="shared" si="40"/>
        <v>Normal</v>
      </c>
      <c r="L625">
        <v>7</v>
      </c>
      <c r="M625" t="s">
        <v>2365</v>
      </c>
      <c r="N625">
        <v>1994</v>
      </c>
      <c r="O625" s="8">
        <f t="shared" si="38"/>
        <v>34675</v>
      </c>
      <c r="P625" s="10">
        <v>5364.66</v>
      </c>
      <c r="Q625" t="s">
        <v>2357</v>
      </c>
      <c r="R625" t="s">
        <v>2361</v>
      </c>
      <c r="S625" t="s">
        <v>2368</v>
      </c>
      <c r="T625">
        <f t="shared" ca="1" si="39"/>
        <v>32</v>
      </c>
      <c r="U625">
        <f>VLOOKUP($A625,'Medical Examination'!$A:$Z,2,FALSE)</f>
        <v>19.3</v>
      </c>
    </row>
    <row r="626" spans="1:21" ht="15.5" x14ac:dyDescent="0.35">
      <c r="A626" s="2" t="s">
        <v>626</v>
      </c>
      <c r="B626" s="2" t="s">
        <v>3423</v>
      </c>
      <c r="C626">
        <v>24.13</v>
      </c>
      <c r="D626">
        <v>5.29</v>
      </c>
      <c r="E626" t="s">
        <v>2346</v>
      </c>
      <c r="F626" t="s">
        <v>2344</v>
      </c>
      <c r="G626" t="s">
        <v>2346</v>
      </c>
      <c r="H626">
        <v>1</v>
      </c>
      <c r="I626" t="s">
        <v>2346</v>
      </c>
      <c r="J626" t="str">
        <f t="shared" si="37"/>
        <v>Normal Weight</v>
      </c>
      <c r="K626" t="str">
        <f t="shared" si="40"/>
        <v>Normal</v>
      </c>
      <c r="L626">
        <v>1</v>
      </c>
      <c r="M626" t="s">
        <v>2362</v>
      </c>
      <c r="N626">
        <v>1986</v>
      </c>
      <c r="O626" s="8">
        <f t="shared" si="38"/>
        <v>31564</v>
      </c>
      <c r="P626" s="10">
        <v>5373.36</v>
      </c>
      <c r="Q626" t="s">
        <v>2357</v>
      </c>
      <c r="R626" t="s">
        <v>2357</v>
      </c>
      <c r="S626" t="s">
        <v>2364</v>
      </c>
      <c r="T626">
        <f t="shared" ca="1" si="39"/>
        <v>40</v>
      </c>
      <c r="U626">
        <f>VLOOKUP($A626,'Medical Examination'!$A:$Z,2,FALSE)</f>
        <v>24.13</v>
      </c>
    </row>
    <row r="627" spans="1:21" ht="15.5" x14ac:dyDescent="0.35">
      <c r="A627" s="2" t="s">
        <v>627</v>
      </c>
      <c r="B627" s="2" t="s">
        <v>3425</v>
      </c>
      <c r="C627">
        <v>46.7</v>
      </c>
      <c r="D627">
        <v>10.99</v>
      </c>
      <c r="E627" t="s">
        <v>2344</v>
      </c>
      <c r="F627" t="s">
        <v>2344</v>
      </c>
      <c r="G627" t="s">
        <v>2344</v>
      </c>
      <c r="H627">
        <v>0</v>
      </c>
      <c r="I627" t="s">
        <v>2344</v>
      </c>
      <c r="J627" t="str">
        <f t="shared" si="37"/>
        <v>Obesity</v>
      </c>
      <c r="K627" t="str">
        <f t="shared" si="40"/>
        <v>Diabetes</v>
      </c>
      <c r="L627">
        <v>18</v>
      </c>
      <c r="M627" t="s">
        <v>2360</v>
      </c>
      <c r="N627">
        <v>1989</v>
      </c>
      <c r="O627" s="8">
        <f t="shared" si="38"/>
        <v>32830</v>
      </c>
      <c r="P627" s="10">
        <v>5375.04</v>
      </c>
      <c r="Q627" t="s">
        <v>2357</v>
      </c>
      <c r="R627" t="s">
        <v>2361</v>
      </c>
      <c r="S627" t="s">
        <v>2368</v>
      </c>
      <c r="T627">
        <f t="shared" ca="1" si="39"/>
        <v>37</v>
      </c>
      <c r="U627">
        <f>VLOOKUP($A627,'Medical Examination'!$A:$Z,2,FALSE)</f>
        <v>46.7</v>
      </c>
    </row>
    <row r="628" spans="1:21" ht="15.5" x14ac:dyDescent="0.35">
      <c r="A628" s="2" t="s">
        <v>628</v>
      </c>
      <c r="B628" s="2" t="s">
        <v>3426</v>
      </c>
      <c r="C628">
        <v>45.27</v>
      </c>
      <c r="D628">
        <v>5.2</v>
      </c>
      <c r="E628" t="s">
        <v>2346</v>
      </c>
      <c r="F628" t="s">
        <v>2344</v>
      </c>
      <c r="G628" t="s">
        <v>2344</v>
      </c>
      <c r="H628">
        <v>0</v>
      </c>
      <c r="I628" t="s">
        <v>2344</v>
      </c>
      <c r="J628" t="str">
        <f t="shared" si="37"/>
        <v>Obesity</v>
      </c>
      <c r="K628" t="str">
        <f t="shared" si="40"/>
        <v>Normal</v>
      </c>
      <c r="L628">
        <v>22</v>
      </c>
      <c r="M628" t="s">
        <v>2356</v>
      </c>
      <c r="N628">
        <v>1986</v>
      </c>
      <c r="O628" s="8">
        <f t="shared" si="38"/>
        <v>31615</v>
      </c>
      <c r="P628" s="10">
        <v>5377.46</v>
      </c>
      <c r="Q628" t="s">
        <v>2357</v>
      </c>
      <c r="R628" t="s">
        <v>2358</v>
      </c>
      <c r="S628" t="s">
        <v>2364</v>
      </c>
      <c r="T628">
        <f t="shared" ca="1" si="39"/>
        <v>40</v>
      </c>
      <c r="U628">
        <f>VLOOKUP($A628,'Medical Examination'!$A:$Z,2,FALSE)</f>
        <v>45.27</v>
      </c>
    </row>
    <row r="629" spans="1:21" ht="15.5" x14ac:dyDescent="0.35">
      <c r="A629" s="2" t="s">
        <v>629</v>
      </c>
      <c r="B629" s="2" t="s">
        <v>3428</v>
      </c>
      <c r="C629">
        <v>44.29</v>
      </c>
      <c r="D629">
        <v>9.66</v>
      </c>
      <c r="E629" t="s">
        <v>2344</v>
      </c>
      <c r="F629" t="s">
        <v>2344</v>
      </c>
      <c r="G629" t="s">
        <v>2344</v>
      </c>
      <c r="H629">
        <v>1</v>
      </c>
      <c r="I629" t="s">
        <v>2344</v>
      </c>
      <c r="J629" t="str">
        <f t="shared" si="37"/>
        <v>Obesity</v>
      </c>
      <c r="K629" t="str">
        <f t="shared" si="40"/>
        <v>Diabetes</v>
      </c>
      <c r="L629">
        <v>1</v>
      </c>
      <c r="M629" t="s">
        <v>2362</v>
      </c>
      <c r="N629">
        <v>1984</v>
      </c>
      <c r="O629" s="8">
        <f t="shared" si="38"/>
        <v>30834</v>
      </c>
      <c r="P629" s="10">
        <v>5383.54</v>
      </c>
      <c r="Q629" t="s">
        <v>2357</v>
      </c>
      <c r="R629" t="s">
        <v>2358</v>
      </c>
      <c r="S629" t="s">
        <v>2368</v>
      </c>
      <c r="T629">
        <f t="shared" ca="1" si="39"/>
        <v>42</v>
      </c>
      <c r="U629">
        <f>VLOOKUP($A629,'Medical Examination'!$A:$Z,2,FALSE)</f>
        <v>44.29</v>
      </c>
    </row>
    <row r="630" spans="1:21" ht="15.5" x14ac:dyDescent="0.35">
      <c r="A630" s="2" t="s">
        <v>630</v>
      </c>
      <c r="B630" s="2" t="s">
        <v>3430</v>
      </c>
      <c r="C630">
        <v>54.59</v>
      </c>
      <c r="D630">
        <v>4.22</v>
      </c>
      <c r="E630" t="s">
        <v>2346</v>
      </c>
      <c r="F630" t="s">
        <v>2344</v>
      </c>
      <c r="G630" t="s">
        <v>2344</v>
      </c>
      <c r="H630">
        <v>1</v>
      </c>
      <c r="I630" t="s">
        <v>2344</v>
      </c>
      <c r="J630" t="str">
        <f t="shared" si="37"/>
        <v>Obesity</v>
      </c>
      <c r="K630" t="str">
        <f t="shared" si="40"/>
        <v>Normal</v>
      </c>
      <c r="L630">
        <v>8</v>
      </c>
      <c r="M630" t="s">
        <v>2366</v>
      </c>
      <c r="N630">
        <v>1988</v>
      </c>
      <c r="O630" s="8">
        <f t="shared" si="38"/>
        <v>32363</v>
      </c>
      <c r="P630" s="10">
        <v>5385.34</v>
      </c>
      <c r="Q630" t="s">
        <v>2357</v>
      </c>
      <c r="R630" t="s">
        <v>2358</v>
      </c>
      <c r="S630" t="s">
        <v>2364</v>
      </c>
      <c r="T630">
        <f t="shared" ca="1" si="39"/>
        <v>38</v>
      </c>
      <c r="U630">
        <f>VLOOKUP($A630,'Medical Examination'!$A:$Z,2,FALSE)</f>
        <v>54.59</v>
      </c>
    </row>
    <row r="631" spans="1:21" ht="15.5" x14ac:dyDescent="0.35">
      <c r="A631" s="2" t="s">
        <v>631</v>
      </c>
      <c r="B631" s="2" t="s">
        <v>2907</v>
      </c>
      <c r="C631">
        <v>32.965000000000003</v>
      </c>
      <c r="D631">
        <v>11.78</v>
      </c>
      <c r="E631" t="s">
        <v>2344</v>
      </c>
      <c r="F631" t="s">
        <v>2344</v>
      </c>
      <c r="G631" t="s">
        <v>2344</v>
      </c>
      <c r="H631">
        <v>0</v>
      </c>
      <c r="I631" t="s">
        <v>2344</v>
      </c>
      <c r="J631" t="str">
        <f t="shared" si="37"/>
        <v>Obesity</v>
      </c>
      <c r="K631" t="str">
        <f t="shared" si="40"/>
        <v>Diabetes</v>
      </c>
      <c r="L631">
        <v>6</v>
      </c>
      <c r="M631" t="s">
        <v>2360</v>
      </c>
      <c r="N631">
        <v>1989</v>
      </c>
      <c r="O631" s="8">
        <f t="shared" si="38"/>
        <v>32818</v>
      </c>
      <c r="P631" s="10">
        <v>5396.44</v>
      </c>
      <c r="Q631" t="s">
        <v>2357</v>
      </c>
      <c r="R631" t="s">
        <v>2358</v>
      </c>
      <c r="S631" t="s">
        <v>2359</v>
      </c>
      <c r="T631">
        <f t="shared" ca="1" si="39"/>
        <v>37</v>
      </c>
      <c r="U631">
        <f>VLOOKUP($A631,'Medical Examination'!$A:$Z,2,FALSE)</f>
        <v>32.965000000000003</v>
      </c>
    </row>
    <row r="632" spans="1:21" ht="15.5" x14ac:dyDescent="0.35">
      <c r="A632" s="2" t="s">
        <v>632</v>
      </c>
      <c r="B632" s="2" t="s">
        <v>3431</v>
      </c>
      <c r="C632">
        <v>38.049999999999997</v>
      </c>
      <c r="D632">
        <v>9.6199999999999992</v>
      </c>
      <c r="E632" t="s">
        <v>2344</v>
      </c>
      <c r="F632" t="s">
        <v>2344</v>
      </c>
      <c r="G632" t="s">
        <v>2344</v>
      </c>
      <c r="H632">
        <v>0</v>
      </c>
      <c r="I632" t="s">
        <v>2344</v>
      </c>
      <c r="J632" t="str">
        <f t="shared" si="37"/>
        <v>Obesity</v>
      </c>
      <c r="K632" t="str">
        <f t="shared" si="40"/>
        <v>Diabetes</v>
      </c>
      <c r="L632">
        <v>3</v>
      </c>
      <c r="M632" t="s">
        <v>2363</v>
      </c>
      <c r="N632">
        <v>1984</v>
      </c>
      <c r="O632" s="8">
        <f t="shared" si="38"/>
        <v>30928</v>
      </c>
      <c r="P632" s="10">
        <v>5397.62</v>
      </c>
      <c r="Q632" t="s">
        <v>2357</v>
      </c>
      <c r="R632" t="s">
        <v>2357</v>
      </c>
      <c r="S632" t="s">
        <v>2359</v>
      </c>
      <c r="T632">
        <f t="shared" ca="1" si="39"/>
        <v>42</v>
      </c>
      <c r="U632">
        <f>VLOOKUP($A632,'Medical Examination'!$A:$Z,2,FALSE)</f>
        <v>38.049999999999997</v>
      </c>
    </row>
    <row r="633" spans="1:21" ht="15.5" x14ac:dyDescent="0.35">
      <c r="A633" s="2" t="s">
        <v>633</v>
      </c>
      <c r="B633" s="2" t="s">
        <v>3432</v>
      </c>
      <c r="C633">
        <v>46.14</v>
      </c>
      <c r="D633">
        <v>10.78</v>
      </c>
      <c r="E633" t="s">
        <v>2344</v>
      </c>
      <c r="F633" t="s">
        <v>2344</v>
      </c>
      <c r="G633" t="s">
        <v>2344</v>
      </c>
      <c r="H633">
        <v>0</v>
      </c>
      <c r="I633" t="s">
        <v>2344</v>
      </c>
      <c r="J633" t="str">
        <f t="shared" si="37"/>
        <v>Obesity</v>
      </c>
      <c r="K633" t="str">
        <f t="shared" si="40"/>
        <v>Diabetes</v>
      </c>
      <c r="L633">
        <v>1</v>
      </c>
      <c r="M633" t="s">
        <v>2366</v>
      </c>
      <c r="N633">
        <v>1984</v>
      </c>
      <c r="O633" s="8">
        <f t="shared" si="38"/>
        <v>30895</v>
      </c>
      <c r="P633" s="10">
        <v>5400.98</v>
      </c>
      <c r="Q633" t="s">
        <v>2357</v>
      </c>
      <c r="R633" t="s">
        <v>2357</v>
      </c>
      <c r="S633" t="s">
        <v>2359</v>
      </c>
      <c r="T633">
        <f t="shared" ca="1" si="39"/>
        <v>42</v>
      </c>
      <c r="U633">
        <f>VLOOKUP($A633,'Medical Examination'!$A:$Z,2,FALSE)</f>
        <v>46.14</v>
      </c>
    </row>
    <row r="634" spans="1:21" ht="15.5" x14ac:dyDescent="0.35">
      <c r="A634" s="2" t="s">
        <v>634</v>
      </c>
      <c r="B634" s="2" t="s">
        <v>3433</v>
      </c>
      <c r="C634">
        <v>41.325000000000003</v>
      </c>
      <c r="D634">
        <v>5.1100000000000003</v>
      </c>
      <c r="E634" t="s">
        <v>2346</v>
      </c>
      <c r="F634" t="s">
        <v>2344</v>
      </c>
      <c r="G634" t="s">
        <v>2344</v>
      </c>
      <c r="H634">
        <v>1</v>
      </c>
      <c r="I634" t="s">
        <v>2344</v>
      </c>
      <c r="J634" t="str">
        <f t="shared" si="37"/>
        <v>Obesity</v>
      </c>
      <c r="K634" t="str">
        <f t="shared" si="40"/>
        <v>Normal</v>
      </c>
      <c r="L634">
        <v>23</v>
      </c>
      <c r="M634" t="s">
        <v>2365</v>
      </c>
      <c r="N634">
        <v>1985</v>
      </c>
      <c r="O634" s="8">
        <f t="shared" si="38"/>
        <v>31404</v>
      </c>
      <c r="P634" s="10">
        <v>5402.89</v>
      </c>
      <c r="Q634" t="s">
        <v>2357</v>
      </c>
      <c r="R634" t="s">
        <v>2361</v>
      </c>
      <c r="S634" t="s">
        <v>2359</v>
      </c>
      <c r="T634">
        <f t="shared" ca="1" si="39"/>
        <v>41</v>
      </c>
      <c r="U634">
        <f>VLOOKUP($A634,'Medical Examination'!$A:$Z,2,FALSE)</f>
        <v>41.325000000000003</v>
      </c>
    </row>
    <row r="635" spans="1:21" ht="15.5" x14ac:dyDescent="0.35">
      <c r="A635" s="2" t="s">
        <v>635</v>
      </c>
      <c r="B635" s="2" t="s">
        <v>3434</v>
      </c>
      <c r="C635">
        <v>44.64</v>
      </c>
      <c r="D635">
        <v>7.18</v>
      </c>
      <c r="E635" t="s">
        <v>2344</v>
      </c>
      <c r="F635" t="s">
        <v>2344</v>
      </c>
      <c r="G635" t="s">
        <v>2344</v>
      </c>
      <c r="H635">
        <v>0</v>
      </c>
      <c r="I635" t="s">
        <v>2344</v>
      </c>
      <c r="J635" t="str">
        <f t="shared" si="37"/>
        <v>Obesity</v>
      </c>
      <c r="K635" t="str">
        <f t="shared" si="40"/>
        <v>Diabetes</v>
      </c>
      <c r="L635">
        <v>27</v>
      </c>
      <c r="M635" t="s">
        <v>2363</v>
      </c>
      <c r="N635">
        <v>1975</v>
      </c>
      <c r="O635" s="8">
        <f t="shared" si="38"/>
        <v>27664</v>
      </c>
      <c r="P635" s="10">
        <v>5411.99</v>
      </c>
      <c r="Q635" t="s">
        <v>2357</v>
      </c>
      <c r="R635" t="s">
        <v>2358</v>
      </c>
      <c r="S635" t="s">
        <v>2364</v>
      </c>
      <c r="T635">
        <f t="shared" ca="1" si="39"/>
        <v>51</v>
      </c>
      <c r="U635">
        <f>VLOOKUP($A635,'Medical Examination'!$A:$Z,2,FALSE)</f>
        <v>44.64</v>
      </c>
    </row>
    <row r="636" spans="1:21" ht="15.5" x14ac:dyDescent="0.35">
      <c r="A636" s="2" t="s">
        <v>636</v>
      </c>
      <c r="B636" s="2" t="s">
        <v>2994</v>
      </c>
      <c r="C636">
        <v>25.175000000000001</v>
      </c>
      <c r="D636">
        <v>4.96</v>
      </c>
      <c r="E636" t="s">
        <v>2344</v>
      </c>
      <c r="F636" t="s">
        <v>2345</v>
      </c>
      <c r="G636" t="s">
        <v>2344</v>
      </c>
      <c r="H636">
        <v>1</v>
      </c>
      <c r="I636" t="s">
        <v>2346</v>
      </c>
      <c r="J636" t="str">
        <f t="shared" si="37"/>
        <v>Over weight</v>
      </c>
      <c r="K636" t="str">
        <f t="shared" si="40"/>
        <v>Normal</v>
      </c>
      <c r="L636">
        <v>27</v>
      </c>
      <c r="M636" t="s">
        <v>2363</v>
      </c>
      <c r="N636">
        <v>1982</v>
      </c>
      <c r="O636" s="8">
        <f t="shared" si="38"/>
        <v>30221</v>
      </c>
      <c r="P636" s="10">
        <v>5415.66</v>
      </c>
      <c r="Q636" t="s">
        <v>2357</v>
      </c>
      <c r="R636" t="s">
        <v>2358</v>
      </c>
      <c r="S636" t="s">
        <v>2359</v>
      </c>
      <c r="T636">
        <f t="shared" ca="1" si="39"/>
        <v>44</v>
      </c>
      <c r="U636">
        <f>VLOOKUP($A636,'Medical Examination'!$A:$Z,2,FALSE)</f>
        <v>25.175000000000001</v>
      </c>
    </row>
    <row r="637" spans="1:21" ht="15.5" x14ac:dyDescent="0.35">
      <c r="A637" s="2" t="s">
        <v>637</v>
      </c>
      <c r="B637" s="2" t="s">
        <v>3436</v>
      </c>
      <c r="C637">
        <v>43.11</v>
      </c>
      <c r="D637">
        <v>4.67</v>
      </c>
      <c r="E637" t="s">
        <v>2346</v>
      </c>
      <c r="F637" t="s">
        <v>2344</v>
      </c>
      <c r="G637" t="s">
        <v>2344</v>
      </c>
      <c r="H637">
        <v>0</v>
      </c>
      <c r="I637" t="s">
        <v>2344</v>
      </c>
      <c r="J637" t="str">
        <f t="shared" si="37"/>
        <v>Obesity</v>
      </c>
      <c r="K637" t="str">
        <f t="shared" si="40"/>
        <v>Normal</v>
      </c>
      <c r="L637">
        <v>6</v>
      </c>
      <c r="M637" t="s">
        <v>2356</v>
      </c>
      <c r="N637">
        <v>1991</v>
      </c>
      <c r="O637" s="8">
        <f t="shared" si="38"/>
        <v>33425</v>
      </c>
      <c r="P637" s="10">
        <v>5425.02</v>
      </c>
      <c r="Q637" t="s">
        <v>2357</v>
      </c>
      <c r="R637" t="s">
        <v>2361</v>
      </c>
      <c r="S637" t="s">
        <v>2364</v>
      </c>
      <c r="T637">
        <f t="shared" ca="1" si="39"/>
        <v>35</v>
      </c>
      <c r="U637">
        <f>VLOOKUP($A637,'Medical Examination'!$A:$Z,2,FALSE)</f>
        <v>43.11</v>
      </c>
    </row>
    <row r="638" spans="1:21" ht="15.5" x14ac:dyDescent="0.35">
      <c r="A638" s="2" t="s">
        <v>638</v>
      </c>
      <c r="B638" s="2" t="s">
        <v>3438</v>
      </c>
      <c r="C638">
        <v>53.32</v>
      </c>
      <c r="D638">
        <v>5.0599999999999996</v>
      </c>
      <c r="E638" t="s">
        <v>2344</v>
      </c>
      <c r="F638" t="s">
        <v>2344</v>
      </c>
      <c r="G638" t="s">
        <v>2344</v>
      </c>
      <c r="H638">
        <v>0</v>
      </c>
      <c r="I638" t="s">
        <v>2344</v>
      </c>
      <c r="J638" t="str">
        <f t="shared" si="37"/>
        <v>Obesity</v>
      </c>
      <c r="K638" t="str">
        <f t="shared" si="40"/>
        <v>Normal</v>
      </c>
      <c r="L638">
        <v>17</v>
      </c>
      <c r="M638" t="s">
        <v>2363</v>
      </c>
      <c r="N638">
        <v>1992</v>
      </c>
      <c r="O638" s="8">
        <f t="shared" si="38"/>
        <v>33864</v>
      </c>
      <c r="P638" s="10">
        <v>5428.73</v>
      </c>
      <c r="Q638" t="s">
        <v>2358</v>
      </c>
      <c r="R638" t="s">
        <v>2361</v>
      </c>
      <c r="S638" t="s">
        <v>2378</v>
      </c>
      <c r="T638">
        <f t="shared" ca="1" si="39"/>
        <v>34</v>
      </c>
      <c r="U638">
        <f>VLOOKUP($A638,'Medical Examination'!$A:$Z,2,FALSE)</f>
        <v>53.32</v>
      </c>
    </row>
    <row r="639" spans="1:21" ht="15.5" x14ac:dyDescent="0.35">
      <c r="A639" s="2" t="s">
        <v>639</v>
      </c>
      <c r="B639" s="2" t="s">
        <v>3439</v>
      </c>
      <c r="C639">
        <v>38.04</v>
      </c>
      <c r="D639">
        <v>5.0199999999999996</v>
      </c>
      <c r="E639" t="s">
        <v>2346</v>
      </c>
      <c r="F639" t="s">
        <v>2344</v>
      </c>
      <c r="G639" t="s">
        <v>2344</v>
      </c>
      <c r="H639">
        <v>1</v>
      </c>
      <c r="I639" t="s">
        <v>2344</v>
      </c>
      <c r="J639" t="str">
        <f t="shared" si="37"/>
        <v>Obesity</v>
      </c>
      <c r="K639" t="str">
        <f t="shared" si="40"/>
        <v>Normal</v>
      </c>
      <c r="L639">
        <v>8</v>
      </c>
      <c r="M639" t="s">
        <v>2362</v>
      </c>
      <c r="N639">
        <v>1978</v>
      </c>
      <c r="O639" s="8">
        <f t="shared" si="38"/>
        <v>28649</v>
      </c>
      <c r="P639" s="10">
        <v>5428.98</v>
      </c>
      <c r="Q639" t="s">
        <v>2357</v>
      </c>
      <c r="R639" t="s">
        <v>2357</v>
      </c>
      <c r="S639" t="s">
        <v>2364</v>
      </c>
      <c r="T639">
        <f t="shared" ca="1" si="39"/>
        <v>48</v>
      </c>
      <c r="U639">
        <f>VLOOKUP($A639,'Medical Examination'!$A:$Z,2,FALSE)</f>
        <v>38.04</v>
      </c>
    </row>
    <row r="640" spans="1:21" ht="15.5" x14ac:dyDescent="0.35">
      <c r="A640" s="2" t="s">
        <v>640</v>
      </c>
      <c r="B640" s="2" t="s">
        <v>3440</v>
      </c>
      <c r="C640">
        <v>37.9</v>
      </c>
      <c r="D640">
        <v>7.76</v>
      </c>
      <c r="E640" t="s">
        <v>2344</v>
      </c>
      <c r="F640" t="s">
        <v>2344</v>
      </c>
      <c r="G640" t="s">
        <v>2344</v>
      </c>
      <c r="H640">
        <v>0</v>
      </c>
      <c r="I640" t="s">
        <v>2344</v>
      </c>
      <c r="J640" t="str">
        <f t="shared" si="37"/>
        <v>Obesity</v>
      </c>
      <c r="K640" t="str">
        <f t="shared" si="40"/>
        <v>Diabetes</v>
      </c>
      <c r="L640">
        <v>25</v>
      </c>
      <c r="M640" t="s">
        <v>2366</v>
      </c>
      <c r="N640">
        <v>1982</v>
      </c>
      <c r="O640" s="8">
        <f t="shared" si="38"/>
        <v>30188</v>
      </c>
      <c r="P640" s="10">
        <v>5438.75</v>
      </c>
      <c r="Q640" t="s">
        <v>2358</v>
      </c>
      <c r="R640" t="s">
        <v>2357</v>
      </c>
      <c r="S640" t="s">
        <v>2359</v>
      </c>
      <c r="T640">
        <f t="shared" ca="1" si="39"/>
        <v>44</v>
      </c>
      <c r="U640">
        <f>VLOOKUP($A640,'Medical Examination'!$A:$Z,2,FALSE)</f>
        <v>37.9</v>
      </c>
    </row>
    <row r="641" spans="1:21" ht="15.5" x14ac:dyDescent="0.35">
      <c r="A641" s="2" t="s">
        <v>641</v>
      </c>
      <c r="B641" s="2" t="s">
        <v>2402</v>
      </c>
      <c r="C641">
        <v>39.6</v>
      </c>
      <c r="D641">
        <v>9.32</v>
      </c>
      <c r="E641" t="s">
        <v>2344</v>
      </c>
      <c r="F641" t="s">
        <v>2344</v>
      </c>
      <c r="G641" t="s">
        <v>2344</v>
      </c>
      <c r="H641">
        <v>0</v>
      </c>
      <c r="I641" t="s">
        <v>2344</v>
      </c>
      <c r="J641" t="str">
        <f t="shared" si="37"/>
        <v>Obesity</v>
      </c>
      <c r="K641" t="str">
        <f t="shared" si="40"/>
        <v>Diabetes</v>
      </c>
      <c r="L641">
        <v>25</v>
      </c>
      <c r="M641" t="s">
        <v>2365</v>
      </c>
      <c r="N641">
        <v>1986</v>
      </c>
      <c r="O641" s="8">
        <f t="shared" si="38"/>
        <v>31771</v>
      </c>
      <c r="P641" s="10">
        <v>5458.05</v>
      </c>
      <c r="Q641" t="s">
        <v>2357</v>
      </c>
      <c r="R641" t="s">
        <v>2357</v>
      </c>
      <c r="S641" t="s">
        <v>2374</v>
      </c>
      <c r="T641">
        <f t="shared" ca="1" si="39"/>
        <v>40</v>
      </c>
      <c r="U641">
        <f>VLOOKUP($A641,'Medical Examination'!$A:$Z,2,FALSE)</f>
        <v>39.6</v>
      </c>
    </row>
    <row r="642" spans="1:21" ht="15.5" x14ac:dyDescent="0.35">
      <c r="A642" s="2" t="s">
        <v>642</v>
      </c>
      <c r="B642" s="2" t="s">
        <v>3442</v>
      </c>
      <c r="C642">
        <v>50.92</v>
      </c>
      <c r="D642">
        <v>5.31</v>
      </c>
      <c r="E642" t="s">
        <v>2346</v>
      </c>
      <c r="F642" t="s">
        <v>2344</v>
      </c>
      <c r="G642" t="s">
        <v>2344</v>
      </c>
      <c r="H642">
        <v>1</v>
      </c>
      <c r="I642" t="s">
        <v>2344</v>
      </c>
      <c r="J642" t="str">
        <f t="shared" si="37"/>
        <v>Obesity</v>
      </c>
      <c r="K642" t="str">
        <f t="shared" si="40"/>
        <v>Normal</v>
      </c>
      <c r="L642">
        <v>24</v>
      </c>
      <c r="M642" t="s">
        <v>2367</v>
      </c>
      <c r="N642">
        <v>1973</v>
      </c>
      <c r="O642" s="8">
        <f t="shared" si="38"/>
        <v>26961</v>
      </c>
      <c r="P642" s="10">
        <v>5466.88</v>
      </c>
      <c r="Q642" t="s">
        <v>2357</v>
      </c>
      <c r="R642" t="s">
        <v>2357</v>
      </c>
      <c r="S642" t="s">
        <v>2359</v>
      </c>
      <c r="T642">
        <f t="shared" ca="1" si="39"/>
        <v>53</v>
      </c>
      <c r="U642">
        <f>VLOOKUP($A642,'Medical Examination'!$A:$Z,2,FALSE)</f>
        <v>50.92</v>
      </c>
    </row>
    <row r="643" spans="1:21" ht="15.5" x14ac:dyDescent="0.35">
      <c r="A643" s="2" t="s">
        <v>643</v>
      </c>
      <c r="B643" s="2" t="s">
        <v>2538</v>
      </c>
      <c r="C643">
        <v>21.85</v>
      </c>
      <c r="D643">
        <v>5.56</v>
      </c>
      <c r="E643" t="s">
        <v>2346</v>
      </c>
      <c r="F643" t="s">
        <v>2344</v>
      </c>
      <c r="G643" t="s">
        <v>2344</v>
      </c>
      <c r="H643">
        <v>0</v>
      </c>
      <c r="I643" t="s">
        <v>2346</v>
      </c>
      <c r="J643" t="str">
        <f t="shared" ref="J643:J706" si="41">IF(C643&lt;18.5,"Under Weight",IF(C643&lt;25,"Normal Weight",IF(C643&lt;30,"Over weight","Obesity")))</f>
        <v>Normal Weight</v>
      </c>
      <c r="K643" t="str">
        <f t="shared" si="40"/>
        <v>Normal</v>
      </c>
      <c r="L643">
        <v>2</v>
      </c>
      <c r="M643" t="s">
        <v>2365</v>
      </c>
      <c r="N643">
        <v>1986</v>
      </c>
      <c r="O643" s="8">
        <f t="shared" ref="O643:O706" si="42">DATE(N643,MONTH(1&amp;M643),L643)</f>
        <v>31748</v>
      </c>
      <c r="P643" s="10">
        <v>5469.01</v>
      </c>
      <c r="Q643" t="s">
        <v>2357</v>
      </c>
      <c r="R643" t="s">
        <v>2357</v>
      </c>
      <c r="S643" t="s">
        <v>2374</v>
      </c>
      <c r="T643">
        <f t="shared" ref="T643:T706" ca="1" si="43">YEAR(TODAY())-YEAR(O643)</f>
        <v>40</v>
      </c>
      <c r="U643">
        <f>VLOOKUP($A643,'Medical Examination'!$A:$Z,2,FALSE)</f>
        <v>21.85</v>
      </c>
    </row>
    <row r="644" spans="1:21" ht="15.5" x14ac:dyDescent="0.35">
      <c r="A644" s="2" t="s">
        <v>644</v>
      </c>
      <c r="B644" s="2" t="s">
        <v>3444</v>
      </c>
      <c r="C644">
        <v>36.08</v>
      </c>
      <c r="D644">
        <v>7.11</v>
      </c>
      <c r="E644" t="s">
        <v>2346</v>
      </c>
      <c r="F644" t="s">
        <v>2344</v>
      </c>
      <c r="G644" t="s">
        <v>2346</v>
      </c>
      <c r="H644">
        <v>1</v>
      </c>
      <c r="I644" t="s">
        <v>2344</v>
      </c>
      <c r="J644" t="str">
        <f t="shared" si="41"/>
        <v>Obesity</v>
      </c>
      <c r="K644" t="str">
        <f t="shared" si="40"/>
        <v>Diabetes</v>
      </c>
      <c r="L644">
        <v>12</v>
      </c>
      <c r="M644" t="s">
        <v>2356</v>
      </c>
      <c r="N644">
        <v>1986</v>
      </c>
      <c r="O644" s="8">
        <f t="shared" si="42"/>
        <v>31605</v>
      </c>
      <c r="P644" s="10">
        <v>5472.45</v>
      </c>
      <c r="Q644" t="s">
        <v>2357</v>
      </c>
      <c r="R644" t="s">
        <v>2358</v>
      </c>
      <c r="S644" t="s">
        <v>2368</v>
      </c>
      <c r="T644">
        <f t="shared" ca="1" si="43"/>
        <v>40</v>
      </c>
      <c r="U644">
        <f>VLOOKUP($A644,'Medical Examination'!$A:$Z,2,FALSE)</f>
        <v>36.08</v>
      </c>
    </row>
    <row r="645" spans="1:21" ht="15.5" x14ac:dyDescent="0.35">
      <c r="A645" s="2" t="s">
        <v>645</v>
      </c>
      <c r="B645" s="2" t="s">
        <v>3445</v>
      </c>
      <c r="C645">
        <v>40.44</v>
      </c>
      <c r="D645">
        <v>5.13</v>
      </c>
      <c r="E645" t="s">
        <v>2346</v>
      </c>
      <c r="F645" t="s">
        <v>2344</v>
      </c>
      <c r="G645" t="s">
        <v>2346</v>
      </c>
      <c r="H645">
        <v>1</v>
      </c>
      <c r="I645" t="s">
        <v>2344</v>
      </c>
      <c r="J645" t="str">
        <f t="shared" si="41"/>
        <v>Obesity</v>
      </c>
      <c r="K645" t="str">
        <f t="shared" si="40"/>
        <v>Normal</v>
      </c>
      <c r="L645">
        <v>30</v>
      </c>
      <c r="M645" t="s">
        <v>2363</v>
      </c>
      <c r="N645">
        <v>1986</v>
      </c>
      <c r="O645" s="8">
        <f t="shared" si="42"/>
        <v>31685</v>
      </c>
      <c r="P645" s="10">
        <v>5478.04</v>
      </c>
      <c r="Q645" t="s">
        <v>2357</v>
      </c>
      <c r="R645" t="s">
        <v>2358</v>
      </c>
      <c r="S645" t="s">
        <v>2359</v>
      </c>
      <c r="T645">
        <f t="shared" ca="1" si="43"/>
        <v>40</v>
      </c>
      <c r="U645">
        <f>VLOOKUP($A645,'Medical Examination'!$A:$Z,2,FALSE)</f>
        <v>40.44</v>
      </c>
    </row>
    <row r="646" spans="1:21" ht="15.5" x14ac:dyDescent="0.35">
      <c r="A646" s="2" t="s">
        <v>646</v>
      </c>
      <c r="B646" s="2" t="s">
        <v>3447</v>
      </c>
      <c r="C646">
        <v>38.094999999999999</v>
      </c>
      <c r="D646">
        <v>10.199999999999999</v>
      </c>
      <c r="E646" t="s">
        <v>2344</v>
      </c>
      <c r="F646" t="s">
        <v>2344</v>
      </c>
      <c r="G646" t="s">
        <v>2344</v>
      </c>
      <c r="H646">
        <v>0</v>
      </c>
      <c r="I646" t="s">
        <v>2344</v>
      </c>
      <c r="J646" t="str">
        <f t="shared" si="41"/>
        <v>Obesity</v>
      </c>
      <c r="K646" t="str">
        <f t="shared" si="40"/>
        <v>Diabetes</v>
      </c>
      <c r="L646">
        <v>26</v>
      </c>
      <c r="M646" t="s">
        <v>2366</v>
      </c>
      <c r="N646">
        <v>1984</v>
      </c>
      <c r="O646" s="8">
        <f t="shared" si="42"/>
        <v>30920</v>
      </c>
      <c r="P646" s="10">
        <v>5484.47</v>
      </c>
      <c r="Q646" t="s">
        <v>2357</v>
      </c>
      <c r="R646" t="s">
        <v>2357</v>
      </c>
      <c r="S646" t="s">
        <v>2359</v>
      </c>
      <c r="T646">
        <f t="shared" ca="1" si="43"/>
        <v>42</v>
      </c>
      <c r="U646">
        <f>VLOOKUP($A646,'Medical Examination'!$A:$Z,2,FALSE)</f>
        <v>38.094999999999999</v>
      </c>
    </row>
    <row r="647" spans="1:21" ht="15.5" x14ac:dyDescent="0.35">
      <c r="A647" s="2" t="s">
        <v>647</v>
      </c>
      <c r="B647" s="2" t="s">
        <v>3448</v>
      </c>
      <c r="C647">
        <v>44.95</v>
      </c>
      <c r="D647">
        <v>10.4</v>
      </c>
      <c r="E647" t="s">
        <v>2344</v>
      </c>
      <c r="F647" t="s">
        <v>2344</v>
      </c>
      <c r="G647" t="s">
        <v>2344</v>
      </c>
      <c r="H647">
        <v>0</v>
      </c>
      <c r="I647" t="s">
        <v>2344</v>
      </c>
      <c r="J647" t="str">
        <f t="shared" si="41"/>
        <v>Obesity</v>
      </c>
      <c r="K647" t="str">
        <f t="shared" si="40"/>
        <v>Diabetes</v>
      </c>
      <c r="L647">
        <v>17</v>
      </c>
      <c r="M647" t="s">
        <v>2366</v>
      </c>
      <c r="N647">
        <v>1984</v>
      </c>
      <c r="O647" s="8">
        <f t="shared" si="42"/>
        <v>30911</v>
      </c>
      <c r="P647" s="10">
        <v>5488.26</v>
      </c>
      <c r="Q647" t="s">
        <v>2357</v>
      </c>
      <c r="R647" t="s">
        <v>2358</v>
      </c>
      <c r="S647" t="s">
        <v>2368</v>
      </c>
      <c r="T647">
        <f t="shared" ca="1" si="43"/>
        <v>42</v>
      </c>
      <c r="U647">
        <f>VLOOKUP($A647,'Medical Examination'!$A:$Z,2,FALSE)</f>
        <v>44.95</v>
      </c>
    </row>
    <row r="648" spans="1:21" ht="15.5" x14ac:dyDescent="0.35">
      <c r="A648" s="2" t="s">
        <v>648</v>
      </c>
      <c r="B648" s="2" t="s">
        <v>3449</v>
      </c>
      <c r="C648">
        <v>35.54</v>
      </c>
      <c r="D648">
        <v>10.67</v>
      </c>
      <c r="E648" t="s">
        <v>2344</v>
      </c>
      <c r="F648" t="s">
        <v>2344</v>
      </c>
      <c r="G648" t="s">
        <v>2344</v>
      </c>
      <c r="H648">
        <v>0</v>
      </c>
      <c r="I648" t="s">
        <v>2344</v>
      </c>
      <c r="J648" t="str">
        <f t="shared" si="41"/>
        <v>Obesity</v>
      </c>
      <c r="K648" t="str">
        <f t="shared" si="40"/>
        <v>Diabetes</v>
      </c>
      <c r="L648">
        <v>29</v>
      </c>
      <c r="M648" t="s">
        <v>2356</v>
      </c>
      <c r="N648">
        <v>1988</v>
      </c>
      <c r="O648" s="8">
        <f t="shared" si="42"/>
        <v>32353</v>
      </c>
      <c r="P648" s="10">
        <v>5503.36</v>
      </c>
      <c r="Q648" t="s">
        <v>2357</v>
      </c>
      <c r="R648" t="s">
        <v>2357</v>
      </c>
      <c r="S648" t="s">
        <v>2364</v>
      </c>
      <c r="T648">
        <f t="shared" ca="1" si="43"/>
        <v>38</v>
      </c>
      <c r="U648">
        <f>VLOOKUP($A648,'Medical Examination'!$A:$Z,2,FALSE)</f>
        <v>35.54</v>
      </c>
    </row>
    <row r="649" spans="1:21" ht="15.5" x14ac:dyDescent="0.35">
      <c r="A649" s="2" t="s">
        <v>649</v>
      </c>
      <c r="B649" s="2" t="s">
        <v>3451</v>
      </c>
      <c r="C649">
        <v>39.799999999999997</v>
      </c>
      <c r="D649">
        <v>4.6500000000000004</v>
      </c>
      <c r="E649" t="s">
        <v>2346</v>
      </c>
      <c r="F649" t="s">
        <v>2344</v>
      </c>
      <c r="G649" t="s">
        <v>2344</v>
      </c>
      <c r="H649">
        <v>1</v>
      </c>
      <c r="I649" t="s">
        <v>2344</v>
      </c>
      <c r="J649" t="str">
        <f t="shared" si="41"/>
        <v>Obesity</v>
      </c>
      <c r="K649" t="str">
        <f t="shared" si="40"/>
        <v>Normal</v>
      </c>
      <c r="L649">
        <v>7</v>
      </c>
      <c r="M649" t="s">
        <v>2360</v>
      </c>
      <c r="N649">
        <v>1981</v>
      </c>
      <c r="O649" s="8">
        <f t="shared" si="42"/>
        <v>29897</v>
      </c>
      <c r="P649" s="10">
        <v>5539.4</v>
      </c>
      <c r="Q649" t="s">
        <v>2357</v>
      </c>
      <c r="R649" t="s">
        <v>2357</v>
      </c>
      <c r="S649" t="s">
        <v>2359</v>
      </c>
      <c r="T649">
        <f t="shared" ca="1" si="43"/>
        <v>45</v>
      </c>
      <c r="U649">
        <f>VLOOKUP($A649,'Medical Examination'!$A:$Z,2,FALSE)</f>
        <v>39.799999999999997</v>
      </c>
    </row>
    <row r="650" spans="1:21" ht="15.5" x14ac:dyDescent="0.35">
      <c r="A650" s="2" t="s">
        <v>650</v>
      </c>
      <c r="B650" s="2" t="s">
        <v>3452</v>
      </c>
      <c r="C650">
        <v>33.659999999999997</v>
      </c>
      <c r="D650">
        <v>5.65</v>
      </c>
      <c r="E650" t="s">
        <v>2346</v>
      </c>
      <c r="F650" t="s">
        <v>2344</v>
      </c>
      <c r="G650" t="s">
        <v>2344</v>
      </c>
      <c r="H650">
        <v>1</v>
      </c>
      <c r="I650" t="s">
        <v>2344</v>
      </c>
      <c r="J650" t="str">
        <f t="shared" si="41"/>
        <v>Obesity</v>
      </c>
      <c r="K650" t="str">
        <f t="shared" si="40"/>
        <v>Normal</v>
      </c>
      <c r="L650">
        <v>7</v>
      </c>
      <c r="M650" t="s">
        <v>2365</v>
      </c>
      <c r="N650">
        <v>1980</v>
      </c>
      <c r="O650" s="8">
        <f t="shared" si="42"/>
        <v>29562</v>
      </c>
      <c r="P650" s="10">
        <v>5540.35</v>
      </c>
      <c r="Q650" t="s">
        <v>2357</v>
      </c>
      <c r="R650" t="s">
        <v>2357</v>
      </c>
      <c r="S650" t="s">
        <v>2364</v>
      </c>
      <c r="T650">
        <f t="shared" ca="1" si="43"/>
        <v>46</v>
      </c>
      <c r="U650">
        <f>VLOOKUP($A650,'Medical Examination'!$A:$Z,2,FALSE)</f>
        <v>33.659999999999997</v>
      </c>
    </row>
    <row r="651" spans="1:21" ht="15.5" x14ac:dyDescent="0.35">
      <c r="A651" s="2" t="s">
        <v>651</v>
      </c>
      <c r="B651" s="2" t="s">
        <v>3453</v>
      </c>
      <c r="C651">
        <v>35.5</v>
      </c>
      <c r="D651">
        <v>11.97</v>
      </c>
      <c r="E651" t="s">
        <v>2344</v>
      </c>
      <c r="F651" t="s">
        <v>2344</v>
      </c>
      <c r="G651" t="s">
        <v>2344</v>
      </c>
      <c r="H651">
        <v>0</v>
      </c>
      <c r="I651" t="s">
        <v>2344</v>
      </c>
      <c r="J651" t="str">
        <f t="shared" si="41"/>
        <v>Obesity</v>
      </c>
      <c r="K651" t="str">
        <f t="shared" si="40"/>
        <v>Diabetes</v>
      </c>
      <c r="L651">
        <v>22</v>
      </c>
      <c r="M651" t="s">
        <v>2363</v>
      </c>
      <c r="N651">
        <v>1999</v>
      </c>
      <c r="O651" s="8">
        <f t="shared" si="42"/>
        <v>36425</v>
      </c>
      <c r="P651" s="10">
        <v>5552.61</v>
      </c>
      <c r="Q651" t="s">
        <v>2357</v>
      </c>
      <c r="R651" t="s">
        <v>2358</v>
      </c>
      <c r="S651" t="s">
        <v>2380</v>
      </c>
      <c r="T651">
        <f t="shared" ca="1" si="43"/>
        <v>27</v>
      </c>
      <c r="U651">
        <f>VLOOKUP($A651,'Medical Examination'!$A:$Z,2,FALSE)</f>
        <v>35.5</v>
      </c>
    </row>
    <row r="652" spans="1:21" ht="15.5" x14ac:dyDescent="0.35">
      <c r="A652" s="2" t="s">
        <v>652</v>
      </c>
      <c r="B652" s="2" t="s">
        <v>3455</v>
      </c>
      <c r="C652">
        <v>41.63</v>
      </c>
      <c r="D652">
        <v>6.71</v>
      </c>
      <c r="E652" t="s">
        <v>2344</v>
      </c>
      <c r="F652" t="s">
        <v>2344</v>
      </c>
      <c r="G652" t="s">
        <v>2344</v>
      </c>
      <c r="H652">
        <v>0</v>
      </c>
      <c r="I652" t="s">
        <v>2344</v>
      </c>
      <c r="J652" t="str">
        <f t="shared" si="41"/>
        <v>Obesity</v>
      </c>
      <c r="K652" t="str">
        <f t="shared" ref="K652:K715" si="44">IF(D652&lt;5.7,"Normal",IF(D652&lt;6.5,"Prediabetes","Diabetes"))</f>
        <v>Diabetes</v>
      </c>
      <c r="L652">
        <v>18</v>
      </c>
      <c r="M652" t="s">
        <v>2363</v>
      </c>
      <c r="N652">
        <v>1974</v>
      </c>
      <c r="O652" s="8">
        <f t="shared" si="42"/>
        <v>27290</v>
      </c>
      <c r="P652" s="10">
        <v>5576.35</v>
      </c>
      <c r="Q652" t="s">
        <v>2357</v>
      </c>
      <c r="R652" t="s">
        <v>2358</v>
      </c>
      <c r="S652" t="s">
        <v>2359</v>
      </c>
      <c r="T652">
        <f t="shared" ca="1" si="43"/>
        <v>52</v>
      </c>
      <c r="U652">
        <f>VLOOKUP($A652,'Medical Examination'!$A:$Z,2,FALSE)</f>
        <v>41.63</v>
      </c>
    </row>
    <row r="653" spans="1:21" ht="15.5" x14ac:dyDescent="0.35">
      <c r="A653" s="2" t="s">
        <v>653</v>
      </c>
      <c r="B653" s="2" t="s">
        <v>3456</v>
      </c>
      <c r="C653">
        <v>46.49</v>
      </c>
      <c r="D653">
        <v>11.92</v>
      </c>
      <c r="E653" t="s">
        <v>2344</v>
      </c>
      <c r="F653" t="s">
        <v>2344</v>
      </c>
      <c r="G653" t="s">
        <v>2344</v>
      </c>
      <c r="H653">
        <v>0</v>
      </c>
      <c r="I653" t="s">
        <v>2344</v>
      </c>
      <c r="J653" t="str">
        <f t="shared" si="41"/>
        <v>Obesity</v>
      </c>
      <c r="K653" t="str">
        <f t="shared" si="44"/>
        <v>Diabetes</v>
      </c>
      <c r="L653">
        <v>5</v>
      </c>
      <c r="M653" t="s">
        <v>2363</v>
      </c>
      <c r="N653">
        <v>1985</v>
      </c>
      <c r="O653" s="8">
        <f t="shared" si="42"/>
        <v>31295</v>
      </c>
      <c r="P653" s="10">
        <v>5582.95</v>
      </c>
      <c r="Q653" t="s">
        <v>2357</v>
      </c>
      <c r="R653" t="s">
        <v>2361</v>
      </c>
      <c r="S653" t="s">
        <v>2364</v>
      </c>
      <c r="T653">
        <f t="shared" ca="1" si="43"/>
        <v>41</v>
      </c>
      <c r="U653">
        <f>VLOOKUP($A653,'Medical Examination'!$A:$Z,2,FALSE)</f>
        <v>46.49</v>
      </c>
    </row>
    <row r="654" spans="1:21" ht="15.5" x14ac:dyDescent="0.35">
      <c r="A654" s="2" t="s">
        <v>654</v>
      </c>
      <c r="B654" s="2" t="s">
        <v>3457</v>
      </c>
      <c r="C654">
        <v>43.29</v>
      </c>
      <c r="D654">
        <v>5.35</v>
      </c>
      <c r="E654" t="s">
        <v>2344</v>
      </c>
      <c r="F654" t="s">
        <v>2344</v>
      </c>
      <c r="G654" t="s">
        <v>2344</v>
      </c>
      <c r="H654">
        <v>1</v>
      </c>
      <c r="I654" t="s">
        <v>2344</v>
      </c>
      <c r="J654" t="str">
        <f t="shared" si="41"/>
        <v>Obesity</v>
      </c>
      <c r="K654" t="str">
        <f t="shared" si="44"/>
        <v>Normal</v>
      </c>
      <c r="L654">
        <v>21</v>
      </c>
      <c r="M654" t="s">
        <v>2360</v>
      </c>
      <c r="N654">
        <v>1986</v>
      </c>
      <c r="O654" s="8">
        <f t="shared" si="42"/>
        <v>31737</v>
      </c>
      <c r="P654" s="10">
        <v>5584.31</v>
      </c>
      <c r="Q654" t="s">
        <v>2358</v>
      </c>
      <c r="R654" t="s">
        <v>2361</v>
      </c>
      <c r="S654" t="s">
        <v>2359</v>
      </c>
      <c r="T654">
        <f t="shared" ca="1" si="43"/>
        <v>40</v>
      </c>
      <c r="U654">
        <f>VLOOKUP($A654,'Medical Examination'!$A:$Z,2,FALSE)</f>
        <v>43.29</v>
      </c>
    </row>
    <row r="655" spans="1:21" ht="15.5" x14ac:dyDescent="0.35">
      <c r="A655" s="2" t="s">
        <v>655</v>
      </c>
      <c r="B655" s="2" t="s">
        <v>3459</v>
      </c>
      <c r="C655">
        <v>43.08</v>
      </c>
      <c r="D655">
        <v>8.9600000000000009</v>
      </c>
      <c r="E655" t="s">
        <v>2346</v>
      </c>
      <c r="F655" t="s">
        <v>2344</v>
      </c>
      <c r="G655" t="s">
        <v>2344</v>
      </c>
      <c r="H655">
        <v>1</v>
      </c>
      <c r="I655" t="s">
        <v>2344</v>
      </c>
      <c r="J655" t="str">
        <f t="shared" si="41"/>
        <v>Obesity</v>
      </c>
      <c r="K655" t="str">
        <f t="shared" si="44"/>
        <v>Diabetes</v>
      </c>
      <c r="L655">
        <v>3</v>
      </c>
      <c r="M655" t="s">
        <v>2367</v>
      </c>
      <c r="N655">
        <v>1983</v>
      </c>
      <c r="O655" s="8">
        <f t="shared" si="42"/>
        <v>30592</v>
      </c>
      <c r="P655" s="10">
        <v>5587.59</v>
      </c>
      <c r="Q655" t="s">
        <v>2357</v>
      </c>
      <c r="R655" t="s">
        <v>2361</v>
      </c>
      <c r="S655" t="s">
        <v>2359</v>
      </c>
      <c r="T655">
        <f t="shared" ca="1" si="43"/>
        <v>43</v>
      </c>
      <c r="U655">
        <f>VLOOKUP($A655,'Medical Examination'!$A:$Z,2,FALSE)</f>
        <v>43.08</v>
      </c>
    </row>
    <row r="656" spans="1:21" ht="15.5" x14ac:dyDescent="0.35">
      <c r="A656" s="2" t="s">
        <v>656</v>
      </c>
      <c r="B656" s="2" t="s">
        <v>3460</v>
      </c>
      <c r="C656">
        <v>39.07</v>
      </c>
      <c r="D656">
        <v>11.93</v>
      </c>
      <c r="E656" t="s">
        <v>2344</v>
      </c>
      <c r="F656" t="s">
        <v>2344</v>
      </c>
      <c r="G656" t="s">
        <v>2344</v>
      </c>
      <c r="H656">
        <v>0</v>
      </c>
      <c r="I656" t="s">
        <v>2344</v>
      </c>
      <c r="J656" t="str">
        <f t="shared" si="41"/>
        <v>Obesity</v>
      </c>
      <c r="K656" t="str">
        <f t="shared" si="44"/>
        <v>Diabetes</v>
      </c>
      <c r="L656">
        <v>18</v>
      </c>
      <c r="M656" t="s">
        <v>2360</v>
      </c>
      <c r="N656">
        <v>1988</v>
      </c>
      <c r="O656" s="8">
        <f t="shared" si="42"/>
        <v>32465</v>
      </c>
      <c r="P656" s="10">
        <v>5594.85</v>
      </c>
      <c r="Q656" t="s">
        <v>2357</v>
      </c>
      <c r="R656" t="s">
        <v>2358</v>
      </c>
      <c r="S656" t="s">
        <v>2374</v>
      </c>
      <c r="T656">
        <f t="shared" ca="1" si="43"/>
        <v>38</v>
      </c>
      <c r="U656">
        <f>VLOOKUP($A656,'Medical Examination'!$A:$Z,2,FALSE)</f>
        <v>39.07</v>
      </c>
    </row>
    <row r="657" spans="1:21" ht="15.5" x14ac:dyDescent="0.35">
      <c r="A657" s="2" t="s">
        <v>657</v>
      </c>
      <c r="B657" s="2" t="s">
        <v>3462</v>
      </c>
      <c r="C657">
        <v>41.3</v>
      </c>
      <c r="D657">
        <v>9.59</v>
      </c>
      <c r="E657" t="s">
        <v>2344</v>
      </c>
      <c r="F657" t="s">
        <v>2344</v>
      </c>
      <c r="G657" t="s">
        <v>2344</v>
      </c>
      <c r="H657">
        <v>0</v>
      </c>
      <c r="I657" t="s">
        <v>2344</v>
      </c>
      <c r="J657" t="str">
        <f t="shared" si="41"/>
        <v>Obesity</v>
      </c>
      <c r="K657" t="str">
        <f t="shared" si="44"/>
        <v>Diabetes</v>
      </c>
      <c r="L657">
        <v>11</v>
      </c>
      <c r="M657" t="s">
        <v>2363</v>
      </c>
      <c r="N657">
        <v>1978</v>
      </c>
      <c r="O657" s="8">
        <f t="shared" si="42"/>
        <v>28744</v>
      </c>
      <c r="P657" s="10">
        <v>5612.83</v>
      </c>
      <c r="Q657" t="s">
        <v>2357</v>
      </c>
      <c r="R657" t="s">
        <v>2358</v>
      </c>
      <c r="S657" t="s">
        <v>2359</v>
      </c>
      <c r="T657">
        <f t="shared" ca="1" si="43"/>
        <v>48</v>
      </c>
      <c r="U657">
        <f>VLOOKUP($A657,'Medical Examination'!$A:$Z,2,FALSE)</f>
        <v>41.3</v>
      </c>
    </row>
    <row r="658" spans="1:21" ht="15.5" x14ac:dyDescent="0.35">
      <c r="A658" s="2" t="s">
        <v>658</v>
      </c>
      <c r="B658" s="2" t="s">
        <v>3463</v>
      </c>
      <c r="C658">
        <v>42.95</v>
      </c>
      <c r="D658">
        <v>11.88</v>
      </c>
      <c r="E658" t="s">
        <v>2346</v>
      </c>
      <c r="F658" t="s">
        <v>2344</v>
      </c>
      <c r="G658" t="s">
        <v>2344</v>
      </c>
      <c r="H658">
        <v>1</v>
      </c>
      <c r="I658" t="s">
        <v>2344</v>
      </c>
      <c r="J658" t="str">
        <f t="shared" si="41"/>
        <v>Obesity</v>
      </c>
      <c r="K658" t="str">
        <f t="shared" si="44"/>
        <v>Diabetes</v>
      </c>
      <c r="L658">
        <v>15</v>
      </c>
      <c r="M658" t="s">
        <v>2360</v>
      </c>
      <c r="N658">
        <v>1994</v>
      </c>
      <c r="O658" s="8">
        <f t="shared" si="42"/>
        <v>34653</v>
      </c>
      <c r="P658" s="10">
        <v>5615.37</v>
      </c>
      <c r="Q658" t="s">
        <v>2357</v>
      </c>
      <c r="R658" t="s">
        <v>2358</v>
      </c>
      <c r="S658" t="s">
        <v>2368</v>
      </c>
      <c r="T658">
        <f t="shared" ca="1" si="43"/>
        <v>32</v>
      </c>
      <c r="U658">
        <f>VLOOKUP($A658,'Medical Examination'!$A:$Z,2,FALSE)</f>
        <v>42.95</v>
      </c>
    </row>
    <row r="659" spans="1:21" ht="15.5" x14ac:dyDescent="0.35">
      <c r="A659" s="2" t="s">
        <v>659</v>
      </c>
      <c r="B659" s="2" t="s">
        <v>3465</v>
      </c>
      <c r="C659">
        <v>46.96</v>
      </c>
      <c r="D659">
        <v>4.6399999999999997</v>
      </c>
      <c r="E659" t="s">
        <v>2344</v>
      </c>
      <c r="F659" t="s">
        <v>2344</v>
      </c>
      <c r="G659" t="s">
        <v>2346</v>
      </c>
      <c r="H659">
        <v>1</v>
      </c>
      <c r="I659" t="s">
        <v>2344</v>
      </c>
      <c r="J659" t="str">
        <f t="shared" si="41"/>
        <v>Obesity</v>
      </c>
      <c r="K659" t="str">
        <f t="shared" si="44"/>
        <v>Normal</v>
      </c>
      <c r="L659">
        <v>9</v>
      </c>
      <c r="M659" t="s">
        <v>2365</v>
      </c>
      <c r="N659">
        <v>1987</v>
      </c>
      <c r="O659" s="8">
        <f t="shared" si="42"/>
        <v>32120</v>
      </c>
      <c r="P659" s="10">
        <v>5630.46</v>
      </c>
      <c r="Q659" t="s">
        <v>2357</v>
      </c>
      <c r="R659" t="s">
        <v>2358</v>
      </c>
      <c r="S659" t="s">
        <v>2364</v>
      </c>
      <c r="T659">
        <f t="shared" ca="1" si="43"/>
        <v>39</v>
      </c>
      <c r="U659">
        <f>VLOOKUP($A659,'Medical Examination'!$A:$Z,2,FALSE)</f>
        <v>46.96</v>
      </c>
    </row>
    <row r="660" spans="1:21" ht="15.5" x14ac:dyDescent="0.35">
      <c r="A660" s="2" t="s">
        <v>660</v>
      </c>
      <c r="B660" s="2" t="s">
        <v>3466</v>
      </c>
      <c r="C660">
        <v>30.495000000000001</v>
      </c>
      <c r="D660">
        <v>9.5299999999999994</v>
      </c>
      <c r="E660" t="s">
        <v>2344</v>
      </c>
      <c r="F660" t="s">
        <v>2344</v>
      </c>
      <c r="G660" t="s">
        <v>2344</v>
      </c>
      <c r="H660">
        <v>0</v>
      </c>
      <c r="I660" t="s">
        <v>2344</v>
      </c>
      <c r="J660" t="str">
        <f t="shared" si="41"/>
        <v>Obesity</v>
      </c>
      <c r="K660" t="str">
        <f t="shared" si="44"/>
        <v>Diabetes</v>
      </c>
      <c r="L660">
        <v>8</v>
      </c>
      <c r="M660" t="s">
        <v>2362</v>
      </c>
      <c r="N660">
        <v>1983</v>
      </c>
      <c r="O660" s="8">
        <f t="shared" si="42"/>
        <v>30475</v>
      </c>
      <c r="P660" s="10">
        <v>5649.72</v>
      </c>
      <c r="Q660" t="s">
        <v>2357</v>
      </c>
      <c r="R660" t="s">
        <v>2358</v>
      </c>
      <c r="S660" t="s">
        <v>2368</v>
      </c>
      <c r="T660">
        <f t="shared" ca="1" si="43"/>
        <v>43</v>
      </c>
      <c r="U660">
        <f>VLOOKUP($A660,'Medical Examination'!$A:$Z,2,FALSE)</f>
        <v>30.495000000000001</v>
      </c>
    </row>
    <row r="661" spans="1:21" ht="15.5" x14ac:dyDescent="0.35">
      <c r="A661" s="2" t="s">
        <v>661</v>
      </c>
      <c r="B661" s="2" t="s">
        <v>3468</v>
      </c>
      <c r="C661">
        <v>17.954999999999998</v>
      </c>
      <c r="D661">
        <v>5.29</v>
      </c>
      <c r="E661" t="s">
        <v>2346</v>
      </c>
      <c r="F661" t="s">
        <v>2344</v>
      </c>
      <c r="G661" t="s">
        <v>2344</v>
      </c>
      <c r="H661">
        <v>1</v>
      </c>
      <c r="I661" t="s">
        <v>2346</v>
      </c>
      <c r="J661" t="str">
        <f t="shared" si="41"/>
        <v>Under Weight</v>
      </c>
      <c r="K661" t="str">
        <f t="shared" si="44"/>
        <v>Normal</v>
      </c>
      <c r="L661">
        <v>27</v>
      </c>
      <c r="M661" t="s">
        <v>2363</v>
      </c>
      <c r="N661">
        <v>1978</v>
      </c>
      <c r="O661" s="8">
        <f t="shared" si="42"/>
        <v>28760</v>
      </c>
      <c r="P661" s="10">
        <v>5650.14</v>
      </c>
      <c r="Q661" t="s">
        <v>2357</v>
      </c>
      <c r="R661" t="s">
        <v>2361</v>
      </c>
      <c r="S661" t="s">
        <v>2359</v>
      </c>
      <c r="T661">
        <f t="shared" ca="1" si="43"/>
        <v>48</v>
      </c>
      <c r="U661">
        <f>VLOOKUP($A661,'Medical Examination'!$A:$Z,2,FALSE)</f>
        <v>17.954999999999998</v>
      </c>
    </row>
    <row r="662" spans="1:21" ht="15.5" x14ac:dyDescent="0.35">
      <c r="A662" s="2" t="s">
        <v>662</v>
      </c>
      <c r="B662" s="2" t="s">
        <v>3470</v>
      </c>
      <c r="C662">
        <v>25.6</v>
      </c>
      <c r="D662">
        <v>10.95</v>
      </c>
      <c r="E662" t="s">
        <v>2344</v>
      </c>
      <c r="F662" t="s">
        <v>2344</v>
      </c>
      <c r="G662" t="s">
        <v>2344</v>
      </c>
      <c r="H662">
        <v>1</v>
      </c>
      <c r="I662" t="s">
        <v>2344</v>
      </c>
      <c r="J662" t="str">
        <f t="shared" si="41"/>
        <v>Over weight</v>
      </c>
      <c r="K662" t="str">
        <f t="shared" si="44"/>
        <v>Diabetes</v>
      </c>
      <c r="L662">
        <v>3</v>
      </c>
      <c r="M662" t="s">
        <v>2363</v>
      </c>
      <c r="N662">
        <v>1983</v>
      </c>
      <c r="O662" s="8">
        <f t="shared" si="42"/>
        <v>30562</v>
      </c>
      <c r="P662" s="10">
        <v>5662.23</v>
      </c>
      <c r="Q662" t="s">
        <v>2357</v>
      </c>
      <c r="R662" t="s">
        <v>2361</v>
      </c>
      <c r="S662" t="s">
        <v>2359</v>
      </c>
      <c r="T662">
        <f t="shared" ca="1" si="43"/>
        <v>43</v>
      </c>
      <c r="U662">
        <f>VLOOKUP($A662,'Medical Examination'!$A:$Z,2,FALSE)</f>
        <v>25.6</v>
      </c>
    </row>
    <row r="663" spans="1:21" ht="15.5" x14ac:dyDescent="0.35">
      <c r="A663" s="2" t="s">
        <v>663</v>
      </c>
      <c r="B663" s="2" t="s">
        <v>3472</v>
      </c>
      <c r="C663">
        <v>34.21</v>
      </c>
      <c r="D663">
        <v>9.17</v>
      </c>
      <c r="E663" t="s">
        <v>2344</v>
      </c>
      <c r="F663" t="s">
        <v>2344</v>
      </c>
      <c r="G663" t="s">
        <v>2344</v>
      </c>
      <c r="H663">
        <v>0</v>
      </c>
      <c r="I663" t="s">
        <v>2344</v>
      </c>
      <c r="J663" t="str">
        <f t="shared" si="41"/>
        <v>Obesity</v>
      </c>
      <c r="K663" t="str">
        <f t="shared" si="44"/>
        <v>Diabetes</v>
      </c>
      <c r="L663">
        <v>12</v>
      </c>
      <c r="M663" t="s">
        <v>2366</v>
      </c>
      <c r="N663">
        <v>1984</v>
      </c>
      <c r="O663" s="8">
        <f t="shared" si="42"/>
        <v>30906</v>
      </c>
      <c r="P663" s="10">
        <v>5679.13</v>
      </c>
      <c r="Q663" t="s">
        <v>2357</v>
      </c>
      <c r="R663" t="s">
        <v>2357</v>
      </c>
      <c r="S663" t="s">
        <v>2359</v>
      </c>
      <c r="T663">
        <f t="shared" ca="1" si="43"/>
        <v>42</v>
      </c>
      <c r="U663">
        <f>VLOOKUP($A663,'Medical Examination'!$A:$Z,2,FALSE)</f>
        <v>34.21</v>
      </c>
    </row>
    <row r="664" spans="1:21" ht="15.5" x14ac:dyDescent="0.35">
      <c r="A664" s="2" t="s">
        <v>664</v>
      </c>
      <c r="B664" s="2" t="s">
        <v>3473</v>
      </c>
      <c r="C664">
        <v>39.74</v>
      </c>
      <c r="D664">
        <v>7.39</v>
      </c>
      <c r="E664" t="s">
        <v>2344</v>
      </c>
      <c r="F664" t="s">
        <v>2344</v>
      </c>
      <c r="G664" t="s">
        <v>2344</v>
      </c>
      <c r="H664">
        <v>0</v>
      </c>
      <c r="I664" t="s">
        <v>2344</v>
      </c>
      <c r="J664" t="str">
        <f t="shared" si="41"/>
        <v>Obesity</v>
      </c>
      <c r="K664" t="str">
        <f t="shared" si="44"/>
        <v>Diabetes</v>
      </c>
      <c r="L664">
        <v>28</v>
      </c>
      <c r="M664" t="s">
        <v>2367</v>
      </c>
      <c r="N664">
        <v>1972</v>
      </c>
      <c r="O664" s="8">
        <f t="shared" si="42"/>
        <v>26600</v>
      </c>
      <c r="P664" s="10">
        <v>5690.79</v>
      </c>
      <c r="Q664" t="s">
        <v>2357</v>
      </c>
      <c r="R664" t="s">
        <v>2361</v>
      </c>
      <c r="S664" t="s">
        <v>2359</v>
      </c>
      <c r="T664">
        <f t="shared" ca="1" si="43"/>
        <v>54</v>
      </c>
      <c r="U664">
        <f>VLOOKUP($A664,'Medical Examination'!$A:$Z,2,FALSE)</f>
        <v>39.74</v>
      </c>
    </row>
    <row r="665" spans="1:21" ht="15.5" x14ac:dyDescent="0.35">
      <c r="A665" s="2" t="s">
        <v>665</v>
      </c>
      <c r="B665" s="2" t="s">
        <v>3475</v>
      </c>
      <c r="C665">
        <v>49.53</v>
      </c>
      <c r="D665">
        <v>9.1300000000000008</v>
      </c>
      <c r="E665" t="s">
        <v>2346</v>
      </c>
      <c r="F665" t="s">
        <v>2344</v>
      </c>
      <c r="G665" t="s">
        <v>2344</v>
      </c>
      <c r="H665">
        <v>0</v>
      </c>
      <c r="I665" t="s">
        <v>2344</v>
      </c>
      <c r="J665" t="str">
        <f t="shared" si="41"/>
        <v>Obesity</v>
      </c>
      <c r="K665" t="str">
        <f t="shared" si="44"/>
        <v>Diabetes</v>
      </c>
      <c r="L665">
        <v>3</v>
      </c>
      <c r="M665" t="s">
        <v>2360</v>
      </c>
      <c r="N665">
        <v>1992</v>
      </c>
      <c r="O665" s="8">
        <f t="shared" si="42"/>
        <v>33911</v>
      </c>
      <c r="P665" s="10">
        <v>5693.43</v>
      </c>
      <c r="Q665" t="s">
        <v>2357</v>
      </c>
      <c r="R665" t="s">
        <v>2358</v>
      </c>
      <c r="S665" t="s">
        <v>2364</v>
      </c>
      <c r="T665">
        <f t="shared" ca="1" si="43"/>
        <v>34</v>
      </c>
      <c r="U665">
        <f>VLOOKUP($A665,'Medical Examination'!$A:$Z,2,FALSE)</f>
        <v>49.53</v>
      </c>
    </row>
    <row r="666" spans="1:21" ht="15.5" x14ac:dyDescent="0.35">
      <c r="A666" s="2" t="s">
        <v>666</v>
      </c>
      <c r="B666" s="2" t="s">
        <v>3476</v>
      </c>
      <c r="C666">
        <v>39.33</v>
      </c>
      <c r="D666">
        <v>10.4</v>
      </c>
      <c r="E666" t="s">
        <v>2344</v>
      </c>
      <c r="F666" t="s">
        <v>2344</v>
      </c>
      <c r="G666" t="s">
        <v>2344</v>
      </c>
      <c r="H666">
        <v>1</v>
      </c>
      <c r="I666" t="s">
        <v>2344</v>
      </c>
      <c r="J666" t="str">
        <f t="shared" si="41"/>
        <v>Obesity</v>
      </c>
      <c r="K666" t="str">
        <f t="shared" si="44"/>
        <v>Diabetes</v>
      </c>
      <c r="L666">
        <v>6</v>
      </c>
      <c r="M666" t="s">
        <v>2356</v>
      </c>
      <c r="N666">
        <v>1974</v>
      </c>
      <c r="O666" s="8">
        <f t="shared" si="42"/>
        <v>27216</v>
      </c>
      <c r="P666" s="10">
        <v>5698.74</v>
      </c>
      <c r="Q666" t="s">
        <v>2357</v>
      </c>
      <c r="R666" t="s">
        <v>2357</v>
      </c>
      <c r="S666" t="s">
        <v>2364</v>
      </c>
      <c r="T666">
        <f t="shared" ca="1" si="43"/>
        <v>52</v>
      </c>
      <c r="U666">
        <f>VLOOKUP($A666,'Medical Examination'!$A:$Z,2,FALSE)</f>
        <v>39.33</v>
      </c>
    </row>
    <row r="667" spans="1:21" ht="15.5" x14ac:dyDescent="0.35">
      <c r="A667" s="2" t="s">
        <v>667</v>
      </c>
      <c r="B667" s="2" t="s">
        <v>3478</v>
      </c>
      <c r="C667">
        <v>39.979999999999997</v>
      </c>
      <c r="D667">
        <v>9.4600000000000009</v>
      </c>
      <c r="E667" t="s">
        <v>2346</v>
      </c>
      <c r="F667" t="s">
        <v>2344</v>
      </c>
      <c r="G667" t="s">
        <v>2344</v>
      </c>
      <c r="H667">
        <v>1</v>
      </c>
      <c r="I667" t="s">
        <v>2344</v>
      </c>
      <c r="J667" t="str">
        <f t="shared" si="41"/>
        <v>Obesity</v>
      </c>
      <c r="K667" t="str">
        <f t="shared" si="44"/>
        <v>Diabetes</v>
      </c>
      <c r="L667">
        <v>15</v>
      </c>
      <c r="M667" t="s">
        <v>2362</v>
      </c>
      <c r="N667">
        <v>1981</v>
      </c>
      <c r="O667" s="8">
        <f t="shared" si="42"/>
        <v>29752</v>
      </c>
      <c r="P667" s="10">
        <v>5699.84</v>
      </c>
      <c r="Q667" t="s">
        <v>2357</v>
      </c>
      <c r="R667" t="s">
        <v>2358</v>
      </c>
      <c r="S667" t="s">
        <v>2359</v>
      </c>
      <c r="T667">
        <f t="shared" ca="1" si="43"/>
        <v>45</v>
      </c>
      <c r="U667">
        <f>VLOOKUP($A667,'Medical Examination'!$A:$Z,2,FALSE)</f>
        <v>39.979999999999997</v>
      </c>
    </row>
    <row r="668" spans="1:21" ht="15.5" x14ac:dyDescent="0.35">
      <c r="A668" s="2" t="s">
        <v>668</v>
      </c>
      <c r="B668" s="2" t="s">
        <v>3479</v>
      </c>
      <c r="C668">
        <v>46.51</v>
      </c>
      <c r="D668">
        <v>8.69</v>
      </c>
      <c r="E668" t="s">
        <v>2346</v>
      </c>
      <c r="F668" t="s">
        <v>2344</v>
      </c>
      <c r="G668" t="s">
        <v>2344</v>
      </c>
      <c r="H668">
        <v>0</v>
      </c>
      <c r="I668" t="s">
        <v>2344</v>
      </c>
      <c r="J668" t="str">
        <f t="shared" si="41"/>
        <v>Obesity</v>
      </c>
      <c r="K668" t="str">
        <f t="shared" si="44"/>
        <v>Diabetes</v>
      </c>
      <c r="L668">
        <v>3</v>
      </c>
      <c r="M668" t="s">
        <v>2360</v>
      </c>
      <c r="N668">
        <v>1993</v>
      </c>
      <c r="O668" s="8">
        <f t="shared" si="42"/>
        <v>34276</v>
      </c>
      <c r="P668" s="10">
        <v>5708.87</v>
      </c>
      <c r="Q668" t="s">
        <v>2357</v>
      </c>
      <c r="R668" t="s">
        <v>2361</v>
      </c>
      <c r="S668" t="s">
        <v>2368</v>
      </c>
      <c r="T668">
        <f t="shared" ca="1" si="43"/>
        <v>33</v>
      </c>
      <c r="U668">
        <f>VLOOKUP($A668,'Medical Examination'!$A:$Z,2,FALSE)</f>
        <v>46.51</v>
      </c>
    </row>
    <row r="669" spans="1:21" ht="15.5" x14ac:dyDescent="0.35">
      <c r="A669" s="2" t="s">
        <v>669</v>
      </c>
      <c r="B669" s="2" t="s">
        <v>3480</v>
      </c>
      <c r="C669">
        <v>43.58</v>
      </c>
      <c r="D669">
        <v>4.2300000000000004</v>
      </c>
      <c r="E669" t="s">
        <v>2344</v>
      </c>
      <c r="F669" t="s">
        <v>2344</v>
      </c>
      <c r="G669" t="s">
        <v>2346</v>
      </c>
      <c r="H669">
        <v>1</v>
      </c>
      <c r="I669" t="s">
        <v>2344</v>
      </c>
      <c r="J669" t="str">
        <f t="shared" si="41"/>
        <v>Obesity</v>
      </c>
      <c r="K669" t="str">
        <f t="shared" si="44"/>
        <v>Normal</v>
      </c>
      <c r="L669">
        <v>30</v>
      </c>
      <c r="M669" t="s">
        <v>2366</v>
      </c>
      <c r="N669">
        <v>1981</v>
      </c>
      <c r="O669" s="8">
        <f t="shared" si="42"/>
        <v>29828</v>
      </c>
      <c r="P669" s="10">
        <v>5709.16</v>
      </c>
      <c r="Q669" t="s">
        <v>2358</v>
      </c>
      <c r="R669" t="s">
        <v>2358</v>
      </c>
      <c r="S669" t="s">
        <v>2359</v>
      </c>
      <c r="T669">
        <f t="shared" ca="1" si="43"/>
        <v>45</v>
      </c>
      <c r="U669">
        <f>VLOOKUP($A669,'Medical Examination'!$A:$Z,2,FALSE)</f>
        <v>43.58</v>
      </c>
    </row>
    <row r="670" spans="1:21" ht="15.5" x14ac:dyDescent="0.35">
      <c r="A670" s="2" t="s">
        <v>670</v>
      </c>
      <c r="B670" s="2" t="s">
        <v>3482</v>
      </c>
      <c r="C670">
        <v>42.28</v>
      </c>
      <c r="D670">
        <v>9.16</v>
      </c>
      <c r="E670" t="s">
        <v>2346</v>
      </c>
      <c r="F670" t="s">
        <v>2344</v>
      </c>
      <c r="G670" t="s">
        <v>2344</v>
      </c>
      <c r="H670">
        <v>1</v>
      </c>
      <c r="I670" t="s">
        <v>2344</v>
      </c>
      <c r="J670" t="str">
        <f t="shared" si="41"/>
        <v>Obesity</v>
      </c>
      <c r="K670" t="str">
        <f t="shared" si="44"/>
        <v>Diabetes</v>
      </c>
      <c r="L670">
        <v>18</v>
      </c>
      <c r="M670" t="s">
        <v>2365</v>
      </c>
      <c r="N670">
        <v>1971</v>
      </c>
      <c r="O670" s="8">
        <f t="shared" si="42"/>
        <v>26285</v>
      </c>
      <c r="P670" s="10">
        <v>5720.38</v>
      </c>
      <c r="Q670" t="s">
        <v>2357</v>
      </c>
      <c r="R670" t="s">
        <v>2361</v>
      </c>
      <c r="S670" t="s">
        <v>2359</v>
      </c>
      <c r="T670">
        <f t="shared" ca="1" si="43"/>
        <v>55</v>
      </c>
      <c r="U670">
        <f>VLOOKUP($A670,'Medical Examination'!$A:$Z,2,FALSE)</f>
        <v>42.28</v>
      </c>
    </row>
    <row r="671" spans="1:21" ht="15.5" x14ac:dyDescent="0.35">
      <c r="A671" s="2" t="s">
        <v>671</v>
      </c>
      <c r="B671" s="2" t="s">
        <v>3051</v>
      </c>
      <c r="C671">
        <v>35.520000000000003</v>
      </c>
      <c r="D671">
        <v>8.26</v>
      </c>
      <c r="E671" t="s">
        <v>2344</v>
      </c>
      <c r="F671" t="s">
        <v>2344</v>
      </c>
      <c r="G671" t="s">
        <v>2344</v>
      </c>
      <c r="H671">
        <v>0</v>
      </c>
      <c r="I671" t="s">
        <v>2344</v>
      </c>
      <c r="J671" t="str">
        <f t="shared" si="41"/>
        <v>Obesity</v>
      </c>
      <c r="K671" t="str">
        <f t="shared" si="44"/>
        <v>Diabetes</v>
      </c>
      <c r="L671">
        <v>19</v>
      </c>
      <c r="M671" t="s">
        <v>2367</v>
      </c>
      <c r="N671">
        <v>1987</v>
      </c>
      <c r="O671" s="8">
        <f t="shared" si="42"/>
        <v>32069</v>
      </c>
      <c r="P671" s="10">
        <v>5729.01</v>
      </c>
      <c r="Q671" t="s">
        <v>2361</v>
      </c>
      <c r="R671" t="s">
        <v>2357</v>
      </c>
      <c r="S671" t="s">
        <v>2364</v>
      </c>
      <c r="T671">
        <f t="shared" ca="1" si="43"/>
        <v>39</v>
      </c>
      <c r="U671">
        <f>VLOOKUP($A671,'Medical Examination'!$A:$Z,2,FALSE)</f>
        <v>35.520000000000003</v>
      </c>
    </row>
    <row r="672" spans="1:21" ht="15.5" x14ac:dyDescent="0.35">
      <c r="A672" s="2" t="s">
        <v>672</v>
      </c>
      <c r="B672" s="2" t="s">
        <v>3483</v>
      </c>
      <c r="C672">
        <v>33.6</v>
      </c>
      <c r="D672">
        <v>11.25</v>
      </c>
      <c r="E672" t="s">
        <v>2344</v>
      </c>
      <c r="F672" t="s">
        <v>2344</v>
      </c>
      <c r="G672" t="s">
        <v>2344</v>
      </c>
      <c r="H672">
        <v>0</v>
      </c>
      <c r="I672" t="s">
        <v>2344</v>
      </c>
      <c r="J672" t="str">
        <f t="shared" si="41"/>
        <v>Obesity</v>
      </c>
      <c r="K672" t="str">
        <f t="shared" si="44"/>
        <v>Diabetes</v>
      </c>
      <c r="L672">
        <v>21</v>
      </c>
      <c r="M672" t="s">
        <v>2366</v>
      </c>
      <c r="N672">
        <v>1972</v>
      </c>
      <c r="O672" s="8">
        <f t="shared" si="42"/>
        <v>26532</v>
      </c>
      <c r="P672" s="10">
        <v>5741.67</v>
      </c>
      <c r="Q672" t="s">
        <v>2357</v>
      </c>
      <c r="R672" t="s">
        <v>2358</v>
      </c>
      <c r="S672" t="s">
        <v>2359</v>
      </c>
      <c r="T672">
        <f t="shared" ca="1" si="43"/>
        <v>54</v>
      </c>
      <c r="U672">
        <f>VLOOKUP($A672,'Medical Examination'!$A:$Z,2,FALSE)</f>
        <v>33.6</v>
      </c>
    </row>
    <row r="673" spans="1:21" ht="15.5" x14ac:dyDescent="0.35">
      <c r="A673" s="2" t="s">
        <v>673</v>
      </c>
      <c r="B673" s="2" t="s">
        <v>3484</v>
      </c>
      <c r="C673">
        <v>22.42</v>
      </c>
      <c r="D673">
        <v>6.74</v>
      </c>
      <c r="E673" t="s">
        <v>2344</v>
      </c>
      <c r="F673" t="s">
        <v>2344</v>
      </c>
      <c r="G673" t="s">
        <v>2344</v>
      </c>
      <c r="H673">
        <v>0</v>
      </c>
      <c r="I673" t="s">
        <v>2346</v>
      </c>
      <c r="J673" t="str">
        <f t="shared" si="41"/>
        <v>Normal Weight</v>
      </c>
      <c r="K673" t="str">
        <f t="shared" si="44"/>
        <v>Diabetes</v>
      </c>
      <c r="L673">
        <v>10</v>
      </c>
      <c r="M673" t="s">
        <v>2362</v>
      </c>
      <c r="N673">
        <v>1993</v>
      </c>
      <c r="O673" s="8">
        <f t="shared" si="42"/>
        <v>34130</v>
      </c>
      <c r="P673" s="10">
        <v>5748.13</v>
      </c>
      <c r="Q673" t="s">
        <v>2357</v>
      </c>
      <c r="R673" t="s">
        <v>2361</v>
      </c>
      <c r="S673" t="s">
        <v>2377</v>
      </c>
      <c r="T673">
        <f t="shared" ca="1" si="43"/>
        <v>33</v>
      </c>
      <c r="U673">
        <f>VLOOKUP($A673,'Medical Examination'!$A:$Z,2,FALSE)</f>
        <v>22.42</v>
      </c>
    </row>
    <row r="674" spans="1:21" ht="15.5" x14ac:dyDescent="0.35">
      <c r="A674" s="2" t="s">
        <v>674</v>
      </c>
      <c r="B674" s="2" t="s">
        <v>3486</v>
      </c>
      <c r="C674">
        <v>46.86</v>
      </c>
      <c r="D674">
        <v>4.87</v>
      </c>
      <c r="E674" t="s">
        <v>2344</v>
      </c>
      <c r="F674" t="s">
        <v>2344</v>
      </c>
      <c r="G674" t="s">
        <v>2344</v>
      </c>
      <c r="H674">
        <v>0</v>
      </c>
      <c r="I674" t="s">
        <v>2344</v>
      </c>
      <c r="J674" t="str">
        <f t="shared" si="41"/>
        <v>Obesity</v>
      </c>
      <c r="K674" t="str">
        <f t="shared" si="44"/>
        <v>Normal</v>
      </c>
      <c r="L674">
        <v>30</v>
      </c>
      <c r="M674" t="s">
        <v>2366</v>
      </c>
      <c r="N674">
        <v>1983</v>
      </c>
      <c r="O674" s="8">
        <f t="shared" si="42"/>
        <v>30558</v>
      </c>
      <c r="P674" s="10">
        <v>5757.41</v>
      </c>
      <c r="Q674" t="s">
        <v>2357</v>
      </c>
      <c r="R674" t="s">
        <v>2358</v>
      </c>
      <c r="S674" t="s">
        <v>2370</v>
      </c>
      <c r="T674">
        <f t="shared" ca="1" si="43"/>
        <v>43</v>
      </c>
      <c r="U674">
        <f>VLOOKUP($A674,'Medical Examination'!$A:$Z,2,FALSE)</f>
        <v>46.86</v>
      </c>
    </row>
    <row r="675" spans="1:21" ht="15.5" x14ac:dyDescent="0.35">
      <c r="A675" s="2" t="s">
        <v>675</v>
      </c>
      <c r="B675" s="2" t="s">
        <v>3488</v>
      </c>
      <c r="C675">
        <v>32.965000000000003</v>
      </c>
      <c r="D675">
        <v>6.68</v>
      </c>
      <c r="E675" t="s">
        <v>2344</v>
      </c>
      <c r="F675" t="s">
        <v>2344</v>
      </c>
      <c r="G675" t="s">
        <v>2344</v>
      </c>
      <c r="H675">
        <v>1</v>
      </c>
      <c r="I675" t="s">
        <v>2344</v>
      </c>
      <c r="J675" t="str">
        <f t="shared" si="41"/>
        <v>Obesity</v>
      </c>
      <c r="K675" t="str">
        <f t="shared" si="44"/>
        <v>Diabetes</v>
      </c>
      <c r="L675">
        <v>1</v>
      </c>
      <c r="M675" t="s">
        <v>2360</v>
      </c>
      <c r="N675">
        <v>2004</v>
      </c>
      <c r="O675" s="8">
        <f t="shared" si="42"/>
        <v>38292</v>
      </c>
      <c r="P675" s="10">
        <v>5778.71</v>
      </c>
      <c r="Q675" t="s">
        <v>2357</v>
      </c>
      <c r="R675" t="s">
        <v>2358</v>
      </c>
      <c r="S675" t="s">
        <v>2381</v>
      </c>
      <c r="T675">
        <f t="shared" ca="1" si="43"/>
        <v>22</v>
      </c>
      <c r="U675">
        <f>VLOOKUP($A675,'Medical Examination'!$A:$Z,2,FALSE)</f>
        <v>32.965000000000003</v>
      </c>
    </row>
    <row r="676" spans="1:21" ht="15.5" x14ac:dyDescent="0.35">
      <c r="A676" s="2" t="s">
        <v>676</v>
      </c>
      <c r="B676" s="2" t="s">
        <v>3490</v>
      </c>
      <c r="C676">
        <v>39.340000000000003</v>
      </c>
      <c r="D676">
        <v>5.0199999999999996</v>
      </c>
      <c r="E676" t="s">
        <v>2346</v>
      </c>
      <c r="F676" t="s">
        <v>2344</v>
      </c>
      <c r="G676" t="s">
        <v>2346</v>
      </c>
      <c r="H676">
        <v>1</v>
      </c>
      <c r="I676" t="s">
        <v>2344</v>
      </c>
      <c r="J676" t="str">
        <f t="shared" si="41"/>
        <v>Obesity</v>
      </c>
      <c r="K676" t="str">
        <f t="shared" si="44"/>
        <v>Normal</v>
      </c>
      <c r="L676">
        <v>18</v>
      </c>
      <c r="M676" t="s">
        <v>2363</v>
      </c>
      <c r="N676">
        <v>1980</v>
      </c>
      <c r="O676" s="8">
        <f t="shared" si="42"/>
        <v>29482</v>
      </c>
      <c r="P676" s="10">
        <v>5807.06</v>
      </c>
      <c r="Q676" t="s">
        <v>2357</v>
      </c>
      <c r="R676" t="s">
        <v>2358</v>
      </c>
      <c r="S676" t="s">
        <v>2359</v>
      </c>
      <c r="T676">
        <f t="shared" ca="1" si="43"/>
        <v>46</v>
      </c>
      <c r="U676">
        <f>VLOOKUP($A676,'Medical Examination'!$A:$Z,2,FALSE)</f>
        <v>39.340000000000003</v>
      </c>
    </row>
    <row r="677" spans="1:21" ht="15.5" x14ac:dyDescent="0.35">
      <c r="A677" s="2" t="s">
        <v>677</v>
      </c>
      <c r="B677" s="2" t="s">
        <v>3491</v>
      </c>
      <c r="C677">
        <v>47</v>
      </c>
      <c r="D677">
        <v>10.64</v>
      </c>
      <c r="E677" t="s">
        <v>2346</v>
      </c>
      <c r="F677" t="s">
        <v>2344</v>
      </c>
      <c r="G677" t="s">
        <v>2344</v>
      </c>
      <c r="H677">
        <v>0</v>
      </c>
      <c r="I677" t="s">
        <v>2344</v>
      </c>
      <c r="J677" t="str">
        <f t="shared" si="41"/>
        <v>Obesity</v>
      </c>
      <c r="K677" t="str">
        <f t="shared" si="44"/>
        <v>Diabetes</v>
      </c>
      <c r="L677">
        <v>2</v>
      </c>
      <c r="M677" t="s">
        <v>2360</v>
      </c>
      <c r="N677">
        <v>1972</v>
      </c>
      <c r="O677" s="8">
        <f t="shared" si="42"/>
        <v>26605</v>
      </c>
      <c r="P677" s="10">
        <v>5812.9</v>
      </c>
      <c r="Q677" t="s">
        <v>2357</v>
      </c>
      <c r="R677" t="s">
        <v>2357</v>
      </c>
      <c r="S677" t="s">
        <v>2359</v>
      </c>
      <c r="T677">
        <f t="shared" ca="1" si="43"/>
        <v>54</v>
      </c>
      <c r="U677">
        <f>VLOOKUP($A677,'Medical Examination'!$A:$Z,2,FALSE)</f>
        <v>47</v>
      </c>
    </row>
    <row r="678" spans="1:21" ht="15.5" x14ac:dyDescent="0.35">
      <c r="A678" s="2" t="s">
        <v>678</v>
      </c>
      <c r="B678" s="2" t="s">
        <v>3493</v>
      </c>
      <c r="C678">
        <v>36.71</v>
      </c>
      <c r="D678">
        <v>8.74</v>
      </c>
      <c r="E678" t="s">
        <v>2346</v>
      </c>
      <c r="F678" t="s">
        <v>2344</v>
      </c>
      <c r="G678" t="s">
        <v>2344</v>
      </c>
      <c r="H678">
        <v>0</v>
      </c>
      <c r="I678" t="s">
        <v>2344</v>
      </c>
      <c r="J678" t="str">
        <f t="shared" si="41"/>
        <v>Obesity</v>
      </c>
      <c r="K678" t="str">
        <f t="shared" si="44"/>
        <v>Diabetes</v>
      </c>
      <c r="L678">
        <v>22</v>
      </c>
      <c r="M678" t="s">
        <v>2356</v>
      </c>
      <c r="N678">
        <v>2002</v>
      </c>
      <c r="O678" s="8">
        <f t="shared" si="42"/>
        <v>37459</v>
      </c>
      <c r="P678" s="10">
        <v>5816.58</v>
      </c>
      <c r="Q678" t="s">
        <v>2357</v>
      </c>
      <c r="R678" t="s">
        <v>2357</v>
      </c>
      <c r="S678" t="s">
        <v>2380</v>
      </c>
      <c r="T678">
        <f t="shared" ca="1" si="43"/>
        <v>24</v>
      </c>
      <c r="U678">
        <f>VLOOKUP($A678,'Medical Examination'!$A:$Z,2,FALSE)</f>
        <v>36.71</v>
      </c>
    </row>
    <row r="679" spans="1:21" ht="15.5" x14ac:dyDescent="0.35">
      <c r="A679" s="2" t="s">
        <v>679</v>
      </c>
      <c r="B679" s="2" t="s">
        <v>3495</v>
      </c>
      <c r="C679">
        <v>53.48</v>
      </c>
      <c r="D679">
        <v>5.64</v>
      </c>
      <c r="E679" t="s">
        <v>2344</v>
      </c>
      <c r="F679" t="s">
        <v>2344</v>
      </c>
      <c r="G679" t="s">
        <v>2344</v>
      </c>
      <c r="H679">
        <v>0</v>
      </c>
      <c r="I679" t="s">
        <v>2344</v>
      </c>
      <c r="J679" t="str">
        <f t="shared" si="41"/>
        <v>Obesity</v>
      </c>
      <c r="K679" t="str">
        <f t="shared" si="44"/>
        <v>Normal</v>
      </c>
      <c r="L679">
        <v>27</v>
      </c>
      <c r="M679" t="s">
        <v>2363</v>
      </c>
      <c r="N679">
        <v>1971</v>
      </c>
      <c r="O679" s="8">
        <f t="shared" si="42"/>
        <v>26203</v>
      </c>
      <c r="P679" s="10">
        <v>5832.6</v>
      </c>
      <c r="Q679" t="s">
        <v>2357</v>
      </c>
      <c r="R679" t="s">
        <v>2358</v>
      </c>
      <c r="S679" t="s">
        <v>2364</v>
      </c>
      <c r="T679">
        <f t="shared" ca="1" si="43"/>
        <v>55</v>
      </c>
      <c r="U679">
        <f>VLOOKUP($A679,'Medical Examination'!$A:$Z,2,FALSE)</f>
        <v>53.48</v>
      </c>
    </row>
    <row r="680" spans="1:21" ht="15.5" x14ac:dyDescent="0.35">
      <c r="A680" s="2" t="s">
        <v>680</v>
      </c>
      <c r="B680" s="2" t="s">
        <v>3496</v>
      </c>
      <c r="C680">
        <v>35.5</v>
      </c>
      <c r="D680">
        <v>10.37</v>
      </c>
      <c r="E680" t="s">
        <v>2344</v>
      </c>
      <c r="F680" t="s">
        <v>2344</v>
      </c>
      <c r="G680" t="s">
        <v>2344</v>
      </c>
      <c r="H680">
        <v>0</v>
      </c>
      <c r="I680" t="s">
        <v>2344</v>
      </c>
      <c r="J680" t="str">
        <f t="shared" si="41"/>
        <v>Obesity</v>
      </c>
      <c r="K680" t="str">
        <f t="shared" si="44"/>
        <v>Diabetes</v>
      </c>
      <c r="L680">
        <v>27</v>
      </c>
      <c r="M680" t="s">
        <v>2356</v>
      </c>
      <c r="N680">
        <v>1987</v>
      </c>
      <c r="O680" s="8">
        <f t="shared" si="42"/>
        <v>31985</v>
      </c>
      <c r="P680" s="10">
        <v>5836.52</v>
      </c>
      <c r="Q680" t="s">
        <v>2357</v>
      </c>
      <c r="R680" t="s">
        <v>2358</v>
      </c>
      <c r="S680" t="s">
        <v>2359</v>
      </c>
      <c r="T680">
        <f t="shared" ca="1" si="43"/>
        <v>39</v>
      </c>
      <c r="U680">
        <f>VLOOKUP($A680,'Medical Examination'!$A:$Z,2,FALSE)</f>
        <v>35.5</v>
      </c>
    </row>
    <row r="681" spans="1:21" ht="15.5" x14ac:dyDescent="0.35">
      <c r="A681" s="2" t="s">
        <v>681</v>
      </c>
      <c r="B681" s="2" t="s">
        <v>3497</v>
      </c>
      <c r="C681">
        <v>36.979999999999997</v>
      </c>
      <c r="D681">
        <v>9.56</v>
      </c>
      <c r="E681" t="s">
        <v>2346</v>
      </c>
      <c r="F681" t="s">
        <v>2344</v>
      </c>
      <c r="G681" t="s">
        <v>2344</v>
      </c>
      <c r="H681">
        <v>0</v>
      </c>
      <c r="I681" t="s">
        <v>2344</v>
      </c>
      <c r="J681" t="str">
        <f t="shared" si="41"/>
        <v>Obesity</v>
      </c>
      <c r="K681" t="str">
        <f t="shared" si="44"/>
        <v>Diabetes</v>
      </c>
      <c r="L681">
        <v>20</v>
      </c>
      <c r="M681" t="s">
        <v>2366</v>
      </c>
      <c r="N681">
        <v>1995</v>
      </c>
      <c r="O681" s="8">
        <f t="shared" si="42"/>
        <v>34931</v>
      </c>
      <c r="P681" s="10">
        <v>5843.99</v>
      </c>
      <c r="Q681" t="s">
        <v>2357</v>
      </c>
      <c r="R681" t="s">
        <v>2357</v>
      </c>
      <c r="S681" t="s">
        <v>2373</v>
      </c>
      <c r="T681">
        <f t="shared" ca="1" si="43"/>
        <v>31</v>
      </c>
      <c r="U681">
        <f>VLOOKUP($A681,'Medical Examination'!$A:$Z,2,FALSE)</f>
        <v>36.979999999999997</v>
      </c>
    </row>
    <row r="682" spans="1:21" ht="15.5" x14ac:dyDescent="0.35">
      <c r="A682" s="2" t="s">
        <v>682</v>
      </c>
      <c r="B682" s="2" t="s">
        <v>3498</v>
      </c>
      <c r="C682">
        <v>32.395000000000003</v>
      </c>
      <c r="D682">
        <v>8.23</v>
      </c>
      <c r="E682" t="s">
        <v>2346</v>
      </c>
      <c r="F682" t="s">
        <v>2344</v>
      </c>
      <c r="G682" t="s">
        <v>2346</v>
      </c>
      <c r="H682">
        <v>1</v>
      </c>
      <c r="I682" t="s">
        <v>2344</v>
      </c>
      <c r="J682" t="str">
        <f t="shared" si="41"/>
        <v>Obesity</v>
      </c>
      <c r="K682" t="str">
        <f t="shared" si="44"/>
        <v>Diabetes</v>
      </c>
      <c r="L682">
        <v>30</v>
      </c>
      <c r="M682" t="s">
        <v>2363</v>
      </c>
      <c r="N682">
        <v>1987</v>
      </c>
      <c r="O682" s="8">
        <f t="shared" si="42"/>
        <v>32050</v>
      </c>
      <c r="P682" s="10">
        <v>5846.92</v>
      </c>
      <c r="Q682" t="s">
        <v>2357</v>
      </c>
      <c r="R682" t="s">
        <v>2357</v>
      </c>
      <c r="S682" t="s">
        <v>2359</v>
      </c>
      <c r="T682">
        <f t="shared" ca="1" si="43"/>
        <v>39</v>
      </c>
      <c r="U682">
        <f>VLOOKUP($A682,'Medical Examination'!$A:$Z,2,FALSE)</f>
        <v>32.395000000000003</v>
      </c>
    </row>
    <row r="683" spans="1:21" ht="15.5" x14ac:dyDescent="0.35">
      <c r="A683" s="2" t="s">
        <v>683</v>
      </c>
      <c r="B683" s="2" t="s">
        <v>3500</v>
      </c>
      <c r="C683">
        <v>32.729999999999997</v>
      </c>
      <c r="D683">
        <v>7.03</v>
      </c>
      <c r="E683" t="s">
        <v>2344</v>
      </c>
      <c r="F683" t="s">
        <v>2344</v>
      </c>
      <c r="G683" t="s">
        <v>2344</v>
      </c>
      <c r="H683">
        <v>0</v>
      </c>
      <c r="I683" t="s">
        <v>2344</v>
      </c>
      <c r="J683" t="str">
        <f t="shared" si="41"/>
        <v>Obesity</v>
      </c>
      <c r="K683" t="str">
        <f t="shared" si="44"/>
        <v>Diabetes</v>
      </c>
      <c r="L683">
        <v>18</v>
      </c>
      <c r="M683" t="s">
        <v>2362</v>
      </c>
      <c r="N683">
        <v>1985</v>
      </c>
      <c r="O683" s="8">
        <f t="shared" si="42"/>
        <v>31216</v>
      </c>
      <c r="P683" s="10">
        <v>5847.24</v>
      </c>
      <c r="Q683" t="s">
        <v>2357</v>
      </c>
      <c r="R683" t="s">
        <v>2361</v>
      </c>
      <c r="S683" t="s">
        <v>2359</v>
      </c>
      <c r="T683">
        <f t="shared" ca="1" si="43"/>
        <v>41</v>
      </c>
      <c r="U683">
        <f>VLOOKUP($A683,'Medical Examination'!$A:$Z,2,FALSE)</f>
        <v>32.729999999999997</v>
      </c>
    </row>
    <row r="684" spans="1:21" ht="15.5" x14ac:dyDescent="0.35">
      <c r="A684" s="2" t="s">
        <v>684</v>
      </c>
      <c r="B684" s="2" t="s">
        <v>3501</v>
      </c>
      <c r="C684">
        <v>20.52</v>
      </c>
      <c r="D684">
        <v>5.45</v>
      </c>
      <c r="E684" t="s">
        <v>2344</v>
      </c>
      <c r="F684" t="s">
        <v>2344</v>
      </c>
      <c r="G684" t="s">
        <v>2344</v>
      </c>
      <c r="H684">
        <v>1</v>
      </c>
      <c r="I684" t="s">
        <v>2346</v>
      </c>
      <c r="J684" t="str">
        <f t="shared" si="41"/>
        <v>Normal Weight</v>
      </c>
      <c r="K684" t="str">
        <f t="shared" si="44"/>
        <v>Normal</v>
      </c>
      <c r="L684">
        <v>22</v>
      </c>
      <c r="M684" t="s">
        <v>2360</v>
      </c>
      <c r="N684">
        <v>1984</v>
      </c>
      <c r="O684" s="8">
        <f t="shared" si="42"/>
        <v>31008</v>
      </c>
      <c r="P684" s="10">
        <v>5855.9</v>
      </c>
      <c r="Q684" t="s">
        <v>2357</v>
      </c>
      <c r="R684" t="s">
        <v>2358</v>
      </c>
      <c r="S684" t="s">
        <v>2364</v>
      </c>
      <c r="T684">
        <f t="shared" ca="1" si="43"/>
        <v>42</v>
      </c>
      <c r="U684">
        <f>VLOOKUP($A684,'Medical Examination'!$A:$Z,2,FALSE)</f>
        <v>20.52</v>
      </c>
    </row>
    <row r="685" spans="1:21" ht="15.5" x14ac:dyDescent="0.35">
      <c r="A685" s="2" t="s">
        <v>685</v>
      </c>
      <c r="B685" s="2" t="s">
        <v>3502</v>
      </c>
      <c r="C685">
        <v>51.72</v>
      </c>
      <c r="D685">
        <v>5.76</v>
      </c>
      <c r="E685" t="s">
        <v>2344</v>
      </c>
      <c r="F685" t="s">
        <v>2344</v>
      </c>
      <c r="G685" t="s">
        <v>2344</v>
      </c>
      <c r="H685">
        <v>0</v>
      </c>
      <c r="I685" t="s">
        <v>2344</v>
      </c>
      <c r="J685" t="str">
        <f t="shared" si="41"/>
        <v>Obesity</v>
      </c>
      <c r="K685" t="str">
        <f t="shared" si="44"/>
        <v>Prediabetes</v>
      </c>
      <c r="L685">
        <v>19</v>
      </c>
      <c r="M685" t="s">
        <v>2367</v>
      </c>
      <c r="N685">
        <v>1993</v>
      </c>
      <c r="O685" s="8">
        <f t="shared" si="42"/>
        <v>34261</v>
      </c>
      <c r="P685" s="10">
        <v>5877.02</v>
      </c>
      <c r="Q685" t="s">
        <v>2357</v>
      </c>
      <c r="R685" t="s">
        <v>2357</v>
      </c>
      <c r="S685" t="s">
        <v>2377</v>
      </c>
      <c r="T685">
        <f t="shared" ca="1" si="43"/>
        <v>33</v>
      </c>
      <c r="U685">
        <f>VLOOKUP($A685,'Medical Examination'!$A:$Z,2,FALSE)</f>
        <v>51.72</v>
      </c>
    </row>
    <row r="686" spans="1:21" ht="15.5" x14ac:dyDescent="0.35">
      <c r="A686" s="2" t="s">
        <v>686</v>
      </c>
      <c r="B686" s="2" t="s">
        <v>3503</v>
      </c>
      <c r="C686">
        <v>50.2</v>
      </c>
      <c r="D686">
        <v>5.4</v>
      </c>
      <c r="E686" t="s">
        <v>2344</v>
      </c>
      <c r="F686" t="s">
        <v>2344</v>
      </c>
      <c r="G686" t="s">
        <v>2344</v>
      </c>
      <c r="H686">
        <v>0</v>
      </c>
      <c r="I686" t="s">
        <v>2344</v>
      </c>
      <c r="J686" t="str">
        <f t="shared" si="41"/>
        <v>Obesity</v>
      </c>
      <c r="K686" t="str">
        <f t="shared" si="44"/>
        <v>Normal</v>
      </c>
      <c r="L686">
        <v>8</v>
      </c>
      <c r="M686" t="s">
        <v>2356</v>
      </c>
      <c r="N686">
        <v>1982</v>
      </c>
      <c r="O686" s="8">
        <f t="shared" si="42"/>
        <v>30140</v>
      </c>
      <c r="P686" s="10">
        <v>5910.94</v>
      </c>
      <c r="Q686" t="s">
        <v>2357</v>
      </c>
      <c r="R686" t="s">
        <v>2361</v>
      </c>
      <c r="S686" t="s">
        <v>2368</v>
      </c>
      <c r="T686">
        <f t="shared" ca="1" si="43"/>
        <v>44</v>
      </c>
      <c r="U686">
        <f>VLOOKUP($A686,'Medical Examination'!$A:$Z,2,FALSE)</f>
        <v>50.2</v>
      </c>
    </row>
    <row r="687" spans="1:21" ht="15.5" x14ac:dyDescent="0.35">
      <c r="A687" s="2" t="s">
        <v>687</v>
      </c>
      <c r="B687" s="2" t="s">
        <v>3505</v>
      </c>
      <c r="C687">
        <v>25.52</v>
      </c>
      <c r="D687">
        <v>6.35</v>
      </c>
      <c r="E687" t="s">
        <v>2344</v>
      </c>
      <c r="F687" t="s">
        <v>2344</v>
      </c>
      <c r="G687" t="s">
        <v>2346</v>
      </c>
      <c r="H687">
        <v>1</v>
      </c>
      <c r="I687" t="s">
        <v>2344</v>
      </c>
      <c r="J687" t="str">
        <f t="shared" si="41"/>
        <v>Over weight</v>
      </c>
      <c r="K687" t="str">
        <f t="shared" si="44"/>
        <v>Prediabetes</v>
      </c>
      <c r="L687">
        <v>21</v>
      </c>
      <c r="M687" t="s">
        <v>2365</v>
      </c>
      <c r="N687">
        <v>1982</v>
      </c>
      <c r="O687" s="8">
        <f t="shared" si="42"/>
        <v>30306</v>
      </c>
      <c r="P687" s="10">
        <v>5920.1</v>
      </c>
      <c r="Q687" t="s">
        <v>2357</v>
      </c>
      <c r="R687" t="s">
        <v>2361</v>
      </c>
      <c r="S687" t="s">
        <v>2359</v>
      </c>
      <c r="T687">
        <f t="shared" ca="1" si="43"/>
        <v>44</v>
      </c>
      <c r="U687">
        <f>VLOOKUP($A687,'Medical Examination'!$A:$Z,2,FALSE)</f>
        <v>25.52</v>
      </c>
    </row>
    <row r="688" spans="1:21" ht="15.5" x14ac:dyDescent="0.35">
      <c r="A688" s="2" t="s">
        <v>688</v>
      </c>
      <c r="B688" s="2" t="s">
        <v>3506</v>
      </c>
      <c r="C688">
        <v>35.200000000000003</v>
      </c>
      <c r="D688">
        <v>6.26</v>
      </c>
      <c r="E688" t="s">
        <v>2346</v>
      </c>
      <c r="F688" t="s">
        <v>2344</v>
      </c>
      <c r="G688" t="s">
        <v>2344</v>
      </c>
      <c r="H688">
        <v>1</v>
      </c>
      <c r="I688" t="s">
        <v>2344</v>
      </c>
      <c r="J688" t="str">
        <f t="shared" si="41"/>
        <v>Obesity</v>
      </c>
      <c r="K688" t="str">
        <f t="shared" si="44"/>
        <v>Prediabetes</v>
      </c>
      <c r="L688">
        <v>29</v>
      </c>
      <c r="M688" t="s">
        <v>2356</v>
      </c>
      <c r="N688">
        <v>1987</v>
      </c>
      <c r="O688" s="8">
        <f t="shared" si="42"/>
        <v>31987</v>
      </c>
      <c r="P688" s="10">
        <v>5926.85</v>
      </c>
      <c r="Q688" t="s">
        <v>2358</v>
      </c>
      <c r="R688" t="s">
        <v>2358</v>
      </c>
      <c r="S688" t="s">
        <v>2368</v>
      </c>
      <c r="T688">
        <f t="shared" ca="1" si="43"/>
        <v>39</v>
      </c>
      <c r="U688">
        <f>VLOOKUP($A688,'Medical Examination'!$A:$Z,2,FALSE)</f>
        <v>35.200000000000003</v>
      </c>
    </row>
    <row r="689" spans="1:21" ht="15.5" x14ac:dyDescent="0.35">
      <c r="A689" s="2" t="s">
        <v>689</v>
      </c>
      <c r="B689" s="2" t="s">
        <v>3508</v>
      </c>
      <c r="C689">
        <v>41.26</v>
      </c>
      <c r="D689">
        <v>5.97</v>
      </c>
      <c r="E689" t="s">
        <v>2346</v>
      </c>
      <c r="F689" t="s">
        <v>2344</v>
      </c>
      <c r="G689" t="s">
        <v>2344</v>
      </c>
      <c r="H689">
        <v>0</v>
      </c>
      <c r="I689" t="s">
        <v>2344</v>
      </c>
      <c r="J689" t="str">
        <f t="shared" si="41"/>
        <v>Obesity</v>
      </c>
      <c r="K689" t="str">
        <f t="shared" si="44"/>
        <v>Prediabetes</v>
      </c>
      <c r="L689">
        <v>13</v>
      </c>
      <c r="M689" t="s">
        <v>2366</v>
      </c>
      <c r="N689">
        <v>1993</v>
      </c>
      <c r="O689" s="8">
        <f t="shared" si="42"/>
        <v>34194</v>
      </c>
      <c r="P689" s="10">
        <v>5926.93</v>
      </c>
      <c r="Q689" t="s">
        <v>2357</v>
      </c>
      <c r="R689" t="s">
        <v>2357</v>
      </c>
      <c r="S689" t="s">
        <v>2373</v>
      </c>
      <c r="T689">
        <f t="shared" ca="1" si="43"/>
        <v>33</v>
      </c>
      <c r="U689">
        <f>VLOOKUP($A689,'Medical Examination'!$A:$Z,2,FALSE)</f>
        <v>41.26</v>
      </c>
    </row>
    <row r="690" spans="1:21" ht="15.5" x14ac:dyDescent="0.35">
      <c r="A690" s="2" t="s">
        <v>690</v>
      </c>
      <c r="B690" s="2" t="s">
        <v>3509</v>
      </c>
      <c r="C690">
        <v>17.195</v>
      </c>
      <c r="D690">
        <v>5.29</v>
      </c>
      <c r="E690" t="s">
        <v>2346</v>
      </c>
      <c r="F690" t="s">
        <v>2344</v>
      </c>
      <c r="G690" t="s">
        <v>2344</v>
      </c>
      <c r="H690">
        <v>0</v>
      </c>
      <c r="I690" t="s">
        <v>2346</v>
      </c>
      <c r="J690" t="str">
        <f t="shared" si="41"/>
        <v>Under Weight</v>
      </c>
      <c r="K690" t="str">
        <f t="shared" si="44"/>
        <v>Normal</v>
      </c>
      <c r="L690">
        <v>30</v>
      </c>
      <c r="M690" t="s">
        <v>2356</v>
      </c>
      <c r="N690">
        <v>1994</v>
      </c>
      <c r="O690" s="8">
        <f t="shared" si="42"/>
        <v>34545</v>
      </c>
      <c r="P690" s="10">
        <v>5927.65</v>
      </c>
      <c r="Q690" t="s">
        <v>2357</v>
      </c>
      <c r="R690" t="s">
        <v>2361</v>
      </c>
      <c r="S690" t="s">
        <v>2364</v>
      </c>
      <c r="T690">
        <f t="shared" ca="1" si="43"/>
        <v>32</v>
      </c>
      <c r="U690">
        <f>VLOOKUP($A690,'Medical Examination'!$A:$Z,2,FALSE)</f>
        <v>17.195</v>
      </c>
    </row>
    <row r="691" spans="1:21" ht="15.5" x14ac:dyDescent="0.35">
      <c r="A691" s="2" t="s">
        <v>691</v>
      </c>
      <c r="B691" s="2" t="s">
        <v>3510</v>
      </c>
      <c r="C691">
        <v>23.085000000000001</v>
      </c>
      <c r="D691">
        <v>4.2699999999999996</v>
      </c>
      <c r="E691" t="s">
        <v>2346</v>
      </c>
      <c r="F691" t="s">
        <v>2344</v>
      </c>
      <c r="G691" t="s">
        <v>2344</v>
      </c>
      <c r="H691">
        <v>1</v>
      </c>
      <c r="I691" t="s">
        <v>2344</v>
      </c>
      <c r="J691" t="str">
        <f t="shared" si="41"/>
        <v>Normal Weight</v>
      </c>
      <c r="K691" t="str">
        <f t="shared" si="44"/>
        <v>Normal</v>
      </c>
      <c r="L691">
        <v>14</v>
      </c>
      <c r="M691" t="s">
        <v>2356</v>
      </c>
      <c r="N691">
        <v>1987</v>
      </c>
      <c r="O691" s="8">
        <f t="shared" si="42"/>
        <v>31972</v>
      </c>
      <c r="P691" s="10">
        <v>5934.38</v>
      </c>
      <c r="Q691" t="s">
        <v>2358</v>
      </c>
      <c r="R691" t="s">
        <v>2357</v>
      </c>
      <c r="S691" t="s">
        <v>2359</v>
      </c>
      <c r="T691">
        <f t="shared" ca="1" si="43"/>
        <v>39</v>
      </c>
      <c r="U691">
        <f>VLOOKUP($A691,'Medical Examination'!$A:$Z,2,FALSE)</f>
        <v>23.085000000000001</v>
      </c>
    </row>
    <row r="692" spans="1:21" ht="15.5" x14ac:dyDescent="0.35">
      <c r="A692" s="2" t="s">
        <v>692</v>
      </c>
      <c r="B692" s="2" t="s">
        <v>3512</v>
      </c>
      <c r="C692">
        <v>21.66</v>
      </c>
      <c r="D692">
        <v>5.2</v>
      </c>
      <c r="E692" t="s">
        <v>2346</v>
      </c>
      <c r="F692" t="s">
        <v>2344</v>
      </c>
      <c r="G692" t="s">
        <v>2344</v>
      </c>
      <c r="H692">
        <v>1</v>
      </c>
      <c r="I692" t="s">
        <v>2344</v>
      </c>
      <c r="J692" t="str">
        <f t="shared" si="41"/>
        <v>Normal Weight</v>
      </c>
      <c r="K692" t="str">
        <f t="shared" si="44"/>
        <v>Normal</v>
      </c>
      <c r="L692">
        <v>13</v>
      </c>
      <c r="M692" t="s">
        <v>2366</v>
      </c>
      <c r="N692">
        <v>2003</v>
      </c>
      <c r="O692" s="8">
        <f t="shared" si="42"/>
        <v>37846</v>
      </c>
      <c r="P692" s="10">
        <v>5957.35</v>
      </c>
      <c r="Q692" t="s">
        <v>2357</v>
      </c>
      <c r="R692" t="s">
        <v>2357</v>
      </c>
      <c r="S692" t="s">
        <v>2364</v>
      </c>
      <c r="T692">
        <f t="shared" ca="1" si="43"/>
        <v>23</v>
      </c>
      <c r="U692">
        <f>VLOOKUP($A692,'Medical Examination'!$A:$Z,2,FALSE)</f>
        <v>21.66</v>
      </c>
    </row>
    <row r="693" spans="1:21" ht="15.5" x14ac:dyDescent="0.35">
      <c r="A693" s="2" t="s">
        <v>693</v>
      </c>
      <c r="B693" s="2" t="s">
        <v>3514</v>
      </c>
      <c r="C693">
        <v>36.47</v>
      </c>
      <c r="D693">
        <v>8.23</v>
      </c>
      <c r="E693" t="s">
        <v>2346</v>
      </c>
      <c r="F693" t="s">
        <v>2344</v>
      </c>
      <c r="G693" t="s">
        <v>2344</v>
      </c>
      <c r="H693">
        <v>0</v>
      </c>
      <c r="I693" t="s">
        <v>2344</v>
      </c>
      <c r="J693" t="str">
        <f t="shared" si="41"/>
        <v>Obesity</v>
      </c>
      <c r="K693" t="str">
        <f t="shared" si="44"/>
        <v>Diabetes</v>
      </c>
      <c r="L693">
        <v>15</v>
      </c>
      <c r="M693" t="s">
        <v>2356</v>
      </c>
      <c r="N693">
        <v>2004</v>
      </c>
      <c r="O693" s="8">
        <f t="shared" si="42"/>
        <v>38183</v>
      </c>
      <c r="P693" s="10">
        <v>5960.91</v>
      </c>
      <c r="Q693" t="s">
        <v>2357</v>
      </c>
      <c r="R693" t="s">
        <v>2361</v>
      </c>
      <c r="S693" t="s">
        <v>2380</v>
      </c>
      <c r="T693">
        <f t="shared" ca="1" si="43"/>
        <v>22</v>
      </c>
      <c r="U693">
        <f>VLOOKUP($A693,'Medical Examination'!$A:$Z,2,FALSE)</f>
        <v>36.47</v>
      </c>
    </row>
    <row r="694" spans="1:21" ht="15.5" x14ac:dyDescent="0.35">
      <c r="A694" s="2" t="s">
        <v>694</v>
      </c>
      <c r="B694" s="2" t="s">
        <v>3517</v>
      </c>
      <c r="C694">
        <v>36.08</v>
      </c>
      <c r="D694">
        <v>10.33</v>
      </c>
      <c r="E694" t="s">
        <v>2346</v>
      </c>
      <c r="F694" t="s">
        <v>2344</v>
      </c>
      <c r="G694" t="s">
        <v>2344</v>
      </c>
      <c r="H694">
        <v>0</v>
      </c>
      <c r="I694" t="s">
        <v>2344</v>
      </c>
      <c r="J694" t="str">
        <f t="shared" si="41"/>
        <v>Obesity</v>
      </c>
      <c r="K694" t="str">
        <f t="shared" si="44"/>
        <v>Diabetes</v>
      </c>
      <c r="L694">
        <v>5</v>
      </c>
      <c r="M694" t="s">
        <v>2366</v>
      </c>
      <c r="N694">
        <v>1980</v>
      </c>
      <c r="O694" s="8">
        <f t="shared" si="42"/>
        <v>29438</v>
      </c>
      <c r="P694" s="10">
        <v>5966.89</v>
      </c>
      <c r="Q694" t="s">
        <v>2357</v>
      </c>
      <c r="R694" t="s">
        <v>2358</v>
      </c>
      <c r="S694" t="s">
        <v>2359</v>
      </c>
      <c r="T694">
        <f t="shared" ca="1" si="43"/>
        <v>46</v>
      </c>
      <c r="U694">
        <f>VLOOKUP($A694,'Medical Examination'!$A:$Z,2,FALSE)</f>
        <v>36.08</v>
      </c>
    </row>
    <row r="695" spans="1:21" ht="15.5" x14ac:dyDescent="0.35">
      <c r="A695" s="2" t="s">
        <v>695</v>
      </c>
      <c r="B695" s="2" t="s">
        <v>3518</v>
      </c>
      <c r="C695">
        <v>23.18</v>
      </c>
      <c r="D695">
        <v>6.13</v>
      </c>
      <c r="E695" t="s">
        <v>2344</v>
      </c>
      <c r="F695" t="s">
        <v>2344</v>
      </c>
      <c r="G695" t="s">
        <v>2344</v>
      </c>
      <c r="H695">
        <v>0</v>
      </c>
      <c r="I695" t="s">
        <v>2344</v>
      </c>
      <c r="J695" t="str">
        <f t="shared" si="41"/>
        <v>Normal Weight</v>
      </c>
      <c r="K695" t="str">
        <f t="shared" si="44"/>
        <v>Prediabetes</v>
      </c>
      <c r="L695">
        <v>21</v>
      </c>
      <c r="M695" t="s">
        <v>2356</v>
      </c>
      <c r="N695">
        <v>1980</v>
      </c>
      <c r="O695" s="8">
        <f t="shared" si="42"/>
        <v>29423</v>
      </c>
      <c r="P695" s="10">
        <v>5969.72</v>
      </c>
      <c r="Q695" t="s">
        <v>2358</v>
      </c>
      <c r="R695" t="s">
        <v>2358</v>
      </c>
      <c r="S695" t="s">
        <v>2368</v>
      </c>
      <c r="T695">
        <f t="shared" ca="1" si="43"/>
        <v>46</v>
      </c>
      <c r="U695">
        <f>VLOOKUP($A695,'Medical Examination'!$A:$Z,2,FALSE)</f>
        <v>23.18</v>
      </c>
    </row>
    <row r="696" spans="1:21" ht="15.5" x14ac:dyDescent="0.35">
      <c r="A696" s="2" t="s">
        <v>696</v>
      </c>
      <c r="B696" s="2" t="s">
        <v>3520</v>
      </c>
      <c r="C696">
        <v>39.159999999999997</v>
      </c>
      <c r="D696">
        <v>8.08</v>
      </c>
      <c r="E696" t="s">
        <v>2344</v>
      </c>
      <c r="F696" t="s">
        <v>2344</v>
      </c>
      <c r="G696" t="s">
        <v>2344</v>
      </c>
      <c r="H696">
        <v>1</v>
      </c>
      <c r="I696" t="s">
        <v>2344</v>
      </c>
      <c r="J696" t="str">
        <f t="shared" si="41"/>
        <v>Obesity</v>
      </c>
      <c r="K696" t="str">
        <f t="shared" si="44"/>
        <v>Diabetes</v>
      </c>
      <c r="L696">
        <v>22</v>
      </c>
      <c r="M696" t="s">
        <v>2356</v>
      </c>
      <c r="N696">
        <v>1989</v>
      </c>
      <c r="O696" s="8">
        <f t="shared" si="42"/>
        <v>32711</v>
      </c>
      <c r="P696" s="10">
        <v>5972.38</v>
      </c>
      <c r="Q696" t="s">
        <v>2357</v>
      </c>
      <c r="R696" t="s">
        <v>2357</v>
      </c>
      <c r="S696" t="s">
        <v>2368</v>
      </c>
      <c r="T696">
        <f t="shared" ca="1" si="43"/>
        <v>37</v>
      </c>
      <c r="U696">
        <f>VLOOKUP($A696,'Medical Examination'!$A:$Z,2,FALSE)</f>
        <v>39.159999999999997</v>
      </c>
    </row>
    <row r="697" spans="1:21" ht="15.5" x14ac:dyDescent="0.35">
      <c r="A697" s="2" t="s">
        <v>697</v>
      </c>
      <c r="B697" s="2" t="s">
        <v>3522</v>
      </c>
      <c r="C697">
        <v>38.19</v>
      </c>
      <c r="D697">
        <v>10.49</v>
      </c>
      <c r="E697" t="s">
        <v>2344</v>
      </c>
      <c r="F697" t="s">
        <v>2344</v>
      </c>
      <c r="G697" t="s">
        <v>2344</v>
      </c>
      <c r="H697">
        <v>1</v>
      </c>
      <c r="I697" t="s">
        <v>2344</v>
      </c>
      <c r="J697" t="str">
        <f t="shared" si="41"/>
        <v>Obesity</v>
      </c>
      <c r="K697" t="str">
        <f t="shared" si="44"/>
        <v>Diabetes</v>
      </c>
      <c r="L697">
        <v>19</v>
      </c>
      <c r="M697" t="s">
        <v>2363</v>
      </c>
      <c r="N697">
        <v>1984</v>
      </c>
      <c r="O697" s="8">
        <f t="shared" si="42"/>
        <v>30944</v>
      </c>
      <c r="P697" s="10">
        <v>5974.38</v>
      </c>
      <c r="Q697" t="s">
        <v>2357</v>
      </c>
      <c r="R697" t="s">
        <v>2358</v>
      </c>
      <c r="S697" t="s">
        <v>2359</v>
      </c>
      <c r="T697">
        <f t="shared" ca="1" si="43"/>
        <v>42</v>
      </c>
      <c r="U697">
        <f>VLOOKUP($A697,'Medical Examination'!$A:$Z,2,FALSE)</f>
        <v>38.19</v>
      </c>
    </row>
    <row r="698" spans="1:21" ht="15.5" x14ac:dyDescent="0.35">
      <c r="A698" s="2" t="s">
        <v>698</v>
      </c>
      <c r="B698" s="2" t="s">
        <v>3524</v>
      </c>
      <c r="C698">
        <v>26.41</v>
      </c>
      <c r="D698">
        <v>8.11</v>
      </c>
      <c r="E698" t="s">
        <v>2344</v>
      </c>
      <c r="F698" t="s">
        <v>2344</v>
      </c>
      <c r="G698" t="s">
        <v>2344</v>
      </c>
      <c r="H698">
        <v>1</v>
      </c>
      <c r="I698" t="s">
        <v>2344</v>
      </c>
      <c r="J698" t="str">
        <f t="shared" si="41"/>
        <v>Over weight</v>
      </c>
      <c r="K698" t="str">
        <f t="shared" si="44"/>
        <v>Diabetes</v>
      </c>
      <c r="L698">
        <v>11</v>
      </c>
      <c r="M698" t="s">
        <v>2360</v>
      </c>
      <c r="N698">
        <v>1984</v>
      </c>
      <c r="O698" s="8">
        <f t="shared" si="42"/>
        <v>30997</v>
      </c>
      <c r="P698" s="10">
        <v>5976.83</v>
      </c>
      <c r="Q698" t="s">
        <v>2357</v>
      </c>
      <c r="R698" t="s">
        <v>2357</v>
      </c>
      <c r="S698" t="s">
        <v>2359</v>
      </c>
      <c r="T698">
        <f t="shared" ca="1" si="43"/>
        <v>42</v>
      </c>
      <c r="U698">
        <f>VLOOKUP($A698,'Medical Examination'!$A:$Z,2,FALSE)</f>
        <v>26.41</v>
      </c>
    </row>
    <row r="699" spans="1:21" ht="15.5" x14ac:dyDescent="0.35">
      <c r="A699" s="2" t="s">
        <v>699</v>
      </c>
      <c r="B699" s="2" t="s">
        <v>3525</v>
      </c>
      <c r="C699">
        <v>28.785</v>
      </c>
      <c r="D699">
        <v>6.6</v>
      </c>
      <c r="E699" t="s">
        <v>2344</v>
      </c>
      <c r="F699" t="s">
        <v>2344</v>
      </c>
      <c r="G699" t="s">
        <v>2344</v>
      </c>
      <c r="H699">
        <v>0</v>
      </c>
      <c r="I699" t="s">
        <v>2344</v>
      </c>
      <c r="J699" t="str">
        <f t="shared" si="41"/>
        <v>Over weight</v>
      </c>
      <c r="K699" t="str">
        <f t="shared" si="44"/>
        <v>Diabetes</v>
      </c>
      <c r="L699">
        <v>25</v>
      </c>
      <c r="M699" t="s">
        <v>2362</v>
      </c>
      <c r="N699">
        <v>1970</v>
      </c>
      <c r="O699" s="8">
        <f t="shared" si="42"/>
        <v>25744</v>
      </c>
      <c r="P699" s="10">
        <v>5979.66</v>
      </c>
      <c r="Q699" t="s">
        <v>2357</v>
      </c>
      <c r="R699" t="s">
        <v>2358</v>
      </c>
      <c r="S699" t="s">
        <v>2359</v>
      </c>
      <c r="T699">
        <f t="shared" ca="1" si="43"/>
        <v>56</v>
      </c>
      <c r="U699">
        <f>VLOOKUP($A699,'Medical Examination'!$A:$Z,2,FALSE)</f>
        <v>28.785</v>
      </c>
    </row>
    <row r="700" spans="1:21" ht="15.5" x14ac:dyDescent="0.35">
      <c r="A700" s="2" t="s">
        <v>700</v>
      </c>
      <c r="B700" s="2" t="s">
        <v>3526</v>
      </c>
      <c r="C700">
        <v>26.695</v>
      </c>
      <c r="D700">
        <v>10.14</v>
      </c>
      <c r="E700" t="s">
        <v>2346</v>
      </c>
      <c r="F700" t="s">
        <v>2344</v>
      </c>
      <c r="G700" t="s">
        <v>2346</v>
      </c>
      <c r="H700">
        <v>1</v>
      </c>
      <c r="I700" t="s">
        <v>2344</v>
      </c>
      <c r="J700" t="str">
        <f t="shared" si="41"/>
        <v>Over weight</v>
      </c>
      <c r="K700" t="str">
        <f t="shared" si="44"/>
        <v>Diabetes</v>
      </c>
      <c r="L700">
        <v>10</v>
      </c>
      <c r="M700" t="s">
        <v>2367</v>
      </c>
      <c r="N700">
        <v>1980</v>
      </c>
      <c r="O700" s="8">
        <f t="shared" si="42"/>
        <v>29504</v>
      </c>
      <c r="P700" s="10">
        <v>5979.73</v>
      </c>
      <c r="Q700" t="s">
        <v>2357</v>
      </c>
      <c r="R700" t="s">
        <v>2357</v>
      </c>
      <c r="S700" t="s">
        <v>2368</v>
      </c>
      <c r="T700">
        <f t="shared" ca="1" si="43"/>
        <v>46</v>
      </c>
      <c r="U700">
        <f>VLOOKUP($A700,'Medical Examination'!$A:$Z,2,FALSE)</f>
        <v>26.695</v>
      </c>
    </row>
    <row r="701" spans="1:21" ht="15.5" x14ac:dyDescent="0.35">
      <c r="A701" s="2" t="s">
        <v>701</v>
      </c>
      <c r="B701" s="2" t="s">
        <v>3527</v>
      </c>
      <c r="C701">
        <v>32.799999999999997</v>
      </c>
      <c r="D701">
        <v>6.06</v>
      </c>
      <c r="E701" t="s">
        <v>2346</v>
      </c>
      <c r="F701" t="s">
        <v>2344</v>
      </c>
      <c r="G701" t="s">
        <v>2344</v>
      </c>
      <c r="H701">
        <v>1</v>
      </c>
      <c r="I701" t="s">
        <v>2344</v>
      </c>
      <c r="J701" t="str">
        <f t="shared" si="41"/>
        <v>Obesity</v>
      </c>
      <c r="K701" t="str">
        <f t="shared" si="44"/>
        <v>Prediabetes</v>
      </c>
      <c r="L701">
        <v>11</v>
      </c>
      <c r="M701" t="s">
        <v>2367</v>
      </c>
      <c r="N701">
        <v>1974</v>
      </c>
      <c r="O701" s="8">
        <f t="shared" si="42"/>
        <v>27313</v>
      </c>
      <c r="P701" s="10">
        <v>5979.99</v>
      </c>
      <c r="Q701" t="s">
        <v>2357</v>
      </c>
      <c r="R701" t="s">
        <v>2358</v>
      </c>
      <c r="S701" t="s">
        <v>2359</v>
      </c>
      <c r="T701">
        <f t="shared" ca="1" si="43"/>
        <v>52</v>
      </c>
      <c r="U701">
        <f>VLOOKUP($A701,'Medical Examination'!$A:$Z,2,FALSE)</f>
        <v>32.799999999999997</v>
      </c>
    </row>
    <row r="702" spans="1:21" ht="15.5" x14ac:dyDescent="0.35">
      <c r="A702" s="2" t="s">
        <v>702</v>
      </c>
      <c r="B702" s="2" t="s">
        <v>3529</v>
      </c>
      <c r="C702">
        <v>35.869999999999997</v>
      </c>
      <c r="D702">
        <v>9.91</v>
      </c>
      <c r="E702" t="s">
        <v>2346</v>
      </c>
      <c r="F702" t="s">
        <v>2344</v>
      </c>
      <c r="G702" t="s">
        <v>2344</v>
      </c>
      <c r="H702">
        <v>0</v>
      </c>
      <c r="I702" t="s">
        <v>2344</v>
      </c>
      <c r="J702" t="str">
        <f t="shared" si="41"/>
        <v>Obesity</v>
      </c>
      <c r="K702" t="str">
        <f t="shared" si="44"/>
        <v>Diabetes</v>
      </c>
      <c r="L702">
        <v>10</v>
      </c>
      <c r="M702" t="s">
        <v>2362</v>
      </c>
      <c r="N702">
        <v>1988</v>
      </c>
      <c r="O702" s="8">
        <f t="shared" si="42"/>
        <v>32304</v>
      </c>
      <c r="P702" s="10">
        <v>5989.52</v>
      </c>
      <c r="Q702" t="s">
        <v>2357</v>
      </c>
      <c r="R702" t="s">
        <v>2361</v>
      </c>
      <c r="S702" t="s">
        <v>2364</v>
      </c>
      <c r="T702">
        <f t="shared" ca="1" si="43"/>
        <v>38</v>
      </c>
      <c r="U702">
        <f>VLOOKUP($A702,'Medical Examination'!$A:$Z,2,FALSE)</f>
        <v>35.869999999999997</v>
      </c>
    </row>
    <row r="703" spans="1:21" ht="15.5" x14ac:dyDescent="0.35">
      <c r="A703" s="2" t="s">
        <v>703</v>
      </c>
      <c r="B703" s="2" t="s">
        <v>3531</v>
      </c>
      <c r="C703">
        <v>21.66</v>
      </c>
      <c r="D703">
        <v>4.1399999999999997</v>
      </c>
      <c r="E703" t="s">
        <v>2346</v>
      </c>
      <c r="F703" t="s">
        <v>2344</v>
      </c>
      <c r="G703" t="s">
        <v>2344</v>
      </c>
      <c r="H703">
        <v>1</v>
      </c>
      <c r="I703" t="s">
        <v>2344</v>
      </c>
      <c r="J703" t="str">
        <f t="shared" si="41"/>
        <v>Normal Weight</v>
      </c>
      <c r="K703" t="str">
        <f t="shared" si="44"/>
        <v>Normal</v>
      </c>
      <c r="L703">
        <v>17</v>
      </c>
      <c r="M703" t="s">
        <v>2366</v>
      </c>
      <c r="N703">
        <v>1974</v>
      </c>
      <c r="O703" s="8">
        <f t="shared" si="42"/>
        <v>27258</v>
      </c>
      <c r="P703" s="10">
        <v>5990.17</v>
      </c>
      <c r="Q703" t="s">
        <v>2357</v>
      </c>
      <c r="R703" t="s">
        <v>2357</v>
      </c>
      <c r="S703" t="s">
        <v>2359</v>
      </c>
      <c r="T703">
        <f t="shared" ca="1" si="43"/>
        <v>52</v>
      </c>
      <c r="U703">
        <f>VLOOKUP($A703,'Medical Examination'!$A:$Z,2,FALSE)</f>
        <v>21.66</v>
      </c>
    </row>
    <row r="704" spans="1:21" ht="15.5" x14ac:dyDescent="0.35">
      <c r="A704" s="2" t="s">
        <v>704</v>
      </c>
      <c r="B704" s="2" t="s">
        <v>3533</v>
      </c>
      <c r="C704">
        <v>37.72</v>
      </c>
      <c r="D704">
        <v>4.38</v>
      </c>
      <c r="E704" t="s">
        <v>2346</v>
      </c>
      <c r="F704" t="s">
        <v>2344</v>
      </c>
      <c r="G704" t="s">
        <v>2346</v>
      </c>
      <c r="H704">
        <v>1</v>
      </c>
      <c r="I704" t="s">
        <v>2344</v>
      </c>
      <c r="J704" t="str">
        <f t="shared" si="41"/>
        <v>Obesity</v>
      </c>
      <c r="K704" t="str">
        <f t="shared" si="44"/>
        <v>Normal</v>
      </c>
      <c r="L704">
        <v>8</v>
      </c>
      <c r="M704" t="s">
        <v>2366</v>
      </c>
      <c r="N704">
        <v>1980</v>
      </c>
      <c r="O704" s="8">
        <f t="shared" si="42"/>
        <v>29441</v>
      </c>
      <c r="P704" s="10">
        <v>5993.62</v>
      </c>
      <c r="Q704" t="s">
        <v>2357</v>
      </c>
      <c r="R704" t="s">
        <v>2358</v>
      </c>
      <c r="S704" t="s">
        <v>2359</v>
      </c>
      <c r="T704">
        <f t="shared" ca="1" si="43"/>
        <v>46</v>
      </c>
      <c r="U704">
        <f>VLOOKUP($A704,'Medical Examination'!$A:$Z,2,FALSE)</f>
        <v>37.72</v>
      </c>
    </row>
    <row r="705" spans="1:21" ht="15.5" x14ac:dyDescent="0.35">
      <c r="A705" s="2" t="s">
        <v>705</v>
      </c>
      <c r="B705" s="2" t="s">
        <v>3534</v>
      </c>
      <c r="C705">
        <v>39.700000000000003</v>
      </c>
      <c r="D705">
        <v>9.83</v>
      </c>
      <c r="E705" t="s">
        <v>2344</v>
      </c>
      <c r="F705" t="s">
        <v>2344</v>
      </c>
      <c r="G705" t="s">
        <v>2344</v>
      </c>
      <c r="H705">
        <v>1</v>
      </c>
      <c r="I705" t="s">
        <v>2344</v>
      </c>
      <c r="J705" t="str">
        <f t="shared" si="41"/>
        <v>Obesity</v>
      </c>
      <c r="K705" t="str">
        <f t="shared" si="44"/>
        <v>Diabetes</v>
      </c>
      <c r="L705">
        <v>16</v>
      </c>
      <c r="M705" t="s">
        <v>2366</v>
      </c>
      <c r="N705">
        <v>1989</v>
      </c>
      <c r="O705" s="8">
        <f t="shared" si="42"/>
        <v>32736</v>
      </c>
      <c r="P705" s="10">
        <v>6059.17</v>
      </c>
      <c r="Q705" t="s">
        <v>2357</v>
      </c>
      <c r="R705" t="s">
        <v>2361</v>
      </c>
      <c r="S705" t="s">
        <v>2368</v>
      </c>
      <c r="T705">
        <f t="shared" ca="1" si="43"/>
        <v>37</v>
      </c>
      <c r="U705">
        <f>VLOOKUP($A705,'Medical Examination'!$A:$Z,2,FALSE)</f>
        <v>39.700000000000003</v>
      </c>
    </row>
    <row r="706" spans="1:21" ht="15.5" x14ac:dyDescent="0.35">
      <c r="A706" s="2" t="s">
        <v>706</v>
      </c>
      <c r="B706" s="2" t="s">
        <v>3535</v>
      </c>
      <c r="C706">
        <v>35.97</v>
      </c>
      <c r="D706">
        <v>11.08</v>
      </c>
      <c r="E706" t="s">
        <v>2344</v>
      </c>
      <c r="F706" t="s">
        <v>2344</v>
      </c>
      <c r="G706" t="s">
        <v>2344</v>
      </c>
      <c r="H706">
        <v>1</v>
      </c>
      <c r="I706" t="s">
        <v>2344</v>
      </c>
      <c r="J706" t="str">
        <f t="shared" si="41"/>
        <v>Obesity</v>
      </c>
      <c r="K706" t="str">
        <f t="shared" si="44"/>
        <v>Diabetes</v>
      </c>
      <c r="L706">
        <v>28</v>
      </c>
      <c r="M706" t="s">
        <v>2356</v>
      </c>
      <c r="N706">
        <v>1996</v>
      </c>
      <c r="O706" s="8">
        <f t="shared" si="42"/>
        <v>35274</v>
      </c>
      <c r="P706" s="10">
        <v>6061.8</v>
      </c>
      <c r="Q706" t="s">
        <v>2357</v>
      </c>
      <c r="R706" t="s">
        <v>2358</v>
      </c>
      <c r="S706" t="s">
        <v>2364</v>
      </c>
      <c r="T706">
        <f t="shared" ca="1" si="43"/>
        <v>30</v>
      </c>
      <c r="U706">
        <f>VLOOKUP($A706,'Medical Examination'!$A:$Z,2,FALSE)</f>
        <v>35.97</v>
      </c>
    </row>
    <row r="707" spans="1:21" ht="15.5" x14ac:dyDescent="0.35">
      <c r="A707" s="2" t="s">
        <v>707</v>
      </c>
      <c r="B707" s="2" t="s">
        <v>3537</v>
      </c>
      <c r="C707">
        <v>37.85</v>
      </c>
      <c r="D707">
        <v>11.01</v>
      </c>
      <c r="E707" t="s">
        <v>2344</v>
      </c>
      <c r="F707" t="s">
        <v>2344</v>
      </c>
      <c r="G707" t="s">
        <v>2344</v>
      </c>
      <c r="H707">
        <v>0</v>
      </c>
      <c r="I707" t="s">
        <v>2344</v>
      </c>
      <c r="J707" t="str">
        <f t="shared" ref="J707:J770" si="45">IF(C707&lt;18.5,"Under Weight",IF(C707&lt;25,"Normal Weight",IF(C707&lt;30,"Over weight","Obesity")))</f>
        <v>Obesity</v>
      </c>
      <c r="K707" t="str">
        <f t="shared" si="44"/>
        <v>Diabetes</v>
      </c>
      <c r="L707">
        <v>8</v>
      </c>
      <c r="M707" t="s">
        <v>2360</v>
      </c>
      <c r="N707">
        <v>1994</v>
      </c>
      <c r="O707" s="8">
        <f t="shared" ref="O707:O770" si="46">DATE(N707,MONTH(1&amp;M707),L707)</f>
        <v>34646</v>
      </c>
      <c r="P707" s="10">
        <v>6064.37</v>
      </c>
      <c r="Q707" t="s">
        <v>2357</v>
      </c>
      <c r="R707" t="s">
        <v>2357</v>
      </c>
      <c r="S707" t="s">
        <v>2368</v>
      </c>
      <c r="T707">
        <f t="shared" ref="T707:T770" ca="1" si="47">YEAR(TODAY())-YEAR(O707)</f>
        <v>32</v>
      </c>
      <c r="U707">
        <f>VLOOKUP($A707,'Medical Examination'!$A:$Z,2,FALSE)</f>
        <v>37.85</v>
      </c>
    </row>
    <row r="708" spans="1:21" ht="15.5" x14ac:dyDescent="0.35">
      <c r="A708" s="2" t="s">
        <v>708</v>
      </c>
      <c r="B708" s="2" t="s">
        <v>3539</v>
      </c>
      <c r="C708">
        <v>21.66</v>
      </c>
      <c r="D708">
        <v>4.37</v>
      </c>
      <c r="E708" t="s">
        <v>2344</v>
      </c>
      <c r="F708" t="s">
        <v>2345</v>
      </c>
      <c r="G708" t="s">
        <v>2344</v>
      </c>
      <c r="H708">
        <v>1</v>
      </c>
      <c r="I708" t="s">
        <v>2346</v>
      </c>
      <c r="J708" t="str">
        <f t="shared" si="45"/>
        <v>Normal Weight</v>
      </c>
      <c r="K708" t="str">
        <f t="shared" si="44"/>
        <v>Normal</v>
      </c>
      <c r="L708">
        <v>21</v>
      </c>
      <c r="M708" t="s">
        <v>2363</v>
      </c>
      <c r="N708">
        <v>1984</v>
      </c>
      <c r="O708" s="8">
        <f t="shared" si="46"/>
        <v>30946</v>
      </c>
      <c r="P708" s="10">
        <v>6067.13</v>
      </c>
      <c r="Q708" t="s">
        <v>2358</v>
      </c>
      <c r="R708" t="s">
        <v>2361</v>
      </c>
      <c r="S708" t="s">
        <v>2371</v>
      </c>
      <c r="T708">
        <f t="shared" ca="1" si="47"/>
        <v>42</v>
      </c>
      <c r="U708">
        <f>VLOOKUP($A708,'Medical Examination'!$A:$Z,2,FALSE)</f>
        <v>21.66</v>
      </c>
    </row>
    <row r="709" spans="1:21" ht="15.5" x14ac:dyDescent="0.35">
      <c r="A709" s="2" t="s">
        <v>709</v>
      </c>
      <c r="B709" s="2" t="s">
        <v>3223</v>
      </c>
      <c r="C709">
        <v>39.369999999999997</v>
      </c>
      <c r="D709">
        <v>5.91</v>
      </c>
      <c r="E709" t="s">
        <v>2344</v>
      </c>
      <c r="F709" t="s">
        <v>2344</v>
      </c>
      <c r="G709" t="s">
        <v>2344</v>
      </c>
      <c r="H709">
        <v>1</v>
      </c>
      <c r="I709" t="s">
        <v>2344</v>
      </c>
      <c r="J709" t="str">
        <f t="shared" si="45"/>
        <v>Obesity</v>
      </c>
      <c r="K709" t="str">
        <f t="shared" si="44"/>
        <v>Prediabetes</v>
      </c>
      <c r="L709">
        <v>8</v>
      </c>
      <c r="M709" t="s">
        <v>2366</v>
      </c>
      <c r="N709">
        <v>1979</v>
      </c>
      <c r="O709" s="8">
        <f t="shared" si="46"/>
        <v>29075</v>
      </c>
      <c r="P709" s="10">
        <v>6074.37</v>
      </c>
      <c r="Q709" t="s">
        <v>2357</v>
      </c>
      <c r="R709" t="s">
        <v>2357</v>
      </c>
      <c r="S709" t="s">
        <v>2364</v>
      </c>
      <c r="T709">
        <f t="shared" ca="1" si="47"/>
        <v>47</v>
      </c>
      <c r="U709">
        <f>VLOOKUP($A709,'Medical Examination'!$A:$Z,2,FALSE)</f>
        <v>39.369999999999997</v>
      </c>
    </row>
    <row r="710" spans="1:21" ht="15.5" x14ac:dyDescent="0.35">
      <c r="A710" s="2" t="s">
        <v>710</v>
      </c>
      <c r="B710" s="2" t="s">
        <v>3540</v>
      </c>
      <c r="C710">
        <v>40.880000000000003</v>
      </c>
      <c r="D710">
        <v>7.65</v>
      </c>
      <c r="E710" t="s">
        <v>2344</v>
      </c>
      <c r="F710" t="s">
        <v>2344</v>
      </c>
      <c r="G710" t="s">
        <v>2344</v>
      </c>
      <c r="H710">
        <v>0</v>
      </c>
      <c r="I710" t="s">
        <v>2344</v>
      </c>
      <c r="J710" t="str">
        <f t="shared" si="45"/>
        <v>Obesity</v>
      </c>
      <c r="K710" t="str">
        <f t="shared" si="44"/>
        <v>Diabetes</v>
      </c>
      <c r="L710">
        <v>14</v>
      </c>
      <c r="M710" t="s">
        <v>2367</v>
      </c>
      <c r="N710">
        <v>1984</v>
      </c>
      <c r="O710" s="8">
        <f t="shared" si="46"/>
        <v>30969</v>
      </c>
      <c r="P710" s="10">
        <v>6079.67</v>
      </c>
      <c r="Q710" t="s">
        <v>2361</v>
      </c>
      <c r="R710" t="s">
        <v>2361</v>
      </c>
      <c r="S710" t="s">
        <v>2376</v>
      </c>
      <c r="T710">
        <f t="shared" ca="1" si="47"/>
        <v>42</v>
      </c>
      <c r="U710">
        <f>VLOOKUP($A710,'Medical Examination'!$A:$Z,2,FALSE)</f>
        <v>40.880000000000003</v>
      </c>
    </row>
    <row r="711" spans="1:21" ht="15.5" x14ac:dyDescent="0.35">
      <c r="A711" s="2" t="s">
        <v>711</v>
      </c>
      <c r="B711" s="2" t="s">
        <v>3542</v>
      </c>
      <c r="C711">
        <v>26.22</v>
      </c>
      <c r="D711">
        <v>5.37</v>
      </c>
      <c r="E711" t="s">
        <v>2346</v>
      </c>
      <c r="F711" t="s">
        <v>2344</v>
      </c>
      <c r="G711" t="s">
        <v>2344</v>
      </c>
      <c r="H711">
        <v>1</v>
      </c>
      <c r="I711" t="s">
        <v>2344</v>
      </c>
      <c r="J711" t="str">
        <f t="shared" si="45"/>
        <v>Over weight</v>
      </c>
      <c r="K711" t="str">
        <f t="shared" si="44"/>
        <v>Normal</v>
      </c>
      <c r="L711">
        <v>25</v>
      </c>
      <c r="M711" t="s">
        <v>2356</v>
      </c>
      <c r="N711">
        <v>1984</v>
      </c>
      <c r="O711" s="8">
        <f t="shared" si="46"/>
        <v>30888</v>
      </c>
      <c r="P711" s="10">
        <v>6082.41</v>
      </c>
      <c r="Q711" t="s">
        <v>2361</v>
      </c>
      <c r="R711" t="s">
        <v>2357</v>
      </c>
      <c r="S711" t="s">
        <v>2368</v>
      </c>
      <c r="T711">
        <f t="shared" ca="1" si="47"/>
        <v>42</v>
      </c>
      <c r="U711">
        <f>VLOOKUP($A711,'Medical Examination'!$A:$Z,2,FALSE)</f>
        <v>26.22</v>
      </c>
    </row>
    <row r="712" spans="1:21" ht="15.5" x14ac:dyDescent="0.35">
      <c r="A712" s="2" t="s">
        <v>712</v>
      </c>
      <c r="B712" s="2" t="s">
        <v>3544</v>
      </c>
      <c r="C712">
        <v>25.08</v>
      </c>
      <c r="D712">
        <v>5.75</v>
      </c>
      <c r="E712" t="s">
        <v>2346</v>
      </c>
      <c r="F712" t="s">
        <v>2344</v>
      </c>
      <c r="G712" t="s">
        <v>2344</v>
      </c>
      <c r="H712">
        <v>1</v>
      </c>
      <c r="I712" t="s">
        <v>2344</v>
      </c>
      <c r="J712" t="str">
        <f t="shared" si="45"/>
        <v>Over weight</v>
      </c>
      <c r="K712" t="str">
        <f t="shared" si="44"/>
        <v>Prediabetes</v>
      </c>
      <c r="L712">
        <v>9</v>
      </c>
      <c r="M712" t="s">
        <v>2362</v>
      </c>
      <c r="N712">
        <v>1970</v>
      </c>
      <c r="O712" s="8">
        <f t="shared" si="46"/>
        <v>25728</v>
      </c>
      <c r="P712" s="10">
        <v>6098.38</v>
      </c>
      <c r="Q712" t="s">
        <v>2357</v>
      </c>
      <c r="R712" t="s">
        <v>2357</v>
      </c>
      <c r="S712" t="s">
        <v>2359</v>
      </c>
      <c r="T712">
        <f t="shared" ca="1" si="47"/>
        <v>56</v>
      </c>
      <c r="U712">
        <f>VLOOKUP($A712,'Medical Examination'!$A:$Z,2,FALSE)</f>
        <v>25.08</v>
      </c>
    </row>
    <row r="713" spans="1:21" ht="15.5" x14ac:dyDescent="0.35">
      <c r="A713" s="2" t="s">
        <v>713</v>
      </c>
      <c r="B713" s="2" t="s">
        <v>3546</v>
      </c>
      <c r="C713">
        <v>39.1</v>
      </c>
      <c r="D713">
        <v>6.79</v>
      </c>
      <c r="E713" t="s">
        <v>2346</v>
      </c>
      <c r="F713" t="s">
        <v>2344</v>
      </c>
      <c r="G713" t="s">
        <v>2344</v>
      </c>
      <c r="H713">
        <v>1</v>
      </c>
      <c r="I713" t="s">
        <v>2344</v>
      </c>
      <c r="J713" t="str">
        <f t="shared" si="45"/>
        <v>Obesity</v>
      </c>
      <c r="K713" t="str">
        <f t="shared" si="44"/>
        <v>Diabetes</v>
      </c>
      <c r="L713">
        <v>9</v>
      </c>
      <c r="M713" t="s">
        <v>2363</v>
      </c>
      <c r="N713">
        <v>1995</v>
      </c>
      <c r="O713" s="8">
        <f t="shared" si="46"/>
        <v>34951</v>
      </c>
      <c r="P713" s="10">
        <v>6111.95</v>
      </c>
      <c r="Q713" t="s">
        <v>2357</v>
      </c>
      <c r="R713" t="s">
        <v>2358</v>
      </c>
      <c r="S713" t="s">
        <v>2380</v>
      </c>
      <c r="T713">
        <f t="shared" ca="1" si="47"/>
        <v>31</v>
      </c>
      <c r="U713">
        <f>VLOOKUP($A713,'Medical Examination'!$A:$Z,2,FALSE)</f>
        <v>39.1</v>
      </c>
    </row>
    <row r="714" spans="1:21" ht="15.5" x14ac:dyDescent="0.35">
      <c r="A714" s="2" t="s">
        <v>714</v>
      </c>
      <c r="B714" s="2" t="s">
        <v>3547</v>
      </c>
      <c r="C714">
        <v>37.905000000000001</v>
      </c>
      <c r="D714">
        <v>7.03</v>
      </c>
      <c r="E714" t="s">
        <v>2344</v>
      </c>
      <c r="F714" t="s">
        <v>2344</v>
      </c>
      <c r="G714" t="s">
        <v>2344</v>
      </c>
      <c r="H714">
        <v>1</v>
      </c>
      <c r="I714" t="s">
        <v>2344</v>
      </c>
      <c r="J714" t="str">
        <f t="shared" si="45"/>
        <v>Obesity</v>
      </c>
      <c r="K714" t="str">
        <f t="shared" si="44"/>
        <v>Diabetes</v>
      </c>
      <c r="L714">
        <v>21</v>
      </c>
      <c r="M714" t="s">
        <v>2356</v>
      </c>
      <c r="N714">
        <v>1985</v>
      </c>
      <c r="O714" s="8">
        <f t="shared" si="46"/>
        <v>31249</v>
      </c>
      <c r="P714" s="10">
        <v>6112.35</v>
      </c>
      <c r="Q714" t="s">
        <v>2357</v>
      </c>
      <c r="R714" t="s">
        <v>2361</v>
      </c>
      <c r="S714" t="s">
        <v>2364</v>
      </c>
      <c r="T714">
        <f t="shared" ca="1" si="47"/>
        <v>41</v>
      </c>
      <c r="U714">
        <f>VLOOKUP($A714,'Medical Examination'!$A:$Z,2,FALSE)</f>
        <v>37.905000000000001</v>
      </c>
    </row>
    <row r="715" spans="1:21" ht="15.5" x14ac:dyDescent="0.35">
      <c r="A715" s="2" t="s">
        <v>715</v>
      </c>
      <c r="B715" s="2" t="s">
        <v>3549</v>
      </c>
      <c r="C715">
        <v>43.35</v>
      </c>
      <c r="D715">
        <v>5.41</v>
      </c>
      <c r="E715" t="s">
        <v>2346</v>
      </c>
      <c r="F715" t="s">
        <v>2344</v>
      </c>
      <c r="G715" t="s">
        <v>2346</v>
      </c>
      <c r="H715">
        <v>1</v>
      </c>
      <c r="I715" t="s">
        <v>2344</v>
      </c>
      <c r="J715" t="str">
        <f t="shared" si="45"/>
        <v>Obesity</v>
      </c>
      <c r="K715" t="str">
        <f t="shared" si="44"/>
        <v>Normal</v>
      </c>
      <c r="L715">
        <v>25</v>
      </c>
      <c r="M715" t="s">
        <v>2356</v>
      </c>
      <c r="N715">
        <v>1991</v>
      </c>
      <c r="O715" s="8">
        <f t="shared" si="46"/>
        <v>33444</v>
      </c>
      <c r="P715" s="10">
        <v>6113.23</v>
      </c>
      <c r="Q715" t="s">
        <v>2357</v>
      </c>
      <c r="R715" t="s">
        <v>2357</v>
      </c>
      <c r="S715" t="s">
        <v>2374</v>
      </c>
      <c r="T715">
        <f t="shared" ca="1" si="47"/>
        <v>35</v>
      </c>
      <c r="U715">
        <f>VLOOKUP($A715,'Medical Examination'!$A:$Z,2,FALSE)</f>
        <v>43.35</v>
      </c>
    </row>
    <row r="716" spans="1:21" ht="15.5" x14ac:dyDescent="0.35">
      <c r="A716" s="2" t="s">
        <v>716</v>
      </c>
      <c r="B716" s="2" t="s">
        <v>2538</v>
      </c>
      <c r="C716">
        <v>36.15</v>
      </c>
      <c r="D716">
        <v>8.0500000000000007</v>
      </c>
      <c r="E716" t="s">
        <v>2344</v>
      </c>
      <c r="F716" t="s">
        <v>2344</v>
      </c>
      <c r="G716" t="s">
        <v>2344</v>
      </c>
      <c r="H716">
        <v>0</v>
      </c>
      <c r="I716" t="s">
        <v>2344</v>
      </c>
      <c r="J716" t="str">
        <f t="shared" si="45"/>
        <v>Obesity</v>
      </c>
      <c r="K716" t="str">
        <f t="shared" ref="K716:K779" si="48">IF(D716&lt;5.7,"Normal",IF(D716&lt;6.5,"Prediabetes","Diabetes"))</f>
        <v>Diabetes</v>
      </c>
      <c r="L716">
        <v>11</v>
      </c>
      <c r="M716" t="s">
        <v>2366</v>
      </c>
      <c r="N716">
        <v>1983</v>
      </c>
      <c r="O716" s="8">
        <f t="shared" si="46"/>
        <v>30539</v>
      </c>
      <c r="P716" s="10">
        <v>6117.49</v>
      </c>
      <c r="Q716" t="s">
        <v>2357</v>
      </c>
      <c r="R716" t="s">
        <v>2358</v>
      </c>
      <c r="S716" t="s">
        <v>2364</v>
      </c>
      <c r="T716">
        <f t="shared" ca="1" si="47"/>
        <v>43</v>
      </c>
      <c r="U716">
        <f>VLOOKUP($A716,'Medical Examination'!$A:$Z,2,FALSE)</f>
        <v>36.15</v>
      </c>
    </row>
    <row r="717" spans="1:21" ht="15.5" x14ac:dyDescent="0.35">
      <c r="A717" s="2" t="s">
        <v>717</v>
      </c>
      <c r="B717" s="2" t="s">
        <v>3551</v>
      </c>
      <c r="C717">
        <v>44.98</v>
      </c>
      <c r="D717">
        <v>5.94</v>
      </c>
      <c r="E717" t="s">
        <v>2344</v>
      </c>
      <c r="F717" t="s">
        <v>2344</v>
      </c>
      <c r="G717" t="s">
        <v>2344</v>
      </c>
      <c r="H717">
        <v>1</v>
      </c>
      <c r="I717" t="s">
        <v>2344</v>
      </c>
      <c r="J717" t="str">
        <f t="shared" si="45"/>
        <v>Obesity</v>
      </c>
      <c r="K717" t="str">
        <f t="shared" si="48"/>
        <v>Prediabetes</v>
      </c>
      <c r="L717">
        <v>16</v>
      </c>
      <c r="M717" t="s">
        <v>2360</v>
      </c>
      <c r="N717">
        <v>1983</v>
      </c>
      <c r="O717" s="8">
        <f t="shared" si="46"/>
        <v>30636</v>
      </c>
      <c r="P717" s="10">
        <v>6123.57</v>
      </c>
      <c r="Q717" t="s">
        <v>2358</v>
      </c>
      <c r="R717" t="s">
        <v>2357</v>
      </c>
      <c r="S717" t="s">
        <v>2364</v>
      </c>
      <c r="T717">
        <f t="shared" ca="1" si="47"/>
        <v>43</v>
      </c>
      <c r="U717">
        <f>VLOOKUP($A717,'Medical Examination'!$A:$Z,2,FALSE)</f>
        <v>44.98</v>
      </c>
    </row>
    <row r="718" spans="1:21" ht="15.5" x14ac:dyDescent="0.35">
      <c r="A718" s="2" t="s">
        <v>718</v>
      </c>
      <c r="B718" s="2" t="s">
        <v>3552</v>
      </c>
      <c r="C718">
        <v>38.28</v>
      </c>
      <c r="D718">
        <v>5.51</v>
      </c>
      <c r="E718" t="s">
        <v>2344</v>
      </c>
      <c r="F718" t="s">
        <v>2345</v>
      </c>
      <c r="G718" t="s">
        <v>2344</v>
      </c>
      <c r="H718">
        <v>1</v>
      </c>
      <c r="I718" t="s">
        <v>2344</v>
      </c>
      <c r="J718" t="str">
        <f t="shared" si="45"/>
        <v>Obesity</v>
      </c>
      <c r="K718" t="str">
        <f t="shared" si="48"/>
        <v>Normal</v>
      </c>
      <c r="L718">
        <v>18</v>
      </c>
      <c r="M718" t="s">
        <v>2366</v>
      </c>
      <c r="N718">
        <v>1990</v>
      </c>
      <c r="O718" s="8">
        <f t="shared" si="46"/>
        <v>33103</v>
      </c>
      <c r="P718" s="10">
        <v>6128.8</v>
      </c>
      <c r="Q718" t="s">
        <v>2357</v>
      </c>
      <c r="R718" t="s">
        <v>2358</v>
      </c>
      <c r="S718" t="s">
        <v>2364</v>
      </c>
      <c r="T718">
        <f t="shared" ca="1" si="47"/>
        <v>36</v>
      </c>
      <c r="U718">
        <f>VLOOKUP($A718,'Medical Examination'!$A:$Z,2,FALSE)</f>
        <v>38.28</v>
      </c>
    </row>
    <row r="719" spans="1:21" ht="15.5" x14ac:dyDescent="0.35">
      <c r="A719" s="2" t="s">
        <v>719</v>
      </c>
      <c r="B719" s="2" t="s">
        <v>3553</v>
      </c>
      <c r="C719">
        <v>32.299999999999997</v>
      </c>
      <c r="D719">
        <v>6.55</v>
      </c>
      <c r="E719" t="s">
        <v>2346</v>
      </c>
      <c r="F719" t="s">
        <v>2344</v>
      </c>
      <c r="G719" t="s">
        <v>2344</v>
      </c>
      <c r="H719">
        <v>1</v>
      </c>
      <c r="I719" t="s">
        <v>2344</v>
      </c>
      <c r="J719" t="str">
        <f t="shared" si="45"/>
        <v>Obesity</v>
      </c>
      <c r="K719" t="str">
        <f t="shared" si="48"/>
        <v>Diabetes</v>
      </c>
      <c r="L719">
        <v>9</v>
      </c>
      <c r="M719" t="s">
        <v>2360</v>
      </c>
      <c r="N719">
        <v>1969</v>
      </c>
      <c r="O719" s="8">
        <f t="shared" si="46"/>
        <v>25516</v>
      </c>
      <c r="P719" s="10">
        <v>6138.5</v>
      </c>
      <c r="Q719" t="s">
        <v>2357</v>
      </c>
      <c r="R719" t="s">
        <v>2357</v>
      </c>
      <c r="S719" t="s">
        <v>2368</v>
      </c>
      <c r="T719">
        <f t="shared" ca="1" si="47"/>
        <v>57</v>
      </c>
      <c r="U719">
        <f>VLOOKUP($A719,'Medical Examination'!$A:$Z,2,FALSE)</f>
        <v>32.299999999999997</v>
      </c>
    </row>
    <row r="720" spans="1:21" ht="15.5" x14ac:dyDescent="0.35">
      <c r="A720" s="2" t="s">
        <v>720</v>
      </c>
      <c r="B720" s="2" t="s">
        <v>3555</v>
      </c>
      <c r="C720">
        <v>39.51</v>
      </c>
      <c r="D720">
        <v>5.79</v>
      </c>
      <c r="E720" t="s">
        <v>2346</v>
      </c>
      <c r="F720" t="s">
        <v>2344</v>
      </c>
      <c r="G720" t="s">
        <v>2344</v>
      </c>
      <c r="H720">
        <v>0</v>
      </c>
      <c r="I720" t="s">
        <v>2344</v>
      </c>
      <c r="J720" t="str">
        <f t="shared" si="45"/>
        <v>Obesity</v>
      </c>
      <c r="K720" t="str">
        <f t="shared" si="48"/>
        <v>Prediabetes</v>
      </c>
      <c r="L720">
        <v>5</v>
      </c>
      <c r="M720" t="s">
        <v>2363</v>
      </c>
      <c r="N720">
        <v>1978</v>
      </c>
      <c r="O720" s="8">
        <f t="shared" si="46"/>
        <v>28738</v>
      </c>
      <c r="P720" s="10">
        <v>6138.58</v>
      </c>
      <c r="Q720" t="s">
        <v>2357</v>
      </c>
      <c r="R720" t="s">
        <v>2361</v>
      </c>
      <c r="S720" t="s">
        <v>2359</v>
      </c>
      <c r="T720">
        <f t="shared" ca="1" si="47"/>
        <v>48</v>
      </c>
      <c r="U720">
        <f>VLOOKUP($A720,'Medical Examination'!$A:$Z,2,FALSE)</f>
        <v>39.51</v>
      </c>
    </row>
    <row r="721" spans="1:21" ht="15.5" x14ac:dyDescent="0.35">
      <c r="A721" s="2" t="s">
        <v>721</v>
      </c>
      <c r="B721" s="2" t="s">
        <v>3557</v>
      </c>
      <c r="C721">
        <v>50.46</v>
      </c>
      <c r="D721">
        <v>4.5599999999999996</v>
      </c>
      <c r="E721" t="s">
        <v>2344</v>
      </c>
      <c r="F721" t="s">
        <v>2344</v>
      </c>
      <c r="G721" t="s">
        <v>2344</v>
      </c>
      <c r="H721">
        <v>0</v>
      </c>
      <c r="I721" t="s">
        <v>2344</v>
      </c>
      <c r="J721" t="str">
        <f t="shared" si="45"/>
        <v>Obesity</v>
      </c>
      <c r="K721" t="str">
        <f t="shared" si="48"/>
        <v>Normal</v>
      </c>
      <c r="L721">
        <v>12</v>
      </c>
      <c r="M721" t="s">
        <v>2365</v>
      </c>
      <c r="N721">
        <v>1976</v>
      </c>
      <c r="O721" s="8">
        <f t="shared" si="46"/>
        <v>28106</v>
      </c>
      <c r="P721" s="10">
        <v>6139.14</v>
      </c>
      <c r="Q721" t="s">
        <v>2357</v>
      </c>
      <c r="R721" t="s">
        <v>2358</v>
      </c>
      <c r="S721" t="s">
        <v>2359</v>
      </c>
      <c r="T721">
        <f t="shared" ca="1" si="47"/>
        <v>50</v>
      </c>
      <c r="U721">
        <f>VLOOKUP($A721,'Medical Examination'!$A:$Z,2,FALSE)</f>
        <v>50.46</v>
      </c>
    </row>
    <row r="722" spans="1:21" ht="15.5" x14ac:dyDescent="0.35">
      <c r="A722" s="2" t="s">
        <v>722</v>
      </c>
      <c r="B722" s="2" t="s">
        <v>3559</v>
      </c>
      <c r="C722">
        <v>31.73</v>
      </c>
      <c r="D722" t="s">
        <v>2346</v>
      </c>
      <c r="E722" t="s">
        <v>2344</v>
      </c>
      <c r="F722" t="s">
        <v>2344</v>
      </c>
      <c r="G722" t="s">
        <v>2344</v>
      </c>
      <c r="H722">
        <v>0</v>
      </c>
      <c r="I722" t="s">
        <v>2344</v>
      </c>
      <c r="J722" t="str">
        <f t="shared" si="45"/>
        <v>Obesity</v>
      </c>
      <c r="K722" t="str">
        <f t="shared" si="48"/>
        <v>Diabetes</v>
      </c>
      <c r="L722">
        <v>14</v>
      </c>
      <c r="M722" t="s">
        <v>2367</v>
      </c>
      <c r="N722">
        <v>1970</v>
      </c>
      <c r="O722" s="8">
        <f t="shared" si="46"/>
        <v>25855</v>
      </c>
      <c r="P722" s="10">
        <v>6147.12</v>
      </c>
      <c r="Q722" t="s">
        <v>2357</v>
      </c>
      <c r="R722" t="s">
        <v>2358</v>
      </c>
      <c r="S722" t="s">
        <v>2364</v>
      </c>
      <c r="T722">
        <f t="shared" ca="1" si="47"/>
        <v>56</v>
      </c>
      <c r="U722">
        <f>VLOOKUP($A722,'Medical Examination'!$A:$Z,2,FALSE)</f>
        <v>31.73</v>
      </c>
    </row>
    <row r="723" spans="1:21" ht="15.5" x14ac:dyDescent="0.35">
      <c r="A723" s="2" t="s">
        <v>723</v>
      </c>
      <c r="B723" s="2" t="s">
        <v>3560</v>
      </c>
      <c r="C723">
        <v>32.1</v>
      </c>
      <c r="D723">
        <v>6.57</v>
      </c>
      <c r="E723" t="s">
        <v>2346</v>
      </c>
      <c r="F723" t="s">
        <v>2344</v>
      </c>
      <c r="G723" t="s">
        <v>2346</v>
      </c>
      <c r="H723">
        <v>1</v>
      </c>
      <c r="I723" t="s">
        <v>2344</v>
      </c>
      <c r="J723" t="str">
        <f t="shared" si="45"/>
        <v>Obesity</v>
      </c>
      <c r="K723" t="str">
        <f t="shared" si="48"/>
        <v>Diabetes</v>
      </c>
      <c r="L723">
        <v>6</v>
      </c>
      <c r="M723" t="s">
        <v>2360</v>
      </c>
      <c r="N723">
        <v>1973</v>
      </c>
      <c r="O723" s="8">
        <f t="shared" si="46"/>
        <v>26974</v>
      </c>
      <c r="P723" s="10">
        <v>6152.05</v>
      </c>
      <c r="Q723" t="s">
        <v>2357</v>
      </c>
      <c r="R723" t="s">
        <v>2358</v>
      </c>
      <c r="S723" t="s">
        <v>2359</v>
      </c>
      <c r="T723">
        <f t="shared" ca="1" si="47"/>
        <v>53</v>
      </c>
      <c r="U723">
        <f>VLOOKUP($A723,'Medical Examination'!$A:$Z,2,FALSE)</f>
        <v>32.1</v>
      </c>
    </row>
    <row r="724" spans="1:21" ht="15.5" x14ac:dyDescent="0.35">
      <c r="A724" s="2" t="s">
        <v>724</v>
      </c>
      <c r="B724" s="2" t="s">
        <v>3561</v>
      </c>
      <c r="C724">
        <v>27.83</v>
      </c>
      <c r="D724">
        <v>11.61</v>
      </c>
      <c r="E724" t="s">
        <v>2346</v>
      </c>
      <c r="F724" t="s">
        <v>2344</v>
      </c>
      <c r="G724" t="s">
        <v>2346</v>
      </c>
      <c r="H724">
        <v>1</v>
      </c>
      <c r="I724" t="s">
        <v>2344</v>
      </c>
      <c r="J724" t="str">
        <f t="shared" si="45"/>
        <v>Over weight</v>
      </c>
      <c r="K724" t="str">
        <f t="shared" si="48"/>
        <v>Diabetes</v>
      </c>
      <c r="L724">
        <v>15</v>
      </c>
      <c r="M724" t="s">
        <v>2367</v>
      </c>
      <c r="N724">
        <v>1985</v>
      </c>
      <c r="O724" s="8">
        <f t="shared" si="46"/>
        <v>31335</v>
      </c>
      <c r="P724" s="10">
        <v>6159.57</v>
      </c>
      <c r="Q724" t="s">
        <v>2357</v>
      </c>
      <c r="R724" t="s">
        <v>2361</v>
      </c>
      <c r="S724" t="s">
        <v>2364</v>
      </c>
      <c r="T724">
        <f t="shared" ca="1" si="47"/>
        <v>41</v>
      </c>
      <c r="U724">
        <f>VLOOKUP($A724,'Medical Examination'!$A:$Z,2,FALSE)</f>
        <v>27.83</v>
      </c>
    </row>
    <row r="725" spans="1:21" ht="15.5" x14ac:dyDescent="0.35">
      <c r="A725" s="2" t="s">
        <v>725</v>
      </c>
      <c r="B725" s="2" t="s">
        <v>3562</v>
      </c>
      <c r="C725">
        <v>27.72</v>
      </c>
      <c r="D725">
        <v>8.16</v>
      </c>
      <c r="E725" t="s">
        <v>2346</v>
      </c>
      <c r="F725" t="s">
        <v>2344</v>
      </c>
      <c r="G725" t="s">
        <v>2346</v>
      </c>
      <c r="H725">
        <v>1</v>
      </c>
      <c r="I725" t="s">
        <v>2344</v>
      </c>
      <c r="J725" t="str">
        <f t="shared" si="45"/>
        <v>Over weight</v>
      </c>
      <c r="K725" t="str">
        <f t="shared" si="48"/>
        <v>Diabetes</v>
      </c>
      <c r="L725">
        <v>6</v>
      </c>
      <c r="M725" t="s">
        <v>2367</v>
      </c>
      <c r="N725">
        <v>1984</v>
      </c>
      <c r="O725" s="8">
        <f t="shared" si="46"/>
        <v>30961</v>
      </c>
      <c r="P725" s="10">
        <v>6170.96</v>
      </c>
      <c r="Q725" t="s">
        <v>2357</v>
      </c>
      <c r="R725" t="s">
        <v>2361</v>
      </c>
      <c r="S725" t="s">
        <v>2359</v>
      </c>
      <c r="T725">
        <f t="shared" ca="1" si="47"/>
        <v>42</v>
      </c>
      <c r="U725">
        <f>VLOOKUP($A725,'Medical Examination'!$A:$Z,2,FALSE)</f>
        <v>27.72</v>
      </c>
    </row>
    <row r="726" spans="1:21" ht="15.5" x14ac:dyDescent="0.35">
      <c r="A726" s="2" t="s">
        <v>726</v>
      </c>
      <c r="B726" s="2" t="s">
        <v>3563</v>
      </c>
      <c r="C726">
        <v>36.765000000000001</v>
      </c>
      <c r="D726">
        <v>4.4800000000000004</v>
      </c>
      <c r="E726" t="s">
        <v>2346</v>
      </c>
      <c r="F726" t="s">
        <v>2344</v>
      </c>
      <c r="G726" t="s">
        <v>2344</v>
      </c>
      <c r="H726">
        <v>1</v>
      </c>
      <c r="I726" t="s">
        <v>2344</v>
      </c>
      <c r="J726" t="str">
        <f t="shared" si="45"/>
        <v>Obesity</v>
      </c>
      <c r="K726" t="str">
        <f t="shared" si="48"/>
        <v>Normal</v>
      </c>
      <c r="L726">
        <v>9</v>
      </c>
      <c r="M726" t="s">
        <v>2366</v>
      </c>
      <c r="N726">
        <v>1985</v>
      </c>
      <c r="O726" s="8">
        <f t="shared" si="46"/>
        <v>31268</v>
      </c>
      <c r="P726" s="10">
        <v>6183.32</v>
      </c>
      <c r="Q726" t="s">
        <v>2357</v>
      </c>
      <c r="R726" t="s">
        <v>2357</v>
      </c>
      <c r="S726" t="s">
        <v>2364</v>
      </c>
      <c r="T726">
        <f t="shared" ca="1" si="47"/>
        <v>41</v>
      </c>
      <c r="U726">
        <f>VLOOKUP($A726,'Medical Examination'!$A:$Z,2,FALSE)</f>
        <v>36.765000000000001</v>
      </c>
    </row>
    <row r="727" spans="1:21" ht="15.5" x14ac:dyDescent="0.35">
      <c r="A727" s="2" t="s">
        <v>727</v>
      </c>
      <c r="B727" s="2" t="s">
        <v>2586</v>
      </c>
      <c r="C727">
        <v>48.36</v>
      </c>
      <c r="D727">
        <v>4.08</v>
      </c>
      <c r="E727" t="s">
        <v>2344</v>
      </c>
      <c r="F727" t="s">
        <v>2344</v>
      </c>
      <c r="G727" t="s">
        <v>2344</v>
      </c>
      <c r="H727">
        <v>0</v>
      </c>
      <c r="I727" t="s">
        <v>2344</v>
      </c>
      <c r="J727" t="str">
        <f t="shared" si="45"/>
        <v>Obesity</v>
      </c>
      <c r="K727" t="str">
        <f t="shared" si="48"/>
        <v>Normal</v>
      </c>
      <c r="L727">
        <v>5</v>
      </c>
      <c r="M727" t="s">
        <v>2367</v>
      </c>
      <c r="N727">
        <v>1970</v>
      </c>
      <c r="O727" s="8">
        <f t="shared" si="46"/>
        <v>25846</v>
      </c>
      <c r="P727" s="10">
        <v>6183.46</v>
      </c>
      <c r="Q727" t="s">
        <v>2357</v>
      </c>
      <c r="R727" t="s">
        <v>2357</v>
      </c>
      <c r="S727" t="s">
        <v>2364</v>
      </c>
      <c r="T727">
        <f t="shared" ca="1" si="47"/>
        <v>56</v>
      </c>
      <c r="U727">
        <f>VLOOKUP($A727,'Medical Examination'!$A:$Z,2,FALSE)</f>
        <v>48.36</v>
      </c>
    </row>
    <row r="728" spans="1:21" ht="15.5" x14ac:dyDescent="0.35">
      <c r="A728" s="2" t="s">
        <v>728</v>
      </c>
      <c r="B728" s="2" t="s">
        <v>3565</v>
      </c>
      <c r="C728">
        <v>31.445</v>
      </c>
      <c r="D728">
        <v>4.4000000000000004</v>
      </c>
      <c r="E728" t="s">
        <v>2346</v>
      </c>
      <c r="F728" t="s">
        <v>2344</v>
      </c>
      <c r="G728" t="s">
        <v>2344</v>
      </c>
      <c r="H728">
        <v>1</v>
      </c>
      <c r="I728" t="s">
        <v>2344</v>
      </c>
      <c r="J728" t="str">
        <f t="shared" si="45"/>
        <v>Obesity</v>
      </c>
      <c r="K728" t="str">
        <f t="shared" si="48"/>
        <v>Normal</v>
      </c>
      <c r="L728">
        <v>1</v>
      </c>
      <c r="M728" t="s">
        <v>2360</v>
      </c>
      <c r="N728">
        <v>1988</v>
      </c>
      <c r="O728" s="8">
        <f t="shared" si="46"/>
        <v>32448</v>
      </c>
      <c r="P728" s="10">
        <v>6184.3</v>
      </c>
      <c r="Q728" t="s">
        <v>2357</v>
      </c>
      <c r="R728" t="s">
        <v>2358</v>
      </c>
      <c r="S728" t="s">
        <v>2359</v>
      </c>
      <c r="T728">
        <f t="shared" ca="1" si="47"/>
        <v>38</v>
      </c>
      <c r="U728">
        <f>VLOOKUP($A728,'Medical Examination'!$A:$Z,2,FALSE)</f>
        <v>31.445</v>
      </c>
    </row>
    <row r="729" spans="1:21" ht="15.5" x14ac:dyDescent="0.35">
      <c r="A729" s="2" t="s">
        <v>729</v>
      </c>
      <c r="B729" s="2" t="s">
        <v>3566</v>
      </c>
      <c r="C729">
        <v>27.55</v>
      </c>
      <c r="D729">
        <v>9.02</v>
      </c>
      <c r="E729" t="s">
        <v>2344</v>
      </c>
      <c r="F729" t="s">
        <v>2344</v>
      </c>
      <c r="G729" t="s">
        <v>2344</v>
      </c>
      <c r="H729">
        <v>0</v>
      </c>
      <c r="I729" t="s">
        <v>2344</v>
      </c>
      <c r="J729" t="str">
        <f t="shared" si="45"/>
        <v>Over weight</v>
      </c>
      <c r="K729" t="str">
        <f t="shared" si="48"/>
        <v>Diabetes</v>
      </c>
      <c r="L729">
        <v>22</v>
      </c>
      <c r="M729" t="s">
        <v>2360</v>
      </c>
      <c r="N729">
        <v>1981</v>
      </c>
      <c r="O729" s="8">
        <f t="shared" si="46"/>
        <v>29912</v>
      </c>
      <c r="P729" s="10">
        <v>6185.32</v>
      </c>
      <c r="Q729" t="s">
        <v>2357</v>
      </c>
      <c r="R729" t="s">
        <v>2361</v>
      </c>
      <c r="S729" t="s">
        <v>2359</v>
      </c>
      <c r="T729">
        <f t="shared" ca="1" si="47"/>
        <v>45</v>
      </c>
      <c r="U729">
        <f>VLOOKUP($A729,'Medical Examination'!$A:$Z,2,FALSE)</f>
        <v>27.55</v>
      </c>
    </row>
    <row r="730" spans="1:21" ht="15.5" x14ac:dyDescent="0.35">
      <c r="A730" s="2" t="s">
        <v>730</v>
      </c>
      <c r="B730" s="2" t="s">
        <v>3555</v>
      </c>
      <c r="C730">
        <v>33.11</v>
      </c>
      <c r="D730">
        <v>8.06</v>
      </c>
      <c r="E730" t="s">
        <v>2344</v>
      </c>
      <c r="F730" t="s">
        <v>2344</v>
      </c>
      <c r="G730" t="s">
        <v>2344</v>
      </c>
      <c r="H730">
        <v>0</v>
      </c>
      <c r="I730" t="s">
        <v>2344</v>
      </c>
      <c r="J730" t="str">
        <f t="shared" si="45"/>
        <v>Obesity</v>
      </c>
      <c r="K730" t="str">
        <f t="shared" si="48"/>
        <v>Diabetes</v>
      </c>
      <c r="L730">
        <v>1</v>
      </c>
      <c r="M730" t="s">
        <v>2367</v>
      </c>
      <c r="N730">
        <v>1981</v>
      </c>
      <c r="O730" s="8">
        <f t="shared" si="46"/>
        <v>29860</v>
      </c>
      <c r="P730" s="10">
        <v>6186.13</v>
      </c>
      <c r="Q730" t="s">
        <v>2357</v>
      </c>
      <c r="R730" t="s">
        <v>2358</v>
      </c>
      <c r="S730" t="s">
        <v>2368</v>
      </c>
      <c r="T730">
        <f t="shared" ca="1" si="47"/>
        <v>45</v>
      </c>
      <c r="U730">
        <f>VLOOKUP($A730,'Medical Examination'!$A:$Z,2,FALSE)</f>
        <v>33.11</v>
      </c>
    </row>
    <row r="731" spans="1:21" ht="15.5" x14ac:dyDescent="0.35">
      <c r="A731" s="2" t="s">
        <v>731</v>
      </c>
      <c r="B731" s="2" t="s">
        <v>3568</v>
      </c>
      <c r="C731">
        <v>36.85</v>
      </c>
      <c r="D731">
        <v>6.21</v>
      </c>
      <c r="E731" t="s">
        <v>2346</v>
      </c>
      <c r="F731" t="s">
        <v>2344</v>
      </c>
      <c r="G731" t="s">
        <v>2344</v>
      </c>
      <c r="H731">
        <v>1</v>
      </c>
      <c r="I731" t="s">
        <v>2344</v>
      </c>
      <c r="J731" t="str">
        <f t="shared" si="45"/>
        <v>Obesity</v>
      </c>
      <c r="K731" t="str">
        <f t="shared" si="48"/>
        <v>Prediabetes</v>
      </c>
      <c r="L731">
        <v>23</v>
      </c>
      <c r="M731" t="s">
        <v>2367</v>
      </c>
      <c r="N731">
        <v>1988</v>
      </c>
      <c r="O731" s="8">
        <f t="shared" si="46"/>
        <v>32439</v>
      </c>
      <c r="P731" s="10">
        <v>6196.45</v>
      </c>
      <c r="Q731" t="s">
        <v>2357</v>
      </c>
      <c r="R731" t="s">
        <v>2361</v>
      </c>
      <c r="S731" t="s">
        <v>2368</v>
      </c>
      <c r="T731">
        <f t="shared" ca="1" si="47"/>
        <v>38</v>
      </c>
      <c r="U731">
        <f>VLOOKUP($A731,'Medical Examination'!$A:$Z,2,FALSE)</f>
        <v>36.85</v>
      </c>
    </row>
    <row r="732" spans="1:21" ht="15.5" x14ac:dyDescent="0.35">
      <c r="A732" s="2" t="s">
        <v>732</v>
      </c>
      <c r="B732" s="2" t="s">
        <v>3570</v>
      </c>
      <c r="C732">
        <v>36.299999999999997</v>
      </c>
      <c r="D732">
        <v>5.79</v>
      </c>
      <c r="E732" t="s">
        <v>2346</v>
      </c>
      <c r="F732" t="s">
        <v>2344</v>
      </c>
      <c r="G732" t="s">
        <v>2344</v>
      </c>
      <c r="H732">
        <v>1</v>
      </c>
      <c r="I732" t="s">
        <v>2344</v>
      </c>
      <c r="J732" t="str">
        <f t="shared" si="45"/>
        <v>Obesity</v>
      </c>
      <c r="K732" t="str">
        <f t="shared" si="48"/>
        <v>Prediabetes</v>
      </c>
      <c r="L732">
        <v>22</v>
      </c>
      <c r="M732" t="s">
        <v>2356</v>
      </c>
      <c r="N732">
        <v>1985</v>
      </c>
      <c r="O732" s="8">
        <f t="shared" si="46"/>
        <v>31250</v>
      </c>
      <c r="P732" s="10">
        <v>6198.75</v>
      </c>
      <c r="Q732" t="s">
        <v>2357</v>
      </c>
      <c r="R732" t="s">
        <v>2361</v>
      </c>
      <c r="S732" t="s">
        <v>2364</v>
      </c>
      <c r="T732">
        <f t="shared" ca="1" si="47"/>
        <v>41</v>
      </c>
      <c r="U732">
        <f>VLOOKUP($A732,'Medical Examination'!$A:$Z,2,FALSE)</f>
        <v>36.299999999999997</v>
      </c>
    </row>
    <row r="733" spans="1:21" ht="15.5" x14ac:dyDescent="0.35">
      <c r="A733" s="2" t="s">
        <v>733</v>
      </c>
      <c r="B733" s="2" t="s">
        <v>3571</v>
      </c>
      <c r="C733">
        <v>45.34</v>
      </c>
      <c r="D733">
        <v>5.69</v>
      </c>
      <c r="E733" t="s">
        <v>2346</v>
      </c>
      <c r="F733" t="s">
        <v>2344</v>
      </c>
      <c r="G733" t="s">
        <v>2344</v>
      </c>
      <c r="H733">
        <v>0</v>
      </c>
      <c r="I733" t="s">
        <v>2344</v>
      </c>
      <c r="J733" t="str">
        <f t="shared" si="45"/>
        <v>Obesity</v>
      </c>
      <c r="K733" t="str">
        <f t="shared" si="48"/>
        <v>Normal</v>
      </c>
      <c r="L733">
        <v>20</v>
      </c>
      <c r="M733" t="s">
        <v>2365</v>
      </c>
      <c r="N733">
        <v>1985</v>
      </c>
      <c r="O733" s="8">
        <f t="shared" si="46"/>
        <v>31401</v>
      </c>
      <c r="P733" s="10">
        <v>6203.9</v>
      </c>
      <c r="Q733" t="s">
        <v>2361</v>
      </c>
      <c r="R733" t="s">
        <v>2357</v>
      </c>
      <c r="S733" t="s">
        <v>2364</v>
      </c>
      <c r="T733">
        <f t="shared" ca="1" si="47"/>
        <v>41</v>
      </c>
      <c r="U733">
        <f>VLOOKUP($A733,'Medical Examination'!$A:$Z,2,FALSE)</f>
        <v>45.34</v>
      </c>
    </row>
    <row r="734" spans="1:21" ht="15.5" x14ac:dyDescent="0.35">
      <c r="A734" s="2" t="s">
        <v>734</v>
      </c>
      <c r="B734" s="2" t="s">
        <v>3572</v>
      </c>
      <c r="C734">
        <v>31.8</v>
      </c>
      <c r="D734">
        <v>5.36</v>
      </c>
      <c r="E734" t="s">
        <v>2346</v>
      </c>
      <c r="F734" t="s">
        <v>2344</v>
      </c>
      <c r="G734" t="s">
        <v>2344</v>
      </c>
      <c r="H734">
        <v>1</v>
      </c>
      <c r="I734" t="s">
        <v>2344</v>
      </c>
      <c r="J734" t="str">
        <f t="shared" si="45"/>
        <v>Obesity</v>
      </c>
      <c r="K734" t="str">
        <f t="shared" si="48"/>
        <v>Normal</v>
      </c>
      <c r="L734">
        <v>22</v>
      </c>
      <c r="M734" t="s">
        <v>2363</v>
      </c>
      <c r="N734">
        <v>1985</v>
      </c>
      <c r="O734" s="8">
        <f t="shared" si="46"/>
        <v>31312</v>
      </c>
      <c r="P734" s="10">
        <v>6203.9</v>
      </c>
      <c r="Q734" t="s">
        <v>2357</v>
      </c>
      <c r="R734" t="s">
        <v>2357</v>
      </c>
      <c r="S734" t="s">
        <v>2364</v>
      </c>
      <c r="T734">
        <f t="shared" ca="1" si="47"/>
        <v>41</v>
      </c>
      <c r="U734">
        <f>VLOOKUP($A734,'Medical Examination'!$A:$Z,2,FALSE)</f>
        <v>31.8</v>
      </c>
    </row>
    <row r="735" spans="1:21" ht="15.5" x14ac:dyDescent="0.35">
      <c r="A735" s="2" t="s">
        <v>735</v>
      </c>
      <c r="B735" s="2" t="s">
        <v>2545</v>
      </c>
      <c r="C735">
        <v>41.02</v>
      </c>
      <c r="D735">
        <v>11.37</v>
      </c>
      <c r="E735" t="s">
        <v>2344</v>
      </c>
      <c r="F735" t="s">
        <v>2344</v>
      </c>
      <c r="G735" t="s">
        <v>2344</v>
      </c>
      <c r="H735">
        <v>0</v>
      </c>
      <c r="I735" t="s">
        <v>2344</v>
      </c>
      <c r="J735" t="str">
        <f t="shared" si="45"/>
        <v>Obesity</v>
      </c>
      <c r="K735" t="str">
        <f t="shared" si="48"/>
        <v>Diabetes</v>
      </c>
      <c r="L735">
        <v>10</v>
      </c>
      <c r="M735" t="s">
        <v>2363</v>
      </c>
      <c r="N735">
        <v>1999</v>
      </c>
      <c r="O735" s="8">
        <f t="shared" si="46"/>
        <v>36413</v>
      </c>
      <c r="P735" s="10">
        <v>6207.26</v>
      </c>
      <c r="Q735" t="s">
        <v>2357</v>
      </c>
      <c r="R735" t="s">
        <v>2357</v>
      </c>
      <c r="S735" t="s">
        <v>2380</v>
      </c>
      <c r="T735">
        <f t="shared" ca="1" si="47"/>
        <v>27</v>
      </c>
      <c r="U735">
        <f>VLOOKUP($A735,'Medical Examination'!$A:$Z,2,FALSE)</f>
        <v>41.02</v>
      </c>
    </row>
    <row r="736" spans="1:21" ht="15.5" x14ac:dyDescent="0.35">
      <c r="A736" s="2" t="s">
        <v>736</v>
      </c>
      <c r="B736" s="2" t="s">
        <v>3574</v>
      </c>
      <c r="C736">
        <v>32.68</v>
      </c>
      <c r="D736">
        <v>11.87</v>
      </c>
      <c r="E736" t="s">
        <v>2344</v>
      </c>
      <c r="F736" t="s">
        <v>2344</v>
      </c>
      <c r="G736" t="s">
        <v>2344</v>
      </c>
      <c r="H736">
        <v>0</v>
      </c>
      <c r="I736" t="s">
        <v>2344</v>
      </c>
      <c r="J736" t="str">
        <f t="shared" si="45"/>
        <v>Obesity</v>
      </c>
      <c r="K736" t="str">
        <f t="shared" si="48"/>
        <v>Diabetes</v>
      </c>
      <c r="L736">
        <v>12</v>
      </c>
      <c r="M736" t="s">
        <v>2366</v>
      </c>
      <c r="N736">
        <v>1992</v>
      </c>
      <c r="O736" s="8">
        <f t="shared" si="46"/>
        <v>33828</v>
      </c>
      <c r="P736" s="10">
        <v>6208.5</v>
      </c>
      <c r="Q736" t="s">
        <v>2357</v>
      </c>
      <c r="R736" t="s">
        <v>2361</v>
      </c>
      <c r="S736" t="s">
        <v>2377</v>
      </c>
      <c r="T736">
        <f t="shared" ca="1" si="47"/>
        <v>34</v>
      </c>
      <c r="U736">
        <f>VLOOKUP($A736,'Medical Examination'!$A:$Z,2,FALSE)</f>
        <v>32.68</v>
      </c>
    </row>
    <row r="737" spans="1:21" ht="15.5" x14ac:dyDescent="0.35">
      <c r="A737" s="2" t="s">
        <v>737</v>
      </c>
      <c r="B737" s="2" t="s">
        <v>3575</v>
      </c>
      <c r="C737">
        <v>21.7</v>
      </c>
      <c r="D737">
        <v>4.9000000000000004</v>
      </c>
      <c r="E737" t="s">
        <v>2344</v>
      </c>
      <c r="F737" t="s">
        <v>2344</v>
      </c>
      <c r="G737" t="s">
        <v>2346</v>
      </c>
      <c r="H737">
        <v>1</v>
      </c>
      <c r="I737" t="s">
        <v>2346</v>
      </c>
      <c r="J737" t="str">
        <f t="shared" si="45"/>
        <v>Normal Weight</v>
      </c>
      <c r="K737" t="str">
        <f t="shared" si="48"/>
        <v>Normal</v>
      </c>
      <c r="L737">
        <v>29</v>
      </c>
      <c r="M737" t="s">
        <v>2362</v>
      </c>
      <c r="N737">
        <v>1972</v>
      </c>
      <c r="O737" s="8">
        <f t="shared" si="46"/>
        <v>26479</v>
      </c>
      <c r="P737" s="10">
        <v>6219.93</v>
      </c>
      <c r="Q737" t="s">
        <v>2357</v>
      </c>
      <c r="R737" t="s">
        <v>2357</v>
      </c>
      <c r="S737" t="s">
        <v>2359</v>
      </c>
      <c r="T737">
        <f t="shared" ca="1" si="47"/>
        <v>54</v>
      </c>
      <c r="U737">
        <f>VLOOKUP($A737,'Medical Examination'!$A:$Z,2,FALSE)</f>
        <v>21.7</v>
      </c>
    </row>
    <row r="738" spans="1:21" ht="15.5" x14ac:dyDescent="0.35">
      <c r="A738" s="2" t="s">
        <v>738</v>
      </c>
      <c r="B738" s="2" t="s">
        <v>3576</v>
      </c>
      <c r="C738">
        <v>40.479999999999997</v>
      </c>
      <c r="D738">
        <v>6.7</v>
      </c>
      <c r="E738" t="s">
        <v>2344</v>
      </c>
      <c r="F738" t="s">
        <v>2344</v>
      </c>
      <c r="G738" t="s">
        <v>2344</v>
      </c>
      <c r="H738">
        <v>1</v>
      </c>
      <c r="I738" t="s">
        <v>2344</v>
      </c>
      <c r="J738" t="str">
        <f t="shared" si="45"/>
        <v>Obesity</v>
      </c>
      <c r="K738" t="str">
        <f t="shared" si="48"/>
        <v>Diabetes</v>
      </c>
      <c r="L738">
        <v>19</v>
      </c>
      <c r="M738" t="s">
        <v>2363</v>
      </c>
      <c r="N738">
        <v>1978</v>
      </c>
      <c r="O738" s="8">
        <f t="shared" si="46"/>
        <v>28752</v>
      </c>
      <c r="P738" s="10">
        <v>6236.95</v>
      </c>
      <c r="Q738" t="s">
        <v>2357</v>
      </c>
      <c r="R738" t="s">
        <v>2357</v>
      </c>
      <c r="S738" t="s">
        <v>2359</v>
      </c>
      <c r="T738">
        <f t="shared" ca="1" si="47"/>
        <v>48</v>
      </c>
      <c r="U738">
        <f>VLOOKUP($A738,'Medical Examination'!$A:$Z,2,FALSE)</f>
        <v>40.479999999999997</v>
      </c>
    </row>
    <row r="739" spans="1:21" ht="15.5" x14ac:dyDescent="0.35">
      <c r="A739" s="2" t="s">
        <v>739</v>
      </c>
      <c r="B739" s="2" t="s">
        <v>3577</v>
      </c>
      <c r="C739">
        <v>34.5</v>
      </c>
      <c r="D739">
        <v>10.3</v>
      </c>
      <c r="E739" t="s">
        <v>2344</v>
      </c>
      <c r="F739" t="s">
        <v>2344</v>
      </c>
      <c r="G739" t="s">
        <v>2344</v>
      </c>
      <c r="H739">
        <v>1</v>
      </c>
      <c r="I739" t="s">
        <v>2344</v>
      </c>
      <c r="J739" t="str">
        <f t="shared" si="45"/>
        <v>Obesity</v>
      </c>
      <c r="K739" t="str">
        <f t="shared" si="48"/>
        <v>Diabetes</v>
      </c>
      <c r="L739">
        <v>11</v>
      </c>
      <c r="M739" t="s">
        <v>2366</v>
      </c>
      <c r="N739">
        <v>1983</v>
      </c>
      <c r="O739" s="8">
        <f t="shared" si="46"/>
        <v>30539</v>
      </c>
      <c r="P739" s="10">
        <v>6238.3</v>
      </c>
      <c r="Q739" t="s">
        <v>2357</v>
      </c>
      <c r="R739" t="s">
        <v>2361</v>
      </c>
      <c r="S739" t="s">
        <v>2368</v>
      </c>
      <c r="T739">
        <f t="shared" ca="1" si="47"/>
        <v>43</v>
      </c>
      <c r="U739">
        <f>VLOOKUP($A739,'Medical Examination'!$A:$Z,2,FALSE)</f>
        <v>34.5</v>
      </c>
    </row>
    <row r="740" spans="1:21" ht="15.5" x14ac:dyDescent="0.35">
      <c r="A740" s="2" t="s">
        <v>740</v>
      </c>
      <c r="B740" s="2" t="s">
        <v>3578</v>
      </c>
      <c r="C740">
        <v>45.9</v>
      </c>
      <c r="D740">
        <v>11.14</v>
      </c>
      <c r="E740" t="s">
        <v>2346</v>
      </c>
      <c r="F740" t="s">
        <v>2344</v>
      </c>
      <c r="G740" t="s">
        <v>2344</v>
      </c>
      <c r="H740">
        <v>1</v>
      </c>
      <c r="I740" t="s">
        <v>2344</v>
      </c>
      <c r="J740" t="str">
        <f t="shared" si="45"/>
        <v>Obesity</v>
      </c>
      <c r="K740" t="str">
        <f t="shared" si="48"/>
        <v>Diabetes</v>
      </c>
      <c r="L740">
        <v>10</v>
      </c>
      <c r="M740" t="s">
        <v>2367</v>
      </c>
      <c r="N740">
        <v>1979</v>
      </c>
      <c r="O740" s="8">
        <f t="shared" si="46"/>
        <v>29138</v>
      </c>
      <c r="P740" s="10">
        <v>6250.44</v>
      </c>
      <c r="Q740" t="s">
        <v>2357</v>
      </c>
      <c r="R740" t="s">
        <v>2361</v>
      </c>
      <c r="S740" t="s">
        <v>2368</v>
      </c>
      <c r="T740">
        <f t="shared" ca="1" si="47"/>
        <v>47</v>
      </c>
      <c r="U740">
        <f>VLOOKUP($A740,'Medical Examination'!$A:$Z,2,FALSE)</f>
        <v>45.9</v>
      </c>
    </row>
    <row r="741" spans="1:21" ht="15.5" x14ac:dyDescent="0.35">
      <c r="A741" s="2" t="s">
        <v>741</v>
      </c>
      <c r="B741" s="2" t="s">
        <v>3580</v>
      </c>
      <c r="C741">
        <v>33.479999999999997</v>
      </c>
      <c r="D741">
        <v>4.74</v>
      </c>
      <c r="E741" t="s">
        <v>2346</v>
      </c>
      <c r="F741" t="s">
        <v>2344</v>
      </c>
      <c r="G741" t="s">
        <v>2344</v>
      </c>
      <c r="H741">
        <v>1</v>
      </c>
      <c r="I741" t="s">
        <v>2344</v>
      </c>
      <c r="J741" t="str">
        <f t="shared" si="45"/>
        <v>Obesity</v>
      </c>
      <c r="K741" t="str">
        <f t="shared" si="48"/>
        <v>Normal</v>
      </c>
      <c r="L741">
        <v>11</v>
      </c>
      <c r="M741" t="s">
        <v>2360</v>
      </c>
      <c r="N741">
        <v>1972</v>
      </c>
      <c r="O741" s="8">
        <f t="shared" si="46"/>
        <v>26614</v>
      </c>
      <c r="P741" s="10">
        <v>6253.85</v>
      </c>
      <c r="Q741" t="s">
        <v>2357</v>
      </c>
      <c r="R741" t="s">
        <v>2357</v>
      </c>
      <c r="S741" t="s">
        <v>2359</v>
      </c>
      <c r="T741">
        <f t="shared" ca="1" si="47"/>
        <v>54</v>
      </c>
      <c r="U741">
        <f>VLOOKUP($A741,'Medical Examination'!$A:$Z,2,FALSE)</f>
        <v>33.479999999999997</v>
      </c>
    </row>
    <row r="742" spans="1:21" ht="15.5" x14ac:dyDescent="0.35">
      <c r="A742" s="2" t="s">
        <v>742</v>
      </c>
      <c r="B742" s="2" t="s">
        <v>3581</v>
      </c>
      <c r="C742">
        <v>28.31</v>
      </c>
      <c r="D742">
        <v>5.96</v>
      </c>
      <c r="E742" t="s">
        <v>2346</v>
      </c>
      <c r="F742" t="s">
        <v>2344</v>
      </c>
      <c r="G742" t="s">
        <v>2344</v>
      </c>
      <c r="H742">
        <v>1</v>
      </c>
      <c r="I742" t="s">
        <v>2344</v>
      </c>
      <c r="J742" t="str">
        <f t="shared" si="45"/>
        <v>Over weight</v>
      </c>
      <c r="K742" t="str">
        <f t="shared" si="48"/>
        <v>Prediabetes</v>
      </c>
      <c r="L742">
        <v>8</v>
      </c>
      <c r="M742" t="s">
        <v>2363</v>
      </c>
      <c r="N742">
        <v>1972</v>
      </c>
      <c r="O742" s="8">
        <f t="shared" si="46"/>
        <v>26550</v>
      </c>
      <c r="P742" s="10">
        <v>6254.13</v>
      </c>
      <c r="Q742" t="s">
        <v>2357</v>
      </c>
      <c r="R742" t="s">
        <v>2357</v>
      </c>
      <c r="S742" t="s">
        <v>2364</v>
      </c>
      <c r="T742">
        <f t="shared" ca="1" si="47"/>
        <v>54</v>
      </c>
      <c r="U742">
        <f>VLOOKUP($A742,'Medical Examination'!$A:$Z,2,FALSE)</f>
        <v>28.31</v>
      </c>
    </row>
    <row r="743" spans="1:21" ht="15.5" x14ac:dyDescent="0.35">
      <c r="A743" s="2" t="s">
        <v>743</v>
      </c>
      <c r="B743" s="2" t="s">
        <v>3582</v>
      </c>
      <c r="C743">
        <v>21.565000000000001</v>
      </c>
      <c r="D743">
        <v>4.95</v>
      </c>
      <c r="E743" t="s">
        <v>2344</v>
      </c>
      <c r="F743" t="s">
        <v>2345</v>
      </c>
      <c r="G743" t="s">
        <v>2344</v>
      </c>
      <c r="H743">
        <v>1</v>
      </c>
      <c r="I743" t="s">
        <v>2346</v>
      </c>
      <c r="J743" t="str">
        <f t="shared" si="45"/>
        <v>Normal Weight</v>
      </c>
      <c r="K743" t="str">
        <f t="shared" si="48"/>
        <v>Normal</v>
      </c>
      <c r="L743">
        <v>11</v>
      </c>
      <c r="M743" t="s">
        <v>2367</v>
      </c>
      <c r="N743">
        <v>1970</v>
      </c>
      <c r="O743" s="8">
        <f t="shared" si="46"/>
        <v>25852</v>
      </c>
      <c r="P743" s="10">
        <v>6255.38</v>
      </c>
      <c r="Q743" t="s">
        <v>2357</v>
      </c>
      <c r="R743" t="s">
        <v>2357</v>
      </c>
      <c r="S743" t="s">
        <v>2359</v>
      </c>
      <c r="T743">
        <f t="shared" ca="1" si="47"/>
        <v>56</v>
      </c>
      <c r="U743">
        <f>VLOOKUP($A743,'Medical Examination'!$A:$Z,2,FALSE)</f>
        <v>21.565000000000001</v>
      </c>
    </row>
    <row r="744" spans="1:21" ht="15.5" x14ac:dyDescent="0.35">
      <c r="A744" s="2" t="s">
        <v>744</v>
      </c>
      <c r="B744" s="2" t="s">
        <v>3583</v>
      </c>
      <c r="C744">
        <v>35.590000000000003</v>
      </c>
      <c r="D744">
        <v>5.21</v>
      </c>
      <c r="E744" t="s">
        <v>2346</v>
      </c>
      <c r="F744" t="s">
        <v>2344</v>
      </c>
      <c r="G744" t="s">
        <v>2346</v>
      </c>
      <c r="H744">
        <v>1</v>
      </c>
      <c r="I744" t="s">
        <v>2344</v>
      </c>
      <c r="J744" t="str">
        <f t="shared" si="45"/>
        <v>Obesity</v>
      </c>
      <c r="K744" t="str">
        <f t="shared" si="48"/>
        <v>Normal</v>
      </c>
      <c r="L744">
        <v>17</v>
      </c>
      <c r="M744" t="s">
        <v>2367</v>
      </c>
      <c r="N744">
        <v>1995</v>
      </c>
      <c r="O744" s="8">
        <f t="shared" si="46"/>
        <v>34989</v>
      </c>
      <c r="P744" s="10">
        <v>6261.2</v>
      </c>
      <c r="Q744" t="s">
        <v>2357</v>
      </c>
      <c r="R744" t="s">
        <v>2361</v>
      </c>
      <c r="S744" t="s">
        <v>2380</v>
      </c>
      <c r="T744">
        <f t="shared" ca="1" si="47"/>
        <v>31</v>
      </c>
      <c r="U744">
        <f>VLOOKUP($A744,'Medical Examination'!$A:$Z,2,FALSE)</f>
        <v>35.590000000000003</v>
      </c>
    </row>
    <row r="745" spans="1:21" ht="15.5" x14ac:dyDescent="0.35">
      <c r="A745" s="2" t="s">
        <v>745</v>
      </c>
      <c r="B745" s="2" t="s">
        <v>2446</v>
      </c>
      <c r="C745">
        <v>43.44</v>
      </c>
      <c r="D745">
        <v>4.8600000000000003</v>
      </c>
      <c r="E745" t="s">
        <v>2346</v>
      </c>
      <c r="F745" t="s">
        <v>2344</v>
      </c>
      <c r="G745" t="s">
        <v>2344</v>
      </c>
      <c r="H745">
        <v>0</v>
      </c>
      <c r="I745" t="s">
        <v>2344</v>
      </c>
      <c r="J745" t="str">
        <f t="shared" si="45"/>
        <v>Obesity</v>
      </c>
      <c r="K745" t="str">
        <f t="shared" si="48"/>
        <v>Normal</v>
      </c>
      <c r="L745">
        <v>25</v>
      </c>
      <c r="M745" t="s">
        <v>2363</v>
      </c>
      <c r="N745">
        <v>1984</v>
      </c>
      <c r="O745" s="8">
        <f t="shared" si="46"/>
        <v>30950</v>
      </c>
      <c r="P745" s="10">
        <v>6269.33</v>
      </c>
      <c r="Q745" t="s">
        <v>2357</v>
      </c>
      <c r="R745" t="s">
        <v>2361</v>
      </c>
      <c r="S745" t="s">
        <v>2359</v>
      </c>
      <c r="T745">
        <f t="shared" ca="1" si="47"/>
        <v>42</v>
      </c>
      <c r="U745">
        <f>VLOOKUP($A745,'Medical Examination'!$A:$Z,2,FALSE)</f>
        <v>43.44</v>
      </c>
    </row>
    <row r="746" spans="1:21" ht="15.5" x14ac:dyDescent="0.35">
      <c r="A746" s="2" t="s">
        <v>746</v>
      </c>
      <c r="B746" s="2" t="s">
        <v>3584</v>
      </c>
      <c r="C746">
        <v>21.754999999999999</v>
      </c>
      <c r="D746">
        <v>7.79</v>
      </c>
      <c r="E746" t="s">
        <v>2346</v>
      </c>
      <c r="F746" t="s">
        <v>2344</v>
      </c>
      <c r="G746" t="s">
        <v>2344</v>
      </c>
      <c r="H746">
        <v>0</v>
      </c>
      <c r="I746" t="s">
        <v>2344</v>
      </c>
      <c r="J746" t="str">
        <f t="shared" si="45"/>
        <v>Normal Weight</v>
      </c>
      <c r="K746" t="str">
        <f t="shared" si="48"/>
        <v>Diabetes</v>
      </c>
      <c r="L746">
        <v>30</v>
      </c>
      <c r="M746" t="s">
        <v>2362</v>
      </c>
      <c r="N746">
        <v>1981</v>
      </c>
      <c r="O746" s="8">
        <f t="shared" si="46"/>
        <v>29767</v>
      </c>
      <c r="P746" s="10">
        <v>6272.48</v>
      </c>
      <c r="Q746" t="s">
        <v>2361</v>
      </c>
      <c r="R746" t="s">
        <v>2358</v>
      </c>
      <c r="S746" t="s">
        <v>2359</v>
      </c>
      <c r="T746">
        <f t="shared" ca="1" si="47"/>
        <v>45</v>
      </c>
      <c r="U746">
        <f>VLOOKUP($A746,'Medical Examination'!$A:$Z,2,FALSE)</f>
        <v>21.754999999999999</v>
      </c>
    </row>
    <row r="747" spans="1:21" ht="15.5" x14ac:dyDescent="0.35">
      <c r="A747" s="2" t="s">
        <v>747</v>
      </c>
      <c r="B747" s="2" t="s">
        <v>3586</v>
      </c>
      <c r="C747">
        <v>44.55</v>
      </c>
      <c r="D747">
        <v>7.12</v>
      </c>
      <c r="E747" t="s">
        <v>2346</v>
      </c>
      <c r="F747" t="s">
        <v>2344</v>
      </c>
      <c r="G747" t="s">
        <v>2344</v>
      </c>
      <c r="H747">
        <v>1</v>
      </c>
      <c r="I747" t="s">
        <v>2344</v>
      </c>
      <c r="J747" t="str">
        <f t="shared" si="45"/>
        <v>Obesity</v>
      </c>
      <c r="K747" t="str">
        <f t="shared" si="48"/>
        <v>Diabetes</v>
      </c>
      <c r="L747">
        <v>16</v>
      </c>
      <c r="M747" t="s">
        <v>2367</v>
      </c>
      <c r="N747">
        <v>1993</v>
      </c>
      <c r="O747" s="8">
        <f t="shared" si="46"/>
        <v>34258</v>
      </c>
      <c r="P747" s="10">
        <v>6276.3</v>
      </c>
      <c r="Q747" t="s">
        <v>2357</v>
      </c>
      <c r="R747" t="s">
        <v>2361</v>
      </c>
      <c r="S747" t="s">
        <v>2373</v>
      </c>
      <c r="T747">
        <f t="shared" ca="1" si="47"/>
        <v>33</v>
      </c>
      <c r="U747">
        <f>VLOOKUP($A747,'Medical Examination'!$A:$Z,2,FALSE)</f>
        <v>44.55</v>
      </c>
    </row>
    <row r="748" spans="1:21" ht="15.5" x14ac:dyDescent="0.35">
      <c r="A748" s="2" t="s">
        <v>748</v>
      </c>
      <c r="B748" s="2" t="s">
        <v>3587</v>
      </c>
      <c r="C748">
        <v>43.32</v>
      </c>
      <c r="D748">
        <v>4.67</v>
      </c>
      <c r="E748" t="s">
        <v>2346</v>
      </c>
      <c r="F748" t="s">
        <v>2344</v>
      </c>
      <c r="G748" t="s">
        <v>2344</v>
      </c>
      <c r="H748">
        <v>0</v>
      </c>
      <c r="I748" t="s">
        <v>2344</v>
      </c>
      <c r="J748" t="str">
        <f t="shared" si="45"/>
        <v>Obesity</v>
      </c>
      <c r="K748" t="str">
        <f t="shared" si="48"/>
        <v>Normal</v>
      </c>
      <c r="L748">
        <v>24</v>
      </c>
      <c r="M748" t="s">
        <v>2360</v>
      </c>
      <c r="N748">
        <v>1981</v>
      </c>
      <c r="O748" s="8">
        <f t="shared" si="46"/>
        <v>29914</v>
      </c>
      <c r="P748" s="10">
        <v>6282.24</v>
      </c>
      <c r="Q748" t="s">
        <v>2357</v>
      </c>
      <c r="R748" t="s">
        <v>2361</v>
      </c>
      <c r="S748" t="s">
        <v>2368</v>
      </c>
      <c r="T748">
        <f t="shared" ca="1" si="47"/>
        <v>45</v>
      </c>
      <c r="U748">
        <f>VLOOKUP($A748,'Medical Examination'!$A:$Z,2,FALSE)</f>
        <v>43.32</v>
      </c>
    </row>
    <row r="749" spans="1:21" ht="15.5" x14ac:dyDescent="0.35">
      <c r="A749" s="2" t="s">
        <v>749</v>
      </c>
      <c r="B749" s="2" t="s">
        <v>3589</v>
      </c>
      <c r="C749">
        <v>31.23</v>
      </c>
      <c r="D749">
        <v>9.1199999999999992</v>
      </c>
      <c r="E749" t="s">
        <v>2346</v>
      </c>
      <c r="F749" t="s">
        <v>2344</v>
      </c>
      <c r="G749" t="s">
        <v>2346</v>
      </c>
      <c r="H749">
        <v>1</v>
      </c>
      <c r="I749" t="s">
        <v>2344</v>
      </c>
      <c r="J749" t="str">
        <f t="shared" si="45"/>
        <v>Obesity</v>
      </c>
      <c r="K749" t="str">
        <f t="shared" si="48"/>
        <v>Diabetes</v>
      </c>
      <c r="L749">
        <v>26</v>
      </c>
      <c r="M749" t="s">
        <v>2366</v>
      </c>
      <c r="N749">
        <v>1981</v>
      </c>
      <c r="O749" s="8">
        <f t="shared" si="46"/>
        <v>29824</v>
      </c>
      <c r="P749" s="10">
        <v>6289.75</v>
      </c>
      <c r="Q749" t="s">
        <v>2357</v>
      </c>
      <c r="R749" t="s">
        <v>2358</v>
      </c>
      <c r="S749" t="s">
        <v>2359</v>
      </c>
      <c r="T749">
        <f t="shared" ca="1" si="47"/>
        <v>45</v>
      </c>
      <c r="U749">
        <f>VLOOKUP($A749,'Medical Examination'!$A:$Z,2,FALSE)</f>
        <v>31.23</v>
      </c>
    </row>
    <row r="750" spans="1:21" ht="15.5" x14ac:dyDescent="0.35">
      <c r="A750" s="2" t="s">
        <v>750</v>
      </c>
      <c r="B750" s="2" t="s">
        <v>3590</v>
      </c>
      <c r="C750">
        <v>42.81</v>
      </c>
      <c r="D750">
        <v>4.1500000000000004</v>
      </c>
      <c r="E750" t="s">
        <v>2344</v>
      </c>
      <c r="F750" t="s">
        <v>2344</v>
      </c>
      <c r="G750" t="s">
        <v>2344</v>
      </c>
      <c r="H750">
        <v>1</v>
      </c>
      <c r="I750" t="s">
        <v>2344</v>
      </c>
      <c r="J750" t="str">
        <f t="shared" si="45"/>
        <v>Obesity</v>
      </c>
      <c r="K750" t="str">
        <f t="shared" si="48"/>
        <v>Normal</v>
      </c>
      <c r="L750">
        <v>4</v>
      </c>
      <c r="M750" t="s">
        <v>2356</v>
      </c>
      <c r="N750">
        <v>1996</v>
      </c>
      <c r="O750" s="8">
        <f t="shared" si="46"/>
        <v>35250</v>
      </c>
      <c r="P750" s="10">
        <v>6293.63</v>
      </c>
      <c r="Q750" t="s">
        <v>2357</v>
      </c>
      <c r="R750" t="s">
        <v>2358</v>
      </c>
      <c r="S750" t="s">
        <v>2377</v>
      </c>
      <c r="T750">
        <f t="shared" ca="1" si="47"/>
        <v>30</v>
      </c>
      <c r="U750">
        <f>VLOOKUP($A750,'Medical Examination'!$A:$Z,2,FALSE)</f>
        <v>42.81</v>
      </c>
    </row>
    <row r="751" spans="1:21" ht="15.5" x14ac:dyDescent="0.35">
      <c r="A751" s="2" t="s">
        <v>751</v>
      </c>
      <c r="B751" s="2" t="s">
        <v>3591</v>
      </c>
      <c r="C751">
        <v>35.909999999999997</v>
      </c>
      <c r="D751">
        <v>6.72</v>
      </c>
      <c r="E751" t="s">
        <v>2346</v>
      </c>
      <c r="F751" t="s">
        <v>2344</v>
      </c>
      <c r="G751" t="s">
        <v>2344</v>
      </c>
      <c r="H751">
        <v>1</v>
      </c>
      <c r="I751" t="s">
        <v>2344</v>
      </c>
      <c r="J751" t="str">
        <f t="shared" si="45"/>
        <v>Obesity</v>
      </c>
      <c r="K751" t="str">
        <f t="shared" si="48"/>
        <v>Diabetes</v>
      </c>
      <c r="L751">
        <v>17</v>
      </c>
      <c r="M751" t="s">
        <v>2363</v>
      </c>
      <c r="N751">
        <v>1974</v>
      </c>
      <c r="O751" s="8">
        <f t="shared" si="46"/>
        <v>27289</v>
      </c>
      <c r="P751" s="10">
        <v>6302.23</v>
      </c>
      <c r="Q751" t="s">
        <v>2357</v>
      </c>
      <c r="R751" t="s">
        <v>2361</v>
      </c>
      <c r="S751" t="s">
        <v>2359</v>
      </c>
      <c r="T751">
        <f t="shared" ca="1" si="47"/>
        <v>52</v>
      </c>
      <c r="U751">
        <f>VLOOKUP($A751,'Medical Examination'!$A:$Z,2,FALSE)</f>
        <v>35.909999999999997</v>
      </c>
    </row>
    <row r="752" spans="1:21" ht="15.5" x14ac:dyDescent="0.35">
      <c r="A752" s="2" t="s">
        <v>752</v>
      </c>
      <c r="B752" s="2" t="s">
        <v>3592</v>
      </c>
      <c r="C752">
        <v>36.65</v>
      </c>
      <c r="D752">
        <v>5.01</v>
      </c>
      <c r="E752" t="s">
        <v>2346</v>
      </c>
      <c r="F752" t="s">
        <v>2344</v>
      </c>
      <c r="G752" t="s">
        <v>2346</v>
      </c>
      <c r="H752">
        <v>1</v>
      </c>
      <c r="I752" t="s">
        <v>2344</v>
      </c>
      <c r="J752" t="str">
        <f t="shared" si="45"/>
        <v>Obesity</v>
      </c>
      <c r="K752" t="str">
        <f t="shared" si="48"/>
        <v>Normal</v>
      </c>
      <c r="L752">
        <v>4</v>
      </c>
      <c r="M752" t="s">
        <v>2363</v>
      </c>
      <c r="N752">
        <v>1969</v>
      </c>
      <c r="O752" s="8">
        <f t="shared" si="46"/>
        <v>25450</v>
      </c>
      <c r="P752" s="10">
        <v>6305.61</v>
      </c>
      <c r="Q752" t="s">
        <v>2357</v>
      </c>
      <c r="R752" t="s">
        <v>2357</v>
      </c>
      <c r="S752" t="s">
        <v>2364</v>
      </c>
      <c r="T752">
        <f t="shared" ca="1" si="47"/>
        <v>57</v>
      </c>
      <c r="U752">
        <f>VLOOKUP($A752,'Medical Examination'!$A:$Z,2,FALSE)</f>
        <v>36.65</v>
      </c>
    </row>
    <row r="753" spans="1:21" ht="15.5" x14ac:dyDescent="0.35">
      <c r="A753" s="2" t="s">
        <v>753</v>
      </c>
      <c r="B753" s="2" t="s">
        <v>3593</v>
      </c>
      <c r="C753">
        <v>22.04</v>
      </c>
      <c r="D753">
        <v>10.9</v>
      </c>
      <c r="E753" t="s">
        <v>2346</v>
      </c>
      <c r="F753" t="s">
        <v>2344</v>
      </c>
      <c r="G753" t="s">
        <v>2344</v>
      </c>
      <c r="H753">
        <v>1</v>
      </c>
      <c r="I753" t="s">
        <v>2344</v>
      </c>
      <c r="J753" t="str">
        <f t="shared" si="45"/>
        <v>Normal Weight</v>
      </c>
      <c r="K753" t="str">
        <f t="shared" si="48"/>
        <v>Diabetes</v>
      </c>
      <c r="L753">
        <v>27</v>
      </c>
      <c r="M753" t="s">
        <v>2356</v>
      </c>
      <c r="N753">
        <v>2004</v>
      </c>
      <c r="O753" s="8">
        <f t="shared" si="46"/>
        <v>38195</v>
      </c>
      <c r="P753" s="10">
        <v>6311.11</v>
      </c>
      <c r="Q753" t="s">
        <v>2357</v>
      </c>
      <c r="R753" t="s">
        <v>2357</v>
      </c>
      <c r="S753" t="s">
        <v>2368</v>
      </c>
      <c r="T753">
        <f t="shared" ca="1" si="47"/>
        <v>22</v>
      </c>
      <c r="U753">
        <f>VLOOKUP($A753,'Medical Examination'!$A:$Z,2,FALSE)</f>
        <v>22.04</v>
      </c>
    </row>
    <row r="754" spans="1:21" ht="15.5" x14ac:dyDescent="0.35">
      <c r="A754" s="2" t="s">
        <v>754</v>
      </c>
      <c r="B754" s="2" t="s">
        <v>3594</v>
      </c>
      <c r="C754">
        <v>31.824999999999999</v>
      </c>
      <c r="D754">
        <v>5.52</v>
      </c>
      <c r="E754" t="s">
        <v>2346</v>
      </c>
      <c r="F754" t="s">
        <v>2344</v>
      </c>
      <c r="G754" t="s">
        <v>2344</v>
      </c>
      <c r="H754">
        <v>1</v>
      </c>
      <c r="I754" t="s">
        <v>2344</v>
      </c>
      <c r="J754" t="str">
        <f t="shared" si="45"/>
        <v>Obesity</v>
      </c>
      <c r="K754" t="str">
        <f t="shared" si="48"/>
        <v>Normal</v>
      </c>
      <c r="L754">
        <v>19</v>
      </c>
      <c r="M754" t="s">
        <v>2360</v>
      </c>
      <c r="N754">
        <v>1985</v>
      </c>
      <c r="O754" s="8">
        <f t="shared" si="46"/>
        <v>31370</v>
      </c>
      <c r="P754" s="10">
        <v>6311.95</v>
      </c>
      <c r="Q754" t="s">
        <v>2357</v>
      </c>
      <c r="R754" t="s">
        <v>2361</v>
      </c>
      <c r="S754" t="s">
        <v>2368</v>
      </c>
      <c r="T754">
        <f t="shared" ca="1" si="47"/>
        <v>41</v>
      </c>
      <c r="U754">
        <f>VLOOKUP($A754,'Medical Examination'!$A:$Z,2,FALSE)</f>
        <v>31.824999999999999</v>
      </c>
    </row>
    <row r="755" spans="1:21" ht="15.5" x14ac:dyDescent="0.35">
      <c r="A755" s="2" t="s">
        <v>755</v>
      </c>
      <c r="B755" s="2" t="s">
        <v>3596</v>
      </c>
      <c r="C755">
        <v>53.58</v>
      </c>
      <c r="D755">
        <v>4.55</v>
      </c>
      <c r="E755" t="s">
        <v>2344</v>
      </c>
      <c r="F755" t="s">
        <v>2344</v>
      </c>
      <c r="G755" t="s">
        <v>2344</v>
      </c>
      <c r="H755">
        <v>1</v>
      </c>
      <c r="I755" t="s">
        <v>2344</v>
      </c>
      <c r="J755" t="str">
        <f t="shared" si="45"/>
        <v>Obesity</v>
      </c>
      <c r="K755" t="str">
        <f t="shared" si="48"/>
        <v>Normal</v>
      </c>
      <c r="L755">
        <v>15</v>
      </c>
      <c r="M755" t="s">
        <v>2365</v>
      </c>
      <c r="N755">
        <v>1985</v>
      </c>
      <c r="O755" s="8">
        <f t="shared" si="46"/>
        <v>31396</v>
      </c>
      <c r="P755" s="10">
        <v>6313.76</v>
      </c>
      <c r="Q755" t="s">
        <v>2357</v>
      </c>
      <c r="R755" t="s">
        <v>2361</v>
      </c>
      <c r="S755" t="s">
        <v>2359</v>
      </c>
      <c r="T755">
        <f t="shared" ca="1" si="47"/>
        <v>41</v>
      </c>
      <c r="U755">
        <f>VLOOKUP($A755,'Medical Examination'!$A:$Z,2,FALSE)</f>
        <v>53.58</v>
      </c>
    </row>
    <row r="756" spans="1:21" ht="15.5" x14ac:dyDescent="0.35">
      <c r="A756" s="2" t="s">
        <v>756</v>
      </c>
      <c r="B756" s="2" t="s">
        <v>3598</v>
      </c>
      <c r="C756">
        <v>34.299999999999997</v>
      </c>
      <c r="D756">
        <v>11.76</v>
      </c>
      <c r="E756" t="s">
        <v>2344</v>
      </c>
      <c r="F756" t="s">
        <v>2344</v>
      </c>
      <c r="G756" t="s">
        <v>2344</v>
      </c>
      <c r="H756">
        <v>0</v>
      </c>
      <c r="I756" t="s">
        <v>2344</v>
      </c>
      <c r="J756" t="str">
        <f t="shared" si="45"/>
        <v>Obesity</v>
      </c>
      <c r="K756" t="str">
        <f t="shared" si="48"/>
        <v>Diabetes</v>
      </c>
      <c r="L756">
        <v>13</v>
      </c>
      <c r="M756" t="s">
        <v>2366</v>
      </c>
      <c r="N756">
        <v>1990</v>
      </c>
      <c r="O756" s="8">
        <f t="shared" si="46"/>
        <v>33098</v>
      </c>
      <c r="P756" s="10">
        <v>6334.34</v>
      </c>
      <c r="Q756" t="s">
        <v>2357</v>
      </c>
      <c r="R756" t="s">
        <v>2357</v>
      </c>
      <c r="S756" t="s">
        <v>2374</v>
      </c>
      <c r="T756">
        <f t="shared" ca="1" si="47"/>
        <v>36</v>
      </c>
      <c r="U756">
        <f>VLOOKUP($A756,'Medical Examination'!$A:$Z,2,FALSE)</f>
        <v>34.299999999999997</v>
      </c>
    </row>
    <row r="757" spans="1:21" ht="15.5" x14ac:dyDescent="0.35">
      <c r="A757" s="2" t="s">
        <v>757</v>
      </c>
      <c r="B757" s="2" t="s">
        <v>3600</v>
      </c>
      <c r="C757">
        <v>32.11</v>
      </c>
      <c r="D757">
        <v>7.06</v>
      </c>
      <c r="E757" t="s">
        <v>2344</v>
      </c>
      <c r="F757" t="s">
        <v>2344</v>
      </c>
      <c r="G757" t="s">
        <v>2344</v>
      </c>
      <c r="H757">
        <v>0</v>
      </c>
      <c r="I757" t="s">
        <v>2344</v>
      </c>
      <c r="J757" t="str">
        <f t="shared" si="45"/>
        <v>Obesity</v>
      </c>
      <c r="K757" t="str">
        <f t="shared" si="48"/>
        <v>Diabetes</v>
      </c>
      <c r="L757">
        <v>25</v>
      </c>
      <c r="M757" t="s">
        <v>2363</v>
      </c>
      <c r="N757">
        <v>1986</v>
      </c>
      <c r="O757" s="8">
        <f t="shared" si="46"/>
        <v>31680</v>
      </c>
      <c r="P757" s="10">
        <v>6335.64</v>
      </c>
      <c r="Q757" t="s">
        <v>2357</v>
      </c>
      <c r="R757" t="s">
        <v>2357</v>
      </c>
      <c r="S757" t="s">
        <v>2359</v>
      </c>
      <c r="T757">
        <f t="shared" ca="1" si="47"/>
        <v>40</v>
      </c>
      <c r="U757">
        <f>VLOOKUP($A757,'Medical Examination'!$A:$Z,2,FALSE)</f>
        <v>32.11</v>
      </c>
    </row>
    <row r="758" spans="1:21" ht="15.5" x14ac:dyDescent="0.35">
      <c r="A758" s="2" t="s">
        <v>758</v>
      </c>
      <c r="B758" s="2" t="s">
        <v>3602</v>
      </c>
      <c r="C758">
        <v>31.78</v>
      </c>
      <c r="D758">
        <v>11.35</v>
      </c>
      <c r="E758" t="s">
        <v>2346</v>
      </c>
      <c r="F758" t="s">
        <v>2344</v>
      </c>
      <c r="G758" t="s">
        <v>2346</v>
      </c>
      <c r="H758">
        <v>1</v>
      </c>
      <c r="I758" t="s">
        <v>2344</v>
      </c>
      <c r="J758" t="str">
        <f t="shared" si="45"/>
        <v>Obesity</v>
      </c>
      <c r="K758" t="str">
        <f t="shared" si="48"/>
        <v>Diabetes</v>
      </c>
      <c r="L758">
        <v>21</v>
      </c>
      <c r="M758" t="s">
        <v>2367</v>
      </c>
      <c r="N758">
        <v>1983</v>
      </c>
      <c r="O758" s="8">
        <f t="shared" si="46"/>
        <v>30610</v>
      </c>
      <c r="P758" s="10">
        <v>6338.08</v>
      </c>
      <c r="Q758" t="s">
        <v>2357</v>
      </c>
      <c r="R758" t="s">
        <v>2361</v>
      </c>
      <c r="S758" t="s">
        <v>2359</v>
      </c>
      <c r="T758">
        <f t="shared" ca="1" si="47"/>
        <v>43</v>
      </c>
      <c r="U758">
        <f>VLOOKUP($A758,'Medical Examination'!$A:$Z,2,FALSE)</f>
        <v>31.78</v>
      </c>
    </row>
    <row r="759" spans="1:21" ht="15.5" x14ac:dyDescent="0.35">
      <c r="A759" s="2" t="s">
        <v>759</v>
      </c>
      <c r="B759" s="2" t="s">
        <v>3604</v>
      </c>
      <c r="C759">
        <v>46.89</v>
      </c>
      <c r="D759">
        <v>5.52</v>
      </c>
      <c r="E759" t="s">
        <v>2344</v>
      </c>
      <c r="F759" t="s">
        <v>2344</v>
      </c>
      <c r="G759" t="s">
        <v>2344</v>
      </c>
      <c r="H759">
        <v>0</v>
      </c>
      <c r="I759" t="s">
        <v>2344</v>
      </c>
      <c r="J759" t="str">
        <f t="shared" si="45"/>
        <v>Obesity</v>
      </c>
      <c r="K759" t="str">
        <f t="shared" si="48"/>
        <v>Normal</v>
      </c>
      <c r="L759">
        <v>19</v>
      </c>
      <c r="M759" t="s">
        <v>2366</v>
      </c>
      <c r="N759">
        <v>1983</v>
      </c>
      <c r="O759" s="8">
        <f t="shared" si="46"/>
        <v>30547</v>
      </c>
      <c r="P759" s="10">
        <v>6356.27</v>
      </c>
      <c r="Q759" t="s">
        <v>2358</v>
      </c>
      <c r="R759" t="s">
        <v>2357</v>
      </c>
      <c r="S759" t="s">
        <v>2359</v>
      </c>
      <c r="T759">
        <f t="shared" ca="1" si="47"/>
        <v>43</v>
      </c>
      <c r="U759">
        <f>VLOOKUP($A759,'Medical Examination'!$A:$Z,2,FALSE)</f>
        <v>46.89</v>
      </c>
    </row>
    <row r="760" spans="1:21" ht="15.5" x14ac:dyDescent="0.35">
      <c r="A760" s="2" t="s">
        <v>760</v>
      </c>
      <c r="B760" s="2" t="s">
        <v>3605</v>
      </c>
      <c r="C760">
        <v>39.35</v>
      </c>
      <c r="D760">
        <v>7.86</v>
      </c>
      <c r="E760" t="s">
        <v>2346</v>
      </c>
      <c r="F760" t="s">
        <v>2344</v>
      </c>
      <c r="G760" t="s">
        <v>2344</v>
      </c>
      <c r="H760">
        <v>1</v>
      </c>
      <c r="I760" t="s">
        <v>2344</v>
      </c>
      <c r="J760" t="str">
        <f t="shared" si="45"/>
        <v>Obesity</v>
      </c>
      <c r="K760" t="str">
        <f t="shared" si="48"/>
        <v>Diabetes</v>
      </c>
      <c r="L760">
        <v>30</v>
      </c>
      <c r="M760" t="s">
        <v>2367</v>
      </c>
      <c r="N760">
        <v>1980</v>
      </c>
      <c r="O760" s="8">
        <f t="shared" si="46"/>
        <v>29524</v>
      </c>
      <c r="P760" s="10">
        <v>6358.78</v>
      </c>
      <c r="Q760" t="s">
        <v>2357</v>
      </c>
      <c r="R760" t="s">
        <v>2361</v>
      </c>
      <c r="S760" t="s">
        <v>2364</v>
      </c>
      <c r="T760">
        <f t="shared" ca="1" si="47"/>
        <v>46</v>
      </c>
      <c r="U760">
        <f>VLOOKUP($A760,'Medical Examination'!$A:$Z,2,FALSE)</f>
        <v>39.35</v>
      </c>
    </row>
    <row r="761" spans="1:21" ht="15.5" x14ac:dyDescent="0.35">
      <c r="A761" s="2" t="s">
        <v>761</v>
      </c>
      <c r="B761" s="2" t="s">
        <v>3607</v>
      </c>
      <c r="C761">
        <v>39.200000000000003</v>
      </c>
      <c r="D761">
        <v>11.38</v>
      </c>
      <c r="E761" t="s">
        <v>2344</v>
      </c>
      <c r="F761" t="s">
        <v>2344</v>
      </c>
      <c r="G761" t="s">
        <v>2344</v>
      </c>
      <c r="H761">
        <v>0</v>
      </c>
      <c r="I761" t="s">
        <v>2344</v>
      </c>
      <c r="J761" t="str">
        <f t="shared" si="45"/>
        <v>Obesity</v>
      </c>
      <c r="K761" t="str">
        <f t="shared" si="48"/>
        <v>Diabetes</v>
      </c>
      <c r="L761">
        <v>24</v>
      </c>
      <c r="M761" t="s">
        <v>2362</v>
      </c>
      <c r="N761">
        <v>1989</v>
      </c>
      <c r="O761" s="8">
        <f t="shared" si="46"/>
        <v>32683</v>
      </c>
      <c r="P761" s="10">
        <v>6360.99</v>
      </c>
      <c r="Q761" t="s">
        <v>2357</v>
      </c>
      <c r="R761" t="s">
        <v>2357</v>
      </c>
      <c r="S761" t="s">
        <v>2364</v>
      </c>
      <c r="T761">
        <f t="shared" ca="1" si="47"/>
        <v>37</v>
      </c>
      <c r="U761">
        <f>VLOOKUP($A761,'Medical Examination'!$A:$Z,2,FALSE)</f>
        <v>39.200000000000003</v>
      </c>
    </row>
    <row r="762" spans="1:21" ht="15.5" x14ac:dyDescent="0.35">
      <c r="A762" s="2" t="s">
        <v>762</v>
      </c>
      <c r="B762" s="2" t="s">
        <v>3609</v>
      </c>
      <c r="C762">
        <v>39.159999999999997</v>
      </c>
      <c r="D762">
        <v>10.48</v>
      </c>
      <c r="E762" t="s">
        <v>2344</v>
      </c>
      <c r="F762" t="s">
        <v>2344</v>
      </c>
      <c r="G762" t="s">
        <v>2344</v>
      </c>
      <c r="H762">
        <v>0</v>
      </c>
      <c r="I762" t="s">
        <v>2344</v>
      </c>
      <c r="J762" t="str">
        <f t="shared" si="45"/>
        <v>Obesity</v>
      </c>
      <c r="K762" t="str">
        <f t="shared" si="48"/>
        <v>Diabetes</v>
      </c>
      <c r="L762">
        <v>7</v>
      </c>
      <c r="M762" t="s">
        <v>2356</v>
      </c>
      <c r="N762">
        <v>1996</v>
      </c>
      <c r="O762" s="8">
        <f t="shared" si="46"/>
        <v>35253</v>
      </c>
      <c r="P762" s="10">
        <v>6361.47</v>
      </c>
      <c r="Q762" t="s">
        <v>2357</v>
      </c>
      <c r="R762" t="s">
        <v>2358</v>
      </c>
      <c r="S762" t="s">
        <v>2377</v>
      </c>
      <c r="T762">
        <f t="shared" ca="1" si="47"/>
        <v>30</v>
      </c>
      <c r="U762">
        <f>VLOOKUP($A762,'Medical Examination'!$A:$Z,2,FALSE)</f>
        <v>39.159999999999997</v>
      </c>
    </row>
    <row r="763" spans="1:21" ht="15.5" x14ac:dyDescent="0.35">
      <c r="A763" s="2" t="s">
        <v>763</v>
      </c>
      <c r="B763" s="2" t="s">
        <v>3610</v>
      </c>
      <c r="C763">
        <v>44.1</v>
      </c>
      <c r="D763">
        <v>5.04</v>
      </c>
      <c r="E763" t="s">
        <v>2346</v>
      </c>
      <c r="F763" t="s">
        <v>2344</v>
      </c>
      <c r="G763" t="s">
        <v>2344</v>
      </c>
      <c r="H763">
        <v>0</v>
      </c>
      <c r="I763" t="s">
        <v>2344</v>
      </c>
      <c r="J763" t="str">
        <f t="shared" si="45"/>
        <v>Obesity</v>
      </c>
      <c r="K763" t="str">
        <f t="shared" si="48"/>
        <v>Normal</v>
      </c>
      <c r="L763">
        <v>9</v>
      </c>
      <c r="M763" t="s">
        <v>2360</v>
      </c>
      <c r="N763">
        <v>1970</v>
      </c>
      <c r="O763" s="8">
        <f t="shared" si="46"/>
        <v>25881</v>
      </c>
      <c r="P763" s="10">
        <v>6367.31</v>
      </c>
      <c r="Q763" t="s">
        <v>2357</v>
      </c>
      <c r="R763" t="s">
        <v>2361</v>
      </c>
      <c r="S763" t="s">
        <v>2359</v>
      </c>
      <c r="T763">
        <f t="shared" ca="1" si="47"/>
        <v>56</v>
      </c>
      <c r="U763">
        <f>VLOOKUP($A763,'Medical Examination'!$A:$Z,2,FALSE)</f>
        <v>44.1</v>
      </c>
    </row>
    <row r="764" spans="1:21" ht="15.5" x14ac:dyDescent="0.35">
      <c r="A764" s="2" t="s">
        <v>764</v>
      </c>
      <c r="B764" s="2" t="s">
        <v>3611</v>
      </c>
      <c r="C764">
        <v>33.200000000000003</v>
      </c>
      <c r="D764">
        <v>9.06</v>
      </c>
      <c r="E764" t="s">
        <v>2344</v>
      </c>
      <c r="F764" t="s">
        <v>2344</v>
      </c>
      <c r="G764" t="s">
        <v>2344</v>
      </c>
      <c r="H764">
        <v>0</v>
      </c>
      <c r="I764" t="s">
        <v>2344</v>
      </c>
      <c r="J764" t="str">
        <f t="shared" si="45"/>
        <v>Obesity</v>
      </c>
      <c r="K764" t="str">
        <f t="shared" si="48"/>
        <v>Diabetes</v>
      </c>
      <c r="L764">
        <v>13</v>
      </c>
      <c r="M764" t="s">
        <v>2366</v>
      </c>
      <c r="N764">
        <v>1984</v>
      </c>
      <c r="O764" s="8">
        <f t="shared" si="46"/>
        <v>30907</v>
      </c>
      <c r="P764" s="10">
        <v>6373.56</v>
      </c>
      <c r="Q764" t="s">
        <v>2357</v>
      </c>
      <c r="R764" t="s">
        <v>2361</v>
      </c>
      <c r="S764" t="s">
        <v>2364</v>
      </c>
      <c r="T764">
        <f t="shared" ca="1" si="47"/>
        <v>42</v>
      </c>
      <c r="U764">
        <f>VLOOKUP($A764,'Medical Examination'!$A:$Z,2,FALSE)</f>
        <v>33.200000000000003</v>
      </c>
    </row>
    <row r="765" spans="1:21" ht="15.5" x14ac:dyDescent="0.35">
      <c r="A765" s="2" t="s">
        <v>765</v>
      </c>
      <c r="B765" s="2" t="s">
        <v>3612</v>
      </c>
      <c r="C765">
        <v>29.92</v>
      </c>
      <c r="D765">
        <v>11.07</v>
      </c>
      <c r="E765" t="s">
        <v>2344</v>
      </c>
      <c r="F765" t="s">
        <v>2344</v>
      </c>
      <c r="G765" t="s">
        <v>2344</v>
      </c>
      <c r="H765">
        <v>0</v>
      </c>
      <c r="I765" t="s">
        <v>2344</v>
      </c>
      <c r="J765" t="str">
        <f t="shared" si="45"/>
        <v>Over weight</v>
      </c>
      <c r="K765" t="str">
        <f t="shared" si="48"/>
        <v>Diabetes</v>
      </c>
      <c r="L765">
        <v>18</v>
      </c>
      <c r="M765" t="s">
        <v>2360</v>
      </c>
      <c r="N765">
        <v>1976</v>
      </c>
      <c r="O765" s="8">
        <f t="shared" si="46"/>
        <v>28082</v>
      </c>
      <c r="P765" s="10">
        <v>6374.16</v>
      </c>
      <c r="Q765" t="s">
        <v>2357</v>
      </c>
      <c r="R765" t="s">
        <v>2357</v>
      </c>
      <c r="S765" t="s">
        <v>2359</v>
      </c>
      <c r="T765">
        <f t="shared" ca="1" si="47"/>
        <v>50</v>
      </c>
      <c r="U765">
        <f>VLOOKUP($A765,'Medical Examination'!$A:$Z,2,FALSE)</f>
        <v>29.92</v>
      </c>
    </row>
    <row r="766" spans="1:21" ht="15.5" x14ac:dyDescent="0.35">
      <c r="A766" s="2" t="s">
        <v>766</v>
      </c>
      <c r="B766" s="2" t="s">
        <v>3613</v>
      </c>
      <c r="C766">
        <v>25</v>
      </c>
      <c r="D766">
        <v>10.45</v>
      </c>
      <c r="E766" t="s">
        <v>2344</v>
      </c>
      <c r="F766" t="s">
        <v>2344</v>
      </c>
      <c r="G766" t="s">
        <v>2344</v>
      </c>
      <c r="H766">
        <v>0</v>
      </c>
      <c r="I766" t="s">
        <v>2344</v>
      </c>
      <c r="J766" t="str">
        <f t="shared" si="45"/>
        <v>Over weight</v>
      </c>
      <c r="K766" t="str">
        <f t="shared" si="48"/>
        <v>Diabetes</v>
      </c>
      <c r="L766">
        <v>6</v>
      </c>
      <c r="M766" t="s">
        <v>2366</v>
      </c>
      <c r="N766">
        <v>1982</v>
      </c>
      <c r="O766" s="8">
        <f t="shared" si="46"/>
        <v>30169</v>
      </c>
      <c r="P766" s="10">
        <v>6389.38</v>
      </c>
      <c r="Q766" t="s">
        <v>2361</v>
      </c>
      <c r="R766" t="s">
        <v>2357</v>
      </c>
      <c r="S766" t="s">
        <v>2364</v>
      </c>
      <c r="T766">
        <f t="shared" ca="1" si="47"/>
        <v>44</v>
      </c>
      <c r="U766">
        <f>VLOOKUP($A766,'Medical Examination'!$A:$Z,2,FALSE)</f>
        <v>25</v>
      </c>
    </row>
    <row r="767" spans="1:21" ht="15.5" x14ac:dyDescent="0.35">
      <c r="A767" s="2" t="s">
        <v>767</v>
      </c>
      <c r="B767" s="2" t="s">
        <v>3614</v>
      </c>
      <c r="C767">
        <v>38.869999999999997</v>
      </c>
      <c r="D767">
        <v>8.6300000000000008</v>
      </c>
      <c r="E767" t="s">
        <v>2346</v>
      </c>
      <c r="F767" t="s">
        <v>2344</v>
      </c>
      <c r="G767" t="s">
        <v>2344</v>
      </c>
      <c r="H767">
        <v>1</v>
      </c>
      <c r="I767" t="s">
        <v>2344</v>
      </c>
      <c r="J767" t="str">
        <f t="shared" si="45"/>
        <v>Obesity</v>
      </c>
      <c r="K767" t="str">
        <f t="shared" si="48"/>
        <v>Diabetes</v>
      </c>
      <c r="L767">
        <v>16</v>
      </c>
      <c r="M767" t="s">
        <v>2366</v>
      </c>
      <c r="N767">
        <v>1997</v>
      </c>
      <c r="O767" s="8">
        <f t="shared" si="46"/>
        <v>35658</v>
      </c>
      <c r="P767" s="10">
        <v>6389.53</v>
      </c>
      <c r="Q767" t="s">
        <v>2357</v>
      </c>
      <c r="R767" t="s">
        <v>2357</v>
      </c>
      <c r="S767" t="s">
        <v>2377</v>
      </c>
      <c r="T767">
        <f t="shared" ca="1" si="47"/>
        <v>29</v>
      </c>
      <c r="U767">
        <f>VLOOKUP($A767,'Medical Examination'!$A:$Z,2,FALSE)</f>
        <v>38.869999999999997</v>
      </c>
    </row>
    <row r="768" spans="1:21" ht="15.5" x14ac:dyDescent="0.35">
      <c r="A768" s="2" t="s">
        <v>768</v>
      </c>
      <c r="B768" s="2" t="s">
        <v>3615</v>
      </c>
      <c r="C768">
        <v>32.299999999999997</v>
      </c>
      <c r="D768">
        <v>5.28</v>
      </c>
      <c r="E768" t="s">
        <v>2346</v>
      </c>
      <c r="F768" t="s">
        <v>2344</v>
      </c>
      <c r="G768" t="s">
        <v>2344</v>
      </c>
      <c r="H768">
        <v>1</v>
      </c>
      <c r="I768" t="s">
        <v>2344</v>
      </c>
      <c r="J768" t="str">
        <f t="shared" si="45"/>
        <v>Obesity</v>
      </c>
      <c r="K768" t="str">
        <f t="shared" si="48"/>
        <v>Normal</v>
      </c>
      <c r="L768">
        <v>28</v>
      </c>
      <c r="M768" t="s">
        <v>2367</v>
      </c>
      <c r="N768">
        <v>1982</v>
      </c>
      <c r="O768" s="8">
        <f t="shared" si="46"/>
        <v>30252</v>
      </c>
      <c r="P768" s="10">
        <v>6393.6</v>
      </c>
      <c r="Q768" t="s">
        <v>2357</v>
      </c>
      <c r="R768" t="s">
        <v>2361</v>
      </c>
      <c r="S768" t="s">
        <v>2364</v>
      </c>
      <c r="T768">
        <f t="shared" ca="1" si="47"/>
        <v>44</v>
      </c>
      <c r="U768">
        <f>VLOOKUP($A768,'Medical Examination'!$A:$Z,2,FALSE)</f>
        <v>32.299999999999997</v>
      </c>
    </row>
    <row r="769" spans="1:21" ht="15.5" x14ac:dyDescent="0.35">
      <c r="A769" s="2" t="s">
        <v>769</v>
      </c>
      <c r="B769" s="2" t="s">
        <v>3616</v>
      </c>
      <c r="C769">
        <v>31.16</v>
      </c>
      <c r="D769">
        <v>7.49</v>
      </c>
      <c r="E769" t="s">
        <v>2346</v>
      </c>
      <c r="F769" t="s">
        <v>2344</v>
      </c>
      <c r="G769" t="s">
        <v>2344</v>
      </c>
      <c r="H769">
        <v>1</v>
      </c>
      <c r="I769" t="s">
        <v>2344</v>
      </c>
      <c r="J769" t="str">
        <f t="shared" si="45"/>
        <v>Obesity</v>
      </c>
      <c r="K769" t="str">
        <f t="shared" si="48"/>
        <v>Diabetes</v>
      </c>
      <c r="L769">
        <v>9</v>
      </c>
      <c r="M769" t="s">
        <v>2363</v>
      </c>
      <c r="N769">
        <v>1987</v>
      </c>
      <c r="O769" s="8">
        <f t="shared" si="46"/>
        <v>32029</v>
      </c>
      <c r="P769" s="10">
        <v>6402.29</v>
      </c>
      <c r="Q769" t="s">
        <v>2357</v>
      </c>
      <c r="R769" t="s">
        <v>2358</v>
      </c>
      <c r="S769" t="s">
        <v>2374</v>
      </c>
      <c r="T769">
        <f t="shared" ca="1" si="47"/>
        <v>39</v>
      </c>
      <c r="U769">
        <f>VLOOKUP($A769,'Medical Examination'!$A:$Z,2,FALSE)</f>
        <v>31.16</v>
      </c>
    </row>
    <row r="770" spans="1:21" ht="15.5" x14ac:dyDescent="0.35">
      <c r="A770" s="2" t="s">
        <v>770</v>
      </c>
      <c r="B770" s="2" t="s">
        <v>3618</v>
      </c>
      <c r="C770">
        <v>54.59</v>
      </c>
      <c r="D770">
        <v>4.2699999999999996</v>
      </c>
      <c r="E770" t="s">
        <v>2344</v>
      </c>
      <c r="F770" t="s">
        <v>2344</v>
      </c>
      <c r="G770" t="s">
        <v>2344</v>
      </c>
      <c r="H770">
        <v>0</v>
      </c>
      <c r="I770" t="s">
        <v>2344</v>
      </c>
      <c r="J770" t="str">
        <f t="shared" si="45"/>
        <v>Obesity</v>
      </c>
      <c r="K770" t="str">
        <f t="shared" si="48"/>
        <v>Normal</v>
      </c>
      <c r="L770">
        <v>10</v>
      </c>
      <c r="M770" t="s">
        <v>2365</v>
      </c>
      <c r="N770">
        <v>1985</v>
      </c>
      <c r="O770" s="8">
        <f t="shared" si="46"/>
        <v>31391</v>
      </c>
      <c r="P770" s="10">
        <v>6406.41</v>
      </c>
      <c r="Q770" t="s">
        <v>2361</v>
      </c>
      <c r="R770" t="s">
        <v>2358</v>
      </c>
      <c r="S770" t="s">
        <v>2376</v>
      </c>
      <c r="T770">
        <f t="shared" ca="1" si="47"/>
        <v>41</v>
      </c>
      <c r="U770">
        <f>VLOOKUP($A770,'Medical Examination'!$A:$Z,2,FALSE)</f>
        <v>54.59</v>
      </c>
    </row>
    <row r="771" spans="1:21" ht="15.5" x14ac:dyDescent="0.35">
      <c r="A771" s="2" t="s">
        <v>771</v>
      </c>
      <c r="B771" s="2" t="s">
        <v>3619</v>
      </c>
      <c r="C771">
        <v>21.09</v>
      </c>
      <c r="D771">
        <v>9.2200000000000006</v>
      </c>
      <c r="E771" t="s">
        <v>2346</v>
      </c>
      <c r="F771" t="s">
        <v>2344</v>
      </c>
      <c r="G771" t="s">
        <v>2344</v>
      </c>
      <c r="H771">
        <v>1</v>
      </c>
      <c r="I771" t="s">
        <v>2344</v>
      </c>
      <c r="J771" t="str">
        <f t="shared" ref="J771:J834" si="49">IF(C771&lt;18.5,"Under Weight",IF(C771&lt;25,"Normal Weight",IF(C771&lt;30,"Over weight","Obesity")))</f>
        <v>Normal Weight</v>
      </c>
      <c r="K771" t="str">
        <f t="shared" si="48"/>
        <v>Diabetes</v>
      </c>
      <c r="L771">
        <v>20</v>
      </c>
      <c r="M771" t="s">
        <v>2366</v>
      </c>
      <c r="N771">
        <v>1970</v>
      </c>
      <c r="O771" s="8">
        <f t="shared" ref="O771:O834" si="50">DATE(N771,MONTH(1&amp;M771),L771)</f>
        <v>25800</v>
      </c>
      <c r="P771" s="10">
        <v>6407.05</v>
      </c>
      <c r="Q771" t="s">
        <v>2357</v>
      </c>
      <c r="R771" t="s">
        <v>2361</v>
      </c>
      <c r="S771" t="s">
        <v>2359</v>
      </c>
      <c r="T771">
        <f t="shared" ref="T771:T834" ca="1" si="51">YEAR(TODAY())-YEAR(O771)</f>
        <v>56</v>
      </c>
      <c r="U771">
        <f>VLOOKUP($A771,'Medical Examination'!$A:$Z,2,FALSE)</f>
        <v>21.09</v>
      </c>
    </row>
    <row r="772" spans="1:21" ht="15.5" x14ac:dyDescent="0.35">
      <c r="A772" s="2" t="s">
        <v>772</v>
      </c>
      <c r="B772" s="2" t="s">
        <v>3620</v>
      </c>
      <c r="C772">
        <v>52.41</v>
      </c>
      <c r="D772">
        <v>5.99</v>
      </c>
      <c r="E772" t="s">
        <v>2344</v>
      </c>
      <c r="F772" t="s">
        <v>2344</v>
      </c>
      <c r="G772" t="s">
        <v>2344</v>
      </c>
      <c r="H772">
        <v>1</v>
      </c>
      <c r="I772" t="s">
        <v>2344</v>
      </c>
      <c r="J772" t="str">
        <f t="shared" si="49"/>
        <v>Obesity</v>
      </c>
      <c r="K772" t="str">
        <f t="shared" si="48"/>
        <v>Prediabetes</v>
      </c>
      <c r="L772">
        <v>22</v>
      </c>
      <c r="M772" t="s">
        <v>2366</v>
      </c>
      <c r="N772">
        <v>1971</v>
      </c>
      <c r="O772" s="8">
        <f t="shared" si="50"/>
        <v>26167</v>
      </c>
      <c r="P772" s="10">
        <v>6412.34</v>
      </c>
      <c r="Q772" t="s">
        <v>2357</v>
      </c>
      <c r="R772" t="s">
        <v>2358</v>
      </c>
      <c r="S772" t="s">
        <v>2359</v>
      </c>
      <c r="T772">
        <f t="shared" ca="1" si="51"/>
        <v>55</v>
      </c>
      <c r="U772">
        <f>VLOOKUP($A772,'Medical Examination'!$A:$Z,2,FALSE)</f>
        <v>52.41</v>
      </c>
    </row>
    <row r="773" spans="1:21" ht="15.5" x14ac:dyDescent="0.35">
      <c r="A773" s="2" t="s">
        <v>773</v>
      </c>
      <c r="B773" s="2" t="s">
        <v>3621</v>
      </c>
      <c r="C773">
        <v>41.47</v>
      </c>
      <c r="D773">
        <v>5.86</v>
      </c>
      <c r="E773" t="s">
        <v>2346</v>
      </c>
      <c r="F773" t="s">
        <v>2344</v>
      </c>
      <c r="G773" t="s">
        <v>2344</v>
      </c>
      <c r="H773">
        <v>1</v>
      </c>
      <c r="I773" t="s">
        <v>2344</v>
      </c>
      <c r="J773" t="str">
        <f t="shared" si="49"/>
        <v>Obesity</v>
      </c>
      <c r="K773" t="str">
        <f t="shared" si="48"/>
        <v>Prediabetes</v>
      </c>
      <c r="L773">
        <v>4</v>
      </c>
      <c r="M773" t="s">
        <v>2363</v>
      </c>
      <c r="N773">
        <v>1987</v>
      </c>
      <c r="O773" s="8">
        <f t="shared" si="50"/>
        <v>32024</v>
      </c>
      <c r="P773" s="10">
        <v>6414.18</v>
      </c>
      <c r="Q773" t="s">
        <v>2357</v>
      </c>
      <c r="R773" t="s">
        <v>2357</v>
      </c>
      <c r="S773" t="s">
        <v>2368</v>
      </c>
      <c r="T773">
        <f t="shared" ca="1" si="51"/>
        <v>39</v>
      </c>
      <c r="U773">
        <f>VLOOKUP($A773,'Medical Examination'!$A:$Z,2,FALSE)</f>
        <v>41.47</v>
      </c>
    </row>
    <row r="774" spans="1:21" ht="15.5" x14ac:dyDescent="0.35">
      <c r="A774" s="2" t="s">
        <v>774</v>
      </c>
      <c r="B774" s="2" t="s">
        <v>3622</v>
      </c>
      <c r="C774">
        <v>33.1</v>
      </c>
      <c r="D774">
        <v>5.19</v>
      </c>
      <c r="E774" t="s">
        <v>2346</v>
      </c>
      <c r="F774" t="s">
        <v>2344</v>
      </c>
      <c r="G774" t="s">
        <v>2344</v>
      </c>
      <c r="H774">
        <v>1</v>
      </c>
      <c r="I774" t="s">
        <v>2344</v>
      </c>
      <c r="J774" t="str">
        <f t="shared" si="49"/>
        <v>Obesity</v>
      </c>
      <c r="K774" t="str">
        <f t="shared" si="48"/>
        <v>Normal</v>
      </c>
      <c r="L774">
        <v>30</v>
      </c>
      <c r="M774" t="s">
        <v>2365</v>
      </c>
      <c r="N774">
        <v>1976</v>
      </c>
      <c r="O774" s="8">
        <f t="shared" si="50"/>
        <v>28124</v>
      </c>
      <c r="P774" s="10">
        <v>6417.28</v>
      </c>
      <c r="Q774" t="s">
        <v>2357</v>
      </c>
      <c r="R774" t="s">
        <v>2358</v>
      </c>
      <c r="S774" t="s">
        <v>2359</v>
      </c>
      <c r="T774">
        <f t="shared" ca="1" si="51"/>
        <v>50</v>
      </c>
      <c r="U774">
        <f>VLOOKUP($A774,'Medical Examination'!$A:$Z,2,FALSE)</f>
        <v>33.1</v>
      </c>
    </row>
    <row r="775" spans="1:21" ht="15.5" x14ac:dyDescent="0.35">
      <c r="A775" s="2" t="s">
        <v>775</v>
      </c>
      <c r="B775" s="2" t="s">
        <v>3623</v>
      </c>
      <c r="C775">
        <v>30.8</v>
      </c>
      <c r="D775">
        <v>4.37</v>
      </c>
      <c r="E775" t="s">
        <v>2346</v>
      </c>
      <c r="F775" t="s">
        <v>2344</v>
      </c>
      <c r="G775" t="s">
        <v>2344</v>
      </c>
      <c r="H775">
        <v>1</v>
      </c>
      <c r="I775" t="s">
        <v>2344</v>
      </c>
      <c r="J775" t="str">
        <f t="shared" si="49"/>
        <v>Obesity</v>
      </c>
      <c r="K775" t="str">
        <f t="shared" si="48"/>
        <v>Normal</v>
      </c>
      <c r="L775">
        <v>5</v>
      </c>
      <c r="M775" t="s">
        <v>2366</v>
      </c>
      <c r="N775">
        <v>1975</v>
      </c>
      <c r="O775" s="8">
        <f t="shared" si="50"/>
        <v>27611</v>
      </c>
      <c r="P775" s="10">
        <v>6423.48</v>
      </c>
      <c r="Q775" t="s">
        <v>2357</v>
      </c>
      <c r="R775" t="s">
        <v>2358</v>
      </c>
      <c r="S775" t="s">
        <v>2359</v>
      </c>
      <c r="T775">
        <f t="shared" ca="1" si="51"/>
        <v>51</v>
      </c>
      <c r="U775">
        <f>VLOOKUP($A775,'Medical Examination'!$A:$Z,2,FALSE)</f>
        <v>30.8</v>
      </c>
    </row>
    <row r="776" spans="1:21" ht="15.5" x14ac:dyDescent="0.35">
      <c r="A776" s="2" t="s">
        <v>776</v>
      </c>
      <c r="B776" s="2" t="s">
        <v>3624</v>
      </c>
      <c r="C776">
        <v>42.06</v>
      </c>
      <c r="D776">
        <v>5.32</v>
      </c>
      <c r="E776" t="s">
        <v>2344</v>
      </c>
      <c r="F776" t="s">
        <v>2344</v>
      </c>
      <c r="G776" t="s">
        <v>2344</v>
      </c>
      <c r="H776">
        <v>1</v>
      </c>
      <c r="I776" t="s">
        <v>2344</v>
      </c>
      <c r="J776" t="str">
        <f t="shared" si="49"/>
        <v>Obesity</v>
      </c>
      <c r="K776" t="str">
        <f t="shared" si="48"/>
        <v>Normal</v>
      </c>
      <c r="L776">
        <v>22</v>
      </c>
      <c r="M776" t="s">
        <v>2356</v>
      </c>
      <c r="N776">
        <v>1985</v>
      </c>
      <c r="O776" s="8">
        <f t="shared" si="50"/>
        <v>31250</v>
      </c>
      <c r="P776" s="10">
        <v>6435.62</v>
      </c>
      <c r="Q776" t="s">
        <v>2358</v>
      </c>
      <c r="R776" t="s">
        <v>2357</v>
      </c>
      <c r="S776" t="s">
        <v>2359</v>
      </c>
      <c r="T776">
        <f t="shared" ca="1" si="51"/>
        <v>41</v>
      </c>
      <c r="U776">
        <f>VLOOKUP($A776,'Medical Examination'!$A:$Z,2,FALSE)</f>
        <v>42.06</v>
      </c>
    </row>
    <row r="777" spans="1:21" ht="15.5" x14ac:dyDescent="0.35">
      <c r="A777" s="2" t="s">
        <v>777</v>
      </c>
      <c r="B777" s="2" t="s">
        <v>3625</v>
      </c>
      <c r="C777">
        <v>39.270000000000003</v>
      </c>
      <c r="D777">
        <v>5.64</v>
      </c>
      <c r="E777" t="s">
        <v>2344</v>
      </c>
      <c r="F777" t="s">
        <v>2344</v>
      </c>
      <c r="G777" t="s">
        <v>2346</v>
      </c>
      <c r="H777">
        <v>1</v>
      </c>
      <c r="I777" t="s">
        <v>2344</v>
      </c>
      <c r="J777" t="str">
        <f t="shared" si="49"/>
        <v>Obesity</v>
      </c>
      <c r="K777" t="str">
        <f t="shared" si="48"/>
        <v>Normal</v>
      </c>
      <c r="L777">
        <v>26</v>
      </c>
      <c r="M777" t="s">
        <v>2366</v>
      </c>
      <c r="N777">
        <v>1984</v>
      </c>
      <c r="O777" s="8">
        <f t="shared" si="50"/>
        <v>30920</v>
      </c>
      <c r="P777" s="10">
        <v>6455.86</v>
      </c>
      <c r="Q777" t="s">
        <v>2358</v>
      </c>
      <c r="R777" t="s">
        <v>2358</v>
      </c>
      <c r="S777" t="s">
        <v>2364</v>
      </c>
      <c r="T777">
        <f t="shared" ca="1" si="51"/>
        <v>42</v>
      </c>
      <c r="U777">
        <f>VLOOKUP($A777,'Medical Examination'!$A:$Z,2,FALSE)</f>
        <v>39.270000000000003</v>
      </c>
    </row>
    <row r="778" spans="1:21" ht="15.5" x14ac:dyDescent="0.35">
      <c r="A778" s="2" t="s">
        <v>778</v>
      </c>
      <c r="B778" s="2" t="s">
        <v>2549</v>
      </c>
      <c r="C778">
        <v>30.71</v>
      </c>
      <c r="D778">
        <v>5.59</v>
      </c>
      <c r="E778" t="s">
        <v>2346</v>
      </c>
      <c r="F778" t="s">
        <v>2344</v>
      </c>
      <c r="G778" t="s">
        <v>2344</v>
      </c>
      <c r="H778">
        <v>1</v>
      </c>
      <c r="I778" t="s">
        <v>2344</v>
      </c>
      <c r="J778" t="str">
        <f t="shared" si="49"/>
        <v>Obesity</v>
      </c>
      <c r="K778" t="str">
        <f t="shared" si="48"/>
        <v>Normal</v>
      </c>
      <c r="L778">
        <v>1</v>
      </c>
      <c r="M778" t="s">
        <v>2360</v>
      </c>
      <c r="N778">
        <v>1984</v>
      </c>
      <c r="O778" s="8">
        <f t="shared" si="50"/>
        <v>30987</v>
      </c>
      <c r="P778" s="10">
        <v>6457.84</v>
      </c>
      <c r="Q778" t="s">
        <v>2357</v>
      </c>
      <c r="R778" t="s">
        <v>2358</v>
      </c>
      <c r="S778" t="s">
        <v>2364</v>
      </c>
      <c r="T778">
        <f t="shared" ca="1" si="51"/>
        <v>42</v>
      </c>
      <c r="U778">
        <f>VLOOKUP($A778,'Medical Examination'!$A:$Z,2,FALSE)</f>
        <v>30.71</v>
      </c>
    </row>
    <row r="779" spans="1:21" ht="15.5" x14ac:dyDescent="0.35">
      <c r="A779" s="2" t="s">
        <v>779</v>
      </c>
      <c r="B779" s="2" t="s">
        <v>3626</v>
      </c>
      <c r="C779">
        <v>47.19</v>
      </c>
      <c r="D779">
        <v>5.29</v>
      </c>
      <c r="E779" t="s">
        <v>2344</v>
      </c>
      <c r="F779" t="s">
        <v>2344</v>
      </c>
      <c r="G779" t="s">
        <v>2344</v>
      </c>
      <c r="H779">
        <v>0</v>
      </c>
      <c r="I779" t="s">
        <v>2344</v>
      </c>
      <c r="J779" t="str">
        <f t="shared" si="49"/>
        <v>Obesity</v>
      </c>
      <c r="K779" t="str">
        <f t="shared" si="48"/>
        <v>Normal</v>
      </c>
      <c r="L779">
        <v>27</v>
      </c>
      <c r="M779" t="s">
        <v>2356</v>
      </c>
      <c r="N779">
        <v>1981</v>
      </c>
      <c r="O779" s="8">
        <f t="shared" si="50"/>
        <v>29794</v>
      </c>
      <c r="P779" s="10">
        <v>6473.15</v>
      </c>
      <c r="Q779" t="s">
        <v>2357</v>
      </c>
      <c r="R779" t="s">
        <v>2357</v>
      </c>
      <c r="S779" t="s">
        <v>2359</v>
      </c>
      <c r="T779">
        <f t="shared" ca="1" si="51"/>
        <v>45</v>
      </c>
      <c r="U779">
        <f>VLOOKUP($A779,'Medical Examination'!$A:$Z,2,FALSE)</f>
        <v>47.19</v>
      </c>
    </row>
    <row r="780" spans="1:21" ht="15.5" x14ac:dyDescent="0.35">
      <c r="A780" s="2" t="s">
        <v>780</v>
      </c>
      <c r="B780" s="2" t="s">
        <v>3628</v>
      </c>
      <c r="C780">
        <v>30.02</v>
      </c>
      <c r="D780">
        <v>6.65</v>
      </c>
      <c r="E780" t="s">
        <v>2344</v>
      </c>
      <c r="F780" t="s">
        <v>2344</v>
      </c>
      <c r="G780" t="s">
        <v>2344</v>
      </c>
      <c r="H780">
        <v>0</v>
      </c>
      <c r="I780" t="s">
        <v>2344</v>
      </c>
      <c r="J780" t="str">
        <f t="shared" si="49"/>
        <v>Obesity</v>
      </c>
      <c r="K780" t="str">
        <f t="shared" ref="K780:K843" si="52">IF(D780&lt;5.7,"Normal",IF(D780&lt;6.5,"Prediabetes","Diabetes"))</f>
        <v>Diabetes</v>
      </c>
      <c r="L780">
        <v>8</v>
      </c>
      <c r="M780" t="s">
        <v>2362</v>
      </c>
      <c r="N780">
        <v>1980</v>
      </c>
      <c r="O780" s="8">
        <f t="shared" si="50"/>
        <v>29380</v>
      </c>
      <c r="P780" s="10">
        <v>6474.01</v>
      </c>
      <c r="Q780" t="s">
        <v>2357</v>
      </c>
      <c r="R780" t="s">
        <v>2358</v>
      </c>
      <c r="S780" t="s">
        <v>2368</v>
      </c>
      <c r="T780">
        <f t="shared" ca="1" si="51"/>
        <v>46</v>
      </c>
      <c r="U780">
        <f>VLOOKUP($A780,'Medical Examination'!$A:$Z,2,FALSE)</f>
        <v>30.02</v>
      </c>
    </row>
    <row r="781" spans="1:21" ht="15.5" x14ac:dyDescent="0.35">
      <c r="A781" s="2" t="s">
        <v>781</v>
      </c>
      <c r="B781" s="2" t="s">
        <v>3629</v>
      </c>
      <c r="C781">
        <v>37.909999999999997</v>
      </c>
      <c r="D781">
        <v>5.68</v>
      </c>
      <c r="E781" t="s">
        <v>2346</v>
      </c>
      <c r="F781" t="s">
        <v>2344</v>
      </c>
      <c r="G781" t="s">
        <v>2344</v>
      </c>
      <c r="H781">
        <v>0</v>
      </c>
      <c r="I781" t="s">
        <v>2344</v>
      </c>
      <c r="J781" t="str">
        <f t="shared" si="49"/>
        <v>Obesity</v>
      </c>
      <c r="K781" t="str">
        <f t="shared" si="52"/>
        <v>Normal</v>
      </c>
      <c r="L781">
        <v>1</v>
      </c>
      <c r="M781" t="s">
        <v>2365</v>
      </c>
      <c r="N781">
        <v>1970</v>
      </c>
      <c r="O781" s="8">
        <f t="shared" si="50"/>
        <v>25903</v>
      </c>
      <c r="P781" s="10">
        <v>6481.67</v>
      </c>
      <c r="Q781" t="s">
        <v>2357</v>
      </c>
      <c r="R781" t="s">
        <v>2357</v>
      </c>
      <c r="S781" t="s">
        <v>2359</v>
      </c>
      <c r="T781">
        <f t="shared" ca="1" si="51"/>
        <v>56</v>
      </c>
      <c r="U781">
        <f>VLOOKUP($A781,'Medical Examination'!$A:$Z,2,FALSE)</f>
        <v>37.909999999999997</v>
      </c>
    </row>
    <row r="782" spans="1:21" ht="15.5" x14ac:dyDescent="0.35">
      <c r="A782" s="2" t="s">
        <v>782</v>
      </c>
      <c r="B782" s="2" t="s">
        <v>3630</v>
      </c>
      <c r="C782">
        <v>54.61</v>
      </c>
      <c r="D782">
        <v>4.49</v>
      </c>
      <c r="E782" t="s">
        <v>2344</v>
      </c>
      <c r="F782" t="s">
        <v>2344</v>
      </c>
      <c r="G782" t="s">
        <v>2344</v>
      </c>
      <c r="H782">
        <v>0</v>
      </c>
      <c r="I782" t="s">
        <v>2344</v>
      </c>
      <c r="J782" t="str">
        <f t="shared" si="49"/>
        <v>Obesity</v>
      </c>
      <c r="K782" t="str">
        <f t="shared" si="52"/>
        <v>Normal</v>
      </c>
      <c r="L782">
        <v>9</v>
      </c>
      <c r="M782" t="s">
        <v>2367</v>
      </c>
      <c r="N782">
        <v>1982</v>
      </c>
      <c r="O782" s="8">
        <f t="shared" si="50"/>
        <v>30233</v>
      </c>
      <c r="P782" s="10">
        <v>6496.89</v>
      </c>
      <c r="Q782" t="s">
        <v>2357</v>
      </c>
      <c r="R782" t="s">
        <v>2358</v>
      </c>
      <c r="S782" t="s">
        <v>2368</v>
      </c>
      <c r="T782">
        <f t="shared" ca="1" si="51"/>
        <v>44</v>
      </c>
      <c r="U782">
        <f>VLOOKUP($A782,'Medical Examination'!$A:$Z,2,FALSE)</f>
        <v>54.61</v>
      </c>
    </row>
    <row r="783" spans="1:21" ht="15.5" x14ac:dyDescent="0.35">
      <c r="A783" s="2" t="s">
        <v>783</v>
      </c>
      <c r="B783" s="2" t="s">
        <v>3479</v>
      </c>
      <c r="C783">
        <v>36.005000000000003</v>
      </c>
      <c r="D783">
        <v>6.9</v>
      </c>
      <c r="E783" t="s">
        <v>2344</v>
      </c>
      <c r="F783" t="s">
        <v>2344</v>
      </c>
      <c r="G783" t="s">
        <v>2344</v>
      </c>
      <c r="H783">
        <v>0</v>
      </c>
      <c r="I783" t="s">
        <v>2344</v>
      </c>
      <c r="J783" t="str">
        <f t="shared" si="49"/>
        <v>Obesity</v>
      </c>
      <c r="K783" t="str">
        <f t="shared" si="52"/>
        <v>Diabetes</v>
      </c>
      <c r="L783">
        <v>28</v>
      </c>
      <c r="M783" t="s">
        <v>2366</v>
      </c>
      <c r="N783">
        <v>1982</v>
      </c>
      <c r="O783" s="8">
        <f t="shared" si="50"/>
        <v>30191</v>
      </c>
      <c r="P783" s="10">
        <v>6500.24</v>
      </c>
      <c r="Q783" t="s">
        <v>2357</v>
      </c>
      <c r="R783" t="s">
        <v>2357</v>
      </c>
      <c r="S783" t="s">
        <v>2359</v>
      </c>
      <c r="T783">
        <f t="shared" ca="1" si="51"/>
        <v>44</v>
      </c>
      <c r="U783">
        <f>VLOOKUP($A783,'Medical Examination'!$A:$Z,2,FALSE)</f>
        <v>36.005000000000003</v>
      </c>
    </row>
    <row r="784" spans="1:21" ht="15.5" x14ac:dyDescent="0.35">
      <c r="A784" s="2" t="s">
        <v>784</v>
      </c>
      <c r="B784" s="2" t="s">
        <v>3632</v>
      </c>
      <c r="C784">
        <v>28.7</v>
      </c>
      <c r="D784">
        <v>11.52</v>
      </c>
      <c r="E784" t="s">
        <v>2344</v>
      </c>
      <c r="F784" t="s">
        <v>2344</v>
      </c>
      <c r="G784" t="s">
        <v>2344</v>
      </c>
      <c r="H784">
        <v>0</v>
      </c>
      <c r="I784" t="s">
        <v>2344</v>
      </c>
      <c r="J784" t="str">
        <f t="shared" si="49"/>
        <v>Over weight</v>
      </c>
      <c r="K784" t="str">
        <f t="shared" si="52"/>
        <v>Diabetes</v>
      </c>
      <c r="L784">
        <v>7</v>
      </c>
      <c r="M784" t="s">
        <v>2356</v>
      </c>
      <c r="N784">
        <v>1994</v>
      </c>
      <c r="O784" s="8">
        <f t="shared" si="50"/>
        <v>34522</v>
      </c>
      <c r="P784" s="10">
        <v>6512.24</v>
      </c>
      <c r="Q784" t="s">
        <v>2357</v>
      </c>
      <c r="R784" t="s">
        <v>2361</v>
      </c>
      <c r="S784" t="s">
        <v>2377</v>
      </c>
      <c r="T784">
        <f t="shared" ca="1" si="51"/>
        <v>32</v>
      </c>
      <c r="U784">
        <f>VLOOKUP($A784,'Medical Examination'!$A:$Z,2,FALSE)</f>
        <v>28.7</v>
      </c>
    </row>
    <row r="785" spans="1:21" ht="15.5" x14ac:dyDescent="0.35">
      <c r="A785" s="2" t="s">
        <v>785</v>
      </c>
      <c r="B785" s="2" t="s">
        <v>3633</v>
      </c>
      <c r="C785">
        <v>34.295000000000002</v>
      </c>
      <c r="D785">
        <v>11.24</v>
      </c>
      <c r="E785" t="s">
        <v>2344</v>
      </c>
      <c r="F785" t="s">
        <v>2344</v>
      </c>
      <c r="G785" t="s">
        <v>2344</v>
      </c>
      <c r="H785">
        <v>0</v>
      </c>
      <c r="I785" t="s">
        <v>2344</v>
      </c>
      <c r="J785" t="str">
        <f t="shared" si="49"/>
        <v>Obesity</v>
      </c>
      <c r="K785" t="str">
        <f t="shared" si="52"/>
        <v>Diabetes</v>
      </c>
      <c r="L785">
        <v>23</v>
      </c>
      <c r="M785" t="s">
        <v>2367</v>
      </c>
      <c r="N785">
        <v>1976</v>
      </c>
      <c r="O785" s="8">
        <f t="shared" si="50"/>
        <v>28056</v>
      </c>
      <c r="P785" s="10">
        <v>6529.21</v>
      </c>
      <c r="Q785" t="s">
        <v>2357</v>
      </c>
      <c r="R785" t="s">
        <v>2361</v>
      </c>
      <c r="S785" t="s">
        <v>2359</v>
      </c>
      <c r="T785">
        <f t="shared" ca="1" si="51"/>
        <v>50</v>
      </c>
      <c r="U785">
        <f>VLOOKUP($A785,'Medical Examination'!$A:$Z,2,FALSE)</f>
        <v>34.295000000000002</v>
      </c>
    </row>
    <row r="786" spans="1:21" ht="15.5" x14ac:dyDescent="0.35">
      <c r="A786" s="2" t="s">
        <v>786</v>
      </c>
      <c r="B786" s="2" t="s">
        <v>3635</v>
      </c>
      <c r="C786">
        <v>27.55</v>
      </c>
      <c r="D786">
        <v>10.98</v>
      </c>
      <c r="E786" t="s">
        <v>2344</v>
      </c>
      <c r="F786" t="s">
        <v>2344</v>
      </c>
      <c r="G786" t="s">
        <v>2344</v>
      </c>
      <c r="H786">
        <v>0</v>
      </c>
      <c r="I786" t="s">
        <v>2344</v>
      </c>
      <c r="J786" t="str">
        <f t="shared" si="49"/>
        <v>Over weight</v>
      </c>
      <c r="K786" t="str">
        <f t="shared" si="52"/>
        <v>Diabetes</v>
      </c>
      <c r="L786">
        <v>12</v>
      </c>
      <c r="M786" t="s">
        <v>2366</v>
      </c>
      <c r="N786">
        <v>1982</v>
      </c>
      <c r="O786" s="8">
        <f t="shared" si="50"/>
        <v>30175</v>
      </c>
      <c r="P786" s="10">
        <v>6532.04</v>
      </c>
      <c r="Q786" t="s">
        <v>2357</v>
      </c>
      <c r="R786" t="s">
        <v>2361</v>
      </c>
      <c r="S786" t="s">
        <v>2359</v>
      </c>
      <c r="T786">
        <f t="shared" ca="1" si="51"/>
        <v>44</v>
      </c>
      <c r="U786">
        <f>VLOOKUP($A786,'Medical Examination'!$A:$Z,2,FALSE)</f>
        <v>27.55</v>
      </c>
    </row>
    <row r="787" spans="1:21" ht="15.5" x14ac:dyDescent="0.35">
      <c r="A787" s="2" t="s">
        <v>787</v>
      </c>
      <c r="B787" s="2" t="s">
        <v>3638</v>
      </c>
      <c r="C787">
        <v>40.700000000000003</v>
      </c>
      <c r="D787">
        <v>5.42</v>
      </c>
      <c r="E787" t="s">
        <v>2344</v>
      </c>
      <c r="F787" t="s">
        <v>2344</v>
      </c>
      <c r="G787" t="s">
        <v>2344</v>
      </c>
      <c r="H787">
        <v>0</v>
      </c>
      <c r="I787" t="s">
        <v>2344</v>
      </c>
      <c r="J787" t="str">
        <f t="shared" si="49"/>
        <v>Obesity</v>
      </c>
      <c r="K787" t="str">
        <f t="shared" si="52"/>
        <v>Normal</v>
      </c>
      <c r="L787">
        <v>2</v>
      </c>
      <c r="M787" t="s">
        <v>2367</v>
      </c>
      <c r="N787">
        <v>1982</v>
      </c>
      <c r="O787" s="8">
        <f t="shared" si="50"/>
        <v>30226</v>
      </c>
      <c r="P787" s="10">
        <v>6536.68</v>
      </c>
      <c r="Q787" t="s">
        <v>2357</v>
      </c>
      <c r="R787" t="s">
        <v>2357</v>
      </c>
      <c r="S787" t="s">
        <v>2364</v>
      </c>
      <c r="T787">
        <f t="shared" ca="1" si="51"/>
        <v>44</v>
      </c>
      <c r="U787">
        <f>VLOOKUP($A787,'Medical Examination'!$A:$Z,2,FALSE)</f>
        <v>40.700000000000003</v>
      </c>
    </row>
    <row r="788" spans="1:21" ht="15.5" x14ac:dyDescent="0.35">
      <c r="A788" s="2" t="s">
        <v>788</v>
      </c>
      <c r="B788" s="2" t="s">
        <v>3640</v>
      </c>
      <c r="C788">
        <v>18.335000000000001</v>
      </c>
      <c r="D788">
        <v>10.97</v>
      </c>
      <c r="E788" t="s">
        <v>2344</v>
      </c>
      <c r="F788" t="s">
        <v>2344</v>
      </c>
      <c r="G788" t="s">
        <v>2344</v>
      </c>
      <c r="H788">
        <v>0</v>
      </c>
      <c r="I788" t="s">
        <v>2344</v>
      </c>
      <c r="J788" t="str">
        <f t="shared" si="49"/>
        <v>Under Weight</v>
      </c>
      <c r="K788" t="str">
        <f t="shared" si="52"/>
        <v>Diabetes</v>
      </c>
      <c r="L788">
        <v>3</v>
      </c>
      <c r="M788" t="s">
        <v>2365</v>
      </c>
      <c r="N788">
        <v>1969</v>
      </c>
      <c r="O788" s="8">
        <f t="shared" si="50"/>
        <v>25540</v>
      </c>
      <c r="P788" s="10">
        <v>6546.16</v>
      </c>
      <c r="Q788" t="s">
        <v>2357</v>
      </c>
      <c r="R788" t="s">
        <v>2358</v>
      </c>
      <c r="S788" t="s">
        <v>2359</v>
      </c>
      <c r="T788">
        <f t="shared" ca="1" si="51"/>
        <v>57</v>
      </c>
      <c r="U788">
        <f>VLOOKUP($A788,'Medical Examination'!$A:$Z,2,FALSE)</f>
        <v>18.335000000000001</v>
      </c>
    </row>
    <row r="789" spans="1:21" ht="15.5" x14ac:dyDescent="0.35">
      <c r="A789" s="2" t="s">
        <v>789</v>
      </c>
      <c r="B789" s="2" t="s">
        <v>2488</v>
      </c>
      <c r="C789">
        <v>33.914999999999999</v>
      </c>
      <c r="D789">
        <v>9.56</v>
      </c>
      <c r="E789" t="s">
        <v>2346</v>
      </c>
      <c r="F789" t="s">
        <v>2344</v>
      </c>
      <c r="G789" t="s">
        <v>2344</v>
      </c>
      <c r="H789">
        <v>1</v>
      </c>
      <c r="I789" t="s">
        <v>2344</v>
      </c>
      <c r="J789" t="str">
        <f t="shared" si="49"/>
        <v>Obesity</v>
      </c>
      <c r="K789" t="str">
        <f t="shared" si="52"/>
        <v>Diabetes</v>
      </c>
      <c r="L789">
        <v>18</v>
      </c>
      <c r="M789" t="s">
        <v>2365</v>
      </c>
      <c r="N789">
        <v>1986</v>
      </c>
      <c r="O789" s="8">
        <f t="shared" si="50"/>
        <v>31764</v>
      </c>
      <c r="P789" s="10">
        <v>6548.2</v>
      </c>
      <c r="Q789" t="s">
        <v>2357</v>
      </c>
      <c r="R789" t="s">
        <v>2358</v>
      </c>
      <c r="S789" t="s">
        <v>2364</v>
      </c>
      <c r="T789">
        <f t="shared" ca="1" si="51"/>
        <v>40</v>
      </c>
      <c r="U789">
        <f>VLOOKUP($A789,'Medical Examination'!$A:$Z,2,FALSE)</f>
        <v>33.914999999999999</v>
      </c>
    </row>
    <row r="790" spans="1:21" ht="15.5" x14ac:dyDescent="0.35">
      <c r="A790" s="2" t="s">
        <v>790</v>
      </c>
      <c r="B790" s="2" t="s">
        <v>3642</v>
      </c>
      <c r="C790">
        <v>33.534999999999997</v>
      </c>
      <c r="D790">
        <v>9.4</v>
      </c>
      <c r="E790" t="s">
        <v>2346</v>
      </c>
      <c r="F790" t="s">
        <v>2344</v>
      </c>
      <c r="G790" t="s">
        <v>2344</v>
      </c>
      <c r="H790">
        <v>1</v>
      </c>
      <c r="I790" t="s">
        <v>2344</v>
      </c>
      <c r="J790" t="str">
        <f t="shared" si="49"/>
        <v>Obesity</v>
      </c>
      <c r="K790" t="str">
        <f t="shared" si="52"/>
        <v>Diabetes</v>
      </c>
      <c r="L790">
        <v>6</v>
      </c>
      <c r="M790" t="s">
        <v>2366</v>
      </c>
      <c r="N790">
        <v>1989</v>
      </c>
      <c r="O790" s="8">
        <f t="shared" si="50"/>
        <v>32726</v>
      </c>
      <c r="P790" s="10">
        <v>6551.75</v>
      </c>
      <c r="Q790" t="s">
        <v>2357</v>
      </c>
      <c r="R790" t="s">
        <v>2357</v>
      </c>
      <c r="S790" t="s">
        <v>2374</v>
      </c>
      <c r="T790">
        <f t="shared" ca="1" si="51"/>
        <v>37</v>
      </c>
      <c r="U790">
        <f>VLOOKUP($A790,'Medical Examination'!$A:$Z,2,FALSE)</f>
        <v>33.534999999999997</v>
      </c>
    </row>
    <row r="791" spans="1:21" ht="15.5" x14ac:dyDescent="0.35">
      <c r="A791" s="2" t="s">
        <v>791</v>
      </c>
      <c r="B791" s="2" t="s">
        <v>3644</v>
      </c>
      <c r="C791">
        <v>23.655000000000001</v>
      </c>
      <c r="D791">
        <v>8.48</v>
      </c>
      <c r="E791" t="s">
        <v>2346</v>
      </c>
      <c r="F791" t="s">
        <v>2344</v>
      </c>
      <c r="G791" t="s">
        <v>2344</v>
      </c>
      <c r="H791">
        <v>1</v>
      </c>
      <c r="I791" t="s">
        <v>2344</v>
      </c>
      <c r="J791" t="str">
        <f t="shared" si="49"/>
        <v>Normal Weight</v>
      </c>
      <c r="K791" t="str">
        <f t="shared" si="52"/>
        <v>Diabetes</v>
      </c>
      <c r="L791">
        <v>11</v>
      </c>
      <c r="M791" t="s">
        <v>2365</v>
      </c>
      <c r="N791">
        <v>1968</v>
      </c>
      <c r="O791" s="8">
        <f t="shared" si="50"/>
        <v>25183</v>
      </c>
      <c r="P791" s="10">
        <v>6552.01</v>
      </c>
      <c r="Q791" t="s">
        <v>2358</v>
      </c>
      <c r="R791" t="s">
        <v>2357</v>
      </c>
      <c r="S791" t="s">
        <v>2359</v>
      </c>
      <c r="T791">
        <f t="shared" ca="1" si="51"/>
        <v>58</v>
      </c>
      <c r="U791">
        <f>VLOOKUP($A791,'Medical Examination'!$A:$Z,2,FALSE)</f>
        <v>23.655000000000001</v>
      </c>
    </row>
    <row r="792" spans="1:21" ht="15.5" x14ac:dyDescent="0.35">
      <c r="A792" s="2" t="s">
        <v>792</v>
      </c>
      <c r="B792" s="2" t="s">
        <v>3645</v>
      </c>
      <c r="C792">
        <v>28</v>
      </c>
      <c r="D792">
        <v>5.57</v>
      </c>
      <c r="E792" t="s">
        <v>2344</v>
      </c>
      <c r="F792" t="s">
        <v>2344</v>
      </c>
      <c r="G792" t="s">
        <v>2344</v>
      </c>
      <c r="H792">
        <v>0</v>
      </c>
      <c r="I792" t="s">
        <v>2344</v>
      </c>
      <c r="J792" t="str">
        <f t="shared" si="49"/>
        <v>Over weight</v>
      </c>
      <c r="K792" t="str">
        <f t="shared" si="52"/>
        <v>Normal</v>
      </c>
      <c r="L792">
        <v>20</v>
      </c>
      <c r="M792" t="s">
        <v>2363</v>
      </c>
      <c r="N792">
        <v>1984</v>
      </c>
      <c r="O792" s="8">
        <f t="shared" si="50"/>
        <v>30945</v>
      </c>
      <c r="P792" s="10">
        <v>6555.07</v>
      </c>
      <c r="Q792" t="s">
        <v>2357</v>
      </c>
      <c r="R792" t="s">
        <v>2357</v>
      </c>
      <c r="S792" t="s">
        <v>2374</v>
      </c>
      <c r="T792">
        <f t="shared" ca="1" si="51"/>
        <v>42</v>
      </c>
      <c r="U792">
        <f>VLOOKUP($A792,'Medical Examination'!$A:$Z,2,FALSE)</f>
        <v>28</v>
      </c>
    </row>
    <row r="793" spans="1:21" ht="15.5" x14ac:dyDescent="0.35">
      <c r="A793" s="2" t="s">
        <v>793</v>
      </c>
      <c r="B793" s="2" t="s">
        <v>3646</v>
      </c>
      <c r="C793">
        <v>30.23</v>
      </c>
      <c r="D793">
        <v>6.94</v>
      </c>
      <c r="E793" t="s">
        <v>2346</v>
      </c>
      <c r="F793" t="s">
        <v>2344</v>
      </c>
      <c r="G793" t="s">
        <v>2346</v>
      </c>
      <c r="H793">
        <v>1</v>
      </c>
      <c r="I793" t="s">
        <v>2344</v>
      </c>
      <c r="J793" t="str">
        <f t="shared" si="49"/>
        <v>Obesity</v>
      </c>
      <c r="K793" t="str">
        <f t="shared" si="52"/>
        <v>Diabetes</v>
      </c>
      <c r="L793">
        <v>20</v>
      </c>
      <c r="M793" t="s">
        <v>2356</v>
      </c>
      <c r="N793">
        <v>1981</v>
      </c>
      <c r="O793" s="8">
        <f t="shared" si="50"/>
        <v>29787</v>
      </c>
      <c r="P793" s="10">
        <v>6571.02</v>
      </c>
      <c r="Q793" t="s">
        <v>2357</v>
      </c>
      <c r="R793" t="s">
        <v>2361</v>
      </c>
      <c r="S793" t="s">
        <v>2364</v>
      </c>
      <c r="T793">
        <f t="shared" ca="1" si="51"/>
        <v>45</v>
      </c>
      <c r="U793">
        <f>VLOOKUP($A793,'Medical Examination'!$A:$Z,2,FALSE)</f>
        <v>30.23</v>
      </c>
    </row>
    <row r="794" spans="1:21" ht="15.5" x14ac:dyDescent="0.35">
      <c r="A794" s="2" t="s">
        <v>794</v>
      </c>
      <c r="B794" s="2" t="s">
        <v>3648</v>
      </c>
      <c r="C794">
        <v>51.14</v>
      </c>
      <c r="D794">
        <v>4.05</v>
      </c>
      <c r="E794" t="s">
        <v>2344</v>
      </c>
      <c r="F794" t="s">
        <v>2344</v>
      </c>
      <c r="G794" t="s">
        <v>2344</v>
      </c>
      <c r="H794">
        <v>1</v>
      </c>
      <c r="I794" t="s">
        <v>2344</v>
      </c>
      <c r="J794" t="str">
        <f t="shared" si="49"/>
        <v>Obesity</v>
      </c>
      <c r="K794" t="str">
        <f t="shared" si="52"/>
        <v>Normal</v>
      </c>
      <c r="L794">
        <v>5</v>
      </c>
      <c r="M794" t="s">
        <v>2367</v>
      </c>
      <c r="N794">
        <v>1984</v>
      </c>
      <c r="O794" s="8">
        <f t="shared" si="50"/>
        <v>30960</v>
      </c>
      <c r="P794" s="10">
        <v>6571.54</v>
      </c>
      <c r="Q794" t="s">
        <v>2357</v>
      </c>
      <c r="R794" t="s">
        <v>2358</v>
      </c>
      <c r="S794" t="s">
        <v>2368</v>
      </c>
      <c r="T794">
        <f t="shared" ca="1" si="51"/>
        <v>42</v>
      </c>
      <c r="U794">
        <f>VLOOKUP($A794,'Medical Examination'!$A:$Z,2,FALSE)</f>
        <v>51.14</v>
      </c>
    </row>
    <row r="795" spans="1:21" ht="15.5" x14ac:dyDescent="0.35">
      <c r="A795" s="2" t="s">
        <v>795</v>
      </c>
      <c r="B795" s="2" t="s">
        <v>3650</v>
      </c>
      <c r="C795">
        <v>24.32</v>
      </c>
      <c r="D795">
        <v>10.220000000000001</v>
      </c>
      <c r="E795" t="s">
        <v>2344</v>
      </c>
      <c r="F795" t="s">
        <v>2344</v>
      </c>
      <c r="G795" t="s">
        <v>2344</v>
      </c>
      <c r="H795">
        <v>0</v>
      </c>
      <c r="I795" t="s">
        <v>2344</v>
      </c>
      <c r="J795" t="str">
        <f t="shared" si="49"/>
        <v>Normal Weight</v>
      </c>
      <c r="K795" t="str">
        <f t="shared" si="52"/>
        <v>Diabetes</v>
      </c>
      <c r="L795">
        <v>22</v>
      </c>
      <c r="M795" t="s">
        <v>2360</v>
      </c>
      <c r="N795">
        <v>1982</v>
      </c>
      <c r="O795" s="8">
        <f t="shared" si="50"/>
        <v>30277</v>
      </c>
      <c r="P795" s="10">
        <v>6593.51</v>
      </c>
      <c r="Q795" t="s">
        <v>2357</v>
      </c>
      <c r="R795" t="s">
        <v>2361</v>
      </c>
      <c r="S795" t="s">
        <v>2359</v>
      </c>
      <c r="T795">
        <f t="shared" ca="1" si="51"/>
        <v>44</v>
      </c>
      <c r="U795">
        <f>VLOOKUP($A795,'Medical Examination'!$A:$Z,2,FALSE)</f>
        <v>24.32</v>
      </c>
    </row>
    <row r="796" spans="1:21" ht="15.5" x14ac:dyDescent="0.35">
      <c r="A796" s="2" t="s">
        <v>796</v>
      </c>
      <c r="B796" s="2" t="s">
        <v>3652</v>
      </c>
      <c r="C796">
        <v>38.06</v>
      </c>
      <c r="D796">
        <v>9.24</v>
      </c>
      <c r="E796" t="s">
        <v>2344</v>
      </c>
      <c r="F796" t="s">
        <v>2344</v>
      </c>
      <c r="G796" t="s">
        <v>2344</v>
      </c>
      <c r="H796">
        <v>0</v>
      </c>
      <c r="I796" t="s">
        <v>2344</v>
      </c>
      <c r="J796" t="str">
        <f t="shared" si="49"/>
        <v>Obesity</v>
      </c>
      <c r="K796" t="str">
        <f t="shared" si="52"/>
        <v>Diabetes</v>
      </c>
      <c r="L796">
        <v>29</v>
      </c>
      <c r="M796" t="s">
        <v>2365</v>
      </c>
      <c r="N796">
        <v>1982</v>
      </c>
      <c r="O796" s="8">
        <f t="shared" si="50"/>
        <v>30314</v>
      </c>
      <c r="P796" s="10">
        <v>6600.21</v>
      </c>
      <c r="Q796" t="s">
        <v>2358</v>
      </c>
      <c r="R796" t="s">
        <v>2357</v>
      </c>
      <c r="S796" t="s">
        <v>2371</v>
      </c>
      <c r="T796">
        <f t="shared" ca="1" si="51"/>
        <v>44</v>
      </c>
      <c r="U796">
        <f>VLOOKUP($A796,'Medical Examination'!$A:$Z,2,FALSE)</f>
        <v>38.06</v>
      </c>
    </row>
    <row r="797" spans="1:21" ht="15.5" x14ac:dyDescent="0.35">
      <c r="A797" s="2" t="s">
        <v>797</v>
      </c>
      <c r="B797" s="2" t="s">
        <v>3653</v>
      </c>
      <c r="C797">
        <v>37.700000000000003</v>
      </c>
      <c r="D797">
        <v>8.6</v>
      </c>
      <c r="E797" t="s">
        <v>2344</v>
      </c>
      <c r="F797" t="s">
        <v>2344</v>
      </c>
      <c r="G797" t="s">
        <v>2344</v>
      </c>
      <c r="H797">
        <v>0</v>
      </c>
      <c r="I797" t="s">
        <v>2344</v>
      </c>
      <c r="J797" t="str">
        <f t="shared" si="49"/>
        <v>Obesity</v>
      </c>
      <c r="K797" t="str">
        <f t="shared" si="52"/>
        <v>Diabetes</v>
      </c>
      <c r="L797">
        <v>7</v>
      </c>
      <c r="M797" t="s">
        <v>2360</v>
      </c>
      <c r="N797">
        <v>1982</v>
      </c>
      <c r="O797" s="8">
        <f t="shared" si="50"/>
        <v>30262</v>
      </c>
      <c r="P797" s="10">
        <v>6600.36</v>
      </c>
      <c r="Q797" t="s">
        <v>2357</v>
      </c>
      <c r="R797" t="s">
        <v>2358</v>
      </c>
      <c r="S797" t="s">
        <v>2368</v>
      </c>
      <c r="T797">
        <f t="shared" ca="1" si="51"/>
        <v>44</v>
      </c>
      <c r="U797">
        <f>VLOOKUP($A797,'Medical Examination'!$A:$Z,2,FALSE)</f>
        <v>37.700000000000003</v>
      </c>
    </row>
    <row r="798" spans="1:21" ht="15.5" x14ac:dyDescent="0.35">
      <c r="A798" s="2" t="s">
        <v>798</v>
      </c>
      <c r="B798" s="2" t="s">
        <v>3655</v>
      </c>
      <c r="C798">
        <v>44</v>
      </c>
      <c r="D798">
        <v>9.32</v>
      </c>
      <c r="E798" t="s">
        <v>2346</v>
      </c>
      <c r="F798" t="s">
        <v>2344</v>
      </c>
      <c r="G798" t="s">
        <v>2344</v>
      </c>
      <c r="H798">
        <v>1</v>
      </c>
      <c r="I798" t="s">
        <v>2344</v>
      </c>
      <c r="J798" t="str">
        <f t="shared" si="49"/>
        <v>Obesity</v>
      </c>
      <c r="K798" t="str">
        <f t="shared" si="52"/>
        <v>Diabetes</v>
      </c>
      <c r="L798">
        <v>28</v>
      </c>
      <c r="M798" t="s">
        <v>2366</v>
      </c>
      <c r="N798">
        <v>1982</v>
      </c>
      <c r="O798" s="8">
        <f t="shared" si="50"/>
        <v>30191</v>
      </c>
      <c r="P798" s="10">
        <v>6610.11</v>
      </c>
      <c r="Q798" t="s">
        <v>2358</v>
      </c>
      <c r="R798" t="s">
        <v>2357</v>
      </c>
      <c r="S798" t="s">
        <v>2369</v>
      </c>
      <c r="T798">
        <f t="shared" ca="1" si="51"/>
        <v>44</v>
      </c>
      <c r="U798">
        <f>VLOOKUP($A798,'Medical Examination'!$A:$Z,2,FALSE)</f>
        <v>44</v>
      </c>
    </row>
    <row r="799" spans="1:21" ht="15.5" x14ac:dyDescent="0.35">
      <c r="A799" s="2" t="s">
        <v>799</v>
      </c>
      <c r="B799" s="2" t="s">
        <v>3657</v>
      </c>
      <c r="C799">
        <v>41.45</v>
      </c>
      <c r="D799">
        <v>6.12</v>
      </c>
      <c r="E799" t="s">
        <v>2346</v>
      </c>
      <c r="F799" t="s">
        <v>2344</v>
      </c>
      <c r="G799" t="s">
        <v>2344</v>
      </c>
      <c r="H799">
        <v>0</v>
      </c>
      <c r="I799" t="s">
        <v>2344</v>
      </c>
      <c r="J799" t="str">
        <f t="shared" si="49"/>
        <v>Obesity</v>
      </c>
      <c r="K799" t="str">
        <f t="shared" si="52"/>
        <v>Prediabetes</v>
      </c>
      <c r="L799">
        <v>29</v>
      </c>
      <c r="M799" t="s">
        <v>2366</v>
      </c>
      <c r="N799">
        <v>1973</v>
      </c>
      <c r="O799" s="8">
        <f t="shared" si="50"/>
        <v>26905</v>
      </c>
      <c r="P799" s="10">
        <v>6630.31</v>
      </c>
      <c r="Q799" t="s">
        <v>2357</v>
      </c>
      <c r="R799" t="s">
        <v>2361</v>
      </c>
      <c r="S799" t="s">
        <v>2359</v>
      </c>
      <c r="T799">
        <f t="shared" ca="1" si="51"/>
        <v>53</v>
      </c>
      <c r="U799">
        <f>VLOOKUP($A799,'Medical Examination'!$A:$Z,2,FALSE)</f>
        <v>41.45</v>
      </c>
    </row>
    <row r="800" spans="1:21" ht="15.5" x14ac:dyDescent="0.35">
      <c r="A800" s="2" t="s">
        <v>800</v>
      </c>
      <c r="B800" s="2" t="s">
        <v>3239</v>
      </c>
      <c r="C800">
        <v>25.364999999999998</v>
      </c>
      <c r="D800">
        <v>9.19</v>
      </c>
      <c r="E800" t="s">
        <v>2346</v>
      </c>
      <c r="F800" t="s">
        <v>2344</v>
      </c>
      <c r="G800" t="s">
        <v>2344</v>
      </c>
      <c r="H800">
        <v>0</v>
      </c>
      <c r="I800" t="s">
        <v>2344</v>
      </c>
      <c r="J800" t="str">
        <f t="shared" si="49"/>
        <v>Over weight</v>
      </c>
      <c r="K800" t="str">
        <f t="shared" si="52"/>
        <v>Diabetes</v>
      </c>
      <c r="L800">
        <v>4</v>
      </c>
      <c r="M800" t="s">
        <v>2363</v>
      </c>
      <c r="N800">
        <v>2003</v>
      </c>
      <c r="O800" s="8">
        <f t="shared" si="50"/>
        <v>37868</v>
      </c>
      <c r="P800" s="10">
        <v>6638.16</v>
      </c>
      <c r="Q800" t="s">
        <v>2357</v>
      </c>
      <c r="R800" t="s">
        <v>2361</v>
      </c>
      <c r="S800" t="s">
        <v>2364</v>
      </c>
      <c r="T800">
        <f t="shared" ca="1" si="51"/>
        <v>23</v>
      </c>
      <c r="U800">
        <f>VLOOKUP($A800,'Medical Examination'!$A:$Z,2,FALSE)</f>
        <v>25.364999999999998</v>
      </c>
    </row>
    <row r="801" spans="1:21" ht="15.5" x14ac:dyDescent="0.35">
      <c r="A801" s="2" t="s">
        <v>801</v>
      </c>
      <c r="B801" s="2" t="s">
        <v>3659</v>
      </c>
      <c r="C801">
        <v>34.56</v>
      </c>
      <c r="D801">
        <v>5.84</v>
      </c>
      <c r="E801" t="s">
        <v>2346</v>
      </c>
      <c r="F801" t="s">
        <v>2344</v>
      </c>
      <c r="G801" t="s">
        <v>2346</v>
      </c>
      <c r="H801">
        <v>1</v>
      </c>
      <c r="I801" t="s">
        <v>2344</v>
      </c>
      <c r="J801" t="str">
        <f t="shared" si="49"/>
        <v>Obesity</v>
      </c>
      <c r="K801" t="str">
        <f t="shared" si="52"/>
        <v>Prediabetes</v>
      </c>
      <c r="L801">
        <v>6</v>
      </c>
      <c r="M801" t="s">
        <v>2362</v>
      </c>
      <c r="N801">
        <v>1990</v>
      </c>
      <c r="O801" s="8">
        <f t="shared" si="50"/>
        <v>33030</v>
      </c>
      <c r="P801" s="10">
        <v>6639.3</v>
      </c>
      <c r="Q801" t="s">
        <v>2357</v>
      </c>
      <c r="R801" t="s">
        <v>2357</v>
      </c>
      <c r="S801" t="s">
        <v>2377</v>
      </c>
      <c r="T801">
        <f t="shared" ca="1" si="51"/>
        <v>36</v>
      </c>
      <c r="U801">
        <f>VLOOKUP($A801,'Medical Examination'!$A:$Z,2,FALSE)</f>
        <v>34.56</v>
      </c>
    </row>
    <row r="802" spans="1:21" ht="15.5" x14ac:dyDescent="0.35">
      <c r="A802" s="2" t="s">
        <v>802</v>
      </c>
      <c r="B802" s="2" t="s">
        <v>3660</v>
      </c>
      <c r="C802">
        <v>28.2</v>
      </c>
      <c r="D802">
        <v>7.19</v>
      </c>
      <c r="E802" t="s">
        <v>2346</v>
      </c>
      <c r="F802" t="s">
        <v>2344</v>
      </c>
      <c r="G802" t="s">
        <v>2344</v>
      </c>
      <c r="H802">
        <v>1</v>
      </c>
      <c r="I802" t="s">
        <v>2344</v>
      </c>
      <c r="J802" t="str">
        <f t="shared" si="49"/>
        <v>Over weight</v>
      </c>
      <c r="K802" t="str">
        <f t="shared" si="52"/>
        <v>Diabetes</v>
      </c>
      <c r="L802">
        <v>8</v>
      </c>
      <c r="M802" t="s">
        <v>2365</v>
      </c>
      <c r="N802">
        <v>1984</v>
      </c>
      <c r="O802" s="8">
        <f t="shared" si="50"/>
        <v>31024</v>
      </c>
      <c r="P802" s="10">
        <v>6640.54</v>
      </c>
      <c r="Q802" t="s">
        <v>2357</v>
      </c>
      <c r="R802" t="s">
        <v>2358</v>
      </c>
      <c r="S802" t="s">
        <v>2370</v>
      </c>
      <c r="T802">
        <f t="shared" ca="1" si="51"/>
        <v>42</v>
      </c>
      <c r="U802">
        <f>VLOOKUP($A802,'Medical Examination'!$A:$Z,2,FALSE)</f>
        <v>28.2</v>
      </c>
    </row>
    <row r="803" spans="1:21" ht="15.5" x14ac:dyDescent="0.35">
      <c r="A803" s="2" t="s">
        <v>803</v>
      </c>
      <c r="B803" s="2" t="s">
        <v>3662</v>
      </c>
      <c r="C803">
        <v>30.43</v>
      </c>
      <c r="D803">
        <v>9.39</v>
      </c>
      <c r="E803" t="s">
        <v>2344</v>
      </c>
      <c r="F803" t="s">
        <v>2344</v>
      </c>
      <c r="G803" t="s">
        <v>2344</v>
      </c>
      <c r="H803">
        <v>0</v>
      </c>
      <c r="I803" t="s">
        <v>2344</v>
      </c>
      <c r="J803" t="str">
        <f t="shared" si="49"/>
        <v>Obesity</v>
      </c>
      <c r="K803" t="str">
        <f t="shared" si="52"/>
        <v>Diabetes</v>
      </c>
      <c r="L803">
        <v>8</v>
      </c>
      <c r="M803" t="s">
        <v>2360</v>
      </c>
      <c r="N803">
        <v>1970</v>
      </c>
      <c r="O803" s="8">
        <f t="shared" si="50"/>
        <v>25880</v>
      </c>
      <c r="P803" s="10">
        <v>6651.26</v>
      </c>
      <c r="Q803" t="s">
        <v>2357</v>
      </c>
      <c r="R803" t="s">
        <v>2358</v>
      </c>
      <c r="S803" t="s">
        <v>2359</v>
      </c>
      <c r="T803">
        <f t="shared" ca="1" si="51"/>
        <v>56</v>
      </c>
      <c r="U803">
        <f>VLOOKUP($A803,'Medical Examination'!$A:$Z,2,FALSE)</f>
        <v>30.43</v>
      </c>
    </row>
    <row r="804" spans="1:21" ht="15.5" x14ac:dyDescent="0.35">
      <c r="A804" s="2" t="s">
        <v>804</v>
      </c>
      <c r="B804" s="2" t="s">
        <v>2907</v>
      </c>
      <c r="C804">
        <v>32.395000000000003</v>
      </c>
      <c r="D804">
        <v>4.2699999999999996</v>
      </c>
      <c r="E804" t="s">
        <v>2346</v>
      </c>
      <c r="F804" t="s">
        <v>2344</v>
      </c>
      <c r="G804" t="s">
        <v>2344</v>
      </c>
      <c r="H804">
        <v>1</v>
      </c>
      <c r="I804" t="s">
        <v>2344</v>
      </c>
      <c r="J804" t="str">
        <f t="shared" si="49"/>
        <v>Obesity</v>
      </c>
      <c r="K804" t="str">
        <f t="shared" si="52"/>
        <v>Normal</v>
      </c>
      <c r="L804">
        <v>1</v>
      </c>
      <c r="M804" t="s">
        <v>2356</v>
      </c>
      <c r="N804">
        <v>1984</v>
      </c>
      <c r="O804" s="8">
        <f t="shared" si="50"/>
        <v>30864</v>
      </c>
      <c r="P804" s="10">
        <v>6652.53</v>
      </c>
      <c r="Q804" t="s">
        <v>2358</v>
      </c>
      <c r="R804" t="s">
        <v>2357</v>
      </c>
      <c r="S804" t="s">
        <v>2359</v>
      </c>
      <c r="T804">
        <f t="shared" ca="1" si="51"/>
        <v>42</v>
      </c>
      <c r="U804">
        <f>VLOOKUP($A804,'Medical Examination'!$A:$Z,2,FALSE)</f>
        <v>32.395000000000003</v>
      </c>
    </row>
    <row r="805" spans="1:21" ht="15.5" x14ac:dyDescent="0.35">
      <c r="A805" s="2" t="s">
        <v>805</v>
      </c>
      <c r="B805" s="2" t="s">
        <v>3664</v>
      </c>
      <c r="C805">
        <v>24.035</v>
      </c>
      <c r="D805">
        <v>11.71</v>
      </c>
      <c r="E805" t="s">
        <v>2344</v>
      </c>
      <c r="F805" t="s">
        <v>2344</v>
      </c>
      <c r="G805" t="s">
        <v>2344</v>
      </c>
      <c r="H805">
        <v>0</v>
      </c>
      <c r="I805" t="s">
        <v>2344</v>
      </c>
      <c r="J805" t="str">
        <f t="shared" si="49"/>
        <v>Normal Weight</v>
      </c>
      <c r="K805" t="str">
        <f t="shared" si="52"/>
        <v>Diabetes</v>
      </c>
      <c r="L805">
        <v>19</v>
      </c>
      <c r="M805" t="s">
        <v>2360</v>
      </c>
      <c r="N805">
        <v>1989</v>
      </c>
      <c r="O805" s="8">
        <f t="shared" si="50"/>
        <v>32831</v>
      </c>
      <c r="P805" s="10">
        <v>6653.79</v>
      </c>
      <c r="Q805" t="s">
        <v>2357</v>
      </c>
      <c r="R805" t="s">
        <v>2361</v>
      </c>
      <c r="S805" t="s">
        <v>2359</v>
      </c>
      <c r="T805">
        <f t="shared" ca="1" si="51"/>
        <v>37</v>
      </c>
      <c r="U805">
        <f>VLOOKUP($A805,'Medical Examination'!$A:$Z,2,FALSE)</f>
        <v>24.035</v>
      </c>
    </row>
    <row r="806" spans="1:21" ht="15.5" x14ac:dyDescent="0.35">
      <c r="A806" s="2" t="s">
        <v>806</v>
      </c>
      <c r="B806" s="2" t="s">
        <v>3665</v>
      </c>
      <c r="C806">
        <v>37.119999999999997</v>
      </c>
      <c r="D806">
        <v>5.29</v>
      </c>
      <c r="E806" t="s">
        <v>2344</v>
      </c>
      <c r="F806" t="s">
        <v>2344</v>
      </c>
      <c r="G806" t="s">
        <v>2344</v>
      </c>
      <c r="H806">
        <v>1</v>
      </c>
      <c r="I806" t="s">
        <v>2344</v>
      </c>
      <c r="J806" t="str">
        <f t="shared" si="49"/>
        <v>Obesity</v>
      </c>
      <c r="K806" t="str">
        <f t="shared" si="52"/>
        <v>Normal</v>
      </c>
      <c r="L806">
        <v>27</v>
      </c>
      <c r="M806" t="s">
        <v>2363</v>
      </c>
      <c r="N806">
        <v>1982</v>
      </c>
      <c r="O806" s="8">
        <f t="shared" si="50"/>
        <v>30221</v>
      </c>
      <c r="P806" s="10">
        <v>6664.32</v>
      </c>
      <c r="Q806" t="s">
        <v>2357</v>
      </c>
      <c r="R806" t="s">
        <v>2357</v>
      </c>
      <c r="S806" t="s">
        <v>2359</v>
      </c>
      <c r="T806">
        <f t="shared" ca="1" si="51"/>
        <v>44</v>
      </c>
      <c r="U806">
        <f>VLOOKUP($A806,'Medical Examination'!$A:$Z,2,FALSE)</f>
        <v>37.119999999999997</v>
      </c>
    </row>
    <row r="807" spans="1:21" ht="15.5" x14ac:dyDescent="0.35">
      <c r="A807" s="2" t="s">
        <v>807</v>
      </c>
      <c r="B807" s="2" t="s">
        <v>3667</v>
      </c>
      <c r="C807">
        <v>34.840000000000003</v>
      </c>
      <c r="D807" t="s">
        <v>2346</v>
      </c>
      <c r="E807" t="s">
        <v>2346</v>
      </c>
      <c r="F807" t="s">
        <v>2344</v>
      </c>
      <c r="G807" t="s">
        <v>2346</v>
      </c>
      <c r="H807">
        <v>1</v>
      </c>
      <c r="I807" t="s">
        <v>2344</v>
      </c>
      <c r="J807" t="str">
        <f t="shared" si="49"/>
        <v>Obesity</v>
      </c>
      <c r="K807" t="str">
        <f t="shared" si="52"/>
        <v>Diabetes</v>
      </c>
      <c r="L807">
        <v>17</v>
      </c>
      <c r="M807" t="s">
        <v>2363</v>
      </c>
      <c r="N807">
        <v>1981</v>
      </c>
      <c r="O807" s="8">
        <f t="shared" si="50"/>
        <v>29846</v>
      </c>
      <c r="P807" s="10">
        <v>6664.69</v>
      </c>
      <c r="Q807" t="s">
        <v>2358</v>
      </c>
      <c r="R807" t="s">
        <v>2361</v>
      </c>
      <c r="S807" t="s">
        <v>2364</v>
      </c>
      <c r="T807">
        <f t="shared" ca="1" si="51"/>
        <v>45</v>
      </c>
      <c r="U807">
        <f>VLOOKUP($A807,'Medical Examination'!$A:$Z,2,FALSE)</f>
        <v>34.840000000000003</v>
      </c>
    </row>
    <row r="808" spans="1:21" ht="15.5" x14ac:dyDescent="0.35">
      <c r="A808" s="2" t="s">
        <v>808</v>
      </c>
      <c r="B808" s="2" t="s">
        <v>3668</v>
      </c>
      <c r="C808">
        <v>29.53</v>
      </c>
      <c r="D808">
        <v>10.64</v>
      </c>
      <c r="E808" t="s">
        <v>2344</v>
      </c>
      <c r="F808" t="s">
        <v>2344</v>
      </c>
      <c r="G808" t="s">
        <v>2344</v>
      </c>
      <c r="H808">
        <v>0</v>
      </c>
      <c r="I808" t="s">
        <v>2344</v>
      </c>
      <c r="J808" t="str">
        <f t="shared" si="49"/>
        <v>Over weight</v>
      </c>
      <c r="K808" t="str">
        <f t="shared" si="52"/>
        <v>Diabetes</v>
      </c>
      <c r="L808">
        <v>20</v>
      </c>
      <c r="M808" t="s">
        <v>2367</v>
      </c>
      <c r="N808">
        <v>1989</v>
      </c>
      <c r="O808" s="8">
        <f t="shared" si="50"/>
        <v>32801</v>
      </c>
      <c r="P808" s="10">
        <v>6666.24</v>
      </c>
      <c r="Q808" t="s">
        <v>2358</v>
      </c>
      <c r="R808" t="s">
        <v>2361</v>
      </c>
      <c r="S808" t="s">
        <v>2368</v>
      </c>
      <c r="T808">
        <f t="shared" ca="1" si="51"/>
        <v>37</v>
      </c>
      <c r="U808">
        <f>VLOOKUP($A808,'Medical Examination'!$A:$Z,2,FALSE)</f>
        <v>29.53</v>
      </c>
    </row>
    <row r="809" spans="1:21" ht="15.5" x14ac:dyDescent="0.35">
      <c r="A809" s="2" t="s">
        <v>809</v>
      </c>
      <c r="B809" s="2" t="s">
        <v>3670</v>
      </c>
      <c r="C809">
        <v>42.51</v>
      </c>
      <c r="D809">
        <v>8.2100000000000009</v>
      </c>
      <c r="E809" t="s">
        <v>2346</v>
      </c>
      <c r="F809" t="s">
        <v>2344</v>
      </c>
      <c r="G809" t="s">
        <v>2344</v>
      </c>
      <c r="H809">
        <v>0</v>
      </c>
      <c r="I809" t="s">
        <v>2344</v>
      </c>
      <c r="J809" t="str">
        <f t="shared" si="49"/>
        <v>Obesity</v>
      </c>
      <c r="K809" t="str">
        <f t="shared" si="52"/>
        <v>Diabetes</v>
      </c>
      <c r="L809">
        <v>9</v>
      </c>
      <c r="M809" t="s">
        <v>2356</v>
      </c>
      <c r="N809">
        <v>1985</v>
      </c>
      <c r="O809" s="8">
        <f t="shared" si="50"/>
        <v>31237</v>
      </c>
      <c r="P809" s="10">
        <v>6686.43</v>
      </c>
      <c r="Q809" t="s">
        <v>2357</v>
      </c>
      <c r="R809" t="s">
        <v>2358</v>
      </c>
      <c r="S809" t="s">
        <v>2364</v>
      </c>
      <c r="T809">
        <f t="shared" ca="1" si="51"/>
        <v>41</v>
      </c>
      <c r="U809">
        <f>VLOOKUP($A809,'Medical Examination'!$A:$Z,2,FALSE)</f>
        <v>42.51</v>
      </c>
    </row>
    <row r="810" spans="1:21" ht="15.5" x14ac:dyDescent="0.35">
      <c r="A810" s="2" t="s">
        <v>810</v>
      </c>
      <c r="B810" s="2" t="s">
        <v>3671</v>
      </c>
      <c r="C810">
        <v>38.14</v>
      </c>
      <c r="D810">
        <v>5.58</v>
      </c>
      <c r="E810" t="s">
        <v>2344</v>
      </c>
      <c r="F810" t="s">
        <v>2344</v>
      </c>
      <c r="G810" t="s">
        <v>2346</v>
      </c>
      <c r="H810">
        <v>1</v>
      </c>
      <c r="I810" t="s">
        <v>2344</v>
      </c>
      <c r="J810" t="str">
        <f t="shared" si="49"/>
        <v>Obesity</v>
      </c>
      <c r="K810" t="str">
        <f t="shared" si="52"/>
        <v>Normal</v>
      </c>
      <c r="L810">
        <v>13</v>
      </c>
      <c r="M810" t="s">
        <v>2356</v>
      </c>
      <c r="N810">
        <v>1968</v>
      </c>
      <c r="O810" s="8">
        <f t="shared" si="50"/>
        <v>25032</v>
      </c>
      <c r="P810" s="10">
        <v>6700.56</v>
      </c>
      <c r="Q810" t="s">
        <v>2358</v>
      </c>
      <c r="R810" t="s">
        <v>2361</v>
      </c>
      <c r="S810" t="s">
        <v>2364</v>
      </c>
      <c r="T810">
        <f t="shared" ca="1" si="51"/>
        <v>58</v>
      </c>
      <c r="U810">
        <f>VLOOKUP($A810,'Medical Examination'!$A:$Z,2,FALSE)</f>
        <v>38.14</v>
      </c>
    </row>
    <row r="811" spans="1:21" ht="15.5" x14ac:dyDescent="0.35">
      <c r="A811" s="2" t="s">
        <v>811</v>
      </c>
      <c r="B811" s="2" t="s">
        <v>3672</v>
      </c>
      <c r="C811">
        <v>39.93</v>
      </c>
      <c r="D811">
        <v>8.75</v>
      </c>
      <c r="E811" t="s">
        <v>2344</v>
      </c>
      <c r="F811" t="s">
        <v>2344</v>
      </c>
      <c r="G811" t="s">
        <v>2344</v>
      </c>
      <c r="H811">
        <v>0</v>
      </c>
      <c r="I811" t="s">
        <v>2344</v>
      </c>
      <c r="J811" t="str">
        <f t="shared" si="49"/>
        <v>Obesity</v>
      </c>
      <c r="K811" t="str">
        <f t="shared" si="52"/>
        <v>Diabetes</v>
      </c>
      <c r="L811">
        <v>12</v>
      </c>
      <c r="M811" t="s">
        <v>2365</v>
      </c>
      <c r="N811">
        <v>1971</v>
      </c>
      <c r="O811" s="8">
        <f t="shared" si="50"/>
        <v>26279</v>
      </c>
      <c r="P811" s="10">
        <v>6706.47</v>
      </c>
      <c r="Q811" t="s">
        <v>2357</v>
      </c>
      <c r="R811" t="s">
        <v>2361</v>
      </c>
      <c r="S811" t="s">
        <v>2359</v>
      </c>
      <c r="T811">
        <f t="shared" ca="1" si="51"/>
        <v>55</v>
      </c>
      <c r="U811">
        <f>VLOOKUP($A811,'Medical Examination'!$A:$Z,2,FALSE)</f>
        <v>39.93</v>
      </c>
    </row>
    <row r="812" spans="1:21" ht="15.5" x14ac:dyDescent="0.35">
      <c r="A812" s="2" t="s">
        <v>812</v>
      </c>
      <c r="B812" s="2" t="s">
        <v>3673</v>
      </c>
      <c r="C812">
        <v>38.83</v>
      </c>
      <c r="D812">
        <v>11.86</v>
      </c>
      <c r="E812" t="s">
        <v>2344</v>
      </c>
      <c r="F812" t="s">
        <v>2344</v>
      </c>
      <c r="G812" t="s">
        <v>2344</v>
      </c>
      <c r="H812">
        <v>0</v>
      </c>
      <c r="I812" t="s">
        <v>2344</v>
      </c>
      <c r="J812" t="str">
        <f t="shared" si="49"/>
        <v>Obesity</v>
      </c>
      <c r="K812" t="str">
        <f t="shared" si="52"/>
        <v>Diabetes</v>
      </c>
      <c r="L812">
        <v>12</v>
      </c>
      <c r="M812" t="s">
        <v>2362</v>
      </c>
      <c r="N812">
        <v>1983</v>
      </c>
      <c r="O812" s="8">
        <f t="shared" si="50"/>
        <v>30479</v>
      </c>
      <c r="P812" s="10">
        <v>6710.19</v>
      </c>
      <c r="Q812" t="s">
        <v>2358</v>
      </c>
      <c r="R812" t="s">
        <v>2358</v>
      </c>
      <c r="S812" t="s">
        <v>2364</v>
      </c>
      <c r="T812">
        <f t="shared" ca="1" si="51"/>
        <v>43</v>
      </c>
      <c r="U812">
        <f>VLOOKUP($A812,'Medical Examination'!$A:$Z,2,FALSE)</f>
        <v>38.83</v>
      </c>
    </row>
    <row r="813" spans="1:21" ht="15.5" x14ac:dyDescent="0.35">
      <c r="A813" s="2" t="s">
        <v>813</v>
      </c>
      <c r="B813" s="2" t="s">
        <v>3103</v>
      </c>
      <c r="C813">
        <v>37.4</v>
      </c>
      <c r="D813">
        <v>11.46</v>
      </c>
      <c r="E813" t="s">
        <v>2344</v>
      </c>
      <c r="F813" t="s">
        <v>2344</v>
      </c>
      <c r="G813" t="s">
        <v>2344</v>
      </c>
      <c r="H813">
        <v>0</v>
      </c>
      <c r="I813" t="s">
        <v>2344</v>
      </c>
      <c r="J813" t="str">
        <f t="shared" si="49"/>
        <v>Obesity</v>
      </c>
      <c r="K813" t="str">
        <f t="shared" si="52"/>
        <v>Diabetes</v>
      </c>
      <c r="L813">
        <v>13</v>
      </c>
      <c r="M813" t="s">
        <v>2362</v>
      </c>
      <c r="N813">
        <v>1994</v>
      </c>
      <c r="O813" s="8">
        <f t="shared" si="50"/>
        <v>34498</v>
      </c>
      <c r="P813" s="10">
        <v>6721.37</v>
      </c>
      <c r="Q813" t="s">
        <v>2357</v>
      </c>
      <c r="R813" t="s">
        <v>2361</v>
      </c>
      <c r="S813" t="s">
        <v>2364</v>
      </c>
      <c r="T813">
        <f t="shared" ca="1" si="51"/>
        <v>32</v>
      </c>
      <c r="U813">
        <f>VLOOKUP($A813,'Medical Examination'!$A:$Z,2,FALSE)</f>
        <v>37.4</v>
      </c>
    </row>
    <row r="814" spans="1:21" ht="15.5" x14ac:dyDescent="0.35">
      <c r="A814" s="2" t="s">
        <v>814</v>
      </c>
      <c r="B814" s="2" t="s">
        <v>3675</v>
      </c>
      <c r="C814">
        <v>21.4</v>
      </c>
      <c r="D814">
        <v>9.0299999999999994</v>
      </c>
      <c r="E814" t="s">
        <v>2344</v>
      </c>
      <c r="F814" t="s">
        <v>2344</v>
      </c>
      <c r="G814" t="s">
        <v>2344</v>
      </c>
      <c r="H814">
        <v>0</v>
      </c>
      <c r="I814" t="s">
        <v>2344</v>
      </c>
      <c r="J814" t="str">
        <f t="shared" si="49"/>
        <v>Normal Weight</v>
      </c>
      <c r="K814" t="str">
        <f t="shared" si="52"/>
        <v>Diabetes</v>
      </c>
      <c r="L814">
        <v>21</v>
      </c>
      <c r="M814" t="s">
        <v>2367</v>
      </c>
      <c r="N814">
        <v>1978</v>
      </c>
      <c r="O814" s="8">
        <f t="shared" si="50"/>
        <v>28784</v>
      </c>
      <c r="P814" s="10">
        <v>6737.98</v>
      </c>
      <c r="Q814" t="s">
        <v>2357</v>
      </c>
      <c r="R814" t="s">
        <v>2358</v>
      </c>
      <c r="S814" t="s">
        <v>2359</v>
      </c>
      <c r="T814">
        <f t="shared" ca="1" si="51"/>
        <v>48</v>
      </c>
      <c r="U814">
        <f>VLOOKUP($A814,'Medical Examination'!$A:$Z,2,FALSE)</f>
        <v>21.4</v>
      </c>
    </row>
    <row r="815" spans="1:21" ht="15.5" x14ac:dyDescent="0.35">
      <c r="A815" s="2" t="s">
        <v>815</v>
      </c>
      <c r="B815" s="2" t="s">
        <v>3676</v>
      </c>
      <c r="C815">
        <v>38.380000000000003</v>
      </c>
      <c r="D815">
        <v>8.26</v>
      </c>
      <c r="E815" t="s">
        <v>2346</v>
      </c>
      <c r="F815" t="s">
        <v>2344</v>
      </c>
      <c r="G815" t="s">
        <v>2344</v>
      </c>
      <c r="H815">
        <v>1</v>
      </c>
      <c r="I815" t="s">
        <v>2344</v>
      </c>
      <c r="J815" t="str">
        <f t="shared" si="49"/>
        <v>Obesity</v>
      </c>
      <c r="K815" t="str">
        <f t="shared" si="52"/>
        <v>Diabetes</v>
      </c>
      <c r="L815">
        <v>18</v>
      </c>
      <c r="M815" t="s">
        <v>2356</v>
      </c>
      <c r="N815">
        <v>1968</v>
      </c>
      <c r="O815" s="8">
        <f t="shared" si="50"/>
        <v>25037</v>
      </c>
      <c r="P815" s="10">
        <v>6738.84</v>
      </c>
      <c r="Q815" t="s">
        <v>2358</v>
      </c>
      <c r="R815" t="s">
        <v>2361</v>
      </c>
      <c r="S815" t="s">
        <v>2364</v>
      </c>
      <c r="T815">
        <f t="shared" ca="1" si="51"/>
        <v>58</v>
      </c>
      <c r="U815">
        <f>VLOOKUP($A815,'Medical Examination'!$A:$Z,2,FALSE)</f>
        <v>38.380000000000003</v>
      </c>
    </row>
    <row r="816" spans="1:21" ht="15.5" x14ac:dyDescent="0.35">
      <c r="A816" s="2" t="s">
        <v>816</v>
      </c>
      <c r="B816" s="2" t="s">
        <v>3677</v>
      </c>
      <c r="C816">
        <v>33.659999999999997</v>
      </c>
      <c r="D816">
        <v>5.42</v>
      </c>
      <c r="E816" t="s">
        <v>2346</v>
      </c>
      <c r="F816" t="s">
        <v>2344</v>
      </c>
      <c r="G816" t="s">
        <v>2344</v>
      </c>
      <c r="H816">
        <v>1</v>
      </c>
      <c r="I816" t="s">
        <v>2344</v>
      </c>
      <c r="J816" t="str">
        <f t="shared" si="49"/>
        <v>Obesity</v>
      </c>
      <c r="K816" t="str">
        <f t="shared" si="52"/>
        <v>Normal</v>
      </c>
      <c r="L816">
        <v>7</v>
      </c>
      <c r="M816" t="s">
        <v>2366</v>
      </c>
      <c r="N816">
        <v>1986</v>
      </c>
      <c r="O816" s="8">
        <f t="shared" si="50"/>
        <v>31631</v>
      </c>
      <c r="P816" s="10">
        <v>6746.74</v>
      </c>
      <c r="Q816" t="s">
        <v>2358</v>
      </c>
      <c r="R816" t="s">
        <v>2357</v>
      </c>
      <c r="S816" t="s">
        <v>2371</v>
      </c>
      <c r="T816">
        <f t="shared" ca="1" si="51"/>
        <v>40</v>
      </c>
      <c r="U816">
        <f>VLOOKUP($A816,'Medical Examination'!$A:$Z,2,FALSE)</f>
        <v>33.659999999999997</v>
      </c>
    </row>
    <row r="817" spans="1:21" ht="15.5" x14ac:dyDescent="0.35">
      <c r="A817" s="2" t="s">
        <v>817</v>
      </c>
      <c r="B817" s="2" t="s">
        <v>3679</v>
      </c>
      <c r="C817">
        <v>31.79</v>
      </c>
      <c r="D817">
        <v>11.33</v>
      </c>
      <c r="E817" t="s">
        <v>2346</v>
      </c>
      <c r="F817" t="s">
        <v>2344</v>
      </c>
      <c r="G817" t="s">
        <v>2346</v>
      </c>
      <c r="H817">
        <v>1</v>
      </c>
      <c r="I817" t="s">
        <v>2344</v>
      </c>
      <c r="J817" t="str">
        <f t="shared" si="49"/>
        <v>Obesity</v>
      </c>
      <c r="K817" t="str">
        <f t="shared" si="52"/>
        <v>Diabetes</v>
      </c>
      <c r="L817">
        <v>5</v>
      </c>
      <c r="M817" t="s">
        <v>2362</v>
      </c>
      <c r="N817">
        <v>1986</v>
      </c>
      <c r="O817" s="8">
        <f t="shared" si="50"/>
        <v>31568</v>
      </c>
      <c r="P817" s="10">
        <v>6748.59</v>
      </c>
      <c r="Q817" t="s">
        <v>2358</v>
      </c>
      <c r="R817" t="s">
        <v>2361</v>
      </c>
      <c r="S817" t="s">
        <v>2371</v>
      </c>
      <c r="T817">
        <f t="shared" ca="1" si="51"/>
        <v>40</v>
      </c>
      <c r="U817">
        <f>VLOOKUP($A817,'Medical Examination'!$A:$Z,2,FALSE)</f>
        <v>31.79</v>
      </c>
    </row>
    <row r="818" spans="1:21" ht="15.5" x14ac:dyDescent="0.35">
      <c r="A818" s="2" t="s">
        <v>818</v>
      </c>
      <c r="B818" s="2" t="s">
        <v>3680</v>
      </c>
      <c r="C818">
        <v>29.7</v>
      </c>
      <c r="D818">
        <v>7.69</v>
      </c>
      <c r="E818" t="s">
        <v>2346</v>
      </c>
      <c r="F818" t="s">
        <v>2344</v>
      </c>
      <c r="G818" t="s">
        <v>2346</v>
      </c>
      <c r="H818">
        <v>1</v>
      </c>
      <c r="I818" t="s">
        <v>2344</v>
      </c>
      <c r="J818" t="str">
        <f t="shared" si="49"/>
        <v>Over weight</v>
      </c>
      <c r="K818" t="str">
        <f t="shared" si="52"/>
        <v>Diabetes</v>
      </c>
      <c r="L818">
        <v>17</v>
      </c>
      <c r="M818" t="s">
        <v>2362</v>
      </c>
      <c r="N818">
        <v>1970</v>
      </c>
      <c r="O818" s="8">
        <f t="shared" si="50"/>
        <v>25736</v>
      </c>
      <c r="P818" s="10">
        <v>6749.63</v>
      </c>
      <c r="Q818" t="s">
        <v>2357</v>
      </c>
      <c r="R818" t="s">
        <v>2361</v>
      </c>
      <c r="S818" t="s">
        <v>2359</v>
      </c>
      <c r="T818">
        <f t="shared" ca="1" si="51"/>
        <v>56</v>
      </c>
      <c r="U818">
        <f>VLOOKUP($A818,'Medical Examination'!$A:$Z,2,FALSE)</f>
        <v>29.7</v>
      </c>
    </row>
    <row r="819" spans="1:21" ht="15.5" x14ac:dyDescent="0.35">
      <c r="A819" s="2" t="s">
        <v>819</v>
      </c>
      <c r="B819" s="2" t="s">
        <v>2954</v>
      </c>
      <c r="C819">
        <v>25.46</v>
      </c>
      <c r="D819">
        <v>8.77</v>
      </c>
      <c r="E819" t="s">
        <v>2346</v>
      </c>
      <c r="F819" t="s">
        <v>2344</v>
      </c>
      <c r="G819" t="s">
        <v>2346</v>
      </c>
      <c r="H819">
        <v>1</v>
      </c>
      <c r="I819" t="s">
        <v>2344</v>
      </c>
      <c r="J819" t="str">
        <f t="shared" si="49"/>
        <v>Over weight</v>
      </c>
      <c r="K819" t="str">
        <f t="shared" si="52"/>
        <v>Diabetes</v>
      </c>
      <c r="L819">
        <v>9</v>
      </c>
      <c r="M819" t="s">
        <v>2365</v>
      </c>
      <c r="N819">
        <v>1966</v>
      </c>
      <c r="O819" s="8">
        <f t="shared" si="50"/>
        <v>24450</v>
      </c>
      <c r="P819" s="10">
        <v>6750.27</v>
      </c>
      <c r="Q819" t="s">
        <v>2358</v>
      </c>
      <c r="R819" t="s">
        <v>2357</v>
      </c>
      <c r="S819" t="s">
        <v>2359</v>
      </c>
      <c r="T819">
        <f t="shared" ca="1" si="51"/>
        <v>60</v>
      </c>
      <c r="U819">
        <f>VLOOKUP($A819,'Medical Examination'!$A:$Z,2,FALSE)</f>
        <v>25.46</v>
      </c>
    </row>
    <row r="820" spans="1:21" ht="15.5" x14ac:dyDescent="0.35">
      <c r="A820" s="2" t="s">
        <v>820</v>
      </c>
      <c r="B820" s="2" t="s">
        <v>3682</v>
      </c>
      <c r="C820">
        <v>39.14</v>
      </c>
      <c r="D820">
        <v>4.91</v>
      </c>
      <c r="E820" t="s">
        <v>2344</v>
      </c>
      <c r="F820" t="s">
        <v>2345</v>
      </c>
      <c r="G820" t="s">
        <v>2344</v>
      </c>
      <c r="H820">
        <v>1</v>
      </c>
      <c r="I820" t="s">
        <v>2344</v>
      </c>
      <c r="J820" t="str">
        <f t="shared" si="49"/>
        <v>Obesity</v>
      </c>
      <c r="K820" t="str">
        <f t="shared" si="52"/>
        <v>Normal</v>
      </c>
      <c r="L820">
        <v>10</v>
      </c>
      <c r="M820" t="s">
        <v>2367</v>
      </c>
      <c r="N820">
        <v>1988</v>
      </c>
      <c r="O820" s="8">
        <f t="shared" si="50"/>
        <v>32426</v>
      </c>
      <c r="P820" s="10">
        <v>6753.04</v>
      </c>
      <c r="Q820" t="s">
        <v>2357</v>
      </c>
      <c r="R820" t="s">
        <v>2357</v>
      </c>
      <c r="S820" t="s">
        <v>2374</v>
      </c>
      <c r="T820">
        <f t="shared" ca="1" si="51"/>
        <v>38</v>
      </c>
      <c r="U820">
        <f>VLOOKUP($A820,'Medical Examination'!$A:$Z,2,FALSE)</f>
        <v>39.14</v>
      </c>
    </row>
    <row r="821" spans="1:21" ht="15.5" x14ac:dyDescent="0.35">
      <c r="A821" s="2" t="s">
        <v>821</v>
      </c>
      <c r="B821" s="2" t="s">
        <v>3684</v>
      </c>
      <c r="C821">
        <v>41.2</v>
      </c>
      <c r="D821">
        <v>4.95</v>
      </c>
      <c r="E821" t="s">
        <v>2344</v>
      </c>
      <c r="F821" t="s">
        <v>2344</v>
      </c>
      <c r="G821" t="s">
        <v>2344</v>
      </c>
      <c r="H821">
        <v>1</v>
      </c>
      <c r="I821" t="s">
        <v>2344</v>
      </c>
      <c r="J821" t="str">
        <f t="shared" si="49"/>
        <v>Obesity</v>
      </c>
      <c r="K821" t="str">
        <f t="shared" si="52"/>
        <v>Normal</v>
      </c>
      <c r="L821">
        <v>21</v>
      </c>
      <c r="M821" t="s">
        <v>2363</v>
      </c>
      <c r="N821">
        <v>1981</v>
      </c>
      <c r="O821" s="8">
        <f t="shared" si="50"/>
        <v>29850</v>
      </c>
      <c r="P821" s="10">
        <v>6770.19</v>
      </c>
      <c r="Q821" t="s">
        <v>2357</v>
      </c>
      <c r="R821" t="s">
        <v>2358</v>
      </c>
      <c r="S821" t="s">
        <v>2359</v>
      </c>
      <c r="T821">
        <f t="shared" ca="1" si="51"/>
        <v>45</v>
      </c>
      <c r="U821">
        <f>VLOOKUP($A821,'Medical Examination'!$A:$Z,2,FALSE)</f>
        <v>41.2</v>
      </c>
    </row>
    <row r="822" spans="1:21" ht="15.5" x14ac:dyDescent="0.35">
      <c r="A822" s="2" t="s">
        <v>822</v>
      </c>
      <c r="B822" s="2" t="s">
        <v>3685</v>
      </c>
      <c r="C822">
        <v>28.81</v>
      </c>
      <c r="D822">
        <v>10.8</v>
      </c>
      <c r="E822" t="s">
        <v>2346</v>
      </c>
      <c r="F822" t="s">
        <v>2344</v>
      </c>
      <c r="G822" t="s">
        <v>2346</v>
      </c>
      <c r="H822">
        <v>1</v>
      </c>
      <c r="I822" t="s">
        <v>2344</v>
      </c>
      <c r="J822" t="str">
        <f t="shared" si="49"/>
        <v>Over weight</v>
      </c>
      <c r="K822" t="str">
        <f t="shared" si="52"/>
        <v>Diabetes</v>
      </c>
      <c r="L822">
        <v>3</v>
      </c>
      <c r="M822" t="s">
        <v>2363</v>
      </c>
      <c r="N822">
        <v>1981</v>
      </c>
      <c r="O822" s="8">
        <f t="shared" si="50"/>
        <v>29832</v>
      </c>
      <c r="P822" s="10">
        <v>6775.96</v>
      </c>
      <c r="Q822" t="s">
        <v>2357</v>
      </c>
      <c r="R822" t="s">
        <v>2358</v>
      </c>
      <c r="S822" t="s">
        <v>2368</v>
      </c>
      <c r="T822">
        <f t="shared" ca="1" si="51"/>
        <v>45</v>
      </c>
      <c r="U822">
        <f>VLOOKUP($A822,'Medical Examination'!$A:$Z,2,FALSE)</f>
        <v>28.81</v>
      </c>
    </row>
    <row r="823" spans="1:21" ht="15.5" x14ac:dyDescent="0.35">
      <c r="A823" s="2" t="s">
        <v>823</v>
      </c>
      <c r="B823" s="2" t="s">
        <v>3687</v>
      </c>
      <c r="C823">
        <v>37.409999999999997</v>
      </c>
      <c r="D823">
        <v>7.21</v>
      </c>
      <c r="E823" t="s">
        <v>2344</v>
      </c>
      <c r="F823" t="s">
        <v>2344</v>
      </c>
      <c r="G823" t="s">
        <v>2344</v>
      </c>
      <c r="H823">
        <v>1</v>
      </c>
      <c r="I823" t="s">
        <v>2344</v>
      </c>
      <c r="J823" t="str">
        <f t="shared" si="49"/>
        <v>Obesity</v>
      </c>
      <c r="K823" t="str">
        <f t="shared" si="52"/>
        <v>Diabetes</v>
      </c>
      <c r="L823">
        <v>8</v>
      </c>
      <c r="M823" t="s">
        <v>2367</v>
      </c>
      <c r="N823">
        <v>1981</v>
      </c>
      <c r="O823" s="8">
        <f t="shared" si="50"/>
        <v>29867</v>
      </c>
      <c r="P823" s="10">
        <v>6781.35</v>
      </c>
      <c r="Q823" t="s">
        <v>2357</v>
      </c>
      <c r="R823" t="s">
        <v>2361</v>
      </c>
      <c r="S823" t="s">
        <v>2359</v>
      </c>
      <c r="T823">
        <f t="shared" ca="1" si="51"/>
        <v>45</v>
      </c>
      <c r="U823">
        <f>VLOOKUP($A823,'Medical Examination'!$A:$Z,2,FALSE)</f>
        <v>37.409999999999997</v>
      </c>
    </row>
    <row r="824" spans="1:21" ht="15.5" x14ac:dyDescent="0.35">
      <c r="A824" s="2" t="s">
        <v>824</v>
      </c>
      <c r="B824" s="2" t="s">
        <v>3688</v>
      </c>
      <c r="C824">
        <v>52.54</v>
      </c>
      <c r="D824">
        <v>5.12</v>
      </c>
      <c r="E824" t="s">
        <v>2344</v>
      </c>
      <c r="F824" t="s">
        <v>2344</v>
      </c>
      <c r="G824" t="s">
        <v>2346</v>
      </c>
      <c r="H824">
        <v>1</v>
      </c>
      <c r="I824" t="s">
        <v>2344</v>
      </c>
      <c r="J824" t="str">
        <f t="shared" si="49"/>
        <v>Obesity</v>
      </c>
      <c r="K824" t="str">
        <f t="shared" si="52"/>
        <v>Normal</v>
      </c>
      <c r="L824">
        <v>23</v>
      </c>
      <c r="M824" t="s">
        <v>2360</v>
      </c>
      <c r="N824">
        <v>1980</v>
      </c>
      <c r="O824" s="8">
        <f t="shared" si="50"/>
        <v>29548</v>
      </c>
      <c r="P824" s="10">
        <v>6781.52</v>
      </c>
      <c r="Q824" t="s">
        <v>2357</v>
      </c>
      <c r="R824" t="s">
        <v>2357</v>
      </c>
      <c r="S824" t="s">
        <v>2359</v>
      </c>
      <c r="T824">
        <f t="shared" ca="1" si="51"/>
        <v>46</v>
      </c>
      <c r="U824">
        <f>VLOOKUP($A824,'Medical Examination'!$A:$Z,2,FALSE)</f>
        <v>52.54</v>
      </c>
    </row>
    <row r="825" spans="1:21" ht="15.5" x14ac:dyDescent="0.35">
      <c r="A825" s="2" t="s">
        <v>825</v>
      </c>
      <c r="B825" s="2" t="s">
        <v>3510</v>
      </c>
      <c r="C825">
        <v>17.29</v>
      </c>
      <c r="D825">
        <v>4.62</v>
      </c>
      <c r="E825" t="s">
        <v>2344</v>
      </c>
      <c r="F825" t="s">
        <v>2345</v>
      </c>
      <c r="G825" t="s">
        <v>2344</v>
      </c>
      <c r="H825">
        <v>1</v>
      </c>
      <c r="I825" t="s">
        <v>2346</v>
      </c>
      <c r="J825" t="str">
        <f t="shared" si="49"/>
        <v>Under Weight</v>
      </c>
      <c r="K825" t="str">
        <f t="shared" si="52"/>
        <v>Normal</v>
      </c>
      <c r="L825">
        <v>24</v>
      </c>
      <c r="M825" t="s">
        <v>2365</v>
      </c>
      <c r="N825">
        <v>1985</v>
      </c>
      <c r="O825" s="8">
        <f t="shared" si="50"/>
        <v>31405</v>
      </c>
      <c r="P825" s="10">
        <v>6796.86</v>
      </c>
      <c r="Q825" t="s">
        <v>2358</v>
      </c>
      <c r="R825" t="s">
        <v>2358</v>
      </c>
      <c r="S825" t="s">
        <v>2364</v>
      </c>
      <c r="T825">
        <f t="shared" ca="1" si="51"/>
        <v>41</v>
      </c>
      <c r="U825">
        <f>VLOOKUP($A825,'Medical Examination'!$A:$Z,2,FALSE)</f>
        <v>17.29</v>
      </c>
    </row>
    <row r="826" spans="1:21" ht="15.5" x14ac:dyDescent="0.35">
      <c r="A826" s="2" t="s">
        <v>826</v>
      </c>
      <c r="B826" s="2" t="s">
        <v>3690</v>
      </c>
      <c r="C826">
        <v>31.74</v>
      </c>
      <c r="D826">
        <v>7.68</v>
      </c>
      <c r="E826" t="s">
        <v>2346</v>
      </c>
      <c r="F826" t="s">
        <v>2344</v>
      </c>
      <c r="G826" t="s">
        <v>2344</v>
      </c>
      <c r="H826">
        <v>0</v>
      </c>
      <c r="I826" t="s">
        <v>2344</v>
      </c>
      <c r="J826" t="str">
        <f t="shared" si="49"/>
        <v>Obesity</v>
      </c>
      <c r="K826" t="str">
        <f t="shared" si="52"/>
        <v>Diabetes</v>
      </c>
      <c r="L826">
        <v>29</v>
      </c>
      <c r="M826" t="s">
        <v>2362</v>
      </c>
      <c r="N826">
        <v>1991</v>
      </c>
      <c r="O826" s="8">
        <f t="shared" si="50"/>
        <v>33418</v>
      </c>
      <c r="P826" s="10">
        <v>6799.46</v>
      </c>
      <c r="Q826" t="s">
        <v>2361</v>
      </c>
      <c r="R826" t="s">
        <v>2357</v>
      </c>
      <c r="S826" t="s">
        <v>2376</v>
      </c>
      <c r="T826">
        <f t="shared" ca="1" si="51"/>
        <v>35</v>
      </c>
      <c r="U826">
        <f>VLOOKUP($A826,'Medical Examination'!$A:$Z,2,FALSE)</f>
        <v>31.74</v>
      </c>
    </row>
    <row r="827" spans="1:21" ht="15.5" x14ac:dyDescent="0.35">
      <c r="A827" s="2" t="s">
        <v>827</v>
      </c>
      <c r="B827" s="2" t="s">
        <v>3691</v>
      </c>
      <c r="C827">
        <v>26.504999999999999</v>
      </c>
      <c r="D827">
        <v>6.79</v>
      </c>
      <c r="E827" t="s">
        <v>2346</v>
      </c>
      <c r="F827" t="s">
        <v>2344</v>
      </c>
      <c r="G827" t="s">
        <v>2346</v>
      </c>
      <c r="H827">
        <v>1</v>
      </c>
      <c r="I827" t="s">
        <v>2344</v>
      </c>
      <c r="J827" t="str">
        <f t="shared" si="49"/>
        <v>Over weight</v>
      </c>
      <c r="K827" t="str">
        <f t="shared" si="52"/>
        <v>Diabetes</v>
      </c>
      <c r="L827">
        <v>17</v>
      </c>
      <c r="M827" t="s">
        <v>2366</v>
      </c>
      <c r="N827">
        <v>1975</v>
      </c>
      <c r="O827" s="8">
        <f t="shared" si="50"/>
        <v>27623</v>
      </c>
      <c r="P827" s="10">
        <v>6809.46</v>
      </c>
      <c r="Q827" t="s">
        <v>2357</v>
      </c>
      <c r="R827" t="s">
        <v>2361</v>
      </c>
      <c r="S827" t="s">
        <v>2364</v>
      </c>
      <c r="T827">
        <f t="shared" ca="1" si="51"/>
        <v>51</v>
      </c>
      <c r="U827">
        <f>VLOOKUP($A827,'Medical Examination'!$A:$Z,2,FALSE)</f>
        <v>26.504999999999999</v>
      </c>
    </row>
    <row r="828" spans="1:21" ht="15.5" x14ac:dyDescent="0.35">
      <c r="A828" s="2" t="s">
        <v>828</v>
      </c>
      <c r="B828" s="2" t="s">
        <v>3692</v>
      </c>
      <c r="C828">
        <v>36.479999999999997</v>
      </c>
      <c r="D828">
        <v>11.09</v>
      </c>
      <c r="E828" t="s">
        <v>2344</v>
      </c>
      <c r="F828" t="s">
        <v>2344</v>
      </c>
      <c r="G828" t="s">
        <v>2344</v>
      </c>
      <c r="H828">
        <v>0</v>
      </c>
      <c r="I828" t="s">
        <v>2344</v>
      </c>
      <c r="J828" t="str">
        <f t="shared" si="49"/>
        <v>Obesity</v>
      </c>
      <c r="K828" t="str">
        <f t="shared" si="52"/>
        <v>Diabetes</v>
      </c>
      <c r="L828">
        <v>8</v>
      </c>
      <c r="M828" t="s">
        <v>2356</v>
      </c>
      <c r="N828">
        <v>1994</v>
      </c>
      <c r="O828" s="8">
        <f t="shared" si="50"/>
        <v>34523</v>
      </c>
      <c r="P828" s="10">
        <v>6827.69</v>
      </c>
      <c r="Q828" t="s">
        <v>2357</v>
      </c>
      <c r="R828" t="s">
        <v>2357</v>
      </c>
      <c r="S828" t="s">
        <v>2377</v>
      </c>
      <c r="T828">
        <f t="shared" ca="1" si="51"/>
        <v>32</v>
      </c>
      <c r="U828">
        <f>VLOOKUP($A828,'Medical Examination'!$A:$Z,2,FALSE)</f>
        <v>36.479999999999997</v>
      </c>
    </row>
    <row r="829" spans="1:21" ht="15.5" x14ac:dyDescent="0.35">
      <c r="A829" s="2" t="s">
        <v>829</v>
      </c>
      <c r="B829" s="2" t="s">
        <v>3239</v>
      </c>
      <c r="C829">
        <v>39.159999999999997</v>
      </c>
      <c r="D829">
        <v>5.24</v>
      </c>
      <c r="E829" t="s">
        <v>2346</v>
      </c>
      <c r="F829" t="s">
        <v>2344</v>
      </c>
      <c r="G829" t="s">
        <v>2346</v>
      </c>
      <c r="H829">
        <v>1</v>
      </c>
      <c r="I829" t="s">
        <v>2344</v>
      </c>
      <c r="J829" t="str">
        <f t="shared" si="49"/>
        <v>Obesity</v>
      </c>
      <c r="K829" t="str">
        <f t="shared" si="52"/>
        <v>Normal</v>
      </c>
      <c r="L829">
        <v>15</v>
      </c>
      <c r="M829" t="s">
        <v>2356</v>
      </c>
      <c r="N829">
        <v>1979</v>
      </c>
      <c r="O829" s="8">
        <f t="shared" si="50"/>
        <v>29051</v>
      </c>
      <c r="P829" s="10">
        <v>6837.37</v>
      </c>
      <c r="Q829" t="s">
        <v>2358</v>
      </c>
      <c r="R829" t="s">
        <v>2361</v>
      </c>
      <c r="S829" t="s">
        <v>2371</v>
      </c>
      <c r="T829">
        <f t="shared" ca="1" si="51"/>
        <v>47</v>
      </c>
      <c r="U829">
        <f>VLOOKUP($A829,'Medical Examination'!$A:$Z,2,FALSE)</f>
        <v>39.159999999999997</v>
      </c>
    </row>
    <row r="830" spans="1:21" ht="15.5" x14ac:dyDescent="0.35">
      <c r="A830" s="2" t="s">
        <v>830</v>
      </c>
      <c r="B830" s="2" t="s">
        <v>3265</v>
      </c>
      <c r="C830">
        <v>28.22</v>
      </c>
      <c r="D830">
        <v>7.51</v>
      </c>
      <c r="E830" t="s">
        <v>2346</v>
      </c>
      <c r="F830" t="s">
        <v>2344</v>
      </c>
      <c r="G830" t="s">
        <v>2346</v>
      </c>
      <c r="H830">
        <v>1</v>
      </c>
      <c r="I830" t="s">
        <v>2344</v>
      </c>
      <c r="J830" t="str">
        <f t="shared" si="49"/>
        <v>Over weight</v>
      </c>
      <c r="K830" t="str">
        <f t="shared" si="52"/>
        <v>Diabetes</v>
      </c>
      <c r="L830">
        <v>30</v>
      </c>
      <c r="M830" t="s">
        <v>2360</v>
      </c>
      <c r="N830">
        <v>2000</v>
      </c>
      <c r="O830" s="8">
        <f t="shared" si="50"/>
        <v>36860</v>
      </c>
      <c r="P830" s="10">
        <v>6842.28</v>
      </c>
      <c r="Q830" t="s">
        <v>2357</v>
      </c>
      <c r="R830" t="s">
        <v>2361</v>
      </c>
      <c r="S830" t="s">
        <v>2364</v>
      </c>
      <c r="T830">
        <f t="shared" ca="1" si="51"/>
        <v>26</v>
      </c>
      <c r="U830">
        <f>VLOOKUP($A830,'Medical Examination'!$A:$Z,2,FALSE)</f>
        <v>28.22</v>
      </c>
    </row>
    <row r="831" spans="1:21" ht="15.5" x14ac:dyDescent="0.35">
      <c r="A831" s="2" t="s">
        <v>831</v>
      </c>
      <c r="B831" s="2" t="s">
        <v>3695</v>
      </c>
      <c r="C831">
        <v>35</v>
      </c>
      <c r="D831">
        <v>4.13</v>
      </c>
      <c r="E831" t="s">
        <v>2344</v>
      </c>
      <c r="F831" t="s">
        <v>2344</v>
      </c>
      <c r="G831" t="s">
        <v>2344</v>
      </c>
      <c r="H831">
        <v>1</v>
      </c>
      <c r="I831" t="s">
        <v>2344</v>
      </c>
      <c r="J831" t="str">
        <f t="shared" si="49"/>
        <v>Obesity</v>
      </c>
      <c r="K831" t="str">
        <f t="shared" si="52"/>
        <v>Normal</v>
      </c>
      <c r="L831">
        <v>15</v>
      </c>
      <c r="M831" t="s">
        <v>2362</v>
      </c>
      <c r="N831">
        <v>1977</v>
      </c>
      <c r="O831" s="8">
        <f t="shared" si="50"/>
        <v>28291</v>
      </c>
      <c r="P831" s="10">
        <v>6843.17</v>
      </c>
      <c r="Q831" t="s">
        <v>2357</v>
      </c>
      <c r="R831" t="s">
        <v>2361</v>
      </c>
      <c r="S831" t="s">
        <v>2359</v>
      </c>
      <c r="T831">
        <f t="shared" ca="1" si="51"/>
        <v>49</v>
      </c>
      <c r="U831">
        <f>VLOOKUP($A831,'Medical Examination'!$A:$Z,2,FALSE)</f>
        <v>35</v>
      </c>
    </row>
    <row r="832" spans="1:21" ht="15.5" x14ac:dyDescent="0.35">
      <c r="A832" s="2" t="s">
        <v>832</v>
      </c>
      <c r="B832" s="2" t="s">
        <v>3696</v>
      </c>
      <c r="C832">
        <v>36.24</v>
      </c>
      <c r="D832">
        <v>8.3800000000000008</v>
      </c>
      <c r="E832" t="s">
        <v>2346</v>
      </c>
      <c r="F832" t="s">
        <v>2344</v>
      </c>
      <c r="G832" t="s">
        <v>2344</v>
      </c>
      <c r="H832">
        <v>1</v>
      </c>
      <c r="I832" t="s">
        <v>2344</v>
      </c>
      <c r="J832" t="str">
        <f t="shared" si="49"/>
        <v>Obesity</v>
      </c>
      <c r="K832" t="str">
        <f t="shared" si="52"/>
        <v>Diabetes</v>
      </c>
      <c r="L832">
        <v>4</v>
      </c>
      <c r="M832" t="s">
        <v>2360</v>
      </c>
      <c r="N832">
        <v>1979</v>
      </c>
      <c r="O832" s="8">
        <f t="shared" si="50"/>
        <v>29163</v>
      </c>
      <c r="P832" s="10">
        <v>6849.03</v>
      </c>
      <c r="Q832" t="s">
        <v>2357</v>
      </c>
      <c r="R832" t="s">
        <v>2357</v>
      </c>
      <c r="S832" t="s">
        <v>2368</v>
      </c>
      <c r="T832">
        <f t="shared" ca="1" si="51"/>
        <v>47</v>
      </c>
      <c r="U832">
        <f>VLOOKUP($A832,'Medical Examination'!$A:$Z,2,FALSE)</f>
        <v>36.24</v>
      </c>
    </row>
    <row r="833" spans="1:21" ht="15.5" x14ac:dyDescent="0.35">
      <c r="A833" s="2" t="s">
        <v>833</v>
      </c>
      <c r="B833" s="2" t="s">
        <v>3697</v>
      </c>
      <c r="C833">
        <v>36.954999999999998</v>
      </c>
      <c r="D833">
        <v>8.07</v>
      </c>
      <c r="E833" t="s">
        <v>2344</v>
      </c>
      <c r="F833" t="s">
        <v>2344</v>
      </c>
      <c r="G833" t="s">
        <v>2344</v>
      </c>
      <c r="H833">
        <v>0</v>
      </c>
      <c r="I833" t="s">
        <v>2344</v>
      </c>
      <c r="J833" t="str">
        <f t="shared" si="49"/>
        <v>Obesity</v>
      </c>
      <c r="K833" t="str">
        <f t="shared" si="52"/>
        <v>Diabetes</v>
      </c>
      <c r="L833">
        <v>19</v>
      </c>
      <c r="M833" t="s">
        <v>2362</v>
      </c>
      <c r="N833">
        <v>1981</v>
      </c>
      <c r="O833" s="8">
        <f t="shared" si="50"/>
        <v>29756</v>
      </c>
      <c r="P833" s="10">
        <v>6858.48</v>
      </c>
      <c r="Q833" t="s">
        <v>2357</v>
      </c>
      <c r="R833" t="s">
        <v>2357</v>
      </c>
      <c r="S833" t="s">
        <v>2370</v>
      </c>
      <c r="T833">
        <f t="shared" ca="1" si="51"/>
        <v>45</v>
      </c>
      <c r="U833">
        <f>VLOOKUP($A833,'Medical Examination'!$A:$Z,2,FALSE)</f>
        <v>36.954999999999998</v>
      </c>
    </row>
    <row r="834" spans="1:21" ht="15.5" x14ac:dyDescent="0.35">
      <c r="A834" s="2" t="s">
        <v>834</v>
      </c>
      <c r="B834" s="2" t="s">
        <v>3698</v>
      </c>
      <c r="C834">
        <v>29.64</v>
      </c>
      <c r="D834">
        <v>8.9499999999999993</v>
      </c>
      <c r="E834" t="s">
        <v>2344</v>
      </c>
      <c r="F834" t="s">
        <v>2344</v>
      </c>
      <c r="G834" t="s">
        <v>2344</v>
      </c>
      <c r="H834">
        <v>0</v>
      </c>
      <c r="I834" t="s">
        <v>2344</v>
      </c>
      <c r="J834" t="str">
        <f t="shared" si="49"/>
        <v>Over weight</v>
      </c>
      <c r="K834" t="str">
        <f t="shared" si="52"/>
        <v>Diabetes</v>
      </c>
      <c r="L834">
        <v>5</v>
      </c>
      <c r="M834" t="s">
        <v>2366</v>
      </c>
      <c r="N834">
        <v>1978</v>
      </c>
      <c r="O834" s="8">
        <f t="shared" si="50"/>
        <v>28707</v>
      </c>
      <c r="P834" s="10">
        <v>6863.49</v>
      </c>
      <c r="Q834" t="s">
        <v>2357</v>
      </c>
      <c r="R834" t="s">
        <v>2361</v>
      </c>
      <c r="S834" t="s">
        <v>2359</v>
      </c>
      <c r="T834">
        <f t="shared" ca="1" si="51"/>
        <v>48</v>
      </c>
      <c r="U834">
        <f>VLOOKUP($A834,'Medical Examination'!$A:$Z,2,FALSE)</f>
        <v>29.64</v>
      </c>
    </row>
    <row r="835" spans="1:21" ht="15.5" x14ac:dyDescent="0.35">
      <c r="A835" s="2" t="s">
        <v>835</v>
      </c>
      <c r="B835" s="2" t="s">
        <v>3699</v>
      </c>
      <c r="C835">
        <v>42.74</v>
      </c>
      <c r="D835">
        <v>6.31</v>
      </c>
      <c r="E835" t="s">
        <v>2346</v>
      </c>
      <c r="F835" t="s">
        <v>2344</v>
      </c>
      <c r="G835" t="s">
        <v>2344</v>
      </c>
      <c r="H835">
        <v>1</v>
      </c>
      <c r="I835" t="s">
        <v>2344</v>
      </c>
      <c r="J835" t="str">
        <f t="shared" ref="J835:J898" si="53">IF(C835&lt;18.5,"Under Weight",IF(C835&lt;25,"Normal Weight",IF(C835&lt;30,"Over weight","Obesity")))</f>
        <v>Obesity</v>
      </c>
      <c r="K835" t="str">
        <f t="shared" si="52"/>
        <v>Prediabetes</v>
      </c>
      <c r="L835">
        <v>23</v>
      </c>
      <c r="M835" t="s">
        <v>2367</v>
      </c>
      <c r="N835">
        <v>1969</v>
      </c>
      <c r="O835" s="8">
        <f t="shared" ref="O835:O898" si="54">DATE(N835,MONTH(1&amp;M835),L835)</f>
        <v>25499</v>
      </c>
      <c r="P835" s="10">
        <v>6868.39</v>
      </c>
      <c r="Q835" t="s">
        <v>2357</v>
      </c>
      <c r="R835" t="s">
        <v>2357</v>
      </c>
      <c r="S835" t="s">
        <v>2359</v>
      </c>
      <c r="T835">
        <f t="shared" ref="T835:T898" ca="1" si="55">YEAR(TODAY())-YEAR(O835)</f>
        <v>57</v>
      </c>
      <c r="U835">
        <f>VLOOKUP($A835,'Medical Examination'!$A:$Z,2,FALSE)</f>
        <v>42.74</v>
      </c>
    </row>
    <row r="836" spans="1:21" ht="15.5" x14ac:dyDescent="0.35">
      <c r="A836" s="2" t="s">
        <v>836</v>
      </c>
      <c r="B836" s="2" t="s">
        <v>3700</v>
      </c>
      <c r="C836">
        <v>36.130000000000003</v>
      </c>
      <c r="D836">
        <v>7.19</v>
      </c>
      <c r="E836" t="s">
        <v>2346</v>
      </c>
      <c r="F836" t="s">
        <v>2344</v>
      </c>
      <c r="G836" t="s">
        <v>2344</v>
      </c>
      <c r="H836">
        <v>1</v>
      </c>
      <c r="I836" t="s">
        <v>2344</v>
      </c>
      <c r="J836" t="str">
        <f t="shared" si="53"/>
        <v>Obesity</v>
      </c>
      <c r="K836" t="str">
        <f t="shared" si="52"/>
        <v>Diabetes</v>
      </c>
      <c r="L836">
        <v>23</v>
      </c>
      <c r="M836" t="s">
        <v>2362</v>
      </c>
      <c r="N836">
        <v>1981</v>
      </c>
      <c r="O836" s="8">
        <f t="shared" si="54"/>
        <v>29760</v>
      </c>
      <c r="P836" s="10">
        <v>6875.96</v>
      </c>
      <c r="Q836" t="s">
        <v>2357</v>
      </c>
      <c r="R836" t="s">
        <v>2357</v>
      </c>
      <c r="S836" t="s">
        <v>2368</v>
      </c>
      <c r="T836">
        <f t="shared" ca="1" si="55"/>
        <v>45</v>
      </c>
      <c r="U836">
        <f>VLOOKUP($A836,'Medical Examination'!$A:$Z,2,FALSE)</f>
        <v>36.130000000000003</v>
      </c>
    </row>
    <row r="837" spans="1:21" ht="15.5" x14ac:dyDescent="0.35">
      <c r="A837" s="2" t="s">
        <v>837</v>
      </c>
      <c r="B837" s="2" t="s">
        <v>2824</v>
      </c>
      <c r="C837">
        <v>31.55</v>
      </c>
      <c r="D837">
        <v>6.11</v>
      </c>
      <c r="E837" t="s">
        <v>2346</v>
      </c>
      <c r="F837" t="s">
        <v>2344</v>
      </c>
      <c r="G837" t="s">
        <v>2344</v>
      </c>
      <c r="H837">
        <v>1</v>
      </c>
      <c r="I837" t="s">
        <v>2344</v>
      </c>
      <c r="J837" t="str">
        <f t="shared" si="53"/>
        <v>Obesity</v>
      </c>
      <c r="K837" t="str">
        <f t="shared" si="52"/>
        <v>Prediabetes</v>
      </c>
      <c r="L837">
        <v>24</v>
      </c>
      <c r="M837" t="s">
        <v>2365</v>
      </c>
      <c r="N837">
        <v>2004</v>
      </c>
      <c r="O837" s="8">
        <f t="shared" si="54"/>
        <v>38345</v>
      </c>
      <c r="P837" s="10">
        <v>6876.53</v>
      </c>
      <c r="Q837" t="s">
        <v>2357</v>
      </c>
      <c r="R837" t="s">
        <v>2361</v>
      </c>
      <c r="S837" t="s">
        <v>2364</v>
      </c>
      <c r="T837">
        <f t="shared" ca="1" si="55"/>
        <v>22</v>
      </c>
      <c r="U837">
        <f>VLOOKUP($A837,'Medical Examination'!$A:$Z,2,FALSE)</f>
        <v>31.55</v>
      </c>
    </row>
    <row r="838" spans="1:21" ht="15.5" x14ac:dyDescent="0.35">
      <c r="A838" s="2" t="s">
        <v>838</v>
      </c>
      <c r="B838" s="2" t="s">
        <v>3703</v>
      </c>
      <c r="C838">
        <v>52.75</v>
      </c>
      <c r="D838">
        <v>6.02</v>
      </c>
      <c r="E838" t="s">
        <v>2344</v>
      </c>
      <c r="F838" t="s">
        <v>2344</v>
      </c>
      <c r="G838" t="s">
        <v>2344</v>
      </c>
      <c r="H838">
        <v>1</v>
      </c>
      <c r="I838" t="s">
        <v>2344</v>
      </c>
      <c r="J838" t="str">
        <f t="shared" si="53"/>
        <v>Obesity</v>
      </c>
      <c r="K838" t="str">
        <f t="shared" si="52"/>
        <v>Prediabetes</v>
      </c>
      <c r="L838">
        <v>10</v>
      </c>
      <c r="M838" t="s">
        <v>2363</v>
      </c>
      <c r="N838">
        <v>1985</v>
      </c>
      <c r="O838" s="8">
        <f t="shared" si="54"/>
        <v>31300</v>
      </c>
      <c r="P838" s="10">
        <v>6877.98</v>
      </c>
      <c r="Q838" t="s">
        <v>2357</v>
      </c>
      <c r="R838" t="s">
        <v>2361</v>
      </c>
      <c r="S838" t="s">
        <v>2374</v>
      </c>
      <c r="T838">
        <f t="shared" ca="1" si="55"/>
        <v>41</v>
      </c>
      <c r="U838">
        <f>VLOOKUP($A838,'Medical Examination'!$A:$Z,2,FALSE)</f>
        <v>52.75</v>
      </c>
    </row>
    <row r="839" spans="1:21" ht="15.5" x14ac:dyDescent="0.35">
      <c r="A839" s="2" t="s">
        <v>839</v>
      </c>
      <c r="B839" s="2" t="s">
        <v>3430</v>
      </c>
      <c r="C839">
        <v>36.67</v>
      </c>
      <c r="D839">
        <v>11.86</v>
      </c>
      <c r="E839" t="s">
        <v>2344</v>
      </c>
      <c r="F839" t="s">
        <v>2344</v>
      </c>
      <c r="G839" t="s">
        <v>2344</v>
      </c>
      <c r="H839">
        <v>0</v>
      </c>
      <c r="I839" t="s">
        <v>2344</v>
      </c>
      <c r="J839" t="str">
        <f t="shared" si="53"/>
        <v>Obesity</v>
      </c>
      <c r="K839" t="str">
        <f t="shared" si="52"/>
        <v>Diabetes</v>
      </c>
      <c r="L839">
        <v>21</v>
      </c>
      <c r="M839" t="s">
        <v>2365</v>
      </c>
      <c r="N839">
        <v>1989</v>
      </c>
      <c r="O839" s="8">
        <f t="shared" si="54"/>
        <v>32863</v>
      </c>
      <c r="P839" s="10">
        <v>6895.19</v>
      </c>
      <c r="Q839" t="s">
        <v>2357</v>
      </c>
      <c r="R839" t="s">
        <v>2358</v>
      </c>
      <c r="S839" t="s">
        <v>2374</v>
      </c>
      <c r="T839">
        <f t="shared" ca="1" si="55"/>
        <v>37</v>
      </c>
      <c r="U839">
        <f>VLOOKUP($A839,'Medical Examination'!$A:$Z,2,FALSE)</f>
        <v>36.67</v>
      </c>
    </row>
    <row r="840" spans="1:21" ht="15.5" x14ac:dyDescent="0.35">
      <c r="A840" s="2" t="s">
        <v>840</v>
      </c>
      <c r="B840" s="2" t="s">
        <v>3705</v>
      </c>
      <c r="C840">
        <v>38.06</v>
      </c>
      <c r="D840">
        <v>8.25</v>
      </c>
      <c r="E840" t="s">
        <v>2344</v>
      </c>
      <c r="F840" t="s">
        <v>2344</v>
      </c>
      <c r="G840" t="s">
        <v>2344</v>
      </c>
      <c r="H840">
        <v>0</v>
      </c>
      <c r="I840" t="s">
        <v>2344</v>
      </c>
      <c r="J840" t="str">
        <f t="shared" si="53"/>
        <v>Obesity</v>
      </c>
      <c r="K840" t="str">
        <f t="shared" si="52"/>
        <v>Diabetes</v>
      </c>
      <c r="L840">
        <v>5</v>
      </c>
      <c r="M840" t="s">
        <v>2363</v>
      </c>
      <c r="N840">
        <v>1984</v>
      </c>
      <c r="O840" s="8">
        <f t="shared" si="54"/>
        <v>30930</v>
      </c>
      <c r="P840" s="10">
        <v>6933.24</v>
      </c>
      <c r="Q840" t="s">
        <v>2357</v>
      </c>
      <c r="R840" t="s">
        <v>2358</v>
      </c>
      <c r="S840" t="s">
        <v>2364</v>
      </c>
      <c r="T840">
        <f t="shared" ca="1" si="55"/>
        <v>42</v>
      </c>
      <c r="U840">
        <f>VLOOKUP($A840,'Medical Examination'!$A:$Z,2,FALSE)</f>
        <v>38.06</v>
      </c>
    </row>
    <row r="841" spans="1:21" ht="15.5" x14ac:dyDescent="0.35">
      <c r="A841" s="2" t="s">
        <v>841</v>
      </c>
      <c r="B841" s="2" t="s">
        <v>3706</v>
      </c>
      <c r="C841">
        <v>38</v>
      </c>
      <c r="D841">
        <v>8.1300000000000008</v>
      </c>
      <c r="E841" t="s">
        <v>2344</v>
      </c>
      <c r="F841" t="s">
        <v>2344</v>
      </c>
      <c r="G841" t="s">
        <v>2344</v>
      </c>
      <c r="H841">
        <v>0</v>
      </c>
      <c r="I841" t="s">
        <v>2344</v>
      </c>
      <c r="J841" t="str">
        <f t="shared" si="53"/>
        <v>Obesity</v>
      </c>
      <c r="K841" t="str">
        <f t="shared" si="52"/>
        <v>Diabetes</v>
      </c>
      <c r="L841">
        <v>29</v>
      </c>
      <c r="M841" t="s">
        <v>2360</v>
      </c>
      <c r="N841">
        <v>1978</v>
      </c>
      <c r="O841" s="8">
        <f t="shared" si="54"/>
        <v>28823</v>
      </c>
      <c r="P841" s="10">
        <v>6938.11</v>
      </c>
      <c r="Q841" t="s">
        <v>2357</v>
      </c>
      <c r="R841" t="s">
        <v>2357</v>
      </c>
      <c r="S841" t="s">
        <v>2359</v>
      </c>
      <c r="T841">
        <f t="shared" ca="1" si="55"/>
        <v>48</v>
      </c>
      <c r="U841">
        <f>VLOOKUP($A841,'Medical Examination'!$A:$Z,2,FALSE)</f>
        <v>38</v>
      </c>
    </row>
    <row r="842" spans="1:21" ht="15.5" x14ac:dyDescent="0.35">
      <c r="A842" s="2" t="s">
        <v>842</v>
      </c>
      <c r="B842" s="2" t="s">
        <v>3707</v>
      </c>
      <c r="C842">
        <v>35.1</v>
      </c>
      <c r="D842">
        <v>10.1</v>
      </c>
      <c r="E842" t="s">
        <v>2344</v>
      </c>
      <c r="F842" t="s">
        <v>2344</v>
      </c>
      <c r="G842" t="s">
        <v>2344</v>
      </c>
      <c r="H842">
        <v>0</v>
      </c>
      <c r="I842" t="s">
        <v>2344</v>
      </c>
      <c r="J842" t="str">
        <f t="shared" si="53"/>
        <v>Obesity</v>
      </c>
      <c r="K842" t="str">
        <f t="shared" si="52"/>
        <v>Diabetes</v>
      </c>
      <c r="L842">
        <v>30</v>
      </c>
      <c r="M842" t="s">
        <v>2366</v>
      </c>
      <c r="N842">
        <v>1980</v>
      </c>
      <c r="O842" s="8">
        <f t="shared" si="54"/>
        <v>29463</v>
      </c>
      <c r="P842" s="10">
        <v>6940.91</v>
      </c>
      <c r="Q842" t="s">
        <v>2357</v>
      </c>
      <c r="R842" t="s">
        <v>2357</v>
      </c>
      <c r="S842" t="s">
        <v>2364</v>
      </c>
      <c r="T842">
        <f t="shared" ca="1" si="55"/>
        <v>46</v>
      </c>
      <c r="U842">
        <f>VLOOKUP($A842,'Medical Examination'!$A:$Z,2,FALSE)</f>
        <v>35.1</v>
      </c>
    </row>
    <row r="843" spans="1:21" ht="15.5" x14ac:dyDescent="0.35">
      <c r="A843" s="2" t="s">
        <v>843</v>
      </c>
      <c r="B843" s="2" t="s">
        <v>3709</v>
      </c>
      <c r="C843">
        <v>33.82</v>
      </c>
      <c r="D843">
        <v>5.89</v>
      </c>
      <c r="E843" t="s">
        <v>2346</v>
      </c>
      <c r="F843" t="s">
        <v>2344</v>
      </c>
      <c r="G843" t="s">
        <v>2344</v>
      </c>
      <c r="H843">
        <v>1</v>
      </c>
      <c r="I843" t="s">
        <v>2344</v>
      </c>
      <c r="J843" t="str">
        <f t="shared" si="53"/>
        <v>Obesity</v>
      </c>
      <c r="K843" t="str">
        <f t="shared" si="52"/>
        <v>Prediabetes</v>
      </c>
      <c r="L843">
        <v>5</v>
      </c>
      <c r="M843" t="s">
        <v>2367</v>
      </c>
      <c r="N843">
        <v>1980</v>
      </c>
      <c r="O843" s="8">
        <f t="shared" si="54"/>
        <v>29499</v>
      </c>
      <c r="P843" s="10">
        <v>6940.94</v>
      </c>
      <c r="Q843" t="s">
        <v>2357</v>
      </c>
      <c r="R843" t="s">
        <v>2358</v>
      </c>
      <c r="S843" t="s">
        <v>2359</v>
      </c>
      <c r="T843">
        <f t="shared" ca="1" si="55"/>
        <v>46</v>
      </c>
      <c r="U843">
        <f>VLOOKUP($A843,'Medical Examination'!$A:$Z,2,FALSE)</f>
        <v>33.82</v>
      </c>
    </row>
    <row r="844" spans="1:21" ht="15.5" x14ac:dyDescent="0.35">
      <c r="A844" s="2" t="s">
        <v>844</v>
      </c>
      <c r="B844" s="2" t="s">
        <v>3710</v>
      </c>
      <c r="C844">
        <v>37.43</v>
      </c>
      <c r="D844">
        <v>4.97</v>
      </c>
      <c r="E844" t="s">
        <v>2344</v>
      </c>
      <c r="F844" t="s">
        <v>2344</v>
      </c>
      <c r="G844" t="s">
        <v>2344</v>
      </c>
      <c r="H844">
        <v>1</v>
      </c>
      <c r="I844" t="s">
        <v>2344</v>
      </c>
      <c r="J844" t="str">
        <f t="shared" si="53"/>
        <v>Obesity</v>
      </c>
      <c r="K844" t="str">
        <f t="shared" ref="K844:K907" si="56">IF(D844&lt;5.7,"Normal",IF(D844&lt;6.5,"Prediabetes","Diabetes"))</f>
        <v>Normal</v>
      </c>
      <c r="L844">
        <v>15</v>
      </c>
      <c r="M844" t="s">
        <v>2365</v>
      </c>
      <c r="N844">
        <v>1978</v>
      </c>
      <c r="O844" s="8">
        <f t="shared" si="54"/>
        <v>28839</v>
      </c>
      <c r="P844" s="10">
        <v>6948.7</v>
      </c>
      <c r="Q844" t="s">
        <v>2361</v>
      </c>
      <c r="R844" t="s">
        <v>2357</v>
      </c>
      <c r="S844" t="s">
        <v>2364</v>
      </c>
      <c r="T844">
        <f t="shared" ca="1" si="55"/>
        <v>48</v>
      </c>
      <c r="U844">
        <f>VLOOKUP($A844,'Medical Examination'!$A:$Z,2,FALSE)</f>
        <v>37.43</v>
      </c>
    </row>
    <row r="845" spans="1:21" ht="15.5" x14ac:dyDescent="0.35">
      <c r="A845" s="2" t="s">
        <v>845</v>
      </c>
      <c r="B845" s="2" t="s">
        <v>2695</v>
      </c>
      <c r="C845">
        <v>30.5</v>
      </c>
      <c r="D845">
        <v>9.9</v>
      </c>
      <c r="E845" t="s">
        <v>2344</v>
      </c>
      <c r="F845" t="s">
        <v>2344</v>
      </c>
      <c r="G845" t="s">
        <v>2344</v>
      </c>
      <c r="H845">
        <v>0</v>
      </c>
      <c r="I845" t="s">
        <v>2344</v>
      </c>
      <c r="J845" t="str">
        <f t="shared" si="53"/>
        <v>Obesity</v>
      </c>
      <c r="K845" t="str">
        <f t="shared" si="56"/>
        <v>Diabetes</v>
      </c>
      <c r="L845">
        <v>18</v>
      </c>
      <c r="M845" t="s">
        <v>2366</v>
      </c>
      <c r="N845">
        <v>1980</v>
      </c>
      <c r="O845" s="8">
        <f t="shared" si="54"/>
        <v>29451</v>
      </c>
      <c r="P845" s="10">
        <v>6951.12</v>
      </c>
      <c r="Q845" t="s">
        <v>2357</v>
      </c>
      <c r="R845" t="s">
        <v>2357</v>
      </c>
      <c r="S845" t="s">
        <v>2359</v>
      </c>
      <c r="T845">
        <f t="shared" ca="1" si="55"/>
        <v>46</v>
      </c>
      <c r="U845">
        <f>VLOOKUP($A845,'Medical Examination'!$A:$Z,2,FALSE)</f>
        <v>30.5</v>
      </c>
    </row>
    <row r="846" spans="1:21" ht="15.5" x14ac:dyDescent="0.35">
      <c r="A846" s="2" t="s">
        <v>846</v>
      </c>
      <c r="B846" s="2" t="s">
        <v>3711</v>
      </c>
      <c r="C846">
        <v>24.53</v>
      </c>
      <c r="D846">
        <v>9.0500000000000007</v>
      </c>
      <c r="E846" t="s">
        <v>2344</v>
      </c>
      <c r="F846" t="s">
        <v>2344</v>
      </c>
      <c r="G846" t="s">
        <v>2344</v>
      </c>
      <c r="H846">
        <v>0</v>
      </c>
      <c r="I846" t="s">
        <v>2344</v>
      </c>
      <c r="J846" t="str">
        <f t="shared" si="53"/>
        <v>Normal Weight</v>
      </c>
      <c r="K846" t="str">
        <f t="shared" si="56"/>
        <v>Diabetes</v>
      </c>
      <c r="L846">
        <v>3</v>
      </c>
      <c r="M846" t="s">
        <v>2362</v>
      </c>
      <c r="N846">
        <v>1975</v>
      </c>
      <c r="O846" s="8">
        <f t="shared" si="54"/>
        <v>27548</v>
      </c>
      <c r="P846" s="10">
        <v>6965.21</v>
      </c>
      <c r="Q846" t="s">
        <v>2357</v>
      </c>
      <c r="R846" t="s">
        <v>2358</v>
      </c>
      <c r="S846" t="s">
        <v>2359</v>
      </c>
      <c r="T846">
        <f t="shared" ca="1" si="55"/>
        <v>51</v>
      </c>
      <c r="U846">
        <f>VLOOKUP($A846,'Medical Examination'!$A:$Z,2,FALSE)</f>
        <v>24.53</v>
      </c>
    </row>
    <row r="847" spans="1:21" ht="15.5" x14ac:dyDescent="0.35">
      <c r="A847" s="2" t="s">
        <v>847</v>
      </c>
      <c r="B847" s="2" t="s">
        <v>3713</v>
      </c>
      <c r="C847">
        <v>25.74</v>
      </c>
      <c r="D847">
        <v>10.93</v>
      </c>
      <c r="E847" t="s">
        <v>2344</v>
      </c>
      <c r="F847" t="s">
        <v>2344</v>
      </c>
      <c r="G847" t="s">
        <v>2344</v>
      </c>
      <c r="H847">
        <v>0</v>
      </c>
      <c r="I847" t="s">
        <v>2344</v>
      </c>
      <c r="J847" t="str">
        <f t="shared" si="53"/>
        <v>Over weight</v>
      </c>
      <c r="K847" t="str">
        <f t="shared" si="56"/>
        <v>Diabetes</v>
      </c>
      <c r="L847">
        <v>10</v>
      </c>
      <c r="M847" t="s">
        <v>2365</v>
      </c>
      <c r="N847">
        <v>1985</v>
      </c>
      <c r="O847" s="8">
        <f t="shared" si="54"/>
        <v>31391</v>
      </c>
      <c r="P847" s="10">
        <v>6985.51</v>
      </c>
      <c r="Q847" t="s">
        <v>2357</v>
      </c>
      <c r="R847" t="s">
        <v>2357</v>
      </c>
      <c r="S847" t="s">
        <v>2370</v>
      </c>
      <c r="T847">
        <f t="shared" ca="1" si="55"/>
        <v>41</v>
      </c>
      <c r="U847">
        <f>VLOOKUP($A847,'Medical Examination'!$A:$Z,2,FALSE)</f>
        <v>25.74</v>
      </c>
    </row>
    <row r="848" spans="1:21" ht="15.5" x14ac:dyDescent="0.35">
      <c r="A848" s="2" t="s">
        <v>848</v>
      </c>
      <c r="B848" s="2" t="s">
        <v>3715</v>
      </c>
      <c r="C848">
        <v>34.08</v>
      </c>
      <c r="D848">
        <v>7.58</v>
      </c>
      <c r="E848" t="s">
        <v>2346</v>
      </c>
      <c r="F848" t="s">
        <v>2344</v>
      </c>
      <c r="G848" t="s">
        <v>2344</v>
      </c>
      <c r="H848">
        <v>1</v>
      </c>
      <c r="I848" t="s">
        <v>2344</v>
      </c>
      <c r="J848" t="str">
        <f t="shared" si="53"/>
        <v>Obesity</v>
      </c>
      <c r="K848" t="str">
        <f t="shared" si="56"/>
        <v>Diabetes</v>
      </c>
      <c r="L848">
        <v>18</v>
      </c>
      <c r="M848" t="s">
        <v>2367</v>
      </c>
      <c r="N848">
        <v>1982</v>
      </c>
      <c r="O848" s="8">
        <f t="shared" si="54"/>
        <v>30242</v>
      </c>
      <c r="P848" s="10">
        <v>6986.7</v>
      </c>
      <c r="Q848" t="s">
        <v>2358</v>
      </c>
      <c r="R848" t="s">
        <v>2361</v>
      </c>
      <c r="S848" t="s">
        <v>2364</v>
      </c>
      <c r="T848">
        <f t="shared" ca="1" si="55"/>
        <v>44</v>
      </c>
      <c r="U848">
        <f>VLOOKUP($A848,'Medical Examination'!$A:$Z,2,FALSE)</f>
        <v>34.08</v>
      </c>
    </row>
    <row r="849" spans="1:21" ht="15.5" x14ac:dyDescent="0.35">
      <c r="A849" s="2" t="s">
        <v>849</v>
      </c>
      <c r="B849" s="2" t="s">
        <v>3717</v>
      </c>
      <c r="C849">
        <v>31.35</v>
      </c>
      <c r="D849">
        <v>11</v>
      </c>
      <c r="E849" t="s">
        <v>2346</v>
      </c>
      <c r="F849" t="s">
        <v>2344</v>
      </c>
      <c r="G849" t="s">
        <v>2346</v>
      </c>
      <c r="H849">
        <v>1</v>
      </c>
      <c r="I849" t="s">
        <v>2344</v>
      </c>
      <c r="J849" t="str">
        <f t="shared" si="53"/>
        <v>Obesity</v>
      </c>
      <c r="K849" t="str">
        <f t="shared" si="56"/>
        <v>Diabetes</v>
      </c>
      <c r="L849">
        <v>1</v>
      </c>
      <c r="M849" t="s">
        <v>2363</v>
      </c>
      <c r="N849">
        <v>1982</v>
      </c>
      <c r="O849" s="8">
        <f t="shared" si="54"/>
        <v>30195</v>
      </c>
      <c r="P849" s="10">
        <v>6989.95</v>
      </c>
      <c r="Q849" t="s">
        <v>2357</v>
      </c>
      <c r="R849" t="s">
        <v>2361</v>
      </c>
      <c r="S849" t="s">
        <v>2359</v>
      </c>
      <c r="T849">
        <f t="shared" ca="1" si="55"/>
        <v>44</v>
      </c>
      <c r="U849">
        <f>VLOOKUP($A849,'Medical Examination'!$A:$Z,2,FALSE)</f>
        <v>31.35</v>
      </c>
    </row>
    <row r="850" spans="1:21" ht="15.5" x14ac:dyDescent="0.35">
      <c r="A850" s="2" t="s">
        <v>850</v>
      </c>
      <c r="B850" s="2" t="s">
        <v>3718</v>
      </c>
      <c r="C850">
        <v>26.79</v>
      </c>
      <c r="D850">
        <v>5.0599999999999996</v>
      </c>
      <c r="E850" t="s">
        <v>2344</v>
      </c>
      <c r="F850" t="s">
        <v>2344</v>
      </c>
      <c r="G850" t="s">
        <v>2344</v>
      </c>
      <c r="H850">
        <v>1</v>
      </c>
      <c r="I850" t="s">
        <v>2344</v>
      </c>
      <c r="J850" t="str">
        <f t="shared" si="53"/>
        <v>Over weight</v>
      </c>
      <c r="K850" t="str">
        <f t="shared" si="56"/>
        <v>Normal</v>
      </c>
      <c r="L850">
        <v>6</v>
      </c>
      <c r="M850" t="s">
        <v>2356</v>
      </c>
      <c r="N850">
        <v>1969</v>
      </c>
      <c r="O850" s="8">
        <f t="shared" si="54"/>
        <v>25390</v>
      </c>
      <c r="P850" s="10">
        <v>7003.1</v>
      </c>
      <c r="Q850" t="s">
        <v>2357</v>
      </c>
      <c r="R850" t="s">
        <v>2358</v>
      </c>
      <c r="S850" t="s">
        <v>2359</v>
      </c>
      <c r="T850">
        <f t="shared" ca="1" si="55"/>
        <v>57</v>
      </c>
      <c r="U850">
        <f>VLOOKUP($A850,'Medical Examination'!$A:$Z,2,FALSE)</f>
        <v>26.79</v>
      </c>
    </row>
    <row r="851" spans="1:21" ht="15.5" x14ac:dyDescent="0.35">
      <c r="A851" s="2" t="s">
        <v>851</v>
      </c>
      <c r="B851" s="2" t="s">
        <v>3719</v>
      </c>
      <c r="C851">
        <v>42.78</v>
      </c>
      <c r="D851">
        <v>6.11</v>
      </c>
      <c r="E851" t="s">
        <v>2346</v>
      </c>
      <c r="F851" t="s">
        <v>2344</v>
      </c>
      <c r="G851" t="s">
        <v>2344</v>
      </c>
      <c r="H851">
        <v>1</v>
      </c>
      <c r="I851" t="s">
        <v>2344</v>
      </c>
      <c r="J851" t="str">
        <f t="shared" si="53"/>
        <v>Obesity</v>
      </c>
      <c r="K851" t="str">
        <f t="shared" si="56"/>
        <v>Prediabetes</v>
      </c>
      <c r="L851">
        <v>2</v>
      </c>
      <c r="M851" t="s">
        <v>2362</v>
      </c>
      <c r="N851">
        <v>1978</v>
      </c>
      <c r="O851" s="8">
        <f t="shared" si="54"/>
        <v>28643</v>
      </c>
      <c r="P851" s="10">
        <v>7033.08</v>
      </c>
      <c r="Q851" t="s">
        <v>2357</v>
      </c>
      <c r="R851" t="s">
        <v>2357</v>
      </c>
      <c r="S851" t="s">
        <v>2359</v>
      </c>
      <c r="T851">
        <f t="shared" ca="1" si="55"/>
        <v>48</v>
      </c>
      <c r="U851">
        <f>VLOOKUP($A851,'Medical Examination'!$A:$Z,2,FALSE)</f>
        <v>42.78</v>
      </c>
    </row>
    <row r="852" spans="1:21" ht="15.5" x14ac:dyDescent="0.35">
      <c r="A852" s="2" t="s">
        <v>852</v>
      </c>
      <c r="B852" s="2" t="s">
        <v>3720</v>
      </c>
      <c r="C852">
        <v>46.75</v>
      </c>
      <c r="D852">
        <v>6.66</v>
      </c>
      <c r="E852" t="s">
        <v>2346</v>
      </c>
      <c r="F852" t="s">
        <v>2344</v>
      </c>
      <c r="G852" t="s">
        <v>2344</v>
      </c>
      <c r="H852">
        <v>1</v>
      </c>
      <c r="I852" t="s">
        <v>2344</v>
      </c>
      <c r="J852" t="str">
        <f t="shared" si="53"/>
        <v>Obesity</v>
      </c>
      <c r="K852" t="str">
        <f t="shared" si="56"/>
        <v>Diabetes</v>
      </c>
      <c r="L852">
        <v>29</v>
      </c>
      <c r="M852" t="s">
        <v>2367</v>
      </c>
      <c r="N852">
        <v>1995</v>
      </c>
      <c r="O852" s="8">
        <f t="shared" si="54"/>
        <v>35001</v>
      </c>
      <c r="P852" s="10">
        <v>7042.11</v>
      </c>
      <c r="Q852" t="s">
        <v>2357</v>
      </c>
      <c r="R852" t="s">
        <v>2358</v>
      </c>
      <c r="S852" t="s">
        <v>2364</v>
      </c>
      <c r="T852">
        <f t="shared" ca="1" si="55"/>
        <v>31</v>
      </c>
      <c r="U852">
        <f>VLOOKUP($A852,'Medical Examination'!$A:$Z,2,FALSE)</f>
        <v>46.75</v>
      </c>
    </row>
    <row r="853" spans="1:21" ht="15.5" x14ac:dyDescent="0.35">
      <c r="A853" s="2" t="s">
        <v>853</v>
      </c>
      <c r="B853" s="2" t="s">
        <v>3722</v>
      </c>
      <c r="C853">
        <v>32.15</v>
      </c>
      <c r="D853">
        <v>4.0199999999999996</v>
      </c>
      <c r="E853" t="s">
        <v>2346</v>
      </c>
      <c r="F853" t="s">
        <v>2344</v>
      </c>
      <c r="G853" t="s">
        <v>2346</v>
      </c>
      <c r="H853">
        <v>1</v>
      </c>
      <c r="I853" t="s">
        <v>2344</v>
      </c>
      <c r="J853" t="str">
        <f t="shared" si="53"/>
        <v>Obesity</v>
      </c>
      <c r="K853" t="str">
        <f t="shared" si="56"/>
        <v>Normal</v>
      </c>
      <c r="L853">
        <v>26</v>
      </c>
      <c r="M853" t="s">
        <v>2356</v>
      </c>
      <c r="N853">
        <v>1980</v>
      </c>
      <c r="O853" s="8">
        <f t="shared" si="54"/>
        <v>29428</v>
      </c>
      <c r="P853" s="10">
        <v>7045.5</v>
      </c>
      <c r="Q853" t="s">
        <v>2357</v>
      </c>
      <c r="R853" t="s">
        <v>2361</v>
      </c>
      <c r="S853" t="s">
        <v>2368</v>
      </c>
      <c r="T853">
        <f t="shared" ca="1" si="55"/>
        <v>46</v>
      </c>
      <c r="U853">
        <f>VLOOKUP($A853,'Medical Examination'!$A:$Z,2,FALSE)</f>
        <v>32.15</v>
      </c>
    </row>
    <row r="854" spans="1:21" ht="15.5" x14ac:dyDescent="0.35">
      <c r="A854" s="2" t="s">
        <v>854</v>
      </c>
      <c r="B854" s="2" t="s">
        <v>2752</v>
      </c>
      <c r="C854">
        <v>43.4</v>
      </c>
      <c r="D854">
        <v>8.81</v>
      </c>
      <c r="E854" t="s">
        <v>2346</v>
      </c>
      <c r="F854" t="s">
        <v>2344</v>
      </c>
      <c r="G854" t="s">
        <v>2344</v>
      </c>
      <c r="H854">
        <v>1</v>
      </c>
      <c r="I854" t="s">
        <v>2344</v>
      </c>
      <c r="J854" t="str">
        <f t="shared" si="53"/>
        <v>Obesity</v>
      </c>
      <c r="K854" t="str">
        <f t="shared" si="56"/>
        <v>Diabetes</v>
      </c>
      <c r="L854">
        <v>22</v>
      </c>
      <c r="M854" t="s">
        <v>2367</v>
      </c>
      <c r="N854">
        <v>1980</v>
      </c>
      <c r="O854" s="8">
        <f t="shared" si="54"/>
        <v>29516</v>
      </c>
      <c r="P854" s="10">
        <v>7046.72</v>
      </c>
      <c r="Q854" t="s">
        <v>2357</v>
      </c>
      <c r="R854" t="s">
        <v>2358</v>
      </c>
      <c r="S854" t="s">
        <v>2359</v>
      </c>
      <c r="T854">
        <f t="shared" ca="1" si="55"/>
        <v>46</v>
      </c>
      <c r="U854">
        <f>VLOOKUP($A854,'Medical Examination'!$A:$Z,2,FALSE)</f>
        <v>43.4</v>
      </c>
    </row>
    <row r="855" spans="1:21" ht="15.5" x14ac:dyDescent="0.35">
      <c r="A855" s="2" t="s">
        <v>855</v>
      </c>
      <c r="B855" s="2" t="s">
        <v>3723</v>
      </c>
      <c r="C855">
        <v>31.57</v>
      </c>
      <c r="D855">
        <v>7.92</v>
      </c>
      <c r="E855" t="s">
        <v>2346</v>
      </c>
      <c r="F855" t="s">
        <v>2344</v>
      </c>
      <c r="G855" t="s">
        <v>2344</v>
      </c>
      <c r="H855">
        <v>1</v>
      </c>
      <c r="I855" t="s">
        <v>2344</v>
      </c>
      <c r="J855" t="str">
        <f t="shared" si="53"/>
        <v>Obesity</v>
      </c>
      <c r="K855" t="str">
        <f t="shared" si="56"/>
        <v>Diabetes</v>
      </c>
      <c r="L855">
        <v>21</v>
      </c>
      <c r="M855" t="s">
        <v>2356</v>
      </c>
      <c r="N855">
        <v>1980</v>
      </c>
      <c r="O855" s="8">
        <f t="shared" si="54"/>
        <v>29423</v>
      </c>
      <c r="P855" s="10">
        <v>7050.02</v>
      </c>
      <c r="Q855" t="s">
        <v>2357</v>
      </c>
      <c r="R855" t="s">
        <v>2361</v>
      </c>
      <c r="S855" t="s">
        <v>2374</v>
      </c>
      <c r="T855">
        <f t="shared" ca="1" si="55"/>
        <v>46</v>
      </c>
      <c r="U855">
        <f>VLOOKUP($A855,'Medical Examination'!$A:$Z,2,FALSE)</f>
        <v>31.57</v>
      </c>
    </row>
    <row r="856" spans="1:21" ht="15.5" x14ac:dyDescent="0.35">
      <c r="A856" s="2" t="s">
        <v>856</v>
      </c>
      <c r="B856" s="2" t="s">
        <v>3725</v>
      </c>
      <c r="C856">
        <v>24.32</v>
      </c>
      <c r="D856">
        <v>7.48</v>
      </c>
      <c r="E856" t="s">
        <v>2344</v>
      </c>
      <c r="F856" t="s">
        <v>2344</v>
      </c>
      <c r="G856" t="s">
        <v>2344</v>
      </c>
      <c r="H856">
        <v>0</v>
      </c>
      <c r="I856" t="s">
        <v>2344</v>
      </c>
      <c r="J856" t="str">
        <f t="shared" si="53"/>
        <v>Normal Weight</v>
      </c>
      <c r="K856" t="str">
        <f t="shared" si="56"/>
        <v>Diabetes</v>
      </c>
      <c r="L856">
        <v>28</v>
      </c>
      <c r="M856" t="s">
        <v>2362</v>
      </c>
      <c r="N856">
        <v>1980</v>
      </c>
      <c r="O856" s="8">
        <f t="shared" si="54"/>
        <v>29400</v>
      </c>
      <c r="P856" s="10">
        <v>7050.64</v>
      </c>
      <c r="Q856" t="s">
        <v>2357</v>
      </c>
      <c r="R856" t="s">
        <v>2358</v>
      </c>
      <c r="S856" t="s">
        <v>2368</v>
      </c>
      <c r="T856">
        <f t="shared" ca="1" si="55"/>
        <v>46</v>
      </c>
      <c r="U856">
        <f>VLOOKUP($A856,'Medical Examination'!$A:$Z,2,FALSE)</f>
        <v>24.32</v>
      </c>
    </row>
    <row r="857" spans="1:21" ht="15.5" x14ac:dyDescent="0.35">
      <c r="A857" s="2" t="s">
        <v>857</v>
      </c>
      <c r="B857" s="2" t="s">
        <v>3726</v>
      </c>
      <c r="C857">
        <v>31.07</v>
      </c>
      <c r="D857">
        <v>4.62</v>
      </c>
      <c r="E857" t="s">
        <v>2346</v>
      </c>
      <c r="F857" t="s">
        <v>2344</v>
      </c>
      <c r="G857" t="s">
        <v>2344</v>
      </c>
      <c r="H857">
        <v>1</v>
      </c>
      <c r="I857" t="s">
        <v>2344</v>
      </c>
      <c r="J857" t="str">
        <f t="shared" si="53"/>
        <v>Obesity</v>
      </c>
      <c r="K857" t="str">
        <f t="shared" si="56"/>
        <v>Normal</v>
      </c>
      <c r="L857">
        <v>24</v>
      </c>
      <c r="M857" t="s">
        <v>2362</v>
      </c>
      <c r="N857">
        <v>1978</v>
      </c>
      <c r="O857" s="8">
        <f t="shared" si="54"/>
        <v>28665</v>
      </c>
      <c r="P857" s="10">
        <v>7054.41</v>
      </c>
      <c r="Q857" t="s">
        <v>2357</v>
      </c>
      <c r="R857" t="s">
        <v>2357</v>
      </c>
      <c r="S857" t="s">
        <v>2359</v>
      </c>
      <c r="T857">
        <f t="shared" ca="1" si="55"/>
        <v>48</v>
      </c>
      <c r="U857">
        <f>VLOOKUP($A857,'Medical Examination'!$A:$Z,2,FALSE)</f>
        <v>31.07</v>
      </c>
    </row>
    <row r="858" spans="1:21" ht="15.5" x14ac:dyDescent="0.35">
      <c r="A858" s="2" t="s">
        <v>858</v>
      </c>
      <c r="B858" s="2" t="s">
        <v>3727</v>
      </c>
      <c r="C858">
        <v>35.814999999999998</v>
      </c>
      <c r="D858">
        <v>8.4700000000000006</v>
      </c>
      <c r="E858" t="s">
        <v>2344</v>
      </c>
      <c r="F858" t="s">
        <v>2344</v>
      </c>
      <c r="G858" t="s">
        <v>2344</v>
      </c>
      <c r="H858">
        <v>0</v>
      </c>
      <c r="I858" t="s">
        <v>2344</v>
      </c>
      <c r="J858" t="str">
        <f t="shared" si="53"/>
        <v>Obesity</v>
      </c>
      <c r="K858" t="str">
        <f t="shared" si="56"/>
        <v>Diabetes</v>
      </c>
      <c r="L858">
        <v>6</v>
      </c>
      <c r="M858" t="s">
        <v>2367</v>
      </c>
      <c r="N858">
        <v>1982</v>
      </c>
      <c r="O858" s="8">
        <f t="shared" si="54"/>
        <v>30230</v>
      </c>
      <c r="P858" s="10">
        <v>7077.19</v>
      </c>
      <c r="Q858" t="s">
        <v>2357</v>
      </c>
      <c r="R858" t="s">
        <v>2358</v>
      </c>
      <c r="S858" t="s">
        <v>2374</v>
      </c>
      <c r="T858">
        <f t="shared" ca="1" si="55"/>
        <v>44</v>
      </c>
      <c r="U858">
        <f>VLOOKUP($A858,'Medical Examination'!$A:$Z,2,FALSE)</f>
        <v>35.814999999999998</v>
      </c>
    </row>
    <row r="859" spans="1:21" ht="15.5" x14ac:dyDescent="0.35">
      <c r="A859" s="2" t="s">
        <v>859</v>
      </c>
      <c r="B859" s="2" t="s">
        <v>3728</v>
      </c>
      <c r="C859">
        <v>40.81</v>
      </c>
      <c r="D859">
        <v>10.58</v>
      </c>
      <c r="E859" t="s">
        <v>2346</v>
      </c>
      <c r="F859" t="s">
        <v>2344</v>
      </c>
      <c r="G859" t="s">
        <v>2344</v>
      </c>
      <c r="H859">
        <v>0</v>
      </c>
      <c r="I859" t="s">
        <v>2344</v>
      </c>
      <c r="J859" t="str">
        <f t="shared" si="53"/>
        <v>Obesity</v>
      </c>
      <c r="K859" t="str">
        <f t="shared" si="56"/>
        <v>Diabetes</v>
      </c>
      <c r="L859">
        <v>18</v>
      </c>
      <c r="M859" t="s">
        <v>2362</v>
      </c>
      <c r="N859">
        <v>1992</v>
      </c>
      <c r="O859" s="8">
        <f t="shared" si="54"/>
        <v>33773</v>
      </c>
      <c r="P859" s="10">
        <v>7096.98</v>
      </c>
      <c r="Q859" t="s">
        <v>2357</v>
      </c>
      <c r="R859" t="s">
        <v>2357</v>
      </c>
      <c r="S859" t="s">
        <v>2364</v>
      </c>
      <c r="T859">
        <f t="shared" ca="1" si="55"/>
        <v>34</v>
      </c>
      <c r="U859">
        <f>VLOOKUP($A859,'Medical Examination'!$A:$Z,2,FALSE)</f>
        <v>40.81</v>
      </c>
    </row>
    <row r="860" spans="1:21" ht="15.5" x14ac:dyDescent="0.35">
      <c r="A860" s="2" t="s">
        <v>860</v>
      </c>
      <c r="B860" s="2" t="s">
        <v>3729</v>
      </c>
      <c r="C860">
        <v>24.605</v>
      </c>
      <c r="D860">
        <v>7.48</v>
      </c>
      <c r="E860" t="s">
        <v>2344</v>
      </c>
      <c r="F860" t="s">
        <v>2344</v>
      </c>
      <c r="G860" t="s">
        <v>2344</v>
      </c>
      <c r="H860">
        <v>0</v>
      </c>
      <c r="I860" t="s">
        <v>2344</v>
      </c>
      <c r="J860" t="str">
        <f t="shared" si="53"/>
        <v>Normal Weight</v>
      </c>
      <c r="K860" t="str">
        <f t="shared" si="56"/>
        <v>Diabetes</v>
      </c>
      <c r="L860">
        <v>11</v>
      </c>
      <c r="M860" t="s">
        <v>2366</v>
      </c>
      <c r="N860">
        <v>1987</v>
      </c>
      <c r="O860" s="8">
        <f t="shared" si="54"/>
        <v>32000</v>
      </c>
      <c r="P860" s="10">
        <v>7106.81</v>
      </c>
      <c r="Q860" t="s">
        <v>2357</v>
      </c>
      <c r="R860" t="s">
        <v>2361</v>
      </c>
      <c r="S860" t="s">
        <v>2364</v>
      </c>
      <c r="T860">
        <f t="shared" ca="1" si="55"/>
        <v>39</v>
      </c>
      <c r="U860">
        <f>VLOOKUP($A860,'Medical Examination'!$A:$Z,2,FALSE)</f>
        <v>24.605</v>
      </c>
    </row>
    <row r="861" spans="1:21" ht="15.5" x14ac:dyDescent="0.35">
      <c r="A861" s="2" t="s">
        <v>861</v>
      </c>
      <c r="B861" s="2" t="s">
        <v>3731</v>
      </c>
      <c r="C861">
        <v>21.47</v>
      </c>
      <c r="D861">
        <v>7.82</v>
      </c>
      <c r="E861" t="s">
        <v>2344</v>
      </c>
      <c r="F861" t="s">
        <v>2344</v>
      </c>
      <c r="G861" t="s">
        <v>2344</v>
      </c>
      <c r="H861">
        <v>0</v>
      </c>
      <c r="I861" t="s">
        <v>2344</v>
      </c>
      <c r="J861" t="str">
        <f t="shared" si="53"/>
        <v>Normal Weight</v>
      </c>
      <c r="K861" t="str">
        <f t="shared" si="56"/>
        <v>Diabetes</v>
      </c>
      <c r="L861">
        <v>29</v>
      </c>
      <c r="M861" t="s">
        <v>2362</v>
      </c>
      <c r="N861">
        <v>1968</v>
      </c>
      <c r="O861" s="8">
        <f t="shared" si="54"/>
        <v>25018</v>
      </c>
      <c r="P861" s="10">
        <v>7125.25</v>
      </c>
      <c r="Q861" t="s">
        <v>2358</v>
      </c>
      <c r="R861" t="s">
        <v>2357</v>
      </c>
      <c r="S861" t="s">
        <v>2359</v>
      </c>
      <c r="T861">
        <f t="shared" ca="1" si="55"/>
        <v>58</v>
      </c>
      <c r="U861">
        <f>VLOOKUP($A861,'Medical Examination'!$A:$Z,2,FALSE)</f>
        <v>21.47</v>
      </c>
    </row>
    <row r="862" spans="1:21" ht="15.5" x14ac:dyDescent="0.35">
      <c r="A862" s="2" t="s">
        <v>862</v>
      </c>
      <c r="B862" s="2" t="s">
        <v>3733</v>
      </c>
      <c r="C862">
        <v>52.89</v>
      </c>
      <c r="D862">
        <v>4.96</v>
      </c>
      <c r="E862" t="s">
        <v>2346</v>
      </c>
      <c r="F862" t="s">
        <v>2344</v>
      </c>
      <c r="G862" t="s">
        <v>2344</v>
      </c>
      <c r="H862">
        <v>1</v>
      </c>
      <c r="I862" t="s">
        <v>2344</v>
      </c>
      <c r="J862" t="str">
        <f t="shared" si="53"/>
        <v>Obesity</v>
      </c>
      <c r="K862" t="str">
        <f t="shared" si="56"/>
        <v>Normal</v>
      </c>
      <c r="L862">
        <v>1</v>
      </c>
      <c r="M862" t="s">
        <v>2366</v>
      </c>
      <c r="N862">
        <v>1993</v>
      </c>
      <c r="O862" s="8">
        <f t="shared" si="54"/>
        <v>34182</v>
      </c>
      <c r="P862" s="10">
        <v>7128.64</v>
      </c>
      <c r="Q862" t="s">
        <v>2357</v>
      </c>
      <c r="R862" t="s">
        <v>2357</v>
      </c>
      <c r="S862" t="s">
        <v>2377</v>
      </c>
      <c r="T862">
        <f t="shared" ca="1" si="55"/>
        <v>33</v>
      </c>
      <c r="U862">
        <f>VLOOKUP($A862,'Medical Examination'!$A:$Z,2,FALSE)</f>
        <v>52.89</v>
      </c>
    </row>
    <row r="863" spans="1:21" ht="15.5" x14ac:dyDescent="0.35">
      <c r="A863" s="2" t="s">
        <v>863</v>
      </c>
      <c r="B863" s="2" t="s">
        <v>3734</v>
      </c>
      <c r="C863">
        <v>32.965000000000003</v>
      </c>
      <c r="D863">
        <v>6.15</v>
      </c>
      <c r="E863" t="s">
        <v>2346</v>
      </c>
      <c r="F863" t="s">
        <v>2344</v>
      </c>
      <c r="G863" t="s">
        <v>2344</v>
      </c>
      <c r="H863">
        <v>1</v>
      </c>
      <c r="I863" t="s">
        <v>2344</v>
      </c>
      <c r="J863" t="str">
        <f t="shared" si="53"/>
        <v>Obesity</v>
      </c>
      <c r="K863" t="str">
        <f t="shared" si="56"/>
        <v>Prediabetes</v>
      </c>
      <c r="L863">
        <v>7</v>
      </c>
      <c r="M863" t="s">
        <v>2356</v>
      </c>
      <c r="N863">
        <v>1984</v>
      </c>
      <c r="O863" s="8">
        <f t="shared" si="54"/>
        <v>30870</v>
      </c>
      <c r="P863" s="10">
        <v>7133.9</v>
      </c>
      <c r="Q863" t="s">
        <v>2357</v>
      </c>
      <c r="R863" t="s">
        <v>2361</v>
      </c>
      <c r="S863" t="s">
        <v>2374</v>
      </c>
      <c r="T863">
        <f t="shared" ca="1" si="55"/>
        <v>42</v>
      </c>
      <c r="U863">
        <f>VLOOKUP($A863,'Medical Examination'!$A:$Z,2,FALSE)</f>
        <v>32.965000000000003</v>
      </c>
    </row>
    <row r="864" spans="1:21" ht="15.5" x14ac:dyDescent="0.35">
      <c r="A864" s="2" t="s">
        <v>864</v>
      </c>
      <c r="B864" s="2" t="s">
        <v>3735</v>
      </c>
      <c r="C864">
        <v>36.799999999999997</v>
      </c>
      <c r="D864">
        <v>4.62</v>
      </c>
      <c r="E864" t="s">
        <v>2344</v>
      </c>
      <c r="F864" t="s">
        <v>2344</v>
      </c>
      <c r="G864" t="s">
        <v>2346</v>
      </c>
      <c r="H864">
        <v>1</v>
      </c>
      <c r="I864" t="s">
        <v>2344</v>
      </c>
      <c r="J864" t="str">
        <f t="shared" si="53"/>
        <v>Obesity</v>
      </c>
      <c r="K864" t="str">
        <f t="shared" si="56"/>
        <v>Normal</v>
      </c>
      <c r="L864">
        <v>8</v>
      </c>
      <c r="M864" t="s">
        <v>2366</v>
      </c>
      <c r="N864">
        <v>1999</v>
      </c>
      <c r="O864" s="8">
        <f t="shared" si="54"/>
        <v>36380</v>
      </c>
      <c r="P864" s="10">
        <v>7144.4</v>
      </c>
      <c r="Q864" t="s">
        <v>2357</v>
      </c>
      <c r="R864" t="s">
        <v>2361</v>
      </c>
      <c r="S864" t="s">
        <v>2381</v>
      </c>
      <c r="T864">
        <f t="shared" ca="1" si="55"/>
        <v>27</v>
      </c>
      <c r="U864">
        <f>VLOOKUP($A864,'Medical Examination'!$A:$Z,2,FALSE)</f>
        <v>36.799999999999997</v>
      </c>
    </row>
    <row r="865" spans="1:21" ht="15.5" x14ac:dyDescent="0.35">
      <c r="A865" s="2" t="s">
        <v>865</v>
      </c>
      <c r="B865" s="2" t="s">
        <v>3736</v>
      </c>
      <c r="C865">
        <v>34.299999999999997</v>
      </c>
      <c r="D865">
        <v>4.87</v>
      </c>
      <c r="E865" t="s">
        <v>2344</v>
      </c>
      <c r="F865" t="s">
        <v>2344</v>
      </c>
      <c r="G865" t="s">
        <v>2344</v>
      </c>
      <c r="H865">
        <v>1</v>
      </c>
      <c r="I865" t="s">
        <v>2344</v>
      </c>
      <c r="J865" t="str">
        <f t="shared" si="53"/>
        <v>Obesity</v>
      </c>
      <c r="K865" t="str">
        <f t="shared" si="56"/>
        <v>Normal</v>
      </c>
      <c r="L865">
        <v>21</v>
      </c>
      <c r="M865" t="s">
        <v>2360</v>
      </c>
      <c r="N865">
        <v>1984</v>
      </c>
      <c r="O865" s="8">
        <f t="shared" si="54"/>
        <v>31007</v>
      </c>
      <c r="P865" s="10">
        <v>7144.86</v>
      </c>
      <c r="Q865" t="s">
        <v>2357</v>
      </c>
      <c r="R865" t="s">
        <v>2357</v>
      </c>
      <c r="S865" t="s">
        <v>2374</v>
      </c>
      <c r="T865">
        <f t="shared" ca="1" si="55"/>
        <v>42</v>
      </c>
      <c r="U865">
        <f>VLOOKUP($A865,'Medical Examination'!$A:$Z,2,FALSE)</f>
        <v>34.299999999999997</v>
      </c>
    </row>
    <row r="866" spans="1:21" ht="15.5" x14ac:dyDescent="0.35">
      <c r="A866" s="2" t="s">
        <v>866</v>
      </c>
      <c r="B866" s="2" t="s">
        <v>3737</v>
      </c>
      <c r="C866">
        <v>35.244999999999997</v>
      </c>
      <c r="D866">
        <v>4.63</v>
      </c>
      <c r="E866" t="s">
        <v>2344</v>
      </c>
      <c r="F866" t="s">
        <v>2344</v>
      </c>
      <c r="G866" t="s">
        <v>2344</v>
      </c>
      <c r="H866">
        <v>0</v>
      </c>
      <c r="I866" t="s">
        <v>2344</v>
      </c>
      <c r="J866" t="str">
        <f t="shared" si="53"/>
        <v>Obesity</v>
      </c>
      <c r="K866" t="str">
        <f t="shared" si="56"/>
        <v>Normal</v>
      </c>
      <c r="L866">
        <v>24</v>
      </c>
      <c r="M866" t="s">
        <v>2362</v>
      </c>
      <c r="N866">
        <v>1976</v>
      </c>
      <c r="O866" s="8">
        <f t="shared" si="54"/>
        <v>27935</v>
      </c>
      <c r="P866" s="10">
        <v>7147.11</v>
      </c>
      <c r="Q866" t="s">
        <v>2358</v>
      </c>
      <c r="R866" t="s">
        <v>2357</v>
      </c>
      <c r="S866" t="s">
        <v>2368</v>
      </c>
      <c r="T866">
        <f t="shared" ca="1" si="55"/>
        <v>50</v>
      </c>
      <c r="U866">
        <f>VLOOKUP($A866,'Medical Examination'!$A:$Z,2,FALSE)</f>
        <v>35.244999999999997</v>
      </c>
    </row>
    <row r="867" spans="1:21" ht="15.5" x14ac:dyDescent="0.35">
      <c r="A867" s="2" t="s">
        <v>867</v>
      </c>
      <c r="B867" s="2" t="s">
        <v>3738</v>
      </c>
      <c r="C867">
        <v>26.23</v>
      </c>
      <c r="D867">
        <v>11.93</v>
      </c>
      <c r="E867" t="s">
        <v>2344</v>
      </c>
      <c r="F867" t="s">
        <v>2344</v>
      </c>
      <c r="G867" t="s">
        <v>2344</v>
      </c>
      <c r="H867">
        <v>0</v>
      </c>
      <c r="I867" t="s">
        <v>2344</v>
      </c>
      <c r="J867" t="str">
        <f t="shared" si="53"/>
        <v>Over weight</v>
      </c>
      <c r="K867" t="str">
        <f t="shared" si="56"/>
        <v>Diabetes</v>
      </c>
      <c r="L867">
        <v>30</v>
      </c>
      <c r="M867" t="s">
        <v>2356</v>
      </c>
      <c r="N867">
        <v>1978</v>
      </c>
      <c r="O867" s="8">
        <f t="shared" si="54"/>
        <v>28701</v>
      </c>
      <c r="P867" s="10">
        <v>7147.47</v>
      </c>
      <c r="Q867" t="s">
        <v>2357</v>
      </c>
      <c r="R867" t="s">
        <v>2358</v>
      </c>
      <c r="S867" t="s">
        <v>2359</v>
      </c>
      <c r="T867">
        <f t="shared" ca="1" si="55"/>
        <v>48</v>
      </c>
      <c r="U867">
        <f>VLOOKUP($A867,'Medical Examination'!$A:$Z,2,FALSE)</f>
        <v>26.23</v>
      </c>
    </row>
    <row r="868" spans="1:21" ht="15.5" x14ac:dyDescent="0.35">
      <c r="A868" s="2" t="s">
        <v>868</v>
      </c>
      <c r="B868" s="2" t="s">
        <v>3739</v>
      </c>
      <c r="C868">
        <v>36.1</v>
      </c>
      <c r="D868">
        <v>5.65</v>
      </c>
      <c r="E868" t="s">
        <v>2346</v>
      </c>
      <c r="F868" t="s">
        <v>2344</v>
      </c>
      <c r="G868" t="s">
        <v>2344</v>
      </c>
      <c r="H868">
        <v>1</v>
      </c>
      <c r="I868" t="s">
        <v>2344</v>
      </c>
      <c r="J868" t="str">
        <f t="shared" si="53"/>
        <v>Obesity</v>
      </c>
      <c r="K868" t="str">
        <f t="shared" si="56"/>
        <v>Normal</v>
      </c>
      <c r="L868">
        <v>29</v>
      </c>
      <c r="M868" t="s">
        <v>2362</v>
      </c>
      <c r="N868">
        <v>1984</v>
      </c>
      <c r="O868" s="8">
        <f t="shared" si="54"/>
        <v>30862</v>
      </c>
      <c r="P868" s="10">
        <v>7151.09</v>
      </c>
      <c r="Q868" t="s">
        <v>2357</v>
      </c>
      <c r="R868" t="s">
        <v>2357</v>
      </c>
      <c r="S868" t="s">
        <v>2368</v>
      </c>
      <c r="T868">
        <f t="shared" ca="1" si="55"/>
        <v>42</v>
      </c>
      <c r="U868">
        <f>VLOOKUP($A868,'Medical Examination'!$A:$Z,2,FALSE)</f>
        <v>36.1</v>
      </c>
    </row>
    <row r="869" spans="1:21" ht="15.5" x14ac:dyDescent="0.35">
      <c r="A869" s="2" t="s">
        <v>869</v>
      </c>
      <c r="B869" s="2" t="s">
        <v>3741</v>
      </c>
      <c r="C869">
        <v>37.1</v>
      </c>
      <c r="D869">
        <v>11.21</v>
      </c>
      <c r="E869" t="s">
        <v>2346</v>
      </c>
      <c r="F869" t="s">
        <v>2344</v>
      </c>
      <c r="G869" t="s">
        <v>2346</v>
      </c>
      <c r="H869">
        <v>1</v>
      </c>
      <c r="I869" t="s">
        <v>2344</v>
      </c>
      <c r="J869" t="str">
        <f t="shared" si="53"/>
        <v>Obesity</v>
      </c>
      <c r="K869" t="str">
        <f t="shared" si="56"/>
        <v>Diabetes</v>
      </c>
      <c r="L869">
        <v>6</v>
      </c>
      <c r="M869" t="s">
        <v>2363</v>
      </c>
      <c r="N869">
        <v>1978</v>
      </c>
      <c r="O869" s="8">
        <f t="shared" si="54"/>
        <v>28739</v>
      </c>
      <c r="P869" s="10">
        <v>7152.67</v>
      </c>
      <c r="Q869" t="s">
        <v>2358</v>
      </c>
      <c r="R869" t="s">
        <v>2357</v>
      </c>
      <c r="S869" t="s">
        <v>2359</v>
      </c>
      <c r="T869">
        <f t="shared" ca="1" si="55"/>
        <v>48</v>
      </c>
      <c r="U869">
        <f>VLOOKUP($A869,'Medical Examination'!$A:$Z,2,FALSE)</f>
        <v>37.1</v>
      </c>
    </row>
    <row r="870" spans="1:21" ht="15.5" x14ac:dyDescent="0.35">
      <c r="A870" s="2" t="s">
        <v>870</v>
      </c>
      <c r="B870" s="2" t="s">
        <v>3742</v>
      </c>
      <c r="C870">
        <v>27.5</v>
      </c>
      <c r="D870">
        <v>10.62</v>
      </c>
      <c r="E870" t="s">
        <v>2346</v>
      </c>
      <c r="F870" t="s">
        <v>2344</v>
      </c>
      <c r="G870" t="s">
        <v>2346</v>
      </c>
      <c r="H870">
        <v>1</v>
      </c>
      <c r="I870" t="s">
        <v>2344</v>
      </c>
      <c r="J870" t="str">
        <f t="shared" si="53"/>
        <v>Over weight</v>
      </c>
      <c r="K870" t="str">
        <f t="shared" si="56"/>
        <v>Diabetes</v>
      </c>
      <c r="L870">
        <v>17</v>
      </c>
      <c r="M870" t="s">
        <v>2356</v>
      </c>
      <c r="N870">
        <v>1981</v>
      </c>
      <c r="O870" s="8">
        <f t="shared" si="54"/>
        <v>29784</v>
      </c>
      <c r="P870" s="10">
        <v>7153.55</v>
      </c>
      <c r="Q870" t="s">
        <v>2357</v>
      </c>
      <c r="R870" t="s">
        <v>2361</v>
      </c>
      <c r="S870" t="s">
        <v>2364</v>
      </c>
      <c r="T870">
        <f t="shared" ca="1" si="55"/>
        <v>45</v>
      </c>
      <c r="U870">
        <f>VLOOKUP($A870,'Medical Examination'!$A:$Z,2,FALSE)</f>
        <v>27.5</v>
      </c>
    </row>
    <row r="871" spans="1:21" ht="15.5" x14ac:dyDescent="0.35">
      <c r="A871" s="2" t="s">
        <v>871</v>
      </c>
      <c r="B871" s="2" t="s">
        <v>3743</v>
      </c>
      <c r="C871">
        <v>24.7</v>
      </c>
      <c r="D871">
        <v>10.7</v>
      </c>
      <c r="E871" t="s">
        <v>2346</v>
      </c>
      <c r="F871" t="s">
        <v>2344</v>
      </c>
      <c r="G871" t="s">
        <v>2346</v>
      </c>
      <c r="H871">
        <v>1</v>
      </c>
      <c r="I871" t="s">
        <v>2344</v>
      </c>
      <c r="J871" t="str">
        <f t="shared" si="53"/>
        <v>Normal Weight</v>
      </c>
      <c r="K871" t="str">
        <f t="shared" si="56"/>
        <v>Diabetes</v>
      </c>
      <c r="L871">
        <v>22</v>
      </c>
      <c r="M871" t="s">
        <v>2362</v>
      </c>
      <c r="N871">
        <v>1980</v>
      </c>
      <c r="O871" s="8">
        <f t="shared" si="54"/>
        <v>29394</v>
      </c>
      <c r="P871" s="10">
        <v>7160.09</v>
      </c>
      <c r="Q871" t="s">
        <v>2357</v>
      </c>
      <c r="R871" t="s">
        <v>2357</v>
      </c>
      <c r="S871" t="s">
        <v>2368</v>
      </c>
      <c r="T871">
        <f t="shared" ca="1" si="55"/>
        <v>46</v>
      </c>
      <c r="U871">
        <f>VLOOKUP($A871,'Medical Examination'!$A:$Z,2,FALSE)</f>
        <v>24.7</v>
      </c>
    </row>
    <row r="872" spans="1:21" ht="15.5" x14ac:dyDescent="0.35">
      <c r="A872" s="2" t="s">
        <v>872</v>
      </c>
      <c r="B872" s="2" t="s">
        <v>3744</v>
      </c>
      <c r="C872">
        <v>26.78</v>
      </c>
      <c r="D872">
        <v>10.02</v>
      </c>
      <c r="E872" t="s">
        <v>2346</v>
      </c>
      <c r="F872" t="s">
        <v>2344</v>
      </c>
      <c r="G872" t="s">
        <v>2346</v>
      </c>
      <c r="H872">
        <v>1</v>
      </c>
      <c r="I872" t="s">
        <v>2344</v>
      </c>
      <c r="J872" t="str">
        <f t="shared" si="53"/>
        <v>Over weight</v>
      </c>
      <c r="K872" t="str">
        <f t="shared" si="56"/>
        <v>Diabetes</v>
      </c>
      <c r="L872">
        <v>7</v>
      </c>
      <c r="M872" t="s">
        <v>2367</v>
      </c>
      <c r="N872">
        <v>1980</v>
      </c>
      <c r="O872" s="8">
        <f t="shared" si="54"/>
        <v>29501</v>
      </c>
      <c r="P872" s="10">
        <v>7160.33</v>
      </c>
      <c r="Q872" t="s">
        <v>2357</v>
      </c>
      <c r="R872" t="s">
        <v>2361</v>
      </c>
      <c r="S872" t="s">
        <v>2359</v>
      </c>
      <c r="T872">
        <f t="shared" ca="1" si="55"/>
        <v>46</v>
      </c>
      <c r="U872">
        <f>VLOOKUP($A872,'Medical Examination'!$A:$Z,2,FALSE)</f>
        <v>26.78</v>
      </c>
    </row>
    <row r="873" spans="1:21" ht="15.5" x14ac:dyDescent="0.35">
      <c r="A873" s="2" t="s">
        <v>873</v>
      </c>
      <c r="B873" s="2" t="s">
        <v>3746</v>
      </c>
      <c r="C873">
        <v>45.8</v>
      </c>
      <c r="D873">
        <v>4.8499999999999996</v>
      </c>
      <c r="E873" t="s">
        <v>2344</v>
      </c>
      <c r="F873" t="s">
        <v>2344</v>
      </c>
      <c r="G873" t="s">
        <v>2344</v>
      </c>
      <c r="H873">
        <v>0</v>
      </c>
      <c r="I873" t="s">
        <v>2344</v>
      </c>
      <c r="J873" t="str">
        <f t="shared" si="53"/>
        <v>Obesity</v>
      </c>
      <c r="K873" t="str">
        <f t="shared" si="56"/>
        <v>Normal</v>
      </c>
      <c r="L873">
        <v>30</v>
      </c>
      <c r="M873" t="s">
        <v>2363</v>
      </c>
      <c r="N873">
        <v>1980</v>
      </c>
      <c r="O873" s="8">
        <f t="shared" si="54"/>
        <v>29494</v>
      </c>
      <c r="P873" s="10">
        <v>7162.01</v>
      </c>
      <c r="Q873" t="s">
        <v>2357</v>
      </c>
      <c r="R873" t="s">
        <v>2358</v>
      </c>
      <c r="S873" t="s">
        <v>2359</v>
      </c>
      <c r="T873">
        <f t="shared" ca="1" si="55"/>
        <v>46</v>
      </c>
      <c r="U873">
        <f>VLOOKUP($A873,'Medical Examination'!$A:$Z,2,FALSE)</f>
        <v>45.8</v>
      </c>
    </row>
    <row r="874" spans="1:21" ht="15.5" x14ac:dyDescent="0.35">
      <c r="A874" s="2" t="s">
        <v>874</v>
      </c>
      <c r="B874" s="2" t="s">
        <v>3748</v>
      </c>
      <c r="C874">
        <v>29</v>
      </c>
      <c r="D874">
        <v>4.3899999999999997</v>
      </c>
      <c r="E874" t="s">
        <v>2346</v>
      </c>
      <c r="F874" t="s">
        <v>2344</v>
      </c>
      <c r="G874" t="s">
        <v>2344</v>
      </c>
      <c r="H874">
        <v>1</v>
      </c>
      <c r="I874" t="s">
        <v>2344</v>
      </c>
      <c r="J874" t="str">
        <f t="shared" si="53"/>
        <v>Over weight</v>
      </c>
      <c r="K874" t="str">
        <f t="shared" si="56"/>
        <v>Normal</v>
      </c>
      <c r="L874">
        <v>16</v>
      </c>
      <c r="M874" t="s">
        <v>2366</v>
      </c>
      <c r="N874">
        <v>1982</v>
      </c>
      <c r="O874" s="8">
        <f t="shared" si="54"/>
        <v>30179</v>
      </c>
      <c r="P874" s="10">
        <v>7173.36</v>
      </c>
      <c r="Q874" t="s">
        <v>2358</v>
      </c>
      <c r="R874" t="s">
        <v>2357</v>
      </c>
      <c r="S874" t="s">
        <v>2371</v>
      </c>
      <c r="T874">
        <f t="shared" ca="1" si="55"/>
        <v>44</v>
      </c>
      <c r="U874">
        <f>VLOOKUP($A874,'Medical Examination'!$A:$Z,2,FALSE)</f>
        <v>29</v>
      </c>
    </row>
    <row r="875" spans="1:21" ht="15.5" x14ac:dyDescent="0.35">
      <c r="A875" s="2" t="s">
        <v>875</v>
      </c>
      <c r="B875" s="2" t="s">
        <v>3749</v>
      </c>
      <c r="C875">
        <v>33.534999999999997</v>
      </c>
      <c r="D875">
        <v>8.24</v>
      </c>
      <c r="E875" t="s">
        <v>2346</v>
      </c>
      <c r="F875" t="s">
        <v>2344</v>
      </c>
      <c r="G875" t="s">
        <v>2344</v>
      </c>
      <c r="H875">
        <v>0</v>
      </c>
      <c r="I875" t="s">
        <v>2344</v>
      </c>
      <c r="J875" t="str">
        <f t="shared" si="53"/>
        <v>Obesity</v>
      </c>
      <c r="K875" t="str">
        <f t="shared" si="56"/>
        <v>Diabetes</v>
      </c>
      <c r="L875">
        <v>19</v>
      </c>
      <c r="M875" t="s">
        <v>2356</v>
      </c>
      <c r="N875">
        <v>1975</v>
      </c>
      <c r="O875" s="8">
        <f t="shared" si="54"/>
        <v>27594</v>
      </c>
      <c r="P875" s="10">
        <v>7175.51</v>
      </c>
      <c r="Q875" t="s">
        <v>2357</v>
      </c>
      <c r="R875" t="s">
        <v>2358</v>
      </c>
      <c r="S875" t="s">
        <v>2359</v>
      </c>
      <c r="T875">
        <f t="shared" ca="1" si="55"/>
        <v>51</v>
      </c>
      <c r="U875">
        <f>VLOOKUP($A875,'Medical Examination'!$A:$Z,2,FALSE)</f>
        <v>33.534999999999997</v>
      </c>
    </row>
    <row r="876" spans="1:21" ht="15.5" x14ac:dyDescent="0.35">
      <c r="A876" s="2" t="s">
        <v>876</v>
      </c>
      <c r="B876" s="2" t="s">
        <v>3751</v>
      </c>
      <c r="C876">
        <v>32.774999999999999</v>
      </c>
      <c r="D876">
        <v>9.77</v>
      </c>
      <c r="E876" t="s">
        <v>2346</v>
      </c>
      <c r="F876" t="s">
        <v>2344</v>
      </c>
      <c r="G876" t="s">
        <v>2344</v>
      </c>
      <c r="H876">
        <v>0</v>
      </c>
      <c r="I876" t="s">
        <v>2344</v>
      </c>
      <c r="J876" t="str">
        <f t="shared" si="53"/>
        <v>Obesity</v>
      </c>
      <c r="K876" t="str">
        <f t="shared" si="56"/>
        <v>Diabetes</v>
      </c>
      <c r="L876">
        <v>26</v>
      </c>
      <c r="M876" t="s">
        <v>2366</v>
      </c>
      <c r="N876">
        <v>1968</v>
      </c>
      <c r="O876" s="8">
        <f t="shared" si="54"/>
        <v>25076</v>
      </c>
      <c r="P876" s="10">
        <v>7179.52</v>
      </c>
      <c r="Q876" t="s">
        <v>2358</v>
      </c>
      <c r="R876" t="s">
        <v>2358</v>
      </c>
      <c r="S876" t="s">
        <v>2359</v>
      </c>
      <c r="T876">
        <f t="shared" ca="1" si="55"/>
        <v>58</v>
      </c>
      <c r="U876">
        <f>VLOOKUP($A876,'Medical Examination'!$A:$Z,2,FALSE)</f>
        <v>32.774999999999999</v>
      </c>
    </row>
    <row r="877" spans="1:21" ht="15.5" x14ac:dyDescent="0.35">
      <c r="A877" s="2" t="s">
        <v>877</v>
      </c>
      <c r="B877" s="2" t="s">
        <v>3753</v>
      </c>
      <c r="C877">
        <v>37.51</v>
      </c>
      <c r="D877">
        <v>5.5</v>
      </c>
      <c r="E877" t="s">
        <v>2346</v>
      </c>
      <c r="F877" t="s">
        <v>2344</v>
      </c>
      <c r="G877" t="s">
        <v>2344</v>
      </c>
      <c r="H877">
        <v>1</v>
      </c>
      <c r="I877" t="s">
        <v>2344</v>
      </c>
      <c r="J877" t="str">
        <f t="shared" si="53"/>
        <v>Obesity</v>
      </c>
      <c r="K877" t="str">
        <f t="shared" si="56"/>
        <v>Normal</v>
      </c>
      <c r="L877">
        <v>14</v>
      </c>
      <c r="M877" t="s">
        <v>2363</v>
      </c>
      <c r="N877">
        <v>1982</v>
      </c>
      <c r="O877" s="8">
        <f t="shared" si="54"/>
        <v>30208</v>
      </c>
      <c r="P877" s="10">
        <v>7196.87</v>
      </c>
      <c r="Q877" t="s">
        <v>2358</v>
      </c>
      <c r="R877" t="s">
        <v>2357</v>
      </c>
      <c r="S877" t="s">
        <v>2368</v>
      </c>
      <c r="T877">
        <f t="shared" ca="1" si="55"/>
        <v>44</v>
      </c>
      <c r="U877">
        <f>VLOOKUP($A877,'Medical Examination'!$A:$Z,2,FALSE)</f>
        <v>37.51</v>
      </c>
    </row>
    <row r="878" spans="1:21" ht="15.5" x14ac:dyDescent="0.35">
      <c r="A878" s="2" t="s">
        <v>878</v>
      </c>
      <c r="B878" s="2" t="s">
        <v>3755</v>
      </c>
      <c r="C878">
        <v>39.86</v>
      </c>
      <c r="D878">
        <v>11.84</v>
      </c>
      <c r="E878" t="s">
        <v>2346</v>
      </c>
      <c r="F878" t="s">
        <v>2344</v>
      </c>
      <c r="G878" t="s">
        <v>2344</v>
      </c>
      <c r="H878">
        <v>1</v>
      </c>
      <c r="I878" t="s">
        <v>2344</v>
      </c>
      <c r="J878" t="str">
        <f t="shared" si="53"/>
        <v>Obesity</v>
      </c>
      <c r="K878" t="str">
        <f t="shared" si="56"/>
        <v>Diabetes</v>
      </c>
      <c r="L878">
        <v>11</v>
      </c>
      <c r="M878" t="s">
        <v>2366</v>
      </c>
      <c r="N878">
        <v>1983</v>
      </c>
      <c r="O878" s="8">
        <f t="shared" si="54"/>
        <v>30539</v>
      </c>
      <c r="P878" s="10">
        <v>7201.7</v>
      </c>
      <c r="Q878" t="s">
        <v>2357</v>
      </c>
      <c r="R878" t="s">
        <v>2358</v>
      </c>
      <c r="S878" t="s">
        <v>2364</v>
      </c>
      <c r="T878">
        <f t="shared" ca="1" si="55"/>
        <v>43</v>
      </c>
      <c r="U878">
        <f>VLOOKUP($A878,'Medical Examination'!$A:$Z,2,FALSE)</f>
        <v>39.86</v>
      </c>
    </row>
    <row r="879" spans="1:21" ht="15.5" x14ac:dyDescent="0.35">
      <c r="A879" s="2" t="s">
        <v>879</v>
      </c>
      <c r="B879" s="2" t="s">
        <v>3756</v>
      </c>
      <c r="C879">
        <v>42.13</v>
      </c>
      <c r="D879">
        <v>4.66</v>
      </c>
      <c r="E879" t="s">
        <v>2344</v>
      </c>
      <c r="F879" t="s">
        <v>2344</v>
      </c>
      <c r="G879" t="s">
        <v>2344</v>
      </c>
      <c r="H879">
        <v>0</v>
      </c>
      <c r="I879" t="s">
        <v>2344</v>
      </c>
      <c r="J879" t="str">
        <f t="shared" si="53"/>
        <v>Obesity</v>
      </c>
      <c r="K879" t="str">
        <f t="shared" si="56"/>
        <v>Normal</v>
      </c>
      <c r="L879">
        <v>21</v>
      </c>
      <c r="M879" t="s">
        <v>2360</v>
      </c>
      <c r="N879">
        <v>1983</v>
      </c>
      <c r="O879" s="8">
        <f t="shared" si="54"/>
        <v>30641</v>
      </c>
      <c r="P879" s="10">
        <v>7209.49</v>
      </c>
      <c r="Q879" t="s">
        <v>2357</v>
      </c>
      <c r="R879" t="s">
        <v>2358</v>
      </c>
      <c r="S879" t="s">
        <v>2364</v>
      </c>
      <c r="T879">
        <f t="shared" ca="1" si="55"/>
        <v>43</v>
      </c>
      <c r="U879">
        <f>VLOOKUP($A879,'Medical Examination'!$A:$Z,2,FALSE)</f>
        <v>42.13</v>
      </c>
    </row>
    <row r="880" spans="1:21" ht="15.5" x14ac:dyDescent="0.35">
      <c r="A880" s="2" t="s">
        <v>880</v>
      </c>
      <c r="B880" s="2" t="s">
        <v>3757</v>
      </c>
      <c r="C880">
        <v>35.99</v>
      </c>
      <c r="D880">
        <v>11.11</v>
      </c>
      <c r="E880" t="s">
        <v>2344</v>
      </c>
      <c r="F880" t="s">
        <v>2344</v>
      </c>
      <c r="G880" t="s">
        <v>2344</v>
      </c>
      <c r="H880">
        <v>0</v>
      </c>
      <c r="I880" t="s">
        <v>2344</v>
      </c>
      <c r="J880" t="str">
        <f t="shared" si="53"/>
        <v>Obesity</v>
      </c>
      <c r="K880" t="str">
        <f t="shared" si="56"/>
        <v>Diabetes</v>
      </c>
      <c r="L880">
        <v>28</v>
      </c>
      <c r="M880" t="s">
        <v>2362</v>
      </c>
      <c r="N880">
        <v>1991</v>
      </c>
      <c r="O880" s="8">
        <f t="shared" si="54"/>
        <v>33417</v>
      </c>
      <c r="P880" s="10">
        <v>7220.25</v>
      </c>
      <c r="Q880" t="s">
        <v>2357</v>
      </c>
      <c r="R880" t="s">
        <v>2357</v>
      </c>
      <c r="S880" t="s">
        <v>2377</v>
      </c>
      <c r="T880">
        <f t="shared" ca="1" si="55"/>
        <v>35</v>
      </c>
      <c r="U880">
        <f>VLOOKUP($A880,'Medical Examination'!$A:$Z,2,FALSE)</f>
        <v>35.99</v>
      </c>
    </row>
    <row r="881" spans="1:21" ht="15.5" x14ac:dyDescent="0.35">
      <c r="A881" s="2" t="s">
        <v>881</v>
      </c>
      <c r="B881" s="2" t="s">
        <v>3760</v>
      </c>
      <c r="C881">
        <v>35.200000000000003</v>
      </c>
      <c r="D881">
        <v>7.72</v>
      </c>
      <c r="E881" t="s">
        <v>2346</v>
      </c>
      <c r="F881" t="s">
        <v>2344</v>
      </c>
      <c r="G881" t="s">
        <v>2346</v>
      </c>
      <c r="H881">
        <v>1</v>
      </c>
      <c r="I881" t="s">
        <v>2344</v>
      </c>
      <c r="J881" t="str">
        <f t="shared" si="53"/>
        <v>Obesity</v>
      </c>
      <c r="K881" t="str">
        <f t="shared" si="56"/>
        <v>Diabetes</v>
      </c>
      <c r="L881">
        <v>15</v>
      </c>
      <c r="M881" t="s">
        <v>2363</v>
      </c>
      <c r="N881">
        <v>1977</v>
      </c>
      <c r="O881" s="8">
        <f t="shared" si="54"/>
        <v>28383</v>
      </c>
      <c r="P881" s="10">
        <v>7222.79</v>
      </c>
      <c r="Q881" t="s">
        <v>2358</v>
      </c>
      <c r="R881" t="s">
        <v>2358</v>
      </c>
      <c r="S881" t="s">
        <v>2364</v>
      </c>
      <c r="T881">
        <f t="shared" ca="1" si="55"/>
        <v>49</v>
      </c>
      <c r="U881">
        <f>VLOOKUP($A881,'Medical Examination'!$A:$Z,2,FALSE)</f>
        <v>35.200000000000003</v>
      </c>
    </row>
    <row r="882" spans="1:21" ht="15.5" x14ac:dyDescent="0.35">
      <c r="A882" s="2" t="s">
        <v>882</v>
      </c>
      <c r="B882" s="2" t="s">
        <v>3762</v>
      </c>
      <c r="C882">
        <v>29.91</v>
      </c>
      <c r="D882">
        <v>5.55</v>
      </c>
      <c r="E882" t="s">
        <v>2346</v>
      </c>
      <c r="F882" t="s">
        <v>2344</v>
      </c>
      <c r="G882" t="s">
        <v>2344</v>
      </c>
      <c r="H882">
        <v>1</v>
      </c>
      <c r="I882" t="s">
        <v>2344</v>
      </c>
      <c r="J882" t="str">
        <f t="shared" si="53"/>
        <v>Over weight</v>
      </c>
      <c r="K882" t="str">
        <f t="shared" si="56"/>
        <v>Normal</v>
      </c>
      <c r="L882">
        <v>13</v>
      </c>
      <c r="M882" t="s">
        <v>2356</v>
      </c>
      <c r="N882">
        <v>1986</v>
      </c>
      <c r="O882" s="8">
        <f t="shared" si="54"/>
        <v>31606</v>
      </c>
      <c r="P882" s="10">
        <v>7228.22</v>
      </c>
      <c r="Q882" t="s">
        <v>2357</v>
      </c>
      <c r="R882" t="s">
        <v>2361</v>
      </c>
      <c r="S882" t="s">
        <v>2374</v>
      </c>
      <c r="T882">
        <f t="shared" ca="1" si="55"/>
        <v>40</v>
      </c>
      <c r="U882">
        <f>VLOOKUP($A882,'Medical Examination'!$A:$Z,2,FALSE)</f>
        <v>29.91</v>
      </c>
    </row>
    <row r="883" spans="1:21" ht="15.5" x14ac:dyDescent="0.35">
      <c r="A883" s="2" t="s">
        <v>883</v>
      </c>
      <c r="B883" s="2" t="s">
        <v>3764</v>
      </c>
      <c r="C883">
        <v>36.479999999999997</v>
      </c>
      <c r="D883">
        <v>5.05</v>
      </c>
      <c r="E883" t="s">
        <v>2346</v>
      </c>
      <c r="F883" t="s">
        <v>2344</v>
      </c>
      <c r="G883" t="s">
        <v>2344</v>
      </c>
      <c r="H883">
        <v>1</v>
      </c>
      <c r="I883" t="s">
        <v>2344</v>
      </c>
      <c r="J883" t="str">
        <f t="shared" si="53"/>
        <v>Obesity</v>
      </c>
      <c r="K883" t="str">
        <f t="shared" si="56"/>
        <v>Normal</v>
      </c>
      <c r="L883">
        <v>2</v>
      </c>
      <c r="M883" t="s">
        <v>2363</v>
      </c>
      <c r="N883">
        <v>1986</v>
      </c>
      <c r="O883" s="8">
        <f t="shared" si="54"/>
        <v>31657</v>
      </c>
      <c r="P883" s="10">
        <v>7243.81</v>
      </c>
      <c r="Q883" t="s">
        <v>2357</v>
      </c>
      <c r="R883" t="s">
        <v>2358</v>
      </c>
      <c r="S883" t="s">
        <v>2359</v>
      </c>
      <c r="T883">
        <f t="shared" ca="1" si="55"/>
        <v>40</v>
      </c>
      <c r="U883">
        <f>VLOOKUP($A883,'Medical Examination'!$A:$Z,2,FALSE)</f>
        <v>36.479999999999997</v>
      </c>
    </row>
    <row r="884" spans="1:21" ht="15.5" x14ac:dyDescent="0.35">
      <c r="A884" s="2" t="s">
        <v>884</v>
      </c>
      <c r="B884" s="2" t="s">
        <v>3765</v>
      </c>
      <c r="C884">
        <v>27.5</v>
      </c>
      <c r="D884">
        <v>8.69</v>
      </c>
      <c r="E884" t="s">
        <v>2346</v>
      </c>
      <c r="F884" t="s">
        <v>2344</v>
      </c>
      <c r="G884" t="s">
        <v>2346</v>
      </c>
      <c r="H884">
        <v>1</v>
      </c>
      <c r="I884" t="s">
        <v>2344</v>
      </c>
      <c r="J884" t="str">
        <f t="shared" si="53"/>
        <v>Over weight</v>
      </c>
      <c r="K884" t="str">
        <f t="shared" si="56"/>
        <v>Diabetes</v>
      </c>
      <c r="L884">
        <v>24</v>
      </c>
      <c r="M884" t="s">
        <v>2356</v>
      </c>
      <c r="N884">
        <v>1982</v>
      </c>
      <c r="O884" s="8">
        <f t="shared" si="54"/>
        <v>30156</v>
      </c>
      <c r="P884" s="10">
        <v>7248.71</v>
      </c>
      <c r="Q884" t="s">
        <v>2357</v>
      </c>
      <c r="R884" t="s">
        <v>2361</v>
      </c>
      <c r="S884" t="s">
        <v>2359</v>
      </c>
      <c r="T884">
        <f t="shared" ca="1" si="55"/>
        <v>44</v>
      </c>
      <c r="U884">
        <f>VLOOKUP($A884,'Medical Examination'!$A:$Z,2,FALSE)</f>
        <v>27.5</v>
      </c>
    </row>
    <row r="885" spans="1:21" ht="15.5" x14ac:dyDescent="0.35">
      <c r="A885" s="2" t="s">
        <v>885</v>
      </c>
      <c r="B885" s="2" t="s">
        <v>3767</v>
      </c>
      <c r="C885">
        <v>33.44</v>
      </c>
      <c r="D885">
        <v>5.9</v>
      </c>
      <c r="E885" t="s">
        <v>2346</v>
      </c>
      <c r="F885" t="s">
        <v>2344</v>
      </c>
      <c r="G885" t="s">
        <v>2344</v>
      </c>
      <c r="H885">
        <v>1</v>
      </c>
      <c r="I885" t="s">
        <v>2344</v>
      </c>
      <c r="J885" t="str">
        <f t="shared" si="53"/>
        <v>Obesity</v>
      </c>
      <c r="K885" t="str">
        <f t="shared" si="56"/>
        <v>Prediabetes</v>
      </c>
      <c r="L885">
        <v>14</v>
      </c>
      <c r="M885" t="s">
        <v>2366</v>
      </c>
      <c r="N885">
        <v>1981</v>
      </c>
      <c r="O885" s="8">
        <f t="shared" si="54"/>
        <v>29812</v>
      </c>
      <c r="P885" s="10">
        <v>7256.72</v>
      </c>
      <c r="Q885" t="s">
        <v>2358</v>
      </c>
      <c r="R885" t="s">
        <v>2357</v>
      </c>
      <c r="S885" t="s">
        <v>2364</v>
      </c>
      <c r="T885">
        <f t="shared" ca="1" si="55"/>
        <v>45</v>
      </c>
      <c r="U885">
        <f>VLOOKUP($A885,'Medical Examination'!$A:$Z,2,FALSE)</f>
        <v>33.44</v>
      </c>
    </row>
    <row r="886" spans="1:21" ht="15.5" x14ac:dyDescent="0.35">
      <c r="A886" s="2" t="s">
        <v>886</v>
      </c>
      <c r="B886" s="2" t="s">
        <v>3769</v>
      </c>
      <c r="C886">
        <v>28.215</v>
      </c>
      <c r="D886">
        <v>6.29</v>
      </c>
      <c r="E886" t="s">
        <v>2346</v>
      </c>
      <c r="F886" t="s">
        <v>2344</v>
      </c>
      <c r="G886" t="s">
        <v>2344</v>
      </c>
      <c r="H886">
        <v>1</v>
      </c>
      <c r="I886" t="s">
        <v>2344</v>
      </c>
      <c r="J886" t="str">
        <f t="shared" si="53"/>
        <v>Over weight</v>
      </c>
      <c r="K886" t="str">
        <f t="shared" si="56"/>
        <v>Prediabetes</v>
      </c>
      <c r="L886">
        <v>13</v>
      </c>
      <c r="M886" t="s">
        <v>2362</v>
      </c>
      <c r="N886">
        <v>1981</v>
      </c>
      <c r="O886" s="8">
        <f t="shared" si="54"/>
        <v>29750</v>
      </c>
      <c r="P886" s="10">
        <v>7261.74</v>
      </c>
      <c r="Q886" t="s">
        <v>2358</v>
      </c>
      <c r="R886" t="s">
        <v>2358</v>
      </c>
      <c r="S886" t="s">
        <v>2364</v>
      </c>
      <c r="T886">
        <f t="shared" ca="1" si="55"/>
        <v>45</v>
      </c>
      <c r="U886">
        <f>VLOOKUP($A886,'Medical Examination'!$A:$Z,2,FALSE)</f>
        <v>28.215</v>
      </c>
    </row>
    <row r="887" spans="1:21" ht="15.5" x14ac:dyDescent="0.35">
      <c r="A887" s="2" t="s">
        <v>887</v>
      </c>
      <c r="B887" s="2" t="s">
        <v>2600</v>
      </c>
      <c r="C887">
        <v>27.17</v>
      </c>
      <c r="D887">
        <v>5.84</v>
      </c>
      <c r="E887" t="s">
        <v>2346</v>
      </c>
      <c r="F887" t="s">
        <v>2344</v>
      </c>
      <c r="G887" t="s">
        <v>2344</v>
      </c>
      <c r="H887">
        <v>1</v>
      </c>
      <c r="I887" t="s">
        <v>2344</v>
      </c>
      <c r="J887" t="str">
        <f t="shared" si="53"/>
        <v>Over weight</v>
      </c>
      <c r="K887" t="str">
        <f t="shared" si="56"/>
        <v>Prediabetes</v>
      </c>
      <c r="L887">
        <v>25</v>
      </c>
      <c r="M887" t="s">
        <v>2367</v>
      </c>
      <c r="N887">
        <v>1973</v>
      </c>
      <c r="O887" s="8">
        <f t="shared" si="54"/>
        <v>26962</v>
      </c>
      <c r="P887" s="10">
        <v>7265.58</v>
      </c>
      <c r="Q887" t="s">
        <v>2357</v>
      </c>
      <c r="R887" t="s">
        <v>2357</v>
      </c>
      <c r="S887" t="s">
        <v>2359</v>
      </c>
      <c r="T887">
        <f t="shared" ca="1" si="55"/>
        <v>53</v>
      </c>
      <c r="U887">
        <f>VLOOKUP($A887,'Medical Examination'!$A:$Z,2,FALSE)</f>
        <v>27.17</v>
      </c>
    </row>
    <row r="888" spans="1:21" ht="15.5" x14ac:dyDescent="0.35">
      <c r="A888" s="2" t="s">
        <v>888</v>
      </c>
      <c r="B888" s="2" t="s">
        <v>3772</v>
      </c>
      <c r="C888">
        <v>35.380000000000003</v>
      </c>
      <c r="D888">
        <v>6.12</v>
      </c>
      <c r="E888" t="s">
        <v>2344</v>
      </c>
      <c r="F888" t="s">
        <v>2344</v>
      </c>
      <c r="G888" t="s">
        <v>2344</v>
      </c>
      <c r="H888">
        <v>0</v>
      </c>
      <c r="I888" t="s">
        <v>2344</v>
      </c>
      <c r="J888" t="str">
        <f t="shared" si="53"/>
        <v>Obesity</v>
      </c>
      <c r="K888" t="str">
        <f t="shared" si="56"/>
        <v>Prediabetes</v>
      </c>
      <c r="L888">
        <v>4</v>
      </c>
      <c r="M888" t="s">
        <v>2366</v>
      </c>
      <c r="N888">
        <v>1981</v>
      </c>
      <c r="O888" s="8">
        <f t="shared" si="54"/>
        <v>29802</v>
      </c>
      <c r="P888" s="10">
        <v>7265.7</v>
      </c>
      <c r="Q888" t="s">
        <v>2358</v>
      </c>
      <c r="R888" t="s">
        <v>2358</v>
      </c>
      <c r="S888" t="s">
        <v>2364</v>
      </c>
      <c r="T888">
        <f t="shared" ca="1" si="55"/>
        <v>45</v>
      </c>
      <c r="U888">
        <f>VLOOKUP($A888,'Medical Examination'!$A:$Z,2,FALSE)</f>
        <v>35.380000000000003</v>
      </c>
    </row>
    <row r="889" spans="1:21" ht="15.5" x14ac:dyDescent="0.35">
      <c r="A889" s="2" t="s">
        <v>889</v>
      </c>
      <c r="B889" s="2" t="s">
        <v>3773</v>
      </c>
      <c r="C889">
        <v>43.48</v>
      </c>
      <c r="D889">
        <v>6.24</v>
      </c>
      <c r="E889" t="s">
        <v>2344</v>
      </c>
      <c r="F889" t="s">
        <v>2344</v>
      </c>
      <c r="G889" t="s">
        <v>2344</v>
      </c>
      <c r="H889">
        <v>0</v>
      </c>
      <c r="I889" t="s">
        <v>2344</v>
      </c>
      <c r="J889" t="str">
        <f t="shared" si="53"/>
        <v>Obesity</v>
      </c>
      <c r="K889" t="str">
        <f t="shared" si="56"/>
        <v>Prediabetes</v>
      </c>
      <c r="L889">
        <v>18</v>
      </c>
      <c r="M889" t="s">
        <v>2365</v>
      </c>
      <c r="N889">
        <v>1976</v>
      </c>
      <c r="O889" s="8">
        <f t="shared" si="54"/>
        <v>28112</v>
      </c>
      <c r="P889" s="10">
        <v>7273.02</v>
      </c>
      <c r="Q889" t="s">
        <v>2357</v>
      </c>
      <c r="R889" t="s">
        <v>2361</v>
      </c>
      <c r="S889" t="s">
        <v>2359</v>
      </c>
      <c r="T889">
        <f t="shared" ca="1" si="55"/>
        <v>50</v>
      </c>
      <c r="U889">
        <f>VLOOKUP($A889,'Medical Examination'!$A:$Z,2,FALSE)</f>
        <v>43.48</v>
      </c>
    </row>
    <row r="890" spans="1:21" ht="15.5" x14ac:dyDescent="0.35">
      <c r="A890" s="2" t="s">
        <v>890</v>
      </c>
      <c r="B890" s="2" t="s">
        <v>3774</v>
      </c>
      <c r="C890">
        <v>41.73</v>
      </c>
      <c r="D890">
        <v>6.25</v>
      </c>
      <c r="E890" t="s">
        <v>2344</v>
      </c>
      <c r="F890" t="s">
        <v>2344</v>
      </c>
      <c r="G890" t="s">
        <v>2344</v>
      </c>
      <c r="H890">
        <v>1</v>
      </c>
      <c r="I890" t="s">
        <v>2344</v>
      </c>
      <c r="J890" t="str">
        <f t="shared" si="53"/>
        <v>Obesity</v>
      </c>
      <c r="K890" t="str">
        <f t="shared" si="56"/>
        <v>Prediabetes</v>
      </c>
      <c r="L890">
        <v>2</v>
      </c>
      <c r="M890" t="s">
        <v>2360</v>
      </c>
      <c r="N890">
        <v>1985</v>
      </c>
      <c r="O890" s="8">
        <f t="shared" si="54"/>
        <v>31353</v>
      </c>
      <c r="P890" s="10">
        <v>7281.51</v>
      </c>
      <c r="Q890" t="s">
        <v>2357</v>
      </c>
      <c r="R890" t="s">
        <v>2361</v>
      </c>
      <c r="S890" t="s">
        <v>2364</v>
      </c>
      <c r="T890">
        <f t="shared" ca="1" si="55"/>
        <v>41</v>
      </c>
      <c r="U890">
        <f>VLOOKUP($A890,'Medical Examination'!$A:$Z,2,FALSE)</f>
        <v>41.73</v>
      </c>
    </row>
    <row r="891" spans="1:21" ht="15.5" x14ac:dyDescent="0.35">
      <c r="A891" s="2" t="s">
        <v>891</v>
      </c>
      <c r="B891" s="2" t="s">
        <v>3775</v>
      </c>
      <c r="C891">
        <v>28.9</v>
      </c>
      <c r="D891">
        <v>11.96</v>
      </c>
      <c r="E891" t="s">
        <v>2344</v>
      </c>
      <c r="F891" t="s">
        <v>2344</v>
      </c>
      <c r="G891" t="s">
        <v>2344</v>
      </c>
      <c r="H891">
        <v>0</v>
      </c>
      <c r="I891" t="s">
        <v>2344</v>
      </c>
      <c r="J891" t="str">
        <f t="shared" si="53"/>
        <v>Over weight</v>
      </c>
      <c r="K891" t="str">
        <f t="shared" si="56"/>
        <v>Diabetes</v>
      </c>
      <c r="L891">
        <v>26</v>
      </c>
      <c r="M891" t="s">
        <v>2365</v>
      </c>
      <c r="N891">
        <v>1966</v>
      </c>
      <c r="O891" s="8">
        <f t="shared" si="54"/>
        <v>24467</v>
      </c>
      <c r="P891" s="10">
        <v>7302.46</v>
      </c>
      <c r="Q891" t="s">
        <v>2358</v>
      </c>
      <c r="R891" t="s">
        <v>2361</v>
      </c>
      <c r="S891" t="s">
        <v>2364</v>
      </c>
      <c r="T891">
        <f t="shared" ca="1" si="55"/>
        <v>60</v>
      </c>
      <c r="U891">
        <f>VLOOKUP($A891,'Medical Examination'!$A:$Z,2,FALSE)</f>
        <v>28.9</v>
      </c>
    </row>
    <row r="892" spans="1:21" ht="15.5" x14ac:dyDescent="0.35">
      <c r="A892" s="2" t="s">
        <v>892</v>
      </c>
      <c r="B892" s="2" t="s">
        <v>3776</v>
      </c>
      <c r="C892">
        <v>25.74</v>
      </c>
      <c r="D892">
        <v>7.69</v>
      </c>
      <c r="E892" t="s">
        <v>2344</v>
      </c>
      <c r="F892" t="s">
        <v>2344</v>
      </c>
      <c r="G892" t="s">
        <v>2344</v>
      </c>
      <c r="H892">
        <v>0</v>
      </c>
      <c r="I892" t="s">
        <v>2344</v>
      </c>
      <c r="J892" t="str">
        <f t="shared" si="53"/>
        <v>Over weight</v>
      </c>
      <c r="K892" t="str">
        <f t="shared" si="56"/>
        <v>Diabetes</v>
      </c>
      <c r="L892">
        <v>6</v>
      </c>
      <c r="M892" t="s">
        <v>2362</v>
      </c>
      <c r="N892">
        <v>1965</v>
      </c>
      <c r="O892" s="8">
        <f t="shared" si="54"/>
        <v>23899</v>
      </c>
      <c r="P892" s="10">
        <v>7304.65</v>
      </c>
      <c r="Q892" t="s">
        <v>2358</v>
      </c>
      <c r="R892" t="s">
        <v>2358</v>
      </c>
      <c r="S892" t="s">
        <v>2359</v>
      </c>
      <c r="T892">
        <f t="shared" ca="1" si="55"/>
        <v>61</v>
      </c>
      <c r="U892">
        <f>VLOOKUP($A892,'Medical Examination'!$A:$Z,2,FALSE)</f>
        <v>25.74</v>
      </c>
    </row>
    <row r="893" spans="1:21" ht="15.5" x14ac:dyDescent="0.35">
      <c r="A893" s="2" t="s">
        <v>893</v>
      </c>
      <c r="B893" s="2" t="s">
        <v>3777</v>
      </c>
      <c r="C893">
        <v>36.06</v>
      </c>
      <c r="D893">
        <v>8.83</v>
      </c>
      <c r="E893" t="s">
        <v>2344</v>
      </c>
      <c r="F893" t="s">
        <v>2344</v>
      </c>
      <c r="G893" t="s">
        <v>2344</v>
      </c>
      <c r="H893">
        <v>0</v>
      </c>
      <c r="I893" t="s">
        <v>2344</v>
      </c>
      <c r="J893" t="str">
        <f t="shared" si="53"/>
        <v>Obesity</v>
      </c>
      <c r="K893" t="str">
        <f t="shared" si="56"/>
        <v>Diabetes</v>
      </c>
      <c r="L893">
        <v>25</v>
      </c>
      <c r="M893" t="s">
        <v>2362</v>
      </c>
      <c r="N893">
        <v>1965</v>
      </c>
      <c r="O893" s="8">
        <f t="shared" si="54"/>
        <v>23918</v>
      </c>
      <c r="P893" s="10">
        <v>7318.21</v>
      </c>
      <c r="Q893" t="s">
        <v>2358</v>
      </c>
      <c r="R893" t="s">
        <v>2361</v>
      </c>
      <c r="S893" t="s">
        <v>2359</v>
      </c>
      <c r="T893">
        <f t="shared" ca="1" si="55"/>
        <v>61</v>
      </c>
      <c r="U893">
        <f>VLOOKUP($A893,'Medical Examination'!$A:$Z,2,FALSE)</f>
        <v>36.06</v>
      </c>
    </row>
    <row r="894" spans="1:21" ht="15.5" x14ac:dyDescent="0.35">
      <c r="A894" s="2" t="s">
        <v>894</v>
      </c>
      <c r="B894" s="2" t="s">
        <v>3779</v>
      </c>
      <c r="C894">
        <v>43.28</v>
      </c>
      <c r="D894">
        <v>4.41</v>
      </c>
      <c r="E894" t="s">
        <v>2344</v>
      </c>
      <c r="F894" t="s">
        <v>2344</v>
      </c>
      <c r="G894" t="s">
        <v>2344</v>
      </c>
      <c r="H894">
        <v>0</v>
      </c>
      <c r="I894" t="s">
        <v>2344</v>
      </c>
      <c r="J894" t="str">
        <f t="shared" si="53"/>
        <v>Obesity</v>
      </c>
      <c r="K894" t="str">
        <f t="shared" si="56"/>
        <v>Normal</v>
      </c>
      <c r="L894">
        <v>11</v>
      </c>
      <c r="M894" t="s">
        <v>2366</v>
      </c>
      <c r="N894">
        <v>1972</v>
      </c>
      <c r="O894" s="8">
        <f t="shared" si="54"/>
        <v>26522</v>
      </c>
      <c r="P894" s="10">
        <v>7318.22</v>
      </c>
      <c r="Q894" t="s">
        <v>2357</v>
      </c>
      <c r="R894" t="s">
        <v>2358</v>
      </c>
      <c r="S894" t="s">
        <v>2364</v>
      </c>
      <c r="T894">
        <f t="shared" ca="1" si="55"/>
        <v>54</v>
      </c>
      <c r="U894">
        <f>VLOOKUP($A894,'Medical Examination'!$A:$Z,2,FALSE)</f>
        <v>43.28</v>
      </c>
    </row>
    <row r="895" spans="1:21" ht="15.5" x14ac:dyDescent="0.35">
      <c r="A895" s="2" t="s">
        <v>895</v>
      </c>
      <c r="B895" s="2" t="s">
        <v>3781</v>
      </c>
      <c r="C895">
        <v>28.785</v>
      </c>
      <c r="D895">
        <v>9.1</v>
      </c>
      <c r="E895" t="s">
        <v>2346</v>
      </c>
      <c r="F895" t="s">
        <v>2344</v>
      </c>
      <c r="G895" t="s">
        <v>2346</v>
      </c>
      <c r="H895">
        <v>1</v>
      </c>
      <c r="I895" t="s">
        <v>2344</v>
      </c>
      <c r="J895" t="str">
        <f t="shared" si="53"/>
        <v>Over weight</v>
      </c>
      <c r="K895" t="str">
        <f t="shared" si="56"/>
        <v>Diabetes</v>
      </c>
      <c r="L895">
        <v>11</v>
      </c>
      <c r="M895" t="s">
        <v>2356</v>
      </c>
      <c r="N895">
        <v>1965</v>
      </c>
      <c r="O895" s="8">
        <f t="shared" si="54"/>
        <v>23934</v>
      </c>
      <c r="P895" s="10">
        <v>7322.86</v>
      </c>
      <c r="Q895" t="s">
        <v>2358</v>
      </c>
      <c r="R895" t="s">
        <v>2358</v>
      </c>
      <c r="S895" t="s">
        <v>2364</v>
      </c>
      <c r="T895">
        <f t="shared" ca="1" si="55"/>
        <v>61</v>
      </c>
      <c r="U895">
        <f>VLOOKUP($A895,'Medical Examination'!$A:$Z,2,FALSE)</f>
        <v>28.785</v>
      </c>
    </row>
    <row r="896" spans="1:21" ht="15.5" x14ac:dyDescent="0.35">
      <c r="A896" s="2" t="s">
        <v>896</v>
      </c>
      <c r="B896" s="2" t="s">
        <v>3782</v>
      </c>
      <c r="C896">
        <v>25.46</v>
      </c>
      <c r="D896">
        <v>11.52</v>
      </c>
      <c r="E896" t="s">
        <v>2346</v>
      </c>
      <c r="F896" t="s">
        <v>2344</v>
      </c>
      <c r="G896" t="s">
        <v>2346</v>
      </c>
      <c r="H896">
        <v>1</v>
      </c>
      <c r="I896" t="s">
        <v>2344</v>
      </c>
      <c r="J896" t="str">
        <f t="shared" si="53"/>
        <v>Over weight</v>
      </c>
      <c r="K896" t="str">
        <f t="shared" si="56"/>
        <v>Diabetes</v>
      </c>
      <c r="L896">
        <v>15</v>
      </c>
      <c r="M896" t="s">
        <v>2360</v>
      </c>
      <c r="N896">
        <v>2004</v>
      </c>
      <c r="O896" s="8">
        <f t="shared" si="54"/>
        <v>38306</v>
      </c>
      <c r="P896" s="10">
        <v>7323.73</v>
      </c>
      <c r="Q896" t="s">
        <v>2357</v>
      </c>
      <c r="R896" t="s">
        <v>2357</v>
      </c>
      <c r="S896" t="s">
        <v>2374</v>
      </c>
      <c r="T896">
        <f t="shared" ca="1" si="55"/>
        <v>22</v>
      </c>
      <c r="U896">
        <f>VLOOKUP($A896,'Medical Examination'!$A:$Z,2,FALSE)</f>
        <v>25.46</v>
      </c>
    </row>
    <row r="897" spans="1:21" ht="15.5" x14ac:dyDescent="0.35">
      <c r="A897" s="2" t="s">
        <v>897</v>
      </c>
      <c r="B897" s="2" t="s">
        <v>3784</v>
      </c>
      <c r="C897">
        <v>30.8</v>
      </c>
      <c r="D897">
        <v>10.95</v>
      </c>
      <c r="E897" t="s">
        <v>2344</v>
      </c>
      <c r="F897" t="s">
        <v>2344</v>
      </c>
      <c r="G897" t="s">
        <v>2344</v>
      </c>
      <c r="H897">
        <v>0</v>
      </c>
      <c r="I897" t="s">
        <v>2344</v>
      </c>
      <c r="J897" t="str">
        <f t="shared" si="53"/>
        <v>Obesity</v>
      </c>
      <c r="K897" t="str">
        <f t="shared" si="56"/>
        <v>Diabetes</v>
      </c>
      <c r="L897">
        <v>19</v>
      </c>
      <c r="M897" t="s">
        <v>2362</v>
      </c>
      <c r="N897">
        <v>1979</v>
      </c>
      <c r="O897" s="8">
        <f t="shared" si="54"/>
        <v>29025</v>
      </c>
      <c r="P897" s="10">
        <v>7325.05</v>
      </c>
      <c r="Q897" t="s">
        <v>2357</v>
      </c>
      <c r="R897" t="s">
        <v>2358</v>
      </c>
      <c r="S897" t="s">
        <v>2374</v>
      </c>
      <c r="T897">
        <f t="shared" ca="1" si="55"/>
        <v>47</v>
      </c>
      <c r="U897">
        <f>VLOOKUP($A897,'Medical Examination'!$A:$Z,2,FALSE)</f>
        <v>30.8</v>
      </c>
    </row>
    <row r="898" spans="1:21" ht="15.5" x14ac:dyDescent="0.35">
      <c r="A898" s="2" t="s">
        <v>898</v>
      </c>
      <c r="B898" s="2" t="s">
        <v>3284</v>
      </c>
      <c r="C898">
        <v>28.88</v>
      </c>
      <c r="D898">
        <v>11.5</v>
      </c>
      <c r="E898" t="s">
        <v>2344</v>
      </c>
      <c r="F898" t="s">
        <v>2344</v>
      </c>
      <c r="G898" t="s">
        <v>2344</v>
      </c>
      <c r="H898">
        <v>0</v>
      </c>
      <c r="I898" t="s">
        <v>2344</v>
      </c>
      <c r="J898" t="str">
        <f t="shared" si="53"/>
        <v>Over weight</v>
      </c>
      <c r="K898" t="str">
        <f t="shared" si="56"/>
        <v>Diabetes</v>
      </c>
      <c r="L898">
        <v>25</v>
      </c>
      <c r="M898" t="s">
        <v>2356</v>
      </c>
      <c r="N898">
        <v>1984</v>
      </c>
      <c r="O898" s="8">
        <f t="shared" si="54"/>
        <v>30888</v>
      </c>
      <c r="P898" s="10">
        <v>7325.47</v>
      </c>
      <c r="Q898" t="s">
        <v>2357</v>
      </c>
      <c r="R898" t="s">
        <v>2361</v>
      </c>
      <c r="S898" t="s">
        <v>2364</v>
      </c>
      <c r="T898">
        <f t="shared" ca="1" si="55"/>
        <v>42</v>
      </c>
      <c r="U898">
        <f>VLOOKUP($A898,'Medical Examination'!$A:$Z,2,FALSE)</f>
        <v>28.88</v>
      </c>
    </row>
    <row r="899" spans="1:21" ht="15.5" x14ac:dyDescent="0.35">
      <c r="A899" s="2" t="s">
        <v>899</v>
      </c>
      <c r="B899" s="2" t="s">
        <v>3787</v>
      </c>
      <c r="C899">
        <v>23</v>
      </c>
      <c r="D899">
        <v>9.8800000000000008</v>
      </c>
      <c r="E899" t="s">
        <v>2344</v>
      </c>
      <c r="F899" t="s">
        <v>2344</v>
      </c>
      <c r="G899" t="s">
        <v>2344</v>
      </c>
      <c r="H899">
        <v>0</v>
      </c>
      <c r="I899" t="s">
        <v>2344</v>
      </c>
      <c r="J899" t="str">
        <f t="shared" ref="J899:J962" si="57">IF(C899&lt;18.5,"Under Weight",IF(C899&lt;25,"Normal Weight",IF(C899&lt;30,"Over weight","Obesity")))</f>
        <v>Normal Weight</v>
      </c>
      <c r="K899" t="str">
        <f t="shared" si="56"/>
        <v>Diabetes</v>
      </c>
      <c r="L899">
        <v>19</v>
      </c>
      <c r="M899" t="s">
        <v>2363</v>
      </c>
      <c r="N899">
        <v>1979</v>
      </c>
      <c r="O899" s="8">
        <f t="shared" ref="O899:O962" si="58">DATE(N899,MONTH(1&amp;M899),L899)</f>
        <v>29117</v>
      </c>
      <c r="P899" s="10">
        <v>7337.75</v>
      </c>
      <c r="Q899" t="s">
        <v>2357</v>
      </c>
      <c r="R899" t="s">
        <v>2358</v>
      </c>
      <c r="S899" t="s">
        <v>2368</v>
      </c>
      <c r="T899">
        <f t="shared" ref="T899:T962" ca="1" si="59">YEAR(TODAY())-YEAR(O899)</f>
        <v>47</v>
      </c>
      <c r="U899">
        <f>VLOOKUP($A899,'Medical Examination'!$A:$Z,2,FALSE)</f>
        <v>23</v>
      </c>
    </row>
    <row r="900" spans="1:21" ht="15.5" x14ac:dyDescent="0.35">
      <c r="A900" s="2" t="s">
        <v>900</v>
      </c>
      <c r="B900" s="2" t="s">
        <v>2794</v>
      </c>
      <c r="C900">
        <v>38.25</v>
      </c>
      <c r="D900">
        <v>6.2</v>
      </c>
      <c r="E900" t="s">
        <v>2344</v>
      </c>
      <c r="F900" t="s">
        <v>2344</v>
      </c>
      <c r="G900" t="s">
        <v>2344</v>
      </c>
      <c r="H900">
        <v>1</v>
      </c>
      <c r="I900" t="s">
        <v>2344</v>
      </c>
      <c r="J900" t="str">
        <f t="shared" si="57"/>
        <v>Obesity</v>
      </c>
      <c r="K900" t="str">
        <f t="shared" si="56"/>
        <v>Prediabetes</v>
      </c>
      <c r="L900">
        <v>15</v>
      </c>
      <c r="M900" t="s">
        <v>2362</v>
      </c>
      <c r="N900">
        <v>1986</v>
      </c>
      <c r="O900" s="8">
        <f t="shared" si="58"/>
        <v>31578</v>
      </c>
      <c r="P900" s="10">
        <v>7339.93</v>
      </c>
      <c r="Q900" t="s">
        <v>2357</v>
      </c>
      <c r="R900" t="s">
        <v>2357</v>
      </c>
      <c r="S900" t="s">
        <v>2364</v>
      </c>
      <c r="T900">
        <f t="shared" ca="1" si="59"/>
        <v>40</v>
      </c>
      <c r="U900">
        <f>VLOOKUP($A900,'Medical Examination'!$A:$Z,2,FALSE)</f>
        <v>38.25</v>
      </c>
    </row>
    <row r="901" spans="1:21" ht="15.5" x14ac:dyDescent="0.35">
      <c r="A901" s="2" t="s">
        <v>901</v>
      </c>
      <c r="B901" s="2" t="s">
        <v>2822</v>
      </c>
      <c r="C901">
        <v>39.25</v>
      </c>
      <c r="D901">
        <v>8.41</v>
      </c>
      <c r="E901" t="s">
        <v>2346</v>
      </c>
      <c r="F901" t="s">
        <v>2344</v>
      </c>
      <c r="G901" t="s">
        <v>2344</v>
      </c>
      <c r="H901">
        <v>1</v>
      </c>
      <c r="I901" t="s">
        <v>2344</v>
      </c>
      <c r="J901" t="str">
        <f t="shared" si="57"/>
        <v>Obesity</v>
      </c>
      <c r="K901" t="str">
        <f t="shared" si="56"/>
        <v>Diabetes</v>
      </c>
      <c r="L901">
        <v>18</v>
      </c>
      <c r="M901" t="s">
        <v>2365</v>
      </c>
      <c r="N901">
        <v>1977</v>
      </c>
      <c r="O901" s="8">
        <f t="shared" si="58"/>
        <v>28477</v>
      </c>
      <c r="P901" s="10">
        <v>7345.08</v>
      </c>
      <c r="Q901" t="s">
        <v>2357</v>
      </c>
      <c r="R901" t="s">
        <v>2361</v>
      </c>
      <c r="S901" t="s">
        <v>2368</v>
      </c>
      <c r="T901">
        <f t="shared" ca="1" si="59"/>
        <v>49</v>
      </c>
      <c r="U901">
        <f>VLOOKUP($A901,'Medical Examination'!$A:$Z,2,FALSE)</f>
        <v>39.25</v>
      </c>
    </row>
    <row r="902" spans="1:21" ht="15.5" x14ac:dyDescent="0.35">
      <c r="A902" s="2" t="s">
        <v>902</v>
      </c>
      <c r="B902" s="2" t="s">
        <v>3789</v>
      </c>
      <c r="C902">
        <v>26.6</v>
      </c>
      <c r="D902">
        <v>5.07</v>
      </c>
      <c r="E902" t="s">
        <v>2346</v>
      </c>
      <c r="F902" t="s">
        <v>2344</v>
      </c>
      <c r="G902" t="s">
        <v>2344</v>
      </c>
      <c r="H902">
        <v>1</v>
      </c>
      <c r="I902" t="s">
        <v>2344</v>
      </c>
      <c r="J902" t="str">
        <f t="shared" si="57"/>
        <v>Over weight</v>
      </c>
      <c r="K902" t="str">
        <f t="shared" si="56"/>
        <v>Normal</v>
      </c>
      <c r="L902">
        <v>26</v>
      </c>
      <c r="M902" t="s">
        <v>2362</v>
      </c>
      <c r="N902">
        <v>1979</v>
      </c>
      <c r="O902" s="8">
        <f t="shared" si="58"/>
        <v>29032</v>
      </c>
      <c r="P902" s="10">
        <v>7345.73</v>
      </c>
      <c r="Q902" t="s">
        <v>2357</v>
      </c>
      <c r="R902" t="s">
        <v>2361</v>
      </c>
      <c r="S902" t="s">
        <v>2359</v>
      </c>
      <c r="T902">
        <f t="shared" ca="1" si="59"/>
        <v>47</v>
      </c>
      <c r="U902">
        <f>VLOOKUP($A902,'Medical Examination'!$A:$Z,2,FALSE)</f>
        <v>26.6</v>
      </c>
    </row>
    <row r="903" spans="1:21" ht="15.5" x14ac:dyDescent="0.35">
      <c r="A903" s="2" t="s">
        <v>903</v>
      </c>
      <c r="B903" s="2" t="s">
        <v>3790</v>
      </c>
      <c r="C903">
        <v>35.700000000000003</v>
      </c>
      <c r="D903">
        <v>4.0599999999999996</v>
      </c>
      <c r="E903" t="s">
        <v>2344</v>
      </c>
      <c r="F903" t="s">
        <v>2344</v>
      </c>
      <c r="G903" t="s">
        <v>2346</v>
      </c>
      <c r="H903">
        <v>1</v>
      </c>
      <c r="I903" t="s">
        <v>2344</v>
      </c>
      <c r="J903" t="str">
        <f t="shared" si="57"/>
        <v>Obesity</v>
      </c>
      <c r="K903" t="str">
        <f t="shared" si="56"/>
        <v>Normal</v>
      </c>
      <c r="L903">
        <v>1</v>
      </c>
      <c r="M903" t="s">
        <v>2365</v>
      </c>
      <c r="N903">
        <v>1977</v>
      </c>
      <c r="O903" s="8">
        <f t="shared" si="58"/>
        <v>28460</v>
      </c>
      <c r="P903" s="10">
        <v>7348.14</v>
      </c>
      <c r="Q903" t="s">
        <v>2357</v>
      </c>
      <c r="R903" t="s">
        <v>2361</v>
      </c>
      <c r="S903" t="s">
        <v>2368</v>
      </c>
      <c r="T903">
        <f t="shared" ca="1" si="59"/>
        <v>49</v>
      </c>
      <c r="U903">
        <f>VLOOKUP($A903,'Medical Examination'!$A:$Z,2,FALSE)</f>
        <v>35.700000000000003</v>
      </c>
    </row>
    <row r="904" spans="1:21" ht="15.5" x14ac:dyDescent="0.35">
      <c r="A904" s="2" t="s">
        <v>904</v>
      </c>
      <c r="B904" s="2" t="s">
        <v>3791</v>
      </c>
      <c r="C904">
        <v>20.100000000000001</v>
      </c>
      <c r="D904">
        <v>10.52</v>
      </c>
      <c r="E904" t="s">
        <v>2344</v>
      </c>
      <c r="F904" t="s">
        <v>2344</v>
      </c>
      <c r="G904" t="s">
        <v>2344</v>
      </c>
      <c r="H904">
        <v>0</v>
      </c>
      <c r="I904" t="s">
        <v>2344</v>
      </c>
      <c r="J904" t="str">
        <f t="shared" si="57"/>
        <v>Normal Weight</v>
      </c>
      <c r="K904" t="str">
        <f t="shared" si="56"/>
        <v>Diabetes</v>
      </c>
      <c r="L904">
        <v>5</v>
      </c>
      <c r="M904" t="s">
        <v>2367</v>
      </c>
      <c r="N904">
        <v>1993</v>
      </c>
      <c r="O904" s="8">
        <f t="shared" si="58"/>
        <v>34247</v>
      </c>
      <c r="P904" s="10">
        <v>7349.12</v>
      </c>
      <c r="Q904" t="s">
        <v>2357</v>
      </c>
      <c r="R904" t="s">
        <v>2357</v>
      </c>
      <c r="S904" t="s">
        <v>2377</v>
      </c>
      <c r="T904">
        <f t="shared" ca="1" si="59"/>
        <v>33</v>
      </c>
      <c r="U904">
        <f>VLOOKUP($A904,'Medical Examination'!$A:$Z,2,FALSE)</f>
        <v>20.100000000000001</v>
      </c>
    </row>
    <row r="905" spans="1:21" ht="15.5" x14ac:dyDescent="0.35">
      <c r="A905" s="2" t="s">
        <v>905</v>
      </c>
      <c r="B905" s="2" t="s">
        <v>3793</v>
      </c>
      <c r="C905">
        <v>22.23</v>
      </c>
      <c r="D905">
        <v>9.65</v>
      </c>
      <c r="E905" t="s">
        <v>2344</v>
      </c>
      <c r="F905" t="s">
        <v>2344</v>
      </c>
      <c r="G905" t="s">
        <v>2344</v>
      </c>
      <c r="H905">
        <v>0</v>
      </c>
      <c r="I905" t="s">
        <v>2344</v>
      </c>
      <c r="J905" t="str">
        <f t="shared" si="57"/>
        <v>Normal Weight</v>
      </c>
      <c r="K905" t="str">
        <f t="shared" si="56"/>
        <v>Diabetes</v>
      </c>
      <c r="L905">
        <v>21</v>
      </c>
      <c r="M905" t="s">
        <v>2362</v>
      </c>
      <c r="N905">
        <v>1983</v>
      </c>
      <c r="O905" s="8">
        <f t="shared" si="58"/>
        <v>30488</v>
      </c>
      <c r="P905" s="10">
        <v>7357.49</v>
      </c>
      <c r="Q905" t="s">
        <v>2357</v>
      </c>
      <c r="R905" t="s">
        <v>2357</v>
      </c>
      <c r="S905" t="s">
        <v>2364</v>
      </c>
      <c r="T905">
        <f t="shared" ca="1" si="59"/>
        <v>43</v>
      </c>
      <c r="U905">
        <f>VLOOKUP($A905,'Medical Examination'!$A:$Z,2,FALSE)</f>
        <v>22.23</v>
      </c>
    </row>
    <row r="906" spans="1:21" ht="15.5" x14ac:dyDescent="0.35">
      <c r="A906" s="2" t="s">
        <v>906</v>
      </c>
      <c r="B906" s="2" t="s">
        <v>3794</v>
      </c>
      <c r="C906">
        <v>36.47</v>
      </c>
      <c r="D906">
        <v>6.21</v>
      </c>
      <c r="E906" t="s">
        <v>2344</v>
      </c>
      <c r="F906" t="s">
        <v>2344</v>
      </c>
      <c r="G906" t="s">
        <v>2344</v>
      </c>
      <c r="H906">
        <v>0</v>
      </c>
      <c r="I906" t="s">
        <v>2344</v>
      </c>
      <c r="J906" t="str">
        <f t="shared" si="57"/>
        <v>Obesity</v>
      </c>
      <c r="K906" t="str">
        <f t="shared" si="56"/>
        <v>Prediabetes</v>
      </c>
      <c r="L906">
        <v>16</v>
      </c>
      <c r="M906" t="s">
        <v>2356</v>
      </c>
      <c r="N906">
        <v>1981</v>
      </c>
      <c r="O906" s="8">
        <f t="shared" si="58"/>
        <v>29783</v>
      </c>
      <c r="P906" s="10">
        <v>7358.18</v>
      </c>
      <c r="Q906" t="s">
        <v>2357</v>
      </c>
      <c r="R906" t="s">
        <v>2358</v>
      </c>
      <c r="S906" t="s">
        <v>2374</v>
      </c>
      <c r="T906">
        <f t="shared" ca="1" si="59"/>
        <v>45</v>
      </c>
      <c r="U906">
        <f>VLOOKUP($A906,'Medical Examination'!$A:$Z,2,FALSE)</f>
        <v>36.47</v>
      </c>
    </row>
    <row r="907" spans="1:21" ht="15.5" x14ac:dyDescent="0.35">
      <c r="A907" s="2" t="s">
        <v>907</v>
      </c>
      <c r="B907" s="2" t="s">
        <v>3795</v>
      </c>
      <c r="C907">
        <v>49.64</v>
      </c>
      <c r="D907">
        <v>4.76</v>
      </c>
      <c r="E907" t="s">
        <v>2344</v>
      </c>
      <c r="F907" t="s">
        <v>2344</v>
      </c>
      <c r="G907" t="s">
        <v>2346</v>
      </c>
      <c r="H907">
        <v>1</v>
      </c>
      <c r="I907" t="s">
        <v>2344</v>
      </c>
      <c r="J907" t="str">
        <f t="shared" si="57"/>
        <v>Obesity</v>
      </c>
      <c r="K907" t="str">
        <f t="shared" si="56"/>
        <v>Normal</v>
      </c>
      <c r="L907">
        <v>9</v>
      </c>
      <c r="M907" t="s">
        <v>2365</v>
      </c>
      <c r="N907">
        <v>1965</v>
      </c>
      <c r="O907" s="8">
        <f t="shared" si="58"/>
        <v>24085</v>
      </c>
      <c r="P907" s="10">
        <v>7362.31</v>
      </c>
      <c r="Q907" t="s">
        <v>2358</v>
      </c>
      <c r="R907" t="s">
        <v>2358</v>
      </c>
      <c r="S907" t="s">
        <v>2359</v>
      </c>
      <c r="T907">
        <f t="shared" ca="1" si="59"/>
        <v>61</v>
      </c>
      <c r="U907">
        <f>VLOOKUP($A907,'Medical Examination'!$A:$Z,2,FALSE)</f>
        <v>49.64</v>
      </c>
    </row>
    <row r="908" spans="1:21" ht="15.5" x14ac:dyDescent="0.35">
      <c r="A908" s="2" t="s">
        <v>908</v>
      </c>
      <c r="B908" s="2" t="s">
        <v>3796</v>
      </c>
      <c r="C908">
        <v>36.799999999999997</v>
      </c>
      <c r="D908">
        <v>5.73</v>
      </c>
      <c r="E908" t="s">
        <v>2346</v>
      </c>
      <c r="F908" t="s">
        <v>2344</v>
      </c>
      <c r="G908" t="s">
        <v>2346</v>
      </c>
      <c r="H908">
        <v>1</v>
      </c>
      <c r="I908" t="s">
        <v>2344</v>
      </c>
      <c r="J908" t="str">
        <f t="shared" si="57"/>
        <v>Obesity</v>
      </c>
      <c r="K908" t="str">
        <f t="shared" ref="K908:K971" si="60">IF(D908&lt;5.7,"Normal",IF(D908&lt;6.5,"Prediabetes","Diabetes"))</f>
        <v>Prediabetes</v>
      </c>
      <c r="L908">
        <v>24</v>
      </c>
      <c r="M908" t="s">
        <v>2360</v>
      </c>
      <c r="N908">
        <v>1981</v>
      </c>
      <c r="O908" s="8">
        <f t="shared" si="58"/>
        <v>29914</v>
      </c>
      <c r="P908" s="10">
        <v>7371.77</v>
      </c>
      <c r="Q908" t="s">
        <v>2357</v>
      </c>
      <c r="R908" t="s">
        <v>2361</v>
      </c>
      <c r="S908" t="s">
        <v>2368</v>
      </c>
      <c r="T908">
        <f t="shared" ca="1" si="59"/>
        <v>45</v>
      </c>
      <c r="U908">
        <f>VLOOKUP($A908,'Medical Examination'!$A:$Z,2,FALSE)</f>
        <v>36.799999999999997</v>
      </c>
    </row>
    <row r="909" spans="1:21" ht="15.5" x14ac:dyDescent="0.35">
      <c r="A909" s="2" t="s">
        <v>909</v>
      </c>
      <c r="B909" s="2" t="s">
        <v>3798</v>
      </c>
      <c r="C909">
        <v>33.880000000000003</v>
      </c>
      <c r="D909">
        <v>10.78</v>
      </c>
      <c r="E909" t="s">
        <v>2346</v>
      </c>
      <c r="F909" t="s">
        <v>2344</v>
      </c>
      <c r="G909" t="s">
        <v>2344</v>
      </c>
      <c r="H909">
        <v>0</v>
      </c>
      <c r="I909" t="s">
        <v>2344</v>
      </c>
      <c r="J909" t="str">
        <f t="shared" si="57"/>
        <v>Obesity</v>
      </c>
      <c r="K909" t="str">
        <f t="shared" si="60"/>
        <v>Diabetes</v>
      </c>
      <c r="L909">
        <v>22</v>
      </c>
      <c r="M909" t="s">
        <v>2356</v>
      </c>
      <c r="N909">
        <v>1993</v>
      </c>
      <c r="O909" s="8">
        <f t="shared" si="58"/>
        <v>34172</v>
      </c>
      <c r="P909" s="10">
        <v>7388.85</v>
      </c>
      <c r="Q909" t="s">
        <v>2357</v>
      </c>
      <c r="R909" t="s">
        <v>2357</v>
      </c>
      <c r="S909" t="s">
        <v>2380</v>
      </c>
      <c r="T909">
        <f t="shared" ca="1" si="59"/>
        <v>33</v>
      </c>
      <c r="U909">
        <f>VLOOKUP($A909,'Medical Examination'!$A:$Z,2,FALSE)</f>
        <v>33.880000000000003</v>
      </c>
    </row>
    <row r="910" spans="1:21" ht="15.5" x14ac:dyDescent="0.35">
      <c r="A910" s="2" t="s">
        <v>910</v>
      </c>
      <c r="B910" s="2" t="s">
        <v>3799</v>
      </c>
      <c r="C910">
        <v>32.01</v>
      </c>
      <c r="D910">
        <v>5.08</v>
      </c>
      <c r="E910" t="s">
        <v>2346</v>
      </c>
      <c r="F910" t="s">
        <v>2344</v>
      </c>
      <c r="G910" t="s">
        <v>2344</v>
      </c>
      <c r="H910">
        <v>1</v>
      </c>
      <c r="I910" t="s">
        <v>2344</v>
      </c>
      <c r="J910" t="str">
        <f t="shared" si="57"/>
        <v>Obesity</v>
      </c>
      <c r="K910" t="str">
        <f t="shared" si="60"/>
        <v>Normal</v>
      </c>
      <c r="L910">
        <v>5</v>
      </c>
      <c r="M910" t="s">
        <v>2365</v>
      </c>
      <c r="N910">
        <v>1965</v>
      </c>
      <c r="O910" s="8">
        <f t="shared" si="58"/>
        <v>24081</v>
      </c>
      <c r="P910" s="10">
        <v>7403.98</v>
      </c>
      <c r="Q910" t="s">
        <v>2358</v>
      </c>
      <c r="R910" t="s">
        <v>2357</v>
      </c>
      <c r="S910" t="s">
        <v>2359</v>
      </c>
      <c r="T910">
        <f t="shared" ca="1" si="59"/>
        <v>61</v>
      </c>
      <c r="U910">
        <f>VLOOKUP($A910,'Medical Examination'!$A:$Z,2,FALSE)</f>
        <v>32.01</v>
      </c>
    </row>
    <row r="911" spans="1:21" ht="15.5" x14ac:dyDescent="0.35">
      <c r="A911" s="2" t="s">
        <v>911</v>
      </c>
      <c r="B911" s="2" t="s">
        <v>3800</v>
      </c>
      <c r="C911">
        <v>33.630000000000003</v>
      </c>
      <c r="D911">
        <v>11.39</v>
      </c>
      <c r="E911" t="s">
        <v>2344</v>
      </c>
      <c r="F911" t="s">
        <v>2344</v>
      </c>
      <c r="G911" t="s">
        <v>2344</v>
      </c>
      <c r="H911">
        <v>0</v>
      </c>
      <c r="I911" t="s">
        <v>2344</v>
      </c>
      <c r="J911" t="str">
        <f t="shared" si="57"/>
        <v>Obesity</v>
      </c>
      <c r="K911" t="str">
        <f t="shared" si="60"/>
        <v>Diabetes</v>
      </c>
      <c r="L911">
        <v>19</v>
      </c>
      <c r="M911" t="s">
        <v>2363</v>
      </c>
      <c r="N911">
        <v>1983</v>
      </c>
      <c r="O911" s="8">
        <f t="shared" si="58"/>
        <v>30578</v>
      </c>
      <c r="P911" s="10">
        <v>7418.52</v>
      </c>
      <c r="Q911" t="s">
        <v>2357</v>
      </c>
      <c r="R911" t="s">
        <v>2357</v>
      </c>
      <c r="S911" t="s">
        <v>2368</v>
      </c>
      <c r="T911">
        <f t="shared" ca="1" si="59"/>
        <v>43</v>
      </c>
      <c r="U911">
        <f>VLOOKUP($A911,'Medical Examination'!$A:$Z,2,FALSE)</f>
        <v>33.630000000000003</v>
      </c>
    </row>
    <row r="912" spans="1:21" ht="15.5" x14ac:dyDescent="0.35">
      <c r="A912" s="2" t="s">
        <v>912</v>
      </c>
      <c r="B912" s="2" t="s">
        <v>3802</v>
      </c>
      <c r="C912">
        <v>34.865000000000002</v>
      </c>
      <c r="D912">
        <v>5.35</v>
      </c>
      <c r="E912" t="s">
        <v>2346</v>
      </c>
      <c r="F912" t="s">
        <v>2344</v>
      </c>
      <c r="G912" t="s">
        <v>2344</v>
      </c>
      <c r="H912">
        <v>1</v>
      </c>
      <c r="I912" t="s">
        <v>2344</v>
      </c>
      <c r="J912" t="str">
        <f t="shared" si="57"/>
        <v>Obesity</v>
      </c>
      <c r="K912" t="str">
        <f t="shared" si="60"/>
        <v>Normal</v>
      </c>
      <c r="L912">
        <v>12</v>
      </c>
      <c r="M912" t="s">
        <v>2360</v>
      </c>
      <c r="N912">
        <v>1978</v>
      </c>
      <c r="O912" s="8">
        <f t="shared" si="58"/>
        <v>28806</v>
      </c>
      <c r="P912" s="10">
        <v>7419.48</v>
      </c>
      <c r="Q912" t="s">
        <v>2357</v>
      </c>
      <c r="R912" t="s">
        <v>2357</v>
      </c>
      <c r="S912" t="s">
        <v>2364</v>
      </c>
      <c r="T912">
        <f t="shared" ca="1" si="59"/>
        <v>48</v>
      </c>
      <c r="U912">
        <f>VLOOKUP($A912,'Medical Examination'!$A:$Z,2,FALSE)</f>
        <v>34.865000000000002</v>
      </c>
    </row>
    <row r="913" spans="1:21" ht="15.5" x14ac:dyDescent="0.35">
      <c r="A913" s="2" t="s">
        <v>913</v>
      </c>
      <c r="B913" s="2" t="s">
        <v>3804</v>
      </c>
      <c r="C913">
        <v>43.11</v>
      </c>
      <c r="D913">
        <v>5.6</v>
      </c>
      <c r="E913" t="s">
        <v>2344</v>
      </c>
      <c r="F913" t="s">
        <v>2344</v>
      </c>
      <c r="G913" t="s">
        <v>2344</v>
      </c>
      <c r="H913">
        <v>0</v>
      </c>
      <c r="I913" t="s">
        <v>2344</v>
      </c>
      <c r="J913" t="str">
        <f t="shared" si="57"/>
        <v>Obesity</v>
      </c>
      <c r="K913" t="str">
        <f t="shared" si="60"/>
        <v>Normal</v>
      </c>
      <c r="L913">
        <v>2</v>
      </c>
      <c r="M913" t="s">
        <v>2365</v>
      </c>
      <c r="N913">
        <v>1978</v>
      </c>
      <c r="O913" s="8">
        <f t="shared" si="58"/>
        <v>28826</v>
      </c>
      <c r="P913" s="10">
        <v>7421.19</v>
      </c>
      <c r="Q913" t="s">
        <v>2357</v>
      </c>
      <c r="R913" t="s">
        <v>2358</v>
      </c>
      <c r="S913" t="s">
        <v>2364</v>
      </c>
      <c r="T913">
        <f t="shared" ca="1" si="59"/>
        <v>48</v>
      </c>
      <c r="U913">
        <f>VLOOKUP($A913,'Medical Examination'!$A:$Z,2,FALSE)</f>
        <v>43.11</v>
      </c>
    </row>
    <row r="914" spans="1:21" ht="15.5" x14ac:dyDescent="0.35">
      <c r="A914" s="2" t="s">
        <v>914</v>
      </c>
      <c r="B914" s="2" t="s">
        <v>3805</v>
      </c>
      <c r="C914">
        <v>30.305</v>
      </c>
      <c r="D914">
        <v>4.2699999999999996</v>
      </c>
      <c r="E914" t="s">
        <v>2346</v>
      </c>
      <c r="F914" t="s">
        <v>2344</v>
      </c>
      <c r="G914" t="s">
        <v>2344</v>
      </c>
      <c r="H914">
        <v>1</v>
      </c>
      <c r="I914" t="s">
        <v>2344</v>
      </c>
      <c r="J914" t="str">
        <f t="shared" si="57"/>
        <v>Obesity</v>
      </c>
      <c r="K914" t="str">
        <f t="shared" si="60"/>
        <v>Normal</v>
      </c>
      <c r="L914">
        <v>25</v>
      </c>
      <c r="M914" t="s">
        <v>2366</v>
      </c>
      <c r="N914">
        <v>1977</v>
      </c>
      <c r="O914" s="8">
        <f t="shared" si="58"/>
        <v>28362</v>
      </c>
      <c r="P914" s="10">
        <v>7441.05</v>
      </c>
      <c r="Q914" t="s">
        <v>2358</v>
      </c>
      <c r="R914" t="s">
        <v>2357</v>
      </c>
      <c r="S914" t="s">
        <v>2368</v>
      </c>
      <c r="T914">
        <f t="shared" ca="1" si="59"/>
        <v>49</v>
      </c>
      <c r="U914">
        <f>VLOOKUP($A914,'Medical Examination'!$A:$Z,2,FALSE)</f>
        <v>30.305</v>
      </c>
    </row>
    <row r="915" spans="1:21" ht="15.5" x14ac:dyDescent="0.35">
      <c r="A915" s="2" t="s">
        <v>915</v>
      </c>
      <c r="B915" s="2" t="s">
        <v>2667</v>
      </c>
      <c r="C915">
        <v>25.175000000000001</v>
      </c>
      <c r="D915">
        <v>5.57</v>
      </c>
      <c r="E915" t="s">
        <v>2346</v>
      </c>
      <c r="F915" t="s">
        <v>2344</v>
      </c>
      <c r="G915" t="s">
        <v>2344</v>
      </c>
      <c r="H915">
        <v>1</v>
      </c>
      <c r="I915" t="s">
        <v>2344</v>
      </c>
      <c r="J915" t="str">
        <f t="shared" si="57"/>
        <v>Over weight</v>
      </c>
      <c r="K915" t="str">
        <f t="shared" si="60"/>
        <v>Normal</v>
      </c>
      <c r="L915">
        <v>1</v>
      </c>
      <c r="M915" t="s">
        <v>2363</v>
      </c>
      <c r="N915">
        <v>1979</v>
      </c>
      <c r="O915" s="8">
        <f t="shared" si="58"/>
        <v>29099</v>
      </c>
      <c r="P915" s="10">
        <v>7441.5</v>
      </c>
      <c r="Q915" t="s">
        <v>2358</v>
      </c>
      <c r="R915" t="s">
        <v>2357</v>
      </c>
      <c r="S915" t="s">
        <v>2368</v>
      </c>
      <c r="T915">
        <f t="shared" ca="1" si="59"/>
        <v>47</v>
      </c>
      <c r="U915">
        <f>VLOOKUP($A915,'Medical Examination'!$A:$Z,2,FALSE)</f>
        <v>25.175000000000001</v>
      </c>
    </row>
    <row r="916" spans="1:21" ht="15.5" x14ac:dyDescent="0.35">
      <c r="A916" s="2" t="s">
        <v>916</v>
      </c>
      <c r="B916" s="2" t="s">
        <v>3807</v>
      </c>
      <c r="C916">
        <v>26.8</v>
      </c>
      <c r="D916">
        <v>5.68</v>
      </c>
      <c r="E916" t="s">
        <v>2346</v>
      </c>
      <c r="F916" t="s">
        <v>2344</v>
      </c>
      <c r="G916" t="s">
        <v>2344</v>
      </c>
      <c r="H916">
        <v>1</v>
      </c>
      <c r="I916" t="s">
        <v>2344</v>
      </c>
      <c r="J916" t="str">
        <f t="shared" si="57"/>
        <v>Over weight</v>
      </c>
      <c r="K916" t="str">
        <f t="shared" si="60"/>
        <v>Normal</v>
      </c>
      <c r="L916">
        <v>7</v>
      </c>
      <c r="M916" t="s">
        <v>2356</v>
      </c>
      <c r="N916">
        <v>1980</v>
      </c>
      <c r="O916" s="8">
        <f t="shared" si="58"/>
        <v>29409</v>
      </c>
      <c r="P916" s="10">
        <v>7443.64</v>
      </c>
      <c r="Q916" t="s">
        <v>2357</v>
      </c>
      <c r="R916" t="s">
        <v>2358</v>
      </c>
      <c r="S916" t="s">
        <v>2364</v>
      </c>
      <c r="T916">
        <f t="shared" ca="1" si="59"/>
        <v>46</v>
      </c>
      <c r="U916">
        <f>VLOOKUP($A916,'Medical Examination'!$A:$Z,2,FALSE)</f>
        <v>26.8</v>
      </c>
    </row>
    <row r="917" spans="1:21" ht="15.5" x14ac:dyDescent="0.35">
      <c r="A917" s="2" t="s">
        <v>917</v>
      </c>
      <c r="B917" s="2" t="s">
        <v>2822</v>
      </c>
      <c r="C917">
        <v>21.78</v>
      </c>
      <c r="D917">
        <v>5.3</v>
      </c>
      <c r="E917" t="s">
        <v>2344</v>
      </c>
      <c r="F917" t="s">
        <v>2345</v>
      </c>
      <c r="G917" t="s">
        <v>2344</v>
      </c>
      <c r="H917">
        <v>1</v>
      </c>
      <c r="I917" t="s">
        <v>2344</v>
      </c>
      <c r="J917" t="str">
        <f t="shared" si="57"/>
        <v>Normal Weight</v>
      </c>
      <c r="K917" t="str">
        <f t="shared" si="60"/>
        <v>Normal</v>
      </c>
      <c r="L917">
        <v>25</v>
      </c>
      <c r="M917" t="s">
        <v>2363</v>
      </c>
      <c r="N917">
        <v>1977</v>
      </c>
      <c r="O917" s="8">
        <f t="shared" si="58"/>
        <v>28393</v>
      </c>
      <c r="P917" s="10">
        <v>7445.92</v>
      </c>
      <c r="Q917" t="s">
        <v>2358</v>
      </c>
      <c r="R917" t="s">
        <v>2361</v>
      </c>
      <c r="S917" t="s">
        <v>2368</v>
      </c>
      <c r="T917">
        <f t="shared" ca="1" si="59"/>
        <v>49</v>
      </c>
      <c r="U917">
        <f>VLOOKUP($A917,'Medical Examination'!$A:$Z,2,FALSE)</f>
        <v>21.78</v>
      </c>
    </row>
    <row r="918" spans="1:21" ht="15.5" x14ac:dyDescent="0.35">
      <c r="A918" s="2" t="s">
        <v>918</v>
      </c>
      <c r="B918" s="2" t="s">
        <v>3808</v>
      </c>
      <c r="C918">
        <v>30.14</v>
      </c>
      <c r="D918">
        <v>9.4499999999999993</v>
      </c>
      <c r="E918" t="s">
        <v>2346</v>
      </c>
      <c r="F918" t="s">
        <v>2344</v>
      </c>
      <c r="G918" t="s">
        <v>2344</v>
      </c>
      <c r="H918">
        <v>0</v>
      </c>
      <c r="I918" t="s">
        <v>2344</v>
      </c>
      <c r="J918" t="str">
        <f t="shared" si="57"/>
        <v>Obesity</v>
      </c>
      <c r="K918" t="str">
        <f t="shared" si="60"/>
        <v>Diabetes</v>
      </c>
      <c r="L918">
        <v>30</v>
      </c>
      <c r="M918" t="s">
        <v>2363</v>
      </c>
      <c r="N918">
        <v>1977</v>
      </c>
      <c r="O918" s="8">
        <f t="shared" si="58"/>
        <v>28398</v>
      </c>
      <c r="P918" s="10">
        <v>7448.4</v>
      </c>
      <c r="Q918" t="s">
        <v>2358</v>
      </c>
      <c r="R918" t="s">
        <v>2358</v>
      </c>
      <c r="S918" t="s">
        <v>2378</v>
      </c>
      <c r="T918">
        <f t="shared" ca="1" si="59"/>
        <v>49</v>
      </c>
      <c r="U918">
        <f>VLOOKUP($A918,'Medical Examination'!$A:$Z,2,FALSE)</f>
        <v>30.14</v>
      </c>
    </row>
    <row r="919" spans="1:21" ht="15.5" x14ac:dyDescent="0.35">
      <c r="A919" s="2" t="s">
        <v>919</v>
      </c>
      <c r="B919" s="2" t="s">
        <v>3809</v>
      </c>
      <c r="C919">
        <v>29.7</v>
      </c>
      <c r="D919">
        <v>6.79</v>
      </c>
      <c r="E919" t="s">
        <v>2346</v>
      </c>
      <c r="F919" t="s">
        <v>2344</v>
      </c>
      <c r="G919" t="s">
        <v>2344</v>
      </c>
      <c r="H919">
        <v>0</v>
      </c>
      <c r="I919" t="s">
        <v>2344</v>
      </c>
      <c r="J919" t="str">
        <f t="shared" si="57"/>
        <v>Over weight</v>
      </c>
      <c r="K919" t="str">
        <f t="shared" si="60"/>
        <v>Diabetes</v>
      </c>
      <c r="L919">
        <v>1</v>
      </c>
      <c r="M919" t="s">
        <v>2362</v>
      </c>
      <c r="N919">
        <v>2001</v>
      </c>
      <c r="O919" s="8">
        <f t="shared" si="58"/>
        <v>37043</v>
      </c>
      <c r="P919" s="10">
        <v>7450.36</v>
      </c>
      <c r="Q919" t="s">
        <v>2357</v>
      </c>
      <c r="R919" t="s">
        <v>2357</v>
      </c>
      <c r="S919" t="s">
        <v>2364</v>
      </c>
      <c r="T919">
        <f t="shared" ca="1" si="59"/>
        <v>25</v>
      </c>
      <c r="U919">
        <f>VLOOKUP($A919,'Medical Examination'!$A:$Z,2,FALSE)</f>
        <v>29.7</v>
      </c>
    </row>
    <row r="920" spans="1:21" ht="15.5" x14ac:dyDescent="0.35">
      <c r="A920" s="2" t="s">
        <v>920</v>
      </c>
      <c r="B920" s="2" t="s">
        <v>3810</v>
      </c>
      <c r="C920">
        <v>32.395000000000003</v>
      </c>
      <c r="D920">
        <v>11.1</v>
      </c>
      <c r="E920" t="s">
        <v>2346</v>
      </c>
      <c r="F920" t="s">
        <v>2344</v>
      </c>
      <c r="G920" t="s">
        <v>2344</v>
      </c>
      <c r="H920">
        <v>0</v>
      </c>
      <c r="I920" t="s">
        <v>2344</v>
      </c>
      <c r="J920" t="str">
        <f t="shared" si="57"/>
        <v>Obesity</v>
      </c>
      <c r="K920" t="str">
        <f t="shared" si="60"/>
        <v>Diabetes</v>
      </c>
      <c r="L920">
        <v>4</v>
      </c>
      <c r="M920" t="s">
        <v>2366</v>
      </c>
      <c r="N920">
        <v>1967</v>
      </c>
      <c r="O920" s="8">
        <f t="shared" si="58"/>
        <v>24688</v>
      </c>
      <c r="P920" s="10">
        <v>7463.51</v>
      </c>
      <c r="Q920" t="s">
        <v>2358</v>
      </c>
      <c r="R920" t="s">
        <v>2358</v>
      </c>
      <c r="S920" t="s">
        <v>2359</v>
      </c>
      <c r="T920">
        <f t="shared" ca="1" si="59"/>
        <v>59</v>
      </c>
      <c r="U920">
        <f>VLOOKUP($A920,'Medical Examination'!$A:$Z,2,FALSE)</f>
        <v>32.395000000000003</v>
      </c>
    </row>
    <row r="921" spans="1:21" ht="15.5" x14ac:dyDescent="0.35">
      <c r="A921" s="2" t="s">
        <v>921</v>
      </c>
      <c r="B921" s="2" t="s">
        <v>3811</v>
      </c>
      <c r="C921">
        <v>36.64</v>
      </c>
      <c r="D921">
        <v>7.26</v>
      </c>
      <c r="E921" t="s">
        <v>2344</v>
      </c>
      <c r="F921" t="s">
        <v>2344</v>
      </c>
      <c r="G921" t="s">
        <v>2344</v>
      </c>
      <c r="H921">
        <v>0</v>
      </c>
      <c r="I921" t="s">
        <v>2344</v>
      </c>
      <c r="J921" t="str">
        <f t="shared" si="57"/>
        <v>Obesity</v>
      </c>
      <c r="K921" t="str">
        <f t="shared" si="60"/>
        <v>Diabetes</v>
      </c>
      <c r="L921">
        <v>14</v>
      </c>
      <c r="M921" t="s">
        <v>2362</v>
      </c>
      <c r="N921">
        <v>1996</v>
      </c>
      <c r="O921" s="8">
        <f t="shared" si="58"/>
        <v>35230</v>
      </c>
      <c r="P921" s="10">
        <v>7487.38</v>
      </c>
      <c r="Q921" t="s">
        <v>2357</v>
      </c>
      <c r="R921" t="s">
        <v>2358</v>
      </c>
      <c r="S921" t="s">
        <v>2364</v>
      </c>
      <c r="T921">
        <f t="shared" ca="1" si="59"/>
        <v>30</v>
      </c>
      <c r="U921">
        <f>VLOOKUP($A921,'Medical Examination'!$A:$Z,2,FALSE)</f>
        <v>36.64</v>
      </c>
    </row>
    <row r="922" spans="1:21" ht="15.5" x14ac:dyDescent="0.35">
      <c r="A922" s="2" t="s">
        <v>922</v>
      </c>
      <c r="B922" s="2" t="s">
        <v>3813</v>
      </c>
      <c r="C922">
        <v>39.049999999999997</v>
      </c>
      <c r="D922">
        <v>5.27</v>
      </c>
      <c r="E922" t="s">
        <v>2346</v>
      </c>
      <c r="F922" t="s">
        <v>2344</v>
      </c>
      <c r="G922" t="s">
        <v>2344</v>
      </c>
      <c r="H922">
        <v>1</v>
      </c>
      <c r="I922" t="s">
        <v>2344</v>
      </c>
      <c r="J922" t="str">
        <f t="shared" si="57"/>
        <v>Obesity</v>
      </c>
      <c r="K922" t="str">
        <f t="shared" si="60"/>
        <v>Normal</v>
      </c>
      <c r="L922">
        <v>15</v>
      </c>
      <c r="M922" t="s">
        <v>2365</v>
      </c>
      <c r="N922">
        <v>1988</v>
      </c>
      <c r="O922" s="8">
        <f t="shared" si="58"/>
        <v>32492</v>
      </c>
      <c r="P922" s="10">
        <v>7494.63</v>
      </c>
      <c r="Q922" t="s">
        <v>2357</v>
      </c>
      <c r="R922" t="s">
        <v>2358</v>
      </c>
      <c r="S922" t="s">
        <v>2373</v>
      </c>
      <c r="T922">
        <f t="shared" ca="1" si="59"/>
        <v>38</v>
      </c>
      <c r="U922">
        <f>VLOOKUP($A922,'Medical Examination'!$A:$Z,2,FALSE)</f>
        <v>39.049999999999997</v>
      </c>
    </row>
    <row r="923" spans="1:21" ht="15.5" x14ac:dyDescent="0.35">
      <c r="A923" s="2" t="s">
        <v>923</v>
      </c>
      <c r="B923" s="2" t="s">
        <v>3814</v>
      </c>
      <c r="C923">
        <v>33.1</v>
      </c>
      <c r="D923">
        <v>5.46</v>
      </c>
      <c r="E923" t="s">
        <v>2346</v>
      </c>
      <c r="F923" t="s">
        <v>2344</v>
      </c>
      <c r="G923" t="s">
        <v>2344</v>
      </c>
      <c r="H923">
        <v>1</v>
      </c>
      <c r="I923" t="s">
        <v>2344</v>
      </c>
      <c r="J923" t="str">
        <f t="shared" si="57"/>
        <v>Obesity</v>
      </c>
      <c r="K923" t="str">
        <f t="shared" si="60"/>
        <v>Normal</v>
      </c>
      <c r="L923">
        <v>28</v>
      </c>
      <c r="M923" t="s">
        <v>2367</v>
      </c>
      <c r="N923">
        <v>1997</v>
      </c>
      <c r="O923" s="8">
        <f t="shared" si="58"/>
        <v>35731</v>
      </c>
      <c r="P923" s="10">
        <v>7504.3</v>
      </c>
      <c r="Q923" t="s">
        <v>2357</v>
      </c>
      <c r="R923" t="s">
        <v>2361</v>
      </c>
      <c r="S923" t="s">
        <v>2364</v>
      </c>
      <c r="T923">
        <f t="shared" ca="1" si="59"/>
        <v>29</v>
      </c>
      <c r="U923">
        <f>VLOOKUP($A923,'Medical Examination'!$A:$Z,2,FALSE)</f>
        <v>33.1</v>
      </c>
    </row>
    <row r="924" spans="1:21" ht="15.5" x14ac:dyDescent="0.35">
      <c r="A924" s="2" t="s">
        <v>924</v>
      </c>
      <c r="B924" s="2" t="s">
        <v>3816</v>
      </c>
      <c r="C924">
        <v>31.824999999999999</v>
      </c>
      <c r="D924">
        <v>8.1300000000000008</v>
      </c>
      <c r="E924" t="s">
        <v>2344</v>
      </c>
      <c r="F924" t="s">
        <v>2344</v>
      </c>
      <c r="G924" t="s">
        <v>2344</v>
      </c>
      <c r="H924">
        <v>0</v>
      </c>
      <c r="I924" t="s">
        <v>2344</v>
      </c>
      <c r="J924" t="str">
        <f t="shared" si="57"/>
        <v>Obesity</v>
      </c>
      <c r="K924" t="str">
        <f t="shared" si="60"/>
        <v>Diabetes</v>
      </c>
      <c r="L924">
        <v>10</v>
      </c>
      <c r="M924" t="s">
        <v>2356</v>
      </c>
      <c r="N924">
        <v>1983</v>
      </c>
      <c r="O924" s="8">
        <f t="shared" si="58"/>
        <v>30507</v>
      </c>
      <c r="P924" s="10">
        <v>7512.27</v>
      </c>
      <c r="Q924" t="s">
        <v>2358</v>
      </c>
      <c r="R924" t="s">
        <v>2357</v>
      </c>
      <c r="S924" t="s">
        <v>2368</v>
      </c>
      <c r="T924">
        <f t="shared" ca="1" si="59"/>
        <v>43</v>
      </c>
      <c r="U924">
        <f>VLOOKUP($A924,'Medical Examination'!$A:$Z,2,FALSE)</f>
        <v>31.824999999999999</v>
      </c>
    </row>
    <row r="925" spans="1:21" ht="15.5" x14ac:dyDescent="0.35">
      <c r="A925" s="2" t="s">
        <v>925</v>
      </c>
      <c r="B925" s="2" t="s">
        <v>3817</v>
      </c>
      <c r="C925">
        <v>29</v>
      </c>
      <c r="D925">
        <v>4.25</v>
      </c>
      <c r="E925" t="s">
        <v>2346</v>
      </c>
      <c r="F925" t="s">
        <v>2344</v>
      </c>
      <c r="G925" t="s">
        <v>2344</v>
      </c>
      <c r="H925">
        <v>1</v>
      </c>
      <c r="I925" t="s">
        <v>2344</v>
      </c>
      <c r="J925" t="str">
        <f t="shared" si="57"/>
        <v>Over weight</v>
      </c>
      <c r="K925" t="str">
        <f t="shared" si="60"/>
        <v>Normal</v>
      </c>
      <c r="L925">
        <v>18</v>
      </c>
      <c r="M925" t="s">
        <v>2367</v>
      </c>
      <c r="N925">
        <v>1978</v>
      </c>
      <c r="O925" s="8">
        <f t="shared" si="58"/>
        <v>28781</v>
      </c>
      <c r="P925" s="10">
        <v>7518.03</v>
      </c>
      <c r="Q925" t="s">
        <v>2357</v>
      </c>
      <c r="R925" t="s">
        <v>2358</v>
      </c>
      <c r="S925" t="s">
        <v>2364</v>
      </c>
      <c r="T925">
        <f t="shared" ca="1" si="59"/>
        <v>48</v>
      </c>
      <c r="U925">
        <f>VLOOKUP($A925,'Medical Examination'!$A:$Z,2,FALSE)</f>
        <v>29</v>
      </c>
    </row>
    <row r="926" spans="1:21" ht="15.5" x14ac:dyDescent="0.35">
      <c r="A926" s="2" t="s">
        <v>926</v>
      </c>
      <c r="B926" s="2" t="s">
        <v>3819</v>
      </c>
      <c r="C926">
        <v>30.495000000000001</v>
      </c>
      <c r="D926">
        <v>8.68</v>
      </c>
      <c r="E926" t="s">
        <v>2344</v>
      </c>
      <c r="F926" t="s">
        <v>2344</v>
      </c>
      <c r="G926" t="s">
        <v>2344</v>
      </c>
      <c r="H926">
        <v>0</v>
      </c>
      <c r="I926" t="s">
        <v>2344</v>
      </c>
      <c r="J926" t="str">
        <f t="shared" si="57"/>
        <v>Obesity</v>
      </c>
      <c r="K926" t="str">
        <f t="shared" si="60"/>
        <v>Diabetes</v>
      </c>
      <c r="L926">
        <v>10</v>
      </c>
      <c r="M926" t="s">
        <v>2367</v>
      </c>
      <c r="N926">
        <v>1976</v>
      </c>
      <c r="O926" s="8">
        <f t="shared" si="58"/>
        <v>28043</v>
      </c>
      <c r="P926" s="10">
        <v>7526.71</v>
      </c>
      <c r="Q926" t="s">
        <v>2358</v>
      </c>
      <c r="R926" t="s">
        <v>2361</v>
      </c>
      <c r="S926" t="s">
        <v>2364</v>
      </c>
      <c r="T926">
        <f t="shared" ca="1" si="59"/>
        <v>50</v>
      </c>
      <c r="U926">
        <f>VLOOKUP($A926,'Medical Examination'!$A:$Z,2,FALSE)</f>
        <v>30.495000000000001</v>
      </c>
    </row>
    <row r="927" spans="1:21" ht="15.5" x14ac:dyDescent="0.35">
      <c r="A927" s="2" t="s">
        <v>927</v>
      </c>
      <c r="B927" s="2" t="s">
        <v>3821</v>
      </c>
      <c r="C927">
        <v>25.2</v>
      </c>
      <c r="D927">
        <v>6.25</v>
      </c>
      <c r="E927" t="s">
        <v>2346</v>
      </c>
      <c r="F927" t="s">
        <v>2344</v>
      </c>
      <c r="G927" t="s">
        <v>2344</v>
      </c>
      <c r="H927">
        <v>1</v>
      </c>
      <c r="I927" t="s">
        <v>2344</v>
      </c>
      <c r="J927" t="str">
        <f t="shared" si="57"/>
        <v>Over weight</v>
      </c>
      <c r="K927" t="str">
        <f t="shared" si="60"/>
        <v>Prediabetes</v>
      </c>
      <c r="L927">
        <v>14</v>
      </c>
      <c r="M927" t="s">
        <v>2365</v>
      </c>
      <c r="N927">
        <v>1978</v>
      </c>
      <c r="O927" s="8">
        <f t="shared" si="58"/>
        <v>28838</v>
      </c>
      <c r="P927" s="10">
        <v>7531.7</v>
      </c>
      <c r="Q927" t="s">
        <v>2357</v>
      </c>
      <c r="R927" t="s">
        <v>2361</v>
      </c>
      <c r="S927" t="s">
        <v>2359</v>
      </c>
      <c r="T927">
        <f t="shared" ca="1" si="59"/>
        <v>48</v>
      </c>
      <c r="U927">
        <f>VLOOKUP($A927,'Medical Examination'!$A:$Z,2,FALSE)</f>
        <v>25.2</v>
      </c>
    </row>
    <row r="928" spans="1:21" ht="15.5" x14ac:dyDescent="0.35">
      <c r="A928" s="2" t="s">
        <v>928</v>
      </c>
      <c r="B928" s="2" t="s">
        <v>3823</v>
      </c>
      <c r="C928">
        <v>22.77</v>
      </c>
      <c r="D928">
        <v>4.47</v>
      </c>
      <c r="E928" t="s">
        <v>2346</v>
      </c>
      <c r="F928" t="s">
        <v>2344</v>
      </c>
      <c r="G928" t="s">
        <v>2344</v>
      </c>
      <c r="H928">
        <v>1</v>
      </c>
      <c r="I928" t="s">
        <v>2344</v>
      </c>
      <c r="J928" t="str">
        <f t="shared" si="57"/>
        <v>Normal Weight</v>
      </c>
      <c r="K928" t="str">
        <f t="shared" si="60"/>
        <v>Normal</v>
      </c>
      <c r="L928">
        <v>22</v>
      </c>
      <c r="M928" t="s">
        <v>2366</v>
      </c>
      <c r="N928">
        <v>1984</v>
      </c>
      <c r="O928" s="8">
        <f t="shared" si="58"/>
        <v>30916</v>
      </c>
      <c r="P928" s="10">
        <v>7537.16</v>
      </c>
      <c r="Q928" t="s">
        <v>2357</v>
      </c>
      <c r="R928" t="s">
        <v>2357</v>
      </c>
      <c r="S928" t="s">
        <v>2364</v>
      </c>
      <c r="T928">
        <f t="shared" ca="1" si="59"/>
        <v>42</v>
      </c>
      <c r="U928">
        <f>VLOOKUP($A928,'Medical Examination'!$A:$Z,2,FALSE)</f>
        <v>22.77</v>
      </c>
    </row>
    <row r="929" spans="1:21" ht="15.5" x14ac:dyDescent="0.35">
      <c r="A929" s="2" t="s">
        <v>929</v>
      </c>
      <c r="B929" s="2" t="s">
        <v>3824</v>
      </c>
      <c r="C929">
        <v>23.18</v>
      </c>
      <c r="D929">
        <v>8.31</v>
      </c>
      <c r="E929" t="s">
        <v>2344</v>
      </c>
      <c r="F929" t="s">
        <v>2344</v>
      </c>
      <c r="G929" t="s">
        <v>2344</v>
      </c>
      <c r="H929">
        <v>0</v>
      </c>
      <c r="I929" t="s">
        <v>2344</v>
      </c>
      <c r="J929" t="str">
        <f t="shared" si="57"/>
        <v>Normal Weight</v>
      </c>
      <c r="K929" t="str">
        <f t="shared" si="60"/>
        <v>Diabetes</v>
      </c>
      <c r="L929">
        <v>15</v>
      </c>
      <c r="M929" t="s">
        <v>2365</v>
      </c>
      <c r="N929">
        <v>1988</v>
      </c>
      <c r="O929" s="8">
        <f t="shared" si="58"/>
        <v>32492</v>
      </c>
      <c r="P929" s="10">
        <v>7538.52</v>
      </c>
      <c r="Q929" t="s">
        <v>2357</v>
      </c>
      <c r="R929" t="s">
        <v>2357</v>
      </c>
      <c r="S929" t="s">
        <v>2364</v>
      </c>
      <c r="T929">
        <f t="shared" ca="1" si="59"/>
        <v>38</v>
      </c>
      <c r="U929">
        <f>VLOOKUP($A929,'Medical Examination'!$A:$Z,2,FALSE)</f>
        <v>23.18</v>
      </c>
    </row>
    <row r="930" spans="1:21" ht="15.5" x14ac:dyDescent="0.35">
      <c r="A930" s="2" t="s">
        <v>930</v>
      </c>
      <c r="B930" s="2" t="s">
        <v>3825</v>
      </c>
      <c r="C930">
        <v>35.409999999999997</v>
      </c>
      <c r="D930">
        <v>5.68</v>
      </c>
      <c r="E930" t="s">
        <v>2344</v>
      </c>
      <c r="F930" t="s">
        <v>2344</v>
      </c>
      <c r="G930" t="s">
        <v>2344</v>
      </c>
      <c r="H930">
        <v>0</v>
      </c>
      <c r="I930" t="s">
        <v>2344</v>
      </c>
      <c r="J930" t="str">
        <f t="shared" si="57"/>
        <v>Obesity</v>
      </c>
      <c r="K930" t="str">
        <f t="shared" si="60"/>
        <v>Normal</v>
      </c>
      <c r="L930">
        <v>14</v>
      </c>
      <c r="M930" t="s">
        <v>2366</v>
      </c>
      <c r="N930">
        <v>1994</v>
      </c>
      <c r="O930" s="8">
        <f t="shared" si="58"/>
        <v>34560</v>
      </c>
      <c r="P930" s="10">
        <v>7567.13</v>
      </c>
      <c r="Q930" t="s">
        <v>2357</v>
      </c>
      <c r="R930" t="s">
        <v>2357</v>
      </c>
      <c r="S930" t="s">
        <v>2377</v>
      </c>
      <c r="T930">
        <f t="shared" ca="1" si="59"/>
        <v>32</v>
      </c>
      <c r="U930">
        <f>VLOOKUP($A930,'Medical Examination'!$A:$Z,2,FALSE)</f>
        <v>35.409999999999997</v>
      </c>
    </row>
    <row r="931" spans="1:21" ht="15.5" x14ac:dyDescent="0.35">
      <c r="A931" s="2" t="s">
        <v>931</v>
      </c>
      <c r="B931" s="2" t="s">
        <v>3826</v>
      </c>
      <c r="C931">
        <v>32.11</v>
      </c>
      <c r="D931">
        <v>4.75</v>
      </c>
      <c r="E931" t="s">
        <v>2346</v>
      </c>
      <c r="F931" t="s">
        <v>2344</v>
      </c>
      <c r="G931" t="s">
        <v>2344</v>
      </c>
      <c r="H931">
        <v>1</v>
      </c>
      <c r="I931" t="s">
        <v>2344</v>
      </c>
      <c r="J931" t="str">
        <f t="shared" si="57"/>
        <v>Obesity</v>
      </c>
      <c r="K931" t="str">
        <f t="shared" si="60"/>
        <v>Normal</v>
      </c>
      <c r="L931">
        <v>17</v>
      </c>
      <c r="M931" t="s">
        <v>2356</v>
      </c>
      <c r="N931">
        <v>1967</v>
      </c>
      <c r="O931" s="8">
        <f t="shared" si="58"/>
        <v>24670</v>
      </c>
      <c r="P931" s="10">
        <v>7585.62</v>
      </c>
      <c r="Q931" t="s">
        <v>2358</v>
      </c>
      <c r="R931" t="s">
        <v>2357</v>
      </c>
      <c r="S931" t="s">
        <v>2359</v>
      </c>
      <c r="T931">
        <f t="shared" ca="1" si="59"/>
        <v>59</v>
      </c>
      <c r="U931">
        <f>VLOOKUP($A931,'Medical Examination'!$A:$Z,2,FALSE)</f>
        <v>32.11</v>
      </c>
    </row>
    <row r="932" spans="1:21" ht="15.5" x14ac:dyDescent="0.35">
      <c r="A932" s="2" t="s">
        <v>932</v>
      </c>
      <c r="B932" s="2" t="s">
        <v>3828</v>
      </c>
      <c r="C932">
        <v>34.479999999999997</v>
      </c>
      <c r="D932">
        <v>6.31</v>
      </c>
      <c r="E932" t="s">
        <v>2344</v>
      </c>
      <c r="F932" t="s">
        <v>2344</v>
      </c>
      <c r="G932" t="s">
        <v>2346</v>
      </c>
      <c r="H932">
        <v>1</v>
      </c>
      <c r="I932" t="s">
        <v>2344</v>
      </c>
      <c r="J932" t="str">
        <f t="shared" si="57"/>
        <v>Obesity</v>
      </c>
      <c r="K932" t="str">
        <f t="shared" si="60"/>
        <v>Prediabetes</v>
      </c>
      <c r="L932">
        <v>30</v>
      </c>
      <c r="M932" t="s">
        <v>2363</v>
      </c>
      <c r="N932">
        <v>1997</v>
      </c>
      <c r="O932" s="8">
        <f t="shared" si="58"/>
        <v>35703</v>
      </c>
      <c r="P932" s="10">
        <v>7607.03</v>
      </c>
      <c r="Q932" t="s">
        <v>2357</v>
      </c>
      <c r="R932" t="s">
        <v>2357</v>
      </c>
      <c r="S932" t="s">
        <v>2364</v>
      </c>
      <c r="T932">
        <f t="shared" ca="1" si="59"/>
        <v>29</v>
      </c>
      <c r="U932">
        <f>VLOOKUP($A932,'Medical Examination'!$A:$Z,2,FALSE)</f>
        <v>34.479999999999997</v>
      </c>
    </row>
    <row r="933" spans="1:21" ht="15.5" x14ac:dyDescent="0.35">
      <c r="A933" s="2" t="s">
        <v>933</v>
      </c>
      <c r="B933" s="2" t="s">
        <v>3829</v>
      </c>
      <c r="C933">
        <v>34.39</v>
      </c>
      <c r="D933">
        <v>6.28</v>
      </c>
      <c r="E933" t="s">
        <v>2346</v>
      </c>
      <c r="F933" t="s">
        <v>2344</v>
      </c>
      <c r="G933" t="s">
        <v>2344</v>
      </c>
      <c r="H933">
        <v>1</v>
      </c>
      <c r="I933" t="s">
        <v>2344</v>
      </c>
      <c r="J933" t="str">
        <f t="shared" si="57"/>
        <v>Obesity</v>
      </c>
      <c r="K933" t="str">
        <f t="shared" si="60"/>
        <v>Prediabetes</v>
      </c>
      <c r="L933">
        <v>3</v>
      </c>
      <c r="M933" t="s">
        <v>2356</v>
      </c>
      <c r="N933">
        <v>1968</v>
      </c>
      <c r="O933" s="8">
        <f t="shared" si="58"/>
        <v>25022</v>
      </c>
      <c r="P933" s="10">
        <v>7609.6</v>
      </c>
      <c r="Q933" t="s">
        <v>2358</v>
      </c>
      <c r="R933" t="s">
        <v>2357</v>
      </c>
      <c r="S933" t="s">
        <v>2364</v>
      </c>
      <c r="T933">
        <f t="shared" ca="1" si="59"/>
        <v>58</v>
      </c>
      <c r="U933">
        <f>VLOOKUP($A933,'Medical Examination'!$A:$Z,2,FALSE)</f>
        <v>34.39</v>
      </c>
    </row>
    <row r="934" spans="1:21" ht="15.5" x14ac:dyDescent="0.35">
      <c r="A934" s="2" t="s">
        <v>934</v>
      </c>
      <c r="B934" s="2" t="s">
        <v>3830</v>
      </c>
      <c r="C934">
        <v>26.4</v>
      </c>
      <c r="D934">
        <v>9.2899999999999991</v>
      </c>
      <c r="E934" t="s">
        <v>2346</v>
      </c>
      <c r="F934" t="s">
        <v>2344</v>
      </c>
      <c r="G934" t="s">
        <v>2346</v>
      </c>
      <c r="H934">
        <v>1</v>
      </c>
      <c r="I934" t="s">
        <v>2344</v>
      </c>
      <c r="J934" t="str">
        <f t="shared" si="57"/>
        <v>Over weight</v>
      </c>
      <c r="K934" t="str">
        <f t="shared" si="60"/>
        <v>Diabetes</v>
      </c>
      <c r="L934">
        <v>17</v>
      </c>
      <c r="M934" t="s">
        <v>2363</v>
      </c>
      <c r="N934">
        <v>1996</v>
      </c>
      <c r="O934" s="8">
        <f t="shared" si="58"/>
        <v>35325</v>
      </c>
      <c r="P934" s="10">
        <v>7623.13</v>
      </c>
      <c r="Q934" t="s">
        <v>2357</v>
      </c>
      <c r="R934" t="s">
        <v>2358</v>
      </c>
      <c r="S934" t="s">
        <v>2368</v>
      </c>
      <c r="T934">
        <f t="shared" ca="1" si="59"/>
        <v>30</v>
      </c>
      <c r="U934">
        <f>VLOOKUP($A934,'Medical Examination'!$A:$Z,2,FALSE)</f>
        <v>26.4</v>
      </c>
    </row>
    <row r="935" spans="1:21" ht="15.5" x14ac:dyDescent="0.35">
      <c r="A935" s="2" t="s">
        <v>935</v>
      </c>
      <c r="B935" s="2" t="s">
        <v>2413</v>
      </c>
      <c r="C935">
        <v>28.1</v>
      </c>
      <c r="D935">
        <v>5.79</v>
      </c>
      <c r="E935" t="s">
        <v>2346</v>
      </c>
      <c r="F935" t="s">
        <v>2344</v>
      </c>
      <c r="G935" t="s">
        <v>2346</v>
      </c>
      <c r="H935">
        <v>1</v>
      </c>
      <c r="I935" t="s">
        <v>2344</v>
      </c>
      <c r="J935" t="str">
        <f t="shared" si="57"/>
        <v>Over weight</v>
      </c>
      <c r="K935" t="str">
        <f t="shared" si="60"/>
        <v>Prediabetes</v>
      </c>
      <c r="L935">
        <v>28</v>
      </c>
      <c r="M935" t="s">
        <v>2360</v>
      </c>
      <c r="N935">
        <v>1978</v>
      </c>
      <c r="O935" s="8">
        <f t="shared" si="58"/>
        <v>28822</v>
      </c>
      <c r="P935" s="10">
        <v>7623.52</v>
      </c>
      <c r="Q935" t="s">
        <v>2357</v>
      </c>
      <c r="R935" t="s">
        <v>2361</v>
      </c>
      <c r="S935" t="s">
        <v>2368</v>
      </c>
      <c r="T935">
        <f t="shared" ca="1" si="59"/>
        <v>48</v>
      </c>
      <c r="U935">
        <f>VLOOKUP($A935,'Medical Examination'!$A:$Z,2,FALSE)</f>
        <v>28.1</v>
      </c>
    </row>
    <row r="936" spans="1:21" ht="15.5" x14ac:dyDescent="0.35">
      <c r="A936" s="2" t="s">
        <v>936</v>
      </c>
      <c r="B936" s="2" t="s">
        <v>3832</v>
      </c>
      <c r="C936">
        <v>27</v>
      </c>
      <c r="D936">
        <v>4.54</v>
      </c>
      <c r="E936" t="s">
        <v>2346</v>
      </c>
      <c r="F936" t="s">
        <v>2344</v>
      </c>
      <c r="G936" t="s">
        <v>2344</v>
      </c>
      <c r="H936">
        <v>1</v>
      </c>
      <c r="I936" t="s">
        <v>2344</v>
      </c>
      <c r="J936" t="str">
        <f t="shared" si="57"/>
        <v>Over weight</v>
      </c>
      <c r="K936" t="str">
        <f t="shared" si="60"/>
        <v>Normal</v>
      </c>
      <c r="L936">
        <v>6</v>
      </c>
      <c r="M936" t="s">
        <v>2360</v>
      </c>
      <c r="N936">
        <v>1978</v>
      </c>
      <c r="O936" s="8">
        <f t="shared" si="58"/>
        <v>28800</v>
      </c>
      <c r="P936" s="10">
        <v>7624.63</v>
      </c>
      <c r="Q936" t="s">
        <v>2357</v>
      </c>
      <c r="R936" t="s">
        <v>2361</v>
      </c>
      <c r="S936" t="s">
        <v>2368</v>
      </c>
      <c r="T936">
        <f t="shared" ca="1" si="59"/>
        <v>48</v>
      </c>
      <c r="U936">
        <f>VLOOKUP($A936,'Medical Examination'!$A:$Z,2,FALSE)</f>
        <v>27</v>
      </c>
    </row>
    <row r="937" spans="1:21" ht="15.5" x14ac:dyDescent="0.35">
      <c r="A937" s="2" t="s">
        <v>937</v>
      </c>
      <c r="B937" s="2" t="s">
        <v>3833</v>
      </c>
      <c r="C937">
        <v>28.594999999999999</v>
      </c>
      <c r="D937">
        <v>4.68</v>
      </c>
      <c r="E937" t="s">
        <v>2346</v>
      </c>
      <c r="F937" t="s">
        <v>2344</v>
      </c>
      <c r="G937" t="s">
        <v>2344</v>
      </c>
      <c r="H937">
        <v>1</v>
      </c>
      <c r="I937" t="s">
        <v>2344</v>
      </c>
      <c r="J937" t="str">
        <f t="shared" si="57"/>
        <v>Over weight</v>
      </c>
      <c r="K937" t="str">
        <f t="shared" si="60"/>
        <v>Normal</v>
      </c>
      <c r="L937">
        <v>29</v>
      </c>
      <c r="M937" t="s">
        <v>2360</v>
      </c>
      <c r="N937">
        <v>1978</v>
      </c>
      <c r="O937" s="8">
        <f t="shared" si="58"/>
        <v>28823</v>
      </c>
      <c r="P937" s="10">
        <v>7626.99</v>
      </c>
      <c r="Q937" t="s">
        <v>2357</v>
      </c>
      <c r="R937" t="s">
        <v>2357</v>
      </c>
      <c r="S937" t="s">
        <v>2368</v>
      </c>
      <c r="T937">
        <f t="shared" ca="1" si="59"/>
        <v>48</v>
      </c>
      <c r="U937">
        <f>VLOOKUP($A937,'Medical Examination'!$A:$Z,2,FALSE)</f>
        <v>28.594999999999999</v>
      </c>
    </row>
    <row r="938" spans="1:21" ht="15.5" x14ac:dyDescent="0.35">
      <c r="A938" s="2" t="s">
        <v>938</v>
      </c>
      <c r="B938" s="2" t="s">
        <v>3808</v>
      </c>
      <c r="C938">
        <v>36.799999999999997</v>
      </c>
      <c r="D938">
        <v>5.88</v>
      </c>
      <c r="E938" t="s">
        <v>2344</v>
      </c>
      <c r="F938" t="s">
        <v>2344</v>
      </c>
      <c r="G938" t="s">
        <v>2344</v>
      </c>
      <c r="H938">
        <v>1</v>
      </c>
      <c r="I938" t="s">
        <v>2344</v>
      </c>
      <c r="J938" t="str">
        <f t="shared" si="57"/>
        <v>Obesity</v>
      </c>
      <c r="K938" t="str">
        <f t="shared" si="60"/>
        <v>Prediabetes</v>
      </c>
      <c r="L938">
        <v>24</v>
      </c>
      <c r="M938" t="s">
        <v>2366</v>
      </c>
      <c r="N938">
        <v>1978</v>
      </c>
      <c r="O938" s="8">
        <f t="shared" si="58"/>
        <v>28726</v>
      </c>
      <c r="P938" s="10">
        <v>7633.72</v>
      </c>
      <c r="Q938" t="s">
        <v>2357</v>
      </c>
      <c r="R938" t="s">
        <v>2361</v>
      </c>
      <c r="S938" t="s">
        <v>2359</v>
      </c>
      <c r="T938">
        <f t="shared" ca="1" si="59"/>
        <v>48</v>
      </c>
      <c r="U938">
        <f>VLOOKUP($A938,'Medical Examination'!$A:$Z,2,FALSE)</f>
        <v>36.799999999999997</v>
      </c>
    </row>
    <row r="939" spans="1:21" ht="15.5" x14ac:dyDescent="0.35">
      <c r="A939" s="2" t="s">
        <v>939</v>
      </c>
      <c r="B939" s="2" t="s">
        <v>3835</v>
      </c>
      <c r="C939">
        <v>23.75</v>
      </c>
      <c r="D939">
        <v>5.42</v>
      </c>
      <c r="E939" t="s">
        <v>2346</v>
      </c>
      <c r="F939" t="s">
        <v>2344</v>
      </c>
      <c r="G939" t="s">
        <v>2346</v>
      </c>
      <c r="H939">
        <v>1</v>
      </c>
      <c r="I939" t="s">
        <v>2344</v>
      </c>
      <c r="J939" t="str">
        <f t="shared" si="57"/>
        <v>Normal Weight</v>
      </c>
      <c r="K939" t="str">
        <f t="shared" si="60"/>
        <v>Normal</v>
      </c>
      <c r="L939">
        <v>13</v>
      </c>
      <c r="M939" t="s">
        <v>2365</v>
      </c>
      <c r="N939">
        <v>2001</v>
      </c>
      <c r="O939" s="8">
        <f t="shared" si="58"/>
        <v>37238</v>
      </c>
      <c r="P939" s="10">
        <v>7636.92</v>
      </c>
      <c r="Q939" t="s">
        <v>2357</v>
      </c>
      <c r="R939" t="s">
        <v>2358</v>
      </c>
      <c r="S939" t="s">
        <v>2364</v>
      </c>
      <c r="T939">
        <f t="shared" ca="1" si="59"/>
        <v>25</v>
      </c>
      <c r="U939">
        <f>VLOOKUP($A939,'Medical Examination'!$A:$Z,2,FALSE)</f>
        <v>23.75</v>
      </c>
    </row>
    <row r="940" spans="1:21" ht="15.5" x14ac:dyDescent="0.35">
      <c r="A940" s="2" t="s">
        <v>940</v>
      </c>
      <c r="B940" s="2" t="s">
        <v>3837</v>
      </c>
      <c r="C940">
        <v>35.619999999999997</v>
      </c>
      <c r="D940">
        <v>4.16</v>
      </c>
      <c r="E940" t="s">
        <v>2344</v>
      </c>
      <c r="F940" t="s">
        <v>2344</v>
      </c>
      <c r="G940" t="s">
        <v>2344</v>
      </c>
      <c r="H940">
        <v>0</v>
      </c>
      <c r="I940" t="s">
        <v>2344</v>
      </c>
      <c r="J940" t="str">
        <f t="shared" si="57"/>
        <v>Obesity</v>
      </c>
      <c r="K940" t="str">
        <f t="shared" si="60"/>
        <v>Normal</v>
      </c>
      <c r="L940">
        <v>20</v>
      </c>
      <c r="M940" t="s">
        <v>2362</v>
      </c>
      <c r="N940">
        <v>1980</v>
      </c>
      <c r="O940" s="8">
        <f t="shared" si="58"/>
        <v>29392</v>
      </c>
      <c r="P940" s="10">
        <v>7639.42</v>
      </c>
      <c r="Q940" t="s">
        <v>2357</v>
      </c>
      <c r="R940" t="s">
        <v>2357</v>
      </c>
      <c r="S940" t="s">
        <v>2374</v>
      </c>
      <c r="T940">
        <f t="shared" ca="1" si="59"/>
        <v>46</v>
      </c>
      <c r="U940">
        <f>VLOOKUP($A940,'Medical Examination'!$A:$Z,2,FALSE)</f>
        <v>35.619999999999997</v>
      </c>
    </row>
    <row r="941" spans="1:21" ht="15.5" x14ac:dyDescent="0.35">
      <c r="A941" s="2" t="s">
        <v>941</v>
      </c>
      <c r="B941" s="2" t="s">
        <v>3838</v>
      </c>
      <c r="C941">
        <v>30.69</v>
      </c>
      <c r="D941">
        <v>7.05</v>
      </c>
      <c r="E941" t="s">
        <v>2346</v>
      </c>
      <c r="F941" t="s">
        <v>2344</v>
      </c>
      <c r="G941" t="s">
        <v>2344</v>
      </c>
      <c r="H941">
        <v>1</v>
      </c>
      <c r="I941" t="s">
        <v>2344</v>
      </c>
      <c r="J941" t="str">
        <f t="shared" si="57"/>
        <v>Obesity</v>
      </c>
      <c r="K941" t="str">
        <f t="shared" si="60"/>
        <v>Diabetes</v>
      </c>
      <c r="L941">
        <v>24</v>
      </c>
      <c r="M941" t="s">
        <v>2356</v>
      </c>
      <c r="N941">
        <v>1980</v>
      </c>
      <c r="O941" s="8">
        <f t="shared" si="58"/>
        <v>29426</v>
      </c>
      <c r="P941" s="10">
        <v>7640.31</v>
      </c>
      <c r="Q941" t="s">
        <v>2357</v>
      </c>
      <c r="R941" t="s">
        <v>2361</v>
      </c>
      <c r="S941" t="s">
        <v>2359</v>
      </c>
      <c r="T941">
        <f t="shared" ca="1" si="59"/>
        <v>46</v>
      </c>
      <c r="U941">
        <f>VLOOKUP($A941,'Medical Examination'!$A:$Z,2,FALSE)</f>
        <v>30.69</v>
      </c>
    </row>
    <row r="942" spans="1:21" ht="15.5" x14ac:dyDescent="0.35">
      <c r="A942" s="2" t="s">
        <v>942</v>
      </c>
      <c r="B942" s="2" t="s">
        <v>3839</v>
      </c>
      <c r="C942">
        <v>35.799999999999997</v>
      </c>
      <c r="D942">
        <v>5.63</v>
      </c>
      <c r="E942" t="s">
        <v>2346</v>
      </c>
      <c r="F942" t="s">
        <v>2344</v>
      </c>
      <c r="G942" t="s">
        <v>2344</v>
      </c>
      <c r="H942">
        <v>1</v>
      </c>
      <c r="I942" t="s">
        <v>2344</v>
      </c>
      <c r="J942" t="str">
        <f t="shared" si="57"/>
        <v>Obesity</v>
      </c>
      <c r="K942" t="str">
        <f t="shared" si="60"/>
        <v>Normal</v>
      </c>
      <c r="L942">
        <v>15</v>
      </c>
      <c r="M942" t="s">
        <v>2362</v>
      </c>
      <c r="N942">
        <v>1999</v>
      </c>
      <c r="O942" s="8">
        <f t="shared" si="58"/>
        <v>36326</v>
      </c>
      <c r="P942" s="10">
        <v>7642.05</v>
      </c>
      <c r="Q942" t="s">
        <v>2357</v>
      </c>
      <c r="R942" t="s">
        <v>2357</v>
      </c>
      <c r="S942" t="s">
        <v>2380</v>
      </c>
      <c r="T942">
        <f t="shared" ca="1" si="59"/>
        <v>27</v>
      </c>
      <c r="U942">
        <f>VLOOKUP($A942,'Medical Examination'!$A:$Z,2,FALSE)</f>
        <v>35.799999999999997</v>
      </c>
    </row>
    <row r="943" spans="1:21" ht="15.5" x14ac:dyDescent="0.35">
      <c r="A943" s="2" t="s">
        <v>943</v>
      </c>
      <c r="B943" s="2" t="s">
        <v>3841</v>
      </c>
      <c r="C943">
        <v>28.785</v>
      </c>
      <c r="D943">
        <v>4.24</v>
      </c>
      <c r="E943" t="s">
        <v>2346</v>
      </c>
      <c r="F943" t="s">
        <v>2344</v>
      </c>
      <c r="G943" t="s">
        <v>2344</v>
      </c>
      <c r="H943">
        <v>1</v>
      </c>
      <c r="I943" t="s">
        <v>2344</v>
      </c>
      <c r="J943" t="str">
        <f t="shared" si="57"/>
        <v>Over weight</v>
      </c>
      <c r="K943" t="str">
        <f t="shared" si="60"/>
        <v>Normal</v>
      </c>
      <c r="L943">
        <v>16</v>
      </c>
      <c r="M943" t="s">
        <v>2367</v>
      </c>
      <c r="N943">
        <v>1980</v>
      </c>
      <c r="O943" s="8">
        <f t="shared" si="58"/>
        <v>29510</v>
      </c>
      <c r="P943" s="10">
        <v>7650.77</v>
      </c>
      <c r="Q943" t="s">
        <v>2357</v>
      </c>
      <c r="R943" t="s">
        <v>2357</v>
      </c>
      <c r="S943" t="s">
        <v>2374</v>
      </c>
      <c r="T943">
        <f t="shared" ca="1" si="59"/>
        <v>46</v>
      </c>
      <c r="U943">
        <f>VLOOKUP($A943,'Medical Examination'!$A:$Z,2,FALSE)</f>
        <v>28.785</v>
      </c>
    </row>
    <row r="944" spans="1:21" ht="15.5" x14ac:dyDescent="0.35">
      <c r="A944" s="2" t="s">
        <v>944</v>
      </c>
      <c r="B944" s="2" t="s">
        <v>3843</v>
      </c>
      <c r="C944">
        <v>28.594999999999999</v>
      </c>
      <c r="D944">
        <v>4.96</v>
      </c>
      <c r="E944" t="s">
        <v>2346</v>
      </c>
      <c r="F944" t="s">
        <v>2344</v>
      </c>
      <c r="G944" t="s">
        <v>2344</v>
      </c>
      <c r="H944">
        <v>1</v>
      </c>
      <c r="I944" t="s">
        <v>2344</v>
      </c>
      <c r="J944" t="str">
        <f t="shared" si="57"/>
        <v>Over weight</v>
      </c>
      <c r="K944" t="str">
        <f t="shared" si="60"/>
        <v>Normal</v>
      </c>
      <c r="L944">
        <v>10</v>
      </c>
      <c r="M944" t="s">
        <v>2366</v>
      </c>
      <c r="N944">
        <v>1993</v>
      </c>
      <c r="O944" s="8">
        <f t="shared" si="58"/>
        <v>34191</v>
      </c>
      <c r="P944" s="10">
        <v>7650.8</v>
      </c>
      <c r="Q944" t="s">
        <v>2357</v>
      </c>
      <c r="R944" t="s">
        <v>2357</v>
      </c>
      <c r="S944" t="s">
        <v>2364</v>
      </c>
      <c r="T944">
        <f t="shared" ca="1" si="59"/>
        <v>33</v>
      </c>
      <c r="U944">
        <f>VLOOKUP($A944,'Medical Examination'!$A:$Z,2,FALSE)</f>
        <v>28.594999999999999</v>
      </c>
    </row>
    <row r="945" spans="1:21" ht="15.5" x14ac:dyDescent="0.35">
      <c r="A945" s="2" t="s">
        <v>945</v>
      </c>
      <c r="B945" s="2" t="s">
        <v>3086</v>
      </c>
      <c r="C945">
        <v>48.75</v>
      </c>
      <c r="D945">
        <v>4.34</v>
      </c>
      <c r="E945" t="s">
        <v>2344</v>
      </c>
      <c r="F945" t="s">
        <v>2344</v>
      </c>
      <c r="G945" t="s">
        <v>2344</v>
      </c>
      <c r="H945">
        <v>0</v>
      </c>
      <c r="I945" t="s">
        <v>2344</v>
      </c>
      <c r="J945" t="str">
        <f t="shared" si="57"/>
        <v>Obesity</v>
      </c>
      <c r="K945" t="str">
        <f t="shared" si="60"/>
        <v>Normal</v>
      </c>
      <c r="L945">
        <v>30</v>
      </c>
      <c r="M945" t="s">
        <v>2363</v>
      </c>
      <c r="N945">
        <v>1998</v>
      </c>
      <c r="O945" s="8">
        <f t="shared" si="58"/>
        <v>36068</v>
      </c>
      <c r="P945" s="10">
        <v>7652.26</v>
      </c>
      <c r="Q945" t="s">
        <v>2357</v>
      </c>
      <c r="R945" t="s">
        <v>2358</v>
      </c>
      <c r="S945" t="s">
        <v>2375</v>
      </c>
      <c r="T945">
        <f t="shared" ca="1" si="59"/>
        <v>28</v>
      </c>
      <c r="U945">
        <f>VLOOKUP($A945,'Medical Examination'!$A:$Z,2,FALSE)</f>
        <v>48.75</v>
      </c>
    </row>
    <row r="946" spans="1:21" ht="15.5" x14ac:dyDescent="0.35">
      <c r="A946" s="2" t="s">
        <v>946</v>
      </c>
      <c r="B946" s="2" t="s">
        <v>3845</v>
      </c>
      <c r="C946">
        <v>28.31</v>
      </c>
      <c r="D946">
        <v>5.43</v>
      </c>
      <c r="E946" t="s">
        <v>2346</v>
      </c>
      <c r="F946" t="s">
        <v>2344</v>
      </c>
      <c r="G946" t="s">
        <v>2344</v>
      </c>
      <c r="H946">
        <v>1</v>
      </c>
      <c r="I946" t="s">
        <v>2344</v>
      </c>
      <c r="J946" t="str">
        <f t="shared" si="57"/>
        <v>Over weight</v>
      </c>
      <c r="K946" t="str">
        <f t="shared" si="60"/>
        <v>Normal</v>
      </c>
      <c r="L946">
        <v>27</v>
      </c>
      <c r="M946" t="s">
        <v>2365</v>
      </c>
      <c r="N946">
        <v>1965</v>
      </c>
      <c r="O946" s="8">
        <f t="shared" si="58"/>
        <v>24103</v>
      </c>
      <c r="P946" s="10">
        <v>7657.69</v>
      </c>
      <c r="Q946" t="s">
        <v>2358</v>
      </c>
      <c r="R946" t="s">
        <v>2358</v>
      </c>
      <c r="S946" t="s">
        <v>2364</v>
      </c>
      <c r="T946">
        <f t="shared" ca="1" si="59"/>
        <v>61</v>
      </c>
      <c r="U946">
        <f>VLOOKUP($A946,'Medical Examination'!$A:$Z,2,FALSE)</f>
        <v>28.31</v>
      </c>
    </row>
    <row r="947" spans="1:21" ht="15.5" x14ac:dyDescent="0.35">
      <c r="A947" s="2" t="s">
        <v>947</v>
      </c>
      <c r="B947" s="2" t="s">
        <v>3846</v>
      </c>
      <c r="C947">
        <v>38.39</v>
      </c>
      <c r="D947">
        <v>8.33</v>
      </c>
      <c r="E947" t="s">
        <v>2346</v>
      </c>
      <c r="F947" t="s">
        <v>2344</v>
      </c>
      <c r="G947" t="s">
        <v>2344</v>
      </c>
      <c r="H947">
        <v>1</v>
      </c>
      <c r="I947" t="s">
        <v>2344</v>
      </c>
      <c r="J947" t="str">
        <f t="shared" si="57"/>
        <v>Obesity</v>
      </c>
      <c r="K947" t="str">
        <f t="shared" si="60"/>
        <v>Diabetes</v>
      </c>
      <c r="L947">
        <v>9</v>
      </c>
      <c r="M947" t="s">
        <v>2367</v>
      </c>
      <c r="N947">
        <v>1976</v>
      </c>
      <c r="O947" s="8">
        <f t="shared" si="58"/>
        <v>28042</v>
      </c>
      <c r="P947" s="10">
        <v>7662.47</v>
      </c>
      <c r="Q947" t="s">
        <v>2357</v>
      </c>
      <c r="R947" t="s">
        <v>2361</v>
      </c>
      <c r="S947" t="s">
        <v>2368</v>
      </c>
      <c r="T947">
        <f t="shared" ca="1" si="59"/>
        <v>50</v>
      </c>
      <c r="U947">
        <f>VLOOKUP($A947,'Medical Examination'!$A:$Z,2,FALSE)</f>
        <v>38.39</v>
      </c>
    </row>
    <row r="948" spans="1:21" ht="15.5" x14ac:dyDescent="0.35">
      <c r="A948" s="2" t="s">
        <v>948</v>
      </c>
      <c r="B948" s="2" t="s">
        <v>3395</v>
      </c>
      <c r="C948">
        <v>25.87</v>
      </c>
      <c r="D948">
        <v>5.63</v>
      </c>
      <c r="E948" t="s">
        <v>2346</v>
      </c>
      <c r="F948" t="s">
        <v>2344</v>
      </c>
      <c r="G948" t="s">
        <v>2344</v>
      </c>
      <c r="H948">
        <v>1</v>
      </c>
      <c r="I948" t="s">
        <v>2344</v>
      </c>
      <c r="J948" t="str">
        <f t="shared" si="57"/>
        <v>Over weight</v>
      </c>
      <c r="K948" t="str">
        <f t="shared" si="60"/>
        <v>Normal</v>
      </c>
      <c r="L948">
        <v>24</v>
      </c>
      <c r="M948" t="s">
        <v>2360</v>
      </c>
      <c r="N948">
        <v>1996</v>
      </c>
      <c r="O948" s="8">
        <f t="shared" si="58"/>
        <v>35393</v>
      </c>
      <c r="P948" s="10">
        <v>7670.75</v>
      </c>
      <c r="Q948" t="s">
        <v>2357</v>
      </c>
      <c r="R948" t="s">
        <v>2357</v>
      </c>
      <c r="S948" t="s">
        <v>2381</v>
      </c>
      <c r="T948">
        <f t="shared" ca="1" si="59"/>
        <v>30</v>
      </c>
      <c r="U948">
        <f>VLOOKUP($A948,'Medical Examination'!$A:$Z,2,FALSE)</f>
        <v>25.87</v>
      </c>
    </row>
    <row r="949" spans="1:21" ht="15.5" x14ac:dyDescent="0.35">
      <c r="A949" s="2" t="s">
        <v>949</v>
      </c>
      <c r="B949" s="2" t="s">
        <v>3848</v>
      </c>
      <c r="C949">
        <v>43.7</v>
      </c>
      <c r="D949">
        <v>7.23</v>
      </c>
      <c r="E949" t="s">
        <v>2344</v>
      </c>
      <c r="F949" t="s">
        <v>2344</v>
      </c>
      <c r="G949" t="s">
        <v>2344</v>
      </c>
      <c r="H949">
        <v>0</v>
      </c>
      <c r="I949" t="s">
        <v>2344</v>
      </c>
      <c r="J949" t="str">
        <f t="shared" si="57"/>
        <v>Obesity</v>
      </c>
      <c r="K949" t="str">
        <f t="shared" si="60"/>
        <v>Diabetes</v>
      </c>
      <c r="L949">
        <v>13</v>
      </c>
      <c r="M949" t="s">
        <v>2363</v>
      </c>
      <c r="N949">
        <v>1995</v>
      </c>
      <c r="O949" s="8">
        <f t="shared" si="58"/>
        <v>34955</v>
      </c>
      <c r="P949" s="10">
        <v>7676.4</v>
      </c>
      <c r="Q949" t="s">
        <v>2357</v>
      </c>
      <c r="R949" t="s">
        <v>2361</v>
      </c>
      <c r="S949" t="s">
        <v>2364</v>
      </c>
      <c r="T949">
        <f t="shared" ca="1" si="59"/>
        <v>31</v>
      </c>
      <c r="U949">
        <f>VLOOKUP($A949,'Medical Examination'!$A:$Z,2,FALSE)</f>
        <v>43.7</v>
      </c>
    </row>
    <row r="950" spans="1:21" ht="15.5" x14ac:dyDescent="0.35">
      <c r="A950" s="2" t="s">
        <v>950</v>
      </c>
      <c r="B950" s="2" t="s">
        <v>3849</v>
      </c>
      <c r="C950">
        <v>40.945</v>
      </c>
      <c r="D950">
        <v>10.57</v>
      </c>
      <c r="E950" t="s">
        <v>2344</v>
      </c>
      <c r="F950" t="s">
        <v>2344</v>
      </c>
      <c r="G950" t="s">
        <v>2344</v>
      </c>
      <c r="H950">
        <v>0</v>
      </c>
      <c r="I950" t="s">
        <v>2344</v>
      </c>
      <c r="J950" t="str">
        <f t="shared" si="57"/>
        <v>Obesity</v>
      </c>
      <c r="K950" t="str">
        <f t="shared" si="60"/>
        <v>Diabetes</v>
      </c>
      <c r="L950">
        <v>11</v>
      </c>
      <c r="M950" t="s">
        <v>2367</v>
      </c>
      <c r="N950">
        <v>1971</v>
      </c>
      <c r="O950" s="8">
        <f t="shared" si="58"/>
        <v>26217</v>
      </c>
      <c r="P950" s="10">
        <v>7680.92</v>
      </c>
      <c r="Q950" t="s">
        <v>2357</v>
      </c>
      <c r="R950" t="s">
        <v>2361</v>
      </c>
      <c r="S950" t="s">
        <v>2359</v>
      </c>
      <c r="T950">
        <f t="shared" ca="1" si="59"/>
        <v>55</v>
      </c>
      <c r="U950">
        <f>VLOOKUP($A950,'Medical Examination'!$A:$Z,2,FALSE)</f>
        <v>40.945</v>
      </c>
    </row>
    <row r="951" spans="1:21" ht="15.5" x14ac:dyDescent="0.35">
      <c r="A951" s="2" t="s">
        <v>951</v>
      </c>
      <c r="B951" s="2" t="s">
        <v>3850</v>
      </c>
      <c r="C951">
        <v>27.94</v>
      </c>
      <c r="D951">
        <v>7.92</v>
      </c>
      <c r="E951" t="s">
        <v>2344</v>
      </c>
      <c r="F951" t="s">
        <v>2344</v>
      </c>
      <c r="G951" t="s">
        <v>2344</v>
      </c>
      <c r="H951">
        <v>0</v>
      </c>
      <c r="I951" t="s">
        <v>2344</v>
      </c>
      <c r="J951" t="str">
        <f t="shared" si="57"/>
        <v>Over weight</v>
      </c>
      <c r="K951" t="str">
        <f t="shared" si="60"/>
        <v>Diabetes</v>
      </c>
      <c r="L951">
        <v>19</v>
      </c>
      <c r="M951" t="s">
        <v>2365</v>
      </c>
      <c r="N951">
        <v>1981</v>
      </c>
      <c r="O951" s="8">
        <f t="shared" si="58"/>
        <v>29939</v>
      </c>
      <c r="P951" s="10">
        <v>7681.17</v>
      </c>
      <c r="Q951" t="s">
        <v>2357</v>
      </c>
      <c r="R951" t="s">
        <v>2357</v>
      </c>
      <c r="S951" t="s">
        <v>2379</v>
      </c>
      <c r="T951">
        <f t="shared" ca="1" si="59"/>
        <v>45</v>
      </c>
      <c r="U951">
        <f>VLOOKUP($A951,'Medical Examination'!$A:$Z,2,FALSE)</f>
        <v>27.94</v>
      </c>
    </row>
    <row r="952" spans="1:21" ht="15.5" x14ac:dyDescent="0.35">
      <c r="A952" s="2" t="s">
        <v>952</v>
      </c>
      <c r="B952" s="2" t="s">
        <v>3851</v>
      </c>
      <c r="C952">
        <v>31.9</v>
      </c>
      <c r="D952">
        <v>10.119999999999999</v>
      </c>
      <c r="E952" t="s">
        <v>2344</v>
      </c>
      <c r="F952" t="s">
        <v>2344</v>
      </c>
      <c r="G952" t="s">
        <v>2344</v>
      </c>
      <c r="H952">
        <v>1</v>
      </c>
      <c r="I952" t="s">
        <v>2344</v>
      </c>
      <c r="J952" t="str">
        <f t="shared" si="57"/>
        <v>Obesity</v>
      </c>
      <c r="K952" t="str">
        <f t="shared" si="60"/>
        <v>Diabetes</v>
      </c>
      <c r="L952">
        <v>18</v>
      </c>
      <c r="M952" t="s">
        <v>2365</v>
      </c>
      <c r="N952">
        <v>1982</v>
      </c>
      <c r="O952" s="8">
        <f t="shared" si="58"/>
        <v>30303</v>
      </c>
      <c r="P952" s="10">
        <v>7682.67</v>
      </c>
      <c r="Q952" t="s">
        <v>2357</v>
      </c>
      <c r="R952" t="s">
        <v>2361</v>
      </c>
      <c r="S952" t="s">
        <v>2359</v>
      </c>
      <c r="T952">
        <f t="shared" ca="1" si="59"/>
        <v>44</v>
      </c>
      <c r="U952">
        <f>VLOOKUP($A952,'Medical Examination'!$A:$Z,2,FALSE)</f>
        <v>31.9</v>
      </c>
    </row>
    <row r="953" spans="1:21" ht="15.5" x14ac:dyDescent="0.35">
      <c r="A953" s="2" t="s">
        <v>953</v>
      </c>
      <c r="B953" s="2" t="s">
        <v>3005</v>
      </c>
      <c r="C953">
        <v>31.64</v>
      </c>
      <c r="D953">
        <v>7.91</v>
      </c>
      <c r="E953" t="s">
        <v>2344</v>
      </c>
      <c r="F953" t="s">
        <v>2344</v>
      </c>
      <c r="G953" t="s">
        <v>2344</v>
      </c>
      <c r="H953">
        <v>0</v>
      </c>
      <c r="I953" t="s">
        <v>2344</v>
      </c>
      <c r="J953" t="str">
        <f t="shared" si="57"/>
        <v>Obesity</v>
      </c>
      <c r="K953" t="str">
        <f t="shared" si="60"/>
        <v>Diabetes</v>
      </c>
      <c r="L953">
        <v>12</v>
      </c>
      <c r="M953" t="s">
        <v>2356</v>
      </c>
      <c r="N953">
        <v>1987</v>
      </c>
      <c r="O953" s="8">
        <f t="shared" si="58"/>
        <v>31970</v>
      </c>
      <c r="P953" s="10">
        <v>7684.62</v>
      </c>
      <c r="Q953" t="s">
        <v>2357</v>
      </c>
      <c r="R953" t="s">
        <v>2358</v>
      </c>
      <c r="S953" t="s">
        <v>2377</v>
      </c>
      <c r="T953">
        <f t="shared" ca="1" si="59"/>
        <v>39</v>
      </c>
      <c r="U953">
        <f>VLOOKUP($A953,'Medical Examination'!$A:$Z,2,FALSE)</f>
        <v>31.64</v>
      </c>
    </row>
    <row r="954" spans="1:21" ht="15.5" x14ac:dyDescent="0.35">
      <c r="A954" s="2" t="s">
        <v>954</v>
      </c>
      <c r="B954" s="2" t="s">
        <v>3853</v>
      </c>
      <c r="C954">
        <v>46.7</v>
      </c>
      <c r="D954">
        <v>10.9</v>
      </c>
      <c r="E954" t="s">
        <v>2344</v>
      </c>
      <c r="F954" t="s">
        <v>2344</v>
      </c>
      <c r="G954" t="s">
        <v>2344</v>
      </c>
      <c r="H954">
        <v>0</v>
      </c>
      <c r="I954" t="s">
        <v>2344</v>
      </c>
      <c r="J954" t="str">
        <f t="shared" si="57"/>
        <v>Obesity</v>
      </c>
      <c r="K954" t="str">
        <f t="shared" si="60"/>
        <v>Diabetes</v>
      </c>
      <c r="L954">
        <v>29</v>
      </c>
      <c r="M954" t="s">
        <v>2365</v>
      </c>
      <c r="N954">
        <v>1978</v>
      </c>
      <c r="O954" s="8">
        <f t="shared" si="58"/>
        <v>28853</v>
      </c>
      <c r="P954" s="10">
        <v>7726.85</v>
      </c>
      <c r="Q954" t="s">
        <v>2361</v>
      </c>
      <c r="R954" t="s">
        <v>2357</v>
      </c>
      <c r="S954" t="s">
        <v>2368</v>
      </c>
      <c r="T954">
        <f t="shared" ca="1" si="59"/>
        <v>48</v>
      </c>
      <c r="U954">
        <f>VLOOKUP($A954,'Medical Examination'!$A:$Z,2,FALSE)</f>
        <v>46.7</v>
      </c>
    </row>
    <row r="955" spans="1:21" ht="15.5" x14ac:dyDescent="0.35">
      <c r="A955" s="2" t="s">
        <v>955</v>
      </c>
      <c r="B955" s="2" t="s">
        <v>3854</v>
      </c>
      <c r="C955">
        <v>18.335000000000001</v>
      </c>
      <c r="D955">
        <v>11.83</v>
      </c>
      <c r="E955" t="s">
        <v>2344</v>
      </c>
      <c r="F955" t="s">
        <v>2344</v>
      </c>
      <c r="G955" t="s">
        <v>2344</v>
      </c>
      <c r="H955">
        <v>0</v>
      </c>
      <c r="I955" t="s">
        <v>2344</v>
      </c>
      <c r="J955" t="str">
        <f t="shared" si="57"/>
        <v>Under Weight</v>
      </c>
      <c r="K955" t="str">
        <f t="shared" si="60"/>
        <v>Diabetes</v>
      </c>
      <c r="L955">
        <v>2</v>
      </c>
      <c r="M955" t="s">
        <v>2362</v>
      </c>
      <c r="N955">
        <v>1979</v>
      </c>
      <c r="O955" s="8">
        <f t="shared" si="58"/>
        <v>29008</v>
      </c>
      <c r="P955" s="10">
        <v>7727.25</v>
      </c>
      <c r="Q955" t="s">
        <v>2357</v>
      </c>
      <c r="R955" t="s">
        <v>2358</v>
      </c>
      <c r="S955" t="s">
        <v>2364</v>
      </c>
      <c r="T955">
        <f t="shared" ca="1" si="59"/>
        <v>47</v>
      </c>
      <c r="U955">
        <f>VLOOKUP($A955,'Medical Examination'!$A:$Z,2,FALSE)</f>
        <v>18.335000000000001</v>
      </c>
    </row>
    <row r="956" spans="1:21" ht="15.5" x14ac:dyDescent="0.35">
      <c r="A956" s="2" t="s">
        <v>956</v>
      </c>
      <c r="B956" s="2" t="s">
        <v>3856</v>
      </c>
      <c r="C956">
        <v>31.24</v>
      </c>
      <c r="D956">
        <v>7.42</v>
      </c>
      <c r="E956" t="s">
        <v>2346</v>
      </c>
      <c r="F956" t="s">
        <v>2344</v>
      </c>
      <c r="G956" t="s">
        <v>2344</v>
      </c>
      <c r="H956">
        <v>1</v>
      </c>
      <c r="I956" t="s">
        <v>2344</v>
      </c>
      <c r="J956" t="str">
        <f t="shared" si="57"/>
        <v>Obesity</v>
      </c>
      <c r="K956" t="str">
        <f t="shared" si="60"/>
        <v>Diabetes</v>
      </c>
      <c r="L956">
        <v>10</v>
      </c>
      <c r="M956" t="s">
        <v>2363</v>
      </c>
      <c r="N956">
        <v>1980</v>
      </c>
      <c r="O956" s="8">
        <f t="shared" si="58"/>
        <v>29474</v>
      </c>
      <c r="P956" s="10">
        <v>7729.65</v>
      </c>
      <c r="Q956" t="s">
        <v>2358</v>
      </c>
      <c r="R956" t="s">
        <v>2361</v>
      </c>
      <c r="S956" t="s">
        <v>2371</v>
      </c>
      <c r="T956">
        <f t="shared" ca="1" si="59"/>
        <v>46</v>
      </c>
      <c r="U956">
        <f>VLOOKUP($A956,'Medical Examination'!$A:$Z,2,FALSE)</f>
        <v>31.24</v>
      </c>
    </row>
    <row r="957" spans="1:21" ht="15.5" x14ac:dyDescent="0.35">
      <c r="A957" s="2" t="s">
        <v>957</v>
      </c>
      <c r="B957" s="2" t="s">
        <v>3857</v>
      </c>
      <c r="C957">
        <v>39.22</v>
      </c>
      <c r="D957">
        <v>5.62</v>
      </c>
      <c r="E957" t="s">
        <v>2346</v>
      </c>
      <c r="F957" t="s">
        <v>2344</v>
      </c>
      <c r="G957" t="s">
        <v>2344</v>
      </c>
      <c r="H957">
        <v>1</v>
      </c>
      <c r="I957" t="s">
        <v>2344</v>
      </c>
      <c r="J957" t="str">
        <f t="shared" si="57"/>
        <v>Obesity</v>
      </c>
      <c r="K957" t="str">
        <f t="shared" si="60"/>
        <v>Normal</v>
      </c>
      <c r="L957">
        <v>4</v>
      </c>
      <c r="M957" t="s">
        <v>2365</v>
      </c>
      <c r="N957">
        <v>1978</v>
      </c>
      <c r="O957" s="8">
        <f t="shared" si="58"/>
        <v>28828</v>
      </c>
      <c r="P957" s="10">
        <v>7731.43</v>
      </c>
      <c r="Q957" t="s">
        <v>2358</v>
      </c>
      <c r="R957" t="s">
        <v>2357</v>
      </c>
      <c r="S957" t="s">
        <v>2359</v>
      </c>
      <c r="T957">
        <f t="shared" ca="1" si="59"/>
        <v>48</v>
      </c>
      <c r="U957">
        <f>VLOOKUP($A957,'Medical Examination'!$A:$Z,2,FALSE)</f>
        <v>39.22</v>
      </c>
    </row>
    <row r="958" spans="1:21" ht="15.5" x14ac:dyDescent="0.35">
      <c r="A958" s="2" t="s">
        <v>958</v>
      </c>
      <c r="B958" s="2" t="s">
        <v>3777</v>
      </c>
      <c r="C958">
        <v>24.414999999999999</v>
      </c>
      <c r="D958">
        <v>7.16</v>
      </c>
      <c r="E958" t="s">
        <v>2344</v>
      </c>
      <c r="F958" t="s">
        <v>2344</v>
      </c>
      <c r="G958" t="s">
        <v>2344</v>
      </c>
      <c r="H958">
        <v>0</v>
      </c>
      <c r="I958" t="s">
        <v>2344</v>
      </c>
      <c r="J958" t="str">
        <f t="shared" si="57"/>
        <v>Normal Weight</v>
      </c>
      <c r="K958" t="str">
        <f t="shared" si="60"/>
        <v>Diabetes</v>
      </c>
      <c r="L958">
        <v>29</v>
      </c>
      <c r="M958" t="s">
        <v>2366</v>
      </c>
      <c r="N958">
        <v>1977</v>
      </c>
      <c r="O958" s="8">
        <f t="shared" si="58"/>
        <v>28366</v>
      </c>
      <c r="P958" s="10">
        <v>7731.86</v>
      </c>
      <c r="Q958" t="s">
        <v>2357</v>
      </c>
      <c r="R958" t="s">
        <v>2358</v>
      </c>
      <c r="S958" t="s">
        <v>2364</v>
      </c>
      <c r="T958">
        <f t="shared" ca="1" si="59"/>
        <v>49</v>
      </c>
      <c r="U958">
        <f>VLOOKUP($A958,'Medical Examination'!$A:$Z,2,FALSE)</f>
        <v>24.414999999999999</v>
      </c>
    </row>
    <row r="959" spans="1:21" ht="15.5" x14ac:dyDescent="0.35">
      <c r="A959" s="2" t="s">
        <v>959</v>
      </c>
      <c r="B959" s="2" t="s">
        <v>3859</v>
      </c>
      <c r="C959">
        <v>32.299999999999997</v>
      </c>
      <c r="D959">
        <v>9.89</v>
      </c>
      <c r="E959" t="s">
        <v>2344</v>
      </c>
      <c r="F959" t="s">
        <v>2344</v>
      </c>
      <c r="G959" t="s">
        <v>2344</v>
      </c>
      <c r="H959">
        <v>0</v>
      </c>
      <c r="I959" t="s">
        <v>2344</v>
      </c>
      <c r="J959" t="str">
        <f t="shared" si="57"/>
        <v>Obesity</v>
      </c>
      <c r="K959" t="str">
        <f t="shared" si="60"/>
        <v>Diabetes</v>
      </c>
      <c r="L959">
        <v>18</v>
      </c>
      <c r="M959" t="s">
        <v>2356</v>
      </c>
      <c r="N959">
        <v>1965</v>
      </c>
      <c r="O959" s="8">
        <f t="shared" si="58"/>
        <v>23941</v>
      </c>
      <c r="P959" s="10">
        <v>7736.39</v>
      </c>
      <c r="Q959" t="s">
        <v>2358</v>
      </c>
      <c r="R959" t="s">
        <v>2357</v>
      </c>
      <c r="S959" t="s">
        <v>2359</v>
      </c>
      <c r="T959">
        <f t="shared" ca="1" si="59"/>
        <v>61</v>
      </c>
      <c r="U959">
        <f>VLOOKUP($A959,'Medical Examination'!$A:$Z,2,FALSE)</f>
        <v>32.299999999999997</v>
      </c>
    </row>
    <row r="960" spans="1:21" ht="15.5" x14ac:dyDescent="0.35">
      <c r="A960" s="2" t="s">
        <v>960</v>
      </c>
      <c r="B960" s="2" t="s">
        <v>3860</v>
      </c>
      <c r="C960">
        <v>39.94</v>
      </c>
      <c r="D960">
        <v>5.14</v>
      </c>
      <c r="E960" t="s">
        <v>2344</v>
      </c>
      <c r="F960" t="s">
        <v>2344</v>
      </c>
      <c r="G960" t="s">
        <v>2344</v>
      </c>
      <c r="H960">
        <v>0</v>
      </c>
      <c r="I960" t="s">
        <v>2344</v>
      </c>
      <c r="J960" t="str">
        <f t="shared" si="57"/>
        <v>Obesity</v>
      </c>
      <c r="K960" t="str">
        <f t="shared" si="60"/>
        <v>Normal</v>
      </c>
      <c r="L960">
        <v>4</v>
      </c>
      <c r="M960" t="s">
        <v>2363</v>
      </c>
      <c r="N960">
        <v>1978</v>
      </c>
      <c r="O960" s="8">
        <f t="shared" si="58"/>
        <v>28737</v>
      </c>
      <c r="P960" s="10">
        <v>7740.34</v>
      </c>
      <c r="Q960" t="s">
        <v>2361</v>
      </c>
      <c r="R960" t="s">
        <v>2361</v>
      </c>
      <c r="S960" t="s">
        <v>2368</v>
      </c>
      <c r="T960">
        <f t="shared" ca="1" si="59"/>
        <v>48</v>
      </c>
      <c r="U960">
        <f>VLOOKUP($A960,'Medical Examination'!$A:$Z,2,FALSE)</f>
        <v>39.94</v>
      </c>
    </row>
    <row r="961" spans="1:21" ht="15.5" x14ac:dyDescent="0.35">
      <c r="A961" s="2" t="s">
        <v>961</v>
      </c>
      <c r="B961" s="2" t="s">
        <v>3862</v>
      </c>
      <c r="C961">
        <v>30</v>
      </c>
      <c r="D961">
        <v>5.61</v>
      </c>
      <c r="E961" t="s">
        <v>2346</v>
      </c>
      <c r="F961" t="s">
        <v>2344</v>
      </c>
      <c r="G961" t="s">
        <v>2346</v>
      </c>
      <c r="H961">
        <v>1</v>
      </c>
      <c r="I961" t="s">
        <v>2344</v>
      </c>
      <c r="J961" t="str">
        <f t="shared" si="57"/>
        <v>Obesity</v>
      </c>
      <c r="K961" t="str">
        <f t="shared" si="60"/>
        <v>Normal</v>
      </c>
      <c r="L961">
        <v>12</v>
      </c>
      <c r="M961" t="s">
        <v>2365</v>
      </c>
      <c r="N961">
        <v>1976</v>
      </c>
      <c r="O961" s="8">
        <f t="shared" si="58"/>
        <v>28106</v>
      </c>
      <c r="P961" s="10">
        <v>7742.11</v>
      </c>
      <c r="Q961" t="s">
        <v>2358</v>
      </c>
      <c r="R961" t="s">
        <v>2357</v>
      </c>
      <c r="S961" t="s">
        <v>2359</v>
      </c>
      <c r="T961">
        <f t="shared" ca="1" si="59"/>
        <v>50</v>
      </c>
      <c r="U961">
        <f>VLOOKUP($A961,'Medical Examination'!$A:$Z,2,FALSE)</f>
        <v>30</v>
      </c>
    </row>
    <row r="962" spans="1:21" ht="15.5" x14ac:dyDescent="0.35">
      <c r="A962" s="2" t="s">
        <v>962</v>
      </c>
      <c r="B962" s="2" t="s">
        <v>3863</v>
      </c>
      <c r="C962">
        <v>35.340000000000003</v>
      </c>
      <c r="D962">
        <v>5.51</v>
      </c>
      <c r="E962" t="s">
        <v>2346</v>
      </c>
      <c r="F962" t="s">
        <v>2344</v>
      </c>
      <c r="G962" t="s">
        <v>2346</v>
      </c>
      <c r="H962">
        <v>1</v>
      </c>
      <c r="I962" t="s">
        <v>2344</v>
      </c>
      <c r="J962" t="str">
        <f t="shared" si="57"/>
        <v>Obesity</v>
      </c>
      <c r="K962" t="str">
        <f t="shared" si="60"/>
        <v>Normal</v>
      </c>
      <c r="L962">
        <v>30</v>
      </c>
      <c r="M962" t="s">
        <v>2362</v>
      </c>
      <c r="N962">
        <v>1981</v>
      </c>
      <c r="O962" s="8">
        <f t="shared" si="58"/>
        <v>29767</v>
      </c>
      <c r="P962" s="10">
        <v>7749.16</v>
      </c>
      <c r="Q962" t="s">
        <v>2357</v>
      </c>
      <c r="R962" t="s">
        <v>2361</v>
      </c>
      <c r="S962" t="s">
        <v>2364</v>
      </c>
      <c r="T962">
        <f t="shared" ca="1" si="59"/>
        <v>45</v>
      </c>
      <c r="U962">
        <f>VLOOKUP($A962,'Medical Examination'!$A:$Z,2,FALSE)</f>
        <v>35.340000000000003</v>
      </c>
    </row>
    <row r="963" spans="1:21" ht="15.5" x14ac:dyDescent="0.35">
      <c r="A963" s="2" t="s">
        <v>963</v>
      </c>
      <c r="B963" s="2" t="s">
        <v>2938</v>
      </c>
      <c r="C963">
        <v>32.204999999999998</v>
      </c>
      <c r="D963">
        <v>8.3800000000000008</v>
      </c>
      <c r="E963" t="s">
        <v>2346</v>
      </c>
      <c r="F963" t="s">
        <v>2344</v>
      </c>
      <c r="G963" t="s">
        <v>2344</v>
      </c>
      <c r="H963">
        <v>1</v>
      </c>
      <c r="I963" t="s">
        <v>2344</v>
      </c>
      <c r="J963" t="str">
        <f t="shared" ref="J963:J1026" si="61">IF(C963&lt;18.5,"Under Weight",IF(C963&lt;25,"Normal Weight",IF(C963&lt;30,"Over weight","Obesity")))</f>
        <v>Obesity</v>
      </c>
      <c r="K963" t="str">
        <f t="shared" si="60"/>
        <v>Diabetes</v>
      </c>
      <c r="L963">
        <v>21</v>
      </c>
      <c r="M963" t="s">
        <v>2365</v>
      </c>
      <c r="N963">
        <v>1997</v>
      </c>
      <c r="O963" s="8">
        <f t="shared" ref="O963:O1026" si="62">DATE(N963,MONTH(1&amp;M963),L963)</f>
        <v>35785</v>
      </c>
      <c r="P963" s="10">
        <v>7763.06</v>
      </c>
      <c r="Q963" t="s">
        <v>2357</v>
      </c>
      <c r="R963" t="s">
        <v>2361</v>
      </c>
      <c r="S963" t="s">
        <v>2364</v>
      </c>
      <c r="T963">
        <f t="shared" ref="T963:T1026" ca="1" si="63">YEAR(TODAY())-YEAR(O963)</f>
        <v>29</v>
      </c>
      <c r="U963">
        <f>VLOOKUP($A963,'Medical Examination'!$A:$Z,2,FALSE)</f>
        <v>32.204999999999998</v>
      </c>
    </row>
    <row r="964" spans="1:21" ht="15.5" x14ac:dyDescent="0.35">
      <c r="A964" s="2" t="s">
        <v>964</v>
      </c>
      <c r="B964" s="2" t="s">
        <v>3864</v>
      </c>
      <c r="C964">
        <v>33.880000000000003</v>
      </c>
      <c r="D964">
        <v>4.68</v>
      </c>
      <c r="E964" t="s">
        <v>2344</v>
      </c>
      <c r="F964" t="s">
        <v>2345</v>
      </c>
      <c r="G964" t="s">
        <v>2344</v>
      </c>
      <c r="H964">
        <v>1</v>
      </c>
      <c r="I964" t="s">
        <v>2344</v>
      </c>
      <c r="J964" t="str">
        <f t="shared" si="61"/>
        <v>Obesity</v>
      </c>
      <c r="K964" t="str">
        <f t="shared" si="60"/>
        <v>Normal</v>
      </c>
      <c r="L964">
        <v>6</v>
      </c>
      <c r="M964" t="s">
        <v>2365</v>
      </c>
      <c r="N964">
        <v>1974</v>
      </c>
      <c r="O964" s="8">
        <f t="shared" si="62"/>
        <v>27369</v>
      </c>
      <c r="P964" s="10">
        <v>7789.64</v>
      </c>
      <c r="Q964" t="s">
        <v>2361</v>
      </c>
      <c r="R964" t="s">
        <v>2358</v>
      </c>
      <c r="S964" t="s">
        <v>2359</v>
      </c>
      <c r="T964">
        <f t="shared" ca="1" si="63"/>
        <v>52</v>
      </c>
      <c r="U964">
        <f>VLOOKUP($A964,'Medical Examination'!$A:$Z,2,FALSE)</f>
        <v>33.880000000000003</v>
      </c>
    </row>
    <row r="965" spans="1:21" ht="15.5" x14ac:dyDescent="0.35">
      <c r="A965" s="2" t="s">
        <v>965</v>
      </c>
      <c r="B965" s="2" t="s">
        <v>3866</v>
      </c>
      <c r="C965">
        <v>26.63</v>
      </c>
      <c r="D965">
        <v>4.3600000000000003</v>
      </c>
      <c r="E965" t="s">
        <v>2346</v>
      </c>
      <c r="F965" t="s">
        <v>2344</v>
      </c>
      <c r="G965" t="s">
        <v>2344</v>
      </c>
      <c r="H965">
        <v>1</v>
      </c>
      <c r="I965" t="s">
        <v>2344</v>
      </c>
      <c r="J965" t="str">
        <f t="shared" si="61"/>
        <v>Over weight</v>
      </c>
      <c r="K965" t="str">
        <f t="shared" si="60"/>
        <v>Normal</v>
      </c>
      <c r="L965">
        <v>25</v>
      </c>
      <c r="M965" t="s">
        <v>2365</v>
      </c>
      <c r="N965">
        <v>1999</v>
      </c>
      <c r="O965" s="8">
        <f t="shared" si="62"/>
        <v>36519</v>
      </c>
      <c r="P965" s="10">
        <v>7794.68</v>
      </c>
      <c r="Q965" t="s">
        <v>2357</v>
      </c>
      <c r="R965" t="s">
        <v>2357</v>
      </c>
      <c r="S965" t="s">
        <v>2380</v>
      </c>
      <c r="T965">
        <f t="shared" ca="1" si="63"/>
        <v>27</v>
      </c>
      <c r="U965">
        <f>VLOOKUP($A965,'Medical Examination'!$A:$Z,2,FALSE)</f>
        <v>26.63</v>
      </c>
    </row>
    <row r="966" spans="1:21" ht="15.5" x14ac:dyDescent="0.35">
      <c r="A966" s="2" t="s">
        <v>966</v>
      </c>
      <c r="B966" s="2" t="s">
        <v>3867</v>
      </c>
      <c r="C966">
        <v>28.7</v>
      </c>
      <c r="D966">
        <v>7.74</v>
      </c>
      <c r="E966" t="s">
        <v>2344</v>
      </c>
      <c r="F966" t="s">
        <v>2344</v>
      </c>
      <c r="G966" t="s">
        <v>2344</v>
      </c>
      <c r="H966">
        <v>0</v>
      </c>
      <c r="I966" t="s">
        <v>2344</v>
      </c>
      <c r="J966" t="str">
        <f t="shared" si="61"/>
        <v>Over weight</v>
      </c>
      <c r="K966" t="str">
        <f t="shared" si="60"/>
        <v>Diabetes</v>
      </c>
      <c r="L966">
        <v>2</v>
      </c>
      <c r="M966" t="s">
        <v>2365</v>
      </c>
      <c r="N966">
        <v>1997</v>
      </c>
      <c r="O966" s="8">
        <f t="shared" si="62"/>
        <v>35766</v>
      </c>
      <c r="P966" s="10">
        <v>7803.77</v>
      </c>
      <c r="Q966" t="s">
        <v>2357</v>
      </c>
      <c r="R966" t="s">
        <v>2358</v>
      </c>
      <c r="S966" t="s">
        <v>2364</v>
      </c>
      <c r="T966">
        <f t="shared" ca="1" si="63"/>
        <v>29</v>
      </c>
      <c r="U966">
        <f>VLOOKUP($A966,'Medical Examination'!$A:$Z,2,FALSE)</f>
        <v>28.7</v>
      </c>
    </row>
    <row r="967" spans="1:21" ht="15.5" x14ac:dyDescent="0.35">
      <c r="A967" s="2" t="s">
        <v>967</v>
      </c>
      <c r="B967" s="2" t="s">
        <v>3868</v>
      </c>
      <c r="C967">
        <v>25.65</v>
      </c>
      <c r="D967">
        <v>4.05</v>
      </c>
      <c r="E967" t="s">
        <v>2346</v>
      </c>
      <c r="F967" t="s">
        <v>2344</v>
      </c>
      <c r="G967" t="s">
        <v>2344</v>
      </c>
      <c r="H967">
        <v>1</v>
      </c>
      <c r="I967" t="s">
        <v>2344</v>
      </c>
      <c r="J967" t="str">
        <f t="shared" si="61"/>
        <v>Over weight</v>
      </c>
      <c r="K967" t="str">
        <f t="shared" si="60"/>
        <v>Normal</v>
      </c>
      <c r="L967">
        <v>9</v>
      </c>
      <c r="M967" t="s">
        <v>2360</v>
      </c>
      <c r="N967">
        <v>1974</v>
      </c>
      <c r="O967" s="8">
        <f t="shared" si="62"/>
        <v>27342</v>
      </c>
      <c r="P967" s="10">
        <v>7804.16</v>
      </c>
      <c r="Q967" t="s">
        <v>2357</v>
      </c>
      <c r="R967" t="s">
        <v>2358</v>
      </c>
      <c r="S967" t="s">
        <v>2359</v>
      </c>
      <c r="T967">
        <f t="shared" ca="1" si="63"/>
        <v>52</v>
      </c>
      <c r="U967">
        <f>VLOOKUP($A967,'Medical Examination'!$A:$Z,2,FALSE)</f>
        <v>25.65</v>
      </c>
    </row>
    <row r="968" spans="1:21" ht="15.5" x14ac:dyDescent="0.35">
      <c r="A968" s="2" t="s">
        <v>968</v>
      </c>
      <c r="B968" s="2" t="s">
        <v>3869</v>
      </c>
      <c r="C968">
        <v>36.384999999999998</v>
      </c>
      <c r="D968">
        <v>11.49</v>
      </c>
      <c r="E968" t="s">
        <v>2344</v>
      </c>
      <c r="F968" t="s">
        <v>2344</v>
      </c>
      <c r="G968" t="s">
        <v>2344</v>
      </c>
      <c r="H968">
        <v>0</v>
      </c>
      <c r="I968" t="s">
        <v>2344</v>
      </c>
      <c r="J968" t="str">
        <f t="shared" si="61"/>
        <v>Obesity</v>
      </c>
      <c r="K968" t="str">
        <f t="shared" si="60"/>
        <v>Diabetes</v>
      </c>
      <c r="L968">
        <v>21</v>
      </c>
      <c r="M968" t="s">
        <v>2365</v>
      </c>
      <c r="N968">
        <v>1991</v>
      </c>
      <c r="O968" s="8">
        <f t="shared" si="62"/>
        <v>33593</v>
      </c>
      <c r="P968" s="10">
        <v>7812.67</v>
      </c>
      <c r="Q968" t="s">
        <v>2357</v>
      </c>
      <c r="R968" t="s">
        <v>2361</v>
      </c>
      <c r="S968" t="s">
        <v>2364</v>
      </c>
      <c r="T968">
        <f t="shared" ca="1" si="63"/>
        <v>35</v>
      </c>
      <c r="U968">
        <f>VLOOKUP($A968,'Medical Examination'!$A:$Z,2,FALSE)</f>
        <v>36.384999999999998</v>
      </c>
    </row>
    <row r="969" spans="1:21" ht="15.5" x14ac:dyDescent="0.35">
      <c r="A969" s="2" t="s">
        <v>969</v>
      </c>
      <c r="B969" s="2" t="s">
        <v>3871</v>
      </c>
      <c r="C969">
        <v>34.69</v>
      </c>
      <c r="D969">
        <v>5.65</v>
      </c>
      <c r="E969" t="s">
        <v>2344</v>
      </c>
      <c r="F969" t="s">
        <v>2344</v>
      </c>
      <c r="G969" t="s">
        <v>2344</v>
      </c>
      <c r="H969">
        <v>0</v>
      </c>
      <c r="I969" t="s">
        <v>2344</v>
      </c>
      <c r="J969" t="str">
        <f t="shared" si="61"/>
        <v>Obesity</v>
      </c>
      <c r="K969" t="str">
        <f t="shared" si="60"/>
        <v>Normal</v>
      </c>
      <c r="L969">
        <v>12</v>
      </c>
      <c r="M969" t="s">
        <v>2367</v>
      </c>
      <c r="N969">
        <v>1989</v>
      </c>
      <c r="O969" s="8">
        <f t="shared" si="62"/>
        <v>32793</v>
      </c>
      <c r="P969" s="10">
        <v>7824.37</v>
      </c>
      <c r="Q969" t="s">
        <v>2357</v>
      </c>
      <c r="R969" t="s">
        <v>2357</v>
      </c>
      <c r="S969" t="s">
        <v>2364</v>
      </c>
      <c r="T969">
        <f t="shared" ca="1" si="63"/>
        <v>37</v>
      </c>
      <c r="U969">
        <f>VLOOKUP($A969,'Medical Examination'!$A:$Z,2,FALSE)</f>
        <v>34.69</v>
      </c>
    </row>
    <row r="970" spans="1:21" ht="15.5" x14ac:dyDescent="0.35">
      <c r="A970" s="2" t="s">
        <v>970</v>
      </c>
      <c r="B970" s="2" t="s">
        <v>3872</v>
      </c>
      <c r="C970">
        <v>37.68</v>
      </c>
      <c r="D970">
        <v>4.29</v>
      </c>
      <c r="E970" t="s">
        <v>2346</v>
      </c>
      <c r="F970" t="s">
        <v>2344</v>
      </c>
      <c r="G970" t="s">
        <v>2344</v>
      </c>
      <c r="H970">
        <v>0</v>
      </c>
      <c r="I970" t="s">
        <v>2344</v>
      </c>
      <c r="J970" t="str">
        <f t="shared" si="61"/>
        <v>Obesity</v>
      </c>
      <c r="K970" t="str">
        <f t="shared" si="60"/>
        <v>Normal</v>
      </c>
      <c r="L970">
        <v>5</v>
      </c>
      <c r="M970" t="s">
        <v>2367</v>
      </c>
      <c r="N970">
        <v>2001</v>
      </c>
      <c r="O970" s="8">
        <f t="shared" si="62"/>
        <v>37169</v>
      </c>
      <c r="P970" s="10">
        <v>7844.8</v>
      </c>
      <c r="Q970" t="s">
        <v>2357</v>
      </c>
      <c r="R970" t="s">
        <v>2357</v>
      </c>
      <c r="S970" t="s">
        <v>2364</v>
      </c>
      <c r="T970">
        <f t="shared" ca="1" si="63"/>
        <v>25</v>
      </c>
      <c r="U970">
        <f>VLOOKUP($A970,'Medical Examination'!$A:$Z,2,FALSE)</f>
        <v>37.68</v>
      </c>
    </row>
    <row r="971" spans="1:21" ht="15.5" x14ac:dyDescent="0.35">
      <c r="A971" s="2" t="s">
        <v>971</v>
      </c>
      <c r="B971" s="2" t="s">
        <v>3873</v>
      </c>
      <c r="C971">
        <v>35.49</v>
      </c>
      <c r="D971">
        <v>4.74</v>
      </c>
      <c r="E971" t="s">
        <v>2346</v>
      </c>
      <c r="F971" t="s">
        <v>2344</v>
      </c>
      <c r="G971" t="s">
        <v>2346</v>
      </c>
      <c r="H971">
        <v>1</v>
      </c>
      <c r="I971" t="s">
        <v>2344</v>
      </c>
      <c r="J971" t="str">
        <f t="shared" si="61"/>
        <v>Obesity</v>
      </c>
      <c r="K971" t="str">
        <f t="shared" si="60"/>
        <v>Normal</v>
      </c>
      <c r="L971">
        <v>17</v>
      </c>
      <c r="M971" t="s">
        <v>2360</v>
      </c>
      <c r="N971">
        <v>1994</v>
      </c>
      <c r="O971" s="8">
        <f t="shared" si="62"/>
        <v>34655</v>
      </c>
      <c r="P971" s="10">
        <v>7851.85</v>
      </c>
      <c r="Q971" t="s">
        <v>2357</v>
      </c>
      <c r="R971" t="s">
        <v>2358</v>
      </c>
      <c r="S971" t="s">
        <v>2364</v>
      </c>
      <c r="T971">
        <f t="shared" ca="1" si="63"/>
        <v>32</v>
      </c>
      <c r="U971">
        <f>VLOOKUP($A971,'Medical Examination'!$A:$Z,2,FALSE)</f>
        <v>35.49</v>
      </c>
    </row>
    <row r="972" spans="1:21" ht="15.5" x14ac:dyDescent="0.35">
      <c r="A972" s="2" t="s">
        <v>972</v>
      </c>
      <c r="B972" s="2" t="s">
        <v>3875</v>
      </c>
      <c r="C972">
        <v>44.7</v>
      </c>
      <c r="D972">
        <v>7.6</v>
      </c>
      <c r="E972" t="s">
        <v>2346</v>
      </c>
      <c r="F972" t="s">
        <v>2344</v>
      </c>
      <c r="G972" t="s">
        <v>2344</v>
      </c>
      <c r="H972">
        <v>1</v>
      </c>
      <c r="I972" t="s">
        <v>2344</v>
      </c>
      <c r="J972" t="str">
        <f t="shared" si="61"/>
        <v>Obesity</v>
      </c>
      <c r="K972" t="str">
        <f t="shared" ref="K972:K1035" si="64">IF(D972&lt;5.7,"Normal",IF(D972&lt;6.5,"Prediabetes","Diabetes"))</f>
        <v>Diabetes</v>
      </c>
      <c r="L972">
        <v>10</v>
      </c>
      <c r="M972" t="s">
        <v>2367</v>
      </c>
      <c r="N972">
        <v>1962</v>
      </c>
      <c r="O972" s="8">
        <f t="shared" si="62"/>
        <v>22929</v>
      </c>
      <c r="P972" s="10">
        <v>7896.41</v>
      </c>
      <c r="Q972" t="s">
        <v>2358</v>
      </c>
      <c r="R972" t="s">
        <v>2357</v>
      </c>
      <c r="S972" t="s">
        <v>2359</v>
      </c>
      <c r="T972">
        <f t="shared" ca="1" si="63"/>
        <v>64</v>
      </c>
      <c r="U972">
        <f>VLOOKUP($A972,'Medical Examination'!$A:$Z,2,FALSE)</f>
        <v>44.7</v>
      </c>
    </row>
    <row r="973" spans="1:21" ht="15.5" x14ac:dyDescent="0.35">
      <c r="A973" s="2" t="s">
        <v>973</v>
      </c>
      <c r="B973" s="2" t="s">
        <v>3876</v>
      </c>
      <c r="C973">
        <v>38.380000000000003</v>
      </c>
      <c r="D973">
        <v>8.5</v>
      </c>
      <c r="E973" t="s">
        <v>2346</v>
      </c>
      <c r="F973" t="s">
        <v>2344</v>
      </c>
      <c r="G973" t="s">
        <v>2344</v>
      </c>
      <c r="H973">
        <v>1</v>
      </c>
      <c r="I973" t="s">
        <v>2344</v>
      </c>
      <c r="J973" t="str">
        <f t="shared" si="61"/>
        <v>Obesity</v>
      </c>
      <c r="K973" t="str">
        <f t="shared" si="64"/>
        <v>Diabetes</v>
      </c>
      <c r="L973">
        <v>20</v>
      </c>
      <c r="M973" t="s">
        <v>2356</v>
      </c>
      <c r="N973">
        <v>1977</v>
      </c>
      <c r="O973" s="8">
        <f t="shared" si="62"/>
        <v>28326</v>
      </c>
      <c r="P973" s="10">
        <v>7935.29</v>
      </c>
      <c r="Q973" t="s">
        <v>2357</v>
      </c>
      <c r="R973" t="s">
        <v>2361</v>
      </c>
      <c r="S973" t="s">
        <v>2374</v>
      </c>
      <c r="T973">
        <f t="shared" ca="1" si="63"/>
        <v>49</v>
      </c>
      <c r="U973">
        <f>VLOOKUP($A973,'Medical Examination'!$A:$Z,2,FALSE)</f>
        <v>38.380000000000003</v>
      </c>
    </row>
    <row r="974" spans="1:21" ht="15.5" x14ac:dyDescent="0.35">
      <c r="A974" s="2" t="s">
        <v>974</v>
      </c>
      <c r="B974" s="2" t="s">
        <v>3877</v>
      </c>
      <c r="C974">
        <v>35.244999999999997</v>
      </c>
      <c r="D974">
        <v>11.22</v>
      </c>
      <c r="E974" t="s">
        <v>2346</v>
      </c>
      <c r="F974" t="s">
        <v>2344</v>
      </c>
      <c r="G974" t="s">
        <v>2344</v>
      </c>
      <c r="H974">
        <v>0</v>
      </c>
      <c r="I974" t="s">
        <v>2344</v>
      </c>
      <c r="J974" t="str">
        <f t="shared" si="61"/>
        <v>Obesity</v>
      </c>
      <c r="K974" t="str">
        <f t="shared" si="64"/>
        <v>Diabetes</v>
      </c>
      <c r="L974">
        <v>29</v>
      </c>
      <c r="M974" t="s">
        <v>2367</v>
      </c>
      <c r="N974">
        <v>1987</v>
      </c>
      <c r="O974" s="8">
        <f t="shared" si="62"/>
        <v>32079</v>
      </c>
      <c r="P974" s="10">
        <v>7948.22</v>
      </c>
      <c r="Q974" t="s">
        <v>2357</v>
      </c>
      <c r="R974" t="s">
        <v>2358</v>
      </c>
      <c r="S974" t="s">
        <v>2373</v>
      </c>
      <c r="T974">
        <f t="shared" ca="1" si="63"/>
        <v>39</v>
      </c>
      <c r="U974">
        <f>VLOOKUP($A974,'Medical Examination'!$A:$Z,2,FALSE)</f>
        <v>35.244999999999997</v>
      </c>
    </row>
    <row r="975" spans="1:21" ht="15.5" x14ac:dyDescent="0.35">
      <c r="A975" s="2" t="s">
        <v>975</v>
      </c>
      <c r="B975" s="2" t="s">
        <v>3612</v>
      </c>
      <c r="C975">
        <v>49.84</v>
      </c>
      <c r="D975">
        <v>5.0999999999999996</v>
      </c>
      <c r="E975" t="s">
        <v>2346</v>
      </c>
      <c r="F975" t="s">
        <v>2344</v>
      </c>
      <c r="G975" t="s">
        <v>2346</v>
      </c>
      <c r="H975">
        <v>1</v>
      </c>
      <c r="I975" t="s">
        <v>2344</v>
      </c>
      <c r="J975" t="str">
        <f t="shared" si="61"/>
        <v>Obesity</v>
      </c>
      <c r="K975" t="str">
        <f t="shared" si="64"/>
        <v>Normal</v>
      </c>
      <c r="L975">
        <v>9</v>
      </c>
      <c r="M975" t="s">
        <v>2356</v>
      </c>
      <c r="N975">
        <v>1966</v>
      </c>
      <c r="O975" s="8">
        <f t="shared" si="62"/>
        <v>24297</v>
      </c>
      <c r="P975" s="10">
        <v>7953.72</v>
      </c>
      <c r="Q975" t="s">
        <v>2358</v>
      </c>
      <c r="R975" t="s">
        <v>2358</v>
      </c>
      <c r="S975" t="s">
        <v>2364</v>
      </c>
      <c r="T975">
        <f t="shared" ca="1" si="63"/>
        <v>60</v>
      </c>
      <c r="U975">
        <f>VLOOKUP($A975,'Medical Examination'!$A:$Z,2,FALSE)</f>
        <v>49.84</v>
      </c>
    </row>
    <row r="976" spans="1:21" ht="15.5" x14ac:dyDescent="0.35">
      <c r="A976" s="2" t="s">
        <v>976</v>
      </c>
      <c r="B976" s="2" t="s">
        <v>3879</v>
      </c>
      <c r="C976">
        <v>49.06</v>
      </c>
      <c r="D976">
        <v>5.43</v>
      </c>
      <c r="E976" t="s">
        <v>2346</v>
      </c>
      <c r="F976" t="s">
        <v>2344</v>
      </c>
      <c r="G976" t="s">
        <v>2344</v>
      </c>
      <c r="H976">
        <v>1</v>
      </c>
      <c r="I976" t="s">
        <v>2344</v>
      </c>
      <c r="J976" t="str">
        <f t="shared" si="61"/>
        <v>Obesity</v>
      </c>
      <c r="K976" t="str">
        <f t="shared" si="64"/>
        <v>Normal</v>
      </c>
      <c r="L976">
        <v>28</v>
      </c>
      <c r="M976" t="s">
        <v>2365</v>
      </c>
      <c r="N976">
        <v>1981</v>
      </c>
      <c r="O976" s="8">
        <f t="shared" si="62"/>
        <v>29948</v>
      </c>
      <c r="P976" s="10">
        <v>7954.52</v>
      </c>
      <c r="Q976" t="s">
        <v>2357</v>
      </c>
      <c r="R976" t="s">
        <v>2357</v>
      </c>
      <c r="S976" t="s">
        <v>2368</v>
      </c>
      <c r="T976">
        <f t="shared" ca="1" si="63"/>
        <v>45</v>
      </c>
      <c r="U976">
        <f>VLOOKUP($A976,'Medical Examination'!$A:$Z,2,FALSE)</f>
        <v>49.06</v>
      </c>
    </row>
    <row r="977" spans="1:21" ht="15.5" x14ac:dyDescent="0.35">
      <c r="A977" s="2" t="s">
        <v>977</v>
      </c>
      <c r="B977" s="2" t="s">
        <v>3880</v>
      </c>
      <c r="C977">
        <v>30.88</v>
      </c>
      <c r="D977">
        <v>5.82</v>
      </c>
      <c r="E977" t="s">
        <v>2344</v>
      </c>
      <c r="F977" t="s">
        <v>2344</v>
      </c>
      <c r="G977" t="s">
        <v>2344</v>
      </c>
      <c r="H977">
        <v>1</v>
      </c>
      <c r="I977" t="s">
        <v>2344</v>
      </c>
      <c r="J977" t="str">
        <f t="shared" si="61"/>
        <v>Obesity</v>
      </c>
      <c r="K977" t="str">
        <f t="shared" si="64"/>
        <v>Prediabetes</v>
      </c>
      <c r="L977">
        <v>19</v>
      </c>
      <c r="M977" t="s">
        <v>2362</v>
      </c>
      <c r="N977">
        <v>1970</v>
      </c>
      <c r="O977" s="8">
        <f t="shared" si="62"/>
        <v>25738</v>
      </c>
      <c r="P977" s="10">
        <v>7958.13</v>
      </c>
      <c r="Q977" t="s">
        <v>2357</v>
      </c>
      <c r="R977" t="s">
        <v>2357</v>
      </c>
      <c r="S977" t="s">
        <v>2359</v>
      </c>
      <c r="T977">
        <f t="shared" ca="1" si="63"/>
        <v>56</v>
      </c>
      <c r="U977">
        <f>VLOOKUP($A977,'Medical Examination'!$A:$Z,2,FALSE)</f>
        <v>30.88</v>
      </c>
    </row>
    <row r="978" spans="1:21" ht="15.5" x14ac:dyDescent="0.35">
      <c r="A978" s="2" t="s">
        <v>978</v>
      </c>
      <c r="B978" s="2" t="s">
        <v>3223</v>
      </c>
      <c r="C978">
        <v>33.35</v>
      </c>
      <c r="D978">
        <v>6.05</v>
      </c>
      <c r="E978" t="s">
        <v>2344</v>
      </c>
      <c r="F978" t="s">
        <v>2344</v>
      </c>
      <c r="G978" t="s">
        <v>2346</v>
      </c>
      <c r="H978">
        <v>1</v>
      </c>
      <c r="I978" t="s">
        <v>2344</v>
      </c>
      <c r="J978" t="str">
        <f t="shared" si="61"/>
        <v>Obesity</v>
      </c>
      <c r="K978" t="str">
        <f t="shared" si="64"/>
        <v>Prediabetes</v>
      </c>
      <c r="L978">
        <v>10</v>
      </c>
      <c r="M978" t="s">
        <v>2366</v>
      </c>
      <c r="N978">
        <v>1975</v>
      </c>
      <c r="O978" s="8">
        <f t="shared" si="62"/>
        <v>27616</v>
      </c>
      <c r="P978" s="10">
        <v>7966.81</v>
      </c>
      <c r="Q978" t="s">
        <v>2357</v>
      </c>
      <c r="R978" t="s">
        <v>2357</v>
      </c>
      <c r="S978" t="s">
        <v>2359</v>
      </c>
      <c r="T978">
        <f t="shared" ca="1" si="63"/>
        <v>51</v>
      </c>
      <c r="U978">
        <f>VLOOKUP($A978,'Medical Examination'!$A:$Z,2,FALSE)</f>
        <v>33.35</v>
      </c>
    </row>
    <row r="979" spans="1:21" ht="15.5" x14ac:dyDescent="0.35">
      <c r="A979" s="2" t="s">
        <v>979</v>
      </c>
      <c r="B979" s="2" t="s">
        <v>3882</v>
      </c>
      <c r="C979">
        <v>38</v>
      </c>
      <c r="D979">
        <v>6.38</v>
      </c>
      <c r="E979" t="s">
        <v>2346</v>
      </c>
      <c r="F979" t="s">
        <v>2344</v>
      </c>
      <c r="G979" t="s">
        <v>2344</v>
      </c>
      <c r="H979">
        <v>1</v>
      </c>
      <c r="I979" t="s">
        <v>2344</v>
      </c>
      <c r="J979" t="str">
        <f t="shared" si="61"/>
        <v>Obesity</v>
      </c>
      <c r="K979" t="str">
        <f t="shared" si="64"/>
        <v>Prediabetes</v>
      </c>
      <c r="L979">
        <v>23</v>
      </c>
      <c r="M979" t="s">
        <v>2360</v>
      </c>
      <c r="N979">
        <v>1972</v>
      </c>
      <c r="O979" s="8">
        <f t="shared" si="62"/>
        <v>26626</v>
      </c>
      <c r="P979" s="10">
        <v>7980.34</v>
      </c>
      <c r="Q979" t="s">
        <v>2357</v>
      </c>
      <c r="R979" t="s">
        <v>2357</v>
      </c>
      <c r="S979" t="s">
        <v>2359</v>
      </c>
      <c r="T979">
        <f t="shared" ca="1" si="63"/>
        <v>54</v>
      </c>
      <c r="U979">
        <f>VLOOKUP($A979,'Medical Examination'!$A:$Z,2,FALSE)</f>
        <v>38</v>
      </c>
    </row>
    <row r="980" spans="1:21" ht="15.5" x14ac:dyDescent="0.35">
      <c r="A980" s="2" t="s">
        <v>980</v>
      </c>
      <c r="B980" s="2" t="s">
        <v>3883</v>
      </c>
      <c r="C980">
        <v>36.08</v>
      </c>
      <c r="D980">
        <v>5.73</v>
      </c>
      <c r="E980" t="s">
        <v>2346</v>
      </c>
      <c r="F980" t="s">
        <v>2344</v>
      </c>
      <c r="G980" t="s">
        <v>2344</v>
      </c>
      <c r="H980">
        <v>1</v>
      </c>
      <c r="I980" t="s">
        <v>2344</v>
      </c>
      <c r="J980" t="str">
        <f t="shared" si="61"/>
        <v>Obesity</v>
      </c>
      <c r="K980" t="str">
        <f t="shared" si="64"/>
        <v>Prediabetes</v>
      </c>
      <c r="L980">
        <v>28</v>
      </c>
      <c r="M980" t="s">
        <v>2366</v>
      </c>
      <c r="N980">
        <v>1983</v>
      </c>
      <c r="O980" s="8">
        <f t="shared" si="62"/>
        <v>30556</v>
      </c>
      <c r="P980" s="10">
        <v>7985.82</v>
      </c>
      <c r="Q980" t="s">
        <v>2357</v>
      </c>
      <c r="R980" t="s">
        <v>2361</v>
      </c>
      <c r="S980" t="s">
        <v>2374</v>
      </c>
      <c r="T980">
        <f t="shared" ca="1" si="63"/>
        <v>43</v>
      </c>
      <c r="U980">
        <f>VLOOKUP($A980,'Medical Examination'!$A:$Z,2,FALSE)</f>
        <v>36.08</v>
      </c>
    </row>
    <row r="981" spans="1:21" ht="15.5" x14ac:dyDescent="0.35">
      <c r="A981" s="2" t="s">
        <v>981</v>
      </c>
      <c r="B981" s="2" t="s">
        <v>3884</v>
      </c>
      <c r="C981">
        <v>35.700000000000003</v>
      </c>
      <c r="D981">
        <v>5.47</v>
      </c>
      <c r="E981" t="s">
        <v>2346</v>
      </c>
      <c r="F981" t="s">
        <v>2344</v>
      </c>
      <c r="G981" t="s">
        <v>2344</v>
      </c>
      <c r="H981">
        <v>1</v>
      </c>
      <c r="I981" t="s">
        <v>2344</v>
      </c>
      <c r="J981" t="str">
        <f t="shared" si="61"/>
        <v>Obesity</v>
      </c>
      <c r="K981" t="str">
        <f t="shared" si="64"/>
        <v>Normal</v>
      </c>
      <c r="L981">
        <v>20</v>
      </c>
      <c r="M981" t="s">
        <v>2366</v>
      </c>
      <c r="N981">
        <v>1983</v>
      </c>
      <c r="O981" s="8">
        <f t="shared" si="62"/>
        <v>30548</v>
      </c>
      <c r="P981" s="10">
        <v>7986.48</v>
      </c>
      <c r="Q981" t="s">
        <v>2357</v>
      </c>
      <c r="R981" t="s">
        <v>2358</v>
      </c>
      <c r="S981" t="s">
        <v>2374</v>
      </c>
      <c r="T981">
        <f t="shared" ca="1" si="63"/>
        <v>43</v>
      </c>
      <c r="U981">
        <f>VLOOKUP($A981,'Medical Examination'!$A:$Z,2,FALSE)</f>
        <v>35.700000000000003</v>
      </c>
    </row>
    <row r="982" spans="1:21" ht="15.5" x14ac:dyDescent="0.35">
      <c r="A982" s="2" t="s">
        <v>982</v>
      </c>
      <c r="B982" s="2" t="s">
        <v>3885</v>
      </c>
      <c r="C982">
        <v>34.01</v>
      </c>
      <c r="D982">
        <v>11.3</v>
      </c>
      <c r="E982" t="s">
        <v>2344</v>
      </c>
      <c r="F982" t="s">
        <v>2344</v>
      </c>
      <c r="G982" t="s">
        <v>2344</v>
      </c>
      <c r="H982">
        <v>0</v>
      </c>
      <c r="I982" t="s">
        <v>2344</v>
      </c>
      <c r="J982" t="str">
        <f t="shared" si="61"/>
        <v>Obesity</v>
      </c>
      <c r="K982" t="str">
        <f t="shared" si="64"/>
        <v>Diabetes</v>
      </c>
      <c r="L982">
        <v>22</v>
      </c>
      <c r="M982" t="s">
        <v>2366</v>
      </c>
      <c r="N982">
        <v>1962</v>
      </c>
      <c r="O982" s="8">
        <f t="shared" si="62"/>
        <v>22880</v>
      </c>
      <c r="P982" s="10">
        <v>8004.96</v>
      </c>
      <c r="Q982" t="s">
        <v>2358</v>
      </c>
      <c r="R982" t="s">
        <v>2361</v>
      </c>
      <c r="S982" t="s">
        <v>2359</v>
      </c>
      <c r="T982">
        <f t="shared" ca="1" si="63"/>
        <v>64</v>
      </c>
      <c r="U982">
        <f>VLOOKUP($A982,'Medical Examination'!$A:$Z,2,FALSE)</f>
        <v>34.01</v>
      </c>
    </row>
    <row r="983" spans="1:21" ht="15.5" x14ac:dyDescent="0.35">
      <c r="A983" s="2" t="s">
        <v>983</v>
      </c>
      <c r="B983" s="2" t="s">
        <v>3887</v>
      </c>
      <c r="C983">
        <v>31.54</v>
      </c>
      <c r="D983">
        <v>6.72</v>
      </c>
      <c r="E983" t="s">
        <v>2344</v>
      </c>
      <c r="F983" t="s">
        <v>2344</v>
      </c>
      <c r="G983" t="s">
        <v>2344</v>
      </c>
      <c r="H983">
        <v>0</v>
      </c>
      <c r="I983" t="s">
        <v>2344</v>
      </c>
      <c r="J983" t="str">
        <f t="shared" si="61"/>
        <v>Obesity</v>
      </c>
      <c r="K983" t="str">
        <f t="shared" si="64"/>
        <v>Diabetes</v>
      </c>
      <c r="L983">
        <v>18</v>
      </c>
      <c r="M983" t="s">
        <v>2363</v>
      </c>
      <c r="N983">
        <v>1995</v>
      </c>
      <c r="O983" s="8">
        <f t="shared" si="62"/>
        <v>34960</v>
      </c>
      <c r="P983" s="10">
        <v>8014.62</v>
      </c>
      <c r="Q983" t="s">
        <v>2357</v>
      </c>
      <c r="R983" t="s">
        <v>2358</v>
      </c>
      <c r="S983" t="s">
        <v>2364</v>
      </c>
      <c r="T983">
        <f t="shared" ca="1" si="63"/>
        <v>31</v>
      </c>
      <c r="U983">
        <f>VLOOKUP($A983,'Medical Examination'!$A:$Z,2,FALSE)</f>
        <v>31.54</v>
      </c>
    </row>
    <row r="984" spans="1:21" ht="15.5" x14ac:dyDescent="0.35">
      <c r="A984" s="2" t="s">
        <v>984</v>
      </c>
      <c r="B984" s="2" t="s">
        <v>3889</v>
      </c>
      <c r="C984">
        <v>23.3</v>
      </c>
      <c r="D984">
        <v>5.36</v>
      </c>
      <c r="E984" t="s">
        <v>2346</v>
      </c>
      <c r="F984" t="s">
        <v>2344</v>
      </c>
      <c r="G984" t="s">
        <v>2344</v>
      </c>
      <c r="H984">
        <v>1</v>
      </c>
      <c r="I984" t="s">
        <v>2344</v>
      </c>
      <c r="J984" t="str">
        <f t="shared" si="61"/>
        <v>Normal Weight</v>
      </c>
      <c r="K984" t="str">
        <f t="shared" si="64"/>
        <v>Normal</v>
      </c>
      <c r="L984">
        <v>8</v>
      </c>
      <c r="M984" t="s">
        <v>2360</v>
      </c>
      <c r="N984">
        <v>1980</v>
      </c>
      <c r="O984" s="8">
        <f t="shared" si="62"/>
        <v>29533</v>
      </c>
      <c r="P984" s="10">
        <v>8017.06</v>
      </c>
      <c r="Q984" t="s">
        <v>2357</v>
      </c>
      <c r="R984" t="s">
        <v>2357</v>
      </c>
      <c r="S984" t="s">
        <v>2364</v>
      </c>
      <c r="T984">
        <f t="shared" ca="1" si="63"/>
        <v>46</v>
      </c>
      <c r="U984">
        <f>VLOOKUP($A984,'Medical Examination'!$A:$Z,2,FALSE)</f>
        <v>23.3</v>
      </c>
    </row>
    <row r="985" spans="1:21" ht="15.5" x14ac:dyDescent="0.35">
      <c r="A985" s="2" t="s">
        <v>985</v>
      </c>
      <c r="B985" s="2" t="s">
        <v>3890</v>
      </c>
      <c r="C985">
        <v>27.75</v>
      </c>
      <c r="D985">
        <v>9.8800000000000008</v>
      </c>
      <c r="E985" t="s">
        <v>2344</v>
      </c>
      <c r="F985" t="s">
        <v>2344</v>
      </c>
      <c r="G985" t="s">
        <v>2344</v>
      </c>
      <c r="H985">
        <v>0</v>
      </c>
      <c r="I985" t="s">
        <v>2344</v>
      </c>
      <c r="J985" t="str">
        <f t="shared" si="61"/>
        <v>Over weight</v>
      </c>
      <c r="K985" t="str">
        <f t="shared" si="64"/>
        <v>Diabetes</v>
      </c>
      <c r="L985">
        <v>3</v>
      </c>
      <c r="M985" t="s">
        <v>2360</v>
      </c>
      <c r="N985">
        <v>1989</v>
      </c>
      <c r="O985" s="8">
        <f t="shared" si="62"/>
        <v>32815</v>
      </c>
      <c r="P985" s="10">
        <v>8021.11</v>
      </c>
      <c r="Q985" t="s">
        <v>2357</v>
      </c>
      <c r="R985" t="s">
        <v>2361</v>
      </c>
      <c r="S985" t="s">
        <v>2364</v>
      </c>
      <c r="T985">
        <f t="shared" ca="1" si="63"/>
        <v>37</v>
      </c>
      <c r="U985">
        <f>VLOOKUP($A985,'Medical Examination'!$A:$Z,2,FALSE)</f>
        <v>27.75</v>
      </c>
    </row>
    <row r="986" spans="1:21" ht="15.5" x14ac:dyDescent="0.35">
      <c r="A986" s="2" t="s">
        <v>986</v>
      </c>
      <c r="B986" s="2" t="s">
        <v>3892</v>
      </c>
      <c r="C986">
        <v>42.46</v>
      </c>
      <c r="D986">
        <v>4.1100000000000003</v>
      </c>
      <c r="E986" t="s">
        <v>2344</v>
      </c>
      <c r="F986" t="s">
        <v>2344</v>
      </c>
      <c r="G986" t="s">
        <v>2344</v>
      </c>
      <c r="H986">
        <v>0</v>
      </c>
      <c r="I986" t="s">
        <v>2344</v>
      </c>
      <c r="J986" t="str">
        <f t="shared" si="61"/>
        <v>Obesity</v>
      </c>
      <c r="K986" t="str">
        <f t="shared" si="64"/>
        <v>Normal</v>
      </c>
      <c r="L986">
        <v>17</v>
      </c>
      <c r="M986" t="s">
        <v>2356</v>
      </c>
      <c r="N986">
        <v>1978</v>
      </c>
      <c r="O986" s="8">
        <f t="shared" si="62"/>
        <v>28688</v>
      </c>
      <c r="P986" s="10">
        <v>8023.14</v>
      </c>
      <c r="Q986" t="s">
        <v>2357</v>
      </c>
      <c r="R986" t="s">
        <v>2358</v>
      </c>
      <c r="S986" t="s">
        <v>2364</v>
      </c>
      <c r="T986">
        <f t="shared" ca="1" si="63"/>
        <v>48</v>
      </c>
      <c r="U986">
        <f>VLOOKUP($A986,'Medical Examination'!$A:$Z,2,FALSE)</f>
        <v>42.46</v>
      </c>
    </row>
    <row r="987" spans="1:21" ht="15.5" x14ac:dyDescent="0.35">
      <c r="A987" s="2" t="s">
        <v>987</v>
      </c>
      <c r="B987" s="2" t="s">
        <v>3893</v>
      </c>
      <c r="C987">
        <v>54.47</v>
      </c>
      <c r="D987">
        <v>7.48</v>
      </c>
      <c r="E987" t="s">
        <v>2344</v>
      </c>
      <c r="F987" t="s">
        <v>2344</v>
      </c>
      <c r="G987" t="s">
        <v>2344</v>
      </c>
      <c r="H987">
        <v>0</v>
      </c>
      <c r="I987" t="s">
        <v>2344</v>
      </c>
      <c r="J987" t="str">
        <f t="shared" si="61"/>
        <v>Obesity</v>
      </c>
      <c r="K987" t="str">
        <f t="shared" si="64"/>
        <v>Diabetes</v>
      </c>
      <c r="L987">
        <v>20</v>
      </c>
      <c r="M987" t="s">
        <v>2365</v>
      </c>
      <c r="N987">
        <v>1976</v>
      </c>
      <c r="O987" s="8">
        <f t="shared" si="62"/>
        <v>28114</v>
      </c>
      <c r="P987" s="10">
        <v>8026.67</v>
      </c>
      <c r="Q987" t="s">
        <v>2357</v>
      </c>
      <c r="R987" t="s">
        <v>2357</v>
      </c>
      <c r="S987" t="s">
        <v>2364</v>
      </c>
      <c r="T987">
        <f t="shared" ca="1" si="63"/>
        <v>50</v>
      </c>
      <c r="U987">
        <f>VLOOKUP($A987,'Medical Examination'!$A:$Z,2,FALSE)</f>
        <v>54.47</v>
      </c>
    </row>
    <row r="988" spans="1:21" ht="15.5" x14ac:dyDescent="0.35">
      <c r="A988" s="2" t="s">
        <v>988</v>
      </c>
      <c r="B988" s="2" t="s">
        <v>2695</v>
      </c>
      <c r="C988">
        <v>24.93</v>
      </c>
      <c r="D988">
        <v>9.18</v>
      </c>
      <c r="E988" t="s">
        <v>2346</v>
      </c>
      <c r="F988" t="s">
        <v>2344</v>
      </c>
      <c r="G988" t="s">
        <v>2346</v>
      </c>
      <c r="H988">
        <v>1</v>
      </c>
      <c r="I988" t="s">
        <v>2344</v>
      </c>
      <c r="J988" t="str">
        <f t="shared" si="61"/>
        <v>Normal Weight</v>
      </c>
      <c r="K988" t="str">
        <f t="shared" si="64"/>
        <v>Diabetes</v>
      </c>
      <c r="L988">
        <v>6</v>
      </c>
      <c r="M988" t="s">
        <v>2360</v>
      </c>
      <c r="N988">
        <v>1977</v>
      </c>
      <c r="O988" s="8">
        <f t="shared" si="62"/>
        <v>28435</v>
      </c>
      <c r="P988" s="10">
        <v>8027.97</v>
      </c>
      <c r="Q988" t="s">
        <v>2358</v>
      </c>
      <c r="R988" t="s">
        <v>2357</v>
      </c>
      <c r="S988" t="s">
        <v>2368</v>
      </c>
      <c r="T988">
        <f t="shared" ca="1" si="63"/>
        <v>49</v>
      </c>
      <c r="U988">
        <f>VLOOKUP($A988,'Medical Examination'!$A:$Z,2,FALSE)</f>
        <v>24.93</v>
      </c>
    </row>
    <row r="989" spans="1:21" ht="15.5" x14ac:dyDescent="0.35">
      <c r="A989" s="2" t="s">
        <v>989</v>
      </c>
      <c r="B989" s="2" t="s">
        <v>3895</v>
      </c>
      <c r="C989">
        <v>48.12</v>
      </c>
      <c r="D989">
        <v>4.51</v>
      </c>
      <c r="E989" t="s">
        <v>2346</v>
      </c>
      <c r="F989" t="s">
        <v>2344</v>
      </c>
      <c r="G989" t="s">
        <v>2344</v>
      </c>
      <c r="H989">
        <v>1</v>
      </c>
      <c r="I989" t="s">
        <v>2344</v>
      </c>
      <c r="J989" t="str">
        <f t="shared" si="61"/>
        <v>Obesity</v>
      </c>
      <c r="K989" t="str">
        <f t="shared" si="64"/>
        <v>Normal</v>
      </c>
      <c r="L989">
        <v>12</v>
      </c>
      <c r="M989" t="s">
        <v>2365</v>
      </c>
      <c r="N989">
        <v>2003</v>
      </c>
      <c r="O989" s="8">
        <f t="shared" si="62"/>
        <v>37967</v>
      </c>
      <c r="P989" s="10">
        <v>8035.64</v>
      </c>
      <c r="Q989" t="s">
        <v>2357</v>
      </c>
      <c r="R989" t="s">
        <v>2357</v>
      </c>
      <c r="S989" t="s">
        <v>2364</v>
      </c>
      <c r="T989">
        <f t="shared" ca="1" si="63"/>
        <v>23</v>
      </c>
      <c r="U989">
        <f>VLOOKUP($A989,'Medical Examination'!$A:$Z,2,FALSE)</f>
        <v>48.12</v>
      </c>
    </row>
    <row r="990" spans="1:21" ht="15.5" x14ac:dyDescent="0.35">
      <c r="A990" s="2" t="s">
        <v>990</v>
      </c>
      <c r="B990" s="2" t="s">
        <v>3896</v>
      </c>
      <c r="C990">
        <v>24.91</v>
      </c>
      <c r="D990">
        <v>7.33</v>
      </c>
      <c r="E990" t="s">
        <v>2346</v>
      </c>
      <c r="F990" t="s">
        <v>2344</v>
      </c>
      <c r="G990" t="s">
        <v>2346</v>
      </c>
      <c r="H990">
        <v>1</v>
      </c>
      <c r="I990" t="s">
        <v>2344</v>
      </c>
      <c r="J990" t="str">
        <f t="shared" si="61"/>
        <v>Normal Weight</v>
      </c>
      <c r="K990" t="str">
        <f t="shared" si="64"/>
        <v>Diabetes</v>
      </c>
      <c r="L990">
        <v>28</v>
      </c>
      <c r="M990" t="s">
        <v>2360</v>
      </c>
      <c r="N990">
        <v>1985</v>
      </c>
      <c r="O990" s="8">
        <f t="shared" si="62"/>
        <v>31379</v>
      </c>
      <c r="P990" s="10">
        <v>8059.06</v>
      </c>
      <c r="Q990" t="s">
        <v>2357</v>
      </c>
      <c r="R990" t="s">
        <v>2358</v>
      </c>
      <c r="S990" t="s">
        <v>2364</v>
      </c>
      <c r="T990">
        <f t="shared" ca="1" si="63"/>
        <v>41</v>
      </c>
      <c r="U990">
        <f>VLOOKUP($A990,'Medical Examination'!$A:$Z,2,FALSE)</f>
        <v>24.91</v>
      </c>
    </row>
    <row r="991" spans="1:21" ht="15.5" x14ac:dyDescent="0.35">
      <c r="A991" s="2" t="s">
        <v>991</v>
      </c>
      <c r="B991" s="2" t="s">
        <v>3898</v>
      </c>
      <c r="C991">
        <v>27.645</v>
      </c>
      <c r="D991">
        <v>10.56</v>
      </c>
      <c r="E991" t="s">
        <v>2344</v>
      </c>
      <c r="F991" t="s">
        <v>2344</v>
      </c>
      <c r="G991" t="s">
        <v>2344</v>
      </c>
      <c r="H991">
        <v>0</v>
      </c>
      <c r="I991" t="s">
        <v>2344</v>
      </c>
      <c r="J991" t="str">
        <f t="shared" si="61"/>
        <v>Over weight</v>
      </c>
      <c r="K991" t="str">
        <f t="shared" si="64"/>
        <v>Diabetes</v>
      </c>
      <c r="L991">
        <v>27</v>
      </c>
      <c r="M991" t="s">
        <v>2365</v>
      </c>
      <c r="N991">
        <v>1982</v>
      </c>
      <c r="O991" s="8">
        <f t="shared" si="62"/>
        <v>30312</v>
      </c>
      <c r="P991" s="10">
        <v>8059.68</v>
      </c>
      <c r="Q991" t="s">
        <v>2357</v>
      </c>
      <c r="R991" t="s">
        <v>2358</v>
      </c>
      <c r="S991" t="s">
        <v>2364</v>
      </c>
      <c r="T991">
        <f t="shared" ca="1" si="63"/>
        <v>44</v>
      </c>
      <c r="U991">
        <f>VLOOKUP($A991,'Medical Examination'!$A:$Z,2,FALSE)</f>
        <v>27.645</v>
      </c>
    </row>
    <row r="992" spans="1:21" ht="15.5" x14ac:dyDescent="0.35">
      <c r="A992" s="2" t="s">
        <v>992</v>
      </c>
      <c r="B992" s="2" t="s">
        <v>3899</v>
      </c>
      <c r="C992">
        <v>33.700000000000003</v>
      </c>
      <c r="D992">
        <v>4.01</v>
      </c>
      <c r="E992" t="s">
        <v>2344</v>
      </c>
      <c r="F992" t="s">
        <v>2344</v>
      </c>
      <c r="G992" t="s">
        <v>2344</v>
      </c>
      <c r="H992">
        <v>1</v>
      </c>
      <c r="I992" t="s">
        <v>2344</v>
      </c>
      <c r="J992" t="str">
        <f t="shared" si="61"/>
        <v>Obesity</v>
      </c>
      <c r="K992" t="str">
        <f t="shared" si="64"/>
        <v>Normal</v>
      </c>
      <c r="L992">
        <v>12</v>
      </c>
      <c r="M992" t="s">
        <v>2365</v>
      </c>
      <c r="N992">
        <v>1970</v>
      </c>
      <c r="O992" s="8">
        <f t="shared" si="62"/>
        <v>25914</v>
      </c>
      <c r="P992" s="10">
        <v>8062.31</v>
      </c>
      <c r="Q992" t="s">
        <v>2357</v>
      </c>
      <c r="R992" t="s">
        <v>2361</v>
      </c>
      <c r="S992" t="s">
        <v>2359</v>
      </c>
      <c r="T992">
        <f t="shared" ca="1" si="63"/>
        <v>56</v>
      </c>
      <c r="U992">
        <f>VLOOKUP($A992,'Medical Examination'!$A:$Z,2,FALSE)</f>
        <v>33.700000000000003</v>
      </c>
    </row>
    <row r="993" spans="1:21" ht="15.5" x14ac:dyDescent="0.35">
      <c r="A993" s="2" t="s">
        <v>993</v>
      </c>
      <c r="B993" s="2" t="s">
        <v>2588</v>
      </c>
      <c r="C993">
        <v>38.93</v>
      </c>
      <c r="D993">
        <v>5.64</v>
      </c>
      <c r="E993" t="s">
        <v>2346</v>
      </c>
      <c r="F993" t="s">
        <v>2344</v>
      </c>
      <c r="G993" t="s">
        <v>2344</v>
      </c>
      <c r="H993">
        <v>1</v>
      </c>
      <c r="I993" t="s">
        <v>2344</v>
      </c>
      <c r="J993" t="str">
        <f t="shared" si="61"/>
        <v>Obesity</v>
      </c>
      <c r="K993" t="str">
        <f t="shared" si="64"/>
        <v>Normal</v>
      </c>
      <c r="L993">
        <v>28</v>
      </c>
      <c r="M993" t="s">
        <v>2362</v>
      </c>
      <c r="N993">
        <v>1975</v>
      </c>
      <c r="O993" s="8">
        <f t="shared" si="62"/>
        <v>27573</v>
      </c>
      <c r="P993" s="10">
        <v>8062.76</v>
      </c>
      <c r="Q993" t="s">
        <v>2358</v>
      </c>
      <c r="R993" t="s">
        <v>2358</v>
      </c>
      <c r="S993" t="s">
        <v>2368</v>
      </c>
      <c r="T993">
        <f t="shared" ca="1" si="63"/>
        <v>51</v>
      </c>
      <c r="U993">
        <f>VLOOKUP($A993,'Medical Examination'!$A:$Z,2,FALSE)</f>
        <v>38.93</v>
      </c>
    </row>
    <row r="994" spans="1:21" ht="15.5" x14ac:dyDescent="0.35">
      <c r="A994" s="2" t="s">
        <v>994</v>
      </c>
      <c r="B994" s="2" t="s">
        <v>3902</v>
      </c>
      <c r="C994">
        <v>32.774999999999999</v>
      </c>
      <c r="D994">
        <v>8.02</v>
      </c>
      <c r="E994" t="s">
        <v>2346</v>
      </c>
      <c r="F994" t="s">
        <v>2344</v>
      </c>
      <c r="G994" t="s">
        <v>2344</v>
      </c>
      <c r="H994">
        <v>1</v>
      </c>
      <c r="I994" t="s">
        <v>2344</v>
      </c>
      <c r="J994" t="str">
        <f t="shared" si="61"/>
        <v>Obesity</v>
      </c>
      <c r="K994" t="str">
        <f t="shared" si="64"/>
        <v>Diabetes</v>
      </c>
      <c r="L994">
        <v>11</v>
      </c>
      <c r="M994" t="s">
        <v>2366</v>
      </c>
      <c r="N994">
        <v>1965</v>
      </c>
      <c r="O994" s="8">
        <f t="shared" si="62"/>
        <v>23965</v>
      </c>
      <c r="P994" s="10">
        <v>8067.83</v>
      </c>
      <c r="Q994" t="s">
        <v>2358</v>
      </c>
      <c r="R994" t="s">
        <v>2361</v>
      </c>
      <c r="S994" t="s">
        <v>2359</v>
      </c>
      <c r="T994">
        <f t="shared" ca="1" si="63"/>
        <v>61</v>
      </c>
      <c r="U994">
        <f>VLOOKUP($A994,'Medical Examination'!$A:$Z,2,FALSE)</f>
        <v>32.774999999999999</v>
      </c>
    </row>
    <row r="995" spans="1:21" ht="15.5" x14ac:dyDescent="0.35">
      <c r="A995" s="2" t="s">
        <v>995</v>
      </c>
      <c r="B995" s="2" t="s">
        <v>3904</v>
      </c>
      <c r="C995">
        <v>29.83</v>
      </c>
      <c r="D995">
        <v>7.2</v>
      </c>
      <c r="E995" t="s">
        <v>2346</v>
      </c>
      <c r="F995" t="s">
        <v>2344</v>
      </c>
      <c r="G995" t="s">
        <v>2344</v>
      </c>
      <c r="H995">
        <v>0</v>
      </c>
      <c r="I995" t="s">
        <v>2344</v>
      </c>
      <c r="J995" t="str">
        <f t="shared" si="61"/>
        <v>Over weight</v>
      </c>
      <c r="K995" t="str">
        <f t="shared" si="64"/>
        <v>Diabetes</v>
      </c>
      <c r="L995">
        <v>15</v>
      </c>
      <c r="M995" t="s">
        <v>2365</v>
      </c>
      <c r="N995">
        <v>1975</v>
      </c>
      <c r="O995" s="8">
        <f t="shared" si="62"/>
        <v>27743</v>
      </c>
      <c r="P995" s="10">
        <v>8068.19</v>
      </c>
      <c r="Q995" t="s">
        <v>2358</v>
      </c>
      <c r="R995" t="s">
        <v>2357</v>
      </c>
      <c r="S995" t="s">
        <v>2368</v>
      </c>
      <c r="T995">
        <f t="shared" ca="1" si="63"/>
        <v>51</v>
      </c>
      <c r="U995">
        <f>VLOOKUP($A995,'Medical Examination'!$A:$Z,2,FALSE)</f>
        <v>29.83</v>
      </c>
    </row>
    <row r="996" spans="1:21" ht="15.5" x14ac:dyDescent="0.35">
      <c r="A996" s="2" t="s">
        <v>996</v>
      </c>
      <c r="B996" s="2" t="s">
        <v>2492</v>
      </c>
      <c r="C996">
        <v>28.31</v>
      </c>
      <c r="D996">
        <v>4.55</v>
      </c>
      <c r="E996" t="s">
        <v>2344</v>
      </c>
      <c r="F996" t="s">
        <v>2345</v>
      </c>
      <c r="G996" t="s">
        <v>2344</v>
      </c>
      <c r="H996">
        <v>1</v>
      </c>
      <c r="I996" t="s">
        <v>2344</v>
      </c>
      <c r="J996" t="str">
        <f t="shared" si="61"/>
        <v>Over weight</v>
      </c>
      <c r="K996" t="str">
        <f t="shared" si="64"/>
        <v>Normal</v>
      </c>
      <c r="L996">
        <v>21</v>
      </c>
      <c r="M996" t="s">
        <v>2367</v>
      </c>
      <c r="N996">
        <v>1965</v>
      </c>
      <c r="O996" s="8">
        <f t="shared" si="62"/>
        <v>24036</v>
      </c>
      <c r="P996" s="10">
        <v>8071.57</v>
      </c>
      <c r="Q996" t="s">
        <v>2358</v>
      </c>
      <c r="R996" t="s">
        <v>2361</v>
      </c>
      <c r="S996" t="s">
        <v>2368</v>
      </c>
      <c r="T996">
        <f t="shared" ca="1" si="63"/>
        <v>61</v>
      </c>
      <c r="U996">
        <f>VLOOKUP($A996,'Medical Examination'!$A:$Z,2,FALSE)</f>
        <v>28.31</v>
      </c>
    </row>
    <row r="997" spans="1:21" ht="15.5" x14ac:dyDescent="0.35">
      <c r="A997" s="2" t="s">
        <v>997</v>
      </c>
      <c r="B997" s="2" t="s">
        <v>3906</v>
      </c>
      <c r="C997">
        <v>29.79</v>
      </c>
      <c r="D997">
        <v>9.0299999999999994</v>
      </c>
      <c r="E997" t="s">
        <v>2344</v>
      </c>
      <c r="F997" t="s">
        <v>2344</v>
      </c>
      <c r="G997" t="s">
        <v>2344</v>
      </c>
      <c r="H997">
        <v>0</v>
      </c>
      <c r="I997" t="s">
        <v>2344</v>
      </c>
      <c r="J997" t="str">
        <f t="shared" si="61"/>
        <v>Over weight</v>
      </c>
      <c r="K997" t="str">
        <f t="shared" si="64"/>
        <v>Diabetes</v>
      </c>
      <c r="L997">
        <v>7</v>
      </c>
      <c r="M997" t="s">
        <v>2360</v>
      </c>
      <c r="N997">
        <v>1993</v>
      </c>
      <c r="O997" s="8">
        <f t="shared" si="62"/>
        <v>34280</v>
      </c>
      <c r="P997" s="10">
        <v>8077.41</v>
      </c>
      <c r="Q997" t="s">
        <v>2357</v>
      </c>
      <c r="R997" t="s">
        <v>2361</v>
      </c>
      <c r="S997" t="s">
        <v>2380</v>
      </c>
      <c r="T997">
        <f t="shared" ca="1" si="63"/>
        <v>33</v>
      </c>
      <c r="U997">
        <f>VLOOKUP($A997,'Medical Examination'!$A:$Z,2,FALSE)</f>
        <v>29.79</v>
      </c>
    </row>
    <row r="998" spans="1:21" ht="15.5" x14ac:dyDescent="0.35">
      <c r="A998" s="2" t="s">
        <v>998</v>
      </c>
      <c r="B998" s="2" t="s">
        <v>2453</v>
      </c>
      <c r="C998">
        <v>36.6</v>
      </c>
      <c r="D998">
        <v>5.2</v>
      </c>
      <c r="E998" t="s">
        <v>2346</v>
      </c>
      <c r="F998" t="s">
        <v>2344</v>
      </c>
      <c r="G998" t="s">
        <v>2346</v>
      </c>
      <c r="H998">
        <v>1</v>
      </c>
      <c r="I998" t="s">
        <v>2344</v>
      </c>
      <c r="J998" t="str">
        <f t="shared" si="61"/>
        <v>Obesity</v>
      </c>
      <c r="K998" t="str">
        <f t="shared" si="64"/>
        <v>Normal</v>
      </c>
      <c r="L998">
        <v>28</v>
      </c>
      <c r="M998" t="s">
        <v>2366</v>
      </c>
      <c r="N998">
        <v>2001</v>
      </c>
      <c r="O998" s="8">
        <f t="shared" si="62"/>
        <v>37131</v>
      </c>
      <c r="P998" s="10">
        <v>8081.26</v>
      </c>
      <c r="Q998" t="s">
        <v>2357</v>
      </c>
      <c r="R998" t="s">
        <v>2357</v>
      </c>
      <c r="S998" t="s">
        <v>2364</v>
      </c>
      <c r="T998">
        <f t="shared" ca="1" si="63"/>
        <v>25</v>
      </c>
      <c r="U998">
        <f>VLOOKUP($A998,'Medical Examination'!$A:$Z,2,FALSE)</f>
        <v>36.6</v>
      </c>
    </row>
    <row r="999" spans="1:21" ht="15.5" x14ac:dyDescent="0.35">
      <c r="A999" s="2" t="s">
        <v>999</v>
      </c>
      <c r="B999" s="2" t="s">
        <v>3908</v>
      </c>
      <c r="C999">
        <v>35.93</v>
      </c>
      <c r="D999">
        <v>8.3000000000000007</v>
      </c>
      <c r="E999" t="s">
        <v>2346</v>
      </c>
      <c r="F999" t="s">
        <v>2344</v>
      </c>
      <c r="G999" t="s">
        <v>2344</v>
      </c>
      <c r="H999">
        <v>0</v>
      </c>
      <c r="I999" t="s">
        <v>2344</v>
      </c>
      <c r="J999" t="str">
        <f t="shared" si="61"/>
        <v>Obesity</v>
      </c>
      <c r="K999" t="str">
        <f t="shared" si="64"/>
        <v>Diabetes</v>
      </c>
      <c r="L999">
        <v>12</v>
      </c>
      <c r="M999" t="s">
        <v>2367</v>
      </c>
      <c r="N999">
        <v>1994</v>
      </c>
      <c r="O999" s="8">
        <f t="shared" si="62"/>
        <v>34619</v>
      </c>
      <c r="P999" s="10">
        <v>8081.74</v>
      </c>
      <c r="Q999" t="s">
        <v>2357</v>
      </c>
      <c r="R999" t="s">
        <v>2357</v>
      </c>
      <c r="S999" t="s">
        <v>2380</v>
      </c>
      <c r="T999">
        <f t="shared" ca="1" si="63"/>
        <v>32</v>
      </c>
      <c r="U999">
        <f>VLOOKUP($A999,'Medical Examination'!$A:$Z,2,FALSE)</f>
        <v>35.93</v>
      </c>
    </row>
    <row r="1000" spans="1:21" ht="15.5" x14ac:dyDescent="0.35">
      <c r="A1000" s="2" t="s">
        <v>1000</v>
      </c>
      <c r="B1000" s="2" t="s">
        <v>3325</v>
      </c>
      <c r="C1000">
        <v>28.6</v>
      </c>
      <c r="D1000">
        <v>5.56</v>
      </c>
      <c r="E1000" t="s">
        <v>2346</v>
      </c>
      <c r="F1000" t="s">
        <v>2344</v>
      </c>
      <c r="G1000" t="s">
        <v>2346</v>
      </c>
      <c r="H1000">
        <v>1</v>
      </c>
      <c r="I1000" t="s">
        <v>2344</v>
      </c>
      <c r="J1000" t="str">
        <f t="shared" si="61"/>
        <v>Over weight</v>
      </c>
      <c r="K1000" t="str">
        <f t="shared" si="64"/>
        <v>Normal</v>
      </c>
      <c r="L1000">
        <v>21</v>
      </c>
      <c r="M1000" t="s">
        <v>2365</v>
      </c>
      <c r="N1000">
        <v>1975</v>
      </c>
      <c r="O1000" s="8">
        <f t="shared" si="62"/>
        <v>27749</v>
      </c>
      <c r="P1000" s="10">
        <v>8083.92</v>
      </c>
      <c r="Q1000" t="s">
        <v>2358</v>
      </c>
      <c r="R1000" t="s">
        <v>2358</v>
      </c>
      <c r="S1000" t="s">
        <v>2359</v>
      </c>
      <c r="T1000">
        <f t="shared" ca="1" si="63"/>
        <v>51</v>
      </c>
      <c r="U1000">
        <f>VLOOKUP($A1000,'Medical Examination'!$A:$Z,2,FALSE)</f>
        <v>28.6</v>
      </c>
    </row>
    <row r="1001" spans="1:21" ht="15.5" x14ac:dyDescent="0.35">
      <c r="A1001" s="2" t="s">
        <v>1001</v>
      </c>
      <c r="B1001" s="2" t="s">
        <v>3909</v>
      </c>
      <c r="C1001">
        <v>39.17</v>
      </c>
      <c r="D1001">
        <v>4.1500000000000004</v>
      </c>
      <c r="E1001" t="s">
        <v>2344</v>
      </c>
      <c r="F1001" t="s">
        <v>2344</v>
      </c>
      <c r="G1001" t="s">
        <v>2344</v>
      </c>
      <c r="H1001">
        <v>0</v>
      </c>
      <c r="I1001" t="s">
        <v>2344</v>
      </c>
      <c r="J1001" t="str">
        <f t="shared" si="61"/>
        <v>Obesity</v>
      </c>
      <c r="K1001" t="str">
        <f t="shared" si="64"/>
        <v>Normal</v>
      </c>
      <c r="L1001">
        <v>10</v>
      </c>
      <c r="M1001" t="s">
        <v>2362</v>
      </c>
      <c r="N1001">
        <v>1967</v>
      </c>
      <c r="O1001" s="8">
        <f t="shared" si="62"/>
        <v>24633</v>
      </c>
      <c r="P1001" s="10">
        <v>8091.3</v>
      </c>
      <c r="Q1001" t="s">
        <v>2358</v>
      </c>
      <c r="R1001" t="s">
        <v>2361</v>
      </c>
      <c r="S1001" t="s">
        <v>2364</v>
      </c>
      <c r="T1001">
        <f t="shared" ca="1" si="63"/>
        <v>59</v>
      </c>
      <c r="U1001">
        <f>VLOOKUP($A1001,'Medical Examination'!$A:$Z,2,FALSE)</f>
        <v>39.17</v>
      </c>
    </row>
    <row r="1002" spans="1:21" ht="15.5" x14ac:dyDescent="0.35">
      <c r="A1002" s="2" t="s">
        <v>1002</v>
      </c>
      <c r="B1002" s="2" t="s">
        <v>3910</v>
      </c>
      <c r="C1002">
        <v>26.41</v>
      </c>
      <c r="D1002">
        <v>5.99</v>
      </c>
      <c r="E1002" t="s">
        <v>2346</v>
      </c>
      <c r="F1002" t="s">
        <v>2344</v>
      </c>
      <c r="G1002" t="s">
        <v>2346</v>
      </c>
      <c r="H1002">
        <v>1</v>
      </c>
      <c r="I1002" t="s">
        <v>2344</v>
      </c>
      <c r="J1002" t="str">
        <f t="shared" si="61"/>
        <v>Over weight</v>
      </c>
      <c r="K1002" t="str">
        <f t="shared" si="64"/>
        <v>Prediabetes</v>
      </c>
      <c r="L1002">
        <v>11</v>
      </c>
      <c r="M1002" t="s">
        <v>2367</v>
      </c>
      <c r="N1002">
        <v>1973</v>
      </c>
      <c r="O1002" s="8">
        <f t="shared" si="62"/>
        <v>26948</v>
      </c>
      <c r="P1002" s="10">
        <v>8112.59</v>
      </c>
      <c r="Q1002" t="s">
        <v>2357</v>
      </c>
      <c r="R1002" t="s">
        <v>2357</v>
      </c>
      <c r="S1002" t="s">
        <v>2359</v>
      </c>
      <c r="T1002">
        <f t="shared" ca="1" si="63"/>
        <v>53</v>
      </c>
      <c r="U1002">
        <f>VLOOKUP($A1002,'Medical Examination'!$A:$Z,2,FALSE)</f>
        <v>26.41</v>
      </c>
    </row>
    <row r="1003" spans="1:21" ht="15.5" x14ac:dyDescent="0.35">
      <c r="A1003" s="2" t="s">
        <v>1003</v>
      </c>
      <c r="B1003" s="2" t="s">
        <v>3911</v>
      </c>
      <c r="C1003">
        <v>30.63</v>
      </c>
      <c r="D1003">
        <v>5.8</v>
      </c>
      <c r="E1003" t="s">
        <v>2346</v>
      </c>
      <c r="F1003" t="s">
        <v>2344</v>
      </c>
      <c r="G1003" t="s">
        <v>2344</v>
      </c>
      <c r="H1003">
        <v>0</v>
      </c>
      <c r="I1003" t="s">
        <v>2344</v>
      </c>
      <c r="J1003" t="str">
        <f t="shared" si="61"/>
        <v>Obesity</v>
      </c>
      <c r="K1003" t="str">
        <f t="shared" si="64"/>
        <v>Prediabetes</v>
      </c>
      <c r="L1003">
        <v>1</v>
      </c>
      <c r="M1003" t="s">
        <v>2363</v>
      </c>
      <c r="N1003">
        <v>1978</v>
      </c>
      <c r="O1003" s="8">
        <f t="shared" si="62"/>
        <v>28734</v>
      </c>
      <c r="P1003" s="10">
        <v>8116.27</v>
      </c>
      <c r="Q1003" t="s">
        <v>2358</v>
      </c>
      <c r="R1003" t="s">
        <v>2361</v>
      </c>
      <c r="S1003" t="s">
        <v>2364</v>
      </c>
      <c r="T1003">
        <f t="shared" ca="1" si="63"/>
        <v>48</v>
      </c>
      <c r="U1003">
        <f>VLOOKUP($A1003,'Medical Examination'!$A:$Z,2,FALSE)</f>
        <v>30.63</v>
      </c>
    </row>
    <row r="1004" spans="1:21" ht="15.5" x14ac:dyDescent="0.35">
      <c r="A1004" s="2" t="s">
        <v>1004</v>
      </c>
      <c r="B1004" s="2" t="s">
        <v>3913</v>
      </c>
      <c r="C1004">
        <v>31.73</v>
      </c>
      <c r="D1004">
        <v>7.32</v>
      </c>
      <c r="E1004" t="s">
        <v>2346</v>
      </c>
      <c r="F1004" t="s">
        <v>2344</v>
      </c>
      <c r="G1004" t="s">
        <v>2344</v>
      </c>
      <c r="H1004">
        <v>1</v>
      </c>
      <c r="I1004" t="s">
        <v>2344</v>
      </c>
      <c r="J1004" t="str">
        <f t="shared" si="61"/>
        <v>Obesity</v>
      </c>
      <c r="K1004" t="str">
        <f t="shared" si="64"/>
        <v>Diabetes</v>
      </c>
      <c r="L1004">
        <v>16</v>
      </c>
      <c r="M1004" t="s">
        <v>2365</v>
      </c>
      <c r="N1004">
        <v>1973</v>
      </c>
      <c r="O1004" s="8">
        <f t="shared" si="62"/>
        <v>27014</v>
      </c>
      <c r="P1004" s="10">
        <v>8116.68</v>
      </c>
      <c r="Q1004" t="s">
        <v>2358</v>
      </c>
      <c r="R1004" t="s">
        <v>2361</v>
      </c>
      <c r="S1004" t="s">
        <v>2368</v>
      </c>
      <c r="T1004">
        <f t="shared" ca="1" si="63"/>
        <v>53</v>
      </c>
      <c r="U1004">
        <f>VLOOKUP($A1004,'Medical Examination'!$A:$Z,2,FALSE)</f>
        <v>31.73</v>
      </c>
    </row>
    <row r="1005" spans="1:21" ht="15.5" x14ac:dyDescent="0.35">
      <c r="A1005" s="2" t="s">
        <v>1005</v>
      </c>
      <c r="B1005" s="2" t="s">
        <v>3915</v>
      </c>
      <c r="C1005">
        <v>30.7</v>
      </c>
      <c r="D1005">
        <v>5.16</v>
      </c>
      <c r="E1005" t="s">
        <v>2344</v>
      </c>
      <c r="F1005" t="s">
        <v>2344</v>
      </c>
      <c r="G1005" t="s">
        <v>2344</v>
      </c>
      <c r="H1005">
        <v>1</v>
      </c>
      <c r="I1005" t="s">
        <v>2344</v>
      </c>
      <c r="J1005" t="str">
        <f t="shared" si="61"/>
        <v>Obesity</v>
      </c>
      <c r="K1005" t="str">
        <f t="shared" si="64"/>
        <v>Normal</v>
      </c>
      <c r="L1005">
        <v>30</v>
      </c>
      <c r="M1005" t="s">
        <v>2366</v>
      </c>
      <c r="N1005">
        <v>1973</v>
      </c>
      <c r="O1005" s="8">
        <f t="shared" si="62"/>
        <v>26906</v>
      </c>
      <c r="P1005" s="10">
        <v>8124.41</v>
      </c>
      <c r="Q1005" t="s">
        <v>2358</v>
      </c>
      <c r="R1005" t="s">
        <v>2361</v>
      </c>
      <c r="S1005" t="s">
        <v>2359</v>
      </c>
      <c r="T1005">
        <f t="shared" ca="1" si="63"/>
        <v>53</v>
      </c>
      <c r="U1005">
        <f>VLOOKUP($A1005,'Medical Examination'!$A:$Z,2,FALSE)</f>
        <v>30.7</v>
      </c>
    </row>
    <row r="1006" spans="1:21" ht="15.5" x14ac:dyDescent="0.35">
      <c r="A1006" s="2" t="s">
        <v>1006</v>
      </c>
      <c r="B1006" s="2" t="s">
        <v>3916</v>
      </c>
      <c r="C1006">
        <v>25.934999999999999</v>
      </c>
      <c r="D1006">
        <v>5.96</v>
      </c>
      <c r="E1006" t="s">
        <v>2346</v>
      </c>
      <c r="F1006" t="s">
        <v>2344</v>
      </c>
      <c r="G1006" t="s">
        <v>2344</v>
      </c>
      <c r="H1006">
        <v>1</v>
      </c>
      <c r="I1006" t="s">
        <v>2344</v>
      </c>
      <c r="J1006" t="str">
        <f t="shared" si="61"/>
        <v>Over weight</v>
      </c>
      <c r="K1006" t="str">
        <f t="shared" si="64"/>
        <v>Prediabetes</v>
      </c>
      <c r="L1006">
        <v>3</v>
      </c>
      <c r="M1006" t="s">
        <v>2363</v>
      </c>
      <c r="N1006">
        <v>1973</v>
      </c>
      <c r="O1006" s="8">
        <f t="shared" si="62"/>
        <v>26910</v>
      </c>
      <c r="P1006" s="10">
        <v>8125.78</v>
      </c>
      <c r="Q1006" t="s">
        <v>2357</v>
      </c>
      <c r="R1006" t="s">
        <v>2357</v>
      </c>
      <c r="S1006" t="s">
        <v>2359</v>
      </c>
      <c r="T1006">
        <f t="shared" ca="1" si="63"/>
        <v>53</v>
      </c>
      <c r="U1006">
        <f>VLOOKUP($A1006,'Medical Examination'!$A:$Z,2,FALSE)</f>
        <v>25.934999999999999</v>
      </c>
    </row>
    <row r="1007" spans="1:21" ht="15.5" x14ac:dyDescent="0.35">
      <c r="A1007" s="2" t="s">
        <v>1007</v>
      </c>
      <c r="B1007" s="2" t="s">
        <v>3917</v>
      </c>
      <c r="C1007">
        <v>35.9</v>
      </c>
      <c r="D1007">
        <v>4.8499999999999996</v>
      </c>
      <c r="E1007" t="s">
        <v>2346</v>
      </c>
      <c r="F1007" t="s">
        <v>2344</v>
      </c>
      <c r="G1007" t="s">
        <v>2346</v>
      </c>
      <c r="H1007">
        <v>1</v>
      </c>
      <c r="I1007" t="s">
        <v>2344</v>
      </c>
      <c r="J1007" t="str">
        <f t="shared" si="61"/>
        <v>Obesity</v>
      </c>
      <c r="K1007" t="str">
        <f t="shared" si="64"/>
        <v>Normal</v>
      </c>
      <c r="L1007">
        <v>21</v>
      </c>
      <c r="M1007" t="s">
        <v>2362</v>
      </c>
      <c r="N1007">
        <v>1990</v>
      </c>
      <c r="O1007" s="8">
        <f t="shared" si="62"/>
        <v>33045</v>
      </c>
      <c r="P1007" s="10">
        <v>8157.92</v>
      </c>
      <c r="Q1007" t="s">
        <v>2357</v>
      </c>
      <c r="R1007" t="s">
        <v>2358</v>
      </c>
      <c r="S1007" t="s">
        <v>2373</v>
      </c>
      <c r="T1007">
        <f t="shared" ca="1" si="63"/>
        <v>36</v>
      </c>
      <c r="U1007">
        <f>VLOOKUP($A1007,'Medical Examination'!$A:$Z,2,FALSE)</f>
        <v>35.9</v>
      </c>
    </row>
    <row r="1008" spans="1:21" ht="15.5" x14ac:dyDescent="0.35">
      <c r="A1008" s="2" t="s">
        <v>1008</v>
      </c>
      <c r="B1008" s="2" t="s">
        <v>2890</v>
      </c>
      <c r="C1008">
        <v>26.7</v>
      </c>
      <c r="D1008">
        <v>5.09</v>
      </c>
      <c r="E1008" t="s">
        <v>2346</v>
      </c>
      <c r="F1008" t="s">
        <v>2344</v>
      </c>
      <c r="G1008" t="s">
        <v>2346</v>
      </c>
      <c r="H1008">
        <v>1</v>
      </c>
      <c r="I1008" t="s">
        <v>2344</v>
      </c>
      <c r="J1008" t="str">
        <f t="shared" si="61"/>
        <v>Over weight</v>
      </c>
      <c r="K1008" t="str">
        <f t="shared" si="64"/>
        <v>Normal</v>
      </c>
      <c r="L1008">
        <v>28</v>
      </c>
      <c r="M1008" t="s">
        <v>2362</v>
      </c>
      <c r="N1008">
        <v>1982</v>
      </c>
      <c r="O1008" s="8">
        <f t="shared" si="62"/>
        <v>30130</v>
      </c>
      <c r="P1008" s="10">
        <v>8162.72</v>
      </c>
      <c r="Q1008" t="s">
        <v>2358</v>
      </c>
      <c r="R1008" t="s">
        <v>2358</v>
      </c>
      <c r="S1008" t="s">
        <v>2364</v>
      </c>
      <c r="T1008">
        <f t="shared" ca="1" si="63"/>
        <v>44</v>
      </c>
      <c r="U1008">
        <f>VLOOKUP($A1008,'Medical Examination'!$A:$Z,2,FALSE)</f>
        <v>26.7</v>
      </c>
    </row>
    <row r="1009" spans="1:21" ht="15.5" x14ac:dyDescent="0.35">
      <c r="A1009" s="2" t="s">
        <v>1009</v>
      </c>
      <c r="B1009" s="2" t="s">
        <v>3919</v>
      </c>
      <c r="C1009">
        <v>33.71</v>
      </c>
      <c r="D1009">
        <v>4.9400000000000004</v>
      </c>
      <c r="E1009" t="s">
        <v>2344</v>
      </c>
      <c r="F1009" t="s">
        <v>2344</v>
      </c>
      <c r="G1009" t="s">
        <v>2344</v>
      </c>
      <c r="H1009">
        <v>0</v>
      </c>
      <c r="I1009" t="s">
        <v>2344</v>
      </c>
      <c r="J1009" t="str">
        <f t="shared" si="61"/>
        <v>Obesity</v>
      </c>
      <c r="K1009" t="str">
        <f t="shared" si="64"/>
        <v>Normal</v>
      </c>
      <c r="L1009">
        <v>5</v>
      </c>
      <c r="M1009" t="s">
        <v>2360</v>
      </c>
      <c r="N1009">
        <v>1963</v>
      </c>
      <c r="O1009" s="8">
        <f t="shared" si="62"/>
        <v>23320</v>
      </c>
      <c r="P1009" s="10">
        <v>8177.9</v>
      </c>
      <c r="Q1009" t="s">
        <v>2358</v>
      </c>
      <c r="R1009" t="s">
        <v>2361</v>
      </c>
      <c r="S1009" t="s">
        <v>2359</v>
      </c>
      <c r="T1009">
        <f t="shared" ca="1" si="63"/>
        <v>63</v>
      </c>
      <c r="U1009">
        <f>VLOOKUP($A1009,'Medical Examination'!$A:$Z,2,FALSE)</f>
        <v>33.71</v>
      </c>
    </row>
    <row r="1010" spans="1:21" ht="15.5" x14ac:dyDescent="0.35">
      <c r="A1010" s="2" t="s">
        <v>1010</v>
      </c>
      <c r="B1010" s="2" t="s">
        <v>3921</v>
      </c>
      <c r="C1010">
        <v>41.91</v>
      </c>
      <c r="D1010">
        <v>4.92</v>
      </c>
      <c r="E1010" t="s">
        <v>2346</v>
      </c>
      <c r="F1010" t="s">
        <v>2344</v>
      </c>
      <c r="G1010" t="s">
        <v>2344</v>
      </c>
      <c r="H1010">
        <v>1</v>
      </c>
      <c r="I1010" t="s">
        <v>2344</v>
      </c>
      <c r="J1010" t="str">
        <f t="shared" si="61"/>
        <v>Obesity</v>
      </c>
      <c r="K1010" t="str">
        <f t="shared" si="64"/>
        <v>Normal</v>
      </c>
      <c r="L1010">
        <v>8</v>
      </c>
      <c r="M1010" t="s">
        <v>2362</v>
      </c>
      <c r="N1010">
        <v>1983</v>
      </c>
      <c r="O1010" s="8">
        <f t="shared" si="62"/>
        <v>30475</v>
      </c>
      <c r="P1010" s="10">
        <v>8179.51</v>
      </c>
      <c r="Q1010" t="s">
        <v>2357</v>
      </c>
      <c r="R1010" t="s">
        <v>2357</v>
      </c>
      <c r="S1010" t="s">
        <v>2379</v>
      </c>
      <c r="T1010">
        <f t="shared" ca="1" si="63"/>
        <v>43</v>
      </c>
      <c r="U1010">
        <f>VLOOKUP($A1010,'Medical Examination'!$A:$Z,2,FALSE)</f>
        <v>41.91</v>
      </c>
    </row>
    <row r="1011" spans="1:21" ht="15.5" x14ac:dyDescent="0.35">
      <c r="A1011" s="2" t="s">
        <v>1011</v>
      </c>
      <c r="B1011" s="2" t="s">
        <v>3922</v>
      </c>
      <c r="C1011">
        <v>39.82</v>
      </c>
      <c r="D1011">
        <v>6.05</v>
      </c>
      <c r="E1011" t="s">
        <v>2346</v>
      </c>
      <c r="F1011" t="s">
        <v>2344</v>
      </c>
      <c r="G1011" t="s">
        <v>2344</v>
      </c>
      <c r="H1011">
        <v>1</v>
      </c>
      <c r="I1011" t="s">
        <v>2344</v>
      </c>
      <c r="J1011" t="str">
        <f t="shared" si="61"/>
        <v>Obesity</v>
      </c>
      <c r="K1011" t="str">
        <f t="shared" si="64"/>
        <v>Prediabetes</v>
      </c>
      <c r="L1011">
        <v>21</v>
      </c>
      <c r="M1011" t="s">
        <v>2367</v>
      </c>
      <c r="N1011">
        <v>1997</v>
      </c>
      <c r="O1011" s="8">
        <f t="shared" si="62"/>
        <v>35724</v>
      </c>
      <c r="P1011" s="10">
        <v>8182.89</v>
      </c>
      <c r="Q1011" t="s">
        <v>2357</v>
      </c>
      <c r="R1011" t="s">
        <v>2361</v>
      </c>
      <c r="S1011" t="s">
        <v>2380</v>
      </c>
      <c r="T1011">
        <f t="shared" ca="1" si="63"/>
        <v>29</v>
      </c>
      <c r="U1011">
        <f>VLOOKUP($A1011,'Medical Examination'!$A:$Z,2,FALSE)</f>
        <v>39.82</v>
      </c>
    </row>
    <row r="1012" spans="1:21" ht="15.5" x14ac:dyDescent="0.35">
      <c r="A1012" s="2" t="s">
        <v>1012</v>
      </c>
      <c r="B1012" s="2" t="s">
        <v>3924</v>
      </c>
      <c r="C1012">
        <v>28.12</v>
      </c>
      <c r="D1012">
        <v>4.67</v>
      </c>
      <c r="E1012" t="s">
        <v>2344</v>
      </c>
      <c r="F1012" t="s">
        <v>2344</v>
      </c>
      <c r="G1012" t="s">
        <v>2344</v>
      </c>
      <c r="H1012">
        <v>1</v>
      </c>
      <c r="I1012" t="s">
        <v>2344</v>
      </c>
      <c r="J1012" t="str">
        <f t="shared" si="61"/>
        <v>Over weight</v>
      </c>
      <c r="K1012" t="str">
        <f t="shared" si="64"/>
        <v>Normal</v>
      </c>
      <c r="L1012">
        <v>23</v>
      </c>
      <c r="M1012" t="s">
        <v>2360</v>
      </c>
      <c r="N1012">
        <v>1962</v>
      </c>
      <c r="O1012" s="8">
        <f t="shared" si="62"/>
        <v>22973</v>
      </c>
      <c r="P1012" s="10">
        <v>8188.12</v>
      </c>
      <c r="Q1012" t="s">
        <v>2358</v>
      </c>
      <c r="R1012" t="s">
        <v>2358</v>
      </c>
      <c r="S1012" t="s">
        <v>2359</v>
      </c>
      <c r="T1012">
        <f t="shared" ca="1" si="63"/>
        <v>64</v>
      </c>
      <c r="U1012">
        <f>VLOOKUP($A1012,'Medical Examination'!$A:$Z,2,FALSE)</f>
        <v>28.12</v>
      </c>
    </row>
    <row r="1013" spans="1:21" ht="15.5" x14ac:dyDescent="0.35">
      <c r="A1013" s="2" t="s">
        <v>1013</v>
      </c>
      <c r="B1013" s="2" t="s">
        <v>3925</v>
      </c>
      <c r="C1013">
        <v>26.98</v>
      </c>
      <c r="D1013">
        <v>9.81</v>
      </c>
      <c r="E1013" t="s">
        <v>2346</v>
      </c>
      <c r="F1013" t="s">
        <v>2344</v>
      </c>
      <c r="G1013" t="s">
        <v>2344</v>
      </c>
      <c r="H1013">
        <v>0</v>
      </c>
      <c r="I1013" t="s">
        <v>2344</v>
      </c>
      <c r="J1013" t="str">
        <f t="shared" si="61"/>
        <v>Over weight</v>
      </c>
      <c r="K1013" t="str">
        <f t="shared" si="64"/>
        <v>Diabetes</v>
      </c>
      <c r="L1013">
        <v>24</v>
      </c>
      <c r="M1013" t="s">
        <v>2367</v>
      </c>
      <c r="N1013">
        <v>1978</v>
      </c>
      <c r="O1013" s="8">
        <f t="shared" si="62"/>
        <v>28787</v>
      </c>
      <c r="P1013" s="10">
        <v>8211.1</v>
      </c>
      <c r="Q1013" t="s">
        <v>2357</v>
      </c>
      <c r="R1013" t="s">
        <v>2358</v>
      </c>
      <c r="S1013" t="s">
        <v>2359</v>
      </c>
      <c r="T1013">
        <f t="shared" ca="1" si="63"/>
        <v>48</v>
      </c>
      <c r="U1013">
        <f>VLOOKUP($A1013,'Medical Examination'!$A:$Z,2,FALSE)</f>
        <v>26.98</v>
      </c>
    </row>
    <row r="1014" spans="1:21" ht="15.5" x14ac:dyDescent="0.35">
      <c r="A1014" s="2" t="s">
        <v>1014</v>
      </c>
      <c r="B1014" s="2" t="s">
        <v>3926</v>
      </c>
      <c r="C1014">
        <v>27.2</v>
      </c>
      <c r="D1014">
        <v>6.06</v>
      </c>
      <c r="E1014" t="s">
        <v>2346</v>
      </c>
      <c r="F1014" t="s">
        <v>2344</v>
      </c>
      <c r="G1014" t="s">
        <v>2344</v>
      </c>
      <c r="H1014">
        <v>1</v>
      </c>
      <c r="I1014" t="s">
        <v>2344</v>
      </c>
      <c r="J1014" t="str">
        <f t="shared" si="61"/>
        <v>Over weight</v>
      </c>
      <c r="K1014" t="str">
        <f t="shared" si="64"/>
        <v>Prediabetes</v>
      </c>
      <c r="L1014">
        <v>30</v>
      </c>
      <c r="M1014" t="s">
        <v>2362</v>
      </c>
      <c r="N1014">
        <v>1978</v>
      </c>
      <c r="O1014" s="8">
        <f t="shared" si="62"/>
        <v>28671</v>
      </c>
      <c r="P1014" s="10">
        <v>8219.2000000000007</v>
      </c>
      <c r="Q1014" t="s">
        <v>2357</v>
      </c>
      <c r="R1014" t="s">
        <v>2357</v>
      </c>
      <c r="S1014" t="s">
        <v>2359</v>
      </c>
      <c r="T1014">
        <f t="shared" ca="1" si="63"/>
        <v>48</v>
      </c>
      <c r="U1014">
        <f>VLOOKUP($A1014,'Medical Examination'!$A:$Z,2,FALSE)</f>
        <v>27.2</v>
      </c>
    </row>
    <row r="1015" spans="1:21" ht="15.5" x14ac:dyDescent="0.35">
      <c r="A1015" s="2" t="s">
        <v>1015</v>
      </c>
      <c r="B1015" s="2" t="s">
        <v>3928</v>
      </c>
      <c r="C1015">
        <v>25.3</v>
      </c>
      <c r="D1015">
        <v>5.19</v>
      </c>
      <c r="E1015" t="s">
        <v>2346</v>
      </c>
      <c r="F1015" t="s">
        <v>2344</v>
      </c>
      <c r="G1015" t="s">
        <v>2344</v>
      </c>
      <c r="H1015">
        <v>1</v>
      </c>
      <c r="I1015" t="s">
        <v>2344</v>
      </c>
      <c r="J1015" t="str">
        <f t="shared" si="61"/>
        <v>Over weight</v>
      </c>
      <c r="K1015" t="str">
        <f t="shared" si="64"/>
        <v>Normal</v>
      </c>
      <c r="L1015">
        <v>3</v>
      </c>
      <c r="M1015" t="s">
        <v>2363</v>
      </c>
      <c r="N1015">
        <v>1976</v>
      </c>
      <c r="O1015" s="8">
        <f t="shared" si="62"/>
        <v>28006</v>
      </c>
      <c r="P1015" s="10">
        <v>8232.64</v>
      </c>
      <c r="Q1015" t="s">
        <v>2357</v>
      </c>
      <c r="R1015" t="s">
        <v>2358</v>
      </c>
      <c r="S1015" t="s">
        <v>2359</v>
      </c>
      <c r="T1015">
        <f t="shared" ca="1" si="63"/>
        <v>50</v>
      </c>
      <c r="U1015">
        <f>VLOOKUP($A1015,'Medical Examination'!$A:$Z,2,FALSE)</f>
        <v>25.3</v>
      </c>
    </row>
    <row r="1016" spans="1:21" ht="15.5" x14ac:dyDescent="0.35">
      <c r="A1016" s="2" t="s">
        <v>1016</v>
      </c>
      <c r="B1016" s="2" t="s">
        <v>3929</v>
      </c>
      <c r="C1016">
        <v>30.25</v>
      </c>
      <c r="D1016">
        <v>10.16</v>
      </c>
      <c r="E1016" t="s">
        <v>2344</v>
      </c>
      <c r="F1016" t="s">
        <v>2344</v>
      </c>
      <c r="G1016" t="s">
        <v>2344</v>
      </c>
      <c r="H1016">
        <v>0</v>
      </c>
      <c r="I1016" t="s">
        <v>2344</v>
      </c>
      <c r="J1016" t="str">
        <f t="shared" si="61"/>
        <v>Obesity</v>
      </c>
      <c r="K1016" t="str">
        <f t="shared" si="64"/>
        <v>Diabetes</v>
      </c>
      <c r="L1016">
        <v>30</v>
      </c>
      <c r="M1016" t="s">
        <v>2362</v>
      </c>
      <c r="N1016">
        <v>1976</v>
      </c>
      <c r="O1016" s="8">
        <f t="shared" si="62"/>
        <v>27941</v>
      </c>
      <c r="P1016" s="10">
        <v>8233.1</v>
      </c>
      <c r="Q1016" t="s">
        <v>2357</v>
      </c>
      <c r="R1016" t="s">
        <v>2357</v>
      </c>
      <c r="S1016" t="s">
        <v>2359</v>
      </c>
      <c r="T1016">
        <f t="shared" ca="1" si="63"/>
        <v>50</v>
      </c>
      <c r="U1016">
        <f>VLOOKUP($A1016,'Medical Examination'!$A:$Z,2,FALSE)</f>
        <v>30.25</v>
      </c>
    </row>
    <row r="1017" spans="1:21" ht="15.5" x14ac:dyDescent="0.35">
      <c r="A1017" s="2" t="s">
        <v>1017</v>
      </c>
      <c r="B1017" s="2" t="s">
        <v>3930</v>
      </c>
      <c r="C1017">
        <v>54</v>
      </c>
      <c r="D1017">
        <v>4.68</v>
      </c>
      <c r="E1017" t="s">
        <v>2346</v>
      </c>
      <c r="F1017" t="s">
        <v>2345</v>
      </c>
      <c r="G1017" t="s">
        <v>2344</v>
      </c>
      <c r="H1017">
        <v>1</v>
      </c>
      <c r="I1017" t="s">
        <v>2344</v>
      </c>
      <c r="J1017" t="str">
        <f t="shared" si="61"/>
        <v>Obesity</v>
      </c>
      <c r="K1017" t="str">
        <f t="shared" si="64"/>
        <v>Normal</v>
      </c>
      <c r="L1017">
        <v>2</v>
      </c>
      <c r="M1017" t="s">
        <v>2363</v>
      </c>
      <c r="N1017">
        <v>1976</v>
      </c>
      <c r="O1017" s="8">
        <f t="shared" si="62"/>
        <v>28005</v>
      </c>
      <c r="P1017" s="10">
        <v>8240.59</v>
      </c>
      <c r="Q1017" t="s">
        <v>2357</v>
      </c>
      <c r="R1017" t="s">
        <v>2357</v>
      </c>
      <c r="S1017" t="s">
        <v>2359</v>
      </c>
      <c r="T1017">
        <f t="shared" ca="1" si="63"/>
        <v>50</v>
      </c>
      <c r="U1017">
        <f>VLOOKUP($A1017,'Medical Examination'!$A:$Z,2,FALSE)</f>
        <v>54</v>
      </c>
    </row>
    <row r="1018" spans="1:21" ht="15.5" x14ac:dyDescent="0.35">
      <c r="A1018" s="2" t="s">
        <v>1018</v>
      </c>
      <c r="B1018" s="2" t="s">
        <v>3636</v>
      </c>
      <c r="C1018">
        <v>51.86</v>
      </c>
      <c r="D1018">
        <v>5.32</v>
      </c>
      <c r="E1018" t="s">
        <v>2346</v>
      </c>
      <c r="F1018" t="s">
        <v>2344</v>
      </c>
      <c r="G1018" t="s">
        <v>2344</v>
      </c>
      <c r="H1018">
        <v>0</v>
      </c>
      <c r="I1018" t="s">
        <v>2344</v>
      </c>
      <c r="J1018" t="str">
        <f t="shared" si="61"/>
        <v>Obesity</v>
      </c>
      <c r="K1018" t="str">
        <f t="shared" si="64"/>
        <v>Normal</v>
      </c>
      <c r="L1018">
        <v>27</v>
      </c>
      <c r="M1018" t="s">
        <v>2363</v>
      </c>
      <c r="N1018">
        <v>1982</v>
      </c>
      <c r="O1018" s="8">
        <f t="shared" si="62"/>
        <v>30221</v>
      </c>
      <c r="P1018" s="10">
        <v>8252.2800000000007</v>
      </c>
      <c r="Q1018" t="s">
        <v>2357</v>
      </c>
      <c r="R1018" t="s">
        <v>2357</v>
      </c>
      <c r="S1018" t="s">
        <v>2374</v>
      </c>
      <c r="T1018">
        <f t="shared" ca="1" si="63"/>
        <v>44</v>
      </c>
      <c r="U1018">
        <f>VLOOKUP($A1018,'Medical Examination'!$A:$Z,2,FALSE)</f>
        <v>51.86</v>
      </c>
    </row>
    <row r="1019" spans="1:21" ht="15.5" x14ac:dyDescent="0.35">
      <c r="A1019" s="2" t="s">
        <v>1019</v>
      </c>
      <c r="B1019" s="2" t="s">
        <v>3933</v>
      </c>
      <c r="C1019">
        <v>31.39</v>
      </c>
      <c r="D1019">
        <v>6.99</v>
      </c>
      <c r="E1019" t="s">
        <v>2344</v>
      </c>
      <c r="F1019" t="s">
        <v>2344</v>
      </c>
      <c r="G1019" t="s">
        <v>2344</v>
      </c>
      <c r="H1019">
        <v>0</v>
      </c>
      <c r="I1019" t="s">
        <v>2344</v>
      </c>
      <c r="J1019" t="str">
        <f t="shared" si="61"/>
        <v>Obesity</v>
      </c>
      <c r="K1019" t="str">
        <f t="shared" si="64"/>
        <v>Diabetes</v>
      </c>
      <c r="L1019">
        <v>5</v>
      </c>
      <c r="M1019" t="s">
        <v>2363</v>
      </c>
      <c r="N1019">
        <v>1964</v>
      </c>
      <c r="O1019" s="8">
        <f t="shared" si="62"/>
        <v>23625</v>
      </c>
      <c r="P1019" s="10">
        <v>8268</v>
      </c>
      <c r="Q1019" t="s">
        <v>2358</v>
      </c>
      <c r="R1019" t="s">
        <v>2358</v>
      </c>
      <c r="S1019" t="s">
        <v>2359</v>
      </c>
      <c r="T1019">
        <f t="shared" ca="1" si="63"/>
        <v>62</v>
      </c>
      <c r="U1019">
        <f>VLOOKUP($A1019,'Medical Examination'!$A:$Z,2,FALSE)</f>
        <v>31.39</v>
      </c>
    </row>
    <row r="1020" spans="1:21" ht="15.5" x14ac:dyDescent="0.35">
      <c r="A1020" s="2" t="s">
        <v>1020</v>
      </c>
      <c r="B1020" s="2" t="s">
        <v>3935</v>
      </c>
      <c r="C1020">
        <v>39.97</v>
      </c>
      <c r="D1020">
        <v>5.55</v>
      </c>
      <c r="E1020" t="s">
        <v>2344</v>
      </c>
      <c r="F1020" t="s">
        <v>2344</v>
      </c>
      <c r="G1020" t="s">
        <v>2344</v>
      </c>
      <c r="H1020">
        <v>0</v>
      </c>
      <c r="I1020" t="s">
        <v>2344</v>
      </c>
      <c r="J1020" t="str">
        <f t="shared" si="61"/>
        <v>Obesity</v>
      </c>
      <c r="K1020" t="str">
        <f t="shared" si="64"/>
        <v>Normal</v>
      </c>
      <c r="L1020">
        <v>5</v>
      </c>
      <c r="M1020" t="s">
        <v>2366</v>
      </c>
      <c r="N1020">
        <v>1974</v>
      </c>
      <c r="O1020" s="8">
        <f t="shared" si="62"/>
        <v>27246</v>
      </c>
      <c r="P1020" s="10">
        <v>8269.0400000000009</v>
      </c>
      <c r="Q1020" t="s">
        <v>2357</v>
      </c>
      <c r="R1020" t="s">
        <v>2361</v>
      </c>
      <c r="S1020" t="s">
        <v>2368</v>
      </c>
      <c r="T1020">
        <f t="shared" ca="1" si="63"/>
        <v>52</v>
      </c>
      <c r="U1020">
        <f>VLOOKUP($A1020,'Medical Examination'!$A:$Z,2,FALSE)</f>
        <v>39.97</v>
      </c>
    </row>
    <row r="1021" spans="1:21" ht="15.5" x14ac:dyDescent="0.35">
      <c r="A1021" s="2" t="s">
        <v>1021</v>
      </c>
      <c r="B1021" s="2" t="s">
        <v>3936</v>
      </c>
      <c r="C1021">
        <v>41.23</v>
      </c>
      <c r="D1021">
        <v>6.94</v>
      </c>
      <c r="E1021" t="s">
        <v>2344</v>
      </c>
      <c r="F1021" t="s">
        <v>2344</v>
      </c>
      <c r="G1021" t="s">
        <v>2344</v>
      </c>
      <c r="H1021">
        <v>0</v>
      </c>
      <c r="I1021" t="s">
        <v>2344</v>
      </c>
      <c r="J1021" t="str">
        <f t="shared" si="61"/>
        <v>Obesity</v>
      </c>
      <c r="K1021" t="str">
        <f t="shared" si="64"/>
        <v>Diabetes</v>
      </c>
      <c r="L1021">
        <v>28</v>
      </c>
      <c r="M1021" t="s">
        <v>2360</v>
      </c>
      <c r="N1021">
        <v>2000</v>
      </c>
      <c r="O1021" s="8">
        <f t="shared" si="62"/>
        <v>36858</v>
      </c>
      <c r="P1021" s="10">
        <v>8271.4599999999991</v>
      </c>
      <c r="Q1021" t="s">
        <v>2357</v>
      </c>
      <c r="R1021" t="s">
        <v>2361</v>
      </c>
      <c r="S1021" t="s">
        <v>2375</v>
      </c>
      <c r="T1021">
        <f t="shared" ca="1" si="63"/>
        <v>26</v>
      </c>
      <c r="U1021">
        <f>VLOOKUP($A1021,'Medical Examination'!$A:$Z,2,FALSE)</f>
        <v>41.23</v>
      </c>
    </row>
    <row r="1022" spans="1:21" ht="15.5" x14ac:dyDescent="0.35">
      <c r="A1022" s="2" t="s">
        <v>1022</v>
      </c>
      <c r="B1022" s="2" t="s">
        <v>3938</v>
      </c>
      <c r="C1022">
        <v>49.45</v>
      </c>
      <c r="D1022">
        <v>4.2</v>
      </c>
      <c r="E1022" t="s">
        <v>2346</v>
      </c>
      <c r="F1022" t="s">
        <v>2344</v>
      </c>
      <c r="G1022" t="s">
        <v>2344</v>
      </c>
      <c r="H1022">
        <v>0</v>
      </c>
      <c r="I1022" t="s">
        <v>2344</v>
      </c>
      <c r="J1022" t="str">
        <f t="shared" si="61"/>
        <v>Obesity</v>
      </c>
      <c r="K1022" t="str">
        <f t="shared" si="64"/>
        <v>Normal</v>
      </c>
      <c r="L1022">
        <v>26</v>
      </c>
      <c r="M1022" t="s">
        <v>2363</v>
      </c>
      <c r="N1022">
        <v>1974</v>
      </c>
      <c r="O1022" s="8">
        <f t="shared" si="62"/>
        <v>27298</v>
      </c>
      <c r="P1022" s="10">
        <v>8277.52</v>
      </c>
      <c r="Q1022" t="s">
        <v>2357</v>
      </c>
      <c r="R1022" t="s">
        <v>2357</v>
      </c>
      <c r="S1022" t="s">
        <v>2368</v>
      </c>
      <c r="T1022">
        <f t="shared" ca="1" si="63"/>
        <v>52</v>
      </c>
      <c r="U1022">
        <f>VLOOKUP($A1022,'Medical Examination'!$A:$Z,2,FALSE)</f>
        <v>49.45</v>
      </c>
    </row>
    <row r="1023" spans="1:21" ht="15.5" x14ac:dyDescent="0.35">
      <c r="A1023" s="2" t="s">
        <v>1023</v>
      </c>
      <c r="B1023" s="2" t="s">
        <v>3939</v>
      </c>
      <c r="C1023">
        <v>41.04</v>
      </c>
      <c r="D1023">
        <v>5.59</v>
      </c>
      <c r="E1023" t="s">
        <v>2344</v>
      </c>
      <c r="F1023" t="s">
        <v>2344</v>
      </c>
      <c r="G1023" t="s">
        <v>2344</v>
      </c>
      <c r="H1023">
        <v>0</v>
      </c>
      <c r="I1023" t="s">
        <v>2344</v>
      </c>
      <c r="J1023" t="str">
        <f t="shared" si="61"/>
        <v>Obesity</v>
      </c>
      <c r="K1023" t="str">
        <f t="shared" si="64"/>
        <v>Normal</v>
      </c>
      <c r="L1023">
        <v>22</v>
      </c>
      <c r="M1023" t="s">
        <v>2365</v>
      </c>
      <c r="N1023">
        <v>1974</v>
      </c>
      <c r="O1023" s="8">
        <f t="shared" si="62"/>
        <v>27385</v>
      </c>
      <c r="P1023" s="10">
        <v>8280.6200000000008</v>
      </c>
      <c r="Q1023" t="s">
        <v>2357</v>
      </c>
      <c r="R1023" t="s">
        <v>2357</v>
      </c>
      <c r="S1023" t="s">
        <v>2359</v>
      </c>
      <c r="T1023">
        <f t="shared" ca="1" si="63"/>
        <v>52</v>
      </c>
      <c r="U1023">
        <f>VLOOKUP($A1023,'Medical Examination'!$A:$Z,2,FALSE)</f>
        <v>41.04</v>
      </c>
    </row>
    <row r="1024" spans="1:21" ht="15.5" x14ac:dyDescent="0.35">
      <c r="A1024" s="2" t="s">
        <v>1024</v>
      </c>
      <c r="B1024" s="2" t="s">
        <v>3941</v>
      </c>
      <c r="C1024">
        <v>27.93</v>
      </c>
      <c r="D1024">
        <v>9.9600000000000009</v>
      </c>
      <c r="E1024" t="s">
        <v>2344</v>
      </c>
      <c r="F1024" t="s">
        <v>2344</v>
      </c>
      <c r="G1024" t="s">
        <v>2344</v>
      </c>
      <c r="H1024">
        <v>0</v>
      </c>
      <c r="I1024" t="s">
        <v>2344</v>
      </c>
      <c r="J1024" t="str">
        <f t="shared" si="61"/>
        <v>Over weight</v>
      </c>
      <c r="K1024" t="str">
        <f t="shared" si="64"/>
        <v>Diabetes</v>
      </c>
      <c r="L1024">
        <v>6</v>
      </c>
      <c r="M1024" t="s">
        <v>2362</v>
      </c>
      <c r="N1024">
        <v>1974</v>
      </c>
      <c r="O1024" s="8">
        <f t="shared" si="62"/>
        <v>27186</v>
      </c>
      <c r="P1024" s="10">
        <v>8283.68</v>
      </c>
      <c r="Q1024" t="s">
        <v>2357</v>
      </c>
      <c r="R1024" t="s">
        <v>2358</v>
      </c>
      <c r="S1024" t="s">
        <v>2359</v>
      </c>
      <c r="T1024">
        <f t="shared" ca="1" si="63"/>
        <v>52</v>
      </c>
      <c r="U1024">
        <f>VLOOKUP($A1024,'Medical Examination'!$A:$Z,2,FALSE)</f>
        <v>27.93</v>
      </c>
    </row>
    <row r="1025" spans="1:21" ht="15.5" x14ac:dyDescent="0.35">
      <c r="A1025" s="2" t="s">
        <v>1025</v>
      </c>
      <c r="B1025" s="2" t="s">
        <v>3942</v>
      </c>
      <c r="C1025">
        <v>21.01</v>
      </c>
      <c r="D1025">
        <v>7.37</v>
      </c>
      <c r="E1025" t="s">
        <v>2344</v>
      </c>
      <c r="F1025" t="s">
        <v>2344</v>
      </c>
      <c r="G1025" t="s">
        <v>2344</v>
      </c>
      <c r="H1025">
        <v>0</v>
      </c>
      <c r="I1025" t="s">
        <v>2344</v>
      </c>
      <c r="J1025" t="str">
        <f t="shared" si="61"/>
        <v>Normal Weight</v>
      </c>
      <c r="K1025" t="str">
        <f t="shared" si="64"/>
        <v>Diabetes</v>
      </c>
      <c r="L1025">
        <v>26</v>
      </c>
      <c r="M1025" t="s">
        <v>2362</v>
      </c>
      <c r="N1025">
        <v>1978</v>
      </c>
      <c r="O1025" s="8">
        <f t="shared" si="62"/>
        <v>28667</v>
      </c>
      <c r="P1025" s="10">
        <v>8302.5400000000009</v>
      </c>
      <c r="Q1025" t="s">
        <v>2358</v>
      </c>
      <c r="R1025" t="s">
        <v>2358</v>
      </c>
      <c r="S1025" t="s">
        <v>2371</v>
      </c>
      <c r="T1025">
        <f t="shared" ca="1" si="63"/>
        <v>48</v>
      </c>
      <c r="U1025">
        <f>VLOOKUP($A1025,'Medical Examination'!$A:$Z,2,FALSE)</f>
        <v>21.01</v>
      </c>
    </row>
    <row r="1026" spans="1:21" ht="15.5" x14ac:dyDescent="0.35">
      <c r="A1026" s="2" t="s">
        <v>1026</v>
      </c>
      <c r="B1026" s="2" t="s">
        <v>3944</v>
      </c>
      <c r="C1026">
        <v>52.37</v>
      </c>
      <c r="D1026">
        <v>5.0599999999999996</v>
      </c>
      <c r="E1026" t="s">
        <v>2346</v>
      </c>
      <c r="F1026" t="s">
        <v>2345</v>
      </c>
      <c r="G1026" t="s">
        <v>2344</v>
      </c>
      <c r="H1026">
        <v>1</v>
      </c>
      <c r="I1026" t="s">
        <v>2344</v>
      </c>
      <c r="J1026" t="str">
        <f t="shared" si="61"/>
        <v>Obesity</v>
      </c>
      <c r="K1026" t="str">
        <f t="shared" si="64"/>
        <v>Normal</v>
      </c>
      <c r="L1026">
        <v>7</v>
      </c>
      <c r="M1026" t="s">
        <v>2366</v>
      </c>
      <c r="N1026">
        <v>1979</v>
      </c>
      <c r="O1026" s="8">
        <f t="shared" si="62"/>
        <v>29074</v>
      </c>
      <c r="P1026" s="10">
        <v>8310.84</v>
      </c>
      <c r="Q1026" t="s">
        <v>2357</v>
      </c>
      <c r="R1026" t="s">
        <v>2357</v>
      </c>
      <c r="S1026" t="s">
        <v>2364</v>
      </c>
      <c r="T1026">
        <f t="shared" ca="1" si="63"/>
        <v>47</v>
      </c>
      <c r="U1026">
        <f>VLOOKUP($A1026,'Medical Examination'!$A:$Z,2,FALSE)</f>
        <v>52.37</v>
      </c>
    </row>
    <row r="1027" spans="1:21" ht="15.5" x14ac:dyDescent="0.35">
      <c r="A1027" s="2" t="s">
        <v>1027</v>
      </c>
      <c r="B1027" s="2" t="s">
        <v>3945</v>
      </c>
      <c r="C1027">
        <v>40.369999999999997</v>
      </c>
      <c r="D1027">
        <v>8.2100000000000009</v>
      </c>
      <c r="E1027" t="s">
        <v>2344</v>
      </c>
      <c r="F1027" t="s">
        <v>2344</v>
      </c>
      <c r="G1027" t="s">
        <v>2344</v>
      </c>
      <c r="H1027">
        <v>0</v>
      </c>
      <c r="I1027" t="s">
        <v>2344</v>
      </c>
      <c r="J1027" t="str">
        <f t="shared" ref="J1027:J1090" si="65">IF(C1027&lt;18.5,"Under Weight",IF(C1027&lt;25,"Normal Weight",IF(C1027&lt;30,"Over weight","Obesity")))</f>
        <v>Obesity</v>
      </c>
      <c r="K1027" t="str">
        <f t="shared" si="64"/>
        <v>Diabetes</v>
      </c>
      <c r="L1027">
        <v>22</v>
      </c>
      <c r="M1027" t="s">
        <v>2362</v>
      </c>
      <c r="N1027">
        <v>1993</v>
      </c>
      <c r="O1027" s="8">
        <f t="shared" ref="O1027:O1090" si="66">DATE(N1027,MONTH(1&amp;M1027),L1027)</f>
        <v>34142</v>
      </c>
      <c r="P1027" s="10">
        <v>8314.65</v>
      </c>
      <c r="Q1027" t="s">
        <v>2357</v>
      </c>
      <c r="R1027" t="s">
        <v>2361</v>
      </c>
      <c r="S1027" t="s">
        <v>2364</v>
      </c>
      <c r="T1027">
        <f t="shared" ref="T1027:T1090" ca="1" si="67">YEAR(TODAY())-YEAR(O1027)</f>
        <v>33</v>
      </c>
      <c r="U1027">
        <f>VLOOKUP($A1027,'Medical Examination'!$A:$Z,2,FALSE)</f>
        <v>40.369999999999997</v>
      </c>
    </row>
    <row r="1028" spans="1:21" ht="15.5" x14ac:dyDescent="0.35">
      <c r="A1028" s="2" t="s">
        <v>1028</v>
      </c>
      <c r="B1028" s="2" t="s">
        <v>3947</v>
      </c>
      <c r="C1028">
        <v>41.47</v>
      </c>
      <c r="D1028">
        <v>10.34</v>
      </c>
      <c r="E1028" t="s">
        <v>2344</v>
      </c>
      <c r="F1028" t="s">
        <v>2344</v>
      </c>
      <c r="G1028" t="s">
        <v>2344</v>
      </c>
      <c r="H1028">
        <v>1</v>
      </c>
      <c r="I1028" t="s">
        <v>2344</v>
      </c>
      <c r="J1028" t="str">
        <f t="shared" si="65"/>
        <v>Obesity</v>
      </c>
      <c r="K1028" t="str">
        <f t="shared" si="64"/>
        <v>Diabetes</v>
      </c>
      <c r="L1028">
        <v>12</v>
      </c>
      <c r="M1028" t="s">
        <v>2356</v>
      </c>
      <c r="N1028">
        <v>1976</v>
      </c>
      <c r="O1028" s="8">
        <f t="shared" si="66"/>
        <v>27953</v>
      </c>
      <c r="P1028" s="10">
        <v>8334.4599999999991</v>
      </c>
      <c r="Q1028" t="s">
        <v>2358</v>
      </c>
      <c r="R1028" t="s">
        <v>2357</v>
      </c>
      <c r="S1028" t="s">
        <v>2371</v>
      </c>
      <c r="T1028">
        <f t="shared" ca="1" si="67"/>
        <v>50</v>
      </c>
      <c r="U1028">
        <f>VLOOKUP($A1028,'Medical Examination'!$A:$Z,2,FALSE)</f>
        <v>41.47</v>
      </c>
    </row>
    <row r="1029" spans="1:21" ht="15.5" x14ac:dyDescent="0.35">
      <c r="A1029" s="2" t="s">
        <v>1029</v>
      </c>
      <c r="B1029" s="2" t="s">
        <v>3948</v>
      </c>
      <c r="C1029">
        <v>33.725000000000001</v>
      </c>
      <c r="D1029">
        <v>5.51</v>
      </c>
      <c r="E1029" t="s">
        <v>2346</v>
      </c>
      <c r="F1029" t="s">
        <v>2344</v>
      </c>
      <c r="G1029" t="s">
        <v>2344</v>
      </c>
      <c r="H1029">
        <v>1</v>
      </c>
      <c r="I1029" t="s">
        <v>2344</v>
      </c>
      <c r="J1029" t="str">
        <f t="shared" si="65"/>
        <v>Obesity</v>
      </c>
      <c r="K1029" t="str">
        <f t="shared" si="64"/>
        <v>Normal</v>
      </c>
      <c r="L1029">
        <v>20</v>
      </c>
      <c r="M1029" t="s">
        <v>2356</v>
      </c>
      <c r="N1029">
        <v>1976</v>
      </c>
      <c r="O1029" s="8">
        <f t="shared" si="66"/>
        <v>27961</v>
      </c>
      <c r="P1029" s="10">
        <v>8334.59</v>
      </c>
      <c r="Q1029" t="s">
        <v>2358</v>
      </c>
      <c r="R1029" t="s">
        <v>2357</v>
      </c>
      <c r="S1029" t="s">
        <v>2371</v>
      </c>
      <c r="T1029">
        <f t="shared" ca="1" si="67"/>
        <v>50</v>
      </c>
      <c r="U1029">
        <f>VLOOKUP($A1029,'Medical Examination'!$A:$Z,2,FALSE)</f>
        <v>33.725000000000001</v>
      </c>
    </row>
    <row r="1030" spans="1:21" ht="15.5" x14ac:dyDescent="0.35">
      <c r="A1030" s="2" t="s">
        <v>1030</v>
      </c>
      <c r="B1030" s="2" t="s">
        <v>3949</v>
      </c>
      <c r="C1030">
        <v>28.1</v>
      </c>
      <c r="D1030">
        <v>11.2</v>
      </c>
      <c r="E1030" t="s">
        <v>2344</v>
      </c>
      <c r="F1030" t="s">
        <v>2344</v>
      </c>
      <c r="G1030" t="s">
        <v>2344</v>
      </c>
      <c r="H1030">
        <v>0</v>
      </c>
      <c r="I1030" t="s">
        <v>2344</v>
      </c>
      <c r="J1030" t="str">
        <f t="shared" si="65"/>
        <v>Over weight</v>
      </c>
      <c r="K1030" t="str">
        <f t="shared" si="64"/>
        <v>Diabetes</v>
      </c>
      <c r="L1030">
        <v>7</v>
      </c>
      <c r="M1030" t="s">
        <v>2356</v>
      </c>
      <c r="N1030">
        <v>1976</v>
      </c>
      <c r="O1030" s="8">
        <f t="shared" si="66"/>
        <v>27948</v>
      </c>
      <c r="P1030" s="10">
        <v>8342.91</v>
      </c>
      <c r="Q1030" t="s">
        <v>2358</v>
      </c>
      <c r="R1030" t="s">
        <v>2361</v>
      </c>
      <c r="S1030" t="s">
        <v>2371</v>
      </c>
      <c r="T1030">
        <f t="shared" ca="1" si="67"/>
        <v>50</v>
      </c>
      <c r="U1030">
        <f>VLOOKUP($A1030,'Medical Examination'!$A:$Z,2,FALSE)</f>
        <v>28.1</v>
      </c>
    </row>
    <row r="1031" spans="1:21" ht="15.5" x14ac:dyDescent="0.35">
      <c r="A1031" s="2" t="s">
        <v>1031</v>
      </c>
      <c r="B1031" s="2" t="s">
        <v>3950</v>
      </c>
      <c r="C1031">
        <v>37.43</v>
      </c>
      <c r="D1031">
        <v>4.3499999999999996</v>
      </c>
      <c r="E1031" t="s">
        <v>2346</v>
      </c>
      <c r="F1031" t="s">
        <v>2344</v>
      </c>
      <c r="G1031" t="s">
        <v>2346</v>
      </c>
      <c r="H1031">
        <v>1</v>
      </c>
      <c r="I1031" t="s">
        <v>2344</v>
      </c>
      <c r="J1031" t="str">
        <f t="shared" si="65"/>
        <v>Obesity</v>
      </c>
      <c r="K1031" t="str">
        <f t="shared" si="64"/>
        <v>Normal</v>
      </c>
      <c r="L1031">
        <v>12</v>
      </c>
      <c r="M1031" t="s">
        <v>2362</v>
      </c>
      <c r="N1031">
        <v>1976</v>
      </c>
      <c r="O1031" s="8">
        <f t="shared" si="66"/>
        <v>27923</v>
      </c>
      <c r="P1031" s="10">
        <v>8347.16</v>
      </c>
      <c r="Q1031" t="s">
        <v>2357</v>
      </c>
      <c r="R1031" t="s">
        <v>2361</v>
      </c>
      <c r="S1031" t="s">
        <v>2359</v>
      </c>
      <c r="T1031">
        <f t="shared" ca="1" si="67"/>
        <v>50</v>
      </c>
      <c r="U1031">
        <f>VLOOKUP($A1031,'Medical Examination'!$A:$Z,2,FALSE)</f>
        <v>37.43</v>
      </c>
    </row>
    <row r="1032" spans="1:21" ht="15.5" x14ac:dyDescent="0.35">
      <c r="A1032" s="2" t="s">
        <v>1032</v>
      </c>
      <c r="B1032" s="2" t="s">
        <v>3952</v>
      </c>
      <c r="C1032">
        <v>23.7</v>
      </c>
      <c r="D1032">
        <v>10.45</v>
      </c>
      <c r="E1032" t="s">
        <v>2344</v>
      </c>
      <c r="F1032" t="s">
        <v>2344</v>
      </c>
      <c r="G1032" t="s">
        <v>2344</v>
      </c>
      <c r="H1032">
        <v>0</v>
      </c>
      <c r="I1032" t="s">
        <v>2344</v>
      </c>
      <c r="J1032" t="str">
        <f t="shared" si="65"/>
        <v>Normal Weight</v>
      </c>
      <c r="K1032" t="str">
        <f t="shared" si="64"/>
        <v>Diabetes</v>
      </c>
      <c r="L1032">
        <v>21</v>
      </c>
      <c r="M1032" t="s">
        <v>2363</v>
      </c>
      <c r="N1032">
        <v>1963</v>
      </c>
      <c r="O1032" s="8">
        <f t="shared" si="66"/>
        <v>23275</v>
      </c>
      <c r="P1032" s="10">
        <v>8355.5400000000009</v>
      </c>
      <c r="Q1032" t="s">
        <v>2358</v>
      </c>
      <c r="R1032" t="s">
        <v>2358</v>
      </c>
      <c r="S1032" t="s">
        <v>2364</v>
      </c>
      <c r="T1032">
        <f t="shared" ca="1" si="67"/>
        <v>63</v>
      </c>
      <c r="U1032">
        <f>VLOOKUP($A1032,'Medical Examination'!$A:$Z,2,FALSE)</f>
        <v>23.7</v>
      </c>
    </row>
    <row r="1033" spans="1:21" ht="15.5" x14ac:dyDescent="0.35">
      <c r="A1033" s="2" t="s">
        <v>1033</v>
      </c>
      <c r="B1033" s="2" t="s">
        <v>3953</v>
      </c>
      <c r="C1033">
        <v>24.795000000000002</v>
      </c>
      <c r="D1033">
        <v>4.07</v>
      </c>
      <c r="E1033" t="s">
        <v>2346</v>
      </c>
      <c r="F1033" t="s">
        <v>2344</v>
      </c>
      <c r="G1033" t="s">
        <v>2346</v>
      </c>
      <c r="H1033">
        <v>1</v>
      </c>
      <c r="I1033" t="s">
        <v>2344</v>
      </c>
      <c r="J1033" t="str">
        <f t="shared" si="65"/>
        <v>Normal Weight</v>
      </c>
      <c r="K1033" t="str">
        <f t="shared" si="64"/>
        <v>Normal</v>
      </c>
      <c r="L1033">
        <v>4</v>
      </c>
      <c r="M1033" t="s">
        <v>2363</v>
      </c>
      <c r="N1033">
        <v>1971</v>
      </c>
      <c r="O1033" s="8">
        <f t="shared" si="66"/>
        <v>26180</v>
      </c>
      <c r="P1033" s="10">
        <v>8396.6200000000008</v>
      </c>
      <c r="Q1033" t="s">
        <v>2357</v>
      </c>
      <c r="R1033" t="s">
        <v>2358</v>
      </c>
      <c r="S1033" t="s">
        <v>2359</v>
      </c>
      <c r="T1033">
        <f t="shared" ca="1" si="67"/>
        <v>55</v>
      </c>
      <c r="U1033">
        <f>VLOOKUP($A1033,'Medical Examination'!$A:$Z,2,FALSE)</f>
        <v>24.795000000000002</v>
      </c>
    </row>
    <row r="1034" spans="1:21" ht="15.5" x14ac:dyDescent="0.35">
      <c r="A1034" s="2" t="s">
        <v>1034</v>
      </c>
      <c r="B1034" s="2" t="s">
        <v>3472</v>
      </c>
      <c r="C1034">
        <v>31.9</v>
      </c>
      <c r="D1034">
        <v>8.34</v>
      </c>
      <c r="E1034" t="s">
        <v>2344</v>
      </c>
      <c r="F1034" t="s">
        <v>2344</v>
      </c>
      <c r="G1034" t="s">
        <v>2344</v>
      </c>
      <c r="H1034">
        <v>0</v>
      </c>
      <c r="I1034" t="s">
        <v>2344</v>
      </c>
      <c r="J1034" t="str">
        <f t="shared" si="65"/>
        <v>Obesity</v>
      </c>
      <c r="K1034" t="str">
        <f t="shared" si="64"/>
        <v>Diabetes</v>
      </c>
      <c r="L1034">
        <v>18</v>
      </c>
      <c r="M1034" t="s">
        <v>2363</v>
      </c>
      <c r="N1034">
        <v>1971</v>
      </c>
      <c r="O1034" s="8">
        <f t="shared" si="66"/>
        <v>26194</v>
      </c>
      <c r="P1034" s="10">
        <v>8400.01</v>
      </c>
      <c r="Q1034" t="s">
        <v>2357</v>
      </c>
      <c r="R1034" t="s">
        <v>2358</v>
      </c>
      <c r="S1034" t="s">
        <v>2359</v>
      </c>
      <c r="T1034">
        <f t="shared" ca="1" si="67"/>
        <v>55</v>
      </c>
      <c r="U1034">
        <f>VLOOKUP($A1034,'Medical Examination'!$A:$Z,2,FALSE)</f>
        <v>31.9</v>
      </c>
    </row>
    <row r="1035" spans="1:21" ht="15.5" x14ac:dyDescent="0.35">
      <c r="A1035" s="2" t="s">
        <v>1035</v>
      </c>
      <c r="B1035" s="2" t="s">
        <v>3955</v>
      </c>
      <c r="C1035">
        <v>32.68</v>
      </c>
      <c r="D1035">
        <v>7.41</v>
      </c>
      <c r="E1035" t="s">
        <v>2344</v>
      </c>
      <c r="F1035" t="s">
        <v>2344</v>
      </c>
      <c r="G1035" t="s">
        <v>2344</v>
      </c>
      <c r="H1035">
        <v>0</v>
      </c>
      <c r="I1035" t="s">
        <v>2344</v>
      </c>
      <c r="J1035" t="str">
        <f t="shared" si="65"/>
        <v>Obesity</v>
      </c>
      <c r="K1035" t="str">
        <f t="shared" si="64"/>
        <v>Diabetes</v>
      </c>
      <c r="L1035">
        <v>11</v>
      </c>
      <c r="M1035" t="s">
        <v>2362</v>
      </c>
      <c r="N1035">
        <v>1979</v>
      </c>
      <c r="O1035" s="8">
        <f t="shared" si="66"/>
        <v>29017</v>
      </c>
      <c r="P1035" s="10">
        <v>8410.0499999999993</v>
      </c>
      <c r="Q1035" t="s">
        <v>2357</v>
      </c>
      <c r="R1035" t="s">
        <v>2357</v>
      </c>
      <c r="S1035" t="s">
        <v>2364</v>
      </c>
      <c r="T1035">
        <f t="shared" ca="1" si="67"/>
        <v>47</v>
      </c>
      <c r="U1035">
        <f>VLOOKUP($A1035,'Medical Examination'!$A:$Z,2,FALSE)</f>
        <v>32.68</v>
      </c>
    </row>
    <row r="1036" spans="1:21" ht="15.5" x14ac:dyDescent="0.35">
      <c r="A1036" s="2" t="s">
        <v>1036</v>
      </c>
      <c r="B1036" s="2" t="s">
        <v>3956</v>
      </c>
      <c r="C1036">
        <v>47.13</v>
      </c>
      <c r="D1036">
        <v>4.3099999999999996</v>
      </c>
      <c r="E1036" t="s">
        <v>2344</v>
      </c>
      <c r="F1036" t="s">
        <v>2344</v>
      </c>
      <c r="G1036" t="s">
        <v>2344</v>
      </c>
      <c r="H1036">
        <v>0</v>
      </c>
      <c r="I1036" t="s">
        <v>2344</v>
      </c>
      <c r="J1036" t="str">
        <f t="shared" si="65"/>
        <v>Obesity</v>
      </c>
      <c r="K1036" t="str">
        <f t="shared" ref="K1036:K1099" si="68">IF(D1036&lt;5.7,"Normal",IF(D1036&lt;6.5,"Prediabetes","Diabetes"))</f>
        <v>Normal</v>
      </c>
      <c r="L1036">
        <v>4</v>
      </c>
      <c r="M1036" t="s">
        <v>2363</v>
      </c>
      <c r="N1036">
        <v>1977</v>
      </c>
      <c r="O1036" s="8">
        <f t="shared" si="66"/>
        <v>28372</v>
      </c>
      <c r="P1036" s="10">
        <v>8413.4599999999991</v>
      </c>
      <c r="Q1036" t="s">
        <v>2358</v>
      </c>
      <c r="R1036" t="s">
        <v>2361</v>
      </c>
      <c r="S1036" t="s">
        <v>2364</v>
      </c>
      <c r="T1036">
        <f t="shared" ca="1" si="67"/>
        <v>49</v>
      </c>
      <c r="U1036">
        <f>VLOOKUP($A1036,'Medical Examination'!$A:$Z,2,FALSE)</f>
        <v>47.13</v>
      </c>
    </row>
    <row r="1037" spans="1:21" ht="15.5" x14ac:dyDescent="0.35">
      <c r="A1037" s="2" t="s">
        <v>1037</v>
      </c>
      <c r="B1037" s="2" t="s">
        <v>3958</v>
      </c>
      <c r="C1037">
        <v>36.67</v>
      </c>
      <c r="D1037">
        <v>10.83</v>
      </c>
      <c r="E1037" t="s">
        <v>2344</v>
      </c>
      <c r="F1037" t="s">
        <v>2344</v>
      </c>
      <c r="G1037" t="s">
        <v>2344</v>
      </c>
      <c r="H1037">
        <v>0</v>
      </c>
      <c r="I1037" t="s">
        <v>2344</v>
      </c>
      <c r="J1037" t="str">
        <f t="shared" si="65"/>
        <v>Obesity</v>
      </c>
      <c r="K1037" t="str">
        <f t="shared" si="68"/>
        <v>Diabetes</v>
      </c>
      <c r="L1037">
        <v>28</v>
      </c>
      <c r="M1037" t="s">
        <v>2363</v>
      </c>
      <c r="N1037">
        <v>1975</v>
      </c>
      <c r="O1037" s="8">
        <f t="shared" si="66"/>
        <v>27665</v>
      </c>
      <c r="P1037" s="10">
        <v>8428.07</v>
      </c>
      <c r="Q1037" t="s">
        <v>2358</v>
      </c>
      <c r="R1037" t="s">
        <v>2357</v>
      </c>
      <c r="S1037" t="s">
        <v>2364</v>
      </c>
      <c r="T1037">
        <f t="shared" ca="1" si="67"/>
        <v>51</v>
      </c>
      <c r="U1037">
        <f>VLOOKUP($A1037,'Medical Examination'!$A:$Z,2,FALSE)</f>
        <v>36.67</v>
      </c>
    </row>
    <row r="1038" spans="1:21" ht="15.5" x14ac:dyDescent="0.35">
      <c r="A1038" s="2" t="s">
        <v>1038</v>
      </c>
      <c r="B1038" s="2" t="s">
        <v>3959</v>
      </c>
      <c r="C1038">
        <v>33.630000000000003</v>
      </c>
      <c r="D1038">
        <v>11.31</v>
      </c>
      <c r="E1038" t="s">
        <v>2344</v>
      </c>
      <c r="F1038" t="s">
        <v>2344</v>
      </c>
      <c r="G1038" t="s">
        <v>2344</v>
      </c>
      <c r="H1038">
        <v>0</v>
      </c>
      <c r="I1038" t="s">
        <v>2344</v>
      </c>
      <c r="J1038" t="str">
        <f t="shared" si="65"/>
        <v>Obesity</v>
      </c>
      <c r="K1038" t="str">
        <f t="shared" si="68"/>
        <v>Diabetes</v>
      </c>
      <c r="L1038">
        <v>24</v>
      </c>
      <c r="M1038" t="s">
        <v>2363</v>
      </c>
      <c r="N1038">
        <v>1963</v>
      </c>
      <c r="O1038" s="8">
        <f t="shared" si="66"/>
        <v>23278</v>
      </c>
      <c r="P1038" s="10">
        <v>8440.0499999999993</v>
      </c>
      <c r="Q1038" t="s">
        <v>2358</v>
      </c>
      <c r="R1038" t="s">
        <v>2357</v>
      </c>
      <c r="S1038" t="s">
        <v>2359</v>
      </c>
      <c r="T1038">
        <f t="shared" ca="1" si="67"/>
        <v>63</v>
      </c>
      <c r="U1038">
        <f>VLOOKUP($A1038,'Medical Examination'!$A:$Z,2,FALSE)</f>
        <v>33.630000000000003</v>
      </c>
    </row>
    <row r="1039" spans="1:21" ht="15.5" x14ac:dyDescent="0.35">
      <c r="A1039" s="2" t="s">
        <v>1039</v>
      </c>
      <c r="B1039" s="2" t="s">
        <v>3960</v>
      </c>
      <c r="C1039">
        <v>32.67</v>
      </c>
      <c r="D1039">
        <v>11.81</v>
      </c>
      <c r="E1039" t="s">
        <v>2346</v>
      </c>
      <c r="F1039" t="s">
        <v>2344</v>
      </c>
      <c r="G1039" t="s">
        <v>2344</v>
      </c>
      <c r="H1039">
        <v>0</v>
      </c>
      <c r="I1039" t="s">
        <v>2344</v>
      </c>
      <c r="J1039" t="str">
        <f t="shared" si="65"/>
        <v>Obesity</v>
      </c>
      <c r="K1039" t="str">
        <f t="shared" si="68"/>
        <v>Diabetes</v>
      </c>
      <c r="L1039">
        <v>9</v>
      </c>
      <c r="M1039" t="s">
        <v>2363</v>
      </c>
      <c r="N1039">
        <v>1972</v>
      </c>
      <c r="O1039" s="8">
        <f t="shared" si="66"/>
        <v>26551</v>
      </c>
      <c r="P1039" s="10">
        <v>8442.67</v>
      </c>
      <c r="Q1039" t="s">
        <v>2357</v>
      </c>
      <c r="R1039" t="s">
        <v>2358</v>
      </c>
      <c r="S1039" t="s">
        <v>2359</v>
      </c>
      <c r="T1039">
        <f t="shared" ca="1" si="67"/>
        <v>54</v>
      </c>
      <c r="U1039">
        <f>VLOOKUP($A1039,'Medical Examination'!$A:$Z,2,FALSE)</f>
        <v>32.67</v>
      </c>
    </row>
    <row r="1040" spans="1:21" ht="15.5" x14ac:dyDescent="0.35">
      <c r="A1040" s="2" t="s">
        <v>1040</v>
      </c>
      <c r="B1040" s="2" t="s">
        <v>3961</v>
      </c>
      <c r="C1040">
        <v>33.299999999999997</v>
      </c>
      <c r="D1040">
        <v>8.26</v>
      </c>
      <c r="E1040" t="s">
        <v>2346</v>
      </c>
      <c r="F1040" t="s">
        <v>2344</v>
      </c>
      <c r="G1040" t="s">
        <v>2344</v>
      </c>
      <c r="H1040">
        <v>1</v>
      </c>
      <c r="I1040" t="s">
        <v>2344</v>
      </c>
      <c r="J1040" t="str">
        <f t="shared" si="65"/>
        <v>Obesity</v>
      </c>
      <c r="K1040" t="str">
        <f t="shared" si="68"/>
        <v>Diabetes</v>
      </c>
      <c r="L1040">
        <v>4</v>
      </c>
      <c r="M1040" t="s">
        <v>2363</v>
      </c>
      <c r="N1040">
        <v>1972</v>
      </c>
      <c r="O1040" s="8">
        <f t="shared" si="66"/>
        <v>26546</v>
      </c>
      <c r="P1040" s="10">
        <v>8444.4699999999993</v>
      </c>
      <c r="Q1040" t="s">
        <v>2358</v>
      </c>
      <c r="R1040" t="s">
        <v>2361</v>
      </c>
      <c r="S1040" t="s">
        <v>2368</v>
      </c>
      <c r="T1040">
        <f t="shared" ca="1" si="67"/>
        <v>54</v>
      </c>
      <c r="U1040">
        <f>VLOOKUP($A1040,'Medical Examination'!$A:$Z,2,FALSE)</f>
        <v>33.299999999999997</v>
      </c>
    </row>
    <row r="1041" spans="1:21" ht="15.5" x14ac:dyDescent="0.35">
      <c r="A1041" s="2" t="s">
        <v>1041</v>
      </c>
      <c r="B1041" s="2" t="s">
        <v>3962</v>
      </c>
      <c r="C1041">
        <v>30.78</v>
      </c>
      <c r="D1041">
        <v>10.74</v>
      </c>
      <c r="E1041" t="s">
        <v>2346</v>
      </c>
      <c r="F1041" t="s">
        <v>2344</v>
      </c>
      <c r="G1041" t="s">
        <v>2344</v>
      </c>
      <c r="H1041">
        <v>1</v>
      </c>
      <c r="I1041" t="s">
        <v>2344</v>
      </c>
      <c r="J1041" t="str">
        <f t="shared" si="65"/>
        <v>Obesity</v>
      </c>
      <c r="K1041" t="str">
        <f t="shared" si="68"/>
        <v>Diabetes</v>
      </c>
      <c r="L1041">
        <v>12</v>
      </c>
      <c r="M1041" t="s">
        <v>2362</v>
      </c>
      <c r="N1041">
        <v>1966</v>
      </c>
      <c r="O1041" s="8">
        <f t="shared" si="66"/>
        <v>24270</v>
      </c>
      <c r="P1041" s="10">
        <v>8448.66</v>
      </c>
      <c r="Q1041" t="s">
        <v>2358</v>
      </c>
      <c r="R1041" t="s">
        <v>2361</v>
      </c>
      <c r="S1041" t="s">
        <v>2359</v>
      </c>
      <c r="T1041">
        <f t="shared" ca="1" si="67"/>
        <v>60</v>
      </c>
      <c r="U1041">
        <f>VLOOKUP($A1041,'Medical Examination'!$A:$Z,2,FALSE)</f>
        <v>30.78</v>
      </c>
    </row>
    <row r="1042" spans="1:21" ht="15.5" x14ac:dyDescent="0.35">
      <c r="A1042" s="2" t="s">
        <v>1042</v>
      </c>
      <c r="B1042" s="2" t="s">
        <v>3510</v>
      </c>
      <c r="C1042">
        <v>28.975000000000001</v>
      </c>
      <c r="D1042">
        <v>7.69</v>
      </c>
      <c r="E1042" t="s">
        <v>2346</v>
      </c>
      <c r="F1042" t="s">
        <v>2344</v>
      </c>
      <c r="G1042" t="s">
        <v>2344</v>
      </c>
      <c r="H1042">
        <v>0</v>
      </c>
      <c r="I1042" t="s">
        <v>2344</v>
      </c>
      <c r="J1042" t="str">
        <f t="shared" si="65"/>
        <v>Over weight</v>
      </c>
      <c r="K1042" t="str">
        <f t="shared" si="68"/>
        <v>Diabetes</v>
      </c>
      <c r="L1042">
        <v>19</v>
      </c>
      <c r="M1042" t="s">
        <v>2362</v>
      </c>
      <c r="N1042">
        <v>1984</v>
      </c>
      <c r="O1042" s="8">
        <f t="shared" si="66"/>
        <v>30852</v>
      </c>
      <c r="P1042" s="10">
        <v>8450.82</v>
      </c>
      <c r="Q1042" t="s">
        <v>2357</v>
      </c>
      <c r="R1042" t="s">
        <v>2357</v>
      </c>
      <c r="S1042" t="s">
        <v>2373</v>
      </c>
      <c r="T1042">
        <f t="shared" ca="1" si="67"/>
        <v>42</v>
      </c>
      <c r="U1042">
        <f>VLOOKUP($A1042,'Medical Examination'!$A:$Z,2,FALSE)</f>
        <v>28.975000000000001</v>
      </c>
    </row>
    <row r="1043" spans="1:21" ht="15.5" x14ac:dyDescent="0.35">
      <c r="A1043" s="2" t="s">
        <v>1043</v>
      </c>
      <c r="B1043" s="2" t="s">
        <v>3964</v>
      </c>
      <c r="C1043">
        <v>33.4</v>
      </c>
      <c r="D1043">
        <v>4.84</v>
      </c>
      <c r="E1043" t="s">
        <v>2344</v>
      </c>
      <c r="F1043" t="s">
        <v>2344</v>
      </c>
      <c r="G1043" t="s">
        <v>2344</v>
      </c>
      <c r="H1043">
        <v>0</v>
      </c>
      <c r="I1043" t="s">
        <v>2344</v>
      </c>
      <c r="J1043" t="str">
        <f t="shared" si="65"/>
        <v>Obesity</v>
      </c>
      <c r="K1043" t="str">
        <f t="shared" si="68"/>
        <v>Normal</v>
      </c>
      <c r="L1043">
        <v>26</v>
      </c>
      <c r="M1043" t="s">
        <v>2365</v>
      </c>
      <c r="N1043">
        <v>1972</v>
      </c>
      <c r="O1043" s="8">
        <f t="shared" si="66"/>
        <v>26659</v>
      </c>
      <c r="P1043" s="10">
        <v>8457.82</v>
      </c>
      <c r="Q1043" t="s">
        <v>2357</v>
      </c>
      <c r="R1043" t="s">
        <v>2358</v>
      </c>
      <c r="S1043" t="s">
        <v>2368</v>
      </c>
      <c r="T1043">
        <f t="shared" ca="1" si="67"/>
        <v>54</v>
      </c>
      <c r="U1043">
        <f>VLOOKUP($A1043,'Medical Examination'!$A:$Z,2,FALSE)</f>
        <v>33.4</v>
      </c>
    </row>
    <row r="1044" spans="1:21" ht="15.5" x14ac:dyDescent="0.35">
      <c r="A1044" s="2" t="s">
        <v>1044</v>
      </c>
      <c r="B1044" s="2" t="s">
        <v>3966</v>
      </c>
      <c r="C1044">
        <v>21.5</v>
      </c>
      <c r="D1044">
        <v>9.77</v>
      </c>
      <c r="E1044" t="s">
        <v>2346</v>
      </c>
      <c r="F1044" t="s">
        <v>2344</v>
      </c>
      <c r="G1044" t="s">
        <v>2344</v>
      </c>
      <c r="H1044">
        <v>0</v>
      </c>
      <c r="I1044" t="s">
        <v>2344</v>
      </c>
      <c r="J1044" t="str">
        <f t="shared" si="65"/>
        <v>Normal Weight</v>
      </c>
      <c r="K1044" t="str">
        <f t="shared" si="68"/>
        <v>Diabetes</v>
      </c>
      <c r="L1044">
        <v>9</v>
      </c>
      <c r="M1044" t="s">
        <v>2363</v>
      </c>
      <c r="N1044">
        <v>1992</v>
      </c>
      <c r="O1044" s="8">
        <f t="shared" si="66"/>
        <v>33856</v>
      </c>
      <c r="P1044" s="10">
        <v>8466.35</v>
      </c>
      <c r="Q1044" t="s">
        <v>2357</v>
      </c>
      <c r="R1044" t="s">
        <v>2357</v>
      </c>
      <c r="S1044" t="s">
        <v>2364</v>
      </c>
      <c r="T1044">
        <f t="shared" ca="1" si="67"/>
        <v>34</v>
      </c>
      <c r="U1044">
        <f>VLOOKUP($A1044,'Medical Examination'!$A:$Z,2,FALSE)</f>
        <v>21.5</v>
      </c>
    </row>
    <row r="1045" spans="1:21" ht="15.5" x14ac:dyDescent="0.35">
      <c r="A1045" s="2" t="s">
        <v>1045</v>
      </c>
      <c r="B1045" s="2" t="s">
        <v>3967</v>
      </c>
      <c r="C1045">
        <v>38.14</v>
      </c>
      <c r="D1045">
        <v>5.84</v>
      </c>
      <c r="E1045" t="s">
        <v>2344</v>
      </c>
      <c r="F1045" t="s">
        <v>2344</v>
      </c>
      <c r="G1045" t="s">
        <v>2344</v>
      </c>
      <c r="H1045">
        <v>0</v>
      </c>
      <c r="I1045" t="s">
        <v>2344</v>
      </c>
      <c r="J1045" t="str">
        <f t="shared" si="65"/>
        <v>Obesity</v>
      </c>
      <c r="K1045" t="str">
        <f t="shared" si="68"/>
        <v>Prediabetes</v>
      </c>
      <c r="L1045">
        <v>10</v>
      </c>
      <c r="M1045" t="s">
        <v>2360</v>
      </c>
      <c r="N1045">
        <v>1993</v>
      </c>
      <c r="O1045" s="8">
        <f t="shared" si="66"/>
        <v>34283</v>
      </c>
      <c r="P1045" s="10">
        <v>8471.65</v>
      </c>
      <c r="Q1045" t="s">
        <v>2357</v>
      </c>
      <c r="R1045" t="s">
        <v>2361</v>
      </c>
      <c r="S1045" t="s">
        <v>2364</v>
      </c>
      <c r="T1045">
        <f t="shared" ca="1" si="67"/>
        <v>33</v>
      </c>
      <c r="U1045">
        <f>VLOOKUP($A1045,'Medical Examination'!$A:$Z,2,FALSE)</f>
        <v>38.14</v>
      </c>
    </row>
    <row r="1046" spans="1:21" ht="15.5" x14ac:dyDescent="0.35">
      <c r="A1046" s="2" t="s">
        <v>1046</v>
      </c>
      <c r="B1046" s="2" t="s">
        <v>3968</v>
      </c>
      <c r="C1046">
        <v>35.42</v>
      </c>
      <c r="D1046">
        <v>8.6999999999999993</v>
      </c>
      <c r="E1046" t="s">
        <v>2346</v>
      </c>
      <c r="F1046" t="s">
        <v>2344</v>
      </c>
      <c r="G1046" t="s">
        <v>2344</v>
      </c>
      <c r="H1046">
        <v>1</v>
      </c>
      <c r="I1046" t="s">
        <v>2344</v>
      </c>
      <c r="J1046" t="str">
        <f t="shared" si="65"/>
        <v>Obesity</v>
      </c>
      <c r="K1046" t="str">
        <f t="shared" si="68"/>
        <v>Diabetes</v>
      </c>
      <c r="L1046">
        <v>26</v>
      </c>
      <c r="M1046" t="s">
        <v>2365</v>
      </c>
      <c r="N1046">
        <v>1977</v>
      </c>
      <c r="O1046" s="8">
        <f t="shared" si="66"/>
        <v>28485</v>
      </c>
      <c r="P1046" s="10">
        <v>8515.76</v>
      </c>
      <c r="Q1046" t="s">
        <v>2357</v>
      </c>
      <c r="R1046" t="s">
        <v>2357</v>
      </c>
      <c r="S1046" t="s">
        <v>2359</v>
      </c>
      <c r="T1046">
        <f t="shared" ca="1" si="67"/>
        <v>49</v>
      </c>
      <c r="U1046">
        <f>VLOOKUP($A1046,'Medical Examination'!$A:$Z,2,FALSE)</f>
        <v>35.42</v>
      </c>
    </row>
    <row r="1047" spans="1:21" ht="15.5" x14ac:dyDescent="0.35">
      <c r="A1047" s="2" t="s">
        <v>1047</v>
      </c>
      <c r="B1047" s="2" t="s">
        <v>3970</v>
      </c>
      <c r="C1047">
        <v>35.625</v>
      </c>
      <c r="D1047">
        <v>10.79</v>
      </c>
      <c r="E1047" t="s">
        <v>2344</v>
      </c>
      <c r="F1047" t="s">
        <v>2344</v>
      </c>
      <c r="G1047" t="s">
        <v>2344</v>
      </c>
      <c r="H1047">
        <v>0</v>
      </c>
      <c r="I1047" t="s">
        <v>2344</v>
      </c>
      <c r="J1047" t="str">
        <f t="shared" si="65"/>
        <v>Obesity</v>
      </c>
      <c r="K1047" t="str">
        <f t="shared" si="68"/>
        <v>Diabetes</v>
      </c>
      <c r="L1047">
        <v>21</v>
      </c>
      <c r="M1047" t="s">
        <v>2362</v>
      </c>
      <c r="N1047">
        <v>1977</v>
      </c>
      <c r="O1047" s="8">
        <f t="shared" si="66"/>
        <v>28297</v>
      </c>
      <c r="P1047" s="10">
        <v>8516.83</v>
      </c>
      <c r="Q1047" t="s">
        <v>2357</v>
      </c>
      <c r="R1047" t="s">
        <v>2361</v>
      </c>
      <c r="S1047" t="s">
        <v>2359</v>
      </c>
      <c r="T1047">
        <f t="shared" ca="1" si="67"/>
        <v>49</v>
      </c>
      <c r="U1047">
        <f>VLOOKUP($A1047,'Medical Examination'!$A:$Z,2,FALSE)</f>
        <v>35.625</v>
      </c>
    </row>
    <row r="1048" spans="1:21" ht="15.5" x14ac:dyDescent="0.35">
      <c r="A1048" s="2" t="s">
        <v>1048</v>
      </c>
      <c r="B1048" s="2" t="s">
        <v>3972</v>
      </c>
      <c r="C1048">
        <v>45.51</v>
      </c>
      <c r="D1048">
        <v>4.32</v>
      </c>
      <c r="E1048" t="s">
        <v>2344</v>
      </c>
      <c r="F1048" t="s">
        <v>2344</v>
      </c>
      <c r="G1048" t="s">
        <v>2344</v>
      </c>
      <c r="H1048">
        <v>1</v>
      </c>
      <c r="I1048" t="s">
        <v>2344</v>
      </c>
      <c r="J1048" t="str">
        <f t="shared" si="65"/>
        <v>Obesity</v>
      </c>
      <c r="K1048" t="str">
        <f t="shared" si="68"/>
        <v>Normal</v>
      </c>
      <c r="L1048">
        <v>29</v>
      </c>
      <c r="M1048" t="s">
        <v>2365</v>
      </c>
      <c r="N1048">
        <v>1977</v>
      </c>
      <c r="O1048" s="8">
        <f t="shared" si="66"/>
        <v>28488</v>
      </c>
      <c r="P1048" s="10">
        <v>8520.0300000000007</v>
      </c>
      <c r="Q1048" t="s">
        <v>2357</v>
      </c>
      <c r="R1048" t="s">
        <v>2358</v>
      </c>
      <c r="S1048" t="s">
        <v>2368</v>
      </c>
      <c r="T1048">
        <f t="shared" ca="1" si="67"/>
        <v>49</v>
      </c>
      <c r="U1048">
        <f>VLOOKUP($A1048,'Medical Examination'!$A:$Z,2,FALSE)</f>
        <v>45.51</v>
      </c>
    </row>
    <row r="1049" spans="1:21" ht="15.5" x14ac:dyDescent="0.35">
      <c r="A1049" s="2" t="s">
        <v>1049</v>
      </c>
      <c r="B1049" s="2" t="s">
        <v>3973</v>
      </c>
      <c r="C1049">
        <v>37.1</v>
      </c>
      <c r="D1049">
        <v>7.19</v>
      </c>
      <c r="E1049" t="s">
        <v>2346</v>
      </c>
      <c r="F1049" t="s">
        <v>2344</v>
      </c>
      <c r="G1049" t="s">
        <v>2344</v>
      </c>
      <c r="H1049">
        <v>0</v>
      </c>
      <c r="I1049" t="s">
        <v>2344</v>
      </c>
      <c r="J1049" t="str">
        <f t="shared" si="65"/>
        <v>Obesity</v>
      </c>
      <c r="K1049" t="str">
        <f t="shared" si="68"/>
        <v>Diabetes</v>
      </c>
      <c r="L1049">
        <v>13</v>
      </c>
      <c r="M1049" t="s">
        <v>2366</v>
      </c>
      <c r="N1049">
        <v>1979</v>
      </c>
      <c r="O1049" s="8">
        <f t="shared" si="66"/>
        <v>29080</v>
      </c>
      <c r="P1049" s="10">
        <v>8522</v>
      </c>
      <c r="Q1049" t="s">
        <v>2357</v>
      </c>
      <c r="R1049" t="s">
        <v>2357</v>
      </c>
      <c r="S1049" t="s">
        <v>2368</v>
      </c>
      <c r="T1049">
        <f t="shared" ca="1" si="67"/>
        <v>47</v>
      </c>
      <c r="U1049">
        <f>VLOOKUP($A1049,'Medical Examination'!$A:$Z,2,FALSE)</f>
        <v>37.1</v>
      </c>
    </row>
    <row r="1050" spans="1:21" ht="15.5" x14ac:dyDescent="0.35">
      <c r="A1050" s="2" t="s">
        <v>1050</v>
      </c>
      <c r="B1050" s="2" t="s">
        <v>3974</v>
      </c>
      <c r="C1050">
        <v>30.5</v>
      </c>
      <c r="D1050">
        <v>11.94</v>
      </c>
      <c r="E1050" t="s">
        <v>2346</v>
      </c>
      <c r="F1050" t="s">
        <v>2344</v>
      </c>
      <c r="G1050" t="s">
        <v>2344</v>
      </c>
      <c r="H1050">
        <v>0</v>
      </c>
      <c r="I1050" t="s">
        <v>2344</v>
      </c>
      <c r="J1050" t="str">
        <f t="shared" si="65"/>
        <v>Obesity</v>
      </c>
      <c r="K1050" t="str">
        <f t="shared" si="68"/>
        <v>Diabetes</v>
      </c>
      <c r="L1050">
        <v>26</v>
      </c>
      <c r="M1050" t="s">
        <v>2356</v>
      </c>
      <c r="N1050">
        <v>1977</v>
      </c>
      <c r="O1050" s="8">
        <f t="shared" si="66"/>
        <v>28332</v>
      </c>
      <c r="P1050" s="10">
        <v>8527.5300000000007</v>
      </c>
      <c r="Q1050" t="s">
        <v>2357</v>
      </c>
      <c r="R1050" t="s">
        <v>2357</v>
      </c>
      <c r="S1050" t="s">
        <v>2359</v>
      </c>
      <c r="T1050">
        <f t="shared" ca="1" si="67"/>
        <v>49</v>
      </c>
      <c r="U1050">
        <f>VLOOKUP($A1050,'Medical Examination'!$A:$Z,2,FALSE)</f>
        <v>30.5</v>
      </c>
    </row>
    <row r="1051" spans="1:21" ht="15.5" x14ac:dyDescent="0.35">
      <c r="A1051" s="2" t="s">
        <v>1051</v>
      </c>
      <c r="B1051" s="2" t="s">
        <v>3976</v>
      </c>
      <c r="C1051">
        <v>28.16</v>
      </c>
      <c r="D1051">
        <v>5.56</v>
      </c>
      <c r="E1051" t="s">
        <v>2344</v>
      </c>
      <c r="F1051" t="s">
        <v>2344</v>
      </c>
      <c r="G1051" t="s">
        <v>2344</v>
      </c>
      <c r="H1051">
        <v>1</v>
      </c>
      <c r="I1051" t="s">
        <v>2344</v>
      </c>
      <c r="J1051" t="str">
        <f t="shared" si="65"/>
        <v>Over weight</v>
      </c>
      <c r="K1051" t="str">
        <f t="shared" si="68"/>
        <v>Normal</v>
      </c>
      <c r="L1051">
        <v>24</v>
      </c>
      <c r="M1051" t="s">
        <v>2356</v>
      </c>
      <c r="N1051" t="s">
        <v>2347</v>
      </c>
      <c r="O1051" s="8" t="e">
        <f t="shared" si="66"/>
        <v>#VALUE!</v>
      </c>
      <c r="P1051" s="10">
        <v>8534.67</v>
      </c>
      <c r="Q1051" t="s">
        <v>2357</v>
      </c>
      <c r="R1051" t="s">
        <v>2358</v>
      </c>
      <c r="S1051" t="s">
        <v>2374</v>
      </c>
      <c r="T1051" t="e">
        <f t="shared" ca="1" si="67"/>
        <v>#VALUE!</v>
      </c>
      <c r="U1051">
        <f>VLOOKUP($A1051,'Medical Examination'!$A:$Z,2,FALSE)</f>
        <v>28.16</v>
      </c>
    </row>
    <row r="1052" spans="1:21" ht="15.5" x14ac:dyDescent="0.35">
      <c r="A1052" s="2" t="s">
        <v>1052</v>
      </c>
      <c r="B1052" s="2" t="s">
        <v>3977</v>
      </c>
      <c r="C1052">
        <v>29.1</v>
      </c>
      <c r="D1052">
        <v>5.64</v>
      </c>
      <c r="E1052" t="s">
        <v>2346</v>
      </c>
      <c r="F1052" t="s">
        <v>2344</v>
      </c>
      <c r="G1052" t="s">
        <v>2344</v>
      </c>
      <c r="H1052">
        <v>0</v>
      </c>
      <c r="I1052" t="s">
        <v>2344</v>
      </c>
      <c r="J1052" t="str">
        <f t="shared" si="65"/>
        <v>Over weight</v>
      </c>
      <c r="K1052" t="str">
        <f t="shared" si="68"/>
        <v>Normal</v>
      </c>
      <c r="L1052">
        <v>27</v>
      </c>
      <c r="M1052" t="s">
        <v>2365</v>
      </c>
      <c r="N1052">
        <v>1981</v>
      </c>
      <c r="O1052" s="8">
        <f t="shared" si="66"/>
        <v>29947</v>
      </c>
      <c r="P1052" s="10">
        <v>8538.2900000000009</v>
      </c>
      <c r="Q1052" t="s">
        <v>2357</v>
      </c>
      <c r="R1052" t="s">
        <v>2358</v>
      </c>
      <c r="S1052" t="s">
        <v>2374</v>
      </c>
      <c r="T1052">
        <f t="shared" ca="1" si="67"/>
        <v>45</v>
      </c>
      <c r="U1052">
        <f>VLOOKUP($A1052,'Medical Examination'!$A:$Z,2,FALSE)</f>
        <v>29.1</v>
      </c>
    </row>
    <row r="1053" spans="1:21" ht="15.5" x14ac:dyDescent="0.35">
      <c r="A1053" s="2" t="s">
        <v>1053</v>
      </c>
      <c r="B1053" s="2" t="s">
        <v>3978</v>
      </c>
      <c r="C1053">
        <v>30.22</v>
      </c>
      <c r="D1053">
        <v>4.6500000000000004</v>
      </c>
      <c r="E1053" t="s">
        <v>2344</v>
      </c>
      <c r="F1053" t="s">
        <v>2344</v>
      </c>
      <c r="G1053" t="s">
        <v>2344</v>
      </c>
      <c r="H1053">
        <v>0</v>
      </c>
      <c r="I1053" t="s">
        <v>2344</v>
      </c>
      <c r="J1053" t="str">
        <f t="shared" si="65"/>
        <v>Obesity</v>
      </c>
      <c r="K1053" t="str">
        <f t="shared" si="68"/>
        <v>Normal</v>
      </c>
      <c r="L1053">
        <v>6</v>
      </c>
      <c r="M1053" t="s">
        <v>2360</v>
      </c>
      <c r="N1053">
        <v>1975</v>
      </c>
      <c r="O1053" s="8">
        <f t="shared" si="66"/>
        <v>27704</v>
      </c>
      <c r="P1053" s="10">
        <v>8539.67</v>
      </c>
      <c r="Q1053" t="s">
        <v>2357</v>
      </c>
      <c r="R1053" t="s">
        <v>2358</v>
      </c>
      <c r="S1053" t="s">
        <v>2368</v>
      </c>
      <c r="T1053">
        <f t="shared" ca="1" si="67"/>
        <v>51</v>
      </c>
      <c r="U1053">
        <f>VLOOKUP($A1053,'Medical Examination'!$A:$Z,2,FALSE)</f>
        <v>30.22</v>
      </c>
    </row>
    <row r="1054" spans="1:21" ht="15.5" x14ac:dyDescent="0.35">
      <c r="A1054" s="2" t="s">
        <v>1054</v>
      </c>
      <c r="B1054" s="2" t="s">
        <v>3979</v>
      </c>
      <c r="C1054">
        <v>24.29</v>
      </c>
      <c r="D1054">
        <v>9.0500000000000007</v>
      </c>
      <c r="E1054" t="s">
        <v>2344</v>
      </c>
      <c r="F1054" t="s">
        <v>2344</v>
      </c>
      <c r="G1054" t="s">
        <v>2344</v>
      </c>
      <c r="H1054">
        <v>0</v>
      </c>
      <c r="I1054" t="s">
        <v>2344</v>
      </c>
      <c r="J1054" t="str">
        <f t="shared" si="65"/>
        <v>Normal Weight</v>
      </c>
      <c r="K1054" t="str">
        <f t="shared" si="68"/>
        <v>Diabetes</v>
      </c>
      <c r="L1054">
        <v>12</v>
      </c>
      <c r="M1054" t="s">
        <v>2365</v>
      </c>
      <c r="N1054" t="s">
        <v>2347</v>
      </c>
      <c r="O1054" s="8" t="e">
        <f t="shared" si="66"/>
        <v>#VALUE!</v>
      </c>
      <c r="P1054" s="10">
        <v>8547.69</v>
      </c>
      <c r="Q1054" t="s">
        <v>2357</v>
      </c>
      <c r="R1054" t="s">
        <v>2361</v>
      </c>
      <c r="S1054" t="s">
        <v>2359</v>
      </c>
      <c r="T1054" t="e">
        <f t="shared" ca="1" si="67"/>
        <v>#VALUE!</v>
      </c>
      <c r="U1054">
        <f>VLOOKUP($A1054,'Medical Examination'!$A:$Z,2,FALSE)</f>
        <v>24.29</v>
      </c>
    </row>
    <row r="1055" spans="1:21" ht="15.5" x14ac:dyDescent="0.35">
      <c r="A1055" s="2" t="s">
        <v>1055</v>
      </c>
      <c r="B1055" s="2" t="s">
        <v>3980</v>
      </c>
      <c r="C1055">
        <v>29.39</v>
      </c>
      <c r="D1055">
        <v>4.5199999999999996</v>
      </c>
      <c r="E1055" t="s">
        <v>2346</v>
      </c>
      <c r="F1055" t="s">
        <v>2344</v>
      </c>
      <c r="G1055" t="s">
        <v>2344</v>
      </c>
      <c r="H1055">
        <v>0</v>
      </c>
      <c r="I1055" t="s">
        <v>2344</v>
      </c>
      <c r="J1055" t="str">
        <f t="shared" si="65"/>
        <v>Over weight</v>
      </c>
      <c r="K1055" t="str">
        <f t="shared" si="68"/>
        <v>Normal</v>
      </c>
      <c r="L1055">
        <v>6</v>
      </c>
      <c r="M1055" t="s">
        <v>2366</v>
      </c>
      <c r="N1055">
        <v>1975</v>
      </c>
      <c r="O1055" s="8">
        <f t="shared" si="66"/>
        <v>27612</v>
      </c>
      <c r="P1055" s="10">
        <v>8551.35</v>
      </c>
      <c r="Q1055" t="s">
        <v>2357</v>
      </c>
      <c r="R1055" t="s">
        <v>2357</v>
      </c>
      <c r="S1055" t="s">
        <v>2368</v>
      </c>
      <c r="T1055">
        <f t="shared" ca="1" si="67"/>
        <v>51</v>
      </c>
      <c r="U1055">
        <f>VLOOKUP($A1055,'Medical Examination'!$A:$Z,2,FALSE)</f>
        <v>29.39</v>
      </c>
    </row>
    <row r="1056" spans="1:21" ht="15.5" x14ac:dyDescent="0.35">
      <c r="A1056" s="2" t="s">
        <v>1056</v>
      </c>
      <c r="B1056" s="2" t="s">
        <v>3981</v>
      </c>
      <c r="C1056">
        <v>25.66</v>
      </c>
      <c r="D1056">
        <v>4.62</v>
      </c>
      <c r="E1056" t="s">
        <v>2346</v>
      </c>
      <c r="F1056" t="s">
        <v>2344</v>
      </c>
      <c r="G1056" t="s">
        <v>2344</v>
      </c>
      <c r="H1056">
        <v>1</v>
      </c>
      <c r="I1056" t="s">
        <v>2344</v>
      </c>
      <c r="J1056" t="str">
        <f t="shared" si="65"/>
        <v>Over weight</v>
      </c>
      <c r="K1056" t="str">
        <f t="shared" si="68"/>
        <v>Normal</v>
      </c>
      <c r="L1056">
        <v>21</v>
      </c>
      <c r="M1056" t="s">
        <v>2366</v>
      </c>
      <c r="N1056">
        <v>1975</v>
      </c>
      <c r="O1056" s="8">
        <f t="shared" si="66"/>
        <v>27627</v>
      </c>
      <c r="P1056" s="10">
        <v>8556.91</v>
      </c>
      <c r="Q1056" t="s">
        <v>2357</v>
      </c>
      <c r="R1056" t="s">
        <v>2361</v>
      </c>
      <c r="S1056" t="s">
        <v>2368</v>
      </c>
      <c r="T1056">
        <f t="shared" ca="1" si="67"/>
        <v>51</v>
      </c>
      <c r="U1056">
        <f>VLOOKUP($A1056,'Medical Examination'!$A:$Z,2,FALSE)</f>
        <v>25.66</v>
      </c>
    </row>
    <row r="1057" spans="1:21" ht="15.5" x14ac:dyDescent="0.35">
      <c r="A1057" s="2" t="s">
        <v>1057</v>
      </c>
      <c r="B1057" s="2" t="s">
        <v>3982</v>
      </c>
      <c r="C1057">
        <v>39.11</v>
      </c>
      <c r="D1057">
        <v>5.87</v>
      </c>
      <c r="E1057" t="s">
        <v>2344</v>
      </c>
      <c r="F1057" t="s">
        <v>2344</v>
      </c>
      <c r="G1057" t="s">
        <v>2344</v>
      </c>
      <c r="H1057">
        <v>0</v>
      </c>
      <c r="I1057" t="s">
        <v>2344</v>
      </c>
      <c r="J1057" t="str">
        <f t="shared" si="65"/>
        <v>Obesity</v>
      </c>
      <c r="K1057" t="str">
        <f t="shared" si="68"/>
        <v>Prediabetes</v>
      </c>
      <c r="L1057">
        <v>21</v>
      </c>
      <c r="M1057" t="s">
        <v>2363</v>
      </c>
      <c r="N1057">
        <v>1988</v>
      </c>
      <c r="O1057" s="8">
        <f t="shared" si="66"/>
        <v>32407</v>
      </c>
      <c r="P1057" s="10">
        <v>8567.25</v>
      </c>
      <c r="Q1057" t="s">
        <v>2357</v>
      </c>
      <c r="R1057" t="s">
        <v>2361</v>
      </c>
      <c r="S1057" t="s">
        <v>2364</v>
      </c>
      <c r="T1057">
        <f t="shared" ca="1" si="67"/>
        <v>38</v>
      </c>
      <c r="U1057">
        <f>VLOOKUP($A1057,'Medical Examination'!$A:$Z,2,FALSE)</f>
        <v>39.11</v>
      </c>
    </row>
    <row r="1058" spans="1:21" ht="15.5" x14ac:dyDescent="0.35">
      <c r="A1058" s="2" t="s">
        <v>1058</v>
      </c>
      <c r="B1058" s="2" t="s">
        <v>3898</v>
      </c>
      <c r="C1058">
        <v>43.78</v>
      </c>
      <c r="D1058">
        <v>5.71</v>
      </c>
      <c r="E1058" t="s">
        <v>2344</v>
      </c>
      <c r="F1058" t="s">
        <v>2344</v>
      </c>
      <c r="G1058" t="s">
        <v>2344</v>
      </c>
      <c r="H1058">
        <v>1</v>
      </c>
      <c r="I1058" t="s">
        <v>2344</v>
      </c>
      <c r="J1058" t="str">
        <f t="shared" si="65"/>
        <v>Obesity</v>
      </c>
      <c r="K1058" t="str">
        <f t="shared" si="68"/>
        <v>Prediabetes</v>
      </c>
      <c r="L1058">
        <v>26</v>
      </c>
      <c r="M1058" t="s">
        <v>2363</v>
      </c>
      <c r="N1058">
        <v>1975</v>
      </c>
      <c r="O1058" s="8">
        <f t="shared" si="66"/>
        <v>27663</v>
      </c>
      <c r="P1058" s="10">
        <v>8569.86</v>
      </c>
      <c r="Q1058" t="s">
        <v>2357</v>
      </c>
      <c r="R1058" t="s">
        <v>2358</v>
      </c>
      <c r="S1058" t="s">
        <v>2359</v>
      </c>
      <c r="T1058">
        <f t="shared" ca="1" si="67"/>
        <v>51</v>
      </c>
      <c r="U1058">
        <f>VLOOKUP($A1058,'Medical Examination'!$A:$Z,2,FALSE)</f>
        <v>43.78</v>
      </c>
    </row>
    <row r="1059" spans="1:21" ht="15.5" x14ac:dyDescent="0.35">
      <c r="A1059" s="2" t="s">
        <v>1059</v>
      </c>
      <c r="B1059" s="2" t="s">
        <v>3985</v>
      </c>
      <c r="C1059">
        <v>24.35</v>
      </c>
      <c r="D1059">
        <v>9.08</v>
      </c>
      <c r="E1059" t="s">
        <v>2344</v>
      </c>
      <c r="F1059" t="s">
        <v>2344</v>
      </c>
      <c r="G1059" t="s">
        <v>2344</v>
      </c>
      <c r="H1059">
        <v>0</v>
      </c>
      <c r="I1059" t="s">
        <v>2344</v>
      </c>
      <c r="J1059" t="str">
        <f t="shared" si="65"/>
        <v>Normal Weight</v>
      </c>
      <c r="K1059" t="str">
        <f t="shared" si="68"/>
        <v>Diabetes</v>
      </c>
      <c r="L1059">
        <v>6</v>
      </c>
      <c r="M1059" t="s">
        <v>2365</v>
      </c>
      <c r="N1059">
        <v>1982</v>
      </c>
      <c r="O1059" s="8">
        <f t="shared" si="66"/>
        <v>30291</v>
      </c>
      <c r="P1059" s="10">
        <v>8572.0400000000009</v>
      </c>
      <c r="Q1059" t="s">
        <v>2357</v>
      </c>
      <c r="R1059" t="s">
        <v>2357</v>
      </c>
      <c r="S1059" t="s">
        <v>2377</v>
      </c>
      <c r="T1059">
        <f t="shared" ca="1" si="67"/>
        <v>44</v>
      </c>
      <c r="U1059">
        <f>VLOOKUP($A1059,'Medical Examination'!$A:$Z,2,FALSE)</f>
        <v>24.35</v>
      </c>
    </row>
    <row r="1060" spans="1:21" ht="15.5" x14ac:dyDescent="0.35">
      <c r="A1060" s="2" t="s">
        <v>1060</v>
      </c>
      <c r="B1060" s="2" t="s">
        <v>3986</v>
      </c>
      <c r="C1060">
        <v>40.299999999999997</v>
      </c>
      <c r="D1060">
        <v>5.3</v>
      </c>
      <c r="E1060" t="s">
        <v>2346</v>
      </c>
      <c r="F1060" t="s">
        <v>2344</v>
      </c>
      <c r="G1060" t="s">
        <v>2344</v>
      </c>
      <c r="H1060">
        <v>1</v>
      </c>
      <c r="I1060" t="s">
        <v>2344</v>
      </c>
      <c r="J1060" t="str">
        <f t="shared" si="65"/>
        <v>Obesity</v>
      </c>
      <c r="K1060" t="str">
        <f t="shared" si="68"/>
        <v>Normal</v>
      </c>
      <c r="L1060">
        <v>11</v>
      </c>
      <c r="M1060" t="s">
        <v>2360</v>
      </c>
      <c r="N1060">
        <v>1987</v>
      </c>
      <c r="O1060" s="8">
        <f t="shared" si="66"/>
        <v>32092</v>
      </c>
      <c r="P1060" s="10">
        <v>8573.2999999999993</v>
      </c>
      <c r="Q1060" t="s">
        <v>2357</v>
      </c>
      <c r="R1060" t="s">
        <v>2357</v>
      </c>
      <c r="S1060" t="s">
        <v>2377</v>
      </c>
      <c r="T1060">
        <f t="shared" ca="1" si="67"/>
        <v>39</v>
      </c>
      <c r="U1060">
        <f>VLOOKUP($A1060,'Medical Examination'!$A:$Z,2,FALSE)</f>
        <v>40.299999999999997</v>
      </c>
    </row>
    <row r="1061" spans="1:21" ht="15.5" x14ac:dyDescent="0.35">
      <c r="A1061" s="2" t="s">
        <v>1061</v>
      </c>
      <c r="B1061" s="2" t="s">
        <v>3987</v>
      </c>
      <c r="C1061">
        <v>32.774999999999999</v>
      </c>
      <c r="D1061">
        <v>11.76</v>
      </c>
      <c r="E1061" t="s">
        <v>2346</v>
      </c>
      <c r="F1061" t="s">
        <v>2344</v>
      </c>
      <c r="G1061" t="s">
        <v>2344</v>
      </c>
      <c r="H1061">
        <v>0</v>
      </c>
      <c r="I1061" t="s">
        <v>2344</v>
      </c>
      <c r="J1061" t="str">
        <f t="shared" si="65"/>
        <v>Obesity</v>
      </c>
      <c r="K1061" t="str">
        <f t="shared" si="68"/>
        <v>Diabetes</v>
      </c>
      <c r="L1061">
        <v>30</v>
      </c>
      <c r="M1061" t="s">
        <v>2365</v>
      </c>
      <c r="N1061">
        <v>1983</v>
      </c>
      <c r="O1061" s="8">
        <f t="shared" si="66"/>
        <v>30680</v>
      </c>
      <c r="P1061" s="10">
        <v>8582.2999999999993</v>
      </c>
      <c r="Q1061" t="s">
        <v>2357</v>
      </c>
      <c r="R1061" t="s">
        <v>2361</v>
      </c>
      <c r="S1061" t="s">
        <v>2359</v>
      </c>
      <c r="T1061">
        <f t="shared" ca="1" si="67"/>
        <v>43</v>
      </c>
      <c r="U1061">
        <f>VLOOKUP($A1061,'Medical Examination'!$A:$Z,2,FALSE)</f>
        <v>32.774999999999999</v>
      </c>
    </row>
    <row r="1062" spans="1:21" ht="15.5" x14ac:dyDescent="0.35">
      <c r="A1062" s="2" t="s">
        <v>1062</v>
      </c>
      <c r="B1062" s="2" t="s">
        <v>3988</v>
      </c>
      <c r="C1062">
        <v>39.6</v>
      </c>
      <c r="D1062">
        <v>5.1100000000000003</v>
      </c>
      <c r="E1062" t="s">
        <v>2346</v>
      </c>
      <c r="F1062" t="s">
        <v>2344</v>
      </c>
      <c r="G1062" t="s">
        <v>2344</v>
      </c>
      <c r="H1062">
        <v>1</v>
      </c>
      <c r="I1062" t="s">
        <v>2344</v>
      </c>
      <c r="J1062" t="str">
        <f t="shared" si="65"/>
        <v>Obesity</v>
      </c>
      <c r="K1062" t="str">
        <f t="shared" si="68"/>
        <v>Normal</v>
      </c>
      <c r="L1062">
        <v>25</v>
      </c>
      <c r="M1062" t="s">
        <v>2356</v>
      </c>
      <c r="N1062">
        <v>1983</v>
      </c>
      <c r="O1062" s="8">
        <f t="shared" si="66"/>
        <v>30522</v>
      </c>
      <c r="P1062" s="10">
        <v>8596.83</v>
      </c>
      <c r="Q1062" t="s">
        <v>2357</v>
      </c>
      <c r="R1062" t="s">
        <v>2358</v>
      </c>
      <c r="S1062" t="s">
        <v>2359</v>
      </c>
      <c r="T1062">
        <f t="shared" ca="1" si="67"/>
        <v>43</v>
      </c>
      <c r="U1062">
        <f>VLOOKUP($A1062,'Medical Examination'!$A:$Z,2,FALSE)</f>
        <v>39.6</v>
      </c>
    </row>
    <row r="1063" spans="1:21" ht="15.5" x14ac:dyDescent="0.35">
      <c r="A1063" s="2" t="s">
        <v>1063</v>
      </c>
      <c r="B1063" s="2" t="s">
        <v>3615</v>
      </c>
      <c r="C1063">
        <v>30.97</v>
      </c>
      <c r="D1063">
        <v>5.54</v>
      </c>
      <c r="E1063" t="s">
        <v>2344</v>
      </c>
      <c r="F1063" t="s">
        <v>2344</v>
      </c>
      <c r="G1063" t="s">
        <v>2344</v>
      </c>
      <c r="H1063">
        <v>1</v>
      </c>
      <c r="I1063" t="s">
        <v>2344</v>
      </c>
      <c r="J1063" t="str">
        <f t="shared" si="65"/>
        <v>Obesity</v>
      </c>
      <c r="K1063" t="str">
        <f t="shared" si="68"/>
        <v>Normal</v>
      </c>
      <c r="L1063">
        <v>11</v>
      </c>
      <c r="M1063" t="s">
        <v>2356</v>
      </c>
      <c r="N1063">
        <v>1973</v>
      </c>
      <c r="O1063" s="8">
        <f t="shared" si="66"/>
        <v>26856</v>
      </c>
      <c r="P1063" s="10">
        <v>8601.33</v>
      </c>
      <c r="Q1063" t="s">
        <v>2357</v>
      </c>
      <c r="R1063" t="s">
        <v>2361</v>
      </c>
      <c r="S1063" t="s">
        <v>2359</v>
      </c>
      <c r="T1063">
        <f t="shared" ca="1" si="67"/>
        <v>53</v>
      </c>
      <c r="U1063">
        <f>VLOOKUP($A1063,'Medical Examination'!$A:$Z,2,FALSE)</f>
        <v>30.97</v>
      </c>
    </row>
    <row r="1064" spans="1:21" ht="15.5" x14ac:dyDescent="0.35">
      <c r="A1064" s="2" t="s">
        <v>1064</v>
      </c>
      <c r="B1064" s="2" t="s">
        <v>3990</v>
      </c>
      <c r="C1064">
        <v>27.645</v>
      </c>
      <c r="D1064">
        <v>8.8699999999999992</v>
      </c>
      <c r="E1064" t="s">
        <v>2346</v>
      </c>
      <c r="F1064" t="s">
        <v>2344</v>
      </c>
      <c r="G1064" t="s">
        <v>2344</v>
      </c>
      <c r="H1064">
        <v>0</v>
      </c>
      <c r="I1064" t="s">
        <v>2344</v>
      </c>
      <c r="J1064" t="str">
        <f t="shared" si="65"/>
        <v>Over weight</v>
      </c>
      <c r="K1064" t="str">
        <f t="shared" si="68"/>
        <v>Diabetes</v>
      </c>
      <c r="L1064">
        <v>24</v>
      </c>
      <c r="M1064" t="s">
        <v>2363</v>
      </c>
      <c r="N1064">
        <v>1977</v>
      </c>
      <c r="O1064" s="8">
        <f t="shared" si="66"/>
        <v>28392</v>
      </c>
      <c r="P1064" s="10">
        <v>8603.82</v>
      </c>
      <c r="Q1064" t="s">
        <v>2357</v>
      </c>
      <c r="R1064" t="s">
        <v>2361</v>
      </c>
      <c r="S1064" t="s">
        <v>2370</v>
      </c>
      <c r="T1064">
        <f t="shared" ca="1" si="67"/>
        <v>49</v>
      </c>
      <c r="U1064">
        <f>VLOOKUP($A1064,'Medical Examination'!$A:$Z,2,FALSE)</f>
        <v>27.645</v>
      </c>
    </row>
    <row r="1065" spans="1:21" ht="15.5" x14ac:dyDescent="0.35">
      <c r="A1065" s="2" t="s">
        <v>1065</v>
      </c>
      <c r="B1065" s="2" t="s">
        <v>3992</v>
      </c>
      <c r="C1065">
        <v>34.43</v>
      </c>
      <c r="D1065">
        <v>5.96</v>
      </c>
      <c r="E1065" t="s">
        <v>2346</v>
      </c>
      <c r="F1065" t="s">
        <v>2344</v>
      </c>
      <c r="G1065" t="s">
        <v>2344</v>
      </c>
      <c r="H1065">
        <v>1</v>
      </c>
      <c r="I1065" t="s">
        <v>2344</v>
      </c>
      <c r="J1065" t="str">
        <f t="shared" si="65"/>
        <v>Obesity</v>
      </c>
      <c r="K1065" t="str">
        <f t="shared" si="68"/>
        <v>Prediabetes</v>
      </c>
      <c r="L1065">
        <v>12</v>
      </c>
      <c r="M1065" t="s">
        <v>2360</v>
      </c>
      <c r="N1065">
        <v>1977</v>
      </c>
      <c r="O1065" s="8">
        <f t="shared" si="66"/>
        <v>28441</v>
      </c>
      <c r="P1065" s="10">
        <v>8604.48</v>
      </c>
      <c r="Q1065" t="s">
        <v>2358</v>
      </c>
      <c r="R1065" t="s">
        <v>2357</v>
      </c>
      <c r="S1065" t="s">
        <v>2371</v>
      </c>
      <c r="T1065">
        <f t="shared" ca="1" si="67"/>
        <v>49</v>
      </c>
      <c r="U1065">
        <f>VLOOKUP($A1065,'Medical Examination'!$A:$Z,2,FALSE)</f>
        <v>34.43</v>
      </c>
    </row>
    <row r="1066" spans="1:21" ht="15.5" x14ac:dyDescent="0.35">
      <c r="A1066" s="2" t="s">
        <v>1066</v>
      </c>
      <c r="B1066" s="2" t="s">
        <v>3994</v>
      </c>
      <c r="C1066">
        <v>39.6</v>
      </c>
      <c r="D1066">
        <v>4.4400000000000004</v>
      </c>
      <c r="E1066" t="s">
        <v>2346</v>
      </c>
      <c r="F1066" t="s">
        <v>2344</v>
      </c>
      <c r="G1066" t="s">
        <v>2346</v>
      </c>
      <c r="H1066">
        <v>1</v>
      </c>
      <c r="I1066" t="s">
        <v>2344</v>
      </c>
      <c r="J1066" t="str">
        <f t="shared" si="65"/>
        <v>Obesity</v>
      </c>
      <c r="K1066" t="str">
        <f t="shared" si="68"/>
        <v>Normal</v>
      </c>
      <c r="L1066">
        <v>15</v>
      </c>
      <c r="M1066" t="s">
        <v>2367</v>
      </c>
      <c r="N1066">
        <v>1977</v>
      </c>
      <c r="O1066" s="8">
        <f t="shared" si="66"/>
        <v>28413</v>
      </c>
      <c r="P1066" s="10">
        <v>8605.36</v>
      </c>
      <c r="Q1066" t="s">
        <v>2357</v>
      </c>
      <c r="R1066" t="s">
        <v>2357</v>
      </c>
      <c r="S1066" t="s">
        <v>2359</v>
      </c>
      <c r="T1066">
        <f t="shared" ca="1" si="67"/>
        <v>49</v>
      </c>
      <c r="U1066">
        <f>VLOOKUP($A1066,'Medical Examination'!$A:$Z,2,FALSE)</f>
        <v>39.6</v>
      </c>
    </row>
    <row r="1067" spans="1:21" ht="15.5" x14ac:dyDescent="0.35">
      <c r="A1067" s="2" t="s">
        <v>1067</v>
      </c>
      <c r="B1067" s="2" t="s">
        <v>3997</v>
      </c>
      <c r="C1067">
        <v>22.1</v>
      </c>
      <c r="D1067">
        <v>4.6500000000000004</v>
      </c>
      <c r="E1067" t="s">
        <v>2346</v>
      </c>
      <c r="F1067" t="s">
        <v>2344</v>
      </c>
      <c r="G1067" t="s">
        <v>2344</v>
      </c>
      <c r="H1067">
        <v>1</v>
      </c>
      <c r="I1067" t="s">
        <v>2344</v>
      </c>
      <c r="J1067" t="str">
        <f t="shared" si="65"/>
        <v>Normal Weight</v>
      </c>
      <c r="K1067" t="str">
        <f t="shared" si="68"/>
        <v>Normal</v>
      </c>
      <c r="L1067">
        <v>17</v>
      </c>
      <c r="M1067" t="s">
        <v>2356</v>
      </c>
      <c r="N1067">
        <v>1979</v>
      </c>
      <c r="O1067" s="8">
        <f t="shared" si="66"/>
        <v>29053</v>
      </c>
      <c r="P1067" s="10">
        <v>8606.2199999999993</v>
      </c>
      <c r="Q1067" t="s">
        <v>2361</v>
      </c>
      <c r="R1067" t="s">
        <v>2357</v>
      </c>
      <c r="S1067" t="s">
        <v>2376</v>
      </c>
      <c r="T1067">
        <f t="shared" ca="1" si="67"/>
        <v>47</v>
      </c>
      <c r="U1067">
        <f>VLOOKUP($A1067,'Medical Examination'!$A:$Z,2,FALSE)</f>
        <v>22.1</v>
      </c>
    </row>
    <row r="1068" spans="1:21" ht="15.5" x14ac:dyDescent="0.35">
      <c r="A1068" s="2" t="s">
        <v>1068</v>
      </c>
      <c r="B1068" s="2" t="s">
        <v>3999</v>
      </c>
      <c r="C1068">
        <v>33.25</v>
      </c>
      <c r="D1068">
        <v>5.64</v>
      </c>
      <c r="E1068" t="s">
        <v>2346</v>
      </c>
      <c r="F1068" t="s">
        <v>2344</v>
      </c>
      <c r="G1068" t="s">
        <v>2346</v>
      </c>
      <c r="H1068">
        <v>1</v>
      </c>
      <c r="I1068" t="s">
        <v>2344</v>
      </c>
      <c r="J1068" t="str">
        <f t="shared" si="65"/>
        <v>Obesity</v>
      </c>
      <c r="K1068" t="str">
        <f t="shared" si="68"/>
        <v>Normal</v>
      </c>
      <c r="L1068">
        <v>2</v>
      </c>
      <c r="M1068" t="s">
        <v>2363</v>
      </c>
      <c r="N1068">
        <v>1977</v>
      </c>
      <c r="O1068" s="8">
        <f t="shared" si="66"/>
        <v>28370</v>
      </c>
      <c r="P1068" s="10">
        <v>8615.2999999999993</v>
      </c>
      <c r="Q1068" t="s">
        <v>2357</v>
      </c>
      <c r="R1068" t="s">
        <v>2358</v>
      </c>
      <c r="S1068" t="s">
        <v>2368</v>
      </c>
      <c r="T1068">
        <f t="shared" ca="1" si="67"/>
        <v>49</v>
      </c>
      <c r="U1068">
        <f>VLOOKUP($A1068,'Medical Examination'!$A:$Z,2,FALSE)</f>
        <v>33.25</v>
      </c>
    </row>
    <row r="1069" spans="1:21" ht="15.5" x14ac:dyDescent="0.35">
      <c r="A1069" s="2" t="s">
        <v>1069</v>
      </c>
      <c r="B1069" s="2" t="s">
        <v>4000</v>
      </c>
      <c r="C1069">
        <v>33.33</v>
      </c>
      <c r="D1069">
        <v>10.19</v>
      </c>
      <c r="E1069" t="s">
        <v>2344</v>
      </c>
      <c r="F1069" t="s">
        <v>2344</v>
      </c>
      <c r="G1069" t="s">
        <v>2344</v>
      </c>
      <c r="H1069">
        <v>0</v>
      </c>
      <c r="I1069" t="s">
        <v>2344</v>
      </c>
      <c r="J1069" t="str">
        <f t="shared" si="65"/>
        <v>Obesity</v>
      </c>
      <c r="K1069" t="str">
        <f t="shared" si="68"/>
        <v>Diabetes</v>
      </c>
      <c r="L1069">
        <v>3</v>
      </c>
      <c r="M1069" t="s">
        <v>2366</v>
      </c>
      <c r="N1069">
        <v>1975</v>
      </c>
      <c r="O1069" s="8">
        <f t="shared" si="66"/>
        <v>27609</v>
      </c>
      <c r="P1069" s="10">
        <v>8627.5400000000009</v>
      </c>
      <c r="Q1069" t="s">
        <v>2357</v>
      </c>
      <c r="R1069" t="s">
        <v>2357</v>
      </c>
      <c r="S1069" t="s">
        <v>2378</v>
      </c>
      <c r="T1069">
        <f t="shared" ca="1" si="67"/>
        <v>51</v>
      </c>
      <c r="U1069">
        <f>VLOOKUP($A1069,'Medical Examination'!$A:$Z,2,FALSE)</f>
        <v>33.33</v>
      </c>
    </row>
    <row r="1070" spans="1:21" ht="15.5" x14ac:dyDescent="0.35">
      <c r="A1070" s="2" t="s">
        <v>1070</v>
      </c>
      <c r="B1070" s="2" t="s">
        <v>3624</v>
      </c>
      <c r="C1070">
        <v>30.5</v>
      </c>
      <c r="D1070">
        <v>10.79</v>
      </c>
      <c r="E1070" t="s">
        <v>2344</v>
      </c>
      <c r="F1070" t="s">
        <v>2344</v>
      </c>
      <c r="G1070" t="s">
        <v>2344</v>
      </c>
      <c r="H1070">
        <v>0</v>
      </c>
      <c r="I1070" t="s">
        <v>2344</v>
      </c>
      <c r="J1070" t="str">
        <f t="shared" si="65"/>
        <v>Obesity</v>
      </c>
      <c r="K1070" t="str">
        <f t="shared" si="68"/>
        <v>Diabetes</v>
      </c>
      <c r="L1070">
        <v>21</v>
      </c>
      <c r="M1070" t="s">
        <v>2367</v>
      </c>
      <c r="N1070">
        <v>1965</v>
      </c>
      <c r="O1070" s="8">
        <f t="shared" si="66"/>
        <v>24036</v>
      </c>
      <c r="P1070" s="10">
        <v>8665.09</v>
      </c>
      <c r="Q1070" t="s">
        <v>2358</v>
      </c>
      <c r="R1070" t="s">
        <v>2357</v>
      </c>
      <c r="S1070" t="s">
        <v>2364</v>
      </c>
      <c r="T1070">
        <f t="shared" ca="1" si="67"/>
        <v>61</v>
      </c>
      <c r="U1070">
        <f>VLOOKUP($A1070,'Medical Examination'!$A:$Z,2,FALSE)</f>
        <v>30.5</v>
      </c>
    </row>
    <row r="1071" spans="1:21" ht="15.5" x14ac:dyDescent="0.35">
      <c r="A1071" s="2" t="s">
        <v>1071</v>
      </c>
      <c r="B1071" s="2" t="s">
        <v>4002</v>
      </c>
      <c r="C1071">
        <v>30.3</v>
      </c>
      <c r="D1071">
        <v>4.24</v>
      </c>
      <c r="E1071" t="s">
        <v>2344</v>
      </c>
      <c r="F1071" t="s">
        <v>2344</v>
      </c>
      <c r="G1071" t="s">
        <v>2344</v>
      </c>
      <c r="H1071">
        <v>0</v>
      </c>
      <c r="I1071" t="s">
        <v>2344</v>
      </c>
      <c r="J1071" t="str">
        <f t="shared" si="65"/>
        <v>Obesity</v>
      </c>
      <c r="K1071" t="str">
        <f t="shared" si="68"/>
        <v>Normal</v>
      </c>
      <c r="L1071">
        <v>10</v>
      </c>
      <c r="M1071" t="s">
        <v>2366</v>
      </c>
      <c r="N1071">
        <v>1969</v>
      </c>
      <c r="O1071" s="8">
        <f t="shared" si="66"/>
        <v>25425</v>
      </c>
      <c r="P1071" s="10">
        <v>8665.14</v>
      </c>
      <c r="Q1071" t="s">
        <v>2357</v>
      </c>
      <c r="R1071" t="s">
        <v>2358</v>
      </c>
      <c r="S1071" t="s">
        <v>2359</v>
      </c>
      <c r="T1071">
        <f t="shared" ca="1" si="67"/>
        <v>57</v>
      </c>
      <c r="U1071">
        <f>VLOOKUP($A1071,'Medical Examination'!$A:$Z,2,FALSE)</f>
        <v>30.3</v>
      </c>
    </row>
    <row r="1072" spans="1:21" ht="15.5" x14ac:dyDescent="0.35">
      <c r="A1072" s="2" t="s">
        <v>1072</v>
      </c>
      <c r="B1072" s="2" t="s">
        <v>4004</v>
      </c>
      <c r="C1072">
        <v>26.22</v>
      </c>
      <c r="D1072">
        <v>5.83</v>
      </c>
      <c r="E1072" t="s">
        <v>2344</v>
      </c>
      <c r="F1072" t="s">
        <v>2344</v>
      </c>
      <c r="G1072" t="s">
        <v>2344</v>
      </c>
      <c r="H1072">
        <v>1</v>
      </c>
      <c r="I1072" t="s">
        <v>2344</v>
      </c>
      <c r="J1072" t="str">
        <f t="shared" si="65"/>
        <v>Over weight</v>
      </c>
      <c r="K1072" t="str">
        <f t="shared" si="68"/>
        <v>Prediabetes</v>
      </c>
      <c r="L1072">
        <v>16</v>
      </c>
      <c r="M1072" t="s">
        <v>2366</v>
      </c>
      <c r="N1072">
        <v>1974</v>
      </c>
      <c r="O1072" s="8">
        <f t="shared" si="66"/>
        <v>27257</v>
      </c>
      <c r="P1072" s="10">
        <v>8671.19</v>
      </c>
      <c r="Q1072" t="s">
        <v>2357</v>
      </c>
      <c r="R1072" t="s">
        <v>2361</v>
      </c>
      <c r="S1072" t="s">
        <v>2364</v>
      </c>
      <c r="T1072">
        <f t="shared" ca="1" si="67"/>
        <v>52</v>
      </c>
      <c r="U1072">
        <f>VLOOKUP($A1072,'Medical Examination'!$A:$Z,2,FALSE)</f>
        <v>26.22</v>
      </c>
    </row>
    <row r="1073" spans="1:21" ht="15.5" x14ac:dyDescent="0.35">
      <c r="A1073" s="2" t="s">
        <v>1073</v>
      </c>
      <c r="B1073" s="2" t="s">
        <v>4005</v>
      </c>
      <c r="C1073">
        <v>29.99</v>
      </c>
      <c r="D1073">
        <v>11.85</v>
      </c>
      <c r="E1073" t="s">
        <v>2344</v>
      </c>
      <c r="F1073" t="s">
        <v>2344</v>
      </c>
      <c r="G1073" t="s">
        <v>2344</v>
      </c>
      <c r="H1073">
        <v>0</v>
      </c>
      <c r="I1073" t="s">
        <v>2344</v>
      </c>
      <c r="J1073" t="str">
        <f t="shared" si="65"/>
        <v>Over weight</v>
      </c>
      <c r="K1073" t="str">
        <f t="shared" si="68"/>
        <v>Diabetes</v>
      </c>
      <c r="L1073">
        <v>11</v>
      </c>
      <c r="M1073" t="s">
        <v>2367</v>
      </c>
      <c r="N1073">
        <v>1973</v>
      </c>
      <c r="O1073" s="8">
        <f t="shared" si="66"/>
        <v>26948</v>
      </c>
      <c r="P1073" s="10">
        <v>8688.86</v>
      </c>
      <c r="Q1073" t="s">
        <v>2357</v>
      </c>
      <c r="R1073" t="s">
        <v>2361</v>
      </c>
      <c r="S1073" t="s">
        <v>2378</v>
      </c>
      <c r="T1073">
        <f t="shared" ca="1" si="67"/>
        <v>53</v>
      </c>
      <c r="U1073">
        <f>VLOOKUP($A1073,'Medical Examination'!$A:$Z,2,FALSE)</f>
        <v>29.99</v>
      </c>
    </row>
    <row r="1074" spans="1:21" ht="15.5" x14ac:dyDescent="0.35">
      <c r="A1074" s="2" t="s">
        <v>1074</v>
      </c>
      <c r="B1074" s="2" t="s">
        <v>4007</v>
      </c>
      <c r="C1074">
        <v>36.380000000000003</v>
      </c>
      <c r="D1074">
        <v>5.98</v>
      </c>
      <c r="E1074" t="s">
        <v>2344</v>
      </c>
      <c r="F1074" t="s">
        <v>2344</v>
      </c>
      <c r="G1074" t="s">
        <v>2344</v>
      </c>
      <c r="H1074">
        <v>1</v>
      </c>
      <c r="I1074" t="s">
        <v>2344</v>
      </c>
      <c r="J1074" t="str">
        <f t="shared" si="65"/>
        <v>Obesity</v>
      </c>
      <c r="K1074" t="str">
        <f t="shared" si="68"/>
        <v>Prediabetes</v>
      </c>
      <c r="L1074">
        <v>28</v>
      </c>
      <c r="M1074" t="s">
        <v>2367</v>
      </c>
      <c r="N1074">
        <v>1980</v>
      </c>
      <c r="O1074" s="8">
        <f t="shared" si="66"/>
        <v>29522</v>
      </c>
      <c r="P1074" s="10">
        <v>8701.84</v>
      </c>
      <c r="Q1074" t="s">
        <v>2357</v>
      </c>
      <c r="R1074" t="s">
        <v>2358</v>
      </c>
      <c r="S1074" t="s">
        <v>2377</v>
      </c>
      <c r="T1074">
        <f t="shared" ca="1" si="67"/>
        <v>46</v>
      </c>
      <c r="U1074">
        <f>VLOOKUP($A1074,'Medical Examination'!$A:$Z,2,FALSE)</f>
        <v>36.380000000000003</v>
      </c>
    </row>
    <row r="1075" spans="1:21" ht="15.5" x14ac:dyDescent="0.35">
      <c r="A1075" s="2" t="s">
        <v>1075</v>
      </c>
      <c r="B1075" s="2" t="s">
        <v>4008</v>
      </c>
      <c r="C1075">
        <v>31.16</v>
      </c>
      <c r="D1075">
        <v>4.26</v>
      </c>
      <c r="E1075" t="s">
        <v>2346</v>
      </c>
      <c r="F1075" t="s">
        <v>2344</v>
      </c>
      <c r="G1075" t="s">
        <v>2346</v>
      </c>
      <c r="H1075">
        <v>1</v>
      </c>
      <c r="I1075" t="s">
        <v>2344</v>
      </c>
      <c r="J1075" t="str">
        <f t="shared" si="65"/>
        <v>Obesity</v>
      </c>
      <c r="K1075" t="str">
        <f t="shared" si="68"/>
        <v>Normal</v>
      </c>
      <c r="L1075">
        <v>25</v>
      </c>
      <c r="M1075" t="s">
        <v>2362</v>
      </c>
      <c r="N1075">
        <v>1973</v>
      </c>
      <c r="O1075" s="8">
        <f t="shared" si="66"/>
        <v>26840</v>
      </c>
      <c r="P1075" s="10">
        <v>8703.4599999999991</v>
      </c>
      <c r="Q1075" t="s">
        <v>2358</v>
      </c>
      <c r="R1075" t="s">
        <v>2358</v>
      </c>
      <c r="S1075" t="s">
        <v>2368</v>
      </c>
      <c r="T1075">
        <f t="shared" ca="1" si="67"/>
        <v>53</v>
      </c>
      <c r="U1075">
        <f>VLOOKUP($A1075,'Medical Examination'!$A:$Z,2,FALSE)</f>
        <v>31.16</v>
      </c>
    </row>
    <row r="1076" spans="1:21" ht="15.5" x14ac:dyDescent="0.35">
      <c r="A1076" s="2" t="s">
        <v>1076</v>
      </c>
      <c r="B1076" s="2" t="s">
        <v>4009</v>
      </c>
      <c r="C1076">
        <v>25.55</v>
      </c>
      <c r="D1076">
        <v>4.96</v>
      </c>
      <c r="E1076" t="s">
        <v>2346</v>
      </c>
      <c r="F1076" t="s">
        <v>2344</v>
      </c>
      <c r="G1076" t="s">
        <v>2344</v>
      </c>
      <c r="H1076">
        <v>1</v>
      </c>
      <c r="I1076" t="s">
        <v>2344</v>
      </c>
      <c r="J1076" t="str">
        <f t="shared" si="65"/>
        <v>Over weight</v>
      </c>
      <c r="K1076" t="str">
        <f t="shared" si="68"/>
        <v>Normal</v>
      </c>
      <c r="L1076">
        <v>17</v>
      </c>
      <c r="M1076" t="s">
        <v>2362</v>
      </c>
      <c r="N1076">
        <v>1976</v>
      </c>
      <c r="O1076" s="8">
        <f t="shared" si="66"/>
        <v>27928</v>
      </c>
      <c r="P1076" s="10">
        <v>8733.23</v>
      </c>
      <c r="Q1076" t="s">
        <v>2357</v>
      </c>
      <c r="R1076" t="s">
        <v>2358</v>
      </c>
      <c r="S1076" t="s">
        <v>2364</v>
      </c>
      <c r="T1076">
        <f t="shared" ca="1" si="67"/>
        <v>50</v>
      </c>
      <c r="U1076">
        <f>VLOOKUP($A1076,'Medical Examination'!$A:$Z,2,FALSE)</f>
        <v>25.55</v>
      </c>
    </row>
    <row r="1077" spans="1:21" ht="15.5" x14ac:dyDescent="0.35">
      <c r="A1077" s="2" t="s">
        <v>1077</v>
      </c>
      <c r="B1077" s="2" t="s">
        <v>3258</v>
      </c>
      <c r="C1077">
        <v>28.77</v>
      </c>
      <c r="D1077" t="s">
        <v>2346</v>
      </c>
      <c r="E1077" t="s">
        <v>2346</v>
      </c>
      <c r="F1077" t="s">
        <v>2344</v>
      </c>
      <c r="G1077" t="s">
        <v>2344</v>
      </c>
      <c r="H1077">
        <v>0</v>
      </c>
      <c r="I1077" t="s">
        <v>2344</v>
      </c>
      <c r="J1077" t="str">
        <f t="shared" si="65"/>
        <v>Over weight</v>
      </c>
      <c r="K1077" t="str">
        <f t="shared" si="68"/>
        <v>Diabetes</v>
      </c>
      <c r="L1077">
        <v>23</v>
      </c>
      <c r="M1077" t="s">
        <v>2366</v>
      </c>
      <c r="N1077">
        <v>1999</v>
      </c>
      <c r="O1077" s="8">
        <f t="shared" si="66"/>
        <v>36395</v>
      </c>
      <c r="P1077" s="10">
        <v>8747.68</v>
      </c>
      <c r="Q1077" t="s">
        <v>2357</v>
      </c>
      <c r="R1077" t="s">
        <v>2358</v>
      </c>
      <c r="S1077" t="s">
        <v>2368</v>
      </c>
      <c r="T1077">
        <f t="shared" ca="1" si="67"/>
        <v>27</v>
      </c>
      <c r="U1077">
        <f>VLOOKUP($A1077,'Medical Examination'!$A:$Z,2,FALSE)</f>
        <v>28.77</v>
      </c>
    </row>
    <row r="1078" spans="1:21" ht="15.5" x14ac:dyDescent="0.35">
      <c r="A1078" s="2" t="s">
        <v>1078</v>
      </c>
      <c r="B1078" s="2" t="s">
        <v>4010</v>
      </c>
      <c r="C1078">
        <v>23.14</v>
      </c>
      <c r="D1078">
        <v>4.1500000000000004</v>
      </c>
      <c r="E1078" t="s">
        <v>2346</v>
      </c>
      <c r="F1078" t="s">
        <v>2344</v>
      </c>
      <c r="G1078" t="s">
        <v>2344</v>
      </c>
      <c r="H1078">
        <v>1</v>
      </c>
      <c r="I1078" t="s">
        <v>2344</v>
      </c>
      <c r="J1078" t="str">
        <f t="shared" si="65"/>
        <v>Normal Weight</v>
      </c>
      <c r="K1078" t="str">
        <f t="shared" si="68"/>
        <v>Normal</v>
      </c>
      <c r="L1078">
        <v>9</v>
      </c>
      <c r="M1078" t="s">
        <v>2363</v>
      </c>
      <c r="N1078">
        <v>1969</v>
      </c>
      <c r="O1078" s="8">
        <f t="shared" si="66"/>
        <v>25455</v>
      </c>
      <c r="P1078" s="10">
        <v>8760.1200000000008</v>
      </c>
      <c r="Q1078" t="s">
        <v>2357</v>
      </c>
      <c r="R1078" t="s">
        <v>2361</v>
      </c>
      <c r="S1078" t="s">
        <v>2359</v>
      </c>
      <c r="T1078">
        <f t="shared" ca="1" si="67"/>
        <v>57</v>
      </c>
      <c r="U1078">
        <f>VLOOKUP($A1078,'Medical Examination'!$A:$Z,2,FALSE)</f>
        <v>23.14</v>
      </c>
    </row>
    <row r="1079" spans="1:21" ht="15.5" x14ac:dyDescent="0.35">
      <c r="A1079" s="2" t="s">
        <v>1079</v>
      </c>
      <c r="B1079" s="2" t="s">
        <v>4012</v>
      </c>
      <c r="C1079">
        <v>39.6</v>
      </c>
      <c r="D1079">
        <v>11.36</v>
      </c>
      <c r="E1079" t="s">
        <v>2344</v>
      </c>
      <c r="F1079" t="s">
        <v>2344</v>
      </c>
      <c r="G1079" t="s">
        <v>2344</v>
      </c>
      <c r="H1079">
        <v>0</v>
      </c>
      <c r="I1079" t="s">
        <v>2344</v>
      </c>
      <c r="J1079" t="str">
        <f t="shared" si="65"/>
        <v>Obesity</v>
      </c>
      <c r="K1079" t="str">
        <f t="shared" si="68"/>
        <v>Diabetes</v>
      </c>
      <c r="L1079">
        <v>6</v>
      </c>
      <c r="M1079" t="s">
        <v>2363</v>
      </c>
      <c r="N1079">
        <v>1974</v>
      </c>
      <c r="O1079" s="8">
        <f t="shared" si="66"/>
        <v>27278</v>
      </c>
      <c r="P1079" s="10">
        <v>8765.25</v>
      </c>
      <c r="Q1079" t="s">
        <v>2357</v>
      </c>
      <c r="R1079" t="s">
        <v>2358</v>
      </c>
      <c r="S1079" t="s">
        <v>2364</v>
      </c>
      <c r="T1079">
        <f t="shared" ca="1" si="67"/>
        <v>52</v>
      </c>
      <c r="U1079">
        <f>VLOOKUP($A1079,'Medical Examination'!$A:$Z,2,FALSE)</f>
        <v>39.6</v>
      </c>
    </row>
    <row r="1080" spans="1:21" ht="15.5" x14ac:dyDescent="0.35">
      <c r="A1080" s="2" t="s">
        <v>1080</v>
      </c>
      <c r="B1080" s="2" t="s">
        <v>4013</v>
      </c>
      <c r="C1080">
        <v>29.2</v>
      </c>
      <c r="D1080">
        <v>7.53</v>
      </c>
      <c r="E1080" t="s">
        <v>2344</v>
      </c>
      <c r="F1080" t="s">
        <v>2344</v>
      </c>
      <c r="G1080" t="s">
        <v>2344</v>
      </c>
      <c r="H1080">
        <v>0</v>
      </c>
      <c r="I1080" t="s">
        <v>2344</v>
      </c>
      <c r="J1080" t="str">
        <f t="shared" si="65"/>
        <v>Over weight</v>
      </c>
      <c r="K1080" t="str">
        <f t="shared" si="68"/>
        <v>Diabetes</v>
      </c>
      <c r="L1080">
        <v>23</v>
      </c>
      <c r="M1080" t="s">
        <v>2366</v>
      </c>
      <c r="N1080">
        <v>1971</v>
      </c>
      <c r="O1080" s="8">
        <f t="shared" si="66"/>
        <v>26168</v>
      </c>
      <c r="P1080" s="10">
        <v>8782.4699999999993</v>
      </c>
      <c r="Q1080" t="s">
        <v>2357</v>
      </c>
      <c r="R1080" t="s">
        <v>2358</v>
      </c>
      <c r="S1080" t="s">
        <v>2368</v>
      </c>
      <c r="T1080">
        <f t="shared" ca="1" si="67"/>
        <v>55</v>
      </c>
      <c r="U1080">
        <f>VLOOKUP($A1080,'Medical Examination'!$A:$Z,2,FALSE)</f>
        <v>29.2</v>
      </c>
    </row>
    <row r="1081" spans="1:21" ht="15.5" x14ac:dyDescent="0.35">
      <c r="A1081" s="2" t="s">
        <v>1081</v>
      </c>
      <c r="B1081" s="2" t="s">
        <v>4015</v>
      </c>
      <c r="C1081">
        <v>32.774999999999999</v>
      </c>
      <c r="D1081">
        <v>7.95</v>
      </c>
      <c r="E1081" t="s">
        <v>2344</v>
      </c>
      <c r="F1081" t="s">
        <v>2344</v>
      </c>
      <c r="G1081" t="s">
        <v>2344</v>
      </c>
      <c r="H1081">
        <v>0</v>
      </c>
      <c r="I1081" t="s">
        <v>2344</v>
      </c>
      <c r="J1081" t="str">
        <f t="shared" si="65"/>
        <v>Obesity</v>
      </c>
      <c r="K1081" t="str">
        <f t="shared" si="68"/>
        <v>Diabetes</v>
      </c>
      <c r="L1081">
        <v>18</v>
      </c>
      <c r="M1081" t="s">
        <v>2362</v>
      </c>
      <c r="N1081">
        <v>1971</v>
      </c>
      <c r="O1081" s="8">
        <f t="shared" si="66"/>
        <v>26102</v>
      </c>
      <c r="P1081" s="10">
        <v>8798.59</v>
      </c>
      <c r="Q1081" t="s">
        <v>2357</v>
      </c>
      <c r="R1081" t="s">
        <v>2361</v>
      </c>
      <c r="S1081" t="s">
        <v>2368</v>
      </c>
      <c r="T1081">
        <f t="shared" ca="1" si="67"/>
        <v>55</v>
      </c>
      <c r="U1081">
        <f>VLOOKUP($A1081,'Medical Examination'!$A:$Z,2,FALSE)</f>
        <v>32.774999999999999</v>
      </c>
    </row>
    <row r="1082" spans="1:21" ht="15.5" x14ac:dyDescent="0.35">
      <c r="A1082" s="2" t="s">
        <v>1082</v>
      </c>
      <c r="B1082" s="2" t="s">
        <v>4016</v>
      </c>
      <c r="C1082">
        <v>24.035</v>
      </c>
      <c r="D1082">
        <v>8.5</v>
      </c>
      <c r="E1082" t="s">
        <v>2344</v>
      </c>
      <c r="F1082" t="s">
        <v>2344</v>
      </c>
      <c r="G1082" t="s">
        <v>2344</v>
      </c>
      <c r="H1082">
        <v>0</v>
      </c>
      <c r="I1082" t="s">
        <v>2344</v>
      </c>
      <c r="J1082" t="str">
        <f t="shared" si="65"/>
        <v>Normal Weight</v>
      </c>
      <c r="K1082" t="str">
        <f t="shared" si="68"/>
        <v>Diabetes</v>
      </c>
      <c r="L1082">
        <v>29</v>
      </c>
      <c r="M1082" t="s">
        <v>2366</v>
      </c>
      <c r="N1082">
        <v>1965</v>
      </c>
      <c r="O1082" s="8">
        <f t="shared" si="66"/>
        <v>23983</v>
      </c>
      <c r="P1082" s="10">
        <v>8800.49</v>
      </c>
      <c r="Q1082" t="s">
        <v>2358</v>
      </c>
      <c r="R1082" t="s">
        <v>2357</v>
      </c>
      <c r="S1082" t="s">
        <v>2359</v>
      </c>
      <c r="T1082">
        <f t="shared" ca="1" si="67"/>
        <v>61</v>
      </c>
      <c r="U1082">
        <f>VLOOKUP($A1082,'Medical Examination'!$A:$Z,2,FALSE)</f>
        <v>24.035</v>
      </c>
    </row>
    <row r="1083" spans="1:21" ht="15.5" x14ac:dyDescent="0.35">
      <c r="A1083" s="2" t="s">
        <v>1083</v>
      </c>
      <c r="B1083" s="2" t="s">
        <v>4017</v>
      </c>
      <c r="C1083">
        <v>30.55</v>
      </c>
      <c r="D1083">
        <v>5.89</v>
      </c>
      <c r="E1083" t="s">
        <v>2344</v>
      </c>
      <c r="F1083" t="s">
        <v>2344</v>
      </c>
      <c r="G1083" t="s">
        <v>2346</v>
      </c>
      <c r="H1083">
        <v>1</v>
      </c>
      <c r="I1083" t="s">
        <v>2344</v>
      </c>
      <c r="J1083" t="str">
        <f t="shared" si="65"/>
        <v>Obesity</v>
      </c>
      <c r="K1083" t="str">
        <f t="shared" si="68"/>
        <v>Prediabetes</v>
      </c>
      <c r="L1083">
        <v>7</v>
      </c>
      <c r="M1083" t="s">
        <v>2360</v>
      </c>
      <c r="N1083">
        <v>2001</v>
      </c>
      <c r="O1083" s="8">
        <f t="shared" si="66"/>
        <v>37202</v>
      </c>
      <c r="P1083" s="10">
        <v>8821.8799999999992</v>
      </c>
      <c r="Q1083" t="s">
        <v>2357</v>
      </c>
      <c r="R1083" t="s">
        <v>2358</v>
      </c>
      <c r="S1083" t="s">
        <v>2375</v>
      </c>
      <c r="T1083">
        <f t="shared" ca="1" si="67"/>
        <v>25</v>
      </c>
      <c r="U1083">
        <f>VLOOKUP($A1083,'Medical Examination'!$A:$Z,2,FALSE)</f>
        <v>30.55</v>
      </c>
    </row>
    <row r="1084" spans="1:21" ht="15.5" x14ac:dyDescent="0.35">
      <c r="A1084" s="2" t="s">
        <v>1084</v>
      </c>
      <c r="B1084" s="2" t="s">
        <v>4018</v>
      </c>
      <c r="C1084">
        <v>28.81</v>
      </c>
      <c r="D1084">
        <v>8.76</v>
      </c>
      <c r="E1084" t="s">
        <v>2344</v>
      </c>
      <c r="F1084" t="s">
        <v>2344</v>
      </c>
      <c r="G1084" t="s">
        <v>2344</v>
      </c>
      <c r="H1084">
        <v>1</v>
      </c>
      <c r="I1084" t="s">
        <v>2344</v>
      </c>
      <c r="J1084" t="str">
        <f t="shared" si="65"/>
        <v>Over weight</v>
      </c>
      <c r="K1084" t="str">
        <f t="shared" si="68"/>
        <v>Diabetes</v>
      </c>
      <c r="L1084">
        <v>14</v>
      </c>
      <c r="M1084" t="s">
        <v>2362</v>
      </c>
      <c r="N1084">
        <v>1976</v>
      </c>
      <c r="O1084" s="8">
        <f t="shared" si="66"/>
        <v>27925</v>
      </c>
      <c r="P1084" s="10">
        <v>8823.2800000000007</v>
      </c>
      <c r="Q1084" t="s">
        <v>2357</v>
      </c>
      <c r="R1084" t="s">
        <v>2361</v>
      </c>
      <c r="S1084" t="s">
        <v>2368</v>
      </c>
      <c r="T1084">
        <f t="shared" ca="1" si="67"/>
        <v>50</v>
      </c>
      <c r="U1084">
        <f>VLOOKUP($A1084,'Medical Examination'!$A:$Z,2,FALSE)</f>
        <v>28.81</v>
      </c>
    </row>
    <row r="1085" spans="1:21" ht="15.5" x14ac:dyDescent="0.35">
      <c r="A1085" s="2" t="s">
        <v>1085</v>
      </c>
      <c r="B1085" s="2" t="s">
        <v>4019</v>
      </c>
      <c r="C1085">
        <v>31.66</v>
      </c>
      <c r="D1085">
        <v>4.1100000000000003</v>
      </c>
      <c r="E1085" t="s">
        <v>2344</v>
      </c>
      <c r="F1085" t="s">
        <v>2344</v>
      </c>
      <c r="G1085" t="s">
        <v>2344</v>
      </c>
      <c r="H1085">
        <v>0</v>
      </c>
      <c r="I1085" t="s">
        <v>2344</v>
      </c>
      <c r="J1085" t="str">
        <f t="shared" si="65"/>
        <v>Obesity</v>
      </c>
      <c r="K1085" t="str">
        <f t="shared" si="68"/>
        <v>Normal</v>
      </c>
      <c r="L1085">
        <v>19</v>
      </c>
      <c r="M1085" t="s">
        <v>2367</v>
      </c>
      <c r="N1085">
        <v>1976</v>
      </c>
      <c r="O1085" s="8">
        <f t="shared" si="66"/>
        <v>28052</v>
      </c>
      <c r="P1085" s="10">
        <v>8823.99</v>
      </c>
      <c r="Q1085" t="s">
        <v>2357</v>
      </c>
      <c r="R1085" t="s">
        <v>2358</v>
      </c>
      <c r="S1085" t="s">
        <v>2374</v>
      </c>
      <c r="T1085">
        <f t="shared" ca="1" si="67"/>
        <v>50</v>
      </c>
      <c r="U1085">
        <f>VLOOKUP($A1085,'Medical Examination'!$A:$Z,2,FALSE)</f>
        <v>31.66</v>
      </c>
    </row>
    <row r="1086" spans="1:21" ht="15.5" x14ac:dyDescent="0.35">
      <c r="A1086" s="2" t="s">
        <v>1086</v>
      </c>
      <c r="B1086" s="2" t="s">
        <v>4020</v>
      </c>
      <c r="C1086">
        <v>28.215</v>
      </c>
      <c r="D1086">
        <v>7.56</v>
      </c>
      <c r="E1086" t="s">
        <v>2346</v>
      </c>
      <c r="F1086" t="s">
        <v>2344</v>
      </c>
      <c r="G1086" t="s">
        <v>2344</v>
      </c>
      <c r="H1086">
        <v>1</v>
      </c>
      <c r="I1086" t="s">
        <v>2344</v>
      </c>
      <c r="J1086" t="str">
        <f t="shared" si="65"/>
        <v>Over weight</v>
      </c>
      <c r="K1086" t="str">
        <f t="shared" si="68"/>
        <v>Diabetes</v>
      </c>
      <c r="L1086">
        <v>22</v>
      </c>
      <c r="M1086" t="s">
        <v>2366</v>
      </c>
      <c r="N1086">
        <v>1988</v>
      </c>
      <c r="O1086" s="8">
        <f t="shared" si="66"/>
        <v>32377</v>
      </c>
      <c r="P1086" s="10">
        <v>8824.27</v>
      </c>
      <c r="Q1086" t="s">
        <v>2357</v>
      </c>
      <c r="R1086" t="s">
        <v>2361</v>
      </c>
      <c r="S1086" t="s">
        <v>2373</v>
      </c>
      <c r="T1086">
        <f t="shared" ca="1" si="67"/>
        <v>38</v>
      </c>
      <c r="U1086">
        <f>VLOOKUP($A1086,'Medical Examination'!$A:$Z,2,FALSE)</f>
        <v>28.215</v>
      </c>
    </row>
    <row r="1087" spans="1:21" ht="15.5" x14ac:dyDescent="0.35">
      <c r="A1087" s="2" t="s">
        <v>1087</v>
      </c>
      <c r="B1087" s="2" t="s">
        <v>4021</v>
      </c>
      <c r="C1087">
        <v>26.12</v>
      </c>
      <c r="D1087">
        <v>4.17</v>
      </c>
      <c r="E1087" t="s">
        <v>2346</v>
      </c>
      <c r="F1087" t="s">
        <v>2344</v>
      </c>
      <c r="G1087" t="s">
        <v>2346</v>
      </c>
      <c r="H1087">
        <v>1</v>
      </c>
      <c r="I1087" t="s">
        <v>2344</v>
      </c>
      <c r="J1087" t="str">
        <f t="shared" si="65"/>
        <v>Over weight</v>
      </c>
      <c r="K1087" t="str">
        <f t="shared" si="68"/>
        <v>Normal</v>
      </c>
      <c r="L1087">
        <v>14</v>
      </c>
      <c r="M1087" t="s">
        <v>2356</v>
      </c>
      <c r="N1087">
        <v>1976</v>
      </c>
      <c r="O1087" s="8">
        <f t="shared" si="66"/>
        <v>27955</v>
      </c>
      <c r="P1087" s="10">
        <v>8825.09</v>
      </c>
      <c r="Q1087" t="s">
        <v>2357</v>
      </c>
      <c r="R1087" t="s">
        <v>2358</v>
      </c>
      <c r="S1087" t="s">
        <v>2368</v>
      </c>
      <c r="T1087">
        <f t="shared" ca="1" si="67"/>
        <v>50</v>
      </c>
      <c r="U1087">
        <f>VLOOKUP($A1087,'Medical Examination'!$A:$Z,2,FALSE)</f>
        <v>26.12</v>
      </c>
    </row>
    <row r="1088" spans="1:21" ht="15.5" x14ac:dyDescent="0.35">
      <c r="A1088" s="2" t="s">
        <v>1088</v>
      </c>
      <c r="B1088" s="2" t="s">
        <v>4022</v>
      </c>
      <c r="C1088">
        <v>36.630000000000003</v>
      </c>
      <c r="D1088">
        <v>11.42</v>
      </c>
      <c r="E1088" t="s">
        <v>2344</v>
      </c>
      <c r="F1088" t="s">
        <v>2344</v>
      </c>
      <c r="G1088" t="s">
        <v>2344</v>
      </c>
      <c r="H1088">
        <v>1</v>
      </c>
      <c r="I1088" t="s">
        <v>2344</v>
      </c>
      <c r="J1088" t="str">
        <f t="shared" si="65"/>
        <v>Obesity</v>
      </c>
      <c r="K1088" t="str">
        <f t="shared" si="68"/>
        <v>Diabetes</v>
      </c>
      <c r="L1088">
        <v>14</v>
      </c>
      <c r="M1088" t="s">
        <v>2360</v>
      </c>
      <c r="N1088">
        <v>1972</v>
      </c>
      <c r="O1088" s="8">
        <f t="shared" si="66"/>
        <v>26617</v>
      </c>
      <c r="P1088" s="10">
        <v>8827.2099999999991</v>
      </c>
      <c r="Q1088" t="s">
        <v>2358</v>
      </c>
      <c r="R1088" t="s">
        <v>2361</v>
      </c>
      <c r="S1088" t="s">
        <v>2364</v>
      </c>
      <c r="T1088">
        <f t="shared" ca="1" si="67"/>
        <v>54</v>
      </c>
      <c r="U1088">
        <f>VLOOKUP($A1088,'Medical Examination'!$A:$Z,2,FALSE)</f>
        <v>36.630000000000003</v>
      </c>
    </row>
    <row r="1089" spans="1:21" ht="15.5" x14ac:dyDescent="0.35">
      <c r="A1089" s="2" t="s">
        <v>1089</v>
      </c>
      <c r="B1089" s="2" t="s">
        <v>4024</v>
      </c>
      <c r="C1089">
        <v>33.344999999999999</v>
      </c>
      <c r="D1089">
        <v>7.33</v>
      </c>
      <c r="E1089" t="s">
        <v>2344</v>
      </c>
      <c r="F1089" t="s">
        <v>2344</v>
      </c>
      <c r="G1089" t="s">
        <v>2344</v>
      </c>
      <c r="H1089">
        <v>1</v>
      </c>
      <c r="I1089" t="s">
        <v>2344</v>
      </c>
      <c r="J1089" t="str">
        <f t="shared" si="65"/>
        <v>Obesity</v>
      </c>
      <c r="K1089" t="str">
        <f t="shared" si="68"/>
        <v>Diabetes</v>
      </c>
      <c r="L1089">
        <v>22</v>
      </c>
      <c r="M1089" t="s">
        <v>2360</v>
      </c>
      <c r="N1089">
        <v>1972</v>
      </c>
      <c r="O1089" s="8">
        <f t="shared" si="66"/>
        <v>26625</v>
      </c>
      <c r="P1089" s="10">
        <v>8835.26</v>
      </c>
      <c r="Q1089" t="s">
        <v>2358</v>
      </c>
      <c r="R1089" t="s">
        <v>2357</v>
      </c>
      <c r="S1089" t="s">
        <v>2364</v>
      </c>
      <c r="T1089">
        <f t="shared" ca="1" si="67"/>
        <v>54</v>
      </c>
      <c r="U1089">
        <f>VLOOKUP($A1089,'Medical Examination'!$A:$Z,2,FALSE)</f>
        <v>33.344999999999999</v>
      </c>
    </row>
    <row r="1090" spans="1:21" ht="15.5" x14ac:dyDescent="0.35">
      <c r="A1090" s="2" t="s">
        <v>1090</v>
      </c>
      <c r="B1090" s="2" t="s">
        <v>4026</v>
      </c>
      <c r="C1090">
        <v>27.11</v>
      </c>
      <c r="D1090">
        <v>6.7</v>
      </c>
      <c r="E1090" t="s">
        <v>2344</v>
      </c>
      <c r="F1090" t="s">
        <v>2344</v>
      </c>
      <c r="G1090" t="s">
        <v>2344</v>
      </c>
      <c r="H1090">
        <v>0</v>
      </c>
      <c r="I1090" t="s">
        <v>2344</v>
      </c>
      <c r="J1090" t="str">
        <f t="shared" si="65"/>
        <v>Over weight</v>
      </c>
      <c r="K1090" t="str">
        <f t="shared" si="68"/>
        <v>Diabetes</v>
      </c>
      <c r="L1090">
        <v>18</v>
      </c>
      <c r="M1090" t="s">
        <v>2362</v>
      </c>
      <c r="N1090">
        <v>1974</v>
      </c>
      <c r="O1090" s="8">
        <f t="shared" si="66"/>
        <v>27198</v>
      </c>
      <c r="P1090" s="10">
        <v>8871.15</v>
      </c>
      <c r="Q1090" t="s">
        <v>2357</v>
      </c>
      <c r="R1090" t="s">
        <v>2358</v>
      </c>
      <c r="S1090" t="s">
        <v>2359</v>
      </c>
      <c r="T1090">
        <f t="shared" ca="1" si="67"/>
        <v>52</v>
      </c>
      <c r="U1090">
        <f>VLOOKUP($A1090,'Medical Examination'!$A:$Z,2,FALSE)</f>
        <v>27.11</v>
      </c>
    </row>
    <row r="1091" spans="1:21" ht="15.5" x14ac:dyDescent="0.35">
      <c r="A1091" s="2" t="s">
        <v>1091</v>
      </c>
      <c r="B1091" s="2" t="s">
        <v>4028</v>
      </c>
      <c r="C1091">
        <v>26.6</v>
      </c>
      <c r="D1091">
        <v>5.27</v>
      </c>
      <c r="E1091" t="s">
        <v>2346</v>
      </c>
      <c r="F1091" t="s">
        <v>2344</v>
      </c>
      <c r="G1091" t="s">
        <v>2346</v>
      </c>
      <c r="H1091">
        <v>1</v>
      </c>
      <c r="I1091" t="s">
        <v>2344</v>
      </c>
      <c r="J1091" t="str">
        <f t="shared" ref="J1091:J1154" si="69">IF(C1091&lt;18.5,"Under Weight",IF(C1091&lt;25,"Normal Weight",IF(C1091&lt;30,"Over weight","Obesity")))</f>
        <v>Over weight</v>
      </c>
      <c r="K1091" t="str">
        <f t="shared" si="68"/>
        <v>Normal</v>
      </c>
      <c r="L1091">
        <v>9</v>
      </c>
      <c r="M1091" t="s">
        <v>2363</v>
      </c>
      <c r="N1091">
        <v>1973</v>
      </c>
      <c r="O1091" s="8">
        <f t="shared" ref="O1091:O1154" si="70">DATE(N1091,MONTH(1&amp;M1091),L1091)</f>
        <v>26916</v>
      </c>
      <c r="P1091" s="10">
        <v>8890.59</v>
      </c>
      <c r="Q1091" t="s">
        <v>2357</v>
      </c>
      <c r="R1091" t="s">
        <v>2358</v>
      </c>
      <c r="S1091" t="s">
        <v>2364</v>
      </c>
      <c r="T1091">
        <f t="shared" ref="T1091:T1154" ca="1" si="71">YEAR(TODAY())-YEAR(O1091)</f>
        <v>53</v>
      </c>
      <c r="U1091">
        <f>VLOOKUP($A1091,'Medical Examination'!$A:$Z,2,FALSE)</f>
        <v>26.6</v>
      </c>
    </row>
    <row r="1092" spans="1:21" ht="15.5" x14ac:dyDescent="0.35">
      <c r="A1092" s="2" t="s">
        <v>1092</v>
      </c>
      <c r="B1092" s="2" t="s">
        <v>3960</v>
      </c>
      <c r="C1092">
        <v>30.41</v>
      </c>
      <c r="D1092">
        <v>7.72</v>
      </c>
      <c r="E1092" t="s">
        <v>2344</v>
      </c>
      <c r="F1092" t="s">
        <v>2344</v>
      </c>
      <c r="G1092" t="s">
        <v>2344</v>
      </c>
      <c r="H1092">
        <v>0</v>
      </c>
      <c r="I1092" t="s">
        <v>2344</v>
      </c>
      <c r="J1092" t="str">
        <f t="shared" si="69"/>
        <v>Obesity</v>
      </c>
      <c r="K1092" t="str">
        <f t="shared" si="68"/>
        <v>Diabetes</v>
      </c>
      <c r="L1092">
        <v>16</v>
      </c>
      <c r="M1092" t="s">
        <v>2365</v>
      </c>
      <c r="N1092">
        <v>1978</v>
      </c>
      <c r="O1092" s="8">
        <f t="shared" si="70"/>
        <v>28840</v>
      </c>
      <c r="P1092" s="10">
        <v>8891.14</v>
      </c>
      <c r="Q1092" t="s">
        <v>2357</v>
      </c>
      <c r="R1092" t="s">
        <v>2358</v>
      </c>
      <c r="S1092" t="s">
        <v>2378</v>
      </c>
      <c r="T1092">
        <f t="shared" ca="1" si="71"/>
        <v>48</v>
      </c>
      <c r="U1092">
        <f>VLOOKUP($A1092,'Medical Examination'!$A:$Z,2,FALSE)</f>
        <v>30.41</v>
      </c>
    </row>
    <row r="1093" spans="1:21" ht="15.5" x14ac:dyDescent="0.35">
      <c r="A1093" s="2" t="s">
        <v>1093</v>
      </c>
      <c r="B1093" s="2" t="s">
        <v>4030</v>
      </c>
      <c r="C1093">
        <v>28.98</v>
      </c>
      <c r="D1093">
        <v>8.68</v>
      </c>
      <c r="E1093" t="s">
        <v>2344</v>
      </c>
      <c r="F1093" t="s">
        <v>2344</v>
      </c>
      <c r="G1093" t="s">
        <v>2344</v>
      </c>
      <c r="H1093">
        <v>1</v>
      </c>
      <c r="I1093" t="s">
        <v>2344</v>
      </c>
      <c r="J1093" t="str">
        <f t="shared" si="69"/>
        <v>Over weight</v>
      </c>
      <c r="K1093" t="str">
        <f t="shared" si="68"/>
        <v>Diabetes</v>
      </c>
      <c r="L1093">
        <v>28</v>
      </c>
      <c r="M1093" t="s">
        <v>2360</v>
      </c>
      <c r="N1093">
        <v>1997</v>
      </c>
      <c r="O1093" s="8">
        <f t="shared" si="70"/>
        <v>35762</v>
      </c>
      <c r="P1093" s="10">
        <v>8906.14</v>
      </c>
      <c r="Q1093" t="s">
        <v>2357</v>
      </c>
      <c r="R1093" t="s">
        <v>2357</v>
      </c>
      <c r="S1093" t="s">
        <v>2364</v>
      </c>
      <c r="T1093">
        <f t="shared" ca="1" si="71"/>
        <v>29</v>
      </c>
      <c r="U1093">
        <f>VLOOKUP($A1093,'Medical Examination'!$A:$Z,2,FALSE)</f>
        <v>28.98</v>
      </c>
    </row>
    <row r="1094" spans="1:21" ht="15.5" x14ac:dyDescent="0.35">
      <c r="A1094" s="2" t="s">
        <v>1094</v>
      </c>
      <c r="B1094" s="2" t="s">
        <v>4031</v>
      </c>
      <c r="C1094">
        <v>31.24</v>
      </c>
      <c r="D1094">
        <v>9.8000000000000007</v>
      </c>
      <c r="E1094" t="s">
        <v>2344</v>
      </c>
      <c r="F1094" t="s">
        <v>2344</v>
      </c>
      <c r="G1094" t="s">
        <v>2344</v>
      </c>
      <c r="H1094">
        <v>0</v>
      </c>
      <c r="I1094" t="s">
        <v>2344</v>
      </c>
      <c r="J1094" t="str">
        <f t="shared" si="69"/>
        <v>Obesity</v>
      </c>
      <c r="K1094" t="str">
        <f t="shared" si="68"/>
        <v>Diabetes</v>
      </c>
      <c r="L1094">
        <v>6</v>
      </c>
      <c r="M1094" t="s">
        <v>2363</v>
      </c>
      <c r="N1094">
        <v>1967</v>
      </c>
      <c r="O1094" s="8">
        <f t="shared" si="70"/>
        <v>24721</v>
      </c>
      <c r="P1094" s="10">
        <v>8908.4699999999993</v>
      </c>
      <c r="Q1094" t="s">
        <v>2358</v>
      </c>
      <c r="R1094" t="s">
        <v>2357</v>
      </c>
      <c r="S1094" t="s">
        <v>2359</v>
      </c>
      <c r="T1094">
        <f t="shared" ca="1" si="71"/>
        <v>59</v>
      </c>
      <c r="U1094">
        <f>VLOOKUP($A1094,'Medical Examination'!$A:$Z,2,FALSE)</f>
        <v>31.24</v>
      </c>
    </row>
    <row r="1095" spans="1:21" ht="15.5" x14ac:dyDescent="0.35">
      <c r="A1095" s="2" t="s">
        <v>1095</v>
      </c>
      <c r="B1095" s="2" t="s">
        <v>2538</v>
      </c>
      <c r="C1095">
        <v>31.54</v>
      </c>
      <c r="D1095">
        <v>4.4400000000000004</v>
      </c>
      <c r="E1095" t="s">
        <v>2344</v>
      </c>
      <c r="F1095" t="s">
        <v>2344</v>
      </c>
      <c r="G1095" t="s">
        <v>2344</v>
      </c>
      <c r="H1095">
        <v>0</v>
      </c>
      <c r="I1095" t="s">
        <v>2344</v>
      </c>
      <c r="J1095" t="str">
        <f t="shared" si="69"/>
        <v>Obesity</v>
      </c>
      <c r="K1095" t="str">
        <f t="shared" si="68"/>
        <v>Normal</v>
      </c>
      <c r="L1095">
        <v>7</v>
      </c>
      <c r="M1095" t="s">
        <v>2356</v>
      </c>
      <c r="N1095">
        <v>1975</v>
      </c>
      <c r="O1095" s="8">
        <f t="shared" si="70"/>
        <v>27582</v>
      </c>
      <c r="P1095" s="10">
        <v>8930.93</v>
      </c>
      <c r="Q1095" t="s">
        <v>2357</v>
      </c>
      <c r="R1095" t="s">
        <v>2357</v>
      </c>
      <c r="S1095" t="s">
        <v>2364</v>
      </c>
      <c r="T1095">
        <f t="shared" ca="1" si="71"/>
        <v>51</v>
      </c>
      <c r="U1095">
        <f>VLOOKUP($A1095,'Medical Examination'!$A:$Z,2,FALSE)</f>
        <v>31.54</v>
      </c>
    </row>
    <row r="1096" spans="1:21" ht="15.5" x14ac:dyDescent="0.35">
      <c r="A1096" s="2" t="s">
        <v>1096</v>
      </c>
      <c r="B1096" s="2" t="s">
        <v>4033</v>
      </c>
      <c r="C1096">
        <v>38.6</v>
      </c>
      <c r="D1096">
        <v>7.19</v>
      </c>
      <c r="E1096" t="s">
        <v>2346</v>
      </c>
      <c r="F1096" t="s">
        <v>2344</v>
      </c>
      <c r="G1096" t="s">
        <v>2344</v>
      </c>
      <c r="H1096">
        <v>1</v>
      </c>
      <c r="I1096" t="s">
        <v>2344</v>
      </c>
      <c r="J1096" t="str">
        <f t="shared" si="69"/>
        <v>Obesity</v>
      </c>
      <c r="K1096" t="str">
        <f t="shared" si="68"/>
        <v>Diabetes</v>
      </c>
      <c r="L1096">
        <v>6</v>
      </c>
      <c r="M1096" t="s">
        <v>2362</v>
      </c>
      <c r="N1096">
        <v>1972</v>
      </c>
      <c r="O1096" s="8">
        <f t="shared" si="70"/>
        <v>26456</v>
      </c>
      <c r="P1096" s="10">
        <v>8932.08</v>
      </c>
      <c r="Q1096" t="s">
        <v>2357</v>
      </c>
      <c r="R1096" t="s">
        <v>2361</v>
      </c>
      <c r="S1096" t="s">
        <v>2368</v>
      </c>
      <c r="T1096">
        <f t="shared" ca="1" si="71"/>
        <v>54</v>
      </c>
      <c r="U1096">
        <f>VLOOKUP($A1096,'Medical Examination'!$A:$Z,2,FALSE)</f>
        <v>38.6</v>
      </c>
    </row>
    <row r="1097" spans="1:21" ht="15.5" x14ac:dyDescent="0.35">
      <c r="A1097" s="2" t="s">
        <v>1097</v>
      </c>
      <c r="B1097" s="2" t="s">
        <v>4034</v>
      </c>
      <c r="C1097">
        <v>37.950000000000003</v>
      </c>
      <c r="D1097">
        <v>6.06</v>
      </c>
      <c r="E1097" t="s">
        <v>2344</v>
      </c>
      <c r="F1097" t="s">
        <v>2344</v>
      </c>
      <c r="G1097" t="s">
        <v>2344</v>
      </c>
      <c r="H1097">
        <v>0</v>
      </c>
      <c r="I1097" t="s">
        <v>2344</v>
      </c>
      <c r="J1097" t="str">
        <f t="shared" si="69"/>
        <v>Obesity</v>
      </c>
      <c r="K1097" t="str">
        <f t="shared" si="68"/>
        <v>Prediabetes</v>
      </c>
      <c r="L1097">
        <v>25</v>
      </c>
      <c r="M1097" t="s">
        <v>2365</v>
      </c>
      <c r="N1097">
        <v>1976</v>
      </c>
      <c r="O1097" s="8">
        <f t="shared" si="70"/>
        <v>28119</v>
      </c>
      <c r="P1097" s="10">
        <v>8944.1200000000008</v>
      </c>
      <c r="Q1097" t="s">
        <v>2358</v>
      </c>
      <c r="R1097" t="s">
        <v>2357</v>
      </c>
      <c r="S1097" t="s">
        <v>2359</v>
      </c>
      <c r="T1097">
        <f t="shared" ca="1" si="71"/>
        <v>50</v>
      </c>
      <c r="U1097">
        <f>VLOOKUP($A1097,'Medical Examination'!$A:$Z,2,FALSE)</f>
        <v>37.950000000000003</v>
      </c>
    </row>
    <row r="1098" spans="1:21" ht="15.5" x14ac:dyDescent="0.35">
      <c r="A1098" s="2" t="s">
        <v>1098</v>
      </c>
      <c r="B1098" s="2" t="s">
        <v>4035</v>
      </c>
      <c r="C1098">
        <v>38.97</v>
      </c>
      <c r="D1098">
        <v>5.12</v>
      </c>
      <c r="E1098" t="s">
        <v>2344</v>
      </c>
      <c r="F1098" t="s">
        <v>2344</v>
      </c>
      <c r="G1098" t="s">
        <v>2344</v>
      </c>
      <c r="H1098">
        <v>0</v>
      </c>
      <c r="I1098" t="s">
        <v>2344</v>
      </c>
      <c r="J1098" t="str">
        <f t="shared" si="69"/>
        <v>Obesity</v>
      </c>
      <c r="K1098" t="str">
        <f t="shared" si="68"/>
        <v>Normal</v>
      </c>
      <c r="L1098">
        <v>27</v>
      </c>
      <c r="M1098" t="s">
        <v>2363</v>
      </c>
      <c r="N1098">
        <v>1992</v>
      </c>
      <c r="O1098" s="8">
        <f t="shared" si="70"/>
        <v>33874</v>
      </c>
      <c r="P1098" s="10">
        <v>8954.99</v>
      </c>
      <c r="Q1098" t="s">
        <v>2357</v>
      </c>
      <c r="R1098" t="s">
        <v>2358</v>
      </c>
      <c r="S1098" t="s">
        <v>2380</v>
      </c>
      <c r="T1098">
        <f t="shared" ca="1" si="71"/>
        <v>34</v>
      </c>
      <c r="U1098">
        <f>VLOOKUP($A1098,'Medical Examination'!$A:$Z,2,FALSE)</f>
        <v>38.97</v>
      </c>
    </row>
    <row r="1099" spans="1:21" ht="15.5" x14ac:dyDescent="0.35">
      <c r="A1099" s="2" t="s">
        <v>1099</v>
      </c>
      <c r="B1099" s="2" t="s">
        <v>4036</v>
      </c>
      <c r="C1099">
        <v>21.2</v>
      </c>
      <c r="D1099">
        <v>10.72</v>
      </c>
      <c r="E1099" t="s">
        <v>2344</v>
      </c>
      <c r="F1099" t="s">
        <v>2344</v>
      </c>
      <c r="G1099" t="s">
        <v>2344</v>
      </c>
      <c r="H1099">
        <v>0</v>
      </c>
      <c r="I1099" t="s">
        <v>2344</v>
      </c>
      <c r="J1099" t="str">
        <f t="shared" si="69"/>
        <v>Normal Weight</v>
      </c>
      <c r="K1099" t="str">
        <f t="shared" si="68"/>
        <v>Diabetes</v>
      </c>
      <c r="L1099">
        <v>17</v>
      </c>
      <c r="M1099" t="s">
        <v>2366</v>
      </c>
      <c r="N1099">
        <v>1974</v>
      </c>
      <c r="O1099" s="8">
        <f t="shared" si="70"/>
        <v>27258</v>
      </c>
      <c r="P1099" s="10">
        <v>8964.06</v>
      </c>
      <c r="Q1099" t="s">
        <v>2358</v>
      </c>
      <c r="R1099" t="s">
        <v>2357</v>
      </c>
      <c r="S1099" t="s">
        <v>2371</v>
      </c>
      <c r="T1099">
        <f t="shared" ca="1" si="71"/>
        <v>52</v>
      </c>
      <c r="U1099">
        <f>VLOOKUP($A1099,'Medical Examination'!$A:$Z,2,FALSE)</f>
        <v>21.2</v>
      </c>
    </row>
    <row r="1100" spans="1:21" ht="15.5" x14ac:dyDescent="0.35">
      <c r="A1100" s="2" t="s">
        <v>1100</v>
      </c>
      <c r="B1100" s="2" t="s">
        <v>2881</v>
      </c>
      <c r="C1100">
        <v>23.96</v>
      </c>
      <c r="D1100">
        <v>9.58</v>
      </c>
      <c r="E1100" t="s">
        <v>2346</v>
      </c>
      <c r="F1100" t="s">
        <v>2344</v>
      </c>
      <c r="G1100" t="s">
        <v>2346</v>
      </c>
      <c r="H1100">
        <v>1</v>
      </c>
      <c r="I1100" t="s">
        <v>2344</v>
      </c>
      <c r="J1100" t="str">
        <f t="shared" si="69"/>
        <v>Normal Weight</v>
      </c>
      <c r="K1100" t="str">
        <f t="shared" ref="K1100:K1163" si="72">IF(D1100&lt;5.7,"Normal",IF(D1100&lt;6.5,"Prediabetes","Diabetes"))</f>
        <v>Diabetes</v>
      </c>
      <c r="L1100">
        <v>15</v>
      </c>
      <c r="M1100" t="s">
        <v>2356</v>
      </c>
      <c r="N1100">
        <v>1983</v>
      </c>
      <c r="O1100" s="8">
        <f t="shared" si="70"/>
        <v>30512</v>
      </c>
      <c r="P1100" s="10">
        <v>8965.7999999999993</v>
      </c>
      <c r="Q1100" t="s">
        <v>2357</v>
      </c>
      <c r="R1100" t="s">
        <v>2358</v>
      </c>
      <c r="S1100" t="s">
        <v>2364</v>
      </c>
      <c r="T1100">
        <f t="shared" ca="1" si="71"/>
        <v>43</v>
      </c>
      <c r="U1100">
        <f>VLOOKUP($A1100,'Medical Examination'!$A:$Z,2,FALSE)</f>
        <v>23.96</v>
      </c>
    </row>
    <row r="1101" spans="1:21" ht="15.5" x14ac:dyDescent="0.35">
      <c r="A1101" s="2" t="s">
        <v>1101</v>
      </c>
      <c r="B1101" s="2" t="s">
        <v>4037</v>
      </c>
      <c r="C1101">
        <v>35.93</v>
      </c>
      <c r="D1101">
        <v>6.4</v>
      </c>
      <c r="E1101" t="s">
        <v>2346</v>
      </c>
      <c r="F1101" t="s">
        <v>2344</v>
      </c>
      <c r="G1101" t="s">
        <v>2344</v>
      </c>
      <c r="H1101">
        <v>1</v>
      </c>
      <c r="I1101" t="s">
        <v>2344</v>
      </c>
      <c r="J1101" t="str">
        <f t="shared" si="69"/>
        <v>Obesity</v>
      </c>
      <c r="K1101" t="str">
        <f t="shared" si="72"/>
        <v>Prediabetes</v>
      </c>
      <c r="L1101">
        <v>8</v>
      </c>
      <c r="M1101" t="s">
        <v>2363</v>
      </c>
      <c r="N1101">
        <v>1974</v>
      </c>
      <c r="O1101" s="8">
        <f t="shared" si="70"/>
        <v>27280</v>
      </c>
      <c r="P1101" s="10">
        <v>8968.33</v>
      </c>
      <c r="Q1101" t="s">
        <v>2358</v>
      </c>
      <c r="R1101" t="s">
        <v>2357</v>
      </c>
      <c r="S1101" t="s">
        <v>2368</v>
      </c>
      <c r="T1101">
        <f t="shared" ca="1" si="71"/>
        <v>52</v>
      </c>
      <c r="U1101">
        <f>VLOOKUP($A1101,'Medical Examination'!$A:$Z,2,FALSE)</f>
        <v>35.93</v>
      </c>
    </row>
    <row r="1102" spans="1:21" ht="15.5" x14ac:dyDescent="0.35">
      <c r="A1102" s="2" t="s">
        <v>1102</v>
      </c>
      <c r="B1102" s="2" t="s">
        <v>4038</v>
      </c>
      <c r="C1102">
        <v>26.11</v>
      </c>
      <c r="D1102">
        <v>6.8</v>
      </c>
      <c r="E1102" t="s">
        <v>2346</v>
      </c>
      <c r="F1102" t="s">
        <v>2344</v>
      </c>
      <c r="G1102" t="s">
        <v>2344</v>
      </c>
      <c r="H1102">
        <v>1</v>
      </c>
      <c r="I1102" t="s">
        <v>2344</v>
      </c>
      <c r="J1102" t="str">
        <f t="shared" si="69"/>
        <v>Over weight</v>
      </c>
      <c r="K1102" t="str">
        <f t="shared" si="72"/>
        <v>Diabetes</v>
      </c>
      <c r="L1102">
        <v>21</v>
      </c>
      <c r="M1102" t="s">
        <v>2356</v>
      </c>
      <c r="N1102">
        <v>1974</v>
      </c>
      <c r="O1102" s="8">
        <f t="shared" si="70"/>
        <v>27231</v>
      </c>
      <c r="P1102" s="10">
        <v>8978.19</v>
      </c>
      <c r="Q1102" t="s">
        <v>2357</v>
      </c>
      <c r="R1102" t="s">
        <v>2357</v>
      </c>
      <c r="S1102" t="s">
        <v>2359</v>
      </c>
      <c r="T1102">
        <f t="shared" ca="1" si="71"/>
        <v>52</v>
      </c>
      <c r="U1102">
        <f>VLOOKUP($A1102,'Medical Examination'!$A:$Z,2,FALSE)</f>
        <v>26.11</v>
      </c>
    </row>
    <row r="1103" spans="1:21" ht="15.5" x14ac:dyDescent="0.35">
      <c r="A1103" s="2" t="s">
        <v>1103</v>
      </c>
      <c r="B1103" s="2" t="s">
        <v>3220</v>
      </c>
      <c r="C1103">
        <v>32.299999999999997</v>
      </c>
      <c r="D1103">
        <v>9.48</v>
      </c>
      <c r="E1103" t="s">
        <v>2344</v>
      </c>
      <c r="F1103" t="s">
        <v>2344</v>
      </c>
      <c r="G1103" t="s">
        <v>2344</v>
      </c>
      <c r="H1103">
        <v>1</v>
      </c>
      <c r="I1103" t="s">
        <v>2344</v>
      </c>
      <c r="J1103" t="str">
        <f t="shared" si="69"/>
        <v>Obesity</v>
      </c>
      <c r="K1103" t="str">
        <f t="shared" si="72"/>
        <v>Diabetes</v>
      </c>
      <c r="L1103">
        <v>11</v>
      </c>
      <c r="M1103" t="s">
        <v>2367</v>
      </c>
      <c r="N1103">
        <v>1973</v>
      </c>
      <c r="O1103" s="8">
        <f t="shared" si="70"/>
        <v>26948</v>
      </c>
      <c r="P1103" s="10">
        <v>8988.16</v>
      </c>
      <c r="Q1103" t="s">
        <v>2357</v>
      </c>
      <c r="R1103" t="s">
        <v>2361</v>
      </c>
      <c r="S1103" t="s">
        <v>2364</v>
      </c>
      <c r="T1103">
        <f t="shared" ca="1" si="71"/>
        <v>53</v>
      </c>
      <c r="U1103">
        <f>VLOOKUP($A1103,'Medical Examination'!$A:$Z,2,FALSE)</f>
        <v>32.299999999999997</v>
      </c>
    </row>
    <row r="1104" spans="1:21" ht="15.5" x14ac:dyDescent="0.35">
      <c r="A1104" s="2" t="s">
        <v>1104</v>
      </c>
      <c r="B1104" s="2" t="s">
        <v>4039</v>
      </c>
      <c r="C1104">
        <v>28.69</v>
      </c>
      <c r="D1104">
        <v>7.45</v>
      </c>
      <c r="E1104" t="s">
        <v>2344</v>
      </c>
      <c r="F1104" t="s">
        <v>2344</v>
      </c>
      <c r="G1104" t="s">
        <v>2344</v>
      </c>
      <c r="H1104">
        <v>1</v>
      </c>
      <c r="I1104" t="s">
        <v>2344</v>
      </c>
      <c r="J1104" t="str">
        <f t="shared" si="69"/>
        <v>Over weight</v>
      </c>
      <c r="K1104" t="str">
        <f t="shared" si="72"/>
        <v>Diabetes</v>
      </c>
      <c r="L1104">
        <v>16</v>
      </c>
      <c r="M1104" t="s">
        <v>2365</v>
      </c>
      <c r="N1104">
        <v>1979</v>
      </c>
      <c r="O1104" s="8">
        <f t="shared" si="70"/>
        <v>29205</v>
      </c>
      <c r="P1104" s="10">
        <v>8998.43</v>
      </c>
      <c r="Q1104" t="s">
        <v>2357</v>
      </c>
      <c r="R1104" t="s">
        <v>2361</v>
      </c>
      <c r="S1104" t="s">
        <v>2373</v>
      </c>
      <c r="T1104">
        <f t="shared" ca="1" si="71"/>
        <v>47</v>
      </c>
      <c r="U1104">
        <f>VLOOKUP($A1104,'Medical Examination'!$A:$Z,2,FALSE)</f>
        <v>28.69</v>
      </c>
    </row>
    <row r="1105" spans="1:21" ht="15.5" x14ac:dyDescent="0.35">
      <c r="A1105" s="2" t="s">
        <v>1105</v>
      </c>
      <c r="B1105" s="2" t="s">
        <v>4040</v>
      </c>
      <c r="C1105">
        <v>31.28</v>
      </c>
      <c r="D1105">
        <v>6.94</v>
      </c>
      <c r="E1105" t="s">
        <v>2346</v>
      </c>
      <c r="F1105" t="s">
        <v>2344</v>
      </c>
      <c r="G1105" t="s">
        <v>2344</v>
      </c>
      <c r="H1105">
        <v>1</v>
      </c>
      <c r="I1105" t="s">
        <v>2344</v>
      </c>
      <c r="J1105" t="str">
        <f t="shared" si="69"/>
        <v>Obesity</v>
      </c>
      <c r="K1105" t="str">
        <f t="shared" si="72"/>
        <v>Diabetes</v>
      </c>
      <c r="L1105">
        <v>1</v>
      </c>
      <c r="M1105" t="s">
        <v>2365</v>
      </c>
      <c r="N1105">
        <v>1993</v>
      </c>
      <c r="O1105" s="8">
        <f t="shared" si="70"/>
        <v>34304</v>
      </c>
      <c r="P1105" s="10">
        <v>9010.2000000000007</v>
      </c>
      <c r="Q1105" t="s">
        <v>2357</v>
      </c>
      <c r="R1105" t="s">
        <v>2358</v>
      </c>
      <c r="S1105" t="s">
        <v>2380</v>
      </c>
      <c r="T1105">
        <f t="shared" ca="1" si="71"/>
        <v>33</v>
      </c>
      <c r="U1105">
        <f>VLOOKUP($A1105,'Medical Examination'!$A:$Z,2,FALSE)</f>
        <v>31.28</v>
      </c>
    </row>
    <row r="1106" spans="1:21" ht="15.5" x14ac:dyDescent="0.35">
      <c r="A1106" s="2" t="s">
        <v>1106</v>
      </c>
      <c r="B1106" s="2" t="s">
        <v>4042</v>
      </c>
      <c r="C1106">
        <v>30.21</v>
      </c>
      <c r="D1106">
        <v>7.83</v>
      </c>
      <c r="E1106" t="s">
        <v>2344</v>
      </c>
      <c r="F1106" t="s">
        <v>2344</v>
      </c>
      <c r="G1106" t="s">
        <v>2344</v>
      </c>
      <c r="H1106">
        <v>0</v>
      </c>
      <c r="I1106" t="s">
        <v>2344</v>
      </c>
      <c r="J1106" t="str">
        <f t="shared" si="69"/>
        <v>Obesity</v>
      </c>
      <c r="K1106" t="str">
        <f t="shared" si="72"/>
        <v>Diabetes</v>
      </c>
      <c r="L1106">
        <v>7</v>
      </c>
      <c r="M1106" t="s">
        <v>2365</v>
      </c>
      <c r="N1106">
        <v>1972</v>
      </c>
      <c r="O1106" s="8">
        <f t="shared" si="70"/>
        <v>26640</v>
      </c>
      <c r="P1106" s="10">
        <v>9048.0300000000007</v>
      </c>
      <c r="Q1106" t="s">
        <v>2357</v>
      </c>
      <c r="R1106" t="s">
        <v>2357</v>
      </c>
      <c r="S1106" t="s">
        <v>2359</v>
      </c>
      <c r="T1106">
        <f t="shared" ca="1" si="71"/>
        <v>54</v>
      </c>
      <c r="U1106">
        <f>VLOOKUP($A1106,'Medical Examination'!$A:$Z,2,FALSE)</f>
        <v>30.21</v>
      </c>
    </row>
    <row r="1107" spans="1:21" ht="15.5" x14ac:dyDescent="0.35">
      <c r="A1107" s="2" t="s">
        <v>1107</v>
      </c>
      <c r="B1107" s="2" t="s">
        <v>4044</v>
      </c>
      <c r="C1107">
        <v>38.28</v>
      </c>
      <c r="D1107">
        <v>10.17</v>
      </c>
      <c r="E1107" t="s">
        <v>2346</v>
      </c>
      <c r="F1107" t="s">
        <v>2344</v>
      </c>
      <c r="G1107" t="s">
        <v>2344</v>
      </c>
      <c r="H1107">
        <v>0</v>
      </c>
      <c r="I1107" t="s">
        <v>2344</v>
      </c>
      <c r="J1107" t="str">
        <f t="shared" si="69"/>
        <v>Obesity</v>
      </c>
      <c r="K1107" t="str">
        <f t="shared" si="72"/>
        <v>Diabetes</v>
      </c>
      <c r="L1107">
        <v>2</v>
      </c>
      <c r="M1107" t="s">
        <v>2365</v>
      </c>
      <c r="N1107">
        <v>1972</v>
      </c>
      <c r="O1107" s="8">
        <f t="shared" si="70"/>
        <v>26635</v>
      </c>
      <c r="P1107" s="10">
        <v>9058.73</v>
      </c>
      <c r="Q1107" t="s">
        <v>2358</v>
      </c>
      <c r="R1107" t="s">
        <v>2357</v>
      </c>
      <c r="S1107" t="s">
        <v>2359</v>
      </c>
      <c r="T1107">
        <f t="shared" ca="1" si="71"/>
        <v>54</v>
      </c>
      <c r="U1107">
        <f>VLOOKUP($A1107,'Medical Examination'!$A:$Z,2,FALSE)</f>
        <v>38.28</v>
      </c>
    </row>
    <row r="1108" spans="1:21" ht="15.5" x14ac:dyDescent="0.35">
      <c r="A1108" s="2" t="s">
        <v>1108</v>
      </c>
      <c r="B1108" s="2" t="s">
        <v>4045</v>
      </c>
      <c r="C1108">
        <v>29.9</v>
      </c>
      <c r="D1108">
        <v>8.9600000000000009</v>
      </c>
      <c r="E1108" t="s">
        <v>2346</v>
      </c>
      <c r="F1108" t="s">
        <v>2344</v>
      </c>
      <c r="G1108" t="s">
        <v>2344</v>
      </c>
      <c r="H1108">
        <v>0</v>
      </c>
      <c r="I1108" t="s">
        <v>2344</v>
      </c>
      <c r="J1108" t="str">
        <f t="shared" si="69"/>
        <v>Over weight</v>
      </c>
      <c r="K1108" t="str">
        <f t="shared" si="72"/>
        <v>Diabetes</v>
      </c>
      <c r="L1108">
        <v>4</v>
      </c>
      <c r="M1108" t="s">
        <v>2360</v>
      </c>
      <c r="N1108">
        <v>1977</v>
      </c>
      <c r="O1108" s="8">
        <f t="shared" si="70"/>
        <v>28433</v>
      </c>
      <c r="P1108" s="10">
        <v>9095.07</v>
      </c>
      <c r="Q1108" t="s">
        <v>2357</v>
      </c>
      <c r="R1108" t="s">
        <v>2357</v>
      </c>
      <c r="S1108" t="s">
        <v>2374</v>
      </c>
      <c r="T1108">
        <f t="shared" ca="1" si="71"/>
        <v>49</v>
      </c>
      <c r="U1108">
        <f>VLOOKUP($A1108,'Medical Examination'!$A:$Z,2,FALSE)</f>
        <v>29.9</v>
      </c>
    </row>
    <row r="1109" spans="1:21" ht="15.5" x14ac:dyDescent="0.35">
      <c r="A1109" s="2" t="s">
        <v>1109</v>
      </c>
      <c r="B1109" s="2" t="s">
        <v>4046</v>
      </c>
      <c r="C1109">
        <v>23.18</v>
      </c>
      <c r="D1109">
        <v>6.96</v>
      </c>
      <c r="E1109" t="s">
        <v>2346</v>
      </c>
      <c r="F1109" t="s">
        <v>2344</v>
      </c>
      <c r="G1109" t="s">
        <v>2344</v>
      </c>
      <c r="H1109">
        <v>1</v>
      </c>
      <c r="I1109" t="s">
        <v>2344</v>
      </c>
      <c r="J1109" t="str">
        <f t="shared" si="69"/>
        <v>Normal Weight</v>
      </c>
      <c r="K1109" t="str">
        <f t="shared" si="72"/>
        <v>Diabetes</v>
      </c>
      <c r="L1109">
        <v>9</v>
      </c>
      <c r="M1109" t="s">
        <v>2360</v>
      </c>
      <c r="N1109">
        <v>1965</v>
      </c>
      <c r="O1109" s="8">
        <f t="shared" si="70"/>
        <v>24055</v>
      </c>
      <c r="P1109" s="10">
        <v>9095.94</v>
      </c>
      <c r="Q1109" t="s">
        <v>2358</v>
      </c>
      <c r="R1109" t="s">
        <v>2361</v>
      </c>
      <c r="S1109" t="s">
        <v>2368</v>
      </c>
      <c r="T1109">
        <f t="shared" ca="1" si="71"/>
        <v>61</v>
      </c>
      <c r="U1109">
        <f>VLOOKUP($A1109,'Medical Examination'!$A:$Z,2,FALSE)</f>
        <v>23.18</v>
      </c>
    </row>
    <row r="1110" spans="1:21" ht="15.5" x14ac:dyDescent="0.35">
      <c r="A1110" s="2" t="s">
        <v>1110</v>
      </c>
      <c r="B1110" s="2" t="s">
        <v>4047</v>
      </c>
      <c r="C1110">
        <v>33.020000000000003</v>
      </c>
      <c r="D1110">
        <v>5.07</v>
      </c>
      <c r="E1110" t="s">
        <v>2346</v>
      </c>
      <c r="F1110" t="s">
        <v>2344</v>
      </c>
      <c r="G1110" t="s">
        <v>2344</v>
      </c>
      <c r="H1110">
        <v>0</v>
      </c>
      <c r="I1110" t="s">
        <v>2344</v>
      </c>
      <c r="J1110" t="str">
        <f t="shared" si="69"/>
        <v>Obesity</v>
      </c>
      <c r="K1110" t="str">
        <f t="shared" si="72"/>
        <v>Normal</v>
      </c>
      <c r="L1110">
        <v>2</v>
      </c>
      <c r="M1110" t="s">
        <v>2365</v>
      </c>
      <c r="N1110">
        <v>1977</v>
      </c>
      <c r="O1110" s="8">
        <f t="shared" si="70"/>
        <v>28461</v>
      </c>
      <c r="P1110" s="10">
        <v>9101.7999999999993</v>
      </c>
      <c r="Q1110" t="s">
        <v>2357</v>
      </c>
      <c r="R1110" t="s">
        <v>2361</v>
      </c>
      <c r="S1110" t="s">
        <v>2368</v>
      </c>
      <c r="T1110">
        <f t="shared" ca="1" si="71"/>
        <v>49</v>
      </c>
      <c r="U1110">
        <f>VLOOKUP($A1110,'Medical Examination'!$A:$Z,2,FALSE)</f>
        <v>33.020000000000003</v>
      </c>
    </row>
    <row r="1111" spans="1:21" ht="15.5" x14ac:dyDescent="0.35">
      <c r="A1111" s="2" t="s">
        <v>1111</v>
      </c>
      <c r="B1111" s="2" t="s">
        <v>4049</v>
      </c>
      <c r="C1111">
        <v>27.29</v>
      </c>
      <c r="D1111">
        <v>5.85</v>
      </c>
      <c r="E1111" t="s">
        <v>2344</v>
      </c>
      <c r="F1111" t="s">
        <v>2344</v>
      </c>
      <c r="G1111" t="s">
        <v>2344</v>
      </c>
      <c r="H1111">
        <v>1</v>
      </c>
      <c r="I1111" t="s">
        <v>2344</v>
      </c>
      <c r="J1111" t="str">
        <f t="shared" si="69"/>
        <v>Over weight</v>
      </c>
      <c r="K1111" t="str">
        <f t="shared" si="72"/>
        <v>Prediabetes</v>
      </c>
      <c r="L1111">
        <v>12</v>
      </c>
      <c r="M1111" t="s">
        <v>2366</v>
      </c>
      <c r="N1111">
        <v>1970</v>
      </c>
      <c r="O1111" s="8">
        <f t="shared" si="70"/>
        <v>25792</v>
      </c>
      <c r="P1111" s="10">
        <v>9140.9500000000007</v>
      </c>
      <c r="Q1111" t="s">
        <v>2358</v>
      </c>
      <c r="R1111" t="s">
        <v>2358</v>
      </c>
      <c r="S1111" t="s">
        <v>2359</v>
      </c>
      <c r="T1111">
        <f t="shared" ca="1" si="71"/>
        <v>56</v>
      </c>
      <c r="U1111">
        <f>VLOOKUP($A1111,'Medical Examination'!$A:$Z,2,FALSE)</f>
        <v>27.29</v>
      </c>
    </row>
    <row r="1112" spans="1:21" ht="15.5" x14ac:dyDescent="0.35">
      <c r="A1112" s="2" t="s">
        <v>1112</v>
      </c>
      <c r="B1112" s="2" t="s">
        <v>3103</v>
      </c>
      <c r="C1112">
        <v>23.18</v>
      </c>
      <c r="D1112">
        <v>10.56</v>
      </c>
      <c r="E1112" t="s">
        <v>2344</v>
      </c>
      <c r="F1112" t="s">
        <v>2344</v>
      </c>
      <c r="G1112" t="s">
        <v>2344</v>
      </c>
      <c r="H1112">
        <v>1</v>
      </c>
      <c r="I1112" t="s">
        <v>2344</v>
      </c>
      <c r="J1112" t="str">
        <f t="shared" si="69"/>
        <v>Normal Weight</v>
      </c>
      <c r="K1112" t="str">
        <f t="shared" si="72"/>
        <v>Diabetes</v>
      </c>
      <c r="L1112">
        <v>18</v>
      </c>
      <c r="M1112" t="s">
        <v>2367</v>
      </c>
      <c r="N1112">
        <v>1970</v>
      </c>
      <c r="O1112" s="8">
        <f t="shared" si="70"/>
        <v>25859</v>
      </c>
      <c r="P1112" s="10">
        <v>9144.57</v>
      </c>
      <c r="Q1112" t="s">
        <v>2358</v>
      </c>
      <c r="R1112" t="s">
        <v>2357</v>
      </c>
      <c r="S1112" t="s">
        <v>2368</v>
      </c>
      <c r="T1112">
        <f t="shared" ca="1" si="71"/>
        <v>56</v>
      </c>
      <c r="U1112">
        <f>VLOOKUP($A1112,'Medical Examination'!$A:$Z,2,FALSE)</f>
        <v>23.18</v>
      </c>
    </row>
    <row r="1113" spans="1:21" ht="15.5" x14ac:dyDescent="0.35">
      <c r="A1113" s="2" t="s">
        <v>1113</v>
      </c>
      <c r="B1113" s="2" t="s">
        <v>4050</v>
      </c>
      <c r="C1113">
        <v>32.659999999999997</v>
      </c>
      <c r="D1113">
        <v>8.92</v>
      </c>
      <c r="E1113" t="s">
        <v>2346</v>
      </c>
      <c r="F1113" t="s">
        <v>2344</v>
      </c>
      <c r="G1113" t="s">
        <v>2344</v>
      </c>
      <c r="H1113">
        <v>0</v>
      </c>
      <c r="I1113" t="s">
        <v>2344</v>
      </c>
      <c r="J1113" t="str">
        <f t="shared" si="69"/>
        <v>Obesity</v>
      </c>
      <c r="K1113" t="str">
        <f t="shared" si="72"/>
        <v>Diabetes</v>
      </c>
      <c r="L1113">
        <v>8</v>
      </c>
      <c r="M1113" t="s">
        <v>2365</v>
      </c>
      <c r="N1113">
        <v>1982</v>
      </c>
      <c r="O1113" s="8">
        <f t="shared" si="70"/>
        <v>30293</v>
      </c>
      <c r="P1113" s="10">
        <v>9147.5</v>
      </c>
      <c r="Q1113" t="s">
        <v>2357</v>
      </c>
      <c r="R1113" t="s">
        <v>2361</v>
      </c>
      <c r="S1113" t="s">
        <v>2364</v>
      </c>
      <c r="T1113">
        <f t="shared" ca="1" si="71"/>
        <v>44</v>
      </c>
      <c r="U1113">
        <f>VLOOKUP($A1113,'Medical Examination'!$A:$Z,2,FALSE)</f>
        <v>32.659999999999997</v>
      </c>
    </row>
    <row r="1114" spans="1:21" ht="15.5" x14ac:dyDescent="0.35">
      <c r="A1114" s="2" t="s">
        <v>1114</v>
      </c>
      <c r="B1114" s="2" t="s">
        <v>4051</v>
      </c>
      <c r="C1114">
        <v>30.78</v>
      </c>
      <c r="D1114">
        <v>8.6300000000000008</v>
      </c>
      <c r="E1114" t="s">
        <v>2344</v>
      </c>
      <c r="F1114" t="s">
        <v>2344</v>
      </c>
      <c r="G1114" t="s">
        <v>2344</v>
      </c>
      <c r="H1114">
        <v>0</v>
      </c>
      <c r="I1114" t="s">
        <v>2344</v>
      </c>
      <c r="J1114" t="str">
        <f t="shared" si="69"/>
        <v>Obesity</v>
      </c>
      <c r="K1114" t="str">
        <f t="shared" si="72"/>
        <v>Diabetes</v>
      </c>
      <c r="L1114">
        <v>23</v>
      </c>
      <c r="M1114" t="s">
        <v>2366</v>
      </c>
      <c r="N1114">
        <v>1990</v>
      </c>
      <c r="O1114" s="8">
        <f t="shared" si="70"/>
        <v>33108</v>
      </c>
      <c r="P1114" s="10">
        <v>9159.51</v>
      </c>
      <c r="Q1114" t="s">
        <v>2357</v>
      </c>
      <c r="R1114" t="s">
        <v>2357</v>
      </c>
      <c r="S1114" t="s">
        <v>2377</v>
      </c>
      <c r="T1114">
        <f t="shared" ca="1" si="71"/>
        <v>36</v>
      </c>
      <c r="U1114">
        <f>VLOOKUP($A1114,'Medical Examination'!$A:$Z,2,FALSE)</f>
        <v>30.78</v>
      </c>
    </row>
    <row r="1115" spans="1:21" ht="15.5" x14ac:dyDescent="0.35">
      <c r="A1115" s="2" t="s">
        <v>1115</v>
      </c>
      <c r="B1115" s="2" t="s">
        <v>4052</v>
      </c>
      <c r="C1115">
        <v>47.2</v>
      </c>
      <c r="D1115">
        <v>6.29</v>
      </c>
      <c r="E1115" t="s">
        <v>2346</v>
      </c>
      <c r="F1115" t="s">
        <v>2344</v>
      </c>
      <c r="G1115" t="s">
        <v>2346</v>
      </c>
      <c r="H1115">
        <v>1</v>
      </c>
      <c r="I1115" t="s">
        <v>2344</v>
      </c>
      <c r="J1115" t="str">
        <f t="shared" si="69"/>
        <v>Obesity</v>
      </c>
      <c r="K1115" t="str">
        <f t="shared" si="72"/>
        <v>Prediabetes</v>
      </c>
      <c r="L1115">
        <v>24</v>
      </c>
      <c r="M1115" t="s">
        <v>2367</v>
      </c>
      <c r="N1115">
        <v>1970</v>
      </c>
      <c r="O1115" s="8">
        <f t="shared" si="70"/>
        <v>25865</v>
      </c>
      <c r="P1115" s="10">
        <v>9171.75</v>
      </c>
      <c r="Q1115" t="s">
        <v>2357</v>
      </c>
      <c r="R1115" t="s">
        <v>2357</v>
      </c>
      <c r="S1115" t="s">
        <v>2364</v>
      </c>
      <c r="T1115">
        <f t="shared" ca="1" si="71"/>
        <v>56</v>
      </c>
      <c r="U1115">
        <f>VLOOKUP($A1115,'Medical Examination'!$A:$Z,2,FALSE)</f>
        <v>47.2</v>
      </c>
    </row>
    <row r="1116" spans="1:21" ht="15.5" x14ac:dyDescent="0.35">
      <c r="A1116" s="2" t="s">
        <v>1116</v>
      </c>
      <c r="B1116" s="2" t="s">
        <v>4054</v>
      </c>
      <c r="C1116">
        <v>31.6</v>
      </c>
      <c r="D1116">
        <v>5.75</v>
      </c>
      <c r="E1116" t="s">
        <v>2344</v>
      </c>
      <c r="F1116" t="s">
        <v>2344</v>
      </c>
      <c r="G1116" t="s">
        <v>2344</v>
      </c>
      <c r="H1116">
        <v>1</v>
      </c>
      <c r="I1116" t="s">
        <v>2344</v>
      </c>
      <c r="J1116" t="str">
        <f t="shared" si="69"/>
        <v>Obesity</v>
      </c>
      <c r="K1116" t="str">
        <f t="shared" si="72"/>
        <v>Prediabetes</v>
      </c>
      <c r="L1116">
        <v>29</v>
      </c>
      <c r="M1116" t="s">
        <v>2365</v>
      </c>
      <c r="N1116">
        <v>1971</v>
      </c>
      <c r="O1116" s="8">
        <f t="shared" si="70"/>
        <v>26296</v>
      </c>
      <c r="P1116" s="10">
        <v>9174.14</v>
      </c>
      <c r="Q1116" t="s">
        <v>2358</v>
      </c>
      <c r="R1116" t="s">
        <v>2361</v>
      </c>
      <c r="S1116" t="s">
        <v>2364</v>
      </c>
      <c r="T1116">
        <f t="shared" ca="1" si="71"/>
        <v>55</v>
      </c>
      <c r="U1116">
        <f>VLOOKUP($A1116,'Medical Examination'!$A:$Z,2,FALSE)</f>
        <v>31.6</v>
      </c>
    </row>
    <row r="1117" spans="1:21" ht="15.5" x14ac:dyDescent="0.35">
      <c r="A1117" s="2" t="s">
        <v>1117</v>
      </c>
      <c r="B1117" s="2" t="s">
        <v>4056</v>
      </c>
      <c r="C1117">
        <v>33.914999999999999</v>
      </c>
      <c r="D1117">
        <v>6.66</v>
      </c>
      <c r="E1117" t="s">
        <v>2346</v>
      </c>
      <c r="F1117" t="s">
        <v>2344</v>
      </c>
      <c r="G1117" t="s">
        <v>2344</v>
      </c>
      <c r="H1117">
        <v>1</v>
      </c>
      <c r="I1117" t="s">
        <v>2344</v>
      </c>
      <c r="J1117" t="str">
        <f t="shared" si="69"/>
        <v>Obesity</v>
      </c>
      <c r="K1117" t="str">
        <f t="shared" si="72"/>
        <v>Diabetes</v>
      </c>
      <c r="L1117">
        <v>25</v>
      </c>
      <c r="M1117" t="s">
        <v>2365</v>
      </c>
      <c r="N1117">
        <v>1973</v>
      </c>
      <c r="O1117" s="8">
        <f t="shared" si="70"/>
        <v>27023</v>
      </c>
      <c r="P1117" s="10">
        <v>9182.17</v>
      </c>
      <c r="Q1117" t="s">
        <v>2357</v>
      </c>
      <c r="R1117" t="s">
        <v>2358</v>
      </c>
      <c r="S1117" t="s">
        <v>2368</v>
      </c>
      <c r="T1117">
        <f t="shared" ca="1" si="71"/>
        <v>53</v>
      </c>
      <c r="U1117">
        <f>VLOOKUP($A1117,'Medical Examination'!$A:$Z,2,FALSE)</f>
        <v>33.914999999999999</v>
      </c>
    </row>
    <row r="1118" spans="1:21" ht="15.5" x14ac:dyDescent="0.35">
      <c r="A1118" s="2" t="s">
        <v>1118</v>
      </c>
      <c r="B1118" s="2" t="s">
        <v>4057</v>
      </c>
      <c r="C1118">
        <v>23.54</v>
      </c>
      <c r="D1118">
        <v>5.0999999999999996</v>
      </c>
      <c r="E1118" t="s">
        <v>2344</v>
      </c>
      <c r="F1118" t="s">
        <v>2344</v>
      </c>
      <c r="G1118" t="s">
        <v>2344</v>
      </c>
      <c r="H1118">
        <v>1</v>
      </c>
      <c r="I1118" t="s">
        <v>2344</v>
      </c>
      <c r="J1118" t="str">
        <f t="shared" si="69"/>
        <v>Normal Weight</v>
      </c>
      <c r="K1118" t="str">
        <f t="shared" si="72"/>
        <v>Normal</v>
      </c>
      <c r="L1118">
        <v>10</v>
      </c>
      <c r="M1118" t="s">
        <v>2363</v>
      </c>
      <c r="N1118">
        <v>1976</v>
      </c>
      <c r="O1118" s="8">
        <f t="shared" si="70"/>
        <v>28013</v>
      </c>
      <c r="P1118" s="10">
        <v>9193.84</v>
      </c>
      <c r="Q1118" t="s">
        <v>2357</v>
      </c>
      <c r="R1118" t="s">
        <v>2361</v>
      </c>
      <c r="S1118" t="s">
        <v>2364</v>
      </c>
      <c r="T1118">
        <f t="shared" ca="1" si="71"/>
        <v>50</v>
      </c>
      <c r="U1118">
        <f>VLOOKUP($A1118,'Medical Examination'!$A:$Z,2,FALSE)</f>
        <v>23.54</v>
      </c>
    </row>
    <row r="1119" spans="1:21" ht="15.5" x14ac:dyDescent="0.35">
      <c r="A1119" s="2" t="s">
        <v>1119</v>
      </c>
      <c r="B1119" s="2" t="s">
        <v>4059</v>
      </c>
      <c r="C1119">
        <v>27.074999999999999</v>
      </c>
      <c r="D1119">
        <v>4.41</v>
      </c>
      <c r="E1119" t="s">
        <v>2344</v>
      </c>
      <c r="F1119" t="s">
        <v>2344</v>
      </c>
      <c r="G1119" t="s">
        <v>2344</v>
      </c>
      <c r="H1119">
        <v>1</v>
      </c>
      <c r="I1119" t="s">
        <v>2344</v>
      </c>
      <c r="J1119" t="str">
        <f t="shared" si="69"/>
        <v>Over weight</v>
      </c>
      <c r="K1119" t="str">
        <f t="shared" si="72"/>
        <v>Normal</v>
      </c>
      <c r="L1119">
        <v>25</v>
      </c>
      <c r="M1119" t="s">
        <v>2365</v>
      </c>
      <c r="N1119">
        <v>1986</v>
      </c>
      <c r="O1119" s="8">
        <f t="shared" si="70"/>
        <v>31771</v>
      </c>
      <c r="P1119" s="10">
        <v>9210.06</v>
      </c>
      <c r="Q1119" t="s">
        <v>2357</v>
      </c>
      <c r="R1119" t="s">
        <v>2358</v>
      </c>
      <c r="S1119" t="s">
        <v>2377</v>
      </c>
      <c r="T1119">
        <f t="shared" ca="1" si="71"/>
        <v>40</v>
      </c>
      <c r="U1119">
        <f>VLOOKUP($A1119,'Medical Examination'!$A:$Z,2,FALSE)</f>
        <v>27.074999999999999</v>
      </c>
    </row>
    <row r="1120" spans="1:21" ht="15.5" x14ac:dyDescent="0.35">
      <c r="A1120" s="2" t="s">
        <v>1120</v>
      </c>
      <c r="B1120" s="2" t="s">
        <v>4060</v>
      </c>
      <c r="C1120">
        <v>25.8</v>
      </c>
      <c r="D1120">
        <v>5.52</v>
      </c>
      <c r="E1120" t="s">
        <v>2346</v>
      </c>
      <c r="F1120" t="s">
        <v>2344</v>
      </c>
      <c r="G1120" t="s">
        <v>2344</v>
      </c>
      <c r="H1120">
        <v>0</v>
      </c>
      <c r="I1120" t="s">
        <v>2344</v>
      </c>
      <c r="J1120" t="str">
        <f t="shared" si="69"/>
        <v>Over weight</v>
      </c>
      <c r="K1120" t="str">
        <f t="shared" si="72"/>
        <v>Normal</v>
      </c>
      <c r="L1120">
        <v>5</v>
      </c>
      <c r="M1120" t="s">
        <v>2365</v>
      </c>
      <c r="N1120">
        <v>1981</v>
      </c>
      <c r="O1120" s="8">
        <f t="shared" si="70"/>
        <v>29925</v>
      </c>
      <c r="P1120" s="10">
        <v>9222.4</v>
      </c>
      <c r="Q1120" t="s">
        <v>2357</v>
      </c>
      <c r="R1120" t="s">
        <v>2358</v>
      </c>
      <c r="S1120" t="s">
        <v>2370</v>
      </c>
      <c r="T1120">
        <f t="shared" ca="1" si="71"/>
        <v>45</v>
      </c>
      <c r="U1120">
        <f>VLOOKUP($A1120,'Medical Examination'!$A:$Z,2,FALSE)</f>
        <v>25.8</v>
      </c>
    </row>
    <row r="1121" spans="1:21" ht="15.5" x14ac:dyDescent="0.35">
      <c r="A1121" s="2" t="s">
        <v>1121</v>
      </c>
      <c r="B1121" s="2" t="s">
        <v>4061</v>
      </c>
      <c r="C1121">
        <v>36.1</v>
      </c>
      <c r="D1121">
        <v>4.62</v>
      </c>
      <c r="E1121" t="s">
        <v>2346</v>
      </c>
      <c r="F1121" t="s">
        <v>2344</v>
      </c>
      <c r="G1121" t="s">
        <v>2346</v>
      </c>
      <c r="H1121">
        <v>1</v>
      </c>
      <c r="I1121" t="s">
        <v>2344</v>
      </c>
      <c r="J1121" t="str">
        <f t="shared" si="69"/>
        <v>Obesity</v>
      </c>
      <c r="K1121" t="str">
        <f t="shared" si="72"/>
        <v>Normal</v>
      </c>
      <c r="L1121">
        <v>6</v>
      </c>
      <c r="M1121" t="s">
        <v>2365</v>
      </c>
      <c r="N1121">
        <v>1975</v>
      </c>
      <c r="O1121" s="8">
        <f t="shared" si="70"/>
        <v>27734</v>
      </c>
      <c r="P1121" s="10">
        <v>9225.26</v>
      </c>
      <c r="Q1121" t="s">
        <v>2358</v>
      </c>
      <c r="R1121" t="s">
        <v>2358</v>
      </c>
      <c r="S1121" t="s">
        <v>2369</v>
      </c>
      <c r="T1121">
        <f t="shared" ca="1" si="71"/>
        <v>51</v>
      </c>
      <c r="U1121">
        <f>VLOOKUP($A1121,'Medical Examination'!$A:$Z,2,FALSE)</f>
        <v>36.1</v>
      </c>
    </row>
    <row r="1122" spans="1:21" ht="15.5" x14ac:dyDescent="0.35">
      <c r="A1122" s="2" t="s">
        <v>1122</v>
      </c>
      <c r="B1122" s="2" t="s">
        <v>4062</v>
      </c>
      <c r="C1122">
        <v>30.495000000000001</v>
      </c>
      <c r="D1122">
        <v>5.74</v>
      </c>
      <c r="E1122" t="s">
        <v>2346</v>
      </c>
      <c r="F1122" t="s">
        <v>2344</v>
      </c>
      <c r="G1122" t="s">
        <v>2346</v>
      </c>
      <c r="H1122">
        <v>1</v>
      </c>
      <c r="I1122" t="s">
        <v>2344</v>
      </c>
      <c r="J1122" t="str">
        <f t="shared" si="69"/>
        <v>Obesity</v>
      </c>
      <c r="K1122" t="str">
        <f t="shared" si="72"/>
        <v>Prediabetes</v>
      </c>
      <c r="L1122">
        <v>5</v>
      </c>
      <c r="M1122" t="s">
        <v>2367</v>
      </c>
      <c r="N1122">
        <v>1980</v>
      </c>
      <c r="O1122" s="8">
        <f t="shared" si="70"/>
        <v>29499</v>
      </c>
      <c r="P1122" s="10">
        <v>9247.94</v>
      </c>
      <c r="Q1122" t="s">
        <v>2357</v>
      </c>
      <c r="R1122" t="s">
        <v>2361</v>
      </c>
      <c r="S1122" t="s">
        <v>2377</v>
      </c>
      <c r="T1122">
        <f t="shared" ca="1" si="71"/>
        <v>46</v>
      </c>
      <c r="U1122">
        <f>VLOOKUP($A1122,'Medical Examination'!$A:$Z,2,FALSE)</f>
        <v>30.495000000000001</v>
      </c>
    </row>
    <row r="1123" spans="1:21" ht="15.5" x14ac:dyDescent="0.35">
      <c r="A1123" s="2" t="s">
        <v>1123</v>
      </c>
      <c r="B1123" s="2" t="s">
        <v>4063</v>
      </c>
      <c r="C1123">
        <v>21.4</v>
      </c>
      <c r="D1123">
        <v>6.3</v>
      </c>
      <c r="E1123" t="s">
        <v>2346</v>
      </c>
      <c r="F1123" t="s">
        <v>2344</v>
      </c>
      <c r="G1123" t="s">
        <v>2346</v>
      </c>
      <c r="H1123">
        <v>1</v>
      </c>
      <c r="I1123" t="s">
        <v>2344</v>
      </c>
      <c r="J1123" t="str">
        <f t="shared" si="69"/>
        <v>Normal Weight</v>
      </c>
      <c r="K1123" t="str">
        <f t="shared" si="72"/>
        <v>Prediabetes</v>
      </c>
      <c r="L1123">
        <v>21</v>
      </c>
      <c r="M1123" t="s">
        <v>2366</v>
      </c>
      <c r="N1123">
        <v>1974</v>
      </c>
      <c r="O1123" s="8">
        <f t="shared" si="70"/>
        <v>27262</v>
      </c>
      <c r="P1123" s="10">
        <v>9249.5</v>
      </c>
      <c r="Q1123" t="s">
        <v>2357</v>
      </c>
      <c r="R1123" t="s">
        <v>2361</v>
      </c>
      <c r="S1123" t="s">
        <v>2364</v>
      </c>
      <c r="T1123">
        <f t="shared" ca="1" si="71"/>
        <v>52</v>
      </c>
      <c r="U1123">
        <f>VLOOKUP($A1123,'Medical Examination'!$A:$Z,2,FALSE)</f>
        <v>21.4</v>
      </c>
    </row>
    <row r="1124" spans="1:21" ht="15.5" x14ac:dyDescent="0.35">
      <c r="A1124" s="2" t="s">
        <v>1124</v>
      </c>
      <c r="B1124" s="2" t="s">
        <v>4064</v>
      </c>
      <c r="C1124">
        <v>32.299999999999997</v>
      </c>
      <c r="D1124">
        <v>10.27</v>
      </c>
      <c r="E1124" t="s">
        <v>2344</v>
      </c>
      <c r="F1124" t="s">
        <v>2344</v>
      </c>
      <c r="G1124" t="s">
        <v>2344</v>
      </c>
      <c r="H1124">
        <v>0</v>
      </c>
      <c r="I1124" t="s">
        <v>2344</v>
      </c>
      <c r="J1124" t="str">
        <f t="shared" si="69"/>
        <v>Obesity</v>
      </c>
      <c r="K1124" t="str">
        <f t="shared" si="72"/>
        <v>Diabetes</v>
      </c>
      <c r="L1124">
        <v>6</v>
      </c>
      <c r="M1124" t="s">
        <v>2366</v>
      </c>
      <c r="N1124">
        <v>1971</v>
      </c>
      <c r="O1124" s="8">
        <f t="shared" si="70"/>
        <v>26151</v>
      </c>
      <c r="P1124" s="10">
        <v>9264.7999999999993</v>
      </c>
      <c r="Q1124" t="s">
        <v>2357</v>
      </c>
      <c r="R1124" t="s">
        <v>2361</v>
      </c>
      <c r="S1124" t="s">
        <v>2368</v>
      </c>
      <c r="T1124">
        <f t="shared" ca="1" si="71"/>
        <v>55</v>
      </c>
      <c r="U1124">
        <f>VLOOKUP($A1124,'Medical Examination'!$A:$Z,2,FALSE)</f>
        <v>32.299999999999997</v>
      </c>
    </row>
    <row r="1125" spans="1:21" ht="15.5" x14ac:dyDescent="0.35">
      <c r="A1125" s="2" t="s">
        <v>1125</v>
      </c>
      <c r="B1125" s="2" t="s">
        <v>4066</v>
      </c>
      <c r="C1125">
        <v>29.78</v>
      </c>
      <c r="D1125">
        <v>5.85</v>
      </c>
      <c r="E1125" t="s">
        <v>2344</v>
      </c>
      <c r="F1125" t="s">
        <v>2344</v>
      </c>
      <c r="G1125" t="s">
        <v>2346</v>
      </c>
      <c r="H1125">
        <v>1</v>
      </c>
      <c r="I1125" t="s">
        <v>2344</v>
      </c>
      <c r="J1125" t="str">
        <f t="shared" si="69"/>
        <v>Over weight</v>
      </c>
      <c r="K1125" t="str">
        <f t="shared" si="72"/>
        <v>Prediabetes</v>
      </c>
      <c r="L1125">
        <v>27</v>
      </c>
      <c r="M1125" t="s">
        <v>2367</v>
      </c>
      <c r="N1125">
        <v>1973</v>
      </c>
      <c r="O1125" s="8">
        <f t="shared" si="70"/>
        <v>26964</v>
      </c>
      <c r="P1125" s="10">
        <v>9282.48</v>
      </c>
      <c r="Q1125" t="s">
        <v>2358</v>
      </c>
      <c r="R1125" t="s">
        <v>2357</v>
      </c>
      <c r="S1125" t="s">
        <v>2371</v>
      </c>
      <c r="T1125">
        <f t="shared" ca="1" si="71"/>
        <v>53</v>
      </c>
      <c r="U1125">
        <f>VLOOKUP($A1125,'Medical Examination'!$A:$Z,2,FALSE)</f>
        <v>29.78</v>
      </c>
    </row>
    <row r="1126" spans="1:21" ht="15.5" x14ac:dyDescent="0.35">
      <c r="A1126" s="2" t="s">
        <v>1126</v>
      </c>
      <c r="B1126" s="2" t="s">
        <v>4067</v>
      </c>
      <c r="C1126">
        <v>34.76</v>
      </c>
      <c r="D1126">
        <v>5.92</v>
      </c>
      <c r="E1126" t="s">
        <v>2346</v>
      </c>
      <c r="F1126" t="s">
        <v>2344</v>
      </c>
      <c r="G1126" t="s">
        <v>2344</v>
      </c>
      <c r="H1126">
        <v>1</v>
      </c>
      <c r="I1126" t="s">
        <v>2344</v>
      </c>
      <c r="J1126" t="str">
        <f t="shared" si="69"/>
        <v>Obesity</v>
      </c>
      <c r="K1126" t="str">
        <f t="shared" si="72"/>
        <v>Prediabetes</v>
      </c>
      <c r="L1126">
        <v>2</v>
      </c>
      <c r="M1126" t="s">
        <v>2356</v>
      </c>
      <c r="N1126">
        <v>1971</v>
      </c>
      <c r="O1126" s="8">
        <f t="shared" si="70"/>
        <v>26116</v>
      </c>
      <c r="P1126" s="10">
        <v>9283.56</v>
      </c>
      <c r="Q1126" t="s">
        <v>2357</v>
      </c>
      <c r="R1126" t="s">
        <v>2358</v>
      </c>
      <c r="S1126" t="s">
        <v>2359</v>
      </c>
      <c r="T1126">
        <f t="shared" ca="1" si="71"/>
        <v>55</v>
      </c>
      <c r="U1126">
        <f>VLOOKUP($A1126,'Medical Examination'!$A:$Z,2,FALSE)</f>
        <v>34.76</v>
      </c>
    </row>
    <row r="1127" spans="1:21" ht="15.5" x14ac:dyDescent="0.35">
      <c r="A1127" s="2" t="s">
        <v>1127</v>
      </c>
      <c r="B1127" s="2" t="s">
        <v>4068</v>
      </c>
      <c r="C1127">
        <v>18.335000000000001</v>
      </c>
      <c r="D1127">
        <v>10.01</v>
      </c>
      <c r="E1127" t="s">
        <v>2346</v>
      </c>
      <c r="F1127" t="s">
        <v>2344</v>
      </c>
      <c r="G1127" t="s">
        <v>2344</v>
      </c>
      <c r="H1127">
        <v>1</v>
      </c>
      <c r="I1127" t="s">
        <v>2344</v>
      </c>
      <c r="J1127" t="str">
        <f t="shared" si="69"/>
        <v>Under Weight</v>
      </c>
      <c r="K1127" t="str">
        <f t="shared" si="72"/>
        <v>Diabetes</v>
      </c>
      <c r="L1127">
        <v>26</v>
      </c>
      <c r="M1127" t="s">
        <v>2360</v>
      </c>
      <c r="N1127">
        <v>1969</v>
      </c>
      <c r="O1127" s="8">
        <f t="shared" si="70"/>
        <v>25533</v>
      </c>
      <c r="P1127" s="10">
        <v>9285.8700000000008</v>
      </c>
      <c r="Q1127" t="s">
        <v>2357</v>
      </c>
      <c r="R1127" t="s">
        <v>2358</v>
      </c>
      <c r="S1127" t="s">
        <v>2359</v>
      </c>
      <c r="T1127">
        <f t="shared" ca="1" si="71"/>
        <v>57</v>
      </c>
      <c r="U1127">
        <f>VLOOKUP($A1127,'Medical Examination'!$A:$Z,2,FALSE)</f>
        <v>18.335000000000001</v>
      </c>
    </row>
    <row r="1128" spans="1:21" ht="15.5" x14ac:dyDescent="0.35">
      <c r="A1128" s="2" t="s">
        <v>1128</v>
      </c>
      <c r="B1128" s="2" t="s">
        <v>4070</v>
      </c>
      <c r="C1128">
        <v>32.299999999999997</v>
      </c>
      <c r="D1128">
        <v>9.59</v>
      </c>
      <c r="E1128" t="s">
        <v>2344</v>
      </c>
      <c r="F1128" t="s">
        <v>2344</v>
      </c>
      <c r="G1128" t="s">
        <v>2344</v>
      </c>
      <c r="H1128">
        <v>0</v>
      </c>
      <c r="I1128" t="s">
        <v>2344</v>
      </c>
      <c r="J1128" t="str">
        <f t="shared" si="69"/>
        <v>Obesity</v>
      </c>
      <c r="K1128" t="str">
        <f t="shared" si="72"/>
        <v>Diabetes</v>
      </c>
      <c r="L1128">
        <v>16</v>
      </c>
      <c r="M1128" t="s">
        <v>2367</v>
      </c>
      <c r="N1128">
        <v>1973</v>
      </c>
      <c r="O1128" s="8">
        <f t="shared" si="70"/>
        <v>26953</v>
      </c>
      <c r="P1128" s="10">
        <v>9288.0300000000007</v>
      </c>
      <c r="Q1128" t="s">
        <v>2357</v>
      </c>
      <c r="R1128" t="s">
        <v>2358</v>
      </c>
      <c r="S1128" t="s">
        <v>2372</v>
      </c>
      <c r="T1128">
        <f t="shared" ca="1" si="71"/>
        <v>53</v>
      </c>
      <c r="U1128">
        <f>VLOOKUP($A1128,'Medical Examination'!$A:$Z,2,FALSE)</f>
        <v>32.299999999999997</v>
      </c>
    </row>
    <row r="1129" spans="1:21" ht="15.5" x14ac:dyDescent="0.35">
      <c r="A1129" s="2" t="s">
        <v>1129</v>
      </c>
      <c r="B1129" s="2" t="s">
        <v>4071</v>
      </c>
      <c r="C1129">
        <v>27.74</v>
      </c>
      <c r="D1129">
        <v>10.37</v>
      </c>
      <c r="E1129" t="s">
        <v>2344</v>
      </c>
      <c r="F1129" t="s">
        <v>2344</v>
      </c>
      <c r="G1129" t="s">
        <v>2344</v>
      </c>
      <c r="H1129">
        <v>0</v>
      </c>
      <c r="I1129" t="s">
        <v>2344</v>
      </c>
      <c r="J1129" t="str">
        <f t="shared" si="69"/>
        <v>Over weight</v>
      </c>
      <c r="K1129" t="str">
        <f t="shared" si="72"/>
        <v>Diabetes</v>
      </c>
      <c r="L1129">
        <v>18</v>
      </c>
      <c r="M1129" t="s">
        <v>2363</v>
      </c>
      <c r="N1129">
        <v>1973</v>
      </c>
      <c r="O1129" s="8">
        <f t="shared" si="70"/>
        <v>26925</v>
      </c>
      <c r="P1129" s="10">
        <v>9290.14</v>
      </c>
      <c r="Q1129" t="s">
        <v>2358</v>
      </c>
      <c r="R1129" t="s">
        <v>2358</v>
      </c>
      <c r="S1129" t="s">
        <v>2371</v>
      </c>
      <c r="T1129">
        <f t="shared" ca="1" si="71"/>
        <v>53</v>
      </c>
      <c r="U1129">
        <f>VLOOKUP($A1129,'Medical Examination'!$A:$Z,2,FALSE)</f>
        <v>27.74</v>
      </c>
    </row>
    <row r="1130" spans="1:21" ht="15.5" x14ac:dyDescent="0.35">
      <c r="A1130" s="2" t="s">
        <v>1130</v>
      </c>
      <c r="B1130" s="2" t="s">
        <v>4072</v>
      </c>
      <c r="C1130">
        <v>24</v>
      </c>
      <c r="D1130">
        <v>4.01</v>
      </c>
      <c r="E1130" t="s">
        <v>2346</v>
      </c>
      <c r="F1130" t="s">
        <v>2344</v>
      </c>
      <c r="G1130" t="s">
        <v>2344</v>
      </c>
      <c r="H1130">
        <v>1</v>
      </c>
      <c r="I1130" t="s">
        <v>2344</v>
      </c>
      <c r="J1130" t="str">
        <f t="shared" si="69"/>
        <v>Normal Weight</v>
      </c>
      <c r="K1130" t="str">
        <f t="shared" si="72"/>
        <v>Normal</v>
      </c>
      <c r="L1130">
        <v>3</v>
      </c>
      <c r="M1130" t="s">
        <v>2360</v>
      </c>
      <c r="N1130">
        <v>1976</v>
      </c>
      <c r="O1130" s="8">
        <f t="shared" si="70"/>
        <v>28067</v>
      </c>
      <c r="P1130" s="10">
        <v>9301.89</v>
      </c>
      <c r="Q1130" t="s">
        <v>2357</v>
      </c>
      <c r="R1130" t="s">
        <v>2361</v>
      </c>
      <c r="S1130" t="s">
        <v>2364</v>
      </c>
      <c r="T1130">
        <f t="shared" ca="1" si="71"/>
        <v>50</v>
      </c>
      <c r="U1130">
        <f>VLOOKUP($A1130,'Medical Examination'!$A:$Z,2,FALSE)</f>
        <v>24</v>
      </c>
    </row>
    <row r="1131" spans="1:21" ht="15.5" x14ac:dyDescent="0.35">
      <c r="A1131" s="2" t="s">
        <v>1131</v>
      </c>
      <c r="B1131" s="2" t="s">
        <v>4073</v>
      </c>
      <c r="C1131">
        <v>31.78</v>
      </c>
      <c r="D1131">
        <v>4.24</v>
      </c>
      <c r="E1131" t="s">
        <v>2346</v>
      </c>
      <c r="F1131" t="s">
        <v>2344</v>
      </c>
      <c r="G1131" t="s">
        <v>2346</v>
      </c>
      <c r="H1131">
        <v>1</v>
      </c>
      <c r="I1131" t="s">
        <v>2344</v>
      </c>
      <c r="J1131" t="str">
        <f t="shared" si="69"/>
        <v>Obesity</v>
      </c>
      <c r="K1131" t="str">
        <f t="shared" si="72"/>
        <v>Normal</v>
      </c>
      <c r="L1131">
        <v>16</v>
      </c>
      <c r="M1131" t="s">
        <v>2367</v>
      </c>
      <c r="N1131">
        <v>1973</v>
      </c>
      <c r="O1131" s="8">
        <f t="shared" si="70"/>
        <v>26953</v>
      </c>
      <c r="P1131" s="10">
        <v>9304.7000000000007</v>
      </c>
      <c r="Q1131" t="s">
        <v>2358</v>
      </c>
      <c r="R1131" t="s">
        <v>2358</v>
      </c>
      <c r="S1131" t="s">
        <v>2359</v>
      </c>
      <c r="T1131">
        <f t="shared" ca="1" si="71"/>
        <v>53</v>
      </c>
      <c r="U1131">
        <f>VLOOKUP($A1131,'Medical Examination'!$A:$Z,2,FALSE)</f>
        <v>31.78</v>
      </c>
    </row>
    <row r="1132" spans="1:21" ht="15.5" x14ac:dyDescent="0.35">
      <c r="A1132" s="2" t="s">
        <v>1132</v>
      </c>
      <c r="B1132" s="2" t="s">
        <v>4074</v>
      </c>
      <c r="C1132">
        <v>32.25</v>
      </c>
      <c r="D1132">
        <v>5.36</v>
      </c>
      <c r="E1132" t="s">
        <v>2346</v>
      </c>
      <c r="F1132" t="s">
        <v>2344</v>
      </c>
      <c r="G1132" t="s">
        <v>2344</v>
      </c>
      <c r="H1132">
        <v>0</v>
      </c>
      <c r="I1132" t="s">
        <v>2344</v>
      </c>
      <c r="J1132" t="str">
        <f t="shared" si="69"/>
        <v>Obesity</v>
      </c>
      <c r="K1132" t="str">
        <f t="shared" si="72"/>
        <v>Normal</v>
      </c>
      <c r="L1132">
        <v>8</v>
      </c>
      <c r="M1132" t="s">
        <v>2362</v>
      </c>
      <c r="N1132">
        <v>1963</v>
      </c>
      <c r="O1132" s="8">
        <f t="shared" si="70"/>
        <v>23170</v>
      </c>
      <c r="P1132" s="10">
        <v>9310.81</v>
      </c>
      <c r="Q1132" t="s">
        <v>2358</v>
      </c>
      <c r="R1132" t="s">
        <v>2361</v>
      </c>
      <c r="S1132" t="s">
        <v>2359</v>
      </c>
      <c r="T1132">
        <f t="shared" ca="1" si="71"/>
        <v>63</v>
      </c>
      <c r="U1132">
        <f>VLOOKUP($A1132,'Medical Examination'!$A:$Z,2,FALSE)</f>
        <v>32.25</v>
      </c>
    </row>
    <row r="1133" spans="1:21" ht="15.5" x14ac:dyDescent="0.35">
      <c r="A1133" s="2" t="s">
        <v>1133</v>
      </c>
      <c r="B1133" s="2" t="s">
        <v>4075</v>
      </c>
      <c r="C1133">
        <v>30.114999999999998</v>
      </c>
      <c r="D1133">
        <v>4.99</v>
      </c>
      <c r="E1133" t="s">
        <v>2344</v>
      </c>
      <c r="F1133" t="s">
        <v>2344</v>
      </c>
      <c r="G1133" t="s">
        <v>2344</v>
      </c>
      <c r="H1133">
        <v>1</v>
      </c>
      <c r="I1133" t="s">
        <v>2344</v>
      </c>
      <c r="J1133" t="str">
        <f t="shared" si="69"/>
        <v>Obesity</v>
      </c>
      <c r="K1133" t="str">
        <f t="shared" si="72"/>
        <v>Normal</v>
      </c>
      <c r="L1133">
        <v>12</v>
      </c>
      <c r="M1133" t="s">
        <v>2367</v>
      </c>
      <c r="N1133">
        <v>1977</v>
      </c>
      <c r="O1133" s="8">
        <f t="shared" si="70"/>
        <v>28410</v>
      </c>
      <c r="P1133" s="10">
        <v>9315.41</v>
      </c>
      <c r="Q1133" t="s">
        <v>2357</v>
      </c>
      <c r="R1133" t="s">
        <v>2361</v>
      </c>
      <c r="S1133" t="s">
        <v>2374</v>
      </c>
      <c r="T1133">
        <f t="shared" ca="1" si="71"/>
        <v>49</v>
      </c>
      <c r="U1133">
        <f>VLOOKUP($A1133,'Medical Examination'!$A:$Z,2,FALSE)</f>
        <v>30.114999999999998</v>
      </c>
    </row>
    <row r="1134" spans="1:21" ht="15.5" x14ac:dyDescent="0.35">
      <c r="A1134" s="2" t="s">
        <v>1134</v>
      </c>
      <c r="B1134" s="2" t="s">
        <v>4076</v>
      </c>
      <c r="C1134">
        <v>22.41</v>
      </c>
      <c r="D1134">
        <v>8.68</v>
      </c>
      <c r="E1134" t="s">
        <v>2344</v>
      </c>
      <c r="F1134" t="s">
        <v>2344</v>
      </c>
      <c r="G1134" t="s">
        <v>2344</v>
      </c>
      <c r="H1134">
        <v>0</v>
      </c>
      <c r="I1134" t="s">
        <v>2344</v>
      </c>
      <c r="J1134" t="str">
        <f t="shared" si="69"/>
        <v>Normal Weight</v>
      </c>
      <c r="K1134" t="str">
        <f t="shared" si="72"/>
        <v>Diabetes</v>
      </c>
      <c r="L1134">
        <v>9</v>
      </c>
      <c r="M1134" t="s">
        <v>2356</v>
      </c>
      <c r="N1134">
        <v>1988</v>
      </c>
      <c r="O1134" s="8">
        <f t="shared" si="70"/>
        <v>32333</v>
      </c>
      <c r="P1134" s="10">
        <v>9320.26</v>
      </c>
      <c r="Q1134" t="s">
        <v>2357</v>
      </c>
      <c r="R1134" t="s">
        <v>2361</v>
      </c>
      <c r="S1134" t="s">
        <v>2364</v>
      </c>
      <c r="T1134">
        <f t="shared" ca="1" si="71"/>
        <v>38</v>
      </c>
      <c r="U1134">
        <f>VLOOKUP($A1134,'Medical Examination'!$A:$Z,2,FALSE)</f>
        <v>22.41</v>
      </c>
    </row>
    <row r="1135" spans="1:21" ht="15.5" x14ac:dyDescent="0.35">
      <c r="A1135" s="2" t="s">
        <v>1135</v>
      </c>
      <c r="B1135" s="2" t="s">
        <v>4077</v>
      </c>
      <c r="C1135">
        <v>45.72</v>
      </c>
      <c r="D1135">
        <v>4.2300000000000004</v>
      </c>
      <c r="E1135" t="s">
        <v>2346</v>
      </c>
      <c r="F1135" t="s">
        <v>2344</v>
      </c>
      <c r="G1135" t="s">
        <v>2344</v>
      </c>
      <c r="H1135">
        <v>0</v>
      </c>
      <c r="I1135" t="s">
        <v>2344</v>
      </c>
      <c r="J1135" t="str">
        <f t="shared" si="69"/>
        <v>Obesity</v>
      </c>
      <c r="K1135" t="str">
        <f t="shared" si="72"/>
        <v>Normal</v>
      </c>
      <c r="L1135">
        <v>12</v>
      </c>
      <c r="M1135" t="s">
        <v>2367</v>
      </c>
      <c r="N1135">
        <v>1996</v>
      </c>
      <c r="O1135" s="8">
        <f t="shared" si="70"/>
        <v>35350</v>
      </c>
      <c r="P1135" s="10">
        <v>9338.61</v>
      </c>
      <c r="Q1135" t="s">
        <v>2357</v>
      </c>
      <c r="R1135" t="s">
        <v>2361</v>
      </c>
      <c r="S1135" t="s">
        <v>2380</v>
      </c>
      <c r="T1135">
        <f t="shared" ca="1" si="71"/>
        <v>30</v>
      </c>
      <c r="U1135">
        <f>VLOOKUP($A1135,'Medical Examination'!$A:$Z,2,FALSE)</f>
        <v>45.72</v>
      </c>
    </row>
    <row r="1136" spans="1:21" ht="15.5" x14ac:dyDescent="0.35">
      <c r="A1136" s="2" t="s">
        <v>1136</v>
      </c>
      <c r="B1136" s="2" t="s">
        <v>4078</v>
      </c>
      <c r="C1136">
        <v>25</v>
      </c>
      <c r="D1136">
        <v>5.32</v>
      </c>
      <c r="E1136" t="s">
        <v>2346</v>
      </c>
      <c r="F1136" t="s">
        <v>2344</v>
      </c>
      <c r="G1136" t="s">
        <v>2344</v>
      </c>
      <c r="H1136">
        <v>1</v>
      </c>
      <c r="I1136" t="s">
        <v>2344</v>
      </c>
      <c r="J1136" t="str">
        <f t="shared" si="69"/>
        <v>Over weight</v>
      </c>
      <c r="K1136" t="str">
        <f t="shared" si="72"/>
        <v>Normal</v>
      </c>
      <c r="L1136">
        <v>1</v>
      </c>
      <c r="M1136" t="s">
        <v>2356</v>
      </c>
      <c r="N1136">
        <v>1988</v>
      </c>
      <c r="O1136" s="8">
        <f t="shared" si="70"/>
        <v>32325</v>
      </c>
      <c r="P1136" s="10">
        <v>9344.2000000000007</v>
      </c>
      <c r="Q1136" t="s">
        <v>2357</v>
      </c>
      <c r="R1136" t="s">
        <v>2361</v>
      </c>
      <c r="S1136" t="s">
        <v>2377</v>
      </c>
      <c r="T1136">
        <f t="shared" ca="1" si="71"/>
        <v>38</v>
      </c>
      <c r="U1136">
        <f>VLOOKUP($A1136,'Medical Examination'!$A:$Z,2,FALSE)</f>
        <v>25</v>
      </c>
    </row>
    <row r="1137" spans="1:21" ht="15.5" x14ac:dyDescent="0.35">
      <c r="A1137" s="2" t="s">
        <v>1137</v>
      </c>
      <c r="B1137" s="2" t="s">
        <v>4079</v>
      </c>
      <c r="C1137">
        <v>39.5</v>
      </c>
      <c r="D1137">
        <v>6.66</v>
      </c>
      <c r="E1137" t="s">
        <v>2344</v>
      </c>
      <c r="F1137" t="s">
        <v>2344</v>
      </c>
      <c r="G1137" t="s">
        <v>2344</v>
      </c>
      <c r="H1137">
        <v>0</v>
      </c>
      <c r="I1137" t="s">
        <v>2344</v>
      </c>
      <c r="J1137" t="str">
        <f t="shared" si="69"/>
        <v>Obesity</v>
      </c>
      <c r="K1137" t="str">
        <f t="shared" si="72"/>
        <v>Diabetes</v>
      </c>
      <c r="L1137">
        <v>8</v>
      </c>
      <c r="M1137" t="s">
        <v>2367</v>
      </c>
      <c r="N1137">
        <v>1971</v>
      </c>
      <c r="O1137" s="8">
        <f t="shared" si="70"/>
        <v>26214</v>
      </c>
      <c r="P1137" s="10">
        <v>9361.33</v>
      </c>
      <c r="Q1137" t="s">
        <v>2358</v>
      </c>
      <c r="R1137" t="s">
        <v>2361</v>
      </c>
      <c r="S1137" t="s">
        <v>2371</v>
      </c>
      <c r="T1137">
        <f t="shared" ca="1" si="71"/>
        <v>55</v>
      </c>
      <c r="U1137">
        <f>VLOOKUP($A1137,'Medical Examination'!$A:$Z,2,FALSE)</f>
        <v>39.5</v>
      </c>
    </row>
    <row r="1138" spans="1:21" ht="15.5" x14ac:dyDescent="0.35">
      <c r="A1138" s="2" t="s">
        <v>1138</v>
      </c>
      <c r="B1138" s="2" t="s">
        <v>4080</v>
      </c>
      <c r="C1138">
        <v>37.729999999999997</v>
      </c>
      <c r="D1138">
        <v>7.4</v>
      </c>
      <c r="E1138" t="s">
        <v>2344</v>
      </c>
      <c r="F1138" t="s">
        <v>2344</v>
      </c>
      <c r="G1138" t="s">
        <v>2344</v>
      </c>
      <c r="H1138">
        <v>0</v>
      </c>
      <c r="I1138" t="s">
        <v>2344</v>
      </c>
      <c r="J1138" t="str">
        <f t="shared" si="69"/>
        <v>Obesity</v>
      </c>
      <c r="K1138" t="str">
        <f t="shared" si="72"/>
        <v>Diabetes</v>
      </c>
      <c r="L1138">
        <v>24</v>
      </c>
      <c r="M1138" t="s">
        <v>2360</v>
      </c>
      <c r="N1138">
        <v>1969</v>
      </c>
      <c r="O1138" s="8">
        <f t="shared" si="70"/>
        <v>25531</v>
      </c>
      <c r="P1138" s="10">
        <v>9377.4500000000007</v>
      </c>
      <c r="Q1138" t="s">
        <v>2357</v>
      </c>
      <c r="R1138" t="s">
        <v>2358</v>
      </c>
      <c r="S1138" t="s">
        <v>2359</v>
      </c>
      <c r="T1138">
        <f t="shared" ca="1" si="71"/>
        <v>57</v>
      </c>
      <c r="U1138">
        <f>VLOOKUP($A1138,'Medical Examination'!$A:$Z,2,FALSE)</f>
        <v>37.729999999999997</v>
      </c>
    </row>
    <row r="1139" spans="1:21" ht="15.5" x14ac:dyDescent="0.35">
      <c r="A1139" s="2" t="s">
        <v>1139</v>
      </c>
      <c r="B1139" s="2" t="s">
        <v>4082</v>
      </c>
      <c r="C1139">
        <v>40.659999999999997</v>
      </c>
      <c r="D1139">
        <v>10.08</v>
      </c>
      <c r="E1139" t="s">
        <v>2344</v>
      </c>
      <c r="F1139" t="s">
        <v>2344</v>
      </c>
      <c r="G1139" t="s">
        <v>2344</v>
      </c>
      <c r="H1139">
        <v>0</v>
      </c>
      <c r="I1139" t="s">
        <v>2344</v>
      </c>
      <c r="J1139" t="str">
        <f t="shared" si="69"/>
        <v>Obesity</v>
      </c>
      <c r="K1139" t="str">
        <f t="shared" si="72"/>
        <v>Diabetes</v>
      </c>
      <c r="L1139">
        <v>26</v>
      </c>
      <c r="M1139" t="s">
        <v>2360</v>
      </c>
      <c r="N1139">
        <v>1971</v>
      </c>
      <c r="O1139" s="8">
        <f t="shared" si="70"/>
        <v>26263</v>
      </c>
      <c r="P1139" s="10">
        <v>9377.9</v>
      </c>
      <c r="Q1139" t="s">
        <v>2357</v>
      </c>
      <c r="R1139" t="s">
        <v>2361</v>
      </c>
      <c r="S1139" t="s">
        <v>2359</v>
      </c>
      <c r="T1139">
        <f t="shared" ca="1" si="71"/>
        <v>55</v>
      </c>
      <c r="U1139">
        <f>VLOOKUP($A1139,'Medical Examination'!$A:$Z,2,FALSE)</f>
        <v>40.659999999999997</v>
      </c>
    </row>
    <row r="1140" spans="1:21" ht="15.5" x14ac:dyDescent="0.35">
      <c r="A1140" s="2" t="s">
        <v>1140</v>
      </c>
      <c r="B1140" s="2" t="s">
        <v>4083</v>
      </c>
      <c r="C1140">
        <v>34.200000000000003</v>
      </c>
      <c r="D1140">
        <v>8.58</v>
      </c>
      <c r="E1140" t="s">
        <v>2344</v>
      </c>
      <c r="F1140" t="s">
        <v>2344</v>
      </c>
      <c r="G1140" t="s">
        <v>2344</v>
      </c>
      <c r="H1140">
        <v>0</v>
      </c>
      <c r="I1140" t="s">
        <v>2344</v>
      </c>
      <c r="J1140" t="str">
        <f t="shared" si="69"/>
        <v>Obesity</v>
      </c>
      <c r="K1140" t="str">
        <f t="shared" si="72"/>
        <v>Diabetes</v>
      </c>
      <c r="L1140">
        <v>2</v>
      </c>
      <c r="M1140" t="s">
        <v>2365</v>
      </c>
      <c r="N1140">
        <v>1975</v>
      </c>
      <c r="O1140" s="8">
        <f t="shared" si="70"/>
        <v>27730</v>
      </c>
      <c r="P1140" s="10">
        <v>9380.75</v>
      </c>
      <c r="Q1140" t="s">
        <v>2357</v>
      </c>
      <c r="R1140" t="s">
        <v>2357</v>
      </c>
      <c r="S1140" t="s">
        <v>2374</v>
      </c>
      <c r="T1140">
        <f t="shared" ca="1" si="71"/>
        <v>51</v>
      </c>
      <c r="U1140">
        <f>VLOOKUP($A1140,'Medical Examination'!$A:$Z,2,FALSE)</f>
        <v>34.200000000000003</v>
      </c>
    </row>
    <row r="1141" spans="1:21" ht="15.5" x14ac:dyDescent="0.35">
      <c r="A1141" s="2" t="s">
        <v>1141</v>
      </c>
      <c r="B1141" s="2" t="s">
        <v>4085</v>
      </c>
      <c r="C1141">
        <v>46.51</v>
      </c>
      <c r="D1141">
        <v>5.84</v>
      </c>
      <c r="E1141" t="s">
        <v>2344</v>
      </c>
      <c r="F1141" t="s">
        <v>2344</v>
      </c>
      <c r="G1141" t="s">
        <v>2344</v>
      </c>
      <c r="H1141">
        <v>1</v>
      </c>
      <c r="I1141" t="s">
        <v>2344</v>
      </c>
      <c r="J1141" t="str">
        <f t="shared" si="69"/>
        <v>Obesity</v>
      </c>
      <c r="K1141" t="str">
        <f t="shared" si="72"/>
        <v>Prediabetes</v>
      </c>
      <c r="L1141">
        <v>29</v>
      </c>
      <c r="M1141" t="s">
        <v>2365</v>
      </c>
      <c r="N1141">
        <v>1971</v>
      </c>
      <c r="O1141" s="8">
        <f t="shared" si="70"/>
        <v>26296</v>
      </c>
      <c r="P1141" s="10">
        <v>9386.16</v>
      </c>
      <c r="Q1141" t="s">
        <v>2358</v>
      </c>
      <c r="R1141" t="s">
        <v>2357</v>
      </c>
      <c r="S1141" t="s">
        <v>2359</v>
      </c>
      <c r="T1141">
        <f t="shared" ca="1" si="71"/>
        <v>55</v>
      </c>
      <c r="U1141">
        <f>VLOOKUP($A1141,'Medical Examination'!$A:$Z,2,FALSE)</f>
        <v>46.51</v>
      </c>
    </row>
    <row r="1142" spans="1:21" ht="15.5" x14ac:dyDescent="0.35">
      <c r="A1142" s="2" t="s">
        <v>1142</v>
      </c>
      <c r="B1142" s="2" t="s">
        <v>2824</v>
      </c>
      <c r="C1142">
        <v>28.88</v>
      </c>
      <c r="D1142">
        <v>4.8600000000000003</v>
      </c>
      <c r="E1142" t="s">
        <v>2346</v>
      </c>
      <c r="F1142" t="s">
        <v>2344</v>
      </c>
      <c r="G1142" t="s">
        <v>2346</v>
      </c>
      <c r="H1142">
        <v>1</v>
      </c>
      <c r="I1142" t="s">
        <v>2344</v>
      </c>
      <c r="J1142" t="str">
        <f t="shared" si="69"/>
        <v>Over weight</v>
      </c>
      <c r="K1142" t="str">
        <f t="shared" si="72"/>
        <v>Normal</v>
      </c>
      <c r="L1142">
        <v>20</v>
      </c>
      <c r="M1142" t="s">
        <v>2367</v>
      </c>
      <c r="N1142">
        <v>1971</v>
      </c>
      <c r="O1142" s="8">
        <f t="shared" si="70"/>
        <v>26226</v>
      </c>
      <c r="P1142" s="10">
        <v>9391.35</v>
      </c>
      <c r="Q1142" t="s">
        <v>2358</v>
      </c>
      <c r="R1142" t="s">
        <v>2358</v>
      </c>
      <c r="S1142" t="s">
        <v>2368</v>
      </c>
      <c r="T1142">
        <f t="shared" ca="1" si="71"/>
        <v>55</v>
      </c>
      <c r="U1142">
        <f>VLOOKUP($A1142,'Medical Examination'!$A:$Z,2,FALSE)</f>
        <v>28.88</v>
      </c>
    </row>
    <row r="1143" spans="1:21" ht="15.5" x14ac:dyDescent="0.35">
      <c r="A1143" s="2" t="s">
        <v>1143</v>
      </c>
      <c r="B1143" s="2" t="s">
        <v>4086</v>
      </c>
      <c r="C1143">
        <v>33.914999999999999</v>
      </c>
      <c r="D1143">
        <v>11.52</v>
      </c>
      <c r="E1143" t="s">
        <v>2344</v>
      </c>
      <c r="F1143" t="s">
        <v>2344</v>
      </c>
      <c r="G1143" t="s">
        <v>2344</v>
      </c>
      <c r="H1143">
        <v>0</v>
      </c>
      <c r="I1143" t="s">
        <v>2344</v>
      </c>
      <c r="J1143" t="str">
        <f t="shared" si="69"/>
        <v>Obesity</v>
      </c>
      <c r="K1143" t="str">
        <f t="shared" si="72"/>
        <v>Diabetes</v>
      </c>
      <c r="L1143">
        <v>17</v>
      </c>
      <c r="M1143" t="s">
        <v>2367</v>
      </c>
      <c r="N1143">
        <v>1976</v>
      </c>
      <c r="O1143" s="8">
        <f t="shared" si="70"/>
        <v>28050</v>
      </c>
      <c r="P1143" s="10">
        <v>9411.01</v>
      </c>
      <c r="Q1143" t="s">
        <v>2357</v>
      </c>
      <c r="R1143" t="s">
        <v>2358</v>
      </c>
      <c r="S1143" t="s">
        <v>2374</v>
      </c>
      <c r="T1143">
        <f t="shared" ca="1" si="71"/>
        <v>50</v>
      </c>
      <c r="U1143">
        <f>VLOOKUP($A1143,'Medical Examination'!$A:$Z,2,FALSE)</f>
        <v>33.914999999999999</v>
      </c>
    </row>
    <row r="1144" spans="1:21" ht="15.5" x14ac:dyDescent="0.35">
      <c r="A1144" s="2" t="s">
        <v>1144</v>
      </c>
      <c r="B1144" s="2" t="s">
        <v>4087</v>
      </c>
      <c r="C1144">
        <v>24.32</v>
      </c>
      <c r="D1144">
        <v>6.15</v>
      </c>
      <c r="E1144" t="s">
        <v>2346</v>
      </c>
      <c r="F1144" t="s">
        <v>2344</v>
      </c>
      <c r="G1144" t="s">
        <v>2346</v>
      </c>
      <c r="H1144">
        <v>1</v>
      </c>
      <c r="I1144" t="s">
        <v>2344</v>
      </c>
      <c r="J1144" t="str">
        <f t="shared" si="69"/>
        <v>Normal Weight</v>
      </c>
      <c r="K1144" t="str">
        <f t="shared" si="72"/>
        <v>Prediabetes</v>
      </c>
      <c r="L1144">
        <v>30</v>
      </c>
      <c r="M1144" t="s">
        <v>2367</v>
      </c>
      <c r="N1144">
        <v>1976</v>
      </c>
      <c r="O1144" s="8">
        <f t="shared" si="70"/>
        <v>28063</v>
      </c>
      <c r="P1144" s="10">
        <v>9414.92</v>
      </c>
      <c r="Q1144" t="s">
        <v>2357</v>
      </c>
      <c r="R1144" t="s">
        <v>2357</v>
      </c>
      <c r="S1144" t="s">
        <v>2368</v>
      </c>
      <c r="T1144">
        <f t="shared" ca="1" si="71"/>
        <v>50</v>
      </c>
      <c r="U1144">
        <f>VLOOKUP($A1144,'Medical Examination'!$A:$Z,2,FALSE)</f>
        <v>24.32</v>
      </c>
    </row>
    <row r="1145" spans="1:21" ht="15.5" x14ac:dyDescent="0.35">
      <c r="A1145" s="2" t="s">
        <v>1145</v>
      </c>
      <c r="B1145" s="2" t="s">
        <v>4088</v>
      </c>
      <c r="C1145">
        <v>25.8</v>
      </c>
      <c r="D1145">
        <v>9.94</v>
      </c>
      <c r="E1145" t="s">
        <v>2344</v>
      </c>
      <c r="F1145" t="s">
        <v>2344</v>
      </c>
      <c r="G1145" t="s">
        <v>2344</v>
      </c>
      <c r="H1145">
        <v>0</v>
      </c>
      <c r="I1145" t="s">
        <v>2344</v>
      </c>
      <c r="J1145" t="str">
        <f t="shared" si="69"/>
        <v>Over weight</v>
      </c>
      <c r="K1145" t="str">
        <f t="shared" si="72"/>
        <v>Diabetes</v>
      </c>
      <c r="L1145">
        <v>3</v>
      </c>
      <c r="M1145" t="s">
        <v>2360</v>
      </c>
      <c r="N1145">
        <v>1976</v>
      </c>
      <c r="O1145" s="8">
        <f t="shared" si="70"/>
        <v>28067</v>
      </c>
      <c r="P1145" s="10">
        <v>9432.93</v>
      </c>
      <c r="Q1145" t="s">
        <v>2357</v>
      </c>
      <c r="R1145" t="s">
        <v>2361</v>
      </c>
      <c r="S1145" t="s">
        <v>2374</v>
      </c>
      <c r="T1145">
        <f t="shared" ca="1" si="71"/>
        <v>50</v>
      </c>
      <c r="U1145">
        <f>VLOOKUP($A1145,'Medical Examination'!$A:$Z,2,FALSE)</f>
        <v>25.8</v>
      </c>
    </row>
    <row r="1146" spans="1:21" ht="15.5" x14ac:dyDescent="0.35">
      <c r="A1146" s="2" t="s">
        <v>1146</v>
      </c>
      <c r="B1146" s="2" t="s">
        <v>4090</v>
      </c>
      <c r="C1146">
        <v>21.56</v>
      </c>
      <c r="D1146">
        <v>10.56</v>
      </c>
      <c r="E1146" t="s">
        <v>2344</v>
      </c>
      <c r="F1146" t="s">
        <v>2344</v>
      </c>
      <c r="G1146" t="s">
        <v>2344</v>
      </c>
      <c r="H1146">
        <v>0</v>
      </c>
      <c r="I1146" t="s">
        <v>2344</v>
      </c>
      <c r="J1146" t="str">
        <f t="shared" si="69"/>
        <v>Normal Weight</v>
      </c>
      <c r="K1146" t="str">
        <f t="shared" si="72"/>
        <v>Diabetes</v>
      </c>
      <c r="L1146">
        <v>27</v>
      </c>
      <c r="M1146" t="s">
        <v>2360</v>
      </c>
      <c r="N1146">
        <v>1974</v>
      </c>
      <c r="O1146" s="8">
        <f t="shared" si="70"/>
        <v>27360</v>
      </c>
      <c r="P1146" s="10">
        <v>9447.25</v>
      </c>
      <c r="Q1146" t="s">
        <v>2357</v>
      </c>
      <c r="R1146" t="s">
        <v>2361</v>
      </c>
      <c r="S1146" t="s">
        <v>2374</v>
      </c>
      <c r="T1146">
        <f t="shared" ca="1" si="71"/>
        <v>52</v>
      </c>
      <c r="U1146">
        <f>VLOOKUP($A1146,'Medical Examination'!$A:$Z,2,FALSE)</f>
        <v>21.56</v>
      </c>
    </row>
    <row r="1147" spans="1:21" ht="15.5" x14ac:dyDescent="0.35">
      <c r="A1147" s="2" t="s">
        <v>1147</v>
      </c>
      <c r="B1147" s="2" t="s">
        <v>4091</v>
      </c>
      <c r="C1147">
        <v>31.6</v>
      </c>
      <c r="D1147">
        <v>6.79</v>
      </c>
      <c r="E1147" t="s">
        <v>2344</v>
      </c>
      <c r="F1147" t="s">
        <v>2344</v>
      </c>
      <c r="G1147" t="s">
        <v>2344</v>
      </c>
      <c r="H1147">
        <v>0</v>
      </c>
      <c r="I1147" t="s">
        <v>2344</v>
      </c>
      <c r="J1147" t="str">
        <f t="shared" si="69"/>
        <v>Obesity</v>
      </c>
      <c r="K1147" t="str">
        <f t="shared" si="72"/>
        <v>Diabetes</v>
      </c>
      <c r="L1147">
        <v>8</v>
      </c>
      <c r="M1147" t="s">
        <v>2362</v>
      </c>
      <c r="N1147">
        <v>1974</v>
      </c>
      <c r="O1147" s="8">
        <f t="shared" si="70"/>
        <v>27188</v>
      </c>
      <c r="P1147" s="10">
        <v>9447.3799999999992</v>
      </c>
      <c r="Q1147" t="s">
        <v>2357</v>
      </c>
      <c r="R1147" t="s">
        <v>2358</v>
      </c>
      <c r="S1147" t="s">
        <v>2374</v>
      </c>
      <c r="T1147">
        <f t="shared" ca="1" si="71"/>
        <v>52</v>
      </c>
      <c r="U1147">
        <f>VLOOKUP($A1147,'Medical Examination'!$A:$Z,2,FALSE)</f>
        <v>31.6</v>
      </c>
    </row>
    <row r="1148" spans="1:21" ht="15.5" x14ac:dyDescent="0.35">
      <c r="A1148" s="2" t="s">
        <v>1148</v>
      </c>
      <c r="B1148" s="2" t="s">
        <v>4093</v>
      </c>
      <c r="C1148">
        <v>42.93</v>
      </c>
      <c r="D1148">
        <v>4.8</v>
      </c>
      <c r="E1148" t="s">
        <v>2344</v>
      </c>
      <c r="F1148" t="s">
        <v>2344</v>
      </c>
      <c r="G1148" t="s">
        <v>2344</v>
      </c>
      <c r="H1148">
        <v>1</v>
      </c>
      <c r="I1148" t="s">
        <v>2344</v>
      </c>
      <c r="J1148" t="str">
        <f t="shared" si="69"/>
        <v>Obesity</v>
      </c>
      <c r="K1148" t="str">
        <f t="shared" si="72"/>
        <v>Normal</v>
      </c>
      <c r="L1148">
        <v>14</v>
      </c>
      <c r="M1148" t="s">
        <v>2360</v>
      </c>
      <c r="N1148">
        <v>1987</v>
      </c>
      <c r="O1148" s="8">
        <f t="shared" si="70"/>
        <v>32095</v>
      </c>
      <c r="P1148" s="10">
        <v>9448.42</v>
      </c>
      <c r="Q1148" t="s">
        <v>2357</v>
      </c>
      <c r="R1148" t="s">
        <v>2358</v>
      </c>
      <c r="S1148" t="s">
        <v>2377</v>
      </c>
      <c r="T1148">
        <f t="shared" ca="1" si="71"/>
        <v>39</v>
      </c>
      <c r="U1148">
        <f>VLOOKUP($A1148,'Medical Examination'!$A:$Z,2,FALSE)</f>
        <v>42.93</v>
      </c>
    </row>
    <row r="1149" spans="1:21" ht="15.5" x14ac:dyDescent="0.35">
      <c r="A1149" s="2" t="s">
        <v>1149</v>
      </c>
      <c r="B1149" s="2" t="s">
        <v>4094</v>
      </c>
      <c r="C1149">
        <v>26.72</v>
      </c>
      <c r="D1149">
        <v>5.75</v>
      </c>
      <c r="E1149" t="s">
        <v>2344</v>
      </c>
      <c r="F1149" t="s">
        <v>2344</v>
      </c>
      <c r="G1149" t="s">
        <v>2344</v>
      </c>
      <c r="H1149">
        <v>1</v>
      </c>
      <c r="I1149" t="s">
        <v>2344</v>
      </c>
      <c r="J1149" t="str">
        <f t="shared" si="69"/>
        <v>Over weight</v>
      </c>
      <c r="K1149" t="str">
        <f t="shared" si="72"/>
        <v>Prediabetes</v>
      </c>
      <c r="L1149">
        <v>17</v>
      </c>
      <c r="M1149" t="s">
        <v>2356</v>
      </c>
      <c r="N1149">
        <v>1979</v>
      </c>
      <c r="O1149" s="8">
        <f t="shared" si="70"/>
        <v>29053</v>
      </c>
      <c r="P1149" s="10">
        <v>9453.92</v>
      </c>
      <c r="Q1149" t="s">
        <v>2357</v>
      </c>
      <c r="R1149" t="s">
        <v>2357</v>
      </c>
      <c r="S1149" t="s">
        <v>2377</v>
      </c>
      <c r="T1149">
        <f t="shared" ca="1" si="71"/>
        <v>47</v>
      </c>
      <c r="U1149">
        <f>VLOOKUP($A1149,'Medical Examination'!$A:$Z,2,FALSE)</f>
        <v>26.72</v>
      </c>
    </row>
    <row r="1150" spans="1:21" ht="15.5" x14ac:dyDescent="0.35">
      <c r="A1150" s="2" t="s">
        <v>1150</v>
      </c>
      <c r="B1150" s="2" t="s">
        <v>4095</v>
      </c>
      <c r="C1150">
        <v>26.67</v>
      </c>
      <c r="D1150">
        <v>5.81</v>
      </c>
      <c r="E1150" t="s">
        <v>2344</v>
      </c>
      <c r="F1150" t="s">
        <v>2344</v>
      </c>
      <c r="G1150" t="s">
        <v>2344</v>
      </c>
      <c r="H1150">
        <v>1</v>
      </c>
      <c r="I1150" t="s">
        <v>2344</v>
      </c>
      <c r="J1150" t="str">
        <f t="shared" si="69"/>
        <v>Over weight</v>
      </c>
      <c r="K1150" t="str">
        <f t="shared" si="72"/>
        <v>Prediabetes</v>
      </c>
      <c r="L1150">
        <v>4</v>
      </c>
      <c r="M1150" t="s">
        <v>2362</v>
      </c>
      <c r="N1150">
        <v>1969</v>
      </c>
      <c r="O1150" s="8">
        <f t="shared" si="70"/>
        <v>25358</v>
      </c>
      <c r="P1150" s="10">
        <v>9487.64</v>
      </c>
      <c r="Q1150" t="s">
        <v>2357</v>
      </c>
      <c r="R1150" t="s">
        <v>2357</v>
      </c>
      <c r="S1150" t="s">
        <v>2359</v>
      </c>
      <c r="T1150">
        <f t="shared" ca="1" si="71"/>
        <v>57</v>
      </c>
      <c r="U1150">
        <f>VLOOKUP($A1150,'Medical Examination'!$A:$Z,2,FALSE)</f>
        <v>26.67</v>
      </c>
    </row>
    <row r="1151" spans="1:21" ht="15.5" x14ac:dyDescent="0.35">
      <c r="A1151" s="2" t="s">
        <v>1151</v>
      </c>
      <c r="B1151" s="2" t="s">
        <v>4096</v>
      </c>
      <c r="C1151">
        <v>42.68</v>
      </c>
      <c r="D1151">
        <v>9.2799999999999994</v>
      </c>
      <c r="E1151" t="s">
        <v>2344</v>
      </c>
      <c r="F1151" t="s">
        <v>2344</v>
      </c>
      <c r="G1151" t="s">
        <v>2344</v>
      </c>
      <c r="H1151">
        <v>1</v>
      </c>
      <c r="I1151" t="s">
        <v>2344</v>
      </c>
      <c r="J1151" t="str">
        <f t="shared" si="69"/>
        <v>Obesity</v>
      </c>
      <c r="K1151" t="str">
        <f t="shared" si="72"/>
        <v>Diabetes</v>
      </c>
      <c r="L1151">
        <v>28</v>
      </c>
      <c r="M1151" t="s">
        <v>2360</v>
      </c>
      <c r="N1151">
        <v>1976</v>
      </c>
      <c r="O1151" s="8">
        <f t="shared" si="70"/>
        <v>28092</v>
      </c>
      <c r="P1151" s="10">
        <v>9500.57</v>
      </c>
      <c r="Q1151" t="s">
        <v>2357</v>
      </c>
      <c r="R1151" t="s">
        <v>2358</v>
      </c>
      <c r="S1151" t="s">
        <v>2378</v>
      </c>
      <c r="T1151">
        <f t="shared" ca="1" si="71"/>
        <v>50</v>
      </c>
      <c r="U1151">
        <f>VLOOKUP($A1151,'Medical Examination'!$A:$Z,2,FALSE)</f>
        <v>42.68</v>
      </c>
    </row>
    <row r="1152" spans="1:21" ht="15.5" x14ac:dyDescent="0.35">
      <c r="A1152" s="2" t="s">
        <v>1152</v>
      </c>
      <c r="B1152" s="2" t="s">
        <v>3284</v>
      </c>
      <c r="C1152">
        <v>24.31</v>
      </c>
      <c r="D1152">
        <v>6.37</v>
      </c>
      <c r="E1152" t="s">
        <v>2344</v>
      </c>
      <c r="F1152" t="s">
        <v>2344</v>
      </c>
      <c r="G1152" t="s">
        <v>2344</v>
      </c>
      <c r="H1152">
        <v>0</v>
      </c>
      <c r="I1152" t="s">
        <v>2344</v>
      </c>
      <c r="J1152" t="str">
        <f t="shared" si="69"/>
        <v>Normal Weight</v>
      </c>
      <c r="K1152" t="str">
        <f t="shared" si="72"/>
        <v>Prediabetes</v>
      </c>
      <c r="L1152">
        <v>24</v>
      </c>
      <c r="M1152" t="s">
        <v>2366</v>
      </c>
      <c r="N1152">
        <v>1969</v>
      </c>
      <c r="O1152" s="8">
        <f t="shared" si="70"/>
        <v>25439</v>
      </c>
      <c r="P1152" s="10">
        <v>9504.31</v>
      </c>
      <c r="Q1152" t="s">
        <v>2358</v>
      </c>
      <c r="R1152" t="s">
        <v>2357</v>
      </c>
      <c r="S1152" t="s">
        <v>2359</v>
      </c>
      <c r="T1152">
        <f t="shared" ca="1" si="71"/>
        <v>57</v>
      </c>
      <c r="U1152">
        <f>VLOOKUP($A1152,'Medical Examination'!$A:$Z,2,FALSE)</f>
        <v>24.31</v>
      </c>
    </row>
    <row r="1153" spans="1:21" ht="15.5" x14ac:dyDescent="0.35">
      <c r="A1153" s="2" t="s">
        <v>1153</v>
      </c>
      <c r="B1153" s="2" t="s">
        <v>4098</v>
      </c>
      <c r="C1153">
        <v>44.75</v>
      </c>
      <c r="D1153">
        <v>5.09</v>
      </c>
      <c r="E1153" t="s">
        <v>2346</v>
      </c>
      <c r="F1153" t="s">
        <v>2344</v>
      </c>
      <c r="G1153" t="s">
        <v>2344</v>
      </c>
      <c r="H1153">
        <v>0</v>
      </c>
      <c r="I1153" t="s">
        <v>2344</v>
      </c>
      <c r="J1153" t="str">
        <f t="shared" si="69"/>
        <v>Obesity</v>
      </c>
      <c r="K1153" t="str">
        <f t="shared" si="72"/>
        <v>Normal</v>
      </c>
      <c r="L1153">
        <v>22</v>
      </c>
      <c r="M1153" t="s">
        <v>2366</v>
      </c>
      <c r="N1153">
        <v>1992</v>
      </c>
      <c r="O1153" s="8">
        <f t="shared" si="70"/>
        <v>33838</v>
      </c>
      <c r="P1153" s="10">
        <v>9507.68</v>
      </c>
      <c r="Q1153" t="s">
        <v>2357</v>
      </c>
      <c r="R1153" t="s">
        <v>2361</v>
      </c>
      <c r="S1153" t="s">
        <v>2364</v>
      </c>
      <c r="T1153">
        <f t="shared" ca="1" si="71"/>
        <v>34</v>
      </c>
      <c r="U1153">
        <f>VLOOKUP($A1153,'Medical Examination'!$A:$Z,2,FALSE)</f>
        <v>44.75</v>
      </c>
    </row>
    <row r="1154" spans="1:21" ht="15.5" x14ac:dyDescent="0.35">
      <c r="A1154" s="2" t="s">
        <v>1154</v>
      </c>
      <c r="B1154" s="2" t="s">
        <v>4100</v>
      </c>
      <c r="C1154">
        <v>30.78</v>
      </c>
      <c r="D1154">
        <v>7.94</v>
      </c>
      <c r="E1154" t="s">
        <v>2344</v>
      </c>
      <c r="F1154" t="s">
        <v>2344</v>
      </c>
      <c r="G1154" t="s">
        <v>2344</v>
      </c>
      <c r="H1154">
        <v>1</v>
      </c>
      <c r="I1154" t="s">
        <v>2344</v>
      </c>
      <c r="J1154" t="str">
        <f t="shared" si="69"/>
        <v>Obesity</v>
      </c>
      <c r="K1154" t="str">
        <f t="shared" si="72"/>
        <v>Diabetes</v>
      </c>
      <c r="L1154">
        <v>29</v>
      </c>
      <c r="M1154" t="s">
        <v>2360</v>
      </c>
      <c r="N1154">
        <v>1971</v>
      </c>
      <c r="O1154" s="8">
        <f t="shared" si="70"/>
        <v>26266</v>
      </c>
      <c r="P1154" s="10">
        <v>9528.9</v>
      </c>
      <c r="Q1154" t="s">
        <v>2357</v>
      </c>
      <c r="R1154" t="s">
        <v>2357</v>
      </c>
      <c r="S1154" t="s">
        <v>2368</v>
      </c>
      <c r="T1154">
        <f t="shared" ca="1" si="71"/>
        <v>55</v>
      </c>
      <c r="U1154">
        <f>VLOOKUP($A1154,'Medical Examination'!$A:$Z,2,FALSE)</f>
        <v>30.78</v>
      </c>
    </row>
    <row r="1155" spans="1:21" ht="15.5" x14ac:dyDescent="0.35">
      <c r="A1155" s="2" t="s">
        <v>1155</v>
      </c>
      <c r="B1155" s="2" t="s">
        <v>4101</v>
      </c>
      <c r="C1155">
        <v>21.86</v>
      </c>
      <c r="D1155">
        <v>10.95</v>
      </c>
      <c r="E1155" t="s">
        <v>2344</v>
      </c>
      <c r="F1155" t="s">
        <v>2344</v>
      </c>
      <c r="G1155" t="s">
        <v>2344</v>
      </c>
      <c r="H1155">
        <v>0</v>
      </c>
      <c r="I1155" t="s">
        <v>2344</v>
      </c>
      <c r="J1155" t="str">
        <f t="shared" ref="J1155:J1218" si="73">IF(C1155&lt;18.5,"Under Weight",IF(C1155&lt;25,"Normal Weight",IF(C1155&lt;30,"Over weight","Obesity")))</f>
        <v>Normal Weight</v>
      </c>
      <c r="K1155" t="str">
        <f t="shared" si="72"/>
        <v>Diabetes</v>
      </c>
      <c r="L1155">
        <v>21</v>
      </c>
      <c r="M1155" t="s">
        <v>2365</v>
      </c>
      <c r="N1155">
        <v>1973</v>
      </c>
      <c r="O1155" s="8">
        <f t="shared" ref="O1155:O1218" si="74">DATE(N1155,MONTH(1&amp;M1155),L1155)</f>
        <v>27019</v>
      </c>
      <c r="P1155" s="10">
        <v>9538.65</v>
      </c>
      <c r="Q1155" t="s">
        <v>2357</v>
      </c>
      <c r="R1155" t="s">
        <v>2358</v>
      </c>
      <c r="S1155" t="s">
        <v>2377</v>
      </c>
      <c r="T1155">
        <f t="shared" ref="T1155:T1218" ca="1" si="75">YEAR(TODAY())-YEAR(O1155)</f>
        <v>53</v>
      </c>
      <c r="U1155">
        <f>VLOOKUP($A1155,'Medical Examination'!$A:$Z,2,FALSE)</f>
        <v>21.86</v>
      </c>
    </row>
    <row r="1156" spans="1:21" ht="15.5" x14ac:dyDescent="0.35">
      <c r="A1156" s="2" t="s">
        <v>1156</v>
      </c>
      <c r="B1156" s="2" t="s">
        <v>4103</v>
      </c>
      <c r="C1156">
        <v>49.09</v>
      </c>
      <c r="D1156">
        <v>6.3</v>
      </c>
      <c r="E1156" t="s">
        <v>2346</v>
      </c>
      <c r="F1156" t="s">
        <v>2344</v>
      </c>
      <c r="G1156" t="s">
        <v>2344</v>
      </c>
      <c r="H1156">
        <v>0</v>
      </c>
      <c r="I1156" t="s">
        <v>2344</v>
      </c>
      <c r="J1156" t="str">
        <f t="shared" si="73"/>
        <v>Obesity</v>
      </c>
      <c r="K1156" t="str">
        <f t="shared" si="72"/>
        <v>Prediabetes</v>
      </c>
      <c r="L1156">
        <v>28</v>
      </c>
      <c r="M1156" t="s">
        <v>2356</v>
      </c>
      <c r="N1156">
        <v>1975</v>
      </c>
      <c r="O1156" s="8">
        <f t="shared" si="74"/>
        <v>27603</v>
      </c>
      <c r="P1156" s="10">
        <v>9540.17</v>
      </c>
      <c r="Q1156" t="s">
        <v>2357</v>
      </c>
      <c r="R1156" t="s">
        <v>2357</v>
      </c>
      <c r="S1156" t="s">
        <v>2374</v>
      </c>
      <c r="T1156">
        <f t="shared" ca="1" si="75"/>
        <v>51</v>
      </c>
      <c r="U1156">
        <f>VLOOKUP($A1156,'Medical Examination'!$A:$Z,2,FALSE)</f>
        <v>49.09</v>
      </c>
    </row>
    <row r="1157" spans="1:21" ht="15.5" x14ac:dyDescent="0.35">
      <c r="A1157" s="2" t="s">
        <v>1157</v>
      </c>
      <c r="B1157" s="2" t="s">
        <v>4104</v>
      </c>
      <c r="C1157">
        <v>47.74</v>
      </c>
      <c r="D1157">
        <v>8.0500000000000007</v>
      </c>
      <c r="E1157" t="s">
        <v>2346</v>
      </c>
      <c r="F1157" t="s">
        <v>2344</v>
      </c>
      <c r="G1157" t="s">
        <v>2344</v>
      </c>
      <c r="H1157">
        <v>1</v>
      </c>
      <c r="I1157" t="s">
        <v>2344</v>
      </c>
      <c r="J1157" t="str">
        <f t="shared" si="73"/>
        <v>Obesity</v>
      </c>
      <c r="K1157" t="str">
        <f t="shared" si="72"/>
        <v>Diabetes</v>
      </c>
      <c r="L1157">
        <v>22</v>
      </c>
      <c r="M1157" t="s">
        <v>2363</v>
      </c>
      <c r="N1157">
        <v>1972</v>
      </c>
      <c r="O1157" s="8">
        <f t="shared" si="74"/>
        <v>26564</v>
      </c>
      <c r="P1157" s="10">
        <v>9541.7000000000007</v>
      </c>
      <c r="Q1157" t="s">
        <v>2357</v>
      </c>
      <c r="R1157" t="s">
        <v>2361</v>
      </c>
      <c r="S1157" t="s">
        <v>2374</v>
      </c>
      <c r="T1157">
        <f t="shared" ca="1" si="75"/>
        <v>54</v>
      </c>
      <c r="U1157">
        <f>VLOOKUP($A1157,'Medical Examination'!$A:$Z,2,FALSE)</f>
        <v>47.74</v>
      </c>
    </row>
    <row r="1158" spans="1:21" ht="15.5" x14ac:dyDescent="0.35">
      <c r="A1158" s="2" t="s">
        <v>1158</v>
      </c>
      <c r="B1158" s="2" t="s">
        <v>4105</v>
      </c>
      <c r="C1158">
        <v>30.2</v>
      </c>
      <c r="D1158">
        <v>9.8800000000000008</v>
      </c>
      <c r="E1158" t="s">
        <v>2346</v>
      </c>
      <c r="F1158" t="s">
        <v>2344</v>
      </c>
      <c r="G1158" t="s">
        <v>2344</v>
      </c>
      <c r="H1158">
        <v>1</v>
      </c>
      <c r="I1158" t="s">
        <v>2344</v>
      </c>
      <c r="J1158" t="str">
        <f t="shared" si="73"/>
        <v>Obesity</v>
      </c>
      <c r="K1158" t="str">
        <f t="shared" si="72"/>
        <v>Diabetes</v>
      </c>
      <c r="L1158">
        <v>22</v>
      </c>
      <c r="M1158" t="s">
        <v>2363</v>
      </c>
      <c r="N1158">
        <v>1972</v>
      </c>
      <c r="O1158" s="8">
        <f t="shared" si="74"/>
        <v>26564</v>
      </c>
      <c r="P1158" s="10">
        <v>9549.57</v>
      </c>
      <c r="Q1158" t="s">
        <v>2357</v>
      </c>
      <c r="R1158" t="s">
        <v>2361</v>
      </c>
      <c r="S1158" t="s">
        <v>2359</v>
      </c>
      <c r="T1158">
        <f t="shared" ca="1" si="75"/>
        <v>54</v>
      </c>
      <c r="U1158">
        <f>VLOOKUP($A1158,'Medical Examination'!$A:$Z,2,FALSE)</f>
        <v>30.2</v>
      </c>
    </row>
    <row r="1159" spans="1:21" ht="15.5" x14ac:dyDescent="0.35">
      <c r="A1159" s="2" t="s">
        <v>1159</v>
      </c>
      <c r="B1159" s="2" t="s">
        <v>4106</v>
      </c>
      <c r="C1159">
        <v>33.25</v>
      </c>
      <c r="D1159">
        <v>7.42</v>
      </c>
      <c r="E1159" t="s">
        <v>2346</v>
      </c>
      <c r="F1159" t="s">
        <v>2344</v>
      </c>
      <c r="G1159" t="s">
        <v>2344</v>
      </c>
      <c r="H1159">
        <v>1</v>
      </c>
      <c r="I1159" t="s">
        <v>2344</v>
      </c>
      <c r="J1159" t="str">
        <f t="shared" si="73"/>
        <v>Obesity</v>
      </c>
      <c r="K1159" t="str">
        <f t="shared" si="72"/>
        <v>Diabetes</v>
      </c>
      <c r="L1159">
        <v>14</v>
      </c>
      <c r="M1159" t="s">
        <v>2366</v>
      </c>
      <c r="N1159">
        <v>1974</v>
      </c>
      <c r="O1159" s="8">
        <f t="shared" si="74"/>
        <v>27255</v>
      </c>
      <c r="P1159" s="10">
        <v>9563.0300000000007</v>
      </c>
      <c r="Q1159" t="s">
        <v>2358</v>
      </c>
      <c r="R1159" t="s">
        <v>2361</v>
      </c>
      <c r="S1159" t="s">
        <v>2368</v>
      </c>
      <c r="T1159">
        <f t="shared" ca="1" si="75"/>
        <v>52</v>
      </c>
      <c r="U1159">
        <f>VLOOKUP($A1159,'Medical Examination'!$A:$Z,2,FALSE)</f>
        <v>33.25</v>
      </c>
    </row>
    <row r="1160" spans="1:21" ht="15.5" x14ac:dyDescent="0.35">
      <c r="A1160" s="2" t="s">
        <v>1160</v>
      </c>
      <c r="B1160" s="2" t="s">
        <v>4108</v>
      </c>
      <c r="C1160">
        <v>26.6</v>
      </c>
      <c r="D1160">
        <v>8.4499999999999993</v>
      </c>
      <c r="E1160" t="s">
        <v>2346</v>
      </c>
      <c r="F1160" t="s">
        <v>2344</v>
      </c>
      <c r="G1160" t="s">
        <v>2344</v>
      </c>
      <c r="H1160">
        <v>1</v>
      </c>
      <c r="I1160" t="s">
        <v>2344</v>
      </c>
      <c r="J1160" t="str">
        <f t="shared" si="73"/>
        <v>Over weight</v>
      </c>
      <c r="K1160" t="str">
        <f t="shared" si="72"/>
        <v>Diabetes</v>
      </c>
      <c r="L1160">
        <v>1</v>
      </c>
      <c r="M1160" t="s">
        <v>2365</v>
      </c>
      <c r="N1160">
        <v>1973</v>
      </c>
      <c r="O1160" s="8">
        <f t="shared" si="74"/>
        <v>26999</v>
      </c>
      <c r="P1160" s="10">
        <v>9566.99</v>
      </c>
      <c r="Q1160" t="s">
        <v>2357</v>
      </c>
      <c r="R1160" t="s">
        <v>2361</v>
      </c>
      <c r="S1160" t="s">
        <v>2364</v>
      </c>
      <c r="T1160">
        <f t="shared" ca="1" si="75"/>
        <v>53</v>
      </c>
      <c r="U1160">
        <f>VLOOKUP($A1160,'Medical Examination'!$A:$Z,2,FALSE)</f>
        <v>26.6</v>
      </c>
    </row>
    <row r="1161" spans="1:21" ht="15.5" x14ac:dyDescent="0.35">
      <c r="A1161" s="2" t="s">
        <v>1161</v>
      </c>
      <c r="B1161" s="2" t="s">
        <v>4110</v>
      </c>
      <c r="C1161">
        <v>26.35</v>
      </c>
      <c r="D1161">
        <v>6.21</v>
      </c>
      <c r="E1161" t="s">
        <v>2344</v>
      </c>
      <c r="F1161" t="s">
        <v>2344</v>
      </c>
      <c r="G1161" t="s">
        <v>2344</v>
      </c>
      <c r="H1161">
        <v>1</v>
      </c>
      <c r="I1161" t="s">
        <v>2344</v>
      </c>
      <c r="J1161" t="str">
        <f t="shared" si="73"/>
        <v>Over weight</v>
      </c>
      <c r="K1161" t="str">
        <f t="shared" si="72"/>
        <v>Prediabetes</v>
      </c>
      <c r="L1161">
        <v>4</v>
      </c>
      <c r="M1161" t="s">
        <v>2365</v>
      </c>
      <c r="N1161">
        <v>1966</v>
      </c>
      <c r="O1161" s="8">
        <f t="shared" si="74"/>
        <v>24445</v>
      </c>
      <c r="P1161" s="10">
        <v>9582.5400000000009</v>
      </c>
      <c r="Q1161" t="s">
        <v>2358</v>
      </c>
      <c r="R1161" t="s">
        <v>2357</v>
      </c>
      <c r="S1161" t="s">
        <v>2359</v>
      </c>
      <c r="T1161">
        <f t="shared" ca="1" si="75"/>
        <v>60</v>
      </c>
      <c r="U1161">
        <f>VLOOKUP($A1161,'Medical Examination'!$A:$Z,2,FALSE)</f>
        <v>26.35</v>
      </c>
    </row>
    <row r="1162" spans="1:21" ht="15.5" x14ac:dyDescent="0.35">
      <c r="A1162" s="2" t="s">
        <v>1162</v>
      </c>
      <c r="B1162" s="2" t="s">
        <v>4111</v>
      </c>
      <c r="C1162">
        <v>39.994999999999997</v>
      </c>
      <c r="D1162">
        <v>4.6500000000000004</v>
      </c>
      <c r="E1162" t="s">
        <v>2344</v>
      </c>
      <c r="F1162" t="s">
        <v>2344</v>
      </c>
      <c r="G1162" t="s">
        <v>2344</v>
      </c>
      <c r="H1162">
        <v>0</v>
      </c>
      <c r="I1162" t="s">
        <v>2344</v>
      </c>
      <c r="J1162" t="str">
        <f t="shared" si="73"/>
        <v>Obesity</v>
      </c>
      <c r="K1162" t="str">
        <f t="shared" si="72"/>
        <v>Normal</v>
      </c>
      <c r="L1162">
        <v>28</v>
      </c>
      <c r="M1162" t="s">
        <v>2360</v>
      </c>
      <c r="N1162">
        <v>1973</v>
      </c>
      <c r="O1162" s="8">
        <f t="shared" si="74"/>
        <v>26996</v>
      </c>
      <c r="P1162" s="10">
        <v>9583.89</v>
      </c>
      <c r="Q1162" t="s">
        <v>2357</v>
      </c>
      <c r="R1162" t="s">
        <v>2358</v>
      </c>
      <c r="S1162" t="s">
        <v>2364</v>
      </c>
      <c r="T1162">
        <f t="shared" ca="1" si="75"/>
        <v>53</v>
      </c>
      <c r="U1162">
        <f>VLOOKUP($A1162,'Medical Examination'!$A:$Z,2,FALSE)</f>
        <v>39.994999999999997</v>
      </c>
    </row>
    <row r="1163" spans="1:21" ht="15.5" x14ac:dyDescent="0.35">
      <c r="A1163" s="2" t="s">
        <v>1163</v>
      </c>
      <c r="B1163" s="2" t="s">
        <v>4113</v>
      </c>
      <c r="C1163">
        <v>22.92</v>
      </c>
      <c r="D1163">
        <v>5.87</v>
      </c>
      <c r="E1163" t="s">
        <v>2346</v>
      </c>
      <c r="F1163" t="s">
        <v>2344</v>
      </c>
      <c r="G1163" t="s">
        <v>2344</v>
      </c>
      <c r="H1163">
        <v>1</v>
      </c>
      <c r="I1163" t="s">
        <v>2344</v>
      </c>
      <c r="J1163" t="str">
        <f t="shared" si="73"/>
        <v>Normal Weight</v>
      </c>
      <c r="K1163" t="str">
        <f t="shared" si="72"/>
        <v>Prediabetes</v>
      </c>
      <c r="L1163">
        <v>18</v>
      </c>
      <c r="M1163" t="s">
        <v>2367</v>
      </c>
      <c r="N1163">
        <v>1981</v>
      </c>
      <c r="O1163" s="8">
        <f t="shared" si="74"/>
        <v>29877</v>
      </c>
      <c r="P1163" s="10">
        <v>9584.0400000000009</v>
      </c>
      <c r="Q1163" t="s">
        <v>2357</v>
      </c>
      <c r="R1163" t="s">
        <v>2361</v>
      </c>
      <c r="S1163" t="s">
        <v>2377</v>
      </c>
      <c r="T1163">
        <f t="shared" ca="1" si="75"/>
        <v>45</v>
      </c>
      <c r="U1163">
        <f>VLOOKUP($A1163,'Medical Examination'!$A:$Z,2,FALSE)</f>
        <v>22.92</v>
      </c>
    </row>
    <row r="1164" spans="1:21" ht="15.5" x14ac:dyDescent="0.35">
      <c r="A1164" s="2" t="s">
        <v>1164</v>
      </c>
      <c r="B1164" s="2" t="s">
        <v>4114</v>
      </c>
      <c r="C1164">
        <v>24.78</v>
      </c>
      <c r="D1164">
        <v>4.24</v>
      </c>
      <c r="E1164" t="s">
        <v>2346</v>
      </c>
      <c r="F1164" t="s">
        <v>2344</v>
      </c>
      <c r="G1164" t="s">
        <v>2344</v>
      </c>
      <c r="H1164">
        <v>1</v>
      </c>
      <c r="I1164" t="s">
        <v>2344</v>
      </c>
      <c r="J1164" t="str">
        <f t="shared" si="73"/>
        <v>Normal Weight</v>
      </c>
      <c r="K1164" t="str">
        <f t="shared" ref="K1164:K1227" si="76">IF(D1164&lt;5.7,"Normal",IF(D1164&lt;6.5,"Prediabetes","Diabetes"))</f>
        <v>Normal</v>
      </c>
      <c r="L1164">
        <v>15</v>
      </c>
      <c r="M1164" t="s">
        <v>2365</v>
      </c>
      <c r="N1164">
        <v>1964</v>
      </c>
      <c r="O1164" s="8">
        <f t="shared" si="74"/>
        <v>23726</v>
      </c>
      <c r="P1164" s="10">
        <v>9597.6299999999992</v>
      </c>
      <c r="Q1164" t="s">
        <v>2358</v>
      </c>
      <c r="R1164" t="s">
        <v>2358</v>
      </c>
      <c r="S1164" t="s">
        <v>2359</v>
      </c>
      <c r="T1164">
        <f t="shared" ca="1" si="75"/>
        <v>62</v>
      </c>
      <c r="U1164">
        <f>VLOOKUP($A1164,'Medical Examination'!$A:$Z,2,FALSE)</f>
        <v>24.78</v>
      </c>
    </row>
    <row r="1165" spans="1:21" ht="15.5" x14ac:dyDescent="0.35">
      <c r="A1165" s="2" t="s">
        <v>1165</v>
      </c>
      <c r="B1165" s="2" t="s">
        <v>4116</v>
      </c>
      <c r="C1165">
        <v>34.07</v>
      </c>
      <c r="D1165">
        <v>7.81</v>
      </c>
      <c r="E1165" t="s">
        <v>2346</v>
      </c>
      <c r="F1165" t="s">
        <v>2344</v>
      </c>
      <c r="G1165" t="s">
        <v>2344</v>
      </c>
      <c r="H1165">
        <v>0</v>
      </c>
      <c r="I1165" t="s">
        <v>2344</v>
      </c>
      <c r="J1165" t="str">
        <f t="shared" si="73"/>
        <v>Obesity</v>
      </c>
      <c r="K1165" t="str">
        <f t="shared" si="76"/>
        <v>Diabetes</v>
      </c>
      <c r="L1165">
        <v>27</v>
      </c>
      <c r="M1165" t="s">
        <v>2365</v>
      </c>
      <c r="N1165">
        <v>1972</v>
      </c>
      <c r="O1165" s="8">
        <f t="shared" si="74"/>
        <v>26660</v>
      </c>
      <c r="P1165" s="10">
        <v>9617.66</v>
      </c>
      <c r="Q1165" t="s">
        <v>2358</v>
      </c>
      <c r="R1165" t="s">
        <v>2358</v>
      </c>
      <c r="S1165" t="s">
        <v>2371</v>
      </c>
      <c r="T1165">
        <f t="shared" ca="1" si="75"/>
        <v>54</v>
      </c>
      <c r="U1165">
        <f>VLOOKUP($A1165,'Medical Examination'!$A:$Z,2,FALSE)</f>
        <v>34.07</v>
      </c>
    </row>
    <row r="1166" spans="1:21" ht="15.5" x14ac:dyDescent="0.35">
      <c r="A1166" s="2" t="s">
        <v>1166</v>
      </c>
      <c r="B1166" s="2" t="s">
        <v>4118</v>
      </c>
      <c r="C1166">
        <v>30.14</v>
      </c>
      <c r="D1166">
        <v>9.85</v>
      </c>
      <c r="E1166" t="s">
        <v>2344</v>
      </c>
      <c r="F1166" t="s">
        <v>2344</v>
      </c>
      <c r="G1166" t="s">
        <v>2344</v>
      </c>
      <c r="H1166">
        <v>0</v>
      </c>
      <c r="I1166" t="s">
        <v>2344</v>
      </c>
      <c r="J1166" t="str">
        <f t="shared" si="73"/>
        <v>Obesity</v>
      </c>
      <c r="K1166" t="str">
        <f t="shared" si="76"/>
        <v>Diabetes</v>
      </c>
      <c r="L1166">
        <v>29</v>
      </c>
      <c r="M1166" t="s">
        <v>2366</v>
      </c>
      <c r="N1166">
        <v>1982</v>
      </c>
      <c r="O1166" s="8">
        <f t="shared" si="74"/>
        <v>30192</v>
      </c>
      <c r="P1166" s="10">
        <v>9619.18</v>
      </c>
      <c r="Q1166" t="s">
        <v>2357</v>
      </c>
      <c r="R1166" t="s">
        <v>2361</v>
      </c>
      <c r="S1166" t="s">
        <v>2373</v>
      </c>
      <c r="T1166">
        <f t="shared" ca="1" si="75"/>
        <v>44</v>
      </c>
      <c r="U1166">
        <f>VLOOKUP($A1166,'Medical Examination'!$A:$Z,2,FALSE)</f>
        <v>30.14</v>
      </c>
    </row>
    <row r="1167" spans="1:21" ht="15.5" x14ac:dyDescent="0.35">
      <c r="A1167" s="2" t="s">
        <v>1167</v>
      </c>
      <c r="B1167" s="2" t="s">
        <v>4120</v>
      </c>
      <c r="C1167">
        <v>18.05</v>
      </c>
      <c r="D1167">
        <v>6.94</v>
      </c>
      <c r="E1167" t="s">
        <v>2344</v>
      </c>
      <c r="F1167" t="s">
        <v>2344</v>
      </c>
      <c r="G1167" t="s">
        <v>2344</v>
      </c>
      <c r="H1167">
        <v>0</v>
      </c>
      <c r="I1167" t="s">
        <v>2344</v>
      </c>
      <c r="J1167" t="str">
        <f t="shared" si="73"/>
        <v>Under Weight</v>
      </c>
      <c r="K1167" t="str">
        <f t="shared" si="76"/>
        <v>Diabetes</v>
      </c>
      <c r="L1167">
        <v>29</v>
      </c>
      <c r="M1167" t="s">
        <v>2367</v>
      </c>
      <c r="N1167">
        <v>1975</v>
      </c>
      <c r="O1167" s="8">
        <f t="shared" si="74"/>
        <v>27696</v>
      </c>
      <c r="P1167" s="10">
        <v>9620.33</v>
      </c>
      <c r="Q1167" t="s">
        <v>2358</v>
      </c>
      <c r="R1167" t="s">
        <v>2358</v>
      </c>
      <c r="S1167" t="s">
        <v>2364</v>
      </c>
      <c r="T1167">
        <f t="shared" ca="1" si="75"/>
        <v>51</v>
      </c>
      <c r="U1167">
        <f>VLOOKUP($A1167,'Medical Examination'!$A:$Z,2,FALSE)</f>
        <v>18.05</v>
      </c>
    </row>
    <row r="1168" spans="1:21" ht="15.5" x14ac:dyDescent="0.35">
      <c r="A1168" s="2" t="s">
        <v>1168</v>
      </c>
      <c r="B1168" s="2" t="s">
        <v>4121</v>
      </c>
      <c r="C1168">
        <v>37.4</v>
      </c>
      <c r="D1168">
        <v>11.3</v>
      </c>
      <c r="E1168" t="s">
        <v>2346</v>
      </c>
      <c r="F1168" t="s">
        <v>2344</v>
      </c>
      <c r="G1168" t="s">
        <v>2344</v>
      </c>
      <c r="H1168">
        <v>1</v>
      </c>
      <c r="I1168" t="s">
        <v>2344</v>
      </c>
      <c r="J1168" t="str">
        <f t="shared" si="73"/>
        <v>Obesity</v>
      </c>
      <c r="K1168" t="str">
        <f t="shared" si="76"/>
        <v>Diabetes</v>
      </c>
      <c r="L1168">
        <v>16</v>
      </c>
      <c r="M1168" t="s">
        <v>2365</v>
      </c>
      <c r="N1168">
        <v>1970</v>
      </c>
      <c r="O1168" s="8">
        <f t="shared" si="74"/>
        <v>25918</v>
      </c>
      <c r="P1168" s="10">
        <v>9625.92</v>
      </c>
      <c r="Q1168" t="s">
        <v>2357</v>
      </c>
      <c r="R1168" t="s">
        <v>2358</v>
      </c>
      <c r="S1168" t="s">
        <v>2368</v>
      </c>
      <c r="T1168">
        <f t="shared" ca="1" si="75"/>
        <v>56</v>
      </c>
      <c r="U1168">
        <f>VLOOKUP($A1168,'Medical Examination'!$A:$Z,2,FALSE)</f>
        <v>37.4</v>
      </c>
    </row>
    <row r="1169" spans="1:21" ht="15.5" x14ac:dyDescent="0.35">
      <c r="A1169" s="2" t="s">
        <v>1169</v>
      </c>
      <c r="B1169" s="2" t="s">
        <v>4122</v>
      </c>
      <c r="C1169">
        <v>25.75</v>
      </c>
      <c r="D1169">
        <v>9.23</v>
      </c>
      <c r="E1169" t="s">
        <v>2344</v>
      </c>
      <c r="F1169" t="s">
        <v>2344</v>
      </c>
      <c r="G1169" t="s">
        <v>2344</v>
      </c>
      <c r="H1169">
        <v>0</v>
      </c>
      <c r="I1169" t="s">
        <v>2344</v>
      </c>
      <c r="J1169" t="str">
        <f t="shared" si="73"/>
        <v>Over weight</v>
      </c>
      <c r="K1169" t="str">
        <f t="shared" si="76"/>
        <v>Diabetes</v>
      </c>
      <c r="L1169">
        <v>23</v>
      </c>
      <c r="M1169" t="s">
        <v>2362</v>
      </c>
      <c r="N1169">
        <v>1998</v>
      </c>
      <c r="O1169" s="8">
        <f t="shared" si="74"/>
        <v>35969</v>
      </c>
      <c r="P1169" s="10">
        <v>9628.7900000000009</v>
      </c>
      <c r="Q1169" t="s">
        <v>2357</v>
      </c>
      <c r="R1169" t="s">
        <v>2357</v>
      </c>
      <c r="S1169" t="s">
        <v>2380</v>
      </c>
      <c r="T1169">
        <f t="shared" ca="1" si="75"/>
        <v>28</v>
      </c>
      <c r="U1169">
        <f>VLOOKUP($A1169,'Medical Examination'!$A:$Z,2,FALSE)</f>
        <v>25.75</v>
      </c>
    </row>
    <row r="1170" spans="1:21" ht="15.5" x14ac:dyDescent="0.35">
      <c r="A1170" s="2" t="s">
        <v>1170</v>
      </c>
      <c r="B1170" s="2" t="s">
        <v>2492</v>
      </c>
      <c r="C1170">
        <v>32.299999999999997</v>
      </c>
      <c r="D1170">
        <v>4.37</v>
      </c>
      <c r="E1170" t="s">
        <v>2344</v>
      </c>
      <c r="F1170" t="s">
        <v>2344</v>
      </c>
      <c r="G1170" t="s">
        <v>2344</v>
      </c>
      <c r="H1170">
        <v>1</v>
      </c>
      <c r="I1170" t="s">
        <v>2344</v>
      </c>
      <c r="J1170" t="str">
        <f t="shared" si="73"/>
        <v>Obesity</v>
      </c>
      <c r="K1170" t="str">
        <f t="shared" si="76"/>
        <v>Normal</v>
      </c>
      <c r="L1170">
        <v>19</v>
      </c>
      <c r="M1170" t="s">
        <v>2365</v>
      </c>
      <c r="N1170">
        <v>1979</v>
      </c>
      <c r="O1170" s="8">
        <f t="shared" si="74"/>
        <v>29208</v>
      </c>
      <c r="P1170" s="10">
        <v>9630.2999999999993</v>
      </c>
      <c r="Q1170" t="s">
        <v>2357</v>
      </c>
      <c r="R1170" t="s">
        <v>2357</v>
      </c>
      <c r="S1170" t="s">
        <v>2377</v>
      </c>
      <c r="T1170">
        <f t="shared" ca="1" si="75"/>
        <v>47</v>
      </c>
      <c r="U1170">
        <f>VLOOKUP($A1170,'Medical Examination'!$A:$Z,2,FALSE)</f>
        <v>32.299999999999997</v>
      </c>
    </row>
    <row r="1171" spans="1:21" ht="15.5" x14ac:dyDescent="0.35">
      <c r="A1171" s="2" t="s">
        <v>1171</v>
      </c>
      <c r="B1171" s="2" t="s">
        <v>4123</v>
      </c>
      <c r="C1171">
        <v>28.61</v>
      </c>
      <c r="D1171">
        <v>5.76</v>
      </c>
      <c r="E1171" t="s">
        <v>2344</v>
      </c>
      <c r="F1171" t="s">
        <v>2344</v>
      </c>
      <c r="G1171" t="s">
        <v>2346</v>
      </c>
      <c r="H1171">
        <v>1</v>
      </c>
      <c r="I1171" t="s">
        <v>2344</v>
      </c>
      <c r="J1171" t="str">
        <f t="shared" si="73"/>
        <v>Over weight</v>
      </c>
      <c r="K1171" t="str">
        <f t="shared" si="76"/>
        <v>Prediabetes</v>
      </c>
      <c r="L1171">
        <v>23</v>
      </c>
      <c r="M1171" t="s">
        <v>2367</v>
      </c>
      <c r="N1171">
        <v>1972</v>
      </c>
      <c r="O1171" s="8">
        <f t="shared" si="74"/>
        <v>26595</v>
      </c>
      <c r="P1171" s="10">
        <v>9630.4</v>
      </c>
      <c r="Q1171" t="s">
        <v>2357</v>
      </c>
      <c r="R1171" t="s">
        <v>2357</v>
      </c>
      <c r="S1171" t="s">
        <v>2368</v>
      </c>
      <c r="T1171">
        <f t="shared" ca="1" si="75"/>
        <v>54</v>
      </c>
      <c r="U1171">
        <f>VLOOKUP($A1171,'Medical Examination'!$A:$Z,2,FALSE)</f>
        <v>28.61</v>
      </c>
    </row>
    <row r="1172" spans="1:21" ht="15.5" x14ac:dyDescent="0.35">
      <c r="A1172" s="2" t="s">
        <v>1172</v>
      </c>
      <c r="B1172" s="2" t="s">
        <v>3902</v>
      </c>
      <c r="C1172">
        <v>45.41</v>
      </c>
      <c r="D1172">
        <v>4.96</v>
      </c>
      <c r="E1172" t="s">
        <v>2344</v>
      </c>
      <c r="F1172" t="s">
        <v>2344</v>
      </c>
      <c r="G1172" t="s">
        <v>2344</v>
      </c>
      <c r="H1172">
        <v>1</v>
      </c>
      <c r="I1172" t="s">
        <v>2344</v>
      </c>
      <c r="J1172" t="str">
        <f t="shared" si="73"/>
        <v>Obesity</v>
      </c>
      <c r="K1172" t="str">
        <f t="shared" si="76"/>
        <v>Normal</v>
      </c>
      <c r="L1172">
        <v>22</v>
      </c>
      <c r="M1172" t="s">
        <v>2362</v>
      </c>
      <c r="N1172">
        <v>1968</v>
      </c>
      <c r="O1172" s="8">
        <f t="shared" si="74"/>
        <v>25011</v>
      </c>
      <c r="P1172" s="10">
        <v>9630.91</v>
      </c>
      <c r="Q1172" t="s">
        <v>2358</v>
      </c>
      <c r="R1172" t="s">
        <v>2357</v>
      </c>
      <c r="S1172" t="s">
        <v>2359</v>
      </c>
      <c r="T1172">
        <f t="shared" ca="1" si="75"/>
        <v>58</v>
      </c>
      <c r="U1172">
        <f>VLOOKUP($A1172,'Medical Examination'!$A:$Z,2,FALSE)</f>
        <v>45.41</v>
      </c>
    </row>
    <row r="1173" spans="1:21" ht="15.5" x14ac:dyDescent="0.35">
      <c r="A1173" s="2" t="s">
        <v>1173</v>
      </c>
      <c r="B1173" s="2" t="s">
        <v>4126</v>
      </c>
      <c r="C1173">
        <v>31.2</v>
      </c>
      <c r="D1173">
        <v>11.04</v>
      </c>
      <c r="E1173" t="s">
        <v>2346</v>
      </c>
      <c r="F1173" t="s">
        <v>2344</v>
      </c>
      <c r="G1173" t="s">
        <v>2344</v>
      </c>
      <c r="H1173">
        <v>1</v>
      </c>
      <c r="I1173" t="s">
        <v>2344</v>
      </c>
      <c r="J1173" t="str">
        <f t="shared" si="73"/>
        <v>Obesity</v>
      </c>
      <c r="K1173" t="str">
        <f t="shared" si="76"/>
        <v>Diabetes</v>
      </c>
      <c r="L1173">
        <v>30</v>
      </c>
      <c r="M1173" t="s">
        <v>2363</v>
      </c>
      <c r="N1173">
        <v>1970</v>
      </c>
      <c r="O1173" s="8">
        <f t="shared" si="74"/>
        <v>25841</v>
      </c>
      <c r="P1173" s="10">
        <v>9634.5400000000009</v>
      </c>
      <c r="Q1173" t="s">
        <v>2357</v>
      </c>
      <c r="R1173" t="s">
        <v>2357</v>
      </c>
      <c r="S1173" t="s">
        <v>2368</v>
      </c>
      <c r="T1173">
        <f t="shared" ca="1" si="75"/>
        <v>56</v>
      </c>
      <c r="U1173">
        <f>VLOOKUP($A1173,'Medical Examination'!$A:$Z,2,FALSE)</f>
        <v>31.2</v>
      </c>
    </row>
    <row r="1174" spans="1:21" ht="15.5" x14ac:dyDescent="0.35">
      <c r="A1174" s="2" t="s">
        <v>1174</v>
      </c>
      <c r="B1174" s="2" t="s">
        <v>4127</v>
      </c>
      <c r="C1174">
        <v>29.83</v>
      </c>
      <c r="D1174">
        <v>7.81</v>
      </c>
      <c r="E1174" t="s">
        <v>2346</v>
      </c>
      <c r="F1174" t="s">
        <v>2344</v>
      </c>
      <c r="G1174" t="s">
        <v>2344</v>
      </c>
      <c r="H1174">
        <v>1</v>
      </c>
      <c r="I1174" t="s">
        <v>2344</v>
      </c>
      <c r="J1174" t="str">
        <f t="shared" si="73"/>
        <v>Over weight</v>
      </c>
      <c r="K1174" t="str">
        <f t="shared" si="76"/>
        <v>Diabetes</v>
      </c>
      <c r="L1174">
        <v>19</v>
      </c>
      <c r="M1174" t="s">
        <v>2356</v>
      </c>
      <c r="N1174">
        <v>1971</v>
      </c>
      <c r="O1174" s="8">
        <f t="shared" si="74"/>
        <v>26133</v>
      </c>
      <c r="P1174" s="10">
        <v>9644.25</v>
      </c>
      <c r="Q1174" t="s">
        <v>2357</v>
      </c>
      <c r="R1174" t="s">
        <v>2361</v>
      </c>
      <c r="S1174" t="s">
        <v>2364</v>
      </c>
      <c r="T1174">
        <f t="shared" ca="1" si="75"/>
        <v>55</v>
      </c>
      <c r="U1174">
        <f>VLOOKUP($A1174,'Medical Examination'!$A:$Z,2,FALSE)</f>
        <v>29.83</v>
      </c>
    </row>
    <row r="1175" spans="1:21" ht="15.5" x14ac:dyDescent="0.35">
      <c r="A1175" s="2" t="s">
        <v>1175</v>
      </c>
      <c r="B1175" s="2" t="s">
        <v>4129</v>
      </c>
      <c r="C1175">
        <v>29.06</v>
      </c>
      <c r="D1175">
        <v>4.55</v>
      </c>
      <c r="E1175" t="s">
        <v>2344</v>
      </c>
      <c r="F1175" t="s">
        <v>2344</v>
      </c>
      <c r="G1175" t="s">
        <v>2344</v>
      </c>
      <c r="H1175">
        <v>0</v>
      </c>
      <c r="I1175" t="s">
        <v>2344</v>
      </c>
      <c r="J1175" t="str">
        <f t="shared" si="73"/>
        <v>Over weight</v>
      </c>
      <c r="K1175" t="str">
        <f t="shared" si="76"/>
        <v>Normal</v>
      </c>
      <c r="L1175">
        <v>8</v>
      </c>
      <c r="M1175" t="s">
        <v>2356</v>
      </c>
      <c r="N1175">
        <v>1974</v>
      </c>
      <c r="O1175" s="8">
        <f t="shared" si="74"/>
        <v>27218</v>
      </c>
      <c r="P1175" s="10">
        <v>9653.81</v>
      </c>
      <c r="Q1175" t="s">
        <v>2357</v>
      </c>
      <c r="R1175" t="s">
        <v>2357</v>
      </c>
      <c r="S1175" t="s">
        <v>2368</v>
      </c>
      <c r="T1175">
        <f t="shared" ca="1" si="75"/>
        <v>52</v>
      </c>
      <c r="U1175">
        <f>VLOOKUP($A1175,'Medical Examination'!$A:$Z,2,FALSE)</f>
        <v>29.06</v>
      </c>
    </row>
    <row r="1176" spans="1:21" ht="15.5" x14ac:dyDescent="0.35">
      <c r="A1176" s="2" t="s">
        <v>1176</v>
      </c>
      <c r="B1176" s="2" t="s">
        <v>4130</v>
      </c>
      <c r="C1176">
        <v>27.454999999999998</v>
      </c>
      <c r="D1176">
        <v>6.13</v>
      </c>
      <c r="E1176" t="s">
        <v>2344</v>
      </c>
      <c r="F1176" t="s">
        <v>2344</v>
      </c>
      <c r="G1176" t="s">
        <v>2344</v>
      </c>
      <c r="H1176">
        <v>1</v>
      </c>
      <c r="I1176" t="s">
        <v>2344</v>
      </c>
      <c r="J1176" t="str">
        <f t="shared" si="73"/>
        <v>Over weight</v>
      </c>
      <c r="K1176" t="str">
        <f t="shared" si="76"/>
        <v>Prediabetes</v>
      </c>
      <c r="L1176">
        <v>8</v>
      </c>
      <c r="M1176" t="s">
        <v>2366</v>
      </c>
      <c r="N1176">
        <v>1981</v>
      </c>
      <c r="O1176" s="8">
        <f t="shared" si="74"/>
        <v>29806</v>
      </c>
      <c r="P1176" s="10">
        <v>9664.34</v>
      </c>
      <c r="Q1176" t="s">
        <v>2357</v>
      </c>
      <c r="R1176" t="s">
        <v>2358</v>
      </c>
      <c r="S1176" t="s">
        <v>2368</v>
      </c>
      <c r="T1176">
        <f t="shared" ca="1" si="75"/>
        <v>45</v>
      </c>
      <c r="U1176">
        <f>VLOOKUP($A1176,'Medical Examination'!$A:$Z,2,FALSE)</f>
        <v>27.454999999999998</v>
      </c>
    </row>
    <row r="1177" spans="1:21" ht="15.5" x14ac:dyDescent="0.35">
      <c r="A1177" s="2" t="s">
        <v>1177</v>
      </c>
      <c r="B1177" s="2" t="s">
        <v>4132</v>
      </c>
      <c r="C1177">
        <v>23.01</v>
      </c>
      <c r="D1177">
        <v>6.04</v>
      </c>
      <c r="E1177" t="s">
        <v>2346</v>
      </c>
      <c r="F1177" t="s">
        <v>2344</v>
      </c>
      <c r="G1177" t="s">
        <v>2344</v>
      </c>
      <c r="H1177">
        <v>1</v>
      </c>
      <c r="I1177" t="s">
        <v>2344</v>
      </c>
      <c r="J1177" t="str">
        <f t="shared" si="73"/>
        <v>Normal Weight</v>
      </c>
      <c r="K1177" t="str">
        <f t="shared" si="76"/>
        <v>Prediabetes</v>
      </c>
      <c r="L1177">
        <v>16</v>
      </c>
      <c r="M1177" t="s">
        <v>2363</v>
      </c>
      <c r="N1177">
        <v>1966</v>
      </c>
      <c r="O1177" s="8">
        <f t="shared" si="74"/>
        <v>24366</v>
      </c>
      <c r="P1177" s="10">
        <v>9684.2900000000009</v>
      </c>
      <c r="Q1177" t="s">
        <v>2358</v>
      </c>
      <c r="R1177" t="s">
        <v>2357</v>
      </c>
      <c r="S1177" t="s">
        <v>2359</v>
      </c>
      <c r="T1177">
        <f t="shared" ca="1" si="75"/>
        <v>60</v>
      </c>
      <c r="U1177">
        <f>VLOOKUP($A1177,'Medical Examination'!$A:$Z,2,FALSE)</f>
        <v>23.01</v>
      </c>
    </row>
    <row r="1178" spans="1:21" ht="15.5" x14ac:dyDescent="0.35">
      <c r="A1178" s="2" t="s">
        <v>1178</v>
      </c>
      <c r="B1178" s="2" t="s">
        <v>4133</v>
      </c>
      <c r="C1178">
        <v>31.39</v>
      </c>
      <c r="D1178">
        <v>8.85</v>
      </c>
      <c r="E1178" t="s">
        <v>2346</v>
      </c>
      <c r="F1178" t="s">
        <v>2344</v>
      </c>
      <c r="G1178" t="s">
        <v>2344</v>
      </c>
      <c r="H1178">
        <v>0</v>
      </c>
      <c r="I1178" t="s">
        <v>2344</v>
      </c>
      <c r="J1178" t="str">
        <f t="shared" si="73"/>
        <v>Obesity</v>
      </c>
      <c r="K1178" t="str">
        <f t="shared" si="76"/>
        <v>Diabetes</v>
      </c>
      <c r="L1178">
        <v>7</v>
      </c>
      <c r="M1178" t="s">
        <v>2360</v>
      </c>
      <c r="N1178">
        <v>1964</v>
      </c>
      <c r="O1178" s="8">
        <f t="shared" si="74"/>
        <v>23688</v>
      </c>
      <c r="P1178" s="10">
        <v>9698.42</v>
      </c>
      <c r="Q1178" t="s">
        <v>2358</v>
      </c>
      <c r="R1178" t="s">
        <v>2358</v>
      </c>
      <c r="S1178" t="s">
        <v>2359</v>
      </c>
      <c r="T1178">
        <f t="shared" ca="1" si="75"/>
        <v>62</v>
      </c>
      <c r="U1178">
        <f>VLOOKUP($A1178,'Medical Examination'!$A:$Z,2,FALSE)</f>
        <v>31.39</v>
      </c>
    </row>
    <row r="1179" spans="1:21" ht="15.5" x14ac:dyDescent="0.35">
      <c r="A1179" s="2" t="s">
        <v>1179</v>
      </c>
      <c r="B1179" s="2" t="s">
        <v>4134</v>
      </c>
      <c r="C1179">
        <v>34.770000000000003</v>
      </c>
      <c r="D1179">
        <v>10.54</v>
      </c>
      <c r="E1179" t="s">
        <v>2344</v>
      </c>
      <c r="F1179" t="s">
        <v>2344</v>
      </c>
      <c r="G1179" t="s">
        <v>2344</v>
      </c>
      <c r="H1179">
        <v>1</v>
      </c>
      <c r="I1179" t="s">
        <v>2344</v>
      </c>
      <c r="J1179" t="str">
        <f t="shared" si="73"/>
        <v>Obesity</v>
      </c>
      <c r="K1179" t="str">
        <f t="shared" si="76"/>
        <v>Diabetes</v>
      </c>
      <c r="L1179">
        <v>19</v>
      </c>
      <c r="M1179" t="s">
        <v>2363</v>
      </c>
      <c r="N1179">
        <v>1977</v>
      </c>
      <c r="O1179" s="8">
        <f t="shared" si="74"/>
        <v>28387</v>
      </c>
      <c r="P1179" s="10">
        <v>9704.67</v>
      </c>
      <c r="Q1179" t="s">
        <v>2357</v>
      </c>
      <c r="R1179" t="s">
        <v>2358</v>
      </c>
      <c r="S1179" t="s">
        <v>2374</v>
      </c>
      <c r="T1179">
        <f t="shared" ca="1" si="75"/>
        <v>49</v>
      </c>
      <c r="U1179">
        <f>VLOOKUP($A1179,'Medical Examination'!$A:$Z,2,FALSE)</f>
        <v>34.770000000000003</v>
      </c>
    </row>
    <row r="1180" spans="1:21" ht="15.5" x14ac:dyDescent="0.35">
      <c r="A1180" s="2" t="s">
        <v>1180</v>
      </c>
      <c r="B1180" s="2" t="s">
        <v>4136</v>
      </c>
      <c r="C1180">
        <v>24.48</v>
      </c>
      <c r="D1180">
        <v>4.37</v>
      </c>
      <c r="E1180" t="s">
        <v>2346</v>
      </c>
      <c r="F1180" t="s">
        <v>2344</v>
      </c>
      <c r="G1180" t="s">
        <v>2344</v>
      </c>
      <c r="H1180">
        <v>1</v>
      </c>
      <c r="I1180" t="s">
        <v>2344</v>
      </c>
      <c r="J1180" t="str">
        <f t="shared" si="73"/>
        <v>Normal Weight</v>
      </c>
      <c r="K1180" t="str">
        <f t="shared" si="76"/>
        <v>Normal</v>
      </c>
      <c r="L1180">
        <v>10</v>
      </c>
      <c r="M1180" t="s">
        <v>2356</v>
      </c>
      <c r="N1180">
        <v>1972</v>
      </c>
      <c r="O1180" s="8">
        <f t="shared" si="74"/>
        <v>26490</v>
      </c>
      <c r="P1180" s="10">
        <v>9710.7099999999991</v>
      </c>
      <c r="Q1180" t="s">
        <v>2357</v>
      </c>
      <c r="R1180" t="s">
        <v>2361</v>
      </c>
      <c r="S1180" t="s">
        <v>2377</v>
      </c>
      <c r="T1180">
        <f t="shared" ca="1" si="75"/>
        <v>54</v>
      </c>
      <c r="U1180">
        <f>VLOOKUP($A1180,'Medical Examination'!$A:$Z,2,FALSE)</f>
        <v>24.48</v>
      </c>
    </row>
    <row r="1181" spans="1:21" ht="15.5" x14ac:dyDescent="0.35">
      <c r="A1181" s="2" t="s">
        <v>1181</v>
      </c>
      <c r="B1181" s="2" t="s">
        <v>4137</v>
      </c>
      <c r="C1181">
        <v>22.61</v>
      </c>
      <c r="D1181">
        <v>9.6300000000000008</v>
      </c>
      <c r="E1181" t="s">
        <v>2344</v>
      </c>
      <c r="F1181" t="s">
        <v>2344</v>
      </c>
      <c r="G1181" t="s">
        <v>2344</v>
      </c>
      <c r="H1181">
        <v>1</v>
      </c>
      <c r="I1181" t="s">
        <v>2344</v>
      </c>
      <c r="J1181" t="str">
        <f t="shared" si="73"/>
        <v>Normal Weight</v>
      </c>
      <c r="K1181" t="str">
        <f t="shared" si="76"/>
        <v>Diabetes</v>
      </c>
      <c r="L1181">
        <v>27</v>
      </c>
      <c r="M1181" t="s">
        <v>2362</v>
      </c>
      <c r="N1181">
        <v>1975</v>
      </c>
      <c r="O1181" s="8">
        <f t="shared" si="74"/>
        <v>27572</v>
      </c>
      <c r="P1181" s="10">
        <v>9715.84</v>
      </c>
      <c r="Q1181" t="s">
        <v>2357</v>
      </c>
      <c r="R1181" t="s">
        <v>2361</v>
      </c>
      <c r="S1181" t="s">
        <v>2374</v>
      </c>
      <c r="T1181">
        <f t="shared" ca="1" si="75"/>
        <v>51</v>
      </c>
      <c r="U1181">
        <f>VLOOKUP($A1181,'Medical Examination'!$A:$Z,2,FALSE)</f>
        <v>22.61</v>
      </c>
    </row>
    <row r="1182" spans="1:21" ht="15.5" x14ac:dyDescent="0.35">
      <c r="A1182" s="2" t="s">
        <v>1182</v>
      </c>
      <c r="B1182" s="2" t="s">
        <v>4138</v>
      </c>
      <c r="C1182">
        <v>34.299999999999997</v>
      </c>
      <c r="D1182">
        <v>10.37</v>
      </c>
      <c r="E1182" t="s">
        <v>2344</v>
      </c>
      <c r="F1182" t="s">
        <v>2344</v>
      </c>
      <c r="G1182" t="s">
        <v>2344</v>
      </c>
      <c r="H1182">
        <v>0</v>
      </c>
      <c r="I1182" t="s">
        <v>2344</v>
      </c>
      <c r="J1182" t="str">
        <f t="shared" si="73"/>
        <v>Obesity</v>
      </c>
      <c r="K1182" t="str">
        <f t="shared" si="76"/>
        <v>Diabetes</v>
      </c>
      <c r="L1182">
        <v>12</v>
      </c>
      <c r="M1182" t="s">
        <v>2363</v>
      </c>
      <c r="N1182">
        <v>1970</v>
      </c>
      <c r="O1182" s="8">
        <f t="shared" si="74"/>
        <v>25823</v>
      </c>
      <c r="P1182" s="10">
        <v>9722.77</v>
      </c>
      <c r="Q1182" t="s">
        <v>2358</v>
      </c>
      <c r="R1182" t="s">
        <v>2361</v>
      </c>
      <c r="S1182" t="s">
        <v>2371</v>
      </c>
      <c r="T1182">
        <f t="shared" ca="1" si="75"/>
        <v>56</v>
      </c>
      <c r="U1182">
        <f>VLOOKUP($A1182,'Medical Examination'!$A:$Z,2,FALSE)</f>
        <v>34.299999999999997</v>
      </c>
    </row>
    <row r="1183" spans="1:21" ht="15.5" x14ac:dyDescent="0.35">
      <c r="A1183" s="2" t="s">
        <v>1183</v>
      </c>
      <c r="B1183" s="2" t="s">
        <v>2490</v>
      </c>
      <c r="C1183">
        <v>46.09</v>
      </c>
      <c r="D1183">
        <v>5.44</v>
      </c>
      <c r="E1183" t="s">
        <v>2344</v>
      </c>
      <c r="F1183" t="s">
        <v>2344</v>
      </c>
      <c r="G1183" t="s">
        <v>2344</v>
      </c>
      <c r="H1183">
        <v>1</v>
      </c>
      <c r="I1183" t="s">
        <v>2344</v>
      </c>
      <c r="J1183" t="str">
        <f t="shared" si="73"/>
        <v>Obesity</v>
      </c>
      <c r="K1183" t="str">
        <f t="shared" si="76"/>
        <v>Normal</v>
      </c>
      <c r="L1183">
        <v>18</v>
      </c>
      <c r="M1183" t="s">
        <v>2366</v>
      </c>
      <c r="N1183">
        <v>1970</v>
      </c>
      <c r="O1183" s="8">
        <f t="shared" si="74"/>
        <v>25798</v>
      </c>
      <c r="P1183" s="10">
        <v>9724.5300000000007</v>
      </c>
      <c r="Q1183" t="s">
        <v>2358</v>
      </c>
      <c r="R1183" t="s">
        <v>2361</v>
      </c>
      <c r="S1183" t="s">
        <v>2368</v>
      </c>
      <c r="T1183">
        <f t="shared" ca="1" si="75"/>
        <v>56</v>
      </c>
      <c r="U1183">
        <f>VLOOKUP($A1183,'Medical Examination'!$A:$Z,2,FALSE)</f>
        <v>46.09</v>
      </c>
    </row>
    <row r="1184" spans="1:21" ht="15.5" x14ac:dyDescent="0.35">
      <c r="A1184" s="2" t="s">
        <v>1184</v>
      </c>
      <c r="B1184" s="2" t="s">
        <v>4139</v>
      </c>
      <c r="C1184">
        <v>44.744999999999997</v>
      </c>
      <c r="D1184">
        <v>5.19</v>
      </c>
      <c r="E1184" t="s">
        <v>2344</v>
      </c>
      <c r="F1184" t="s">
        <v>2344</v>
      </c>
      <c r="G1184" t="s">
        <v>2344</v>
      </c>
      <c r="H1184">
        <v>1</v>
      </c>
      <c r="I1184" t="s">
        <v>2344</v>
      </c>
      <c r="J1184" t="str">
        <f t="shared" si="73"/>
        <v>Obesity</v>
      </c>
      <c r="K1184" t="str">
        <f t="shared" si="76"/>
        <v>Normal</v>
      </c>
      <c r="L1184">
        <v>4</v>
      </c>
      <c r="M1184" t="s">
        <v>2356</v>
      </c>
      <c r="N1184">
        <v>1970</v>
      </c>
      <c r="O1184" s="8">
        <f t="shared" si="74"/>
        <v>25753</v>
      </c>
      <c r="P1184" s="10">
        <v>9748.91</v>
      </c>
      <c r="Q1184" t="s">
        <v>2357</v>
      </c>
      <c r="R1184" t="s">
        <v>2361</v>
      </c>
      <c r="S1184" t="s">
        <v>2359</v>
      </c>
      <c r="T1184">
        <f t="shared" ca="1" si="75"/>
        <v>56</v>
      </c>
      <c r="U1184">
        <f>VLOOKUP($A1184,'Medical Examination'!$A:$Z,2,FALSE)</f>
        <v>44.744999999999997</v>
      </c>
    </row>
    <row r="1185" spans="1:21" ht="15.5" x14ac:dyDescent="0.35">
      <c r="A1185" s="2" t="s">
        <v>1185</v>
      </c>
      <c r="B1185" s="2" t="s">
        <v>4141</v>
      </c>
      <c r="C1185">
        <v>26.33</v>
      </c>
      <c r="D1185">
        <v>11.8</v>
      </c>
      <c r="E1185" t="s">
        <v>2346</v>
      </c>
      <c r="F1185" t="s">
        <v>2344</v>
      </c>
      <c r="G1185" t="s">
        <v>2344</v>
      </c>
      <c r="H1185">
        <v>1</v>
      </c>
      <c r="I1185" t="s">
        <v>2344</v>
      </c>
      <c r="J1185" t="str">
        <f t="shared" si="73"/>
        <v>Over weight</v>
      </c>
      <c r="K1185" t="str">
        <f t="shared" si="76"/>
        <v>Diabetes</v>
      </c>
      <c r="L1185">
        <v>14</v>
      </c>
      <c r="M1185" t="s">
        <v>2356</v>
      </c>
      <c r="N1185">
        <v>2001</v>
      </c>
      <c r="O1185" s="8">
        <f t="shared" si="74"/>
        <v>37086</v>
      </c>
      <c r="P1185" s="10">
        <v>9753.49</v>
      </c>
      <c r="Q1185" t="s">
        <v>2357</v>
      </c>
      <c r="R1185" t="s">
        <v>2357</v>
      </c>
      <c r="S1185" t="s">
        <v>2364</v>
      </c>
      <c r="T1185">
        <f t="shared" ca="1" si="75"/>
        <v>25</v>
      </c>
      <c r="U1185">
        <f>VLOOKUP($A1185,'Medical Examination'!$A:$Z,2,FALSE)</f>
        <v>26.33</v>
      </c>
    </row>
    <row r="1186" spans="1:21" ht="15.5" x14ac:dyDescent="0.35">
      <c r="A1186" s="2" t="s">
        <v>1186</v>
      </c>
      <c r="B1186" s="2" t="s">
        <v>4142</v>
      </c>
      <c r="C1186">
        <v>26.6</v>
      </c>
      <c r="D1186">
        <v>8.3800000000000008</v>
      </c>
      <c r="E1186" t="s">
        <v>2344</v>
      </c>
      <c r="F1186" t="s">
        <v>2344</v>
      </c>
      <c r="G1186" t="s">
        <v>2344</v>
      </c>
      <c r="H1186">
        <v>1</v>
      </c>
      <c r="I1186" t="s">
        <v>2344</v>
      </c>
      <c r="J1186" t="str">
        <f t="shared" si="73"/>
        <v>Over weight</v>
      </c>
      <c r="K1186" t="str">
        <f t="shared" si="76"/>
        <v>Diabetes</v>
      </c>
      <c r="L1186">
        <v>5</v>
      </c>
      <c r="M1186" t="s">
        <v>2363</v>
      </c>
      <c r="N1186">
        <v>1965</v>
      </c>
      <c r="O1186" s="8">
        <f t="shared" si="74"/>
        <v>23990</v>
      </c>
      <c r="P1186" s="10">
        <v>9764.08</v>
      </c>
      <c r="Q1186" t="s">
        <v>2358</v>
      </c>
      <c r="R1186" t="s">
        <v>2361</v>
      </c>
      <c r="S1186" t="s">
        <v>2364</v>
      </c>
      <c r="T1186">
        <f t="shared" ca="1" si="75"/>
        <v>61</v>
      </c>
      <c r="U1186">
        <f>VLOOKUP($A1186,'Medical Examination'!$A:$Z,2,FALSE)</f>
        <v>26.6</v>
      </c>
    </row>
    <row r="1187" spans="1:21" ht="15.5" x14ac:dyDescent="0.35">
      <c r="A1187" s="2" t="s">
        <v>1187</v>
      </c>
      <c r="B1187" s="2" t="s">
        <v>4143</v>
      </c>
      <c r="C1187">
        <v>27.5</v>
      </c>
      <c r="D1187">
        <v>7.58</v>
      </c>
      <c r="E1187" t="s">
        <v>2344</v>
      </c>
      <c r="F1187" t="s">
        <v>2344</v>
      </c>
      <c r="G1187" t="s">
        <v>2344</v>
      </c>
      <c r="H1187">
        <v>0</v>
      </c>
      <c r="I1187" t="s">
        <v>2344</v>
      </c>
      <c r="J1187" t="str">
        <f t="shared" si="73"/>
        <v>Over weight</v>
      </c>
      <c r="K1187" t="str">
        <f t="shared" si="76"/>
        <v>Diabetes</v>
      </c>
      <c r="L1187">
        <v>7</v>
      </c>
      <c r="M1187" t="s">
        <v>2356</v>
      </c>
      <c r="N1187">
        <v>1973</v>
      </c>
      <c r="O1187" s="8">
        <f t="shared" si="74"/>
        <v>26852</v>
      </c>
      <c r="P1187" s="10">
        <v>9778.35</v>
      </c>
      <c r="Q1187" t="s">
        <v>2357</v>
      </c>
      <c r="R1187" t="s">
        <v>2357</v>
      </c>
      <c r="S1187" t="s">
        <v>2374</v>
      </c>
      <c r="T1187">
        <f t="shared" ca="1" si="75"/>
        <v>53</v>
      </c>
      <c r="U1187">
        <f>VLOOKUP($A1187,'Medical Examination'!$A:$Z,2,FALSE)</f>
        <v>27.5</v>
      </c>
    </row>
    <row r="1188" spans="1:21" ht="15.5" x14ac:dyDescent="0.35">
      <c r="A1188" s="2" t="s">
        <v>1188</v>
      </c>
      <c r="B1188" s="2" t="s">
        <v>4144</v>
      </c>
      <c r="C1188">
        <v>41.55</v>
      </c>
      <c r="D1188">
        <v>4.6100000000000003</v>
      </c>
      <c r="E1188" t="s">
        <v>2344</v>
      </c>
      <c r="F1188" t="s">
        <v>2344</v>
      </c>
      <c r="G1188" t="s">
        <v>2344</v>
      </c>
      <c r="H1188">
        <v>1</v>
      </c>
      <c r="I1188" t="s">
        <v>2344</v>
      </c>
      <c r="J1188" t="str">
        <f t="shared" si="73"/>
        <v>Obesity</v>
      </c>
      <c r="K1188" t="str">
        <f t="shared" si="76"/>
        <v>Normal</v>
      </c>
      <c r="L1188">
        <v>8</v>
      </c>
      <c r="M1188" t="s">
        <v>2366</v>
      </c>
      <c r="N1188">
        <v>1996</v>
      </c>
      <c r="O1188" s="8">
        <f t="shared" si="74"/>
        <v>35285</v>
      </c>
      <c r="P1188" s="10">
        <v>9787.32</v>
      </c>
      <c r="Q1188" t="s">
        <v>2357</v>
      </c>
      <c r="R1188" t="s">
        <v>2358</v>
      </c>
      <c r="S1188" t="s">
        <v>2375</v>
      </c>
      <c r="T1188">
        <f t="shared" ca="1" si="75"/>
        <v>30</v>
      </c>
      <c r="U1188">
        <f>VLOOKUP($A1188,'Medical Examination'!$A:$Z,2,FALSE)</f>
        <v>41.55</v>
      </c>
    </row>
    <row r="1189" spans="1:21" ht="15.5" x14ac:dyDescent="0.35">
      <c r="A1189" s="2" t="s">
        <v>1189</v>
      </c>
      <c r="B1189" s="2" t="s">
        <v>2911</v>
      </c>
      <c r="C1189">
        <v>41.47</v>
      </c>
      <c r="D1189">
        <v>4.7</v>
      </c>
      <c r="E1189" t="s">
        <v>2346</v>
      </c>
      <c r="F1189" t="s">
        <v>2344</v>
      </c>
      <c r="G1189" t="s">
        <v>2346</v>
      </c>
      <c r="H1189">
        <v>1</v>
      </c>
      <c r="I1189" t="s">
        <v>2344</v>
      </c>
      <c r="J1189" t="str">
        <f t="shared" si="73"/>
        <v>Obesity</v>
      </c>
      <c r="K1189" t="str">
        <f t="shared" si="76"/>
        <v>Normal</v>
      </c>
      <c r="L1189">
        <v>7</v>
      </c>
      <c r="M1189" t="s">
        <v>2362</v>
      </c>
      <c r="N1189">
        <v>1977</v>
      </c>
      <c r="O1189" s="8">
        <f t="shared" si="74"/>
        <v>28283</v>
      </c>
      <c r="P1189" s="10">
        <v>9788.8700000000008</v>
      </c>
      <c r="Q1189" t="s">
        <v>2358</v>
      </c>
      <c r="R1189" t="s">
        <v>2357</v>
      </c>
      <c r="S1189" t="s">
        <v>2359</v>
      </c>
      <c r="T1189">
        <f t="shared" ca="1" si="75"/>
        <v>49</v>
      </c>
      <c r="U1189">
        <f>VLOOKUP($A1189,'Medical Examination'!$A:$Z,2,FALSE)</f>
        <v>41.47</v>
      </c>
    </row>
    <row r="1190" spans="1:21" ht="15.5" x14ac:dyDescent="0.35">
      <c r="A1190" s="2" t="s">
        <v>1190</v>
      </c>
      <c r="B1190" s="2" t="s">
        <v>4147</v>
      </c>
      <c r="C1190">
        <v>24.795000000000002</v>
      </c>
      <c r="D1190">
        <v>6.05</v>
      </c>
      <c r="E1190" t="s">
        <v>2346</v>
      </c>
      <c r="F1190" t="s">
        <v>2344</v>
      </c>
      <c r="G1190" t="s">
        <v>2344</v>
      </c>
      <c r="H1190">
        <v>0</v>
      </c>
      <c r="I1190" t="s">
        <v>2344</v>
      </c>
      <c r="J1190" t="str">
        <f t="shared" si="73"/>
        <v>Normal Weight</v>
      </c>
      <c r="K1190" t="str">
        <f t="shared" si="76"/>
        <v>Prediabetes</v>
      </c>
      <c r="L1190">
        <v>17</v>
      </c>
      <c r="M1190" t="s">
        <v>2363</v>
      </c>
      <c r="N1190">
        <v>1973</v>
      </c>
      <c r="O1190" s="8">
        <f t="shared" si="74"/>
        <v>26924</v>
      </c>
      <c r="P1190" s="10">
        <v>9800.89</v>
      </c>
      <c r="Q1190" t="s">
        <v>2357</v>
      </c>
      <c r="R1190" t="s">
        <v>2361</v>
      </c>
      <c r="S1190" t="s">
        <v>2359</v>
      </c>
      <c r="T1190">
        <f t="shared" ca="1" si="75"/>
        <v>53</v>
      </c>
      <c r="U1190">
        <f>VLOOKUP($A1190,'Medical Examination'!$A:$Z,2,FALSE)</f>
        <v>24.795000000000002</v>
      </c>
    </row>
    <row r="1191" spans="1:21" ht="15.5" x14ac:dyDescent="0.35">
      <c r="A1191" s="2" t="s">
        <v>1191</v>
      </c>
      <c r="B1191" s="2" t="s">
        <v>4149</v>
      </c>
      <c r="C1191">
        <v>29.48</v>
      </c>
      <c r="D1191">
        <v>5.63</v>
      </c>
      <c r="E1191" t="s">
        <v>2346</v>
      </c>
      <c r="F1191" t="s">
        <v>2344</v>
      </c>
      <c r="G1191" t="s">
        <v>2346</v>
      </c>
      <c r="H1191">
        <v>1</v>
      </c>
      <c r="I1191" t="s">
        <v>2344</v>
      </c>
      <c r="J1191" t="str">
        <f t="shared" si="73"/>
        <v>Over weight</v>
      </c>
      <c r="K1191" t="str">
        <f t="shared" si="76"/>
        <v>Normal</v>
      </c>
      <c r="L1191">
        <v>28</v>
      </c>
      <c r="M1191" t="s">
        <v>2362</v>
      </c>
      <c r="N1191">
        <v>1972</v>
      </c>
      <c r="O1191" s="8">
        <f t="shared" si="74"/>
        <v>26478</v>
      </c>
      <c r="P1191" s="10">
        <v>9819.25</v>
      </c>
      <c r="Q1191" t="s">
        <v>2357</v>
      </c>
      <c r="R1191" t="s">
        <v>2357</v>
      </c>
      <c r="S1191" t="s">
        <v>2377</v>
      </c>
      <c r="T1191">
        <f t="shared" ca="1" si="75"/>
        <v>54</v>
      </c>
      <c r="U1191">
        <f>VLOOKUP($A1191,'Medical Examination'!$A:$Z,2,FALSE)</f>
        <v>29.48</v>
      </c>
    </row>
    <row r="1192" spans="1:21" ht="15.5" x14ac:dyDescent="0.35">
      <c r="A1192" s="2" t="s">
        <v>1192</v>
      </c>
      <c r="B1192" s="2" t="s">
        <v>4150</v>
      </c>
      <c r="C1192">
        <v>28.09</v>
      </c>
      <c r="D1192">
        <v>6.06</v>
      </c>
      <c r="E1192" t="s">
        <v>2344</v>
      </c>
      <c r="F1192" t="s">
        <v>2344</v>
      </c>
      <c r="G1192" t="s">
        <v>2346</v>
      </c>
      <c r="H1192">
        <v>1</v>
      </c>
      <c r="I1192" t="s">
        <v>2344</v>
      </c>
      <c r="J1192" t="str">
        <f t="shared" si="73"/>
        <v>Over weight</v>
      </c>
      <c r="K1192" t="str">
        <f t="shared" si="76"/>
        <v>Prediabetes</v>
      </c>
      <c r="L1192">
        <v>26</v>
      </c>
      <c r="M1192" t="s">
        <v>2363</v>
      </c>
      <c r="N1192">
        <v>1972</v>
      </c>
      <c r="O1192" s="8">
        <f t="shared" si="74"/>
        <v>26568</v>
      </c>
      <c r="P1192" s="10">
        <v>9836.2099999999991</v>
      </c>
      <c r="Q1192" t="s">
        <v>2357</v>
      </c>
      <c r="R1192" t="s">
        <v>2358</v>
      </c>
      <c r="S1192" t="s">
        <v>2377</v>
      </c>
      <c r="T1192">
        <f t="shared" ca="1" si="75"/>
        <v>54</v>
      </c>
      <c r="U1192">
        <f>VLOOKUP($A1192,'Medical Examination'!$A:$Z,2,FALSE)</f>
        <v>28.09</v>
      </c>
    </row>
    <row r="1193" spans="1:21" ht="15.5" x14ac:dyDescent="0.35">
      <c r="A1193" s="2" t="s">
        <v>1193</v>
      </c>
      <c r="B1193" s="2" t="s">
        <v>4151</v>
      </c>
      <c r="C1193">
        <v>32.729999999999997</v>
      </c>
      <c r="D1193">
        <v>5.19</v>
      </c>
      <c r="E1193" t="s">
        <v>2344</v>
      </c>
      <c r="F1193" t="s">
        <v>2344</v>
      </c>
      <c r="G1193" t="s">
        <v>2344</v>
      </c>
      <c r="H1193">
        <v>1</v>
      </c>
      <c r="I1193" t="s">
        <v>2344</v>
      </c>
      <c r="J1193" t="str">
        <f t="shared" si="73"/>
        <v>Obesity</v>
      </c>
      <c r="K1193" t="str">
        <f t="shared" si="76"/>
        <v>Normal</v>
      </c>
      <c r="L1193">
        <v>13</v>
      </c>
      <c r="M1193" t="s">
        <v>2366</v>
      </c>
      <c r="N1193">
        <v>1992</v>
      </c>
      <c r="O1193" s="8">
        <f t="shared" si="74"/>
        <v>33829</v>
      </c>
      <c r="P1193" s="10">
        <v>9844.4500000000007</v>
      </c>
      <c r="Q1193" t="s">
        <v>2357</v>
      </c>
      <c r="R1193" t="s">
        <v>2361</v>
      </c>
      <c r="S1193" t="s">
        <v>2364</v>
      </c>
      <c r="T1193">
        <f t="shared" ca="1" si="75"/>
        <v>34</v>
      </c>
      <c r="U1193">
        <f>VLOOKUP($A1193,'Medical Examination'!$A:$Z,2,FALSE)</f>
        <v>32.729999999999997</v>
      </c>
    </row>
    <row r="1194" spans="1:21" ht="15.5" x14ac:dyDescent="0.35">
      <c r="A1194" s="2" t="s">
        <v>1194</v>
      </c>
      <c r="B1194" s="2" t="s">
        <v>4152</v>
      </c>
      <c r="C1194">
        <v>27.36</v>
      </c>
      <c r="D1194">
        <v>8.9600000000000009</v>
      </c>
      <c r="E1194" t="s">
        <v>2344</v>
      </c>
      <c r="F1194" t="s">
        <v>2344</v>
      </c>
      <c r="G1194" t="s">
        <v>2344</v>
      </c>
      <c r="H1194">
        <v>0</v>
      </c>
      <c r="I1194" t="s">
        <v>2344</v>
      </c>
      <c r="J1194" t="str">
        <f t="shared" si="73"/>
        <v>Over weight</v>
      </c>
      <c r="K1194" t="str">
        <f t="shared" si="76"/>
        <v>Diabetes</v>
      </c>
      <c r="L1194">
        <v>4</v>
      </c>
      <c r="M1194" t="s">
        <v>2360</v>
      </c>
      <c r="N1194">
        <v>1968</v>
      </c>
      <c r="O1194" s="8">
        <f t="shared" si="74"/>
        <v>25146</v>
      </c>
      <c r="P1194" s="10">
        <v>9850.43</v>
      </c>
      <c r="Q1194" t="s">
        <v>2358</v>
      </c>
      <c r="R1194" t="s">
        <v>2358</v>
      </c>
      <c r="S1194" t="s">
        <v>2368</v>
      </c>
      <c r="T1194">
        <f t="shared" ca="1" si="75"/>
        <v>58</v>
      </c>
      <c r="U1194">
        <f>VLOOKUP($A1194,'Medical Examination'!$A:$Z,2,FALSE)</f>
        <v>27.36</v>
      </c>
    </row>
    <row r="1195" spans="1:21" ht="15.5" x14ac:dyDescent="0.35">
      <c r="A1195" s="2" t="s">
        <v>1195</v>
      </c>
      <c r="B1195" s="2" t="s">
        <v>4154</v>
      </c>
      <c r="C1195">
        <v>27.265000000000001</v>
      </c>
      <c r="D1195">
        <v>11.39</v>
      </c>
      <c r="E1195" t="s">
        <v>2344</v>
      </c>
      <c r="F1195" t="s">
        <v>2344</v>
      </c>
      <c r="G1195" t="s">
        <v>2344</v>
      </c>
      <c r="H1195">
        <v>0</v>
      </c>
      <c r="I1195" t="s">
        <v>2344</v>
      </c>
      <c r="J1195" t="str">
        <f t="shared" si="73"/>
        <v>Over weight</v>
      </c>
      <c r="K1195" t="str">
        <f t="shared" si="76"/>
        <v>Diabetes</v>
      </c>
      <c r="L1195">
        <v>23</v>
      </c>
      <c r="M1195" t="s">
        <v>2367</v>
      </c>
      <c r="N1195">
        <v>1971</v>
      </c>
      <c r="O1195" s="8">
        <f t="shared" si="74"/>
        <v>26229</v>
      </c>
      <c r="P1195" s="10">
        <v>9855.1299999999992</v>
      </c>
      <c r="Q1195" t="s">
        <v>2357</v>
      </c>
      <c r="R1195" t="s">
        <v>2358</v>
      </c>
      <c r="S1195" t="s">
        <v>2359</v>
      </c>
      <c r="T1195">
        <f t="shared" ca="1" si="75"/>
        <v>55</v>
      </c>
      <c r="U1195">
        <f>VLOOKUP($A1195,'Medical Examination'!$A:$Z,2,FALSE)</f>
        <v>27.265000000000001</v>
      </c>
    </row>
    <row r="1196" spans="1:21" ht="15.5" x14ac:dyDescent="0.35">
      <c r="A1196" s="2" t="s">
        <v>1196</v>
      </c>
      <c r="B1196" s="2" t="s">
        <v>4155</v>
      </c>
      <c r="C1196">
        <v>48.07</v>
      </c>
      <c r="D1196">
        <v>4.0599999999999996</v>
      </c>
      <c r="E1196" t="s">
        <v>2346</v>
      </c>
      <c r="F1196" t="s">
        <v>2344</v>
      </c>
      <c r="G1196" t="s">
        <v>2344</v>
      </c>
      <c r="H1196">
        <v>0</v>
      </c>
      <c r="I1196" t="s">
        <v>2344</v>
      </c>
      <c r="J1196" t="str">
        <f t="shared" si="73"/>
        <v>Obesity</v>
      </c>
      <c r="K1196" t="str">
        <f t="shared" si="76"/>
        <v>Normal</v>
      </c>
      <c r="L1196">
        <v>17</v>
      </c>
      <c r="M1196" t="s">
        <v>2356</v>
      </c>
      <c r="N1196">
        <v>1971</v>
      </c>
      <c r="O1196" s="8">
        <f t="shared" si="74"/>
        <v>26131</v>
      </c>
      <c r="P1196" s="10">
        <v>9861.0300000000007</v>
      </c>
      <c r="Q1196" t="s">
        <v>2357</v>
      </c>
      <c r="R1196" t="s">
        <v>2357</v>
      </c>
      <c r="S1196" t="s">
        <v>2368</v>
      </c>
      <c r="T1196">
        <f t="shared" ca="1" si="75"/>
        <v>55</v>
      </c>
      <c r="U1196">
        <f>VLOOKUP($A1196,'Medical Examination'!$A:$Z,2,FALSE)</f>
        <v>48.07</v>
      </c>
    </row>
    <row r="1197" spans="1:21" ht="15.5" x14ac:dyDescent="0.35">
      <c r="A1197" s="2" t="s">
        <v>1197</v>
      </c>
      <c r="B1197" s="2" t="s">
        <v>4156</v>
      </c>
      <c r="C1197">
        <v>30.8</v>
      </c>
      <c r="D1197">
        <v>5.23</v>
      </c>
      <c r="E1197" t="s">
        <v>2346</v>
      </c>
      <c r="F1197" t="s">
        <v>2344</v>
      </c>
      <c r="G1197" t="s">
        <v>2344</v>
      </c>
      <c r="H1197">
        <v>0</v>
      </c>
      <c r="I1197" t="s">
        <v>2344</v>
      </c>
      <c r="J1197" t="str">
        <f t="shared" si="73"/>
        <v>Obesity</v>
      </c>
      <c r="K1197" t="str">
        <f t="shared" si="76"/>
        <v>Normal</v>
      </c>
      <c r="L1197">
        <v>20</v>
      </c>
      <c r="M1197" t="s">
        <v>2367</v>
      </c>
      <c r="N1197">
        <v>1969</v>
      </c>
      <c r="O1197" s="8">
        <f t="shared" si="74"/>
        <v>25496</v>
      </c>
      <c r="P1197" s="10">
        <v>9863.4699999999993</v>
      </c>
      <c r="Q1197" t="s">
        <v>2358</v>
      </c>
      <c r="R1197" t="s">
        <v>2358</v>
      </c>
      <c r="S1197" t="s">
        <v>2364</v>
      </c>
      <c r="T1197">
        <f t="shared" ca="1" si="75"/>
        <v>57</v>
      </c>
      <c r="U1197">
        <f>VLOOKUP($A1197,'Medical Examination'!$A:$Z,2,FALSE)</f>
        <v>30.8</v>
      </c>
    </row>
    <row r="1198" spans="1:21" ht="15.5" x14ac:dyDescent="0.35">
      <c r="A1198" s="2" t="s">
        <v>1198</v>
      </c>
      <c r="B1198" s="2" t="s">
        <v>4157</v>
      </c>
      <c r="C1198">
        <v>32.299999999999997</v>
      </c>
      <c r="D1198">
        <v>5.05</v>
      </c>
      <c r="E1198" t="s">
        <v>2346</v>
      </c>
      <c r="F1198" t="s">
        <v>2344</v>
      </c>
      <c r="G1198" t="s">
        <v>2344</v>
      </c>
      <c r="H1198">
        <v>0</v>
      </c>
      <c r="I1198" t="s">
        <v>2344</v>
      </c>
      <c r="J1198" t="str">
        <f t="shared" si="73"/>
        <v>Obesity</v>
      </c>
      <c r="K1198" t="str">
        <f t="shared" si="76"/>
        <v>Normal</v>
      </c>
      <c r="L1198">
        <v>9</v>
      </c>
      <c r="M1198" t="s">
        <v>2360</v>
      </c>
      <c r="N1198">
        <v>1971</v>
      </c>
      <c r="O1198" s="8">
        <f t="shared" si="74"/>
        <v>26246</v>
      </c>
      <c r="P1198" s="10">
        <v>9866.2999999999993</v>
      </c>
      <c r="Q1198" t="s">
        <v>2357</v>
      </c>
      <c r="R1198" t="s">
        <v>2358</v>
      </c>
      <c r="S1198" t="s">
        <v>2374</v>
      </c>
      <c r="T1198">
        <f t="shared" ca="1" si="75"/>
        <v>55</v>
      </c>
      <c r="U1198">
        <f>VLOOKUP($A1198,'Medical Examination'!$A:$Z,2,FALSE)</f>
        <v>32.299999999999997</v>
      </c>
    </row>
    <row r="1199" spans="1:21" ht="15.5" x14ac:dyDescent="0.35">
      <c r="A1199" s="2" t="s">
        <v>1199</v>
      </c>
      <c r="B1199" s="2" t="s">
        <v>4158</v>
      </c>
      <c r="C1199">
        <v>39.700000000000003</v>
      </c>
      <c r="D1199">
        <v>7.34</v>
      </c>
      <c r="E1199" t="s">
        <v>2344</v>
      </c>
      <c r="F1199" t="s">
        <v>2344</v>
      </c>
      <c r="G1199" t="s">
        <v>2344</v>
      </c>
      <c r="H1199">
        <v>0</v>
      </c>
      <c r="I1199" t="s">
        <v>2344</v>
      </c>
      <c r="J1199" t="str">
        <f t="shared" si="73"/>
        <v>Obesity</v>
      </c>
      <c r="K1199" t="str">
        <f t="shared" si="76"/>
        <v>Diabetes</v>
      </c>
      <c r="L1199">
        <v>13</v>
      </c>
      <c r="M1199" t="s">
        <v>2366</v>
      </c>
      <c r="N1199">
        <v>1969</v>
      </c>
      <c r="O1199" s="8">
        <f t="shared" si="74"/>
        <v>25428</v>
      </c>
      <c r="P1199" s="10">
        <v>9869.81</v>
      </c>
      <c r="Q1199" t="s">
        <v>2358</v>
      </c>
      <c r="R1199" t="s">
        <v>2358</v>
      </c>
      <c r="S1199" t="s">
        <v>2364</v>
      </c>
      <c r="T1199">
        <f t="shared" ca="1" si="75"/>
        <v>57</v>
      </c>
      <c r="U1199">
        <f>VLOOKUP($A1199,'Medical Examination'!$A:$Z,2,FALSE)</f>
        <v>39.700000000000003</v>
      </c>
    </row>
    <row r="1200" spans="1:21" ht="15.5" x14ac:dyDescent="0.35">
      <c r="A1200" s="2" t="s">
        <v>1200</v>
      </c>
      <c r="B1200" s="2" t="s">
        <v>4159</v>
      </c>
      <c r="C1200">
        <v>35.97</v>
      </c>
      <c r="D1200">
        <v>8.1300000000000008</v>
      </c>
      <c r="E1200" t="s">
        <v>2344</v>
      </c>
      <c r="F1200" t="s">
        <v>2344</v>
      </c>
      <c r="G1200" t="s">
        <v>2344</v>
      </c>
      <c r="H1200">
        <v>0</v>
      </c>
      <c r="I1200" t="s">
        <v>2344</v>
      </c>
      <c r="J1200" t="str">
        <f t="shared" si="73"/>
        <v>Obesity</v>
      </c>
      <c r="K1200" t="str">
        <f t="shared" si="76"/>
        <v>Diabetes</v>
      </c>
      <c r="L1200">
        <v>6</v>
      </c>
      <c r="M1200" t="s">
        <v>2356</v>
      </c>
      <c r="N1200">
        <v>1998</v>
      </c>
      <c r="O1200" s="8">
        <f t="shared" si="74"/>
        <v>35982</v>
      </c>
      <c r="P1200" s="10">
        <v>9870.59</v>
      </c>
      <c r="Q1200" t="s">
        <v>2357</v>
      </c>
      <c r="R1200" t="s">
        <v>2357</v>
      </c>
      <c r="S1200" t="s">
        <v>2375</v>
      </c>
      <c r="T1200">
        <f t="shared" ca="1" si="75"/>
        <v>28</v>
      </c>
      <c r="U1200">
        <f>VLOOKUP($A1200,'Medical Examination'!$A:$Z,2,FALSE)</f>
        <v>35.97</v>
      </c>
    </row>
    <row r="1201" spans="1:21" ht="15.5" x14ac:dyDescent="0.35">
      <c r="A1201" s="2" t="s">
        <v>1201</v>
      </c>
      <c r="B1201" s="2" t="s">
        <v>4161</v>
      </c>
      <c r="C1201">
        <v>25.86</v>
      </c>
      <c r="D1201">
        <v>6.68</v>
      </c>
      <c r="E1201" t="s">
        <v>2346</v>
      </c>
      <c r="F1201" t="s">
        <v>2344</v>
      </c>
      <c r="G1201" t="s">
        <v>2344</v>
      </c>
      <c r="H1201">
        <v>1</v>
      </c>
      <c r="I1201" t="s">
        <v>2344</v>
      </c>
      <c r="J1201" t="str">
        <f t="shared" si="73"/>
        <v>Over weight</v>
      </c>
      <c r="K1201" t="str">
        <f t="shared" si="76"/>
        <v>Diabetes</v>
      </c>
      <c r="L1201">
        <v>22</v>
      </c>
      <c r="M1201" t="s">
        <v>2365</v>
      </c>
      <c r="N1201">
        <v>1971</v>
      </c>
      <c r="O1201" s="8">
        <f t="shared" si="74"/>
        <v>26289</v>
      </c>
      <c r="P1201" s="10">
        <v>9872.7000000000007</v>
      </c>
      <c r="Q1201" t="s">
        <v>2357</v>
      </c>
      <c r="R1201" t="s">
        <v>2357</v>
      </c>
      <c r="S1201" t="s">
        <v>2368</v>
      </c>
      <c r="T1201">
        <f t="shared" ca="1" si="75"/>
        <v>55</v>
      </c>
      <c r="U1201">
        <f>VLOOKUP($A1201,'Medical Examination'!$A:$Z,2,FALSE)</f>
        <v>25.86</v>
      </c>
    </row>
    <row r="1202" spans="1:21" ht="15.5" x14ac:dyDescent="0.35">
      <c r="A1202" s="2" t="s">
        <v>1202</v>
      </c>
      <c r="B1202" s="2" t="s">
        <v>3703</v>
      </c>
      <c r="C1202">
        <v>30.03</v>
      </c>
      <c r="D1202">
        <v>11.51</v>
      </c>
      <c r="E1202" t="s">
        <v>2344</v>
      </c>
      <c r="F1202" t="s">
        <v>2344</v>
      </c>
      <c r="G1202" t="s">
        <v>2344</v>
      </c>
      <c r="H1202">
        <v>0</v>
      </c>
      <c r="I1202" t="s">
        <v>2344</v>
      </c>
      <c r="J1202" t="str">
        <f t="shared" si="73"/>
        <v>Obesity</v>
      </c>
      <c r="K1202" t="str">
        <f t="shared" si="76"/>
        <v>Diabetes</v>
      </c>
      <c r="L1202">
        <v>3</v>
      </c>
      <c r="M1202" t="s">
        <v>2356</v>
      </c>
      <c r="N1202">
        <v>1971</v>
      </c>
      <c r="O1202" s="8">
        <f t="shared" si="74"/>
        <v>26117</v>
      </c>
      <c r="P1202" s="10">
        <v>9875.68</v>
      </c>
      <c r="Q1202" t="s">
        <v>2357</v>
      </c>
      <c r="R1202" t="s">
        <v>2358</v>
      </c>
      <c r="S1202" t="s">
        <v>2374</v>
      </c>
      <c r="T1202">
        <f t="shared" ca="1" si="75"/>
        <v>55</v>
      </c>
      <c r="U1202">
        <f>VLOOKUP($A1202,'Medical Examination'!$A:$Z,2,FALSE)</f>
        <v>30.03</v>
      </c>
    </row>
    <row r="1203" spans="1:21" ht="15.5" x14ac:dyDescent="0.35">
      <c r="A1203" s="2" t="s">
        <v>1203</v>
      </c>
      <c r="B1203" s="2" t="s">
        <v>4162</v>
      </c>
      <c r="C1203">
        <v>25.76</v>
      </c>
      <c r="D1203">
        <v>6.02</v>
      </c>
      <c r="E1203" t="s">
        <v>2346</v>
      </c>
      <c r="F1203" t="s">
        <v>2344</v>
      </c>
      <c r="G1203" t="s">
        <v>2346</v>
      </c>
      <c r="H1203">
        <v>1</v>
      </c>
      <c r="I1203" t="s">
        <v>2344</v>
      </c>
      <c r="J1203" t="str">
        <f t="shared" si="73"/>
        <v>Over weight</v>
      </c>
      <c r="K1203" t="str">
        <f t="shared" si="76"/>
        <v>Prediabetes</v>
      </c>
      <c r="L1203">
        <v>3</v>
      </c>
      <c r="M1203" t="s">
        <v>2367</v>
      </c>
      <c r="N1203">
        <v>1971</v>
      </c>
      <c r="O1203" s="8">
        <f t="shared" si="74"/>
        <v>26209</v>
      </c>
      <c r="P1203" s="10">
        <v>9877.61</v>
      </c>
      <c r="Q1203" t="s">
        <v>2357</v>
      </c>
      <c r="R1203" t="s">
        <v>2361</v>
      </c>
      <c r="S1203" t="s">
        <v>2359</v>
      </c>
      <c r="T1203">
        <f t="shared" ca="1" si="75"/>
        <v>55</v>
      </c>
      <c r="U1203">
        <f>VLOOKUP($A1203,'Medical Examination'!$A:$Z,2,FALSE)</f>
        <v>25.76</v>
      </c>
    </row>
    <row r="1204" spans="1:21" ht="15.5" x14ac:dyDescent="0.35">
      <c r="A1204" s="2" t="s">
        <v>1204</v>
      </c>
      <c r="B1204" s="2" t="s">
        <v>4163</v>
      </c>
      <c r="C1204">
        <v>22.42</v>
      </c>
      <c r="D1204">
        <v>7.96</v>
      </c>
      <c r="E1204" t="s">
        <v>2344</v>
      </c>
      <c r="F1204" t="s">
        <v>2344</v>
      </c>
      <c r="G1204" t="s">
        <v>2344</v>
      </c>
      <c r="H1204">
        <v>0</v>
      </c>
      <c r="I1204" t="s">
        <v>2344</v>
      </c>
      <c r="J1204" t="str">
        <f t="shared" si="73"/>
        <v>Normal Weight</v>
      </c>
      <c r="K1204" t="str">
        <f t="shared" si="76"/>
        <v>Diabetes</v>
      </c>
      <c r="L1204">
        <v>8</v>
      </c>
      <c r="M1204" t="s">
        <v>2360</v>
      </c>
      <c r="N1204">
        <v>1971</v>
      </c>
      <c r="O1204" s="8">
        <f t="shared" si="74"/>
        <v>26245</v>
      </c>
      <c r="P1204" s="10">
        <v>9880.07</v>
      </c>
      <c r="Q1204" t="s">
        <v>2357</v>
      </c>
      <c r="R1204" t="s">
        <v>2358</v>
      </c>
      <c r="S1204" t="s">
        <v>2368</v>
      </c>
      <c r="T1204">
        <f t="shared" ca="1" si="75"/>
        <v>55</v>
      </c>
      <c r="U1204">
        <f>VLOOKUP($A1204,'Medical Examination'!$A:$Z,2,FALSE)</f>
        <v>22.42</v>
      </c>
    </row>
    <row r="1205" spans="1:21" ht="15.5" x14ac:dyDescent="0.35">
      <c r="A1205" s="2" t="s">
        <v>1205</v>
      </c>
      <c r="B1205" s="2" t="s">
        <v>4164</v>
      </c>
      <c r="C1205">
        <v>33.18</v>
      </c>
      <c r="D1205">
        <v>6.01</v>
      </c>
      <c r="E1205" t="s">
        <v>2346</v>
      </c>
      <c r="F1205" t="s">
        <v>2344</v>
      </c>
      <c r="G1205" t="s">
        <v>2344</v>
      </c>
      <c r="H1205">
        <v>1</v>
      </c>
      <c r="I1205" t="s">
        <v>2344</v>
      </c>
      <c r="J1205" t="str">
        <f t="shared" si="73"/>
        <v>Obesity</v>
      </c>
      <c r="K1205" t="str">
        <f t="shared" si="76"/>
        <v>Prediabetes</v>
      </c>
      <c r="L1205">
        <v>5</v>
      </c>
      <c r="M1205" t="s">
        <v>2360</v>
      </c>
      <c r="N1205">
        <v>1966</v>
      </c>
      <c r="O1205" s="8">
        <f t="shared" si="74"/>
        <v>24416</v>
      </c>
      <c r="P1205" s="10">
        <v>9890.23</v>
      </c>
      <c r="Q1205" t="s">
        <v>2358</v>
      </c>
      <c r="R1205" t="s">
        <v>2358</v>
      </c>
      <c r="S1205" t="s">
        <v>2359</v>
      </c>
      <c r="T1205">
        <f t="shared" ca="1" si="75"/>
        <v>60</v>
      </c>
      <c r="U1205">
        <f>VLOOKUP($A1205,'Medical Examination'!$A:$Z,2,FALSE)</f>
        <v>33.18</v>
      </c>
    </row>
    <row r="1206" spans="1:21" ht="15.5" x14ac:dyDescent="0.35">
      <c r="A1206" s="2" t="s">
        <v>1206</v>
      </c>
      <c r="B1206" s="2" t="s">
        <v>4165</v>
      </c>
      <c r="C1206">
        <v>43.04</v>
      </c>
      <c r="D1206">
        <v>5.9</v>
      </c>
      <c r="E1206" t="s">
        <v>2346</v>
      </c>
      <c r="F1206" t="s">
        <v>2344</v>
      </c>
      <c r="G1206" t="s">
        <v>2344</v>
      </c>
      <c r="H1206">
        <v>0</v>
      </c>
      <c r="I1206" t="s">
        <v>2344</v>
      </c>
      <c r="J1206" t="str">
        <f t="shared" si="73"/>
        <v>Obesity</v>
      </c>
      <c r="K1206" t="str">
        <f t="shared" si="76"/>
        <v>Prediabetes</v>
      </c>
      <c r="L1206">
        <v>8</v>
      </c>
      <c r="M1206" t="s">
        <v>2356</v>
      </c>
      <c r="N1206">
        <v>1996</v>
      </c>
      <c r="O1206" s="8">
        <f t="shared" si="74"/>
        <v>35254</v>
      </c>
      <c r="P1206" s="10">
        <v>9894.69</v>
      </c>
      <c r="Q1206" t="s">
        <v>2357</v>
      </c>
      <c r="R1206" t="s">
        <v>2358</v>
      </c>
      <c r="S1206" t="s">
        <v>2364</v>
      </c>
      <c r="T1206">
        <f t="shared" ca="1" si="75"/>
        <v>30</v>
      </c>
      <c r="U1206">
        <f>VLOOKUP($A1206,'Medical Examination'!$A:$Z,2,FALSE)</f>
        <v>43.04</v>
      </c>
    </row>
    <row r="1207" spans="1:21" ht="15.5" x14ac:dyDescent="0.35">
      <c r="A1207" s="2" t="s">
        <v>1207</v>
      </c>
      <c r="B1207" s="2" t="s">
        <v>4167</v>
      </c>
      <c r="C1207">
        <v>34.15</v>
      </c>
      <c r="D1207">
        <v>4.49</v>
      </c>
      <c r="E1207" t="s">
        <v>2346</v>
      </c>
      <c r="F1207" t="s">
        <v>2344</v>
      </c>
      <c r="G1207" t="s">
        <v>2344</v>
      </c>
      <c r="H1207">
        <v>1</v>
      </c>
      <c r="I1207" t="s">
        <v>2344</v>
      </c>
      <c r="J1207" t="str">
        <f t="shared" si="73"/>
        <v>Obesity</v>
      </c>
      <c r="K1207" t="str">
        <f t="shared" si="76"/>
        <v>Normal</v>
      </c>
      <c r="L1207">
        <v>17</v>
      </c>
      <c r="M1207" t="s">
        <v>2366</v>
      </c>
      <c r="N1207">
        <v>1962</v>
      </c>
      <c r="O1207" s="8">
        <f t="shared" si="74"/>
        <v>22875</v>
      </c>
      <c r="P1207" s="10">
        <v>9907.83</v>
      </c>
      <c r="Q1207" t="s">
        <v>2358</v>
      </c>
      <c r="R1207" t="s">
        <v>2357</v>
      </c>
      <c r="S1207" t="s">
        <v>2359</v>
      </c>
      <c r="T1207">
        <f t="shared" ca="1" si="75"/>
        <v>64</v>
      </c>
      <c r="U1207">
        <f>VLOOKUP($A1207,'Medical Examination'!$A:$Z,2,FALSE)</f>
        <v>34.15</v>
      </c>
    </row>
    <row r="1208" spans="1:21" ht="15.5" x14ac:dyDescent="0.35">
      <c r="A1208" s="2" t="s">
        <v>1208</v>
      </c>
      <c r="B1208" s="2" t="s">
        <v>4169</v>
      </c>
      <c r="C1208">
        <v>25.78</v>
      </c>
      <c r="D1208">
        <v>6.25</v>
      </c>
      <c r="E1208" t="s">
        <v>2344</v>
      </c>
      <c r="F1208" t="s">
        <v>2344</v>
      </c>
      <c r="G1208" t="s">
        <v>2344</v>
      </c>
      <c r="H1208">
        <v>0</v>
      </c>
      <c r="I1208" t="s">
        <v>2344</v>
      </c>
      <c r="J1208" t="str">
        <f t="shared" si="73"/>
        <v>Over weight</v>
      </c>
      <c r="K1208" t="str">
        <f t="shared" si="76"/>
        <v>Prediabetes</v>
      </c>
      <c r="L1208">
        <v>14</v>
      </c>
      <c r="M1208" t="s">
        <v>2363</v>
      </c>
      <c r="N1208">
        <v>1972</v>
      </c>
      <c r="O1208" s="8">
        <f t="shared" si="74"/>
        <v>26556</v>
      </c>
      <c r="P1208" s="10">
        <v>9910.36</v>
      </c>
      <c r="Q1208" t="s">
        <v>2357</v>
      </c>
      <c r="R1208" t="s">
        <v>2358</v>
      </c>
      <c r="S1208" t="s">
        <v>2364</v>
      </c>
      <c r="T1208">
        <f t="shared" ca="1" si="75"/>
        <v>54</v>
      </c>
      <c r="U1208">
        <f>VLOOKUP($A1208,'Medical Examination'!$A:$Z,2,FALSE)</f>
        <v>25.78</v>
      </c>
    </row>
    <row r="1209" spans="1:21" ht="15.5" x14ac:dyDescent="0.35">
      <c r="A1209" s="2" t="s">
        <v>1209</v>
      </c>
      <c r="B1209" s="2" t="s">
        <v>3340</v>
      </c>
      <c r="C1209">
        <v>21.02</v>
      </c>
      <c r="D1209">
        <v>9.6199999999999992</v>
      </c>
      <c r="E1209" t="s">
        <v>2346</v>
      </c>
      <c r="F1209" t="s">
        <v>2344</v>
      </c>
      <c r="G1209" t="s">
        <v>2346</v>
      </c>
      <c r="H1209">
        <v>1</v>
      </c>
      <c r="I1209" t="s">
        <v>2344</v>
      </c>
      <c r="J1209" t="str">
        <f t="shared" si="73"/>
        <v>Normal Weight</v>
      </c>
      <c r="K1209" t="str">
        <f t="shared" si="76"/>
        <v>Diabetes</v>
      </c>
      <c r="L1209">
        <v>19</v>
      </c>
      <c r="M1209" t="s">
        <v>2366</v>
      </c>
      <c r="N1209">
        <v>1985</v>
      </c>
      <c r="O1209" s="8">
        <f t="shared" si="74"/>
        <v>31278</v>
      </c>
      <c r="P1209" s="10">
        <v>9930.64</v>
      </c>
      <c r="Q1209" t="s">
        <v>2357</v>
      </c>
      <c r="R1209" t="s">
        <v>2358</v>
      </c>
      <c r="S1209" t="s">
        <v>2373</v>
      </c>
      <c r="T1209">
        <f t="shared" ca="1" si="75"/>
        <v>41</v>
      </c>
      <c r="U1209">
        <f>VLOOKUP($A1209,'Medical Examination'!$A:$Z,2,FALSE)</f>
        <v>21.02</v>
      </c>
    </row>
    <row r="1210" spans="1:21" ht="15.5" x14ac:dyDescent="0.35">
      <c r="A1210" s="2" t="s">
        <v>1210</v>
      </c>
      <c r="B1210" s="2" t="s">
        <v>4172</v>
      </c>
      <c r="C1210">
        <v>37.51</v>
      </c>
      <c r="D1210">
        <v>11.06</v>
      </c>
      <c r="E1210" t="s">
        <v>2344</v>
      </c>
      <c r="F1210" t="s">
        <v>2344</v>
      </c>
      <c r="G1210" t="s">
        <v>2344</v>
      </c>
      <c r="H1210">
        <v>1</v>
      </c>
      <c r="I1210" t="s">
        <v>2344</v>
      </c>
      <c r="J1210" t="str">
        <f t="shared" si="73"/>
        <v>Obesity</v>
      </c>
      <c r="K1210" t="str">
        <f t="shared" si="76"/>
        <v>Diabetes</v>
      </c>
      <c r="L1210">
        <v>3</v>
      </c>
      <c r="M1210" t="s">
        <v>2365</v>
      </c>
      <c r="N1210">
        <v>1983</v>
      </c>
      <c r="O1210" s="8">
        <f t="shared" si="74"/>
        <v>30653</v>
      </c>
      <c r="P1210" s="10">
        <v>9931.9599999999991</v>
      </c>
      <c r="Q1210" t="s">
        <v>2357</v>
      </c>
      <c r="R1210" t="s">
        <v>2357</v>
      </c>
      <c r="S1210" t="s">
        <v>2364</v>
      </c>
      <c r="T1210">
        <f t="shared" ca="1" si="75"/>
        <v>43</v>
      </c>
      <c r="U1210">
        <f>VLOOKUP($A1210,'Medical Examination'!$A:$Z,2,FALSE)</f>
        <v>37.51</v>
      </c>
    </row>
    <row r="1211" spans="1:21" ht="15.5" x14ac:dyDescent="0.35">
      <c r="A1211" s="2" t="s">
        <v>1211</v>
      </c>
      <c r="B1211" s="2" t="s">
        <v>3428</v>
      </c>
      <c r="C1211">
        <v>25.745000000000001</v>
      </c>
      <c r="D1211">
        <v>6.11</v>
      </c>
      <c r="E1211" t="s">
        <v>2346</v>
      </c>
      <c r="F1211" t="s">
        <v>2344</v>
      </c>
      <c r="G1211" t="s">
        <v>2344</v>
      </c>
      <c r="H1211">
        <v>0</v>
      </c>
      <c r="I1211" t="s">
        <v>2344</v>
      </c>
      <c r="J1211" t="str">
        <f t="shared" si="73"/>
        <v>Over weight</v>
      </c>
      <c r="K1211" t="str">
        <f t="shared" si="76"/>
        <v>Prediabetes</v>
      </c>
      <c r="L1211">
        <v>11</v>
      </c>
      <c r="M1211" t="s">
        <v>2363</v>
      </c>
      <c r="N1211">
        <v>1964</v>
      </c>
      <c r="O1211" s="8">
        <f t="shared" si="74"/>
        <v>23631</v>
      </c>
      <c r="P1211" s="10">
        <v>9933.44</v>
      </c>
      <c r="Q1211" t="s">
        <v>2358</v>
      </c>
      <c r="R1211" t="s">
        <v>2358</v>
      </c>
      <c r="S1211" t="s">
        <v>2359</v>
      </c>
      <c r="T1211">
        <f t="shared" ca="1" si="75"/>
        <v>62</v>
      </c>
      <c r="U1211">
        <f>VLOOKUP($A1211,'Medical Examination'!$A:$Z,2,FALSE)</f>
        <v>25.745000000000001</v>
      </c>
    </row>
    <row r="1212" spans="1:21" ht="15.5" x14ac:dyDescent="0.35">
      <c r="A1212" s="2" t="s">
        <v>1212</v>
      </c>
      <c r="B1212" s="2" t="s">
        <v>4174</v>
      </c>
      <c r="C1212">
        <v>31.35</v>
      </c>
      <c r="D1212">
        <v>11.49</v>
      </c>
      <c r="E1212" t="s">
        <v>2344</v>
      </c>
      <c r="F1212" t="s">
        <v>2344</v>
      </c>
      <c r="G1212" t="s">
        <v>2344</v>
      </c>
      <c r="H1212">
        <v>1</v>
      </c>
      <c r="I1212" t="s">
        <v>2344</v>
      </c>
      <c r="J1212" t="str">
        <f t="shared" si="73"/>
        <v>Obesity</v>
      </c>
      <c r="K1212" t="str">
        <f t="shared" si="76"/>
        <v>Diabetes</v>
      </c>
      <c r="L1212">
        <v>26</v>
      </c>
      <c r="M1212" t="s">
        <v>2365</v>
      </c>
      <c r="N1212">
        <v>1971</v>
      </c>
      <c r="O1212" s="8">
        <f t="shared" si="74"/>
        <v>26293</v>
      </c>
      <c r="P1212" s="10">
        <v>9957.7199999999993</v>
      </c>
      <c r="Q1212" t="s">
        <v>2357</v>
      </c>
      <c r="R1212" t="s">
        <v>2358</v>
      </c>
      <c r="S1212" t="s">
        <v>2372</v>
      </c>
      <c r="T1212">
        <f t="shared" ca="1" si="75"/>
        <v>55</v>
      </c>
      <c r="U1212">
        <f>VLOOKUP($A1212,'Medical Examination'!$A:$Z,2,FALSE)</f>
        <v>31.35</v>
      </c>
    </row>
    <row r="1213" spans="1:21" ht="15.5" x14ac:dyDescent="0.35">
      <c r="A1213" s="2" t="s">
        <v>1213</v>
      </c>
      <c r="B1213" s="2" t="s">
        <v>4176</v>
      </c>
      <c r="C1213">
        <v>29.83</v>
      </c>
      <c r="D1213">
        <v>8.68</v>
      </c>
      <c r="E1213" t="s">
        <v>2344</v>
      </c>
      <c r="F1213" t="s">
        <v>2344</v>
      </c>
      <c r="G1213" t="s">
        <v>2344</v>
      </c>
      <c r="H1213">
        <v>1</v>
      </c>
      <c r="I1213" t="s">
        <v>2344</v>
      </c>
      <c r="J1213" t="str">
        <f t="shared" si="73"/>
        <v>Over weight</v>
      </c>
      <c r="K1213" t="str">
        <f t="shared" si="76"/>
        <v>Diabetes</v>
      </c>
      <c r="L1213">
        <v>6</v>
      </c>
      <c r="M1213" t="s">
        <v>2367</v>
      </c>
      <c r="N1213">
        <v>1971</v>
      </c>
      <c r="O1213" s="8">
        <f t="shared" si="74"/>
        <v>26212</v>
      </c>
      <c r="P1213" s="10">
        <v>9964.06</v>
      </c>
      <c r="Q1213" t="s">
        <v>2357</v>
      </c>
      <c r="R1213" t="s">
        <v>2357</v>
      </c>
      <c r="S1213" t="s">
        <v>2370</v>
      </c>
      <c r="T1213">
        <f t="shared" ca="1" si="75"/>
        <v>55</v>
      </c>
      <c r="U1213">
        <f>VLOOKUP($A1213,'Medical Examination'!$A:$Z,2,FALSE)</f>
        <v>29.83</v>
      </c>
    </row>
    <row r="1214" spans="1:21" ht="15.5" x14ac:dyDescent="0.35">
      <c r="A1214" s="2" t="s">
        <v>1214</v>
      </c>
      <c r="B1214" s="2" t="s">
        <v>4177</v>
      </c>
      <c r="C1214">
        <v>25.49</v>
      </c>
      <c r="D1214">
        <v>5.68</v>
      </c>
      <c r="E1214" t="s">
        <v>2346</v>
      </c>
      <c r="F1214" t="s">
        <v>2344</v>
      </c>
      <c r="G1214" t="s">
        <v>2346</v>
      </c>
      <c r="H1214">
        <v>1</v>
      </c>
      <c r="I1214" t="s">
        <v>2344</v>
      </c>
      <c r="J1214" t="str">
        <f t="shared" si="73"/>
        <v>Over weight</v>
      </c>
      <c r="K1214" t="str">
        <f t="shared" si="76"/>
        <v>Normal</v>
      </c>
      <c r="L1214">
        <v>11</v>
      </c>
      <c r="M1214" t="s">
        <v>2366</v>
      </c>
      <c r="N1214">
        <v>1970</v>
      </c>
      <c r="O1214" s="8">
        <f t="shared" si="74"/>
        <v>25791</v>
      </c>
      <c r="P1214" s="10">
        <v>9991.0400000000009</v>
      </c>
      <c r="Q1214" t="s">
        <v>2357</v>
      </c>
      <c r="R1214" t="s">
        <v>2358</v>
      </c>
      <c r="S1214" t="s">
        <v>2364</v>
      </c>
      <c r="T1214">
        <f t="shared" ca="1" si="75"/>
        <v>56</v>
      </c>
      <c r="U1214">
        <f>VLOOKUP($A1214,'Medical Examination'!$A:$Z,2,FALSE)</f>
        <v>25.49</v>
      </c>
    </row>
    <row r="1215" spans="1:21" ht="15.5" x14ac:dyDescent="0.35">
      <c r="A1215" s="2" t="s">
        <v>1215</v>
      </c>
      <c r="B1215" s="2" t="s">
        <v>4178</v>
      </c>
      <c r="C1215">
        <v>34.1</v>
      </c>
      <c r="D1215">
        <v>8.4499999999999993</v>
      </c>
      <c r="E1215" t="s">
        <v>2344</v>
      </c>
      <c r="F1215" t="s">
        <v>2344</v>
      </c>
      <c r="G1215" t="s">
        <v>2344</v>
      </c>
      <c r="H1215">
        <v>0</v>
      </c>
      <c r="I1215" t="s">
        <v>2344</v>
      </c>
      <c r="J1215" t="str">
        <f t="shared" si="73"/>
        <v>Obesity</v>
      </c>
      <c r="K1215" t="str">
        <f t="shared" si="76"/>
        <v>Diabetes</v>
      </c>
      <c r="L1215">
        <v>3</v>
      </c>
      <c r="M1215" t="s">
        <v>2356</v>
      </c>
      <c r="N1215">
        <v>1988</v>
      </c>
      <c r="O1215" s="8">
        <f t="shared" si="74"/>
        <v>32327</v>
      </c>
      <c r="P1215" s="10">
        <v>10011.44</v>
      </c>
      <c r="Q1215" t="s">
        <v>2358</v>
      </c>
      <c r="R1215" t="s">
        <v>2358</v>
      </c>
      <c r="S1215" t="s">
        <v>2380</v>
      </c>
      <c r="T1215">
        <f t="shared" ca="1" si="75"/>
        <v>38</v>
      </c>
      <c r="U1215">
        <f>VLOOKUP($A1215,'Medical Examination'!$A:$Z,2,FALSE)</f>
        <v>34.1</v>
      </c>
    </row>
    <row r="1216" spans="1:21" ht="15.5" x14ac:dyDescent="0.35">
      <c r="A1216" s="2" t="s">
        <v>1216</v>
      </c>
      <c r="B1216" s="2" t="s">
        <v>4179</v>
      </c>
      <c r="C1216">
        <v>25.84</v>
      </c>
      <c r="D1216">
        <v>8.51</v>
      </c>
      <c r="E1216" t="s">
        <v>2344</v>
      </c>
      <c r="F1216" t="s">
        <v>2344</v>
      </c>
      <c r="G1216" t="s">
        <v>2344</v>
      </c>
      <c r="H1216">
        <v>1</v>
      </c>
      <c r="I1216" t="s">
        <v>2344</v>
      </c>
      <c r="J1216" t="str">
        <f t="shared" si="73"/>
        <v>Over weight</v>
      </c>
      <c r="K1216" t="str">
        <f t="shared" si="76"/>
        <v>Diabetes</v>
      </c>
      <c r="L1216">
        <v>28</v>
      </c>
      <c r="M1216" t="s">
        <v>2365</v>
      </c>
      <c r="N1216">
        <v>1979</v>
      </c>
      <c r="O1216" s="8">
        <f t="shared" si="74"/>
        <v>29217</v>
      </c>
      <c r="P1216" s="10">
        <v>10027.15</v>
      </c>
      <c r="Q1216" t="s">
        <v>2358</v>
      </c>
      <c r="R1216" t="s">
        <v>2361</v>
      </c>
      <c r="S1216" t="s">
        <v>2377</v>
      </c>
      <c r="T1216">
        <f t="shared" ca="1" si="75"/>
        <v>47</v>
      </c>
      <c r="U1216">
        <f>VLOOKUP($A1216,'Medical Examination'!$A:$Z,2,FALSE)</f>
        <v>25.84</v>
      </c>
    </row>
    <row r="1217" spans="1:21" ht="15.5" x14ac:dyDescent="0.35">
      <c r="A1217" s="2" t="s">
        <v>1217</v>
      </c>
      <c r="B1217" s="2" t="s">
        <v>4180</v>
      </c>
      <c r="C1217">
        <v>20.6</v>
      </c>
      <c r="D1217">
        <v>7.62</v>
      </c>
      <c r="E1217" t="s">
        <v>2344</v>
      </c>
      <c r="F1217" t="s">
        <v>2344</v>
      </c>
      <c r="G1217" t="s">
        <v>2344</v>
      </c>
      <c r="H1217">
        <v>0</v>
      </c>
      <c r="I1217" t="s">
        <v>2344</v>
      </c>
      <c r="J1217" t="str">
        <f t="shared" si="73"/>
        <v>Normal Weight</v>
      </c>
      <c r="K1217" t="str">
        <f t="shared" si="76"/>
        <v>Diabetes</v>
      </c>
      <c r="L1217">
        <v>30</v>
      </c>
      <c r="M1217" t="s">
        <v>2366</v>
      </c>
      <c r="N1217">
        <v>1974</v>
      </c>
      <c r="O1217" s="8">
        <f t="shared" si="74"/>
        <v>27271</v>
      </c>
      <c r="P1217" s="10">
        <v>10043.25</v>
      </c>
      <c r="Q1217" t="s">
        <v>2358</v>
      </c>
      <c r="R1217" t="s">
        <v>2357</v>
      </c>
      <c r="S1217" t="s">
        <v>2374</v>
      </c>
      <c r="T1217">
        <f t="shared" ca="1" si="75"/>
        <v>52</v>
      </c>
      <c r="U1217">
        <f>VLOOKUP($A1217,'Medical Examination'!$A:$Z,2,FALSE)</f>
        <v>20.6</v>
      </c>
    </row>
    <row r="1218" spans="1:21" ht="15.5" x14ac:dyDescent="0.35">
      <c r="A1218" s="2" t="s">
        <v>1218</v>
      </c>
      <c r="B1218" s="2" t="s">
        <v>3591</v>
      </c>
      <c r="C1218">
        <v>28.88</v>
      </c>
      <c r="D1218">
        <v>10.18</v>
      </c>
      <c r="E1218" t="s">
        <v>2344</v>
      </c>
      <c r="F1218" t="s">
        <v>2344</v>
      </c>
      <c r="G1218" t="s">
        <v>2344</v>
      </c>
      <c r="H1218">
        <v>0</v>
      </c>
      <c r="I1218" t="s">
        <v>2344</v>
      </c>
      <c r="J1218" t="str">
        <f t="shared" si="73"/>
        <v>Over weight</v>
      </c>
      <c r="K1218" t="str">
        <f t="shared" si="76"/>
        <v>Diabetes</v>
      </c>
      <c r="L1218">
        <v>22</v>
      </c>
      <c r="M1218" t="s">
        <v>2366</v>
      </c>
      <c r="N1218">
        <v>1969</v>
      </c>
      <c r="O1218" s="8">
        <f t="shared" si="74"/>
        <v>25437</v>
      </c>
      <c r="P1218" s="10">
        <v>10065.41</v>
      </c>
      <c r="Q1218" t="s">
        <v>2358</v>
      </c>
      <c r="R1218" t="s">
        <v>2357</v>
      </c>
      <c r="S1218" t="s">
        <v>2368</v>
      </c>
      <c r="T1218">
        <f t="shared" ca="1" si="75"/>
        <v>57</v>
      </c>
      <c r="U1218">
        <f>VLOOKUP($A1218,'Medical Examination'!$A:$Z,2,FALSE)</f>
        <v>28.88</v>
      </c>
    </row>
    <row r="1219" spans="1:21" ht="15.5" x14ac:dyDescent="0.35">
      <c r="A1219" s="2" t="s">
        <v>1219</v>
      </c>
      <c r="B1219" s="2" t="s">
        <v>4182</v>
      </c>
      <c r="C1219">
        <v>28.24</v>
      </c>
      <c r="D1219">
        <v>5.36</v>
      </c>
      <c r="E1219" t="s">
        <v>2344</v>
      </c>
      <c r="F1219" t="s">
        <v>2344</v>
      </c>
      <c r="G1219" t="s">
        <v>2344</v>
      </c>
      <c r="H1219">
        <v>0</v>
      </c>
      <c r="I1219" t="s">
        <v>2344</v>
      </c>
      <c r="J1219" t="str">
        <f t="shared" ref="J1219:J1282" si="77">IF(C1219&lt;18.5,"Under Weight",IF(C1219&lt;25,"Normal Weight",IF(C1219&lt;30,"Over weight","Obesity")))</f>
        <v>Over weight</v>
      </c>
      <c r="K1219" t="str">
        <f t="shared" si="76"/>
        <v>Normal</v>
      </c>
      <c r="L1219">
        <v>27</v>
      </c>
      <c r="M1219" t="s">
        <v>2367</v>
      </c>
      <c r="N1219">
        <v>1969</v>
      </c>
      <c r="O1219" s="8">
        <f t="shared" ref="O1219:O1282" si="78">DATE(N1219,MONTH(1&amp;M1219),L1219)</f>
        <v>25503</v>
      </c>
      <c r="P1219" s="10">
        <v>10072.06</v>
      </c>
      <c r="Q1219" t="s">
        <v>2358</v>
      </c>
      <c r="R1219" t="s">
        <v>2361</v>
      </c>
      <c r="S1219" t="s">
        <v>2378</v>
      </c>
      <c r="T1219">
        <f t="shared" ref="T1219:T1282" ca="1" si="79">YEAR(TODAY())-YEAR(O1219)</f>
        <v>57</v>
      </c>
      <c r="U1219">
        <f>VLOOKUP($A1219,'Medical Examination'!$A:$Z,2,FALSE)</f>
        <v>28.24</v>
      </c>
    </row>
    <row r="1220" spans="1:21" ht="15.5" x14ac:dyDescent="0.35">
      <c r="A1220" s="2" t="s">
        <v>1220</v>
      </c>
      <c r="B1220" s="2" t="s">
        <v>4185</v>
      </c>
      <c r="C1220">
        <v>25.46</v>
      </c>
      <c r="D1220">
        <v>11.78</v>
      </c>
      <c r="E1220" t="s">
        <v>2346</v>
      </c>
      <c r="F1220" t="s">
        <v>2344</v>
      </c>
      <c r="G1220" t="s">
        <v>2344</v>
      </c>
      <c r="H1220">
        <v>1</v>
      </c>
      <c r="I1220" t="s">
        <v>2344</v>
      </c>
      <c r="J1220" t="str">
        <f t="shared" si="77"/>
        <v>Over weight</v>
      </c>
      <c r="K1220" t="str">
        <f t="shared" si="76"/>
        <v>Diabetes</v>
      </c>
      <c r="L1220">
        <v>3</v>
      </c>
      <c r="M1220" t="s">
        <v>2356</v>
      </c>
      <c r="N1220">
        <v>1969</v>
      </c>
      <c r="O1220" s="8">
        <f t="shared" si="78"/>
        <v>25387</v>
      </c>
      <c r="P1220" s="10">
        <v>10085.85</v>
      </c>
      <c r="Q1220" t="s">
        <v>2358</v>
      </c>
      <c r="R1220" t="s">
        <v>2358</v>
      </c>
      <c r="S1220" t="s">
        <v>2368</v>
      </c>
      <c r="T1220">
        <f t="shared" ca="1" si="79"/>
        <v>57</v>
      </c>
      <c r="U1220">
        <f>VLOOKUP($A1220,'Medical Examination'!$A:$Z,2,FALSE)</f>
        <v>25.46</v>
      </c>
    </row>
    <row r="1221" spans="1:21" ht="15.5" x14ac:dyDescent="0.35">
      <c r="A1221" s="2" t="s">
        <v>1221</v>
      </c>
      <c r="B1221" s="2" t="s">
        <v>4186</v>
      </c>
      <c r="C1221">
        <v>29.64</v>
      </c>
      <c r="D1221">
        <v>10.82</v>
      </c>
      <c r="E1221" t="s">
        <v>2346</v>
      </c>
      <c r="F1221" t="s">
        <v>2344</v>
      </c>
      <c r="G1221" t="s">
        <v>2344</v>
      </c>
      <c r="H1221">
        <v>0</v>
      </c>
      <c r="I1221" t="s">
        <v>2344</v>
      </c>
      <c r="J1221" t="str">
        <f t="shared" si="77"/>
        <v>Over weight</v>
      </c>
      <c r="K1221" t="str">
        <f t="shared" si="76"/>
        <v>Diabetes</v>
      </c>
      <c r="L1221">
        <v>19</v>
      </c>
      <c r="M1221" t="s">
        <v>2365</v>
      </c>
      <c r="N1221">
        <v>1976</v>
      </c>
      <c r="O1221" s="8">
        <f t="shared" si="78"/>
        <v>28113</v>
      </c>
      <c r="P1221" s="10">
        <v>10096.969999999999</v>
      </c>
      <c r="Q1221" t="s">
        <v>2358</v>
      </c>
      <c r="R1221" t="s">
        <v>2357</v>
      </c>
      <c r="S1221" t="s">
        <v>2368</v>
      </c>
      <c r="T1221">
        <f t="shared" ca="1" si="79"/>
        <v>50</v>
      </c>
      <c r="U1221">
        <f>VLOOKUP($A1221,'Medical Examination'!$A:$Z,2,FALSE)</f>
        <v>29.64</v>
      </c>
    </row>
    <row r="1222" spans="1:21" ht="15.5" x14ac:dyDescent="0.35">
      <c r="A1222" s="2" t="s">
        <v>1222</v>
      </c>
      <c r="B1222" s="2" t="s">
        <v>4188</v>
      </c>
      <c r="C1222">
        <v>31.27</v>
      </c>
      <c r="D1222">
        <v>7.73</v>
      </c>
      <c r="E1222" t="s">
        <v>2346</v>
      </c>
      <c r="F1222" t="s">
        <v>2344</v>
      </c>
      <c r="G1222" t="s">
        <v>2344</v>
      </c>
      <c r="H1222">
        <v>1</v>
      </c>
      <c r="I1222" t="s">
        <v>2344</v>
      </c>
      <c r="J1222" t="str">
        <f t="shared" si="77"/>
        <v>Obesity</v>
      </c>
      <c r="K1222" t="str">
        <f t="shared" si="76"/>
        <v>Diabetes</v>
      </c>
      <c r="L1222">
        <v>19</v>
      </c>
      <c r="M1222" t="s">
        <v>2367</v>
      </c>
      <c r="N1222">
        <v>1972</v>
      </c>
      <c r="O1222" s="8">
        <f t="shared" si="78"/>
        <v>26591</v>
      </c>
      <c r="P1222" s="10">
        <v>10106.129999999999</v>
      </c>
      <c r="Q1222" t="s">
        <v>2358</v>
      </c>
      <c r="R1222" t="s">
        <v>2361</v>
      </c>
      <c r="S1222" t="s">
        <v>2374</v>
      </c>
      <c r="T1222">
        <f t="shared" ca="1" si="79"/>
        <v>54</v>
      </c>
      <c r="U1222">
        <f>VLOOKUP($A1222,'Medical Examination'!$A:$Z,2,FALSE)</f>
        <v>31.27</v>
      </c>
    </row>
    <row r="1223" spans="1:21" ht="15.5" x14ac:dyDescent="0.35">
      <c r="A1223" s="2" t="s">
        <v>1223</v>
      </c>
      <c r="B1223" s="2" t="s">
        <v>4190</v>
      </c>
      <c r="C1223">
        <v>19.95</v>
      </c>
      <c r="D1223">
        <v>6.24</v>
      </c>
      <c r="E1223" t="s">
        <v>2346</v>
      </c>
      <c r="F1223" t="s">
        <v>2344</v>
      </c>
      <c r="G1223" t="s">
        <v>2344</v>
      </c>
      <c r="H1223">
        <v>0</v>
      </c>
      <c r="I1223" t="s">
        <v>2344</v>
      </c>
      <c r="J1223" t="str">
        <f t="shared" si="77"/>
        <v>Normal Weight</v>
      </c>
      <c r="K1223" t="str">
        <f t="shared" si="76"/>
        <v>Prediabetes</v>
      </c>
      <c r="L1223">
        <v>8</v>
      </c>
      <c r="M1223" t="s">
        <v>2366</v>
      </c>
      <c r="N1223">
        <v>1972</v>
      </c>
      <c r="O1223" s="8">
        <f t="shared" si="78"/>
        <v>26519</v>
      </c>
      <c r="P1223" s="10">
        <v>10107.219999999999</v>
      </c>
      <c r="Q1223" t="s">
        <v>2358</v>
      </c>
      <c r="R1223" t="s">
        <v>2361</v>
      </c>
      <c r="S1223" t="s">
        <v>2359</v>
      </c>
      <c r="T1223">
        <f t="shared" ca="1" si="79"/>
        <v>54</v>
      </c>
      <c r="U1223">
        <f>VLOOKUP($A1223,'Medical Examination'!$A:$Z,2,FALSE)</f>
        <v>19.95</v>
      </c>
    </row>
    <row r="1224" spans="1:21" ht="15.5" x14ac:dyDescent="0.35">
      <c r="A1224" s="2" t="s">
        <v>1224</v>
      </c>
      <c r="B1224" s="2" t="s">
        <v>4191</v>
      </c>
      <c r="C1224">
        <v>21.3</v>
      </c>
      <c r="D1224">
        <v>10.42</v>
      </c>
      <c r="E1224" t="s">
        <v>2344</v>
      </c>
      <c r="F1224" t="s">
        <v>2344</v>
      </c>
      <c r="G1224" t="s">
        <v>2344</v>
      </c>
      <c r="H1224">
        <v>1</v>
      </c>
      <c r="I1224" t="s">
        <v>2344</v>
      </c>
      <c r="J1224" t="str">
        <f t="shared" si="77"/>
        <v>Normal Weight</v>
      </c>
      <c r="K1224" t="str">
        <f t="shared" si="76"/>
        <v>Diabetes</v>
      </c>
      <c r="L1224">
        <v>2</v>
      </c>
      <c r="M1224" t="s">
        <v>2356</v>
      </c>
      <c r="N1224">
        <v>1975</v>
      </c>
      <c r="O1224" s="8">
        <f t="shared" si="78"/>
        <v>27577</v>
      </c>
      <c r="P1224" s="10">
        <v>10115.01</v>
      </c>
      <c r="Q1224" t="s">
        <v>2358</v>
      </c>
      <c r="R1224" t="s">
        <v>2358</v>
      </c>
      <c r="S1224" t="s">
        <v>2364</v>
      </c>
      <c r="T1224">
        <f t="shared" ca="1" si="79"/>
        <v>51</v>
      </c>
      <c r="U1224">
        <f>VLOOKUP($A1224,'Medical Examination'!$A:$Z,2,FALSE)</f>
        <v>21.3</v>
      </c>
    </row>
    <row r="1225" spans="1:21" ht="15.5" x14ac:dyDescent="0.35">
      <c r="A1225" s="2" t="s">
        <v>1225</v>
      </c>
      <c r="B1225" s="2" t="s">
        <v>2954</v>
      </c>
      <c r="C1225">
        <v>31.635000000000002</v>
      </c>
      <c r="D1225">
        <v>11.11</v>
      </c>
      <c r="E1225" t="s">
        <v>2344</v>
      </c>
      <c r="F1225" t="s">
        <v>2344</v>
      </c>
      <c r="G1225" t="s">
        <v>2344</v>
      </c>
      <c r="H1225">
        <v>0</v>
      </c>
      <c r="I1225" t="s">
        <v>2344</v>
      </c>
      <c r="J1225" t="str">
        <f t="shared" si="77"/>
        <v>Obesity</v>
      </c>
      <c r="K1225" t="str">
        <f t="shared" si="76"/>
        <v>Diabetes</v>
      </c>
      <c r="L1225">
        <v>16</v>
      </c>
      <c r="M1225" t="s">
        <v>2360</v>
      </c>
      <c r="N1225">
        <v>1972</v>
      </c>
      <c r="O1225" s="8">
        <f t="shared" si="78"/>
        <v>26619</v>
      </c>
      <c r="P1225" s="10">
        <v>10118.42</v>
      </c>
      <c r="Q1225" t="s">
        <v>2358</v>
      </c>
      <c r="R1225" t="s">
        <v>2358</v>
      </c>
      <c r="S1225" t="s">
        <v>2368</v>
      </c>
      <c r="T1225">
        <f t="shared" ca="1" si="79"/>
        <v>54</v>
      </c>
      <c r="U1225">
        <f>VLOOKUP($A1225,'Medical Examination'!$A:$Z,2,FALSE)</f>
        <v>31.635000000000002</v>
      </c>
    </row>
    <row r="1226" spans="1:21" ht="15.5" x14ac:dyDescent="0.35">
      <c r="A1226" s="2" t="s">
        <v>1226</v>
      </c>
      <c r="B1226" s="2" t="s">
        <v>2511</v>
      </c>
      <c r="C1226">
        <v>23.9</v>
      </c>
      <c r="D1226">
        <v>7.67</v>
      </c>
      <c r="E1226" t="s">
        <v>2346</v>
      </c>
      <c r="F1226" t="s">
        <v>2344</v>
      </c>
      <c r="G1226" t="s">
        <v>2344</v>
      </c>
      <c r="H1226">
        <v>1</v>
      </c>
      <c r="I1226" t="s">
        <v>2344</v>
      </c>
      <c r="J1226" t="str">
        <f t="shared" si="77"/>
        <v>Normal Weight</v>
      </c>
      <c r="K1226" t="str">
        <f t="shared" si="76"/>
        <v>Diabetes</v>
      </c>
      <c r="L1226">
        <v>5</v>
      </c>
      <c r="M1226" t="s">
        <v>2363</v>
      </c>
      <c r="N1226">
        <v>1997</v>
      </c>
      <c r="O1226" s="8">
        <f t="shared" si="78"/>
        <v>35678</v>
      </c>
      <c r="P1226" s="10">
        <v>10139.84</v>
      </c>
      <c r="Q1226" t="s">
        <v>2358</v>
      </c>
      <c r="R1226" t="s">
        <v>2357</v>
      </c>
      <c r="S1226" t="s">
        <v>2364</v>
      </c>
      <c r="T1226">
        <f t="shared" ca="1" si="79"/>
        <v>29</v>
      </c>
      <c r="U1226">
        <f>VLOOKUP($A1226,'Medical Examination'!$A:$Z,2,FALSE)</f>
        <v>23.9</v>
      </c>
    </row>
    <row r="1227" spans="1:21" ht="15.5" x14ac:dyDescent="0.35">
      <c r="A1227" s="2" t="s">
        <v>1227</v>
      </c>
      <c r="B1227" s="2" t="s">
        <v>4194</v>
      </c>
      <c r="C1227">
        <v>34.15</v>
      </c>
      <c r="D1227">
        <v>6.15</v>
      </c>
      <c r="E1227" t="s">
        <v>2344</v>
      </c>
      <c r="F1227" t="s">
        <v>2344</v>
      </c>
      <c r="G1227" t="s">
        <v>2344</v>
      </c>
      <c r="H1227">
        <v>0</v>
      </c>
      <c r="I1227" t="s">
        <v>2344</v>
      </c>
      <c r="J1227" t="str">
        <f t="shared" si="77"/>
        <v>Obesity</v>
      </c>
      <c r="K1227" t="str">
        <f t="shared" si="76"/>
        <v>Prediabetes</v>
      </c>
      <c r="L1227">
        <v>30</v>
      </c>
      <c r="M1227" t="s">
        <v>2365</v>
      </c>
      <c r="N1227">
        <v>1974</v>
      </c>
      <c r="O1227" s="8">
        <f t="shared" si="78"/>
        <v>27393</v>
      </c>
      <c r="P1227" s="10">
        <v>10141.14</v>
      </c>
      <c r="Q1227" t="s">
        <v>2358</v>
      </c>
      <c r="R1227" t="s">
        <v>2361</v>
      </c>
      <c r="S1227" t="s">
        <v>2371</v>
      </c>
      <c r="T1227">
        <f t="shared" ca="1" si="79"/>
        <v>52</v>
      </c>
      <c r="U1227">
        <f>VLOOKUP($A1227,'Medical Examination'!$A:$Z,2,FALSE)</f>
        <v>34.15</v>
      </c>
    </row>
    <row r="1228" spans="1:21" ht="15.5" x14ac:dyDescent="0.35">
      <c r="A1228" s="2" t="s">
        <v>1228</v>
      </c>
      <c r="B1228" s="2" t="s">
        <v>4196</v>
      </c>
      <c r="C1228">
        <v>28.71</v>
      </c>
      <c r="D1228">
        <v>5.71</v>
      </c>
      <c r="E1228" t="s">
        <v>2344</v>
      </c>
      <c r="F1228" t="s">
        <v>2344</v>
      </c>
      <c r="G1228" t="s">
        <v>2344</v>
      </c>
      <c r="H1228">
        <v>0</v>
      </c>
      <c r="I1228" t="s">
        <v>2344</v>
      </c>
      <c r="J1228" t="str">
        <f t="shared" si="77"/>
        <v>Over weight</v>
      </c>
      <c r="K1228" t="str">
        <f t="shared" ref="K1228:K1291" si="80">IF(D1228&lt;5.7,"Normal",IF(D1228&lt;6.5,"Prediabetes","Diabetes"))</f>
        <v>Prediabetes</v>
      </c>
      <c r="L1228">
        <v>12</v>
      </c>
      <c r="M1228" t="s">
        <v>2362</v>
      </c>
      <c r="N1228">
        <v>1981</v>
      </c>
      <c r="O1228" s="8">
        <f t="shared" si="78"/>
        <v>29749</v>
      </c>
      <c r="P1228" s="10">
        <v>10146.129999999999</v>
      </c>
      <c r="Q1228" t="s">
        <v>2358</v>
      </c>
      <c r="R1228" t="s">
        <v>2361</v>
      </c>
      <c r="S1228" t="s">
        <v>2373</v>
      </c>
      <c r="T1228">
        <f t="shared" ca="1" si="79"/>
        <v>45</v>
      </c>
      <c r="U1228">
        <f>VLOOKUP($A1228,'Medical Examination'!$A:$Z,2,FALSE)</f>
        <v>28.71</v>
      </c>
    </row>
    <row r="1229" spans="1:21" ht="15.5" x14ac:dyDescent="0.35">
      <c r="A1229" s="2" t="s">
        <v>1229</v>
      </c>
      <c r="B1229" s="2" t="s">
        <v>4197</v>
      </c>
      <c r="C1229">
        <v>36.700000000000003</v>
      </c>
      <c r="D1229">
        <v>8.6999999999999993</v>
      </c>
      <c r="E1229" t="s">
        <v>2346</v>
      </c>
      <c r="F1229" t="s">
        <v>2344</v>
      </c>
      <c r="G1229" t="s">
        <v>2344</v>
      </c>
      <c r="H1229">
        <v>1</v>
      </c>
      <c r="I1229" t="s">
        <v>2344</v>
      </c>
      <c r="J1229" t="str">
        <f t="shared" si="77"/>
        <v>Obesity</v>
      </c>
      <c r="K1229" t="str">
        <f t="shared" si="80"/>
        <v>Diabetes</v>
      </c>
      <c r="L1229">
        <v>13</v>
      </c>
      <c r="M1229" t="s">
        <v>2367</v>
      </c>
      <c r="N1229">
        <v>1973</v>
      </c>
      <c r="O1229" s="8">
        <f t="shared" si="78"/>
        <v>26950</v>
      </c>
      <c r="P1229" s="10">
        <v>10156.780000000001</v>
      </c>
      <c r="Q1229" t="s">
        <v>2358</v>
      </c>
      <c r="R1229" t="s">
        <v>2357</v>
      </c>
      <c r="S1229" t="s">
        <v>2364</v>
      </c>
      <c r="T1229">
        <f t="shared" ca="1" si="79"/>
        <v>53</v>
      </c>
      <c r="U1229">
        <f>VLOOKUP($A1229,'Medical Examination'!$A:$Z,2,FALSE)</f>
        <v>36.700000000000003</v>
      </c>
    </row>
    <row r="1230" spans="1:21" ht="15.5" x14ac:dyDescent="0.35">
      <c r="A1230" s="2" t="s">
        <v>1230</v>
      </c>
      <c r="B1230" s="2" t="s">
        <v>4198</v>
      </c>
      <c r="C1230">
        <v>34.1</v>
      </c>
      <c r="D1230">
        <v>9.0399999999999991</v>
      </c>
      <c r="E1230" t="s">
        <v>2346</v>
      </c>
      <c r="F1230" t="s">
        <v>2344</v>
      </c>
      <c r="G1230" t="s">
        <v>2344</v>
      </c>
      <c r="H1230">
        <v>1</v>
      </c>
      <c r="I1230" t="s">
        <v>2344</v>
      </c>
      <c r="J1230" t="str">
        <f t="shared" si="77"/>
        <v>Obesity</v>
      </c>
      <c r="K1230" t="str">
        <f t="shared" si="80"/>
        <v>Diabetes</v>
      </c>
      <c r="L1230">
        <v>10</v>
      </c>
      <c r="M1230" t="s">
        <v>2356</v>
      </c>
      <c r="N1230">
        <v>1972</v>
      </c>
      <c r="O1230" s="8">
        <f t="shared" si="78"/>
        <v>26490</v>
      </c>
      <c r="P1230" s="10">
        <v>10160.870000000001</v>
      </c>
      <c r="Q1230" t="s">
        <v>2358</v>
      </c>
      <c r="R1230" t="s">
        <v>2358</v>
      </c>
      <c r="S1230" t="s">
        <v>2373</v>
      </c>
      <c r="T1230">
        <f t="shared" ca="1" si="79"/>
        <v>54</v>
      </c>
      <c r="U1230">
        <f>VLOOKUP($A1230,'Medical Examination'!$A:$Z,2,FALSE)</f>
        <v>34.1</v>
      </c>
    </row>
    <row r="1231" spans="1:21" ht="15.5" x14ac:dyDescent="0.35">
      <c r="A1231" s="2" t="s">
        <v>1231</v>
      </c>
      <c r="B1231" s="2" t="s">
        <v>4199</v>
      </c>
      <c r="C1231">
        <v>25.7</v>
      </c>
      <c r="D1231">
        <v>5.61</v>
      </c>
      <c r="E1231" t="s">
        <v>2344</v>
      </c>
      <c r="F1231" t="s">
        <v>2344</v>
      </c>
      <c r="G1231" t="s">
        <v>2344</v>
      </c>
      <c r="H1231">
        <v>0</v>
      </c>
      <c r="I1231" t="s">
        <v>2344</v>
      </c>
      <c r="J1231" t="str">
        <f t="shared" si="77"/>
        <v>Over weight</v>
      </c>
      <c r="K1231" t="str">
        <f t="shared" si="80"/>
        <v>Normal</v>
      </c>
      <c r="L1231">
        <v>16</v>
      </c>
      <c r="M1231" t="s">
        <v>2367</v>
      </c>
      <c r="N1231">
        <v>1985</v>
      </c>
      <c r="O1231" s="8">
        <f t="shared" si="78"/>
        <v>31336</v>
      </c>
      <c r="P1231" s="10">
        <v>10191.82</v>
      </c>
      <c r="Q1231" t="s">
        <v>2358</v>
      </c>
      <c r="R1231" t="s">
        <v>2357</v>
      </c>
      <c r="S1231" t="s">
        <v>2380</v>
      </c>
      <c r="T1231">
        <f t="shared" ca="1" si="79"/>
        <v>41</v>
      </c>
      <c r="U1231">
        <f>VLOOKUP($A1231,'Medical Examination'!$A:$Z,2,FALSE)</f>
        <v>25.7</v>
      </c>
    </row>
    <row r="1232" spans="1:21" ht="15.5" x14ac:dyDescent="0.35">
      <c r="A1232" s="2" t="s">
        <v>1232</v>
      </c>
      <c r="B1232" s="2" t="s">
        <v>4200</v>
      </c>
      <c r="C1232">
        <v>21.68</v>
      </c>
      <c r="D1232">
        <v>8.1199999999999992</v>
      </c>
      <c r="E1232" t="s">
        <v>2344</v>
      </c>
      <c r="F1232" t="s">
        <v>2344</v>
      </c>
      <c r="G1232" t="s">
        <v>2344</v>
      </c>
      <c r="H1232">
        <v>0</v>
      </c>
      <c r="I1232" t="s">
        <v>2344</v>
      </c>
      <c r="J1232" t="str">
        <f t="shared" si="77"/>
        <v>Normal Weight</v>
      </c>
      <c r="K1232" t="str">
        <f t="shared" si="80"/>
        <v>Diabetes</v>
      </c>
      <c r="L1232">
        <v>24</v>
      </c>
      <c r="M1232" t="s">
        <v>2365</v>
      </c>
      <c r="N1232">
        <v>1970</v>
      </c>
      <c r="O1232" s="8">
        <f t="shared" si="78"/>
        <v>25926</v>
      </c>
      <c r="P1232" s="10">
        <v>10197.77</v>
      </c>
      <c r="Q1232" t="s">
        <v>2358</v>
      </c>
      <c r="R1232" t="s">
        <v>2361</v>
      </c>
      <c r="S1232" t="s">
        <v>2374</v>
      </c>
      <c r="T1232">
        <f t="shared" ca="1" si="79"/>
        <v>56</v>
      </c>
      <c r="U1232">
        <f>VLOOKUP($A1232,'Medical Examination'!$A:$Z,2,FALSE)</f>
        <v>21.68</v>
      </c>
    </row>
    <row r="1233" spans="1:21" ht="15.5" x14ac:dyDescent="0.35">
      <c r="A1233" s="2" t="s">
        <v>1233</v>
      </c>
      <c r="B1233" s="2" t="s">
        <v>4201</v>
      </c>
      <c r="C1233">
        <v>25.175000000000001</v>
      </c>
      <c r="D1233">
        <v>4.74</v>
      </c>
      <c r="E1233" t="s">
        <v>2344</v>
      </c>
      <c r="F1233" t="s">
        <v>2344</v>
      </c>
      <c r="G1233" t="s">
        <v>2344</v>
      </c>
      <c r="H1233">
        <v>0</v>
      </c>
      <c r="I1233" t="s">
        <v>2344</v>
      </c>
      <c r="J1233" t="str">
        <f t="shared" si="77"/>
        <v>Over weight</v>
      </c>
      <c r="K1233" t="str">
        <f t="shared" si="80"/>
        <v>Normal</v>
      </c>
      <c r="L1233">
        <v>26</v>
      </c>
      <c r="M1233" t="s">
        <v>2363</v>
      </c>
      <c r="N1233">
        <v>1967</v>
      </c>
      <c r="O1233" s="8">
        <f t="shared" si="78"/>
        <v>24741</v>
      </c>
      <c r="P1233" s="10">
        <v>10214.64</v>
      </c>
      <c r="Q1233" t="s">
        <v>2358</v>
      </c>
      <c r="R1233" t="s">
        <v>2357</v>
      </c>
      <c r="S1233" t="s">
        <v>2368</v>
      </c>
      <c r="T1233">
        <f t="shared" ca="1" si="79"/>
        <v>59</v>
      </c>
      <c r="U1233">
        <f>VLOOKUP($A1233,'Medical Examination'!$A:$Z,2,FALSE)</f>
        <v>25.175000000000001</v>
      </c>
    </row>
    <row r="1234" spans="1:21" ht="15.5" x14ac:dyDescent="0.35">
      <c r="A1234" s="2" t="s">
        <v>1234</v>
      </c>
      <c r="B1234" s="2" t="s">
        <v>4202</v>
      </c>
      <c r="C1234">
        <v>44.77</v>
      </c>
      <c r="D1234">
        <v>4.0599999999999996</v>
      </c>
      <c r="E1234" t="s">
        <v>2344</v>
      </c>
      <c r="F1234" t="s">
        <v>2344</v>
      </c>
      <c r="G1234" t="s">
        <v>2344</v>
      </c>
      <c r="H1234">
        <v>1</v>
      </c>
      <c r="I1234" t="s">
        <v>2344</v>
      </c>
      <c r="J1234" t="str">
        <f t="shared" si="77"/>
        <v>Obesity</v>
      </c>
      <c r="K1234" t="str">
        <f t="shared" si="80"/>
        <v>Normal</v>
      </c>
      <c r="L1234">
        <v>28</v>
      </c>
      <c r="M1234" t="s">
        <v>2362</v>
      </c>
      <c r="N1234">
        <v>1967</v>
      </c>
      <c r="O1234" s="8">
        <f t="shared" si="78"/>
        <v>24651</v>
      </c>
      <c r="P1234" s="10">
        <v>10226.280000000001</v>
      </c>
      <c r="Q1234" t="s">
        <v>2358</v>
      </c>
      <c r="R1234" t="s">
        <v>2358</v>
      </c>
      <c r="S1234" t="s">
        <v>2359</v>
      </c>
      <c r="T1234">
        <f t="shared" ca="1" si="79"/>
        <v>59</v>
      </c>
      <c r="U1234">
        <f>VLOOKUP($A1234,'Medical Examination'!$A:$Z,2,FALSE)</f>
        <v>44.77</v>
      </c>
    </row>
    <row r="1235" spans="1:21" ht="15.5" x14ac:dyDescent="0.35">
      <c r="A1235" s="2" t="s">
        <v>1235</v>
      </c>
      <c r="B1235" s="2" t="s">
        <v>3936</v>
      </c>
      <c r="C1235">
        <v>37.07</v>
      </c>
      <c r="D1235">
        <v>5.69</v>
      </c>
      <c r="E1235" t="s">
        <v>2344</v>
      </c>
      <c r="F1235" t="s">
        <v>2344</v>
      </c>
      <c r="G1235" t="s">
        <v>2344</v>
      </c>
      <c r="H1235">
        <v>1</v>
      </c>
      <c r="I1235" t="s">
        <v>2344</v>
      </c>
      <c r="J1235" t="str">
        <f t="shared" si="77"/>
        <v>Obesity</v>
      </c>
      <c r="K1235" t="str">
        <f t="shared" si="80"/>
        <v>Normal</v>
      </c>
      <c r="L1235">
        <v>23</v>
      </c>
      <c r="M1235" t="s">
        <v>2363</v>
      </c>
      <c r="N1235">
        <v>1968</v>
      </c>
      <c r="O1235" s="8">
        <f t="shared" si="78"/>
        <v>25104</v>
      </c>
      <c r="P1235" s="10">
        <v>10231.5</v>
      </c>
      <c r="Q1235" t="s">
        <v>2358</v>
      </c>
      <c r="R1235" t="s">
        <v>2361</v>
      </c>
      <c r="S1235" t="s">
        <v>2364</v>
      </c>
      <c r="T1235">
        <f t="shared" ca="1" si="79"/>
        <v>58</v>
      </c>
      <c r="U1235">
        <f>VLOOKUP($A1235,'Medical Examination'!$A:$Z,2,FALSE)</f>
        <v>37.07</v>
      </c>
    </row>
    <row r="1236" spans="1:21" ht="15.5" x14ac:dyDescent="0.35">
      <c r="A1236" s="2" t="s">
        <v>1236</v>
      </c>
      <c r="B1236" s="2" t="s">
        <v>4205</v>
      </c>
      <c r="C1236">
        <v>39.799999999999997</v>
      </c>
      <c r="D1236">
        <v>5.66</v>
      </c>
      <c r="E1236" t="s">
        <v>2344</v>
      </c>
      <c r="F1236" t="s">
        <v>2344</v>
      </c>
      <c r="G1236" t="s">
        <v>2346</v>
      </c>
      <c r="H1236">
        <v>1</v>
      </c>
      <c r="I1236" t="s">
        <v>2344</v>
      </c>
      <c r="J1236" t="str">
        <f t="shared" si="77"/>
        <v>Obesity</v>
      </c>
      <c r="K1236" t="str">
        <f t="shared" si="80"/>
        <v>Normal</v>
      </c>
      <c r="L1236">
        <v>15</v>
      </c>
      <c r="M1236" t="s">
        <v>2366</v>
      </c>
      <c r="N1236">
        <v>1975</v>
      </c>
      <c r="O1236" s="8">
        <f t="shared" si="78"/>
        <v>27621</v>
      </c>
      <c r="P1236" s="10">
        <v>10259.129999999999</v>
      </c>
      <c r="Q1236" t="s">
        <v>2358</v>
      </c>
      <c r="R1236" t="s">
        <v>2357</v>
      </c>
      <c r="S1236" t="s">
        <v>2368</v>
      </c>
      <c r="T1236">
        <f t="shared" ca="1" si="79"/>
        <v>51</v>
      </c>
      <c r="U1236">
        <f>VLOOKUP($A1236,'Medical Examination'!$A:$Z,2,FALSE)</f>
        <v>39.799999999999997</v>
      </c>
    </row>
    <row r="1237" spans="1:21" ht="15.5" x14ac:dyDescent="0.35">
      <c r="A1237" s="2" t="s">
        <v>1237</v>
      </c>
      <c r="B1237" s="2" t="s">
        <v>4206</v>
      </c>
      <c r="C1237">
        <v>26.36</v>
      </c>
      <c r="D1237">
        <v>4.32</v>
      </c>
      <c r="E1237" t="s">
        <v>2344</v>
      </c>
      <c r="F1237" t="s">
        <v>2344</v>
      </c>
      <c r="G1237" t="s">
        <v>2346</v>
      </c>
      <c r="H1237">
        <v>1</v>
      </c>
      <c r="I1237" t="s">
        <v>2344</v>
      </c>
      <c r="J1237" t="str">
        <f t="shared" si="77"/>
        <v>Over weight</v>
      </c>
      <c r="K1237" t="str">
        <f t="shared" si="80"/>
        <v>Normal</v>
      </c>
      <c r="L1237">
        <v>5</v>
      </c>
      <c r="M1237" t="s">
        <v>2363</v>
      </c>
      <c r="N1237">
        <v>1973</v>
      </c>
      <c r="O1237" s="8">
        <f t="shared" si="78"/>
        <v>26912</v>
      </c>
      <c r="P1237" s="10">
        <v>10264.44</v>
      </c>
      <c r="Q1237" t="s">
        <v>2358</v>
      </c>
      <c r="R1237" t="s">
        <v>2357</v>
      </c>
      <c r="S1237" t="s">
        <v>2364</v>
      </c>
      <c r="T1237">
        <f t="shared" ca="1" si="79"/>
        <v>53</v>
      </c>
      <c r="U1237">
        <f>VLOOKUP($A1237,'Medical Examination'!$A:$Z,2,FALSE)</f>
        <v>26.36</v>
      </c>
    </row>
    <row r="1238" spans="1:21" ht="15.5" x14ac:dyDescent="0.35">
      <c r="A1238" s="2" t="s">
        <v>1238</v>
      </c>
      <c r="B1238" s="2" t="s">
        <v>4207</v>
      </c>
      <c r="C1238">
        <v>29.925000000000001</v>
      </c>
      <c r="D1238">
        <v>8.2899999999999991</v>
      </c>
      <c r="E1238" t="s">
        <v>2344</v>
      </c>
      <c r="F1238" t="s">
        <v>2344</v>
      </c>
      <c r="G1238" t="s">
        <v>2344</v>
      </c>
      <c r="H1238">
        <v>1</v>
      </c>
      <c r="I1238" t="s">
        <v>2344</v>
      </c>
      <c r="J1238" t="str">
        <f t="shared" si="77"/>
        <v>Over weight</v>
      </c>
      <c r="K1238" t="str">
        <f t="shared" si="80"/>
        <v>Diabetes</v>
      </c>
      <c r="L1238">
        <v>27</v>
      </c>
      <c r="M1238" t="s">
        <v>2360</v>
      </c>
      <c r="N1238">
        <v>1973</v>
      </c>
      <c r="O1238" s="8">
        <f t="shared" si="78"/>
        <v>26995</v>
      </c>
      <c r="P1238" s="10">
        <v>10269.459999999999</v>
      </c>
      <c r="Q1238" t="s">
        <v>2358</v>
      </c>
      <c r="R1238" t="s">
        <v>2358</v>
      </c>
      <c r="S1238" t="s">
        <v>2364</v>
      </c>
      <c r="T1238">
        <f t="shared" ca="1" si="79"/>
        <v>53</v>
      </c>
      <c r="U1238">
        <f>VLOOKUP($A1238,'Medical Examination'!$A:$Z,2,FALSE)</f>
        <v>29.925000000000001</v>
      </c>
    </row>
    <row r="1239" spans="1:21" ht="15.5" x14ac:dyDescent="0.35">
      <c r="A1239" s="2" t="s">
        <v>1239</v>
      </c>
      <c r="B1239" s="2" t="s">
        <v>4208</v>
      </c>
      <c r="C1239">
        <v>37.29</v>
      </c>
      <c r="D1239">
        <v>10.46</v>
      </c>
      <c r="E1239" t="s">
        <v>2344</v>
      </c>
      <c r="F1239" t="s">
        <v>2344</v>
      </c>
      <c r="G1239" t="s">
        <v>2344</v>
      </c>
      <c r="H1239">
        <v>0</v>
      </c>
      <c r="I1239" t="s">
        <v>2344</v>
      </c>
      <c r="J1239" t="str">
        <f t="shared" si="77"/>
        <v>Obesity</v>
      </c>
      <c r="K1239" t="str">
        <f t="shared" si="80"/>
        <v>Diabetes</v>
      </c>
      <c r="L1239">
        <v>21</v>
      </c>
      <c r="M1239" t="s">
        <v>2362</v>
      </c>
      <c r="N1239">
        <v>1970</v>
      </c>
      <c r="O1239" s="8">
        <f t="shared" si="78"/>
        <v>25740</v>
      </c>
      <c r="P1239" s="10">
        <v>10274.33</v>
      </c>
      <c r="Q1239" t="s">
        <v>2358</v>
      </c>
      <c r="R1239" t="s">
        <v>2361</v>
      </c>
      <c r="S1239" t="s">
        <v>2374</v>
      </c>
      <c r="T1239">
        <f t="shared" ca="1" si="79"/>
        <v>56</v>
      </c>
      <c r="U1239">
        <f>VLOOKUP($A1239,'Medical Examination'!$A:$Z,2,FALSE)</f>
        <v>37.29</v>
      </c>
    </row>
    <row r="1240" spans="1:21" ht="15.5" x14ac:dyDescent="0.35">
      <c r="A1240" s="2" t="s">
        <v>1240</v>
      </c>
      <c r="B1240" s="2" t="s">
        <v>4209</v>
      </c>
      <c r="C1240">
        <v>30.2</v>
      </c>
      <c r="D1240">
        <v>11.96</v>
      </c>
      <c r="E1240" t="s">
        <v>2344</v>
      </c>
      <c r="F1240" t="s">
        <v>2344</v>
      </c>
      <c r="G1240" t="s">
        <v>2344</v>
      </c>
      <c r="H1240">
        <v>0</v>
      </c>
      <c r="I1240" t="s">
        <v>2344</v>
      </c>
      <c r="J1240" t="str">
        <f t="shared" si="77"/>
        <v>Obesity</v>
      </c>
      <c r="K1240" t="str">
        <f t="shared" si="80"/>
        <v>Diabetes</v>
      </c>
      <c r="L1240">
        <v>14</v>
      </c>
      <c r="M1240" t="s">
        <v>2363</v>
      </c>
      <c r="N1240">
        <v>1988</v>
      </c>
      <c r="O1240" s="8">
        <f t="shared" si="78"/>
        <v>32400</v>
      </c>
      <c r="P1240" s="10">
        <v>10276.99</v>
      </c>
      <c r="Q1240" t="s">
        <v>2358</v>
      </c>
      <c r="R1240" t="s">
        <v>2361</v>
      </c>
      <c r="S1240" t="s">
        <v>2377</v>
      </c>
      <c r="T1240">
        <f t="shared" ca="1" si="79"/>
        <v>38</v>
      </c>
      <c r="U1240">
        <f>VLOOKUP($A1240,'Medical Examination'!$A:$Z,2,FALSE)</f>
        <v>30.2</v>
      </c>
    </row>
    <row r="1241" spans="1:21" ht="15.5" x14ac:dyDescent="0.35">
      <c r="A1241" s="2" t="s">
        <v>1241</v>
      </c>
      <c r="B1241" s="2" t="s">
        <v>4211</v>
      </c>
      <c r="C1241">
        <v>24.225000000000001</v>
      </c>
      <c r="D1241">
        <v>4.25</v>
      </c>
      <c r="E1241" t="s">
        <v>2346</v>
      </c>
      <c r="F1241" t="s">
        <v>2344</v>
      </c>
      <c r="G1241" t="s">
        <v>2346</v>
      </c>
      <c r="H1241">
        <v>1</v>
      </c>
      <c r="I1241" t="s">
        <v>2344</v>
      </c>
      <c r="J1241" t="str">
        <f t="shared" si="77"/>
        <v>Normal Weight</v>
      </c>
      <c r="K1241" t="str">
        <f t="shared" si="80"/>
        <v>Normal</v>
      </c>
      <c r="L1241">
        <v>24</v>
      </c>
      <c r="M1241" t="s">
        <v>2363</v>
      </c>
      <c r="N1241">
        <v>1963</v>
      </c>
      <c r="O1241" s="8">
        <f t="shared" si="78"/>
        <v>23278</v>
      </c>
      <c r="P1241" s="10">
        <v>10308.040000000001</v>
      </c>
      <c r="Q1241" t="s">
        <v>2358</v>
      </c>
      <c r="R1241" t="s">
        <v>2361</v>
      </c>
      <c r="S1241" t="s">
        <v>2359</v>
      </c>
      <c r="T1241">
        <f t="shared" ca="1" si="79"/>
        <v>63</v>
      </c>
      <c r="U1241">
        <f>VLOOKUP($A1241,'Medical Examination'!$A:$Z,2,FALSE)</f>
        <v>24.225000000000001</v>
      </c>
    </row>
    <row r="1242" spans="1:21" ht="15.5" x14ac:dyDescent="0.35">
      <c r="A1242" s="2" t="s">
        <v>1242</v>
      </c>
      <c r="B1242" s="2" t="s">
        <v>4213</v>
      </c>
      <c r="C1242">
        <v>31.445</v>
      </c>
      <c r="D1242">
        <v>8.33</v>
      </c>
      <c r="E1242" t="s">
        <v>2344</v>
      </c>
      <c r="F1242" t="s">
        <v>2344</v>
      </c>
      <c r="G1242" t="s">
        <v>2344</v>
      </c>
      <c r="H1242">
        <v>0</v>
      </c>
      <c r="I1242" t="s">
        <v>2344</v>
      </c>
      <c r="J1242" t="str">
        <f t="shared" si="77"/>
        <v>Obesity</v>
      </c>
      <c r="K1242" t="str">
        <f t="shared" si="80"/>
        <v>Diabetes</v>
      </c>
      <c r="L1242">
        <v>12</v>
      </c>
      <c r="M1242" t="s">
        <v>2356</v>
      </c>
      <c r="N1242">
        <v>1962</v>
      </c>
      <c r="O1242" s="8">
        <f t="shared" si="78"/>
        <v>22839</v>
      </c>
      <c r="P1242" s="10">
        <v>10310.780000000001</v>
      </c>
      <c r="Q1242" t="s">
        <v>2358</v>
      </c>
      <c r="R1242" t="s">
        <v>2358</v>
      </c>
      <c r="S1242" t="s">
        <v>2364</v>
      </c>
      <c r="T1242">
        <f t="shared" ca="1" si="79"/>
        <v>64</v>
      </c>
      <c r="U1242">
        <f>VLOOKUP($A1242,'Medical Examination'!$A:$Z,2,FALSE)</f>
        <v>31.445</v>
      </c>
    </row>
    <row r="1243" spans="1:21" ht="15.5" x14ac:dyDescent="0.35">
      <c r="A1243" s="2" t="s">
        <v>1243</v>
      </c>
      <c r="B1243" s="2" t="s">
        <v>3804</v>
      </c>
      <c r="C1243">
        <v>38.880000000000003</v>
      </c>
      <c r="D1243">
        <v>4.29</v>
      </c>
      <c r="E1243" t="s">
        <v>2344</v>
      </c>
      <c r="F1243" t="s">
        <v>2344</v>
      </c>
      <c r="G1243" t="s">
        <v>2344</v>
      </c>
      <c r="H1243">
        <v>1</v>
      </c>
      <c r="I1243" t="s">
        <v>2344</v>
      </c>
      <c r="J1243" t="str">
        <f t="shared" si="77"/>
        <v>Obesity</v>
      </c>
      <c r="K1243" t="str">
        <f t="shared" si="80"/>
        <v>Normal</v>
      </c>
      <c r="L1243">
        <v>17</v>
      </c>
      <c r="M1243" t="s">
        <v>2360</v>
      </c>
      <c r="N1243">
        <v>1991</v>
      </c>
      <c r="O1243" s="8">
        <f t="shared" si="78"/>
        <v>33559</v>
      </c>
      <c r="P1243" s="10">
        <v>10315.91</v>
      </c>
      <c r="Q1243" t="s">
        <v>2358</v>
      </c>
      <c r="R1243" t="s">
        <v>2357</v>
      </c>
      <c r="S1243" t="s">
        <v>2364</v>
      </c>
      <c r="T1243">
        <f t="shared" ca="1" si="79"/>
        <v>35</v>
      </c>
      <c r="U1243">
        <f>VLOOKUP($A1243,'Medical Examination'!$A:$Z,2,FALSE)</f>
        <v>38.880000000000003</v>
      </c>
    </row>
    <row r="1244" spans="1:21" ht="15.5" x14ac:dyDescent="0.35">
      <c r="A1244" s="2" t="s">
        <v>1244</v>
      </c>
      <c r="B1244" s="2" t="s">
        <v>4215</v>
      </c>
      <c r="C1244">
        <v>43.89</v>
      </c>
      <c r="D1244">
        <v>6.32</v>
      </c>
      <c r="E1244" t="s">
        <v>2346</v>
      </c>
      <c r="F1244" t="s">
        <v>2344</v>
      </c>
      <c r="G1244" t="s">
        <v>2344</v>
      </c>
      <c r="H1244">
        <v>0</v>
      </c>
      <c r="I1244" t="s">
        <v>2344</v>
      </c>
      <c r="J1244" t="str">
        <f t="shared" si="77"/>
        <v>Obesity</v>
      </c>
      <c r="K1244" t="str">
        <f t="shared" si="80"/>
        <v>Prediabetes</v>
      </c>
      <c r="L1244">
        <v>21</v>
      </c>
      <c r="M1244" t="s">
        <v>2366</v>
      </c>
      <c r="N1244">
        <v>1991</v>
      </c>
      <c r="O1244" s="8">
        <f t="shared" si="78"/>
        <v>33471</v>
      </c>
      <c r="P1244" s="10">
        <v>10322.9</v>
      </c>
      <c r="Q1244" t="s">
        <v>2358</v>
      </c>
      <c r="R1244" t="s">
        <v>2361</v>
      </c>
      <c r="S1244" t="s">
        <v>2380</v>
      </c>
      <c r="T1244">
        <f t="shared" ca="1" si="79"/>
        <v>35</v>
      </c>
      <c r="U1244">
        <f>VLOOKUP($A1244,'Medical Examination'!$A:$Z,2,FALSE)</f>
        <v>43.89</v>
      </c>
    </row>
    <row r="1245" spans="1:21" ht="15.5" x14ac:dyDescent="0.35">
      <c r="A1245" s="2" t="s">
        <v>1245</v>
      </c>
      <c r="B1245" s="2" t="s">
        <v>4217</v>
      </c>
      <c r="C1245">
        <v>25.6</v>
      </c>
      <c r="D1245">
        <v>5.65</v>
      </c>
      <c r="E1245" t="s">
        <v>2344</v>
      </c>
      <c r="F1245" t="s">
        <v>2344</v>
      </c>
      <c r="G1245" t="s">
        <v>2344</v>
      </c>
      <c r="H1245">
        <v>1</v>
      </c>
      <c r="I1245" t="s">
        <v>2344</v>
      </c>
      <c r="J1245" t="str">
        <f t="shared" si="77"/>
        <v>Over weight</v>
      </c>
      <c r="K1245" t="str">
        <f t="shared" si="80"/>
        <v>Normal</v>
      </c>
      <c r="L1245">
        <v>1</v>
      </c>
      <c r="M1245" t="s">
        <v>2365</v>
      </c>
      <c r="N1245">
        <v>1970</v>
      </c>
      <c r="O1245" s="8">
        <f t="shared" si="78"/>
        <v>25903</v>
      </c>
      <c r="P1245" s="10">
        <v>10325.209999999999</v>
      </c>
      <c r="Q1245" t="s">
        <v>2358</v>
      </c>
      <c r="R1245" t="s">
        <v>2358</v>
      </c>
      <c r="S1245" t="s">
        <v>2368</v>
      </c>
      <c r="T1245">
        <f t="shared" ca="1" si="79"/>
        <v>56</v>
      </c>
      <c r="U1245">
        <f>VLOOKUP($A1245,'Medical Examination'!$A:$Z,2,FALSE)</f>
        <v>25.6</v>
      </c>
    </row>
    <row r="1246" spans="1:21" ht="15.5" x14ac:dyDescent="0.35">
      <c r="A1246" s="2" t="s">
        <v>1246</v>
      </c>
      <c r="B1246" s="2" t="s">
        <v>4163</v>
      </c>
      <c r="C1246">
        <v>29.545000000000002</v>
      </c>
      <c r="D1246">
        <v>8.41</v>
      </c>
      <c r="E1246" t="s">
        <v>2346</v>
      </c>
      <c r="F1246" t="s">
        <v>2344</v>
      </c>
      <c r="G1246" t="s">
        <v>2344</v>
      </c>
      <c r="H1246">
        <v>1</v>
      </c>
      <c r="I1246" t="s">
        <v>2344</v>
      </c>
      <c r="J1246" t="str">
        <f t="shared" si="77"/>
        <v>Over weight</v>
      </c>
      <c r="K1246" t="str">
        <f t="shared" si="80"/>
        <v>Diabetes</v>
      </c>
      <c r="L1246">
        <v>21</v>
      </c>
      <c r="M1246" t="s">
        <v>2356</v>
      </c>
      <c r="N1246">
        <v>1982</v>
      </c>
      <c r="O1246" s="8">
        <f t="shared" si="78"/>
        <v>30153</v>
      </c>
      <c r="P1246" s="10">
        <v>10329.06</v>
      </c>
      <c r="Q1246" t="s">
        <v>2358</v>
      </c>
      <c r="R1246" t="s">
        <v>2361</v>
      </c>
      <c r="S1246" t="s">
        <v>2377</v>
      </c>
      <c r="T1246">
        <f t="shared" ca="1" si="79"/>
        <v>44</v>
      </c>
      <c r="U1246">
        <f>VLOOKUP($A1246,'Medical Examination'!$A:$Z,2,FALSE)</f>
        <v>29.545000000000002</v>
      </c>
    </row>
    <row r="1247" spans="1:21" ht="15.5" x14ac:dyDescent="0.35">
      <c r="A1247" s="2" t="s">
        <v>1247</v>
      </c>
      <c r="B1247" s="2" t="s">
        <v>4219</v>
      </c>
      <c r="C1247">
        <v>23.25</v>
      </c>
      <c r="D1247">
        <v>11.96</v>
      </c>
      <c r="E1247" t="s">
        <v>2346</v>
      </c>
      <c r="F1247" t="s">
        <v>2344</v>
      </c>
      <c r="G1247" t="s">
        <v>2344</v>
      </c>
      <c r="H1247">
        <v>0</v>
      </c>
      <c r="I1247" t="s">
        <v>2344</v>
      </c>
      <c r="J1247" t="str">
        <f t="shared" si="77"/>
        <v>Normal Weight</v>
      </c>
      <c r="K1247" t="str">
        <f t="shared" si="80"/>
        <v>Diabetes</v>
      </c>
      <c r="L1247">
        <v>19</v>
      </c>
      <c r="M1247" t="s">
        <v>2356</v>
      </c>
      <c r="N1247">
        <v>1968</v>
      </c>
      <c r="O1247" s="8">
        <f t="shared" si="78"/>
        <v>25038</v>
      </c>
      <c r="P1247" s="10">
        <v>10338.93</v>
      </c>
      <c r="Q1247" t="s">
        <v>2358</v>
      </c>
      <c r="R1247" t="s">
        <v>2361</v>
      </c>
      <c r="S1247" t="s">
        <v>2359</v>
      </c>
      <c r="T1247">
        <f t="shared" ca="1" si="79"/>
        <v>58</v>
      </c>
      <c r="U1247">
        <f>VLOOKUP($A1247,'Medical Examination'!$A:$Z,2,FALSE)</f>
        <v>23.25</v>
      </c>
    </row>
    <row r="1248" spans="1:21" ht="15.5" x14ac:dyDescent="0.35">
      <c r="A1248" s="2" t="s">
        <v>1248</v>
      </c>
      <c r="B1248" s="2" t="s">
        <v>4221</v>
      </c>
      <c r="C1248">
        <v>43.95</v>
      </c>
      <c r="D1248">
        <v>5.17</v>
      </c>
      <c r="E1248" t="s">
        <v>2346</v>
      </c>
      <c r="F1248" t="s">
        <v>2344</v>
      </c>
      <c r="G1248" t="s">
        <v>2346</v>
      </c>
      <c r="H1248">
        <v>1</v>
      </c>
      <c r="I1248" t="s">
        <v>2344</v>
      </c>
      <c r="J1248" t="str">
        <f t="shared" si="77"/>
        <v>Obesity</v>
      </c>
      <c r="K1248" t="str">
        <f t="shared" si="80"/>
        <v>Normal</v>
      </c>
      <c r="L1248">
        <v>8</v>
      </c>
      <c r="M1248" t="s">
        <v>2366</v>
      </c>
      <c r="N1248">
        <v>1973</v>
      </c>
      <c r="O1248" s="8">
        <f t="shared" si="78"/>
        <v>26884</v>
      </c>
      <c r="P1248" s="10">
        <v>10345.93</v>
      </c>
      <c r="Q1248" t="s">
        <v>2358</v>
      </c>
      <c r="R1248" t="s">
        <v>2357</v>
      </c>
      <c r="S1248" t="s">
        <v>2377</v>
      </c>
      <c r="T1248">
        <f t="shared" ca="1" si="79"/>
        <v>53</v>
      </c>
      <c r="U1248">
        <f>VLOOKUP($A1248,'Medical Examination'!$A:$Z,2,FALSE)</f>
        <v>43.95</v>
      </c>
    </row>
    <row r="1249" spans="1:21" ht="15.5" x14ac:dyDescent="0.35">
      <c r="A1249" s="2" t="s">
        <v>1249</v>
      </c>
      <c r="B1249" s="2" t="s">
        <v>4222</v>
      </c>
      <c r="C1249">
        <v>21.85</v>
      </c>
      <c r="D1249">
        <v>8.76</v>
      </c>
      <c r="E1249" t="s">
        <v>2344</v>
      </c>
      <c r="F1249" t="s">
        <v>2344</v>
      </c>
      <c r="G1249" t="s">
        <v>2344</v>
      </c>
      <c r="H1249">
        <v>0</v>
      </c>
      <c r="I1249" t="s">
        <v>2344</v>
      </c>
      <c r="J1249" t="str">
        <f t="shared" si="77"/>
        <v>Normal Weight</v>
      </c>
      <c r="K1249" t="str">
        <f t="shared" si="80"/>
        <v>Diabetes</v>
      </c>
      <c r="L1249">
        <v>29</v>
      </c>
      <c r="M1249" t="s">
        <v>2363</v>
      </c>
      <c r="N1249">
        <v>1974</v>
      </c>
      <c r="O1249" s="8">
        <f t="shared" si="78"/>
        <v>27301</v>
      </c>
      <c r="P1249" s="10">
        <v>10352.48</v>
      </c>
      <c r="Q1249" t="s">
        <v>2358</v>
      </c>
      <c r="R1249" t="s">
        <v>2361</v>
      </c>
      <c r="S1249" t="s">
        <v>2364</v>
      </c>
      <c r="T1249">
        <f t="shared" ca="1" si="79"/>
        <v>52</v>
      </c>
      <c r="U1249">
        <f>VLOOKUP($A1249,'Medical Examination'!$A:$Z,2,FALSE)</f>
        <v>21.85</v>
      </c>
    </row>
    <row r="1250" spans="1:21" ht="15.5" x14ac:dyDescent="0.35">
      <c r="A1250" s="2" t="s">
        <v>1250</v>
      </c>
      <c r="B1250" s="2" t="s">
        <v>4223</v>
      </c>
      <c r="C1250">
        <v>25.73</v>
      </c>
      <c r="D1250">
        <v>7.99</v>
      </c>
      <c r="E1250" t="s">
        <v>2344</v>
      </c>
      <c r="F1250" t="s">
        <v>2344</v>
      </c>
      <c r="G1250" t="s">
        <v>2344</v>
      </c>
      <c r="H1250">
        <v>1</v>
      </c>
      <c r="I1250" t="s">
        <v>2344</v>
      </c>
      <c r="J1250" t="str">
        <f t="shared" si="77"/>
        <v>Over weight</v>
      </c>
      <c r="K1250" t="str">
        <f t="shared" si="80"/>
        <v>Diabetes</v>
      </c>
      <c r="L1250">
        <v>17</v>
      </c>
      <c r="M1250" t="s">
        <v>2362</v>
      </c>
      <c r="N1250">
        <v>1969</v>
      </c>
      <c r="O1250" s="8">
        <f t="shared" si="78"/>
        <v>25371</v>
      </c>
      <c r="P1250" s="10">
        <v>10355.64</v>
      </c>
      <c r="Q1250" t="s">
        <v>2358</v>
      </c>
      <c r="R1250" t="s">
        <v>2361</v>
      </c>
      <c r="S1250" t="s">
        <v>2364</v>
      </c>
      <c r="T1250">
        <f t="shared" ca="1" si="79"/>
        <v>57</v>
      </c>
      <c r="U1250">
        <f>VLOOKUP($A1250,'Medical Examination'!$A:$Z,2,FALSE)</f>
        <v>25.73</v>
      </c>
    </row>
    <row r="1251" spans="1:21" ht="15.5" x14ac:dyDescent="0.35">
      <c r="A1251" s="2" t="s">
        <v>1251</v>
      </c>
      <c r="B1251" s="2" t="s">
        <v>4224</v>
      </c>
      <c r="C1251">
        <v>32.229999999999997</v>
      </c>
      <c r="D1251">
        <v>8.59</v>
      </c>
      <c r="E1251" t="s">
        <v>2344</v>
      </c>
      <c r="F1251" t="s">
        <v>2344</v>
      </c>
      <c r="G1251" t="s">
        <v>2344</v>
      </c>
      <c r="H1251">
        <v>0</v>
      </c>
      <c r="I1251" t="s">
        <v>2344</v>
      </c>
      <c r="J1251" t="str">
        <f t="shared" si="77"/>
        <v>Obesity</v>
      </c>
      <c r="K1251" t="str">
        <f t="shared" si="80"/>
        <v>Diabetes</v>
      </c>
      <c r="L1251">
        <v>6</v>
      </c>
      <c r="M1251" t="s">
        <v>2363</v>
      </c>
      <c r="N1251">
        <v>1971</v>
      </c>
      <c r="O1251" s="8">
        <f t="shared" si="78"/>
        <v>26182</v>
      </c>
      <c r="P1251" s="10">
        <v>10356.67</v>
      </c>
      <c r="Q1251" t="s">
        <v>2358</v>
      </c>
      <c r="R1251" t="s">
        <v>2361</v>
      </c>
      <c r="S1251" t="s">
        <v>2373</v>
      </c>
      <c r="T1251">
        <f t="shared" ca="1" si="79"/>
        <v>55</v>
      </c>
      <c r="U1251">
        <f>VLOOKUP($A1251,'Medical Examination'!$A:$Z,2,FALSE)</f>
        <v>32.229999999999997</v>
      </c>
    </row>
    <row r="1252" spans="1:21" ht="15.5" x14ac:dyDescent="0.35">
      <c r="A1252" s="2" t="s">
        <v>1252</v>
      </c>
      <c r="B1252" s="2" t="s">
        <v>2600</v>
      </c>
      <c r="C1252">
        <v>32.204999999999998</v>
      </c>
      <c r="D1252">
        <v>6.14</v>
      </c>
      <c r="E1252" t="s">
        <v>2344</v>
      </c>
      <c r="F1252" t="s">
        <v>2344</v>
      </c>
      <c r="G1252" t="s">
        <v>2344</v>
      </c>
      <c r="H1252">
        <v>1</v>
      </c>
      <c r="I1252" t="s">
        <v>2344</v>
      </c>
      <c r="J1252" t="str">
        <f t="shared" si="77"/>
        <v>Obesity</v>
      </c>
      <c r="K1252" t="str">
        <f t="shared" si="80"/>
        <v>Prediabetes</v>
      </c>
      <c r="L1252">
        <v>29</v>
      </c>
      <c r="M1252" t="s">
        <v>2363</v>
      </c>
      <c r="N1252">
        <v>1973</v>
      </c>
      <c r="O1252" s="8">
        <f t="shared" si="78"/>
        <v>26936</v>
      </c>
      <c r="P1252" s="10">
        <v>10370.91</v>
      </c>
      <c r="Q1252" t="s">
        <v>2358</v>
      </c>
      <c r="R1252" t="s">
        <v>2358</v>
      </c>
      <c r="S1252" t="s">
        <v>2374</v>
      </c>
      <c r="T1252">
        <f t="shared" ca="1" si="79"/>
        <v>53</v>
      </c>
      <c r="U1252">
        <f>VLOOKUP($A1252,'Medical Examination'!$A:$Z,2,FALSE)</f>
        <v>32.204999999999998</v>
      </c>
    </row>
    <row r="1253" spans="1:21" ht="15.5" x14ac:dyDescent="0.35">
      <c r="A1253" s="2" t="s">
        <v>1253</v>
      </c>
      <c r="B1253" s="2" t="s">
        <v>4227</v>
      </c>
      <c r="C1253">
        <v>26.41</v>
      </c>
      <c r="D1253">
        <v>4.08</v>
      </c>
      <c r="E1253" t="s">
        <v>2344</v>
      </c>
      <c r="F1253" t="s">
        <v>2344</v>
      </c>
      <c r="G1253" t="s">
        <v>2344</v>
      </c>
      <c r="H1253">
        <v>1</v>
      </c>
      <c r="I1253" t="s">
        <v>2344</v>
      </c>
      <c r="J1253" t="str">
        <f t="shared" si="77"/>
        <v>Over weight</v>
      </c>
      <c r="K1253" t="str">
        <f t="shared" si="80"/>
        <v>Normal</v>
      </c>
      <c r="L1253">
        <v>19</v>
      </c>
      <c r="M1253" t="s">
        <v>2363</v>
      </c>
      <c r="N1253">
        <v>1973</v>
      </c>
      <c r="O1253" s="8">
        <f t="shared" si="78"/>
        <v>26926</v>
      </c>
      <c r="P1253" s="10">
        <v>10381.48</v>
      </c>
      <c r="Q1253" t="s">
        <v>2358</v>
      </c>
      <c r="R1253" t="s">
        <v>2358</v>
      </c>
      <c r="S1253" t="s">
        <v>2359</v>
      </c>
      <c r="T1253">
        <f t="shared" ca="1" si="79"/>
        <v>53</v>
      </c>
      <c r="U1253">
        <f>VLOOKUP($A1253,'Medical Examination'!$A:$Z,2,FALSE)</f>
        <v>26.41</v>
      </c>
    </row>
    <row r="1254" spans="1:21" ht="15.5" x14ac:dyDescent="0.35">
      <c r="A1254" s="2" t="s">
        <v>1254</v>
      </c>
      <c r="B1254" s="2" t="s">
        <v>4228</v>
      </c>
      <c r="C1254">
        <v>30.2</v>
      </c>
      <c r="D1254">
        <v>6.25</v>
      </c>
      <c r="E1254" t="s">
        <v>2346</v>
      </c>
      <c r="F1254" t="s">
        <v>2344</v>
      </c>
      <c r="G1254" t="s">
        <v>2344</v>
      </c>
      <c r="H1254">
        <v>0</v>
      </c>
      <c r="I1254" t="s">
        <v>2344</v>
      </c>
      <c r="J1254" t="str">
        <f t="shared" si="77"/>
        <v>Obesity</v>
      </c>
      <c r="K1254" t="str">
        <f t="shared" si="80"/>
        <v>Prediabetes</v>
      </c>
      <c r="L1254">
        <v>7</v>
      </c>
      <c r="M1254" t="s">
        <v>2356</v>
      </c>
      <c r="N1254">
        <v>1969</v>
      </c>
      <c r="O1254" s="8">
        <f t="shared" si="78"/>
        <v>25391</v>
      </c>
      <c r="P1254" s="10">
        <v>10403.27</v>
      </c>
      <c r="Q1254" t="s">
        <v>2358</v>
      </c>
      <c r="R1254" t="s">
        <v>2357</v>
      </c>
      <c r="S1254" t="s">
        <v>2379</v>
      </c>
      <c r="T1254">
        <f t="shared" ca="1" si="79"/>
        <v>57</v>
      </c>
      <c r="U1254">
        <f>VLOOKUP($A1254,'Medical Examination'!$A:$Z,2,FALSE)</f>
        <v>30.2</v>
      </c>
    </row>
    <row r="1255" spans="1:21" ht="15.5" x14ac:dyDescent="0.35">
      <c r="A1255" s="2" t="s">
        <v>1255</v>
      </c>
      <c r="B1255" s="2" t="s">
        <v>4229</v>
      </c>
      <c r="C1255">
        <v>31.26</v>
      </c>
      <c r="D1255">
        <v>5.94</v>
      </c>
      <c r="E1255" t="s">
        <v>2346</v>
      </c>
      <c r="F1255" t="s">
        <v>2344</v>
      </c>
      <c r="G1255" t="s">
        <v>2344</v>
      </c>
      <c r="H1255">
        <v>1</v>
      </c>
      <c r="I1255" t="s">
        <v>2344</v>
      </c>
      <c r="J1255" t="str">
        <f t="shared" si="77"/>
        <v>Obesity</v>
      </c>
      <c r="K1255" t="str">
        <f t="shared" si="80"/>
        <v>Prediabetes</v>
      </c>
      <c r="L1255">
        <v>5</v>
      </c>
      <c r="M1255" t="s">
        <v>2362</v>
      </c>
      <c r="N1255">
        <v>1975</v>
      </c>
      <c r="O1255" s="8">
        <f t="shared" si="78"/>
        <v>27550</v>
      </c>
      <c r="P1255" s="10">
        <v>10407.09</v>
      </c>
      <c r="Q1255" t="s">
        <v>2358</v>
      </c>
      <c r="R1255" t="s">
        <v>2361</v>
      </c>
      <c r="S1255" t="s">
        <v>2369</v>
      </c>
      <c r="T1255">
        <f t="shared" ca="1" si="79"/>
        <v>51</v>
      </c>
      <c r="U1255">
        <f>VLOOKUP($A1255,'Medical Examination'!$A:$Z,2,FALSE)</f>
        <v>31.26</v>
      </c>
    </row>
    <row r="1256" spans="1:21" ht="15.5" x14ac:dyDescent="0.35">
      <c r="A1256" s="2" t="s">
        <v>1256</v>
      </c>
      <c r="B1256" s="2" t="s">
        <v>4230</v>
      </c>
      <c r="C1256">
        <v>33.725000000000001</v>
      </c>
      <c r="D1256">
        <v>6.45</v>
      </c>
      <c r="E1256" t="s">
        <v>2346</v>
      </c>
      <c r="F1256" t="s">
        <v>2344</v>
      </c>
      <c r="G1256" t="s">
        <v>2344</v>
      </c>
      <c r="H1256">
        <v>0</v>
      </c>
      <c r="I1256" t="s">
        <v>2344</v>
      </c>
      <c r="J1256" t="str">
        <f t="shared" si="77"/>
        <v>Obesity</v>
      </c>
      <c r="K1256" t="str">
        <f t="shared" si="80"/>
        <v>Prediabetes</v>
      </c>
      <c r="L1256">
        <v>24</v>
      </c>
      <c r="M1256" t="s">
        <v>2367</v>
      </c>
      <c r="N1256">
        <v>1980</v>
      </c>
      <c r="O1256" s="8">
        <f t="shared" si="78"/>
        <v>29518</v>
      </c>
      <c r="P1256" s="10">
        <v>10407.98</v>
      </c>
      <c r="Q1256" t="s">
        <v>2358</v>
      </c>
      <c r="R1256" t="s">
        <v>2361</v>
      </c>
      <c r="S1256" t="s">
        <v>2377</v>
      </c>
      <c r="T1256">
        <f t="shared" ca="1" si="79"/>
        <v>46</v>
      </c>
      <c r="U1256">
        <f>VLOOKUP($A1256,'Medical Examination'!$A:$Z,2,FALSE)</f>
        <v>33.725000000000001</v>
      </c>
    </row>
    <row r="1257" spans="1:21" ht="15.5" x14ac:dyDescent="0.35">
      <c r="A1257" s="2" t="s">
        <v>1257</v>
      </c>
      <c r="B1257" s="2" t="s">
        <v>4231</v>
      </c>
      <c r="C1257">
        <v>28.9</v>
      </c>
      <c r="D1257">
        <v>5.74</v>
      </c>
      <c r="E1257" t="s">
        <v>2346</v>
      </c>
      <c r="F1257" t="s">
        <v>2344</v>
      </c>
      <c r="G1257" t="s">
        <v>2344</v>
      </c>
      <c r="H1257">
        <v>0</v>
      </c>
      <c r="I1257" t="s">
        <v>2344</v>
      </c>
      <c r="J1257" t="str">
        <f t="shared" si="77"/>
        <v>Over weight</v>
      </c>
      <c r="K1257" t="str">
        <f t="shared" si="80"/>
        <v>Prediabetes</v>
      </c>
      <c r="L1257">
        <v>11</v>
      </c>
      <c r="M1257" t="s">
        <v>2367</v>
      </c>
      <c r="N1257">
        <v>1973</v>
      </c>
      <c r="O1257" s="8">
        <f t="shared" si="78"/>
        <v>26948</v>
      </c>
      <c r="P1257" s="10">
        <v>10419.59</v>
      </c>
      <c r="Q1257" t="s">
        <v>2358</v>
      </c>
      <c r="R1257" t="s">
        <v>2357</v>
      </c>
      <c r="S1257" t="s">
        <v>2373</v>
      </c>
      <c r="T1257">
        <f t="shared" ca="1" si="79"/>
        <v>53</v>
      </c>
      <c r="U1257">
        <f>VLOOKUP($A1257,'Medical Examination'!$A:$Z,2,FALSE)</f>
        <v>28.9</v>
      </c>
    </row>
    <row r="1258" spans="1:21" ht="15.5" x14ac:dyDescent="0.35">
      <c r="A1258" s="2" t="s">
        <v>1258</v>
      </c>
      <c r="B1258" s="2" t="s">
        <v>4232</v>
      </c>
      <c r="C1258">
        <v>45.69</v>
      </c>
      <c r="D1258">
        <v>4.43</v>
      </c>
      <c r="E1258" t="s">
        <v>2346</v>
      </c>
      <c r="F1258" t="s">
        <v>2344</v>
      </c>
      <c r="G1258" t="s">
        <v>2344</v>
      </c>
      <c r="H1258">
        <v>0</v>
      </c>
      <c r="I1258" t="s">
        <v>2344</v>
      </c>
      <c r="J1258" t="str">
        <f t="shared" si="77"/>
        <v>Obesity</v>
      </c>
      <c r="K1258" t="str">
        <f t="shared" si="80"/>
        <v>Normal</v>
      </c>
      <c r="L1258">
        <v>25</v>
      </c>
      <c r="M1258" t="s">
        <v>2360</v>
      </c>
      <c r="N1258">
        <v>1979</v>
      </c>
      <c r="O1258" s="8">
        <f t="shared" si="78"/>
        <v>29184</v>
      </c>
      <c r="P1258" s="10">
        <v>10419.65</v>
      </c>
      <c r="Q1258" t="s">
        <v>2358</v>
      </c>
      <c r="R1258" t="s">
        <v>2357</v>
      </c>
      <c r="S1258" t="s">
        <v>2373</v>
      </c>
      <c r="T1258">
        <f t="shared" ca="1" si="79"/>
        <v>47</v>
      </c>
      <c r="U1258">
        <f>VLOOKUP($A1258,'Medical Examination'!$A:$Z,2,FALSE)</f>
        <v>45.69</v>
      </c>
    </row>
    <row r="1259" spans="1:21" ht="15.5" x14ac:dyDescent="0.35">
      <c r="A1259" s="2" t="s">
        <v>1259</v>
      </c>
      <c r="B1259" s="2" t="s">
        <v>4233</v>
      </c>
      <c r="C1259">
        <v>21.03</v>
      </c>
      <c r="D1259">
        <v>6.5</v>
      </c>
      <c r="E1259" t="s">
        <v>2344</v>
      </c>
      <c r="F1259" t="s">
        <v>2344</v>
      </c>
      <c r="G1259" t="s">
        <v>2344</v>
      </c>
      <c r="H1259">
        <v>0</v>
      </c>
      <c r="I1259" t="s">
        <v>2344</v>
      </c>
      <c r="J1259" t="str">
        <f t="shared" si="77"/>
        <v>Normal Weight</v>
      </c>
      <c r="K1259" t="str">
        <f t="shared" si="80"/>
        <v>Diabetes</v>
      </c>
      <c r="L1259">
        <v>27</v>
      </c>
      <c r="M1259" t="s">
        <v>2365</v>
      </c>
      <c r="N1259">
        <v>1968</v>
      </c>
      <c r="O1259" s="8">
        <f t="shared" si="78"/>
        <v>25199</v>
      </c>
      <c r="P1259" s="10">
        <v>10422.92</v>
      </c>
      <c r="Q1259" t="s">
        <v>2358</v>
      </c>
      <c r="R1259" t="s">
        <v>2361</v>
      </c>
      <c r="S1259" t="s">
        <v>2378</v>
      </c>
      <c r="T1259">
        <f t="shared" ca="1" si="79"/>
        <v>58</v>
      </c>
      <c r="U1259">
        <f>VLOOKUP($A1259,'Medical Examination'!$A:$Z,2,FALSE)</f>
        <v>21.03</v>
      </c>
    </row>
    <row r="1260" spans="1:21" ht="15.5" x14ac:dyDescent="0.35">
      <c r="A1260" s="2" t="s">
        <v>1260</v>
      </c>
      <c r="B1260" s="2" t="s">
        <v>4235</v>
      </c>
      <c r="C1260">
        <v>37</v>
      </c>
      <c r="D1260">
        <v>8.75</v>
      </c>
      <c r="E1260" t="s">
        <v>2344</v>
      </c>
      <c r="F1260" t="s">
        <v>2344</v>
      </c>
      <c r="G1260" t="s">
        <v>2344</v>
      </c>
      <c r="H1260">
        <v>0</v>
      </c>
      <c r="I1260" t="s">
        <v>2344</v>
      </c>
      <c r="J1260" t="str">
        <f t="shared" si="77"/>
        <v>Obesity</v>
      </c>
      <c r="K1260" t="str">
        <f t="shared" si="80"/>
        <v>Diabetes</v>
      </c>
      <c r="L1260">
        <v>23</v>
      </c>
      <c r="M1260" t="s">
        <v>2366</v>
      </c>
      <c r="N1260">
        <v>1968</v>
      </c>
      <c r="O1260" s="8">
        <f t="shared" si="78"/>
        <v>25073</v>
      </c>
      <c r="P1260" s="10">
        <v>10435.07</v>
      </c>
      <c r="Q1260" t="s">
        <v>2358</v>
      </c>
      <c r="R1260" t="s">
        <v>2361</v>
      </c>
      <c r="S1260" t="s">
        <v>2371</v>
      </c>
      <c r="T1260">
        <f t="shared" ca="1" si="79"/>
        <v>58</v>
      </c>
      <c r="U1260">
        <f>VLOOKUP($A1260,'Medical Examination'!$A:$Z,2,FALSE)</f>
        <v>37</v>
      </c>
    </row>
    <row r="1261" spans="1:21" ht="15.5" x14ac:dyDescent="0.35">
      <c r="A1261" s="2" t="s">
        <v>1261</v>
      </c>
      <c r="B1261" s="2" t="s">
        <v>3909</v>
      </c>
      <c r="C1261">
        <v>25.4</v>
      </c>
      <c r="D1261">
        <v>11.96</v>
      </c>
      <c r="E1261" t="s">
        <v>2344</v>
      </c>
      <c r="F1261" t="s">
        <v>2344</v>
      </c>
      <c r="G1261" t="s">
        <v>2344</v>
      </c>
      <c r="H1261">
        <v>0</v>
      </c>
      <c r="I1261" t="s">
        <v>2344</v>
      </c>
      <c r="J1261" t="str">
        <f t="shared" si="77"/>
        <v>Over weight</v>
      </c>
      <c r="K1261" t="str">
        <f t="shared" si="80"/>
        <v>Diabetes</v>
      </c>
      <c r="L1261">
        <v>29</v>
      </c>
      <c r="M1261" t="s">
        <v>2366</v>
      </c>
      <c r="N1261">
        <v>1968</v>
      </c>
      <c r="O1261" s="8">
        <f t="shared" si="78"/>
        <v>25079</v>
      </c>
      <c r="P1261" s="10">
        <v>10436.1</v>
      </c>
      <c r="Q1261" t="s">
        <v>2358</v>
      </c>
      <c r="R1261" t="s">
        <v>2358</v>
      </c>
      <c r="S1261" t="s">
        <v>2368</v>
      </c>
      <c r="T1261">
        <f t="shared" ca="1" si="79"/>
        <v>58</v>
      </c>
      <c r="U1261">
        <f>VLOOKUP($A1261,'Medical Examination'!$A:$Z,2,FALSE)</f>
        <v>25.4</v>
      </c>
    </row>
    <row r="1262" spans="1:21" ht="15.5" x14ac:dyDescent="0.35">
      <c r="A1262" s="2" t="s">
        <v>1262</v>
      </c>
      <c r="B1262" s="2" t="s">
        <v>4238</v>
      </c>
      <c r="C1262">
        <v>32.299999999999997</v>
      </c>
      <c r="D1262">
        <v>10.54</v>
      </c>
      <c r="E1262" t="s">
        <v>2344</v>
      </c>
      <c r="F1262" t="s">
        <v>2344</v>
      </c>
      <c r="G1262" t="s">
        <v>2344</v>
      </c>
      <c r="H1262">
        <v>0</v>
      </c>
      <c r="I1262" t="s">
        <v>2344</v>
      </c>
      <c r="J1262" t="str">
        <f t="shared" si="77"/>
        <v>Obesity</v>
      </c>
      <c r="K1262" t="str">
        <f t="shared" si="80"/>
        <v>Diabetes</v>
      </c>
      <c r="L1262">
        <v>8</v>
      </c>
      <c r="M1262" t="s">
        <v>2360</v>
      </c>
      <c r="N1262">
        <v>1968</v>
      </c>
      <c r="O1262" s="8">
        <f t="shared" si="78"/>
        <v>25150</v>
      </c>
      <c r="P1262" s="10">
        <v>10450.549999999999</v>
      </c>
      <c r="Q1262" t="s">
        <v>2358</v>
      </c>
      <c r="R1262" t="s">
        <v>2361</v>
      </c>
      <c r="S1262" t="s">
        <v>2368</v>
      </c>
      <c r="T1262">
        <f t="shared" ca="1" si="79"/>
        <v>58</v>
      </c>
      <c r="U1262">
        <f>VLOOKUP($A1262,'Medical Examination'!$A:$Z,2,FALSE)</f>
        <v>32.299999999999997</v>
      </c>
    </row>
    <row r="1263" spans="1:21" ht="15.5" x14ac:dyDescent="0.35">
      <c r="A1263" s="2" t="s">
        <v>1263</v>
      </c>
      <c r="B1263" s="2" t="s">
        <v>4239</v>
      </c>
      <c r="C1263">
        <v>23.94</v>
      </c>
      <c r="D1263">
        <v>4.54</v>
      </c>
      <c r="E1263" t="s">
        <v>2346</v>
      </c>
      <c r="F1263" t="s">
        <v>2344</v>
      </c>
      <c r="G1263" t="s">
        <v>2346</v>
      </c>
      <c r="H1263">
        <v>1</v>
      </c>
      <c r="I1263" t="s">
        <v>2344</v>
      </c>
      <c r="J1263" t="str">
        <f t="shared" si="77"/>
        <v>Normal Weight</v>
      </c>
      <c r="K1263" t="str">
        <f t="shared" si="80"/>
        <v>Normal</v>
      </c>
      <c r="L1263">
        <v>14</v>
      </c>
      <c r="M1263" t="s">
        <v>2367</v>
      </c>
      <c r="N1263">
        <v>1964</v>
      </c>
      <c r="O1263" s="8">
        <f t="shared" si="78"/>
        <v>23664</v>
      </c>
      <c r="P1263" s="10">
        <v>10455.1</v>
      </c>
      <c r="Q1263" t="s">
        <v>2358</v>
      </c>
      <c r="R1263" t="s">
        <v>2361</v>
      </c>
      <c r="S1263" t="s">
        <v>2364</v>
      </c>
      <c r="T1263">
        <f t="shared" ca="1" si="79"/>
        <v>62</v>
      </c>
      <c r="U1263">
        <f>VLOOKUP($A1263,'Medical Examination'!$A:$Z,2,FALSE)</f>
        <v>23.94</v>
      </c>
    </row>
    <row r="1264" spans="1:21" ht="15.5" x14ac:dyDescent="0.35">
      <c r="A1264" s="2" t="s">
        <v>1264</v>
      </c>
      <c r="B1264" s="2" t="s">
        <v>4241</v>
      </c>
      <c r="C1264">
        <v>46.4</v>
      </c>
      <c r="D1264">
        <v>5.71</v>
      </c>
      <c r="E1264" t="s">
        <v>2344</v>
      </c>
      <c r="F1264" t="s">
        <v>2344</v>
      </c>
      <c r="G1264" t="s">
        <v>2344</v>
      </c>
      <c r="H1264">
        <v>0</v>
      </c>
      <c r="I1264" t="s">
        <v>2344</v>
      </c>
      <c r="J1264" t="str">
        <f t="shared" si="77"/>
        <v>Obesity</v>
      </c>
      <c r="K1264" t="str">
        <f t="shared" si="80"/>
        <v>Prediabetes</v>
      </c>
      <c r="L1264">
        <v>3</v>
      </c>
      <c r="M1264" t="s">
        <v>2366</v>
      </c>
      <c r="N1264">
        <v>1976</v>
      </c>
      <c r="O1264" s="8">
        <f t="shared" si="78"/>
        <v>27975</v>
      </c>
      <c r="P1264" s="10">
        <v>10455.14</v>
      </c>
      <c r="Q1264" t="s">
        <v>2358</v>
      </c>
      <c r="R1264" t="s">
        <v>2357</v>
      </c>
      <c r="S1264" t="s">
        <v>2377</v>
      </c>
      <c r="T1264">
        <f t="shared" ca="1" si="79"/>
        <v>50</v>
      </c>
      <c r="U1264">
        <f>VLOOKUP($A1264,'Medical Examination'!$A:$Z,2,FALSE)</f>
        <v>46.4</v>
      </c>
    </row>
    <row r="1265" spans="1:21" ht="15.5" x14ac:dyDescent="0.35">
      <c r="A1265" s="2" t="s">
        <v>1265</v>
      </c>
      <c r="B1265" s="2" t="s">
        <v>4242</v>
      </c>
      <c r="C1265">
        <v>40.375</v>
      </c>
      <c r="D1265">
        <v>6.25</v>
      </c>
      <c r="E1265" t="s">
        <v>2346</v>
      </c>
      <c r="F1265" t="s">
        <v>2344</v>
      </c>
      <c r="G1265" t="s">
        <v>2344</v>
      </c>
      <c r="H1265">
        <v>0</v>
      </c>
      <c r="I1265" t="s">
        <v>2344</v>
      </c>
      <c r="J1265" t="str">
        <f t="shared" si="77"/>
        <v>Obesity</v>
      </c>
      <c r="K1265" t="str">
        <f t="shared" si="80"/>
        <v>Prediabetes</v>
      </c>
      <c r="L1265">
        <v>27</v>
      </c>
      <c r="M1265" t="s">
        <v>2356</v>
      </c>
      <c r="N1265">
        <v>1964</v>
      </c>
      <c r="O1265" s="8">
        <f t="shared" si="78"/>
        <v>23585</v>
      </c>
      <c r="P1265" s="10">
        <v>10459.19</v>
      </c>
      <c r="Q1265" t="s">
        <v>2358</v>
      </c>
      <c r="R1265" t="s">
        <v>2361</v>
      </c>
      <c r="S1265" t="s">
        <v>2359</v>
      </c>
      <c r="T1265">
        <f t="shared" ca="1" si="79"/>
        <v>62</v>
      </c>
      <c r="U1265">
        <f>VLOOKUP($A1265,'Medical Examination'!$A:$Z,2,FALSE)</f>
        <v>40.375</v>
      </c>
    </row>
    <row r="1266" spans="1:21" ht="15.5" x14ac:dyDescent="0.35">
      <c r="A1266" s="2" t="s">
        <v>1266</v>
      </c>
      <c r="B1266" s="2" t="s">
        <v>2505</v>
      </c>
      <c r="C1266">
        <v>28.7</v>
      </c>
      <c r="D1266">
        <v>9.4700000000000006</v>
      </c>
      <c r="E1266" t="s">
        <v>2344</v>
      </c>
      <c r="F1266" t="s">
        <v>2344</v>
      </c>
      <c r="G1266" t="s">
        <v>2344</v>
      </c>
      <c r="H1266">
        <v>1</v>
      </c>
      <c r="I1266" t="s">
        <v>2344</v>
      </c>
      <c r="J1266" t="str">
        <f t="shared" si="77"/>
        <v>Over weight</v>
      </c>
      <c r="K1266" t="str">
        <f t="shared" si="80"/>
        <v>Diabetes</v>
      </c>
      <c r="L1266">
        <v>22</v>
      </c>
      <c r="M1266" t="s">
        <v>2363</v>
      </c>
      <c r="N1266">
        <v>1969</v>
      </c>
      <c r="O1266" s="8">
        <f t="shared" si="78"/>
        <v>25468</v>
      </c>
      <c r="P1266" s="10">
        <v>10461.98</v>
      </c>
      <c r="Q1266" t="s">
        <v>2358</v>
      </c>
      <c r="R1266" t="s">
        <v>2361</v>
      </c>
      <c r="S1266" t="s">
        <v>2364</v>
      </c>
      <c r="T1266">
        <f t="shared" ca="1" si="79"/>
        <v>57</v>
      </c>
      <c r="U1266">
        <f>VLOOKUP($A1266,'Medical Examination'!$A:$Z,2,FALSE)</f>
        <v>28.7</v>
      </c>
    </row>
    <row r="1267" spans="1:21" ht="15.5" x14ac:dyDescent="0.35">
      <c r="A1267" s="2" t="s">
        <v>1267</v>
      </c>
      <c r="B1267" s="2" t="s">
        <v>4246</v>
      </c>
      <c r="C1267">
        <v>26.63</v>
      </c>
      <c r="D1267">
        <v>5.7</v>
      </c>
      <c r="E1267" t="s">
        <v>2344</v>
      </c>
      <c r="F1267" t="s">
        <v>2344</v>
      </c>
      <c r="G1267" t="s">
        <v>2344</v>
      </c>
      <c r="H1267">
        <v>0</v>
      </c>
      <c r="I1267" t="s">
        <v>2344</v>
      </c>
      <c r="J1267" t="str">
        <f t="shared" si="77"/>
        <v>Over weight</v>
      </c>
      <c r="K1267" t="str">
        <f t="shared" si="80"/>
        <v>Prediabetes</v>
      </c>
      <c r="L1267">
        <v>28</v>
      </c>
      <c r="M1267" t="s">
        <v>2362</v>
      </c>
      <c r="N1267">
        <v>1987</v>
      </c>
      <c r="O1267" s="8">
        <f t="shared" si="78"/>
        <v>31956</v>
      </c>
      <c r="P1267" s="10">
        <v>10464.83</v>
      </c>
      <c r="Q1267" t="s">
        <v>2358</v>
      </c>
      <c r="R1267" t="s">
        <v>2361</v>
      </c>
      <c r="S1267" t="s">
        <v>2364</v>
      </c>
      <c r="T1267">
        <f t="shared" ca="1" si="79"/>
        <v>39</v>
      </c>
      <c r="U1267">
        <f>VLOOKUP($A1267,'Medical Examination'!$A:$Z,2,FALSE)</f>
        <v>26.63</v>
      </c>
    </row>
    <row r="1268" spans="1:21" ht="15.5" x14ac:dyDescent="0.35">
      <c r="A1268" s="2" t="s">
        <v>1268</v>
      </c>
      <c r="B1268" s="2" t="s">
        <v>4247</v>
      </c>
      <c r="C1268">
        <v>22.515000000000001</v>
      </c>
      <c r="D1268">
        <v>11.18</v>
      </c>
      <c r="E1268" t="s">
        <v>2344</v>
      </c>
      <c r="F1268" t="s">
        <v>2344</v>
      </c>
      <c r="G1268" t="s">
        <v>2344</v>
      </c>
      <c r="H1268">
        <v>1</v>
      </c>
      <c r="I1268" t="s">
        <v>2344</v>
      </c>
      <c r="J1268" t="str">
        <f t="shared" si="77"/>
        <v>Normal Weight</v>
      </c>
      <c r="K1268" t="str">
        <f t="shared" si="80"/>
        <v>Diabetes</v>
      </c>
      <c r="L1268">
        <v>21</v>
      </c>
      <c r="M1268" t="s">
        <v>2366</v>
      </c>
      <c r="N1268">
        <v>1978</v>
      </c>
      <c r="O1268" s="8">
        <f t="shared" si="78"/>
        <v>28723</v>
      </c>
      <c r="P1268" s="10">
        <v>10486.55</v>
      </c>
      <c r="Q1268" t="s">
        <v>2358</v>
      </c>
      <c r="R1268" t="s">
        <v>2358</v>
      </c>
      <c r="S1268" t="s">
        <v>2373</v>
      </c>
      <c r="T1268">
        <f t="shared" ca="1" si="79"/>
        <v>48</v>
      </c>
      <c r="U1268">
        <f>VLOOKUP($A1268,'Medical Examination'!$A:$Z,2,FALSE)</f>
        <v>22.515000000000001</v>
      </c>
    </row>
    <row r="1269" spans="1:21" ht="15.5" x14ac:dyDescent="0.35">
      <c r="A1269" s="2" t="s">
        <v>1269</v>
      </c>
      <c r="B1269" s="2" t="s">
        <v>4248</v>
      </c>
      <c r="C1269">
        <v>36.575000000000003</v>
      </c>
      <c r="D1269">
        <v>10.98</v>
      </c>
      <c r="E1269" t="s">
        <v>2344</v>
      </c>
      <c r="F1269" t="s">
        <v>2344</v>
      </c>
      <c r="G1269" t="s">
        <v>2344</v>
      </c>
      <c r="H1269">
        <v>0</v>
      </c>
      <c r="I1269" t="s">
        <v>2344</v>
      </c>
      <c r="J1269" t="str">
        <f t="shared" si="77"/>
        <v>Obesity</v>
      </c>
      <c r="K1269" t="str">
        <f t="shared" si="80"/>
        <v>Diabetes</v>
      </c>
      <c r="L1269">
        <v>19</v>
      </c>
      <c r="M1269" t="s">
        <v>2367</v>
      </c>
      <c r="N1269">
        <v>1972</v>
      </c>
      <c r="O1269" s="8">
        <f t="shared" si="78"/>
        <v>26591</v>
      </c>
      <c r="P1269" s="10">
        <v>10493.95</v>
      </c>
      <c r="Q1269" t="s">
        <v>2358</v>
      </c>
      <c r="R1269" t="s">
        <v>2361</v>
      </c>
      <c r="S1269" t="s">
        <v>2364</v>
      </c>
      <c r="T1269">
        <f t="shared" ca="1" si="79"/>
        <v>54</v>
      </c>
      <c r="U1269">
        <f>VLOOKUP($A1269,'Medical Examination'!$A:$Z,2,FALSE)</f>
        <v>36.575000000000003</v>
      </c>
    </row>
    <row r="1270" spans="1:21" ht="15.5" x14ac:dyDescent="0.35">
      <c r="A1270" s="2" t="s">
        <v>1270</v>
      </c>
      <c r="B1270" s="2" t="s">
        <v>4251</v>
      </c>
      <c r="C1270">
        <v>23.66</v>
      </c>
      <c r="D1270">
        <v>5.1100000000000003</v>
      </c>
      <c r="E1270" t="s">
        <v>2346</v>
      </c>
      <c r="F1270" t="s">
        <v>2344</v>
      </c>
      <c r="G1270" t="s">
        <v>2346</v>
      </c>
      <c r="H1270">
        <v>1</v>
      </c>
      <c r="I1270" t="s">
        <v>2344</v>
      </c>
      <c r="J1270" t="str">
        <f t="shared" si="77"/>
        <v>Normal Weight</v>
      </c>
      <c r="K1270" t="str">
        <f t="shared" si="80"/>
        <v>Normal</v>
      </c>
      <c r="L1270">
        <v>25</v>
      </c>
      <c r="M1270" t="s">
        <v>2367</v>
      </c>
      <c r="N1270">
        <v>1977</v>
      </c>
      <c r="O1270" s="8">
        <f t="shared" si="78"/>
        <v>28423</v>
      </c>
      <c r="P1270" s="10">
        <v>10495.6</v>
      </c>
      <c r="Q1270" t="s">
        <v>2358</v>
      </c>
      <c r="R1270" t="s">
        <v>2361</v>
      </c>
      <c r="S1270" t="s">
        <v>2364</v>
      </c>
      <c r="T1270">
        <f t="shared" ca="1" si="79"/>
        <v>49</v>
      </c>
      <c r="U1270">
        <f>VLOOKUP($A1270,'Medical Examination'!$A:$Z,2,FALSE)</f>
        <v>23.66</v>
      </c>
    </row>
    <row r="1271" spans="1:21" ht="15.5" x14ac:dyDescent="0.35">
      <c r="A1271" s="2" t="s">
        <v>1271</v>
      </c>
      <c r="B1271" s="2" t="s">
        <v>2773</v>
      </c>
      <c r="C1271">
        <v>18.62</v>
      </c>
      <c r="D1271">
        <v>10.24</v>
      </c>
      <c r="E1271" t="s">
        <v>2344</v>
      </c>
      <c r="F1271" t="s">
        <v>2344</v>
      </c>
      <c r="G1271" t="s">
        <v>2344</v>
      </c>
      <c r="H1271">
        <v>0</v>
      </c>
      <c r="I1271" t="s">
        <v>2344</v>
      </c>
      <c r="J1271" t="str">
        <f t="shared" si="77"/>
        <v>Normal Weight</v>
      </c>
      <c r="K1271" t="str">
        <f t="shared" si="80"/>
        <v>Diabetes</v>
      </c>
      <c r="L1271">
        <v>26</v>
      </c>
      <c r="M1271" t="s">
        <v>2363</v>
      </c>
      <c r="N1271">
        <v>1971</v>
      </c>
      <c r="O1271" s="8">
        <f t="shared" si="78"/>
        <v>26202</v>
      </c>
      <c r="P1271" s="10">
        <v>10546.48</v>
      </c>
      <c r="Q1271" t="s">
        <v>2358</v>
      </c>
      <c r="R1271" t="s">
        <v>2358</v>
      </c>
      <c r="S1271" t="s">
        <v>2368</v>
      </c>
      <c r="T1271">
        <f t="shared" ca="1" si="79"/>
        <v>55</v>
      </c>
      <c r="U1271">
        <f>VLOOKUP($A1271,'Medical Examination'!$A:$Z,2,FALSE)</f>
        <v>18.62</v>
      </c>
    </row>
    <row r="1272" spans="1:21" ht="15.5" x14ac:dyDescent="0.35">
      <c r="A1272" s="2" t="s">
        <v>1272</v>
      </c>
      <c r="B1272" s="2" t="s">
        <v>2695</v>
      </c>
      <c r="C1272">
        <v>19.190000000000001</v>
      </c>
      <c r="D1272">
        <v>7.71</v>
      </c>
      <c r="E1272" t="s">
        <v>2346</v>
      </c>
      <c r="F1272" t="s">
        <v>2344</v>
      </c>
      <c r="G1272" t="s">
        <v>2344</v>
      </c>
      <c r="H1272">
        <v>1</v>
      </c>
      <c r="I1272" t="s">
        <v>2344</v>
      </c>
      <c r="J1272" t="str">
        <f t="shared" si="77"/>
        <v>Normal Weight</v>
      </c>
      <c r="K1272" t="str">
        <f t="shared" si="80"/>
        <v>Diabetes</v>
      </c>
      <c r="L1272">
        <v>29</v>
      </c>
      <c r="M1272" t="s">
        <v>2362</v>
      </c>
      <c r="N1272">
        <v>1971</v>
      </c>
      <c r="O1272" s="8">
        <f t="shared" si="78"/>
        <v>26113</v>
      </c>
      <c r="P1272" s="10">
        <v>10560.49</v>
      </c>
      <c r="Q1272" t="s">
        <v>2358</v>
      </c>
      <c r="R1272" t="s">
        <v>2357</v>
      </c>
      <c r="S1272" t="s">
        <v>2359</v>
      </c>
      <c r="T1272">
        <f t="shared" ca="1" si="79"/>
        <v>55</v>
      </c>
      <c r="U1272">
        <f>VLOOKUP($A1272,'Medical Examination'!$A:$Z,2,FALSE)</f>
        <v>19.190000000000001</v>
      </c>
    </row>
    <row r="1273" spans="1:21" ht="15.5" x14ac:dyDescent="0.35">
      <c r="A1273" s="2" t="s">
        <v>1273</v>
      </c>
      <c r="B1273" s="2" t="s">
        <v>4252</v>
      </c>
      <c r="C1273">
        <v>27.5</v>
      </c>
      <c r="D1273">
        <v>6.03</v>
      </c>
      <c r="E1273" t="s">
        <v>2344</v>
      </c>
      <c r="F1273" t="s">
        <v>2344</v>
      </c>
      <c r="G1273" t="s">
        <v>2344</v>
      </c>
      <c r="H1273">
        <v>0</v>
      </c>
      <c r="I1273" t="s">
        <v>2344</v>
      </c>
      <c r="J1273" t="str">
        <f t="shared" si="77"/>
        <v>Over weight</v>
      </c>
      <c r="K1273" t="str">
        <f t="shared" si="80"/>
        <v>Prediabetes</v>
      </c>
      <c r="L1273">
        <v>17</v>
      </c>
      <c r="M1273" t="s">
        <v>2356</v>
      </c>
      <c r="N1273">
        <v>1969</v>
      </c>
      <c r="O1273" s="8">
        <f t="shared" si="78"/>
        <v>25401</v>
      </c>
      <c r="P1273" s="10">
        <v>10564.88</v>
      </c>
      <c r="Q1273" t="s">
        <v>2358</v>
      </c>
      <c r="R1273" t="s">
        <v>2361</v>
      </c>
      <c r="S1273" t="s">
        <v>2374</v>
      </c>
      <c r="T1273">
        <f t="shared" ca="1" si="79"/>
        <v>57</v>
      </c>
      <c r="U1273">
        <f>VLOOKUP($A1273,'Medical Examination'!$A:$Z,2,FALSE)</f>
        <v>27.5</v>
      </c>
    </row>
    <row r="1274" spans="1:21" ht="15.5" x14ac:dyDescent="0.35">
      <c r="A1274" s="2" t="s">
        <v>1274</v>
      </c>
      <c r="B1274" s="2" t="s">
        <v>4254</v>
      </c>
      <c r="C1274">
        <v>27.36</v>
      </c>
      <c r="D1274">
        <v>5.96</v>
      </c>
      <c r="E1274" t="s">
        <v>2344</v>
      </c>
      <c r="F1274" t="s">
        <v>2344</v>
      </c>
      <c r="G1274" t="s">
        <v>2346</v>
      </c>
      <c r="H1274">
        <v>1</v>
      </c>
      <c r="I1274" t="s">
        <v>2344</v>
      </c>
      <c r="J1274" t="str">
        <f t="shared" si="77"/>
        <v>Over weight</v>
      </c>
      <c r="K1274" t="str">
        <f t="shared" si="80"/>
        <v>Prediabetes</v>
      </c>
      <c r="L1274">
        <v>11</v>
      </c>
      <c r="M1274" t="s">
        <v>2365</v>
      </c>
      <c r="N1274">
        <v>1966</v>
      </c>
      <c r="O1274" s="8">
        <f t="shared" si="78"/>
        <v>24452</v>
      </c>
      <c r="P1274" s="10">
        <v>10577.09</v>
      </c>
      <c r="Q1274" t="s">
        <v>2358</v>
      </c>
      <c r="R1274" t="s">
        <v>2358</v>
      </c>
      <c r="S1274" t="s">
        <v>2368</v>
      </c>
      <c r="T1274">
        <f t="shared" ca="1" si="79"/>
        <v>60</v>
      </c>
      <c r="U1274">
        <f>VLOOKUP($A1274,'Medical Examination'!$A:$Z,2,FALSE)</f>
        <v>27.36</v>
      </c>
    </row>
    <row r="1275" spans="1:21" ht="15.5" x14ac:dyDescent="0.35">
      <c r="A1275" s="2" t="s">
        <v>1275</v>
      </c>
      <c r="B1275" s="2" t="s">
        <v>4255</v>
      </c>
      <c r="C1275">
        <v>20.350000000000001</v>
      </c>
      <c r="D1275">
        <v>4.16</v>
      </c>
      <c r="E1275" t="s">
        <v>2344</v>
      </c>
      <c r="F1275" t="s">
        <v>2344</v>
      </c>
      <c r="G1275" t="s">
        <v>2344</v>
      </c>
      <c r="H1275">
        <v>0</v>
      </c>
      <c r="I1275" t="s">
        <v>2344</v>
      </c>
      <c r="J1275" t="str">
        <f t="shared" si="77"/>
        <v>Normal Weight</v>
      </c>
      <c r="K1275" t="str">
        <f t="shared" si="80"/>
        <v>Normal</v>
      </c>
      <c r="L1275">
        <v>25</v>
      </c>
      <c r="M1275" t="s">
        <v>2365</v>
      </c>
      <c r="N1275">
        <v>1969</v>
      </c>
      <c r="O1275" s="8">
        <f t="shared" si="78"/>
        <v>25562</v>
      </c>
      <c r="P1275" s="10">
        <v>10579.71</v>
      </c>
      <c r="Q1275" t="s">
        <v>2358</v>
      </c>
      <c r="R1275" t="s">
        <v>2358</v>
      </c>
      <c r="S1275" t="s">
        <v>2359</v>
      </c>
      <c r="T1275">
        <f t="shared" ca="1" si="79"/>
        <v>57</v>
      </c>
      <c r="U1275">
        <f>VLOOKUP($A1275,'Medical Examination'!$A:$Z,2,FALSE)</f>
        <v>20.350000000000001</v>
      </c>
    </row>
    <row r="1276" spans="1:21" ht="15.5" x14ac:dyDescent="0.35">
      <c r="A1276" s="2" t="s">
        <v>1276</v>
      </c>
      <c r="B1276" s="2" t="s">
        <v>4256</v>
      </c>
      <c r="C1276">
        <v>24.035</v>
      </c>
      <c r="D1276">
        <v>6.11</v>
      </c>
      <c r="E1276" t="s">
        <v>2344</v>
      </c>
      <c r="F1276" t="s">
        <v>2344</v>
      </c>
      <c r="G1276" t="s">
        <v>2344</v>
      </c>
      <c r="H1276">
        <v>0</v>
      </c>
      <c r="I1276" t="s">
        <v>2344</v>
      </c>
      <c r="J1276" t="str">
        <f t="shared" si="77"/>
        <v>Normal Weight</v>
      </c>
      <c r="K1276" t="str">
        <f t="shared" si="80"/>
        <v>Prediabetes</v>
      </c>
      <c r="L1276">
        <v>3</v>
      </c>
      <c r="M1276" t="s">
        <v>2360</v>
      </c>
      <c r="N1276">
        <v>1966</v>
      </c>
      <c r="O1276" s="8">
        <f t="shared" si="78"/>
        <v>24414</v>
      </c>
      <c r="P1276" s="10">
        <v>10594.23</v>
      </c>
      <c r="Q1276" t="s">
        <v>2358</v>
      </c>
      <c r="R1276" t="s">
        <v>2358</v>
      </c>
      <c r="S1276" t="s">
        <v>2359</v>
      </c>
      <c r="T1276">
        <f t="shared" ca="1" si="79"/>
        <v>60</v>
      </c>
      <c r="U1276">
        <f>VLOOKUP($A1276,'Medical Examination'!$A:$Z,2,FALSE)</f>
        <v>24.035</v>
      </c>
    </row>
    <row r="1277" spans="1:21" ht="15.5" x14ac:dyDescent="0.35">
      <c r="A1277" s="2" t="s">
        <v>1277</v>
      </c>
      <c r="B1277" s="2" t="s">
        <v>3883</v>
      </c>
      <c r="C1277">
        <v>23.56</v>
      </c>
      <c r="D1277">
        <v>5.97</v>
      </c>
      <c r="E1277" t="s">
        <v>2344</v>
      </c>
      <c r="F1277" t="s">
        <v>2344</v>
      </c>
      <c r="G1277" t="s">
        <v>2344</v>
      </c>
      <c r="H1277">
        <v>0</v>
      </c>
      <c r="I1277" t="s">
        <v>2344</v>
      </c>
      <c r="J1277" t="str">
        <f t="shared" si="77"/>
        <v>Normal Weight</v>
      </c>
      <c r="K1277" t="str">
        <f t="shared" si="80"/>
        <v>Prediabetes</v>
      </c>
      <c r="L1277">
        <v>29</v>
      </c>
      <c r="M1277" t="s">
        <v>2360</v>
      </c>
      <c r="N1277">
        <v>1967</v>
      </c>
      <c r="O1277" s="8">
        <f t="shared" si="78"/>
        <v>24805</v>
      </c>
      <c r="P1277" s="10">
        <v>10594.5</v>
      </c>
      <c r="Q1277" t="s">
        <v>2358</v>
      </c>
      <c r="R1277" t="s">
        <v>2361</v>
      </c>
      <c r="S1277" t="s">
        <v>2364</v>
      </c>
      <c r="T1277">
        <f t="shared" ca="1" si="79"/>
        <v>59</v>
      </c>
      <c r="U1277">
        <f>VLOOKUP($A1277,'Medical Examination'!$A:$Z,2,FALSE)</f>
        <v>23.56</v>
      </c>
    </row>
    <row r="1278" spans="1:21" ht="15.5" x14ac:dyDescent="0.35">
      <c r="A1278" s="2" t="s">
        <v>1278</v>
      </c>
      <c r="B1278" s="2" t="s">
        <v>4257</v>
      </c>
      <c r="C1278">
        <v>27.17</v>
      </c>
      <c r="D1278">
        <v>10.81</v>
      </c>
      <c r="E1278" t="s">
        <v>2344</v>
      </c>
      <c r="F1278" t="s">
        <v>2344</v>
      </c>
      <c r="G1278" t="s">
        <v>2344</v>
      </c>
      <c r="H1278">
        <v>1</v>
      </c>
      <c r="I1278" t="s">
        <v>2344</v>
      </c>
      <c r="J1278" t="str">
        <f t="shared" si="77"/>
        <v>Over weight</v>
      </c>
      <c r="K1278" t="str">
        <f t="shared" si="80"/>
        <v>Diabetes</v>
      </c>
      <c r="L1278">
        <v>14</v>
      </c>
      <c r="M1278" t="s">
        <v>2365</v>
      </c>
      <c r="N1278">
        <v>1972</v>
      </c>
      <c r="O1278" s="8">
        <f t="shared" si="78"/>
        <v>26647</v>
      </c>
      <c r="P1278" s="10">
        <v>10600.55</v>
      </c>
      <c r="Q1278" t="s">
        <v>2358</v>
      </c>
      <c r="R1278" t="s">
        <v>2361</v>
      </c>
      <c r="S1278" t="s">
        <v>2364</v>
      </c>
      <c r="T1278">
        <f t="shared" ca="1" si="79"/>
        <v>54</v>
      </c>
      <c r="U1278">
        <f>VLOOKUP($A1278,'Medical Examination'!$A:$Z,2,FALSE)</f>
        <v>27.17</v>
      </c>
    </row>
    <row r="1279" spans="1:21" ht="15.5" x14ac:dyDescent="0.35">
      <c r="A1279" s="2" t="s">
        <v>1279</v>
      </c>
      <c r="B1279" s="2" t="s">
        <v>4259</v>
      </c>
      <c r="C1279">
        <v>34.32</v>
      </c>
      <c r="D1279">
        <v>5.7</v>
      </c>
      <c r="E1279" t="s">
        <v>2346</v>
      </c>
      <c r="F1279" t="s">
        <v>2344</v>
      </c>
      <c r="G1279" t="s">
        <v>2346</v>
      </c>
      <c r="H1279">
        <v>1</v>
      </c>
      <c r="I1279" t="s">
        <v>2344</v>
      </c>
      <c r="J1279" t="str">
        <f t="shared" si="77"/>
        <v>Obesity</v>
      </c>
      <c r="K1279" t="str">
        <f t="shared" si="80"/>
        <v>Prediabetes</v>
      </c>
      <c r="L1279">
        <v>20</v>
      </c>
      <c r="M1279" t="s">
        <v>2356</v>
      </c>
      <c r="N1279">
        <v>1966</v>
      </c>
      <c r="O1279" s="8">
        <f t="shared" si="78"/>
        <v>24308</v>
      </c>
      <c r="P1279" s="10">
        <v>10601.41</v>
      </c>
      <c r="Q1279" t="s">
        <v>2358</v>
      </c>
      <c r="R1279" t="s">
        <v>2357</v>
      </c>
      <c r="S1279" t="s">
        <v>2368</v>
      </c>
      <c r="T1279">
        <f t="shared" ca="1" si="79"/>
        <v>60</v>
      </c>
      <c r="U1279">
        <f>VLOOKUP($A1279,'Medical Examination'!$A:$Z,2,FALSE)</f>
        <v>34.32</v>
      </c>
    </row>
    <row r="1280" spans="1:21" ht="15.5" x14ac:dyDescent="0.35">
      <c r="A1280" s="2" t="s">
        <v>1280</v>
      </c>
      <c r="B1280" s="2" t="s">
        <v>4260</v>
      </c>
      <c r="C1280">
        <v>23.87</v>
      </c>
      <c r="D1280">
        <v>4.7699999999999996</v>
      </c>
      <c r="E1280" t="s">
        <v>2346</v>
      </c>
      <c r="F1280" t="s">
        <v>2344</v>
      </c>
      <c r="G1280" t="s">
        <v>2346</v>
      </c>
      <c r="H1280">
        <v>1</v>
      </c>
      <c r="I1280" t="s">
        <v>2344</v>
      </c>
      <c r="J1280" t="str">
        <f t="shared" si="77"/>
        <v>Normal Weight</v>
      </c>
      <c r="K1280" t="str">
        <f t="shared" si="80"/>
        <v>Normal</v>
      </c>
      <c r="L1280">
        <v>23</v>
      </c>
      <c r="M1280" t="s">
        <v>2362</v>
      </c>
      <c r="N1280">
        <v>1967</v>
      </c>
      <c r="O1280" s="8">
        <f t="shared" si="78"/>
        <v>24646</v>
      </c>
      <c r="P1280" s="10">
        <v>10601.63</v>
      </c>
      <c r="Q1280" t="s">
        <v>2358</v>
      </c>
      <c r="R1280" t="s">
        <v>2357</v>
      </c>
      <c r="S1280" t="s">
        <v>2364</v>
      </c>
      <c r="T1280">
        <f t="shared" ca="1" si="79"/>
        <v>59</v>
      </c>
      <c r="U1280">
        <f>VLOOKUP($A1280,'Medical Examination'!$A:$Z,2,FALSE)</f>
        <v>23.87</v>
      </c>
    </row>
    <row r="1281" spans="1:21" ht="15.5" x14ac:dyDescent="0.35">
      <c r="A1281" s="2" t="s">
        <v>1281</v>
      </c>
      <c r="B1281" s="2" t="s">
        <v>4261</v>
      </c>
      <c r="C1281">
        <v>30.15</v>
      </c>
      <c r="D1281">
        <v>4.25</v>
      </c>
      <c r="E1281" t="s">
        <v>2344</v>
      </c>
      <c r="F1281" t="s">
        <v>2344</v>
      </c>
      <c r="G1281" t="s">
        <v>2344</v>
      </c>
      <c r="H1281">
        <v>1</v>
      </c>
      <c r="I1281" t="s">
        <v>2344</v>
      </c>
      <c r="J1281" t="str">
        <f t="shared" si="77"/>
        <v>Obesity</v>
      </c>
      <c r="K1281" t="str">
        <f t="shared" si="80"/>
        <v>Normal</v>
      </c>
      <c r="L1281">
        <v>2</v>
      </c>
      <c r="M1281" t="s">
        <v>2356</v>
      </c>
      <c r="N1281">
        <v>1966</v>
      </c>
      <c r="O1281" s="8">
        <f t="shared" si="78"/>
        <v>24290</v>
      </c>
      <c r="P1281" s="10">
        <v>10602.39</v>
      </c>
      <c r="Q1281" t="s">
        <v>2358</v>
      </c>
      <c r="R1281" t="s">
        <v>2358</v>
      </c>
      <c r="S1281" t="s">
        <v>2368</v>
      </c>
      <c r="T1281">
        <f t="shared" ca="1" si="79"/>
        <v>60</v>
      </c>
      <c r="U1281">
        <f>VLOOKUP($A1281,'Medical Examination'!$A:$Z,2,FALSE)</f>
        <v>30.15</v>
      </c>
    </row>
    <row r="1282" spans="1:21" ht="15.5" x14ac:dyDescent="0.35">
      <c r="A1282" s="2" t="s">
        <v>1282</v>
      </c>
      <c r="B1282" s="2" t="s">
        <v>4263</v>
      </c>
      <c r="C1282">
        <v>26.36</v>
      </c>
      <c r="D1282">
        <v>5.52</v>
      </c>
      <c r="E1282" t="s">
        <v>2344</v>
      </c>
      <c r="F1282" t="s">
        <v>2344</v>
      </c>
      <c r="G1282" t="s">
        <v>2344</v>
      </c>
      <c r="H1282">
        <v>0</v>
      </c>
      <c r="I1282" t="s">
        <v>2344</v>
      </c>
      <c r="J1282" t="str">
        <f t="shared" si="77"/>
        <v>Over weight</v>
      </c>
      <c r="K1282" t="str">
        <f t="shared" si="80"/>
        <v>Normal</v>
      </c>
      <c r="L1282">
        <v>27</v>
      </c>
      <c r="M1282" t="s">
        <v>2362</v>
      </c>
      <c r="N1282">
        <v>1965</v>
      </c>
      <c r="O1282" s="8">
        <f t="shared" si="78"/>
        <v>23920</v>
      </c>
      <c r="P1282" s="10">
        <v>10608.67</v>
      </c>
      <c r="Q1282" t="s">
        <v>2358</v>
      </c>
      <c r="R1282" t="s">
        <v>2358</v>
      </c>
      <c r="S1282" t="s">
        <v>2364</v>
      </c>
      <c r="T1282">
        <f t="shared" ca="1" si="79"/>
        <v>61</v>
      </c>
      <c r="U1282">
        <f>VLOOKUP($A1282,'Medical Examination'!$A:$Z,2,FALSE)</f>
        <v>26.36</v>
      </c>
    </row>
    <row r="1283" spans="1:21" ht="15.5" x14ac:dyDescent="0.35">
      <c r="A1283" s="2" t="s">
        <v>1283</v>
      </c>
      <c r="B1283" s="2" t="s">
        <v>4264</v>
      </c>
      <c r="C1283">
        <v>45.32</v>
      </c>
      <c r="D1283">
        <v>6.53</v>
      </c>
      <c r="E1283" t="s">
        <v>2346</v>
      </c>
      <c r="F1283" t="s">
        <v>2344</v>
      </c>
      <c r="G1283" t="s">
        <v>2344</v>
      </c>
      <c r="H1283">
        <v>1</v>
      </c>
      <c r="I1283" t="s">
        <v>2344</v>
      </c>
      <c r="J1283" t="str">
        <f t="shared" ref="J1283:J1346" si="81">IF(C1283&lt;18.5,"Under Weight",IF(C1283&lt;25,"Normal Weight",IF(C1283&lt;30,"Over weight","Obesity")))</f>
        <v>Obesity</v>
      </c>
      <c r="K1283" t="str">
        <f t="shared" si="80"/>
        <v>Diabetes</v>
      </c>
      <c r="L1283">
        <v>23</v>
      </c>
      <c r="M1283" t="s">
        <v>2356</v>
      </c>
      <c r="N1283">
        <v>1992</v>
      </c>
      <c r="O1283" s="8">
        <f t="shared" ref="O1283:O1346" si="82">DATE(N1283,MONTH(1&amp;M1283),L1283)</f>
        <v>33808</v>
      </c>
      <c r="P1283" s="10">
        <v>10617.04</v>
      </c>
      <c r="Q1283" t="s">
        <v>2358</v>
      </c>
      <c r="R1283" t="s">
        <v>2358</v>
      </c>
      <c r="S1283" t="s">
        <v>2380</v>
      </c>
      <c r="T1283">
        <f t="shared" ref="T1283:T1346" ca="1" si="83">YEAR(TODAY())-YEAR(O1283)</f>
        <v>34</v>
      </c>
      <c r="U1283">
        <f>VLOOKUP($A1283,'Medical Examination'!$A:$Z,2,FALSE)</f>
        <v>45.32</v>
      </c>
    </row>
    <row r="1284" spans="1:21" ht="15.5" x14ac:dyDescent="0.35">
      <c r="A1284" s="2" t="s">
        <v>1284</v>
      </c>
      <c r="B1284" s="2" t="s">
        <v>2864</v>
      </c>
      <c r="C1284">
        <v>31.93</v>
      </c>
      <c r="D1284">
        <v>4.82</v>
      </c>
      <c r="E1284" t="s">
        <v>2346</v>
      </c>
      <c r="F1284" t="s">
        <v>2344</v>
      </c>
      <c r="G1284" t="s">
        <v>2344</v>
      </c>
      <c r="H1284">
        <v>1</v>
      </c>
      <c r="I1284" t="s">
        <v>2344</v>
      </c>
      <c r="J1284" t="str">
        <f t="shared" si="81"/>
        <v>Obesity</v>
      </c>
      <c r="K1284" t="str">
        <f t="shared" si="80"/>
        <v>Normal</v>
      </c>
      <c r="L1284">
        <v>6</v>
      </c>
      <c r="M1284" t="s">
        <v>2356</v>
      </c>
      <c r="N1284">
        <v>1990</v>
      </c>
      <c r="O1284" s="8">
        <f t="shared" si="82"/>
        <v>33060</v>
      </c>
      <c r="P1284" s="10">
        <v>10620.26</v>
      </c>
      <c r="Q1284" t="s">
        <v>2358</v>
      </c>
      <c r="R1284" t="s">
        <v>2358</v>
      </c>
      <c r="S1284" t="s">
        <v>2364</v>
      </c>
      <c r="T1284">
        <f t="shared" ca="1" si="83"/>
        <v>36</v>
      </c>
      <c r="U1284">
        <f>VLOOKUP($A1284,'Medical Examination'!$A:$Z,2,FALSE)</f>
        <v>31.93</v>
      </c>
    </row>
    <row r="1285" spans="1:21" ht="15.5" x14ac:dyDescent="0.35">
      <c r="A1285" s="2" t="s">
        <v>1285</v>
      </c>
      <c r="B1285" s="2" t="s">
        <v>4265</v>
      </c>
      <c r="C1285">
        <v>36</v>
      </c>
      <c r="D1285">
        <v>11.94</v>
      </c>
      <c r="E1285" t="s">
        <v>2346</v>
      </c>
      <c r="F1285" t="s">
        <v>2344</v>
      </c>
      <c r="G1285" t="s">
        <v>2344</v>
      </c>
      <c r="H1285">
        <v>1</v>
      </c>
      <c r="I1285" t="s">
        <v>2344</v>
      </c>
      <c r="J1285" t="str">
        <f t="shared" si="81"/>
        <v>Obesity</v>
      </c>
      <c r="K1285" t="str">
        <f t="shared" si="80"/>
        <v>Diabetes</v>
      </c>
      <c r="L1285">
        <v>8</v>
      </c>
      <c r="M1285" t="s">
        <v>2366</v>
      </c>
      <c r="N1285">
        <v>1964</v>
      </c>
      <c r="O1285" s="8">
        <f t="shared" si="82"/>
        <v>23597</v>
      </c>
      <c r="P1285" s="10">
        <v>10627.81</v>
      </c>
      <c r="Q1285" t="s">
        <v>2358</v>
      </c>
      <c r="R1285" t="s">
        <v>2358</v>
      </c>
      <c r="S1285" t="s">
        <v>2359</v>
      </c>
      <c r="T1285">
        <f t="shared" ca="1" si="83"/>
        <v>62</v>
      </c>
      <c r="U1285">
        <f>VLOOKUP($A1285,'Medical Examination'!$A:$Z,2,FALSE)</f>
        <v>36</v>
      </c>
    </row>
    <row r="1286" spans="1:21" ht="15.5" x14ac:dyDescent="0.35">
      <c r="A1286" s="2" t="s">
        <v>1286</v>
      </c>
      <c r="B1286" s="2" t="s">
        <v>4267</v>
      </c>
      <c r="C1286">
        <v>32</v>
      </c>
      <c r="D1286">
        <v>7.85</v>
      </c>
      <c r="E1286" t="s">
        <v>2346</v>
      </c>
      <c r="F1286" t="s">
        <v>2344</v>
      </c>
      <c r="G1286" t="s">
        <v>2344</v>
      </c>
      <c r="H1286">
        <v>1</v>
      </c>
      <c r="I1286" t="s">
        <v>2344</v>
      </c>
      <c r="J1286" t="str">
        <f t="shared" si="81"/>
        <v>Obesity</v>
      </c>
      <c r="K1286" t="str">
        <f t="shared" si="80"/>
        <v>Diabetes</v>
      </c>
      <c r="L1286">
        <v>22</v>
      </c>
      <c r="M1286" t="s">
        <v>2360</v>
      </c>
      <c r="N1286">
        <v>1976</v>
      </c>
      <c r="O1286" s="8">
        <f t="shared" si="82"/>
        <v>28086</v>
      </c>
      <c r="P1286" s="10">
        <v>10665.44</v>
      </c>
      <c r="Q1286" t="s">
        <v>2358</v>
      </c>
      <c r="R1286" t="s">
        <v>2357</v>
      </c>
      <c r="S1286" t="s">
        <v>2377</v>
      </c>
      <c r="T1286">
        <f t="shared" ca="1" si="83"/>
        <v>50</v>
      </c>
      <c r="U1286">
        <f>VLOOKUP($A1286,'Medical Examination'!$A:$Z,2,FALSE)</f>
        <v>32</v>
      </c>
    </row>
    <row r="1287" spans="1:21" ht="15.5" x14ac:dyDescent="0.35">
      <c r="A1287" s="2" t="s">
        <v>1287</v>
      </c>
      <c r="B1287" s="2" t="s">
        <v>4268</v>
      </c>
      <c r="C1287">
        <v>29.37</v>
      </c>
      <c r="D1287">
        <v>8.01</v>
      </c>
      <c r="E1287" t="s">
        <v>2346</v>
      </c>
      <c r="F1287" t="s">
        <v>2344</v>
      </c>
      <c r="G1287" t="s">
        <v>2344</v>
      </c>
      <c r="H1287">
        <v>1</v>
      </c>
      <c r="I1287" t="s">
        <v>2344</v>
      </c>
      <c r="J1287" t="str">
        <f t="shared" si="81"/>
        <v>Over weight</v>
      </c>
      <c r="K1287" t="str">
        <f t="shared" si="80"/>
        <v>Diabetes</v>
      </c>
      <c r="L1287">
        <v>7</v>
      </c>
      <c r="M1287" t="s">
        <v>2363</v>
      </c>
      <c r="N1287">
        <v>1962</v>
      </c>
      <c r="O1287" s="8">
        <f t="shared" si="82"/>
        <v>22896</v>
      </c>
      <c r="P1287" s="10">
        <v>10676.83</v>
      </c>
      <c r="Q1287" t="s">
        <v>2358</v>
      </c>
      <c r="R1287" t="s">
        <v>2358</v>
      </c>
      <c r="S1287" t="s">
        <v>2359</v>
      </c>
      <c r="T1287">
        <f t="shared" ca="1" si="83"/>
        <v>64</v>
      </c>
      <c r="U1287">
        <f>VLOOKUP($A1287,'Medical Examination'!$A:$Z,2,FALSE)</f>
        <v>29.37</v>
      </c>
    </row>
    <row r="1288" spans="1:21" ht="15.5" x14ac:dyDescent="0.35">
      <c r="A1288" s="2" t="s">
        <v>1288</v>
      </c>
      <c r="B1288" s="2" t="s">
        <v>2425</v>
      </c>
      <c r="C1288">
        <v>23.6</v>
      </c>
      <c r="D1288">
        <v>7.4</v>
      </c>
      <c r="E1288" t="s">
        <v>2346</v>
      </c>
      <c r="F1288" t="s">
        <v>2344</v>
      </c>
      <c r="G1288" t="s">
        <v>2344</v>
      </c>
      <c r="H1288">
        <v>1</v>
      </c>
      <c r="I1288" t="s">
        <v>2344</v>
      </c>
      <c r="J1288" t="str">
        <f t="shared" si="81"/>
        <v>Normal Weight</v>
      </c>
      <c r="K1288" t="str">
        <f t="shared" si="80"/>
        <v>Diabetes</v>
      </c>
      <c r="L1288">
        <v>2</v>
      </c>
      <c r="M1288" t="s">
        <v>2366</v>
      </c>
      <c r="N1288">
        <v>1977</v>
      </c>
      <c r="O1288" s="8">
        <f t="shared" si="82"/>
        <v>28339</v>
      </c>
      <c r="P1288" s="10">
        <v>10690.11</v>
      </c>
      <c r="Q1288" t="s">
        <v>2358</v>
      </c>
      <c r="R1288" t="s">
        <v>2357</v>
      </c>
      <c r="S1288" t="s">
        <v>2377</v>
      </c>
      <c r="T1288">
        <f t="shared" ca="1" si="83"/>
        <v>49</v>
      </c>
      <c r="U1288">
        <f>VLOOKUP($A1288,'Medical Examination'!$A:$Z,2,FALSE)</f>
        <v>23.6</v>
      </c>
    </row>
    <row r="1289" spans="1:21" ht="15.5" x14ac:dyDescent="0.35">
      <c r="A1289" s="2" t="s">
        <v>1289</v>
      </c>
      <c r="B1289" s="2" t="s">
        <v>4269</v>
      </c>
      <c r="C1289">
        <v>33.155000000000001</v>
      </c>
      <c r="D1289">
        <v>8.3800000000000008</v>
      </c>
      <c r="E1289" t="s">
        <v>2346</v>
      </c>
      <c r="F1289" t="s">
        <v>2344</v>
      </c>
      <c r="G1289" t="s">
        <v>2344</v>
      </c>
      <c r="H1289">
        <v>0</v>
      </c>
      <c r="I1289" t="s">
        <v>2344</v>
      </c>
      <c r="J1289" t="str">
        <f t="shared" si="81"/>
        <v>Obesity</v>
      </c>
      <c r="K1289" t="str">
        <f t="shared" si="80"/>
        <v>Diabetes</v>
      </c>
      <c r="L1289">
        <v>30</v>
      </c>
      <c r="M1289" t="s">
        <v>2363</v>
      </c>
      <c r="N1289">
        <v>1976</v>
      </c>
      <c r="O1289" s="8">
        <f t="shared" si="82"/>
        <v>28033</v>
      </c>
      <c r="P1289" s="10">
        <v>10698.38</v>
      </c>
      <c r="Q1289" t="s">
        <v>2358</v>
      </c>
      <c r="R1289" t="s">
        <v>2361</v>
      </c>
      <c r="S1289" t="s">
        <v>2373</v>
      </c>
      <c r="T1289">
        <f t="shared" ca="1" si="83"/>
        <v>50</v>
      </c>
      <c r="U1289">
        <f>VLOOKUP($A1289,'Medical Examination'!$A:$Z,2,FALSE)</f>
        <v>33.155000000000001</v>
      </c>
    </row>
    <row r="1290" spans="1:21" ht="15.5" x14ac:dyDescent="0.35">
      <c r="A1290" s="2" t="s">
        <v>1290</v>
      </c>
      <c r="B1290" s="2" t="s">
        <v>4270</v>
      </c>
      <c r="C1290">
        <v>24.32</v>
      </c>
      <c r="D1290">
        <v>11.56</v>
      </c>
      <c r="E1290" t="s">
        <v>2346</v>
      </c>
      <c r="F1290" t="s">
        <v>2344</v>
      </c>
      <c r="G1290" t="s">
        <v>2344</v>
      </c>
      <c r="H1290">
        <v>1</v>
      </c>
      <c r="I1290" t="s">
        <v>2344</v>
      </c>
      <c r="J1290" t="str">
        <f t="shared" si="81"/>
        <v>Normal Weight</v>
      </c>
      <c r="K1290" t="str">
        <f t="shared" si="80"/>
        <v>Diabetes</v>
      </c>
      <c r="L1290">
        <v>24</v>
      </c>
      <c r="M1290" t="s">
        <v>2367</v>
      </c>
      <c r="N1290">
        <v>1972</v>
      </c>
      <c r="O1290" s="8">
        <f t="shared" si="82"/>
        <v>26596</v>
      </c>
      <c r="P1290" s="10">
        <v>10702.64</v>
      </c>
      <c r="Q1290" t="s">
        <v>2358</v>
      </c>
      <c r="R1290" t="s">
        <v>2358</v>
      </c>
      <c r="S1290" t="s">
        <v>2359</v>
      </c>
      <c r="T1290">
        <f t="shared" ca="1" si="83"/>
        <v>54</v>
      </c>
      <c r="U1290">
        <f>VLOOKUP($A1290,'Medical Examination'!$A:$Z,2,FALSE)</f>
        <v>24.32</v>
      </c>
    </row>
    <row r="1291" spans="1:21" ht="15.5" x14ac:dyDescent="0.35">
      <c r="A1291" s="2" t="s">
        <v>1291</v>
      </c>
      <c r="B1291" s="2" t="s">
        <v>4272</v>
      </c>
      <c r="C1291">
        <v>36.299999999999997</v>
      </c>
      <c r="D1291">
        <v>4.6100000000000003</v>
      </c>
      <c r="E1291" t="s">
        <v>2344</v>
      </c>
      <c r="F1291" t="s">
        <v>2344</v>
      </c>
      <c r="G1291" t="s">
        <v>2344</v>
      </c>
      <c r="H1291">
        <v>0</v>
      </c>
      <c r="I1291" t="s">
        <v>2344</v>
      </c>
      <c r="J1291" t="str">
        <f t="shared" si="81"/>
        <v>Obesity</v>
      </c>
      <c r="K1291" t="str">
        <f t="shared" si="80"/>
        <v>Normal</v>
      </c>
      <c r="L1291">
        <v>30</v>
      </c>
      <c r="M1291" t="s">
        <v>2356</v>
      </c>
      <c r="N1291">
        <v>1967</v>
      </c>
      <c r="O1291" s="8">
        <f t="shared" si="82"/>
        <v>24683</v>
      </c>
      <c r="P1291" s="10">
        <v>10704.47</v>
      </c>
      <c r="Q1291" t="s">
        <v>2358</v>
      </c>
      <c r="R1291" t="s">
        <v>2357</v>
      </c>
      <c r="S1291" t="s">
        <v>2368</v>
      </c>
      <c r="T1291">
        <f t="shared" ca="1" si="83"/>
        <v>59</v>
      </c>
      <c r="U1291">
        <f>VLOOKUP($A1291,'Medical Examination'!$A:$Z,2,FALSE)</f>
        <v>36.299999999999997</v>
      </c>
    </row>
    <row r="1292" spans="1:21" ht="15.5" x14ac:dyDescent="0.35">
      <c r="A1292" s="2" t="s">
        <v>1292</v>
      </c>
      <c r="B1292" s="2" t="s">
        <v>4273</v>
      </c>
      <c r="C1292">
        <v>34.4</v>
      </c>
      <c r="D1292">
        <v>4.95</v>
      </c>
      <c r="E1292" t="s">
        <v>2344</v>
      </c>
      <c r="F1292" t="s">
        <v>2344</v>
      </c>
      <c r="G1292" t="s">
        <v>2346</v>
      </c>
      <c r="H1292">
        <v>1</v>
      </c>
      <c r="I1292" t="s">
        <v>2344</v>
      </c>
      <c r="J1292" t="str">
        <f t="shared" si="81"/>
        <v>Obesity</v>
      </c>
      <c r="K1292" t="str">
        <f t="shared" ref="K1292:K1355" si="84">IF(D1292&lt;5.7,"Normal",IF(D1292&lt;6.5,"Prediabetes","Diabetes"))</f>
        <v>Normal</v>
      </c>
      <c r="L1292">
        <v>5</v>
      </c>
      <c r="M1292" t="s">
        <v>2367</v>
      </c>
      <c r="N1292">
        <v>1967</v>
      </c>
      <c r="O1292" s="8">
        <f t="shared" si="82"/>
        <v>24750</v>
      </c>
      <c r="P1292" s="10">
        <v>10713.64</v>
      </c>
      <c r="Q1292" t="s">
        <v>2358</v>
      </c>
      <c r="R1292" t="s">
        <v>2358</v>
      </c>
      <c r="S1292" t="s">
        <v>2368</v>
      </c>
      <c r="T1292">
        <f t="shared" ca="1" si="83"/>
        <v>59</v>
      </c>
      <c r="U1292">
        <f>VLOOKUP($A1292,'Medical Examination'!$A:$Z,2,FALSE)</f>
        <v>34.4</v>
      </c>
    </row>
    <row r="1293" spans="1:21" ht="15.5" x14ac:dyDescent="0.35">
      <c r="A1293" s="2" t="s">
        <v>1293</v>
      </c>
      <c r="B1293" s="2" t="s">
        <v>4274</v>
      </c>
      <c r="C1293">
        <v>30.9</v>
      </c>
      <c r="D1293">
        <v>5.04</v>
      </c>
      <c r="E1293" t="s">
        <v>2344</v>
      </c>
      <c r="F1293" t="s">
        <v>2344</v>
      </c>
      <c r="G1293" t="s">
        <v>2344</v>
      </c>
      <c r="H1293">
        <v>0</v>
      </c>
      <c r="I1293" t="s">
        <v>2344</v>
      </c>
      <c r="J1293" t="str">
        <f t="shared" si="81"/>
        <v>Obesity</v>
      </c>
      <c r="K1293" t="str">
        <f t="shared" si="84"/>
        <v>Normal</v>
      </c>
      <c r="L1293">
        <v>25</v>
      </c>
      <c r="M1293" t="s">
        <v>2362</v>
      </c>
      <c r="N1293">
        <v>1992</v>
      </c>
      <c r="O1293" s="8">
        <f t="shared" si="82"/>
        <v>33780</v>
      </c>
      <c r="P1293" s="10">
        <v>10719.57</v>
      </c>
      <c r="Q1293" t="s">
        <v>2358</v>
      </c>
      <c r="R1293" t="s">
        <v>2361</v>
      </c>
      <c r="S1293" t="s">
        <v>2364</v>
      </c>
      <c r="T1293">
        <f t="shared" ca="1" si="83"/>
        <v>34</v>
      </c>
      <c r="U1293">
        <f>VLOOKUP($A1293,'Medical Examination'!$A:$Z,2,FALSE)</f>
        <v>30.9</v>
      </c>
    </row>
    <row r="1294" spans="1:21" ht="15.5" x14ac:dyDescent="0.35">
      <c r="A1294" s="2" t="s">
        <v>1294</v>
      </c>
      <c r="B1294" s="2" t="s">
        <v>4275</v>
      </c>
      <c r="C1294">
        <v>28.6</v>
      </c>
      <c r="D1294">
        <v>5.42</v>
      </c>
      <c r="E1294" t="s">
        <v>2344</v>
      </c>
      <c r="F1294" t="s">
        <v>2344</v>
      </c>
      <c r="G1294" t="s">
        <v>2344</v>
      </c>
      <c r="H1294">
        <v>0</v>
      </c>
      <c r="I1294" t="s">
        <v>2344</v>
      </c>
      <c r="J1294" t="str">
        <f t="shared" si="81"/>
        <v>Over weight</v>
      </c>
      <c r="K1294" t="str">
        <f t="shared" si="84"/>
        <v>Normal</v>
      </c>
      <c r="L1294">
        <v>9</v>
      </c>
      <c r="M1294" t="s">
        <v>2365</v>
      </c>
      <c r="N1294">
        <v>1974</v>
      </c>
      <c r="O1294" s="8">
        <f t="shared" si="82"/>
        <v>27372</v>
      </c>
      <c r="P1294" s="10">
        <v>10736.87</v>
      </c>
      <c r="Q1294" t="s">
        <v>2358</v>
      </c>
      <c r="R1294" t="s">
        <v>2361</v>
      </c>
      <c r="S1294" t="s">
        <v>2371</v>
      </c>
      <c r="T1294">
        <f t="shared" ca="1" si="83"/>
        <v>52</v>
      </c>
      <c r="U1294">
        <f>VLOOKUP($A1294,'Medical Examination'!$A:$Z,2,FALSE)</f>
        <v>28.6</v>
      </c>
    </row>
    <row r="1295" spans="1:21" ht="15.5" x14ac:dyDescent="0.35">
      <c r="A1295" s="2" t="s">
        <v>1295</v>
      </c>
      <c r="B1295" s="2" t="s">
        <v>4276</v>
      </c>
      <c r="C1295">
        <v>27.83</v>
      </c>
      <c r="D1295">
        <v>5.39</v>
      </c>
      <c r="E1295" t="s">
        <v>2344</v>
      </c>
      <c r="F1295" t="s">
        <v>2344</v>
      </c>
      <c r="G1295" t="s">
        <v>2344</v>
      </c>
      <c r="H1295">
        <v>0</v>
      </c>
      <c r="I1295" t="s">
        <v>2344</v>
      </c>
      <c r="J1295" t="str">
        <f t="shared" si="81"/>
        <v>Over weight</v>
      </c>
      <c r="K1295" t="str">
        <f t="shared" si="84"/>
        <v>Normal</v>
      </c>
      <c r="L1295">
        <v>29</v>
      </c>
      <c r="M1295" t="s">
        <v>2366</v>
      </c>
      <c r="N1295">
        <v>1986</v>
      </c>
      <c r="O1295" s="8">
        <f t="shared" si="82"/>
        <v>31653</v>
      </c>
      <c r="P1295" s="10">
        <v>10749.02</v>
      </c>
      <c r="Q1295" t="s">
        <v>2358</v>
      </c>
      <c r="R1295" t="s">
        <v>2361</v>
      </c>
      <c r="S1295" t="s">
        <v>2380</v>
      </c>
      <c r="T1295">
        <f t="shared" ca="1" si="83"/>
        <v>40</v>
      </c>
      <c r="U1295">
        <f>VLOOKUP($A1295,'Medical Examination'!$A:$Z,2,FALSE)</f>
        <v>27.83</v>
      </c>
    </row>
    <row r="1296" spans="1:21" ht="15.5" x14ac:dyDescent="0.35">
      <c r="A1296" s="2" t="s">
        <v>1296</v>
      </c>
      <c r="B1296" s="2" t="s">
        <v>4278</v>
      </c>
      <c r="C1296">
        <v>39.64</v>
      </c>
      <c r="D1296" t="s">
        <v>2346</v>
      </c>
      <c r="E1296" t="s">
        <v>2344</v>
      </c>
      <c r="F1296" t="s">
        <v>2344</v>
      </c>
      <c r="G1296" t="s">
        <v>2346</v>
      </c>
      <c r="H1296">
        <v>1</v>
      </c>
      <c r="I1296" t="s">
        <v>2344</v>
      </c>
      <c r="J1296" t="str">
        <f t="shared" si="81"/>
        <v>Obesity</v>
      </c>
      <c r="K1296" t="str">
        <f t="shared" si="84"/>
        <v>Diabetes</v>
      </c>
      <c r="L1296">
        <v>25</v>
      </c>
      <c r="M1296" t="s">
        <v>2360</v>
      </c>
      <c r="N1296">
        <v>1989</v>
      </c>
      <c r="O1296" s="8">
        <f t="shared" si="82"/>
        <v>32837</v>
      </c>
      <c r="P1296" s="10">
        <v>10769.75</v>
      </c>
      <c r="Q1296" t="s">
        <v>2358</v>
      </c>
      <c r="R1296" t="s">
        <v>2357</v>
      </c>
      <c r="S1296" t="s">
        <v>2381</v>
      </c>
      <c r="T1296">
        <f t="shared" ca="1" si="83"/>
        <v>37</v>
      </c>
      <c r="U1296">
        <f>VLOOKUP($A1296,'Medical Examination'!$A:$Z,2,FALSE)</f>
        <v>39.64</v>
      </c>
    </row>
    <row r="1297" spans="1:21" ht="15.5" x14ac:dyDescent="0.35">
      <c r="A1297" s="2" t="s">
        <v>1297</v>
      </c>
      <c r="B1297" s="2" t="s">
        <v>4280</v>
      </c>
      <c r="C1297">
        <v>38.479999999999997</v>
      </c>
      <c r="D1297">
        <v>6.02</v>
      </c>
      <c r="E1297" t="s">
        <v>2344</v>
      </c>
      <c r="F1297" t="s">
        <v>2344</v>
      </c>
      <c r="G1297" t="s">
        <v>2344</v>
      </c>
      <c r="H1297">
        <v>1</v>
      </c>
      <c r="I1297" t="s">
        <v>2344</v>
      </c>
      <c r="J1297" t="str">
        <f t="shared" si="81"/>
        <v>Obesity</v>
      </c>
      <c r="K1297" t="str">
        <f t="shared" si="84"/>
        <v>Prediabetes</v>
      </c>
      <c r="L1297">
        <v>11</v>
      </c>
      <c r="M1297" t="s">
        <v>2360</v>
      </c>
      <c r="N1297">
        <v>1967</v>
      </c>
      <c r="O1297" s="8">
        <f t="shared" si="82"/>
        <v>24787</v>
      </c>
      <c r="P1297" s="10">
        <v>10791.96</v>
      </c>
      <c r="Q1297" t="s">
        <v>2358</v>
      </c>
      <c r="R1297" t="s">
        <v>2357</v>
      </c>
      <c r="S1297" t="s">
        <v>2368</v>
      </c>
      <c r="T1297">
        <f t="shared" ca="1" si="83"/>
        <v>59</v>
      </c>
      <c r="U1297">
        <f>VLOOKUP($A1297,'Medical Examination'!$A:$Z,2,FALSE)</f>
        <v>38.479999999999997</v>
      </c>
    </row>
    <row r="1298" spans="1:21" ht="15.5" x14ac:dyDescent="0.35">
      <c r="A1298" s="2" t="s">
        <v>1298</v>
      </c>
      <c r="B1298" s="2" t="s">
        <v>4281</v>
      </c>
      <c r="C1298">
        <v>36.200000000000003</v>
      </c>
      <c r="D1298">
        <v>4.62</v>
      </c>
      <c r="E1298" t="s">
        <v>2344</v>
      </c>
      <c r="F1298" t="s">
        <v>2344</v>
      </c>
      <c r="G1298" t="s">
        <v>2344</v>
      </c>
      <c r="H1298">
        <v>1</v>
      </c>
      <c r="I1298" t="s">
        <v>2344</v>
      </c>
      <c r="J1298" t="str">
        <f t="shared" si="81"/>
        <v>Obesity</v>
      </c>
      <c r="K1298" t="str">
        <f t="shared" si="84"/>
        <v>Normal</v>
      </c>
      <c r="L1298">
        <v>24</v>
      </c>
      <c r="M1298" t="s">
        <v>2365</v>
      </c>
      <c r="N1298">
        <v>1999</v>
      </c>
      <c r="O1298" s="8">
        <f t="shared" si="82"/>
        <v>36518</v>
      </c>
      <c r="P1298" s="10">
        <v>10795.94</v>
      </c>
      <c r="Q1298" t="s">
        <v>2358</v>
      </c>
      <c r="R1298" t="s">
        <v>2361</v>
      </c>
      <c r="S1298" t="s">
        <v>2368</v>
      </c>
      <c r="T1298">
        <f t="shared" ca="1" si="83"/>
        <v>27</v>
      </c>
      <c r="U1298">
        <f>VLOOKUP($A1298,'Medical Examination'!$A:$Z,2,FALSE)</f>
        <v>36.200000000000003</v>
      </c>
    </row>
    <row r="1299" spans="1:21" ht="15.5" x14ac:dyDescent="0.35">
      <c r="A1299" s="2" t="s">
        <v>1299</v>
      </c>
      <c r="B1299" s="2" t="s">
        <v>3444</v>
      </c>
      <c r="C1299">
        <v>27.13</v>
      </c>
      <c r="D1299">
        <v>5.59</v>
      </c>
      <c r="E1299" t="s">
        <v>2344</v>
      </c>
      <c r="F1299" t="s">
        <v>2344</v>
      </c>
      <c r="G1299" t="s">
        <v>2344</v>
      </c>
      <c r="H1299">
        <v>1</v>
      </c>
      <c r="I1299" t="s">
        <v>2344</v>
      </c>
      <c r="J1299" t="str">
        <f t="shared" si="81"/>
        <v>Over weight</v>
      </c>
      <c r="K1299" t="str">
        <f t="shared" si="84"/>
        <v>Normal</v>
      </c>
      <c r="L1299">
        <v>23</v>
      </c>
      <c r="M1299" t="s">
        <v>2367</v>
      </c>
      <c r="N1299">
        <v>1967</v>
      </c>
      <c r="O1299" s="8">
        <f t="shared" si="82"/>
        <v>24768</v>
      </c>
      <c r="P1299" s="10">
        <v>10796.35</v>
      </c>
      <c r="Q1299" t="s">
        <v>2358</v>
      </c>
      <c r="R1299" t="s">
        <v>2361</v>
      </c>
      <c r="S1299" t="s">
        <v>2370</v>
      </c>
      <c r="T1299">
        <f t="shared" ca="1" si="83"/>
        <v>59</v>
      </c>
      <c r="U1299">
        <f>VLOOKUP($A1299,'Medical Examination'!$A:$Z,2,FALSE)</f>
        <v>27.13</v>
      </c>
    </row>
    <row r="1300" spans="1:21" ht="15.5" x14ac:dyDescent="0.35">
      <c r="A1300" s="2" t="s">
        <v>1300</v>
      </c>
      <c r="B1300" s="2" t="s">
        <v>4028</v>
      </c>
      <c r="C1300">
        <v>20.75</v>
      </c>
      <c r="D1300">
        <v>5.18</v>
      </c>
      <c r="E1300" t="s">
        <v>2346</v>
      </c>
      <c r="F1300" t="s">
        <v>2344</v>
      </c>
      <c r="G1300" t="s">
        <v>2344</v>
      </c>
      <c r="H1300">
        <v>1</v>
      </c>
      <c r="I1300" t="s">
        <v>2344</v>
      </c>
      <c r="J1300" t="str">
        <f t="shared" si="81"/>
        <v>Normal Weight</v>
      </c>
      <c r="K1300" t="str">
        <f t="shared" si="84"/>
        <v>Normal</v>
      </c>
      <c r="L1300">
        <v>28</v>
      </c>
      <c r="M1300" t="s">
        <v>2367</v>
      </c>
      <c r="N1300">
        <v>1970</v>
      </c>
      <c r="O1300" s="8">
        <f t="shared" si="82"/>
        <v>25869</v>
      </c>
      <c r="P1300" s="10">
        <v>10797.34</v>
      </c>
      <c r="Q1300" t="s">
        <v>2358</v>
      </c>
      <c r="R1300" t="s">
        <v>2357</v>
      </c>
      <c r="S1300" t="s">
        <v>2375</v>
      </c>
      <c r="T1300">
        <f t="shared" ca="1" si="83"/>
        <v>56</v>
      </c>
      <c r="U1300">
        <f>VLOOKUP($A1300,'Medical Examination'!$A:$Z,2,FALSE)</f>
        <v>20.75</v>
      </c>
    </row>
    <row r="1301" spans="1:21" ht="15.5" x14ac:dyDescent="0.35">
      <c r="A1301" s="2" t="s">
        <v>1301</v>
      </c>
      <c r="B1301" s="2" t="s">
        <v>4283</v>
      </c>
      <c r="C1301">
        <v>26.6</v>
      </c>
      <c r="D1301">
        <v>6.29</v>
      </c>
      <c r="E1301" t="s">
        <v>2344</v>
      </c>
      <c r="F1301" t="s">
        <v>2344</v>
      </c>
      <c r="G1301" t="s">
        <v>2344</v>
      </c>
      <c r="H1301">
        <v>1</v>
      </c>
      <c r="I1301" t="s">
        <v>2344</v>
      </c>
      <c r="J1301" t="str">
        <f t="shared" si="81"/>
        <v>Over weight</v>
      </c>
      <c r="K1301" t="str">
        <f t="shared" si="84"/>
        <v>Prediabetes</v>
      </c>
      <c r="L1301">
        <v>18</v>
      </c>
      <c r="M1301" t="s">
        <v>2365</v>
      </c>
      <c r="N1301">
        <v>1970</v>
      </c>
      <c r="O1301" s="8">
        <f t="shared" si="82"/>
        <v>25920</v>
      </c>
      <c r="P1301" s="10">
        <v>10806.84</v>
      </c>
      <c r="Q1301" t="s">
        <v>2358</v>
      </c>
      <c r="R1301" t="s">
        <v>2357</v>
      </c>
      <c r="S1301" t="s">
        <v>2368</v>
      </c>
      <c r="T1301">
        <f t="shared" ca="1" si="83"/>
        <v>56</v>
      </c>
      <c r="U1301">
        <f>VLOOKUP($A1301,'Medical Examination'!$A:$Z,2,FALSE)</f>
        <v>26.6</v>
      </c>
    </row>
    <row r="1302" spans="1:21" ht="15.5" x14ac:dyDescent="0.35">
      <c r="A1302" s="2" t="s">
        <v>1302</v>
      </c>
      <c r="B1302" s="2" t="s">
        <v>4284</v>
      </c>
      <c r="C1302">
        <v>25.3</v>
      </c>
      <c r="D1302">
        <v>4.49</v>
      </c>
      <c r="E1302" t="s">
        <v>2344</v>
      </c>
      <c r="F1302" t="s">
        <v>2344</v>
      </c>
      <c r="G1302" t="s">
        <v>2344</v>
      </c>
      <c r="H1302">
        <v>1</v>
      </c>
      <c r="I1302" t="s">
        <v>2344</v>
      </c>
      <c r="J1302" t="str">
        <f t="shared" si="81"/>
        <v>Over weight</v>
      </c>
      <c r="K1302" t="str">
        <f t="shared" si="84"/>
        <v>Normal</v>
      </c>
      <c r="L1302">
        <v>2</v>
      </c>
      <c r="M1302" t="s">
        <v>2367</v>
      </c>
      <c r="N1302">
        <v>1967</v>
      </c>
      <c r="O1302" s="8">
        <f t="shared" si="82"/>
        <v>24747</v>
      </c>
      <c r="P1302" s="10">
        <v>10807.49</v>
      </c>
      <c r="Q1302" t="s">
        <v>2358</v>
      </c>
      <c r="R1302" t="s">
        <v>2357</v>
      </c>
      <c r="S1302" t="s">
        <v>2359</v>
      </c>
      <c r="T1302">
        <f t="shared" ca="1" si="83"/>
        <v>59</v>
      </c>
      <c r="U1302">
        <f>VLOOKUP($A1302,'Medical Examination'!$A:$Z,2,FALSE)</f>
        <v>25.3</v>
      </c>
    </row>
    <row r="1303" spans="1:21" ht="15.5" x14ac:dyDescent="0.35">
      <c r="A1303" s="2" t="s">
        <v>1303</v>
      </c>
      <c r="B1303" s="2" t="s">
        <v>4286</v>
      </c>
      <c r="C1303">
        <v>18.84</v>
      </c>
      <c r="D1303">
        <v>11.82</v>
      </c>
      <c r="E1303" t="s">
        <v>2346</v>
      </c>
      <c r="F1303" t="s">
        <v>2344</v>
      </c>
      <c r="G1303" t="s">
        <v>2346</v>
      </c>
      <c r="H1303">
        <v>1</v>
      </c>
      <c r="I1303" t="s">
        <v>2344</v>
      </c>
      <c r="J1303" t="str">
        <f t="shared" si="81"/>
        <v>Normal Weight</v>
      </c>
      <c r="K1303" t="str">
        <f t="shared" si="84"/>
        <v>Diabetes</v>
      </c>
      <c r="L1303">
        <v>28</v>
      </c>
      <c r="M1303" t="s">
        <v>2356</v>
      </c>
      <c r="N1303">
        <v>1968</v>
      </c>
      <c r="O1303" s="8">
        <f t="shared" si="82"/>
        <v>25047</v>
      </c>
      <c r="P1303" s="10">
        <v>10825.25</v>
      </c>
      <c r="Q1303" t="s">
        <v>2358</v>
      </c>
      <c r="R1303" t="s">
        <v>2358</v>
      </c>
      <c r="S1303" t="s">
        <v>2364</v>
      </c>
      <c r="T1303">
        <f t="shared" ca="1" si="83"/>
        <v>58</v>
      </c>
      <c r="U1303">
        <f>VLOOKUP($A1303,'Medical Examination'!$A:$Z,2,FALSE)</f>
        <v>18.84</v>
      </c>
    </row>
    <row r="1304" spans="1:21" ht="15.5" x14ac:dyDescent="0.35">
      <c r="A1304" s="2" t="s">
        <v>1304</v>
      </c>
      <c r="B1304" s="2" t="s">
        <v>4287</v>
      </c>
      <c r="C1304">
        <v>19.57</v>
      </c>
      <c r="D1304">
        <v>7.41</v>
      </c>
      <c r="E1304" t="s">
        <v>2346</v>
      </c>
      <c r="F1304" t="s">
        <v>2344</v>
      </c>
      <c r="G1304" t="s">
        <v>2344</v>
      </c>
      <c r="H1304">
        <v>1</v>
      </c>
      <c r="I1304" t="s">
        <v>2344</v>
      </c>
      <c r="J1304" t="str">
        <f t="shared" si="81"/>
        <v>Normal Weight</v>
      </c>
      <c r="K1304" t="str">
        <f t="shared" si="84"/>
        <v>Diabetes</v>
      </c>
      <c r="L1304">
        <v>20</v>
      </c>
      <c r="M1304" t="s">
        <v>2365</v>
      </c>
      <c r="N1304">
        <v>1971</v>
      </c>
      <c r="O1304" s="8">
        <f t="shared" si="82"/>
        <v>26287</v>
      </c>
      <c r="P1304" s="10">
        <v>10848.13</v>
      </c>
      <c r="Q1304" t="s">
        <v>2358</v>
      </c>
      <c r="R1304" t="s">
        <v>2358</v>
      </c>
      <c r="S1304" t="s">
        <v>2364</v>
      </c>
      <c r="T1304">
        <f t="shared" ca="1" si="83"/>
        <v>55</v>
      </c>
      <c r="U1304">
        <f>VLOOKUP($A1304,'Medical Examination'!$A:$Z,2,FALSE)</f>
        <v>19.57</v>
      </c>
    </row>
    <row r="1305" spans="1:21" ht="15.5" x14ac:dyDescent="0.35">
      <c r="A1305" s="2" t="s">
        <v>1305</v>
      </c>
      <c r="B1305" s="2" t="s">
        <v>4289</v>
      </c>
      <c r="C1305">
        <v>30.495000000000001</v>
      </c>
      <c r="D1305">
        <v>5.97</v>
      </c>
      <c r="E1305" t="s">
        <v>2344</v>
      </c>
      <c r="F1305" t="s">
        <v>2344</v>
      </c>
      <c r="G1305" t="s">
        <v>2344</v>
      </c>
      <c r="H1305">
        <v>0</v>
      </c>
      <c r="I1305" t="s">
        <v>2344</v>
      </c>
      <c r="J1305" t="str">
        <f t="shared" si="81"/>
        <v>Obesity</v>
      </c>
      <c r="K1305" t="str">
        <f t="shared" si="84"/>
        <v>Prediabetes</v>
      </c>
      <c r="L1305">
        <v>6</v>
      </c>
      <c r="M1305" t="s">
        <v>2363</v>
      </c>
      <c r="N1305">
        <v>1994</v>
      </c>
      <c r="O1305" s="8">
        <f t="shared" si="82"/>
        <v>34583</v>
      </c>
      <c r="P1305" s="10">
        <v>10886.66</v>
      </c>
      <c r="Q1305" t="s">
        <v>2358</v>
      </c>
      <c r="R1305" t="s">
        <v>2358</v>
      </c>
      <c r="S1305" t="s">
        <v>2364</v>
      </c>
      <c r="T1305">
        <f t="shared" ca="1" si="83"/>
        <v>32</v>
      </c>
      <c r="U1305">
        <f>VLOOKUP($A1305,'Medical Examination'!$A:$Z,2,FALSE)</f>
        <v>30.495000000000001</v>
      </c>
    </row>
    <row r="1306" spans="1:21" ht="15.5" x14ac:dyDescent="0.35">
      <c r="A1306" s="2" t="s">
        <v>1306</v>
      </c>
      <c r="B1306" s="2" t="s">
        <v>4290</v>
      </c>
      <c r="C1306">
        <v>30.114999999999998</v>
      </c>
      <c r="D1306">
        <v>5.74</v>
      </c>
      <c r="E1306" t="s">
        <v>2344</v>
      </c>
      <c r="F1306" t="s">
        <v>2344</v>
      </c>
      <c r="G1306" t="s">
        <v>2346</v>
      </c>
      <c r="H1306">
        <v>1</v>
      </c>
      <c r="I1306" t="s">
        <v>2344</v>
      </c>
      <c r="J1306" t="str">
        <f t="shared" si="81"/>
        <v>Obesity</v>
      </c>
      <c r="K1306" t="str">
        <f t="shared" si="84"/>
        <v>Prediabetes</v>
      </c>
      <c r="L1306">
        <v>13</v>
      </c>
      <c r="M1306" t="s">
        <v>2360</v>
      </c>
      <c r="N1306">
        <v>1968</v>
      </c>
      <c r="O1306" s="8">
        <f t="shared" si="82"/>
        <v>25155</v>
      </c>
      <c r="P1306" s="10">
        <v>10923.93</v>
      </c>
      <c r="Q1306" t="s">
        <v>2358</v>
      </c>
      <c r="R1306" t="s">
        <v>2361</v>
      </c>
      <c r="S1306" t="s">
        <v>2374</v>
      </c>
      <c r="T1306">
        <f t="shared" ca="1" si="83"/>
        <v>58</v>
      </c>
      <c r="U1306">
        <f>VLOOKUP($A1306,'Medical Examination'!$A:$Z,2,FALSE)</f>
        <v>30.114999999999998</v>
      </c>
    </row>
    <row r="1307" spans="1:21" ht="15.5" x14ac:dyDescent="0.35">
      <c r="A1307" s="2" t="s">
        <v>1307</v>
      </c>
      <c r="B1307" s="2" t="s">
        <v>4291</v>
      </c>
      <c r="C1307">
        <v>24.78</v>
      </c>
      <c r="D1307">
        <v>9.85</v>
      </c>
      <c r="E1307" t="s">
        <v>2344</v>
      </c>
      <c r="F1307" t="s">
        <v>2344</v>
      </c>
      <c r="G1307" t="s">
        <v>2344</v>
      </c>
      <c r="H1307">
        <v>0</v>
      </c>
      <c r="I1307" t="s">
        <v>2344</v>
      </c>
      <c r="J1307" t="str">
        <f t="shared" si="81"/>
        <v>Normal Weight</v>
      </c>
      <c r="K1307" t="str">
        <f t="shared" si="84"/>
        <v>Diabetes</v>
      </c>
      <c r="L1307">
        <v>12</v>
      </c>
      <c r="M1307" t="s">
        <v>2360</v>
      </c>
      <c r="N1307">
        <v>1968</v>
      </c>
      <c r="O1307" s="8">
        <f t="shared" si="82"/>
        <v>25154</v>
      </c>
      <c r="P1307" s="10">
        <v>10928.85</v>
      </c>
      <c r="Q1307" t="s">
        <v>2358</v>
      </c>
      <c r="R1307" t="s">
        <v>2358</v>
      </c>
      <c r="S1307" t="s">
        <v>2359</v>
      </c>
      <c r="T1307">
        <f t="shared" ca="1" si="83"/>
        <v>58</v>
      </c>
      <c r="U1307">
        <f>VLOOKUP($A1307,'Medical Examination'!$A:$Z,2,FALSE)</f>
        <v>24.78</v>
      </c>
    </row>
    <row r="1308" spans="1:21" ht="15.5" x14ac:dyDescent="0.35">
      <c r="A1308" s="2" t="s">
        <v>1308</v>
      </c>
      <c r="B1308" s="2" t="s">
        <v>4293</v>
      </c>
      <c r="C1308">
        <v>24.77</v>
      </c>
      <c r="D1308">
        <v>7.59</v>
      </c>
      <c r="E1308" t="s">
        <v>2344</v>
      </c>
      <c r="F1308" t="s">
        <v>2344</v>
      </c>
      <c r="G1308" t="s">
        <v>2344</v>
      </c>
      <c r="H1308">
        <v>0</v>
      </c>
      <c r="I1308" t="s">
        <v>2344</v>
      </c>
      <c r="J1308" t="str">
        <f t="shared" si="81"/>
        <v>Normal Weight</v>
      </c>
      <c r="K1308" t="str">
        <f t="shared" si="84"/>
        <v>Diabetes</v>
      </c>
      <c r="L1308">
        <v>10</v>
      </c>
      <c r="M1308" t="s">
        <v>2360</v>
      </c>
      <c r="N1308">
        <v>1969</v>
      </c>
      <c r="O1308" s="8">
        <f t="shared" si="82"/>
        <v>25517</v>
      </c>
      <c r="P1308" s="10">
        <v>10942.13</v>
      </c>
      <c r="Q1308" t="s">
        <v>2358</v>
      </c>
      <c r="R1308" t="s">
        <v>2358</v>
      </c>
      <c r="S1308" t="s">
        <v>2364</v>
      </c>
      <c r="T1308">
        <f t="shared" ca="1" si="83"/>
        <v>57</v>
      </c>
      <c r="U1308">
        <f>VLOOKUP($A1308,'Medical Examination'!$A:$Z,2,FALSE)</f>
        <v>24.77</v>
      </c>
    </row>
    <row r="1309" spans="1:21" ht="15.5" x14ac:dyDescent="0.35">
      <c r="A1309" s="2" t="s">
        <v>1309</v>
      </c>
      <c r="B1309" s="2" t="s">
        <v>4295</v>
      </c>
      <c r="C1309">
        <v>16.579999999999998</v>
      </c>
      <c r="D1309">
        <v>6.98</v>
      </c>
      <c r="E1309" t="s">
        <v>2346</v>
      </c>
      <c r="F1309" t="s">
        <v>2344</v>
      </c>
      <c r="G1309" t="s">
        <v>2346</v>
      </c>
      <c r="H1309">
        <v>1</v>
      </c>
      <c r="I1309" t="s">
        <v>2344</v>
      </c>
      <c r="J1309" t="str">
        <f t="shared" si="81"/>
        <v>Under Weight</v>
      </c>
      <c r="K1309" t="str">
        <f t="shared" si="84"/>
        <v>Diabetes</v>
      </c>
      <c r="L1309">
        <v>4</v>
      </c>
      <c r="M1309" t="s">
        <v>2365</v>
      </c>
      <c r="N1309">
        <v>1965</v>
      </c>
      <c r="O1309" s="8">
        <f t="shared" si="82"/>
        <v>24080</v>
      </c>
      <c r="P1309" s="10">
        <v>10959.33</v>
      </c>
      <c r="Q1309" t="s">
        <v>2358</v>
      </c>
      <c r="R1309" t="s">
        <v>2358</v>
      </c>
      <c r="S1309" t="s">
        <v>2368</v>
      </c>
      <c r="T1309">
        <f t="shared" ca="1" si="83"/>
        <v>61</v>
      </c>
      <c r="U1309">
        <f>VLOOKUP($A1309,'Medical Examination'!$A:$Z,2,FALSE)</f>
        <v>16.579999999999998</v>
      </c>
    </row>
    <row r="1310" spans="1:21" ht="15.5" x14ac:dyDescent="0.35">
      <c r="A1310" s="2" t="s">
        <v>1310</v>
      </c>
      <c r="B1310" s="2" t="s">
        <v>2983</v>
      </c>
      <c r="C1310">
        <v>38.17</v>
      </c>
      <c r="D1310">
        <v>4.7300000000000004</v>
      </c>
      <c r="E1310" t="s">
        <v>2346</v>
      </c>
      <c r="F1310" t="s">
        <v>2344</v>
      </c>
      <c r="G1310" t="s">
        <v>2344</v>
      </c>
      <c r="H1310">
        <v>0</v>
      </c>
      <c r="I1310" t="s">
        <v>2344</v>
      </c>
      <c r="J1310" t="str">
        <f t="shared" si="81"/>
        <v>Obesity</v>
      </c>
      <c r="K1310" t="str">
        <f t="shared" si="84"/>
        <v>Normal</v>
      </c>
      <c r="L1310">
        <v>14</v>
      </c>
      <c r="M1310" t="s">
        <v>2366</v>
      </c>
      <c r="N1310">
        <v>1969</v>
      </c>
      <c r="O1310" s="8">
        <f t="shared" si="82"/>
        <v>25429</v>
      </c>
      <c r="P1310" s="10">
        <v>10959.69</v>
      </c>
      <c r="Q1310" t="s">
        <v>2358</v>
      </c>
      <c r="R1310" t="s">
        <v>2358</v>
      </c>
      <c r="S1310" t="s">
        <v>2364</v>
      </c>
      <c r="T1310">
        <f t="shared" ca="1" si="83"/>
        <v>57</v>
      </c>
      <c r="U1310">
        <f>VLOOKUP($A1310,'Medical Examination'!$A:$Z,2,FALSE)</f>
        <v>38.17</v>
      </c>
    </row>
    <row r="1311" spans="1:21" ht="15.5" x14ac:dyDescent="0.35">
      <c r="A1311" s="2" t="s">
        <v>1311</v>
      </c>
      <c r="B1311" s="2" t="s">
        <v>4296</v>
      </c>
      <c r="C1311">
        <v>39.424999999999997</v>
      </c>
      <c r="D1311">
        <v>4.76</v>
      </c>
      <c r="E1311" t="s">
        <v>2346</v>
      </c>
      <c r="F1311" t="s">
        <v>2344</v>
      </c>
      <c r="G1311" t="s">
        <v>2344</v>
      </c>
      <c r="H1311">
        <v>0</v>
      </c>
      <c r="I1311" t="s">
        <v>2344</v>
      </c>
      <c r="J1311" t="str">
        <f t="shared" si="81"/>
        <v>Obesity</v>
      </c>
      <c r="K1311" t="str">
        <f t="shared" si="84"/>
        <v>Normal</v>
      </c>
      <c r="L1311">
        <v>19</v>
      </c>
      <c r="M1311" t="s">
        <v>2362</v>
      </c>
      <c r="N1311">
        <v>1965</v>
      </c>
      <c r="O1311" s="8">
        <f t="shared" si="82"/>
        <v>23912</v>
      </c>
      <c r="P1311" s="10">
        <v>10965.45</v>
      </c>
      <c r="Q1311" t="s">
        <v>2358</v>
      </c>
      <c r="R1311" t="s">
        <v>2357</v>
      </c>
      <c r="S1311" t="s">
        <v>2368</v>
      </c>
      <c r="T1311">
        <f t="shared" ca="1" si="83"/>
        <v>61</v>
      </c>
      <c r="U1311">
        <f>VLOOKUP($A1311,'Medical Examination'!$A:$Z,2,FALSE)</f>
        <v>39.424999999999997</v>
      </c>
    </row>
    <row r="1312" spans="1:21" ht="15.5" x14ac:dyDescent="0.35">
      <c r="A1312" s="2" t="s">
        <v>1312</v>
      </c>
      <c r="B1312" s="2" t="s">
        <v>4298</v>
      </c>
      <c r="C1312">
        <v>33.44</v>
      </c>
      <c r="D1312">
        <v>6.24</v>
      </c>
      <c r="E1312" t="s">
        <v>2346</v>
      </c>
      <c r="F1312" t="s">
        <v>2344</v>
      </c>
      <c r="G1312" t="s">
        <v>2344</v>
      </c>
      <c r="H1312">
        <v>0</v>
      </c>
      <c r="I1312" t="s">
        <v>2344</v>
      </c>
      <c r="J1312" t="str">
        <f t="shared" si="81"/>
        <v>Obesity</v>
      </c>
      <c r="K1312" t="str">
        <f t="shared" si="84"/>
        <v>Prediabetes</v>
      </c>
      <c r="L1312">
        <v>9</v>
      </c>
      <c r="M1312" t="s">
        <v>2356</v>
      </c>
      <c r="N1312">
        <v>1966</v>
      </c>
      <c r="O1312" s="8">
        <f t="shared" si="82"/>
        <v>24297</v>
      </c>
      <c r="P1312" s="10">
        <v>10976.25</v>
      </c>
      <c r="Q1312" t="s">
        <v>2358</v>
      </c>
      <c r="R1312" t="s">
        <v>2357</v>
      </c>
      <c r="S1312" t="s">
        <v>2364</v>
      </c>
      <c r="T1312">
        <f t="shared" ca="1" si="83"/>
        <v>60</v>
      </c>
      <c r="U1312">
        <f>VLOOKUP($A1312,'Medical Examination'!$A:$Z,2,FALSE)</f>
        <v>33.44</v>
      </c>
    </row>
    <row r="1313" spans="1:21" ht="15.5" x14ac:dyDescent="0.35">
      <c r="A1313" s="2" t="s">
        <v>1313</v>
      </c>
      <c r="B1313" s="2" t="s">
        <v>4299</v>
      </c>
      <c r="C1313">
        <v>33.344999999999999</v>
      </c>
      <c r="D1313">
        <v>5.44</v>
      </c>
      <c r="E1313" t="s">
        <v>2346</v>
      </c>
      <c r="F1313" t="s">
        <v>2344</v>
      </c>
      <c r="G1313" t="s">
        <v>2344</v>
      </c>
      <c r="H1313">
        <v>0</v>
      </c>
      <c r="I1313" t="s">
        <v>2344</v>
      </c>
      <c r="J1313" t="str">
        <f t="shared" si="81"/>
        <v>Obesity</v>
      </c>
      <c r="K1313" t="str">
        <f t="shared" si="84"/>
        <v>Normal</v>
      </c>
      <c r="L1313">
        <v>21</v>
      </c>
      <c r="M1313" t="s">
        <v>2367</v>
      </c>
      <c r="N1313">
        <v>1973</v>
      </c>
      <c r="O1313" s="8">
        <f t="shared" si="82"/>
        <v>26958</v>
      </c>
      <c r="P1313" s="10">
        <v>10977.21</v>
      </c>
      <c r="Q1313" t="s">
        <v>2358</v>
      </c>
      <c r="R1313" t="s">
        <v>2361</v>
      </c>
      <c r="S1313" t="s">
        <v>2359</v>
      </c>
      <c r="T1313">
        <f t="shared" ca="1" si="83"/>
        <v>53</v>
      </c>
      <c r="U1313">
        <f>VLOOKUP($A1313,'Medical Examination'!$A:$Z,2,FALSE)</f>
        <v>33.344999999999999</v>
      </c>
    </row>
    <row r="1314" spans="1:21" ht="15.5" x14ac:dyDescent="0.35">
      <c r="A1314" s="2" t="s">
        <v>1314</v>
      </c>
      <c r="B1314" s="2" t="s">
        <v>4300</v>
      </c>
      <c r="C1314">
        <v>38.79</v>
      </c>
      <c r="D1314">
        <v>5.08</v>
      </c>
      <c r="E1314" t="s">
        <v>2344</v>
      </c>
      <c r="F1314" t="s">
        <v>2344</v>
      </c>
      <c r="G1314" t="s">
        <v>2346</v>
      </c>
      <c r="H1314">
        <v>1</v>
      </c>
      <c r="I1314" t="s">
        <v>2344</v>
      </c>
      <c r="J1314" t="str">
        <f t="shared" si="81"/>
        <v>Obesity</v>
      </c>
      <c r="K1314" t="str">
        <f t="shared" si="84"/>
        <v>Normal</v>
      </c>
      <c r="L1314">
        <v>18</v>
      </c>
      <c r="M1314" t="s">
        <v>2365</v>
      </c>
      <c r="N1314">
        <v>1965</v>
      </c>
      <c r="O1314" s="8">
        <f t="shared" si="82"/>
        <v>24094</v>
      </c>
      <c r="P1314" s="10">
        <v>10982.5</v>
      </c>
      <c r="Q1314" t="s">
        <v>2358</v>
      </c>
      <c r="R1314" t="s">
        <v>2358</v>
      </c>
      <c r="S1314" t="s">
        <v>2359</v>
      </c>
      <c r="T1314">
        <f t="shared" ca="1" si="83"/>
        <v>61</v>
      </c>
      <c r="U1314">
        <f>VLOOKUP($A1314,'Medical Examination'!$A:$Z,2,FALSE)</f>
        <v>38.79</v>
      </c>
    </row>
    <row r="1315" spans="1:21" ht="15.5" x14ac:dyDescent="0.35">
      <c r="A1315" s="2" t="s">
        <v>1315</v>
      </c>
      <c r="B1315" s="2" t="s">
        <v>4301</v>
      </c>
      <c r="C1315">
        <v>30.684999999999999</v>
      </c>
      <c r="D1315">
        <v>4.87</v>
      </c>
      <c r="E1315" t="s">
        <v>2344</v>
      </c>
      <c r="F1315" t="s">
        <v>2344</v>
      </c>
      <c r="G1315" t="s">
        <v>2346</v>
      </c>
      <c r="H1315">
        <v>1</v>
      </c>
      <c r="I1315" t="s">
        <v>2344</v>
      </c>
      <c r="J1315" t="str">
        <f t="shared" si="81"/>
        <v>Obesity</v>
      </c>
      <c r="K1315" t="str">
        <f t="shared" si="84"/>
        <v>Normal</v>
      </c>
      <c r="L1315">
        <v>17</v>
      </c>
      <c r="M1315" t="s">
        <v>2363</v>
      </c>
      <c r="N1315">
        <v>2000</v>
      </c>
      <c r="O1315" s="8">
        <f t="shared" si="82"/>
        <v>36786</v>
      </c>
      <c r="P1315" s="10">
        <v>10991.58</v>
      </c>
      <c r="Q1315" t="s">
        <v>2358</v>
      </c>
      <c r="R1315" t="s">
        <v>2358</v>
      </c>
      <c r="S1315" t="s">
        <v>2364</v>
      </c>
      <c r="T1315">
        <f t="shared" ca="1" si="83"/>
        <v>26</v>
      </c>
      <c r="U1315">
        <f>VLOOKUP($A1315,'Medical Examination'!$A:$Z,2,FALSE)</f>
        <v>30.684999999999999</v>
      </c>
    </row>
    <row r="1316" spans="1:21" ht="15.5" x14ac:dyDescent="0.35">
      <c r="A1316" s="2" t="s">
        <v>1316</v>
      </c>
      <c r="B1316" s="2" t="s">
        <v>4302</v>
      </c>
      <c r="C1316">
        <v>22.135000000000002</v>
      </c>
      <c r="D1316">
        <v>8.17</v>
      </c>
      <c r="E1316" t="s">
        <v>2344</v>
      </c>
      <c r="F1316" t="s">
        <v>2344</v>
      </c>
      <c r="G1316" t="s">
        <v>2344</v>
      </c>
      <c r="H1316">
        <v>0</v>
      </c>
      <c r="I1316" t="s">
        <v>2344</v>
      </c>
      <c r="J1316" t="str">
        <f t="shared" si="81"/>
        <v>Normal Weight</v>
      </c>
      <c r="K1316" t="str">
        <f t="shared" si="84"/>
        <v>Diabetes</v>
      </c>
      <c r="L1316">
        <v>24</v>
      </c>
      <c r="M1316" t="s">
        <v>2367</v>
      </c>
      <c r="N1316">
        <v>1968</v>
      </c>
      <c r="O1316" s="8">
        <f t="shared" si="82"/>
        <v>25135</v>
      </c>
      <c r="P1316" s="10">
        <v>11013.71</v>
      </c>
      <c r="Q1316" t="s">
        <v>2358</v>
      </c>
      <c r="R1316" t="s">
        <v>2361</v>
      </c>
      <c r="S1316" t="s">
        <v>2359</v>
      </c>
      <c r="T1316">
        <f t="shared" ca="1" si="83"/>
        <v>58</v>
      </c>
      <c r="U1316">
        <f>VLOOKUP($A1316,'Medical Examination'!$A:$Z,2,FALSE)</f>
        <v>22.135000000000002</v>
      </c>
    </row>
    <row r="1317" spans="1:21" ht="15.5" x14ac:dyDescent="0.35">
      <c r="A1317" s="2" t="s">
        <v>1317</v>
      </c>
      <c r="B1317" s="2" t="s">
        <v>4304</v>
      </c>
      <c r="C1317">
        <v>33.33</v>
      </c>
      <c r="D1317">
        <v>7.61</v>
      </c>
      <c r="E1317" t="s">
        <v>2344</v>
      </c>
      <c r="F1317" t="s">
        <v>2344</v>
      </c>
      <c r="G1317" t="s">
        <v>2344</v>
      </c>
      <c r="H1317">
        <v>0</v>
      </c>
      <c r="I1317" t="s">
        <v>2344</v>
      </c>
      <c r="J1317" t="str">
        <f t="shared" si="81"/>
        <v>Obesity</v>
      </c>
      <c r="K1317" t="str">
        <f t="shared" si="84"/>
        <v>Diabetes</v>
      </c>
      <c r="L1317">
        <v>15</v>
      </c>
      <c r="M1317" t="s">
        <v>2365</v>
      </c>
      <c r="N1317">
        <v>1974</v>
      </c>
      <c r="O1317" s="8">
        <f t="shared" si="82"/>
        <v>27378</v>
      </c>
      <c r="P1317" s="10">
        <v>11015.17</v>
      </c>
      <c r="Q1317" t="s">
        <v>2358</v>
      </c>
      <c r="R1317" t="s">
        <v>2361</v>
      </c>
      <c r="S1317" t="s">
        <v>2364</v>
      </c>
      <c r="T1317">
        <f t="shared" ca="1" si="83"/>
        <v>52</v>
      </c>
      <c r="U1317">
        <f>VLOOKUP($A1317,'Medical Examination'!$A:$Z,2,FALSE)</f>
        <v>33.33</v>
      </c>
    </row>
    <row r="1318" spans="1:21" ht="15.5" x14ac:dyDescent="0.35">
      <c r="A1318" s="2" t="s">
        <v>1318</v>
      </c>
      <c r="B1318" s="2" t="s">
        <v>4305</v>
      </c>
      <c r="C1318">
        <v>31.13</v>
      </c>
      <c r="D1318">
        <v>10.1</v>
      </c>
      <c r="E1318" t="s">
        <v>2344</v>
      </c>
      <c r="F1318" t="s">
        <v>2344</v>
      </c>
      <c r="G1318" t="s">
        <v>2344</v>
      </c>
      <c r="H1318">
        <v>0</v>
      </c>
      <c r="I1318" t="s">
        <v>2344</v>
      </c>
      <c r="J1318" t="str">
        <f t="shared" si="81"/>
        <v>Obesity</v>
      </c>
      <c r="K1318" t="str">
        <f t="shared" si="84"/>
        <v>Diabetes</v>
      </c>
      <c r="L1318">
        <v>26</v>
      </c>
      <c r="M1318" t="s">
        <v>2362</v>
      </c>
      <c r="N1318">
        <v>1991</v>
      </c>
      <c r="O1318" s="8">
        <f t="shared" si="82"/>
        <v>33415</v>
      </c>
      <c r="P1318" s="10">
        <v>11018.05</v>
      </c>
      <c r="Q1318" t="s">
        <v>2358</v>
      </c>
      <c r="R1318" t="s">
        <v>2357</v>
      </c>
      <c r="S1318" t="s">
        <v>2364</v>
      </c>
      <c r="T1318">
        <f t="shared" ca="1" si="83"/>
        <v>35</v>
      </c>
      <c r="U1318">
        <f>VLOOKUP($A1318,'Medical Examination'!$A:$Z,2,FALSE)</f>
        <v>31.13</v>
      </c>
    </row>
    <row r="1319" spans="1:21" ht="15.5" x14ac:dyDescent="0.35">
      <c r="A1319" s="2" t="s">
        <v>1319</v>
      </c>
      <c r="B1319" s="2" t="s">
        <v>4307</v>
      </c>
      <c r="C1319">
        <v>28.9</v>
      </c>
      <c r="D1319">
        <v>11.24</v>
      </c>
      <c r="E1319" t="s">
        <v>2344</v>
      </c>
      <c r="F1319" t="s">
        <v>2344</v>
      </c>
      <c r="G1319" t="s">
        <v>2344</v>
      </c>
      <c r="H1319">
        <v>0</v>
      </c>
      <c r="I1319" t="s">
        <v>2344</v>
      </c>
      <c r="J1319" t="str">
        <f t="shared" si="81"/>
        <v>Over weight</v>
      </c>
      <c r="K1319" t="str">
        <f t="shared" si="84"/>
        <v>Diabetes</v>
      </c>
      <c r="L1319">
        <v>21</v>
      </c>
      <c r="M1319" t="s">
        <v>2356</v>
      </c>
      <c r="N1319">
        <v>1996</v>
      </c>
      <c r="O1319" s="8">
        <f t="shared" si="82"/>
        <v>35267</v>
      </c>
      <c r="P1319" s="10">
        <v>11028.56</v>
      </c>
      <c r="Q1319" t="s">
        <v>2358</v>
      </c>
      <c r="R1319" t="s">
        <v>2358</v>
      </c>
      <c r="S1319" t="s">
        <v>2364</v>
      </c>
      <c r="T1319">
        <f t="shared" ca="1" si="83"/>
        <v>30</v>
      </c>
      <c r="U1319">
        <f>VLOOKUP($A1319,'Medical Examination'!$A:$Z,2,FALSE)</f>
        <v>28.9</v>
      </c>
    </row>
    <row r="1320" spans="1:21" ht="15.5" x14ac:dyDescent="0.35">
      <c r="A1320" s="2" t="s">
        <v>1320</v>
      </c>
      <c r="B1320" s="2" t="s">
        <v>4309</v>
      </c>
      <c r="C1320">
        <v>43.31</v>
      </c>
      <c r="D1320">
        <v>6.1</v>
      </c>
      <c r="E1320" t="s">
        <v>2346</v>
      </c>
      <c r="F1320" t="s">
        <v>2345</v>
      </c>
      <c r="G1320" t="s">
        <v>2344</v>
      </c>
      <c r="H1320">
        <v>1</v>
      </c>
      <c r="I1320" t="s">
        <v>2344</v>
      </c>
      <c r="J1320" t="str">
        <f t="shared" si="81"/>
        <v>Obesity</v>
      </c>
      <c r="K1320" t="str">
        <f t="shared" si="84"/>
        <v>Prediabetes</v>
      </c>
      <c r="L1320">
        <v>10</v>
      </c>
      <c r="M1320" t="s">
        <v>2365</v>
      </c>
      <c r="N1320">
        <v>1974</v>
      </c>
      <c r="O1320" s="8">
        <f t="shared" si="82"/>
        <v>27373</v>
      </c>
      <c r="P1320" s="10">
        <v>11033.66</v>
      </c>
      <c r="Q1320" t="s">
        <v>2358</v>
      </c>
      <c r="R1320" t="s">
        <v>2358</v>
      </c>
      <c r="S1320" t="s">
        <v>2364</v>
      </c>
      <c r="T1320">
        <f t="shared" ca="1" si="83"/>
        <v>52</v>
      </c>
      <c r="U1320">
        <f>VLOOKUP($A1320,'Medical Examination'!$A:$Z,2,FALSE)</f>
        <v>43.31</v>
      </c>
    </row>
    <row r="1321" spans="1:21" ht="15.5" x14ac:dyDescent="0.35">
      <c r="A1321" s="2" t="s">
        <v>1321</v>
      </c>
      <c r="B1321" s="2" t="s">
        <v>4310</v>
      </c>
      <c r="C1321">
        <v>22.8</v>
      </c>
      <c r="D1321">
        <v>6.98</v>
      </c>
      <c r="E1321" t="s">
        <v>2344</v>
      </c>
      <c r="F1321" t="s">
        <v>2344</v>
      </c>
      <c r="G1321" t="s">
        <v>2344</v>
      </c>
      <c r="H1321">
        <v>0</v>
      </c>
      <c r="I1321" t="s">
        <v>2344</v>
      </c>
      <c r="J1321" t="str">
        <f t="shared" si="81"/>
        <v>Normal Weight</v>
      </c>
      <c r="K1321" t="str">
        <f t="shared" si="84"/>
        <v>Diabetes</v>
      </c>
      <c r="L1321">
        <v>25</v>
      </c>
      <c r="M1321" t="s">
        <v>2367</v>
      </c>
      <c r="N1321">
        <v>1989</v>
      </c>
      <c r="O1321" s="8">
        <f t="shared" si="82"/>
        <v>32806</v>
      </c>
      <c r="P1321" s="10">
        <v>11037.51</v>
      </c>
      <c r="Q1321" t="s">
        <v>2358</v>
      </c>
      <c r="R1321" t="s">
        <v>2361</v>
      </c>
      <c r="S1321" t="s">
        <v>2364</v>
      </c>
      <c r="T1321">
        <f t="shared" ca="1" si="83"/>
        <v>37</v>
      </c>
      <c r="U1321">
        <f>VLOOKUP($A1321,'Medical Examination'!$A:$Z,2,FALSE)</f>
        <v>22.8</v>
      </c>
    </row>
    <row r="1322" spans="1:21" ht="15.5" x14ac:dyDescent="0.35">
      <c r="A1322" s="2" t="s">
        <v>1322</v>
      </c>
      <c r="B1322" s="2" t="s">
        <v>4311</v>
      </c>
      <c r="C1322">
        <v>19.09</v>
      </c>
      <c r="D1322" t="s">
        <v>2346</v>
      </c>
      <c r="E1322" t="s">
        <v>2346</v>
      </c>
      <c r="F1322" t="s">
        <v>2344</v>
      </c>
      <c r="G1322" t="s">
        <v>2344</v>
      </c>
      <c r="H1322">
        <v>1</v>
      </c>
      <c r="I1322" t="s">
        <v>2344</v>
      </c>
      <c r="J1322" t="str">
        <f t="shared" si="81"/>
        <v>Normal Weight</v>
      </c>
      <c r="K1322" t="str">
        <f t="shared" si="84"/>
        <v>Diabetes</v>
      </c>
      <c r="L1322">
        <v>30</v>
      </c>
      <c r="M1322" t="s">
        <v>2366</v>
      </c>
      <c r="N1322">
        <v>1974</v>
      </c>
      <c r="O1322" s="8">
        <f t="shared" si="82"/>
        <v>27271</v>
      </c>
      <c r="P1322" s="10">
        <v>11037.85</v>
      </c>
      <c r="Q1322" t="s">
        <v>2358</v>
      </c>
      <c r="R1322" t="s">
        <v>2357</v>
      </c>
      <c r="S1322" t="s">
        <v>2373</v>
      </c>
      <c r="T1322">
        <f t="shared" ca="1" si="83"/>
        <v>52</v>
      </c>
      <c r="U1322">
        <f>VLOOKUP($A1322,'Medical Examination'!$A:$Z,2,FALSE)</f>
        <v>19.09</v>
      </c>
    </row>
    <row r="1323" spans="1:21" ht="15.5" x14ac:dyDescent="0.35">
      <c r="A1323" s="2" t="s">
        <v>1323</v>
      </c>
      <c r="B1323" s="2" t="s">
        <v>4312</v>
      </c>
      <c r="C1323">
        <v>23.37</v>
      </c>
      <c r="D1323">
        <v>4.2300000000000004</v>
      </c>
      <c r="E1323" t="s">
        <v>2344</v>
      </c>
      <c r="F1323" t="s">
        <v>2344</v>
      </c>
      <c r="G1323" t="s">
        <v>2344</v>
      </c>
      <c r="H1323">
        <v>0</v>
      </c>
      <c r="I1323" t="s">
        <v>2344</v>
      </c>
      <c r="J1323" t="str">
        <f t="shared" si="81"/>
        <v>Normal Weight</v>
      </c>
      <c r="K1323" t="str">
        <f t="shared" si="84"/>
        <v>Normal</v>
      </c>
      <c r="L1323">
        <v>17</v>
      </c>
      <c r="M1323" t="s">
        <v>2365</v>
      </c>
      <c r="N1323">
        <v>2001</v>
      </c>
      <c r="O1323" s="8">
        <f t="shared" si="82"/>
        <v>37242</v>
      </c>
      <c r="P1323" s="10">
        <v>11046.02</v>
      </c>
      <c r="Q1323" t="s">
        <v>2358</v>
      </c>
      <c r="R1323" t="s">
        <v>2361</v>
      </c>
      <c r="S1323" t="s">
        <v>2380</v>
      </c>
      <c r="T1323">
        <f t="shared" ca="1" si="83"/>
        <v>25</v>
      </c>
      <c r="U1323">
        <f>VLOOKUP($A1323,'Medical Examination'!$A:$Z,2,FALSE)</f>
        <v>23.37</v>
      </c>
    </row>
    <row r="1324" spans="1:21" ht="15.5" x14ac:dyDescent="0.35">
      <c r="A1324" s="2" t="s">
        <v>1324</v>
      </c>
      <c r="B1324" s="2" t="s">
        <v>4314</v>
      </c>
      <c r="C1324">
        <v>33.44</v>
      </c>
      <c r="D1324">
        <v>4.72</v>
      </c>
      <c r="E1324" t="s">
        <v>2346</v>
      </c>
      <c r="F1324" t="s">
        <v>2344</v>
      </c>
      <c r="G1324" t="s">
        <v>2344</v>
      </c>
      <c r="H1324">
        <v>0</v>
      </c>
      <c r="I1324" t="s">
        <v>2344</v>
      </c>
      <c r="J1324" t="str">
        <f t="shared" si="81"/>
        <v>Obesity</v>
      </c>
      <c r="K1324" t="str">
        <f t="shared" si="84"/>
        <v>Normal</v>
      </c>
      <c r="L1324">
        <v>18</v>
      </c>
      <c r="M1324" t="s">
        <v>2363</v>
      </c>
      <c r="N1324">
        <v>2000</v>
      </c>
      <c r="O1324" s="8">
        <f t="shared" si="82"/>
        <v>36787</v>
      </c>
      <c r="P1324" s="10">
        <v>11068.7</v>
      </c>
      <c r="Q1324" t="s">
        <v>2358</v>
      </c>
      <c r="R1324" t="s">
        <v>2361</v>
      </c>
      <c r="S1324" t="s">
        <v>2368</v>
      </c>
      <c r="T1324">
        <f t="shared" ca="1" si="83"/>
        <v>26</v>
      </c>
      <c r="U1324">
        <f>VLOOKUP($A1324,'Medical Examination'!$A:$Z,2,FALSE)</f>
        <v>33.44</v>
      </c>
    </row>
    <row r="1325" spans="1:21" ht="15.5" x14ac:dyDescent="0.35">
      <c r="A1325" s="2" t="s">
        <v>1325</v>
      </c>
      <c r="B1325" s="2" t="s">
        <v>4316</v>
      </c>
      <c r="C1325">
        <v>28.05</v>
      </c>
      <c r="D1325">
        <v>5.63</v>
      </c>
      <c r="E1325" t="s">
        <v>2346</v>
      </c>
      <c r="F1325" t="s">
        <v>2344</v>
      </c>
      <c r="G1325" t="s">
        <v>2344</v>
      </c>
      <c r="H1325">
        <v>0</v>
      </c>
      <c r="I1325" t="s">
        <v>2344</v>
      </c>
      <c r="J1325" t="str">
        <f t="shared" si="81"/>
        <v>Over weight</v>
      </c>
      <c r="K1325" t="str">
        <f t="shared" si="84"/>
        <v>Normal</v>
      </c>
      <c r="L1325">
        <v>9</v>
      </c>
      <c r="M1325" t="s">
        <v>2360</v>
      </c>
      <c r="N1325">
        <v>1971</v>
      </c>
      <c r="O1325" s="8">
        <f t="shared" si="82"/>
        <v>26246</v>
      </c>
      <c r="P1325" s="10">
        <v>11068.77</v>
      </c>
      <c r="Q1325" t="s">
        <v>2358</v>
      </c>
      <c r="R1325" t="s">
        <v>2357</v>
      </c>
      <c r="S1325" t="s">
        <v>2364</v>
      </c>
      <c r="T1325">
        <f t="shared" ca="1" si="83"/>
        <v>55</v>
      </c>
      <c r="U1325">
        <f>VLOOKUP($A1325,'Medical Examination'!$A:$Z,2,FALSE)</f>
        <v>28.05</v>
      </c>
    </row>
    <row r="1326" spans="1:21" ht="15.5" x14ac:dyDescent="0.35">
      <c r="A1326" s="2" t="s">
        <v>1326</v>
      </c>
      <c r="B1326" s="2" t="s">
        <v>4318</v>
      </c>
      <c r="C1326">
        <v>27.72</v>
      </c>
      <c r="D1326">
        <v>5.83</v>
      </c>
      <c r="E1326" t="s">
        <v>2346</v>
      </c>
      <c r="F1326" t="s">
        <v>2344</v>
      </c>
      <c r="G1326" t="s">
        <v>2344</v>
      </c>
      <c r="H1326">
        <v>0</v>
      </c>
      <c r="I1326" t="s">
        <v>2344</v>
      </c>
      <c r="J1326" t="str">
        <f t="shared" si="81"/>
        <v>Over weight</v>
      </c>
      <c r="K1326" t="str">
        <f t="shared" si="84"/>
        <v>Prediabetes</v>
      </c>
      <c r="L1326">
        <v>7</v>
      </c>
      <c r="M1326" t="s">
        <v>2360</v>
      </c>
      <c r="N1326">
        <v>1966</v>
      </c>
      <c r="O1326" s="8">
        <f t="shared" si="82"/>
        <v>24418</v>
      </c>
      <c r="P1326" s="10">
        <v>11070.54</v>
      </c>
      <c r="Q1326" t="s">
        <v>2358</v>
      </c>
      <c r="R1326" t="s">
        <v>2358</v>
      </c>
      <c r="S1326" t="s">
        <v>2368</v>
      </c>
      <c r="T1326">
        <f t="shared" ca="1" si="83"/>
        <v>60</v>
      </c>
      <c r="U1326">
        <f>VLOOKUP($A1326,'Medical Examination'!$A:$Z,2,FALSE)</f>
        <v>27.72</v>
      </c>
    </row>
    <row r="1327" spans="1:21" ht="15.5" x14ac:dyDescent="0.35">
      <c r="A1327" s="2" t="s">
        <v>1327</v>
      </c>
      <c r="B1327" s="2" t="s">
        <v>4319</v>
      </c>
      <c r="C1327">
        <v>29.81</v>
      </c>
      <c r="D1327">
        <v>9.23</v>
      </c>
      <c r="E1327" t="s">
        <v>2344</v>
      </c>
      <c r="F1327" t="s">
        <v>2344</v>
      </c>
      <c r="G1327" t="s">
        <v>2344</v>
      </c>
      <c r="H1327">
        <v>0</v>
      </c>
      <c r="I1327" t="s">
        <v>2344</v>
      </c>
      <c r="J1327" t="str">
        <f t="shared" si="81"/>
        <v>Over weight</v>
      </c>
      <c r="K1327" t="str">
        <f t="shared" si="84"/>
        <v>Diabetes</v>
      </c>
      <c r="L1327">
        <v>20</v>
      </c>
      <c r="M1327" t="s">
        <v>2360</v>
      </c>
      <c r="N1327">
        <v>1966</v>
      </c>
      <c r="O1327" s="8">
        <f t="shared" si="82"/>
        <v>24431</v>
      </c>
      <c r="P1327" s="10">
        <v>11073.18</v>
      </c>
      <c r="Q1327" t="s">
        <v>2358</v>
      </c>
      <c r="R1327" t="s">
        <v>2358</v>
      </c>
      <c r="S1327" t="s">
        <v>2368</v>
      </c>
      <c r="T1327">
        <f t="shared" ca="1" si="83"/>
        <v>60</v>
      </c>
      <c r="U1327">
        <f>VLOOKUP($A1327,'Medical Examination'!$A:$Z,2,FALSE)</f>
        <v>29.81</v>
      </c>
    </row>
    <row r="1328" spans="1:21" ht="15.5" x14ac:dyDescent="0.35">
      <c r="A1328" s="2" t="s">
        <v>1328</v>
      </c>
      <c r="B1328" s="2" t="s">
        <v>4321</v>
      </c>
      <c r="C1328">
        <v>23.98</v>
      </c>
      <c r="D1328">
        <v>9.89</v>
      </c>
      <c r="E1328" t="s">
        <v>2344</v>
      </c>
      <c r="F1328" t="s">
        <v>2344</v>
      </c>
      <c r="G1328" t="s">
        <v>2344</v>
      </c>
      <c r="H1328">
        <v>0</v>
      </c>
      <c r="I1328" t="s">
        <v>2344</v>
      </c>
      <c r="J1328" t="str">
        <f t="shared" si="81"/>
        <v>Normal Weight</v>
      </c>
      <c r="K1328" t="str">
        <f t="shared" si="84"/>
        <v>Diabetes</v>
      </c>
      <c r="L1328">
        <v>4</v>
      </c>
      <c r="M1328" t="s">
        <v>2363</v>
      </c>
      <c r="N1328">
        <v>1967</v>
      </c>
      <c r="O1328" s="8">
        <f t="shared" si="82"/>
        <v>24719</v>
      </c>
      <c r="P1328" s="10">
        <v>11082.58</v>
      </c>
      <c r="Q1328" t="s">
        <v>2358</v>
      </c>
      <c r="R1328" t="s">
        <v>2357</v>
      </c>
      <c r="S1328" t="s">
        <v>2364</v>
      </c>
      <c r="T1328">
        <f t="shared" ca="1" si="83"/>
        <v>59</v>
      </c>
      <c r="U1328">
        <f>VLOOKUP($A1328,'Medical Examination'!$A:$Z,2,FALSE)</f>
        <v>23.98</v>
      </c>
    </row>
    <row r="1329" spans="1:21" ht="15.5" x14ac:dyDescent="0.35">
      <c r="A1329" s="2" t="s">
        <v>1329</v>
      </c>
      <c r="B1329" s="2" t="s">
        <v>4322</v>
      </c>
      <c r="C1329">
        <v>17.34</v>
      </c>
      <c r="D1329">
        <v>12</v>
      </c>
      <c r="E1329" t="s">
        <v>2344</v>
      </c>
      <c r="F1329" t="s">
        <v>2344</v>
      </c>
      <c r="G1329" t="s">
        <v>2344</v>
      </c>
      <c r="H1329">
        <v>0</v>
      </c>
      <c r="I1329" t="s">
        <v>2344</v>
      </c>
      <c r="J1329" t="str">
        <f t="shared" si="81"/>
        <v>Under Weight</v>
      </c>
      <c r="K1329" t="str">
        <f t="shared" si="84"/>
        <v>Diabetes</v>
      </c>
      <c r="L1329">
        <v>7</v>
      </c>
      <c r="M1329" t="s">
        <v>2367</v>
      </c>
      <c r="N1329">
        <v>1972</v>
      </c>
      <c r="O1329" s="8">
        <f t="shared" si="82"/>
        <v>26579</v>
      </c>
      <c r="P1329" s="10">
        <v>11085.59</v>
      </c>
      <c r="Q1329" t="s">
        <v>2358</v>
      </c>
      <c r="R1329" t="s">
        <v>2357</v>
      </c>
      <c r="S1329" t="s">
        <v>2364</v>
      </c>
      <c r="T1329">
        <f t="shared" ca="1" si="83"/>
        <v>54</v>
      </c>
      <c r="U1329">
        <f>VLOOKUP($A1329,'Medical Examination'!$A:$Z,2,FALSE)</f>
        <v>17.34</v>
      </c>
    </row>
    <row r="1330" spans="1:21" ht="15.5" x14ac:dyDescent="0.35">
      <c r="A1330" s="2" t="s">
        <v>1330</v>
      </c>
      <c r="B1330" s="2" t="s">
        <v>4323</v>
      </c>
      <c r="C1330">
        <v>40.39</v>
      </c>
      <c r="D1330">
        <v>4.24</v>
      </c>
      <c r="E1330" t="s">
        <v>2346</v>
      </c>
      <c r="F1330" t="s">
        <v>2344</v>
      </c>
      <c r="G1330" t="s">
        <v>2346</v>
      </c>
      <c r="H1330">
        <v>1</v>
      </c>
      <c r="I1330" t="s">
        <v>2344</v>
      </c>
      <c r="J1330" t="str">
        <f t="shared" si="81"/>
        <v>Obesity</v>
      </c>
      <c r="K1330" t="str">
        <f t="shared" si="84"/>
        <v>Normal</v>
      </c>
      <c r="L1330">
        <v>9</v>
      </c>
      <c r="M1330" t="s">
        <v>2363</v>
      </c>
      <c r="N1330">
        <v>1966</v>
      </c>
      <c r="O1330" s="8">
        <f t="shared" si="82"/>
        <v>24359</v>
      </c>
      <c r="P1330" s="10">
        <v>11090.72</v>
      </c>
      <c r="Q1330" t="s">
        <v>2358</v>
      </c>
      <c r="R1330" t="s">
        <v>2361</v>
      </c>
      <c r="S1330" t="s">
        <v>2359</v>
      </c>
      <c r="T1330">
        <f t="shared" ca="1" si="83"/>
        <v>60</v>
      </c>
      <c r="U1330">
        <f>VLOOKUP($A1330,'Medical Examination'!$A:$Z,2,FALSE)</f>
        <v>40.39</v>
      </c>
    </row>
    <row r="1331" spans="1:21" ht="15.5" x14ac:dyDescent="0.35">
      <c r="A1331" s="2" t="s">
        <v>1331</v>
      </c>
      <c r="B1331" s="2" t="s">
        <v>4324</v>
      </c>
      <c r="C1331">
        <v>25.96</v>
      </c>
      <c r="D1331">
        <v>4.68</v>
      </c>
      <c r="E1331" t="s">
        <v>2346</v>
      </c>
      <c r="F1331" t="s">
        <v>2344</v>
      </c>
      <c r="G1331" t="s">
        <v>2346</v>
      </c>
      <c r="H1331">
        <v>1</v>
      </c>
      <c r="I1331" t="s">
        <v>2344</v>
      </c>
      <c r="J1331" t="str">
        <f t="shared" si="81"/>
        <v>Over weight</v>
      </c>
      <c r="K1331" t="str">
        <f t="shared" si="84"/>
        <v>Normal</v>
      </c>
      <c r="L1331">
        <v>5</v>
      </c>
      <c r="M1331" t="s">
        <v>2356</v>
      </c>
      <c r="N1331">
        <v>1966</v>
      </c>
      <c r="O1331" s="8">
        <f t="shared" si="82"/>
        <v>24293</v>
      </c>
      <c r="P1331" s="10">
        <v>11093.62</v>
      </c>
      <c r="Q1331" t="s">
        <v>2358</v>
      </c>
      <c r="R1331" t="s">
        <v>2361</v>
      </c>
      <c r="S1331" t="s">
        <v>2359</v>
      </c>
      <c r="T1331">
        <f t="shared" ca="1" si="83"/>
        <v>60</v>
      </c>
      <c r="U1331">
        <f>VLOOKUP($A1331,'Medical Examination'!$A:$Z,2,FALSE)</f>
        <v>25.96</v>
      </c>
    </row>
    <row r="1332" spans="1:21" ht="15.5" x14ac:dyDescent="0.35">
      <c r="A1332" s="2" t="s">
        <v>1332</v>
      </c>
      <c r="B1332" s="2" t="s">
        <v>4325</v>
      </c>
      <c r="C1332">
        <v>17.68</v>
      </c>
      <c r="D1332">
        <v>8.57</v>
      </c>
      <c r="E1332" t="s">
        <v>2346</v>
      </c>
      <c r="F1332" t="s">
        <v>2344</v>
      </c>
      <c r="G1332" t="s">
        <v>2346</v>
      </c>
      <c r="H1332">
        <v>1</v>
      </c>
      <c r="I1332" t="s">
        <v>2344</v>
      </c>
      <c r="J1332" t="str">
        <f t="shared" si="81"/>
        <v>Under Weight</v>
      </c>
      <c r="K1332" t="str">
        <f t="shared" si="84"/>
        <v>Diabetes</v>
      </c>
      <c r="L1332">
        <v>20</v>
      </c>
      <c r="M1332" t="s">
        <v>2366</v>
      </c>
      <c r="N1332">
        <v>1980</v>
      </c>
      <c r="O1332" s="8">
        <f t="shared" si="82"/>
        <v>29453</v>
      </c>
      <c r="P1332" s="10">
        <v>11103.33</v>
      </c>
      <c r="Q1332" t="s">
        <v>2358</v>
      </c>
      <c r="R1332" t="s">
        <v>2361</v>
      </c>
      <c r="S1332" t="s">
        <v>2377</v>
      </c>
      <c r="T1332">
        <f t="shared" ca="1" si="83"/>
        <v>46</v>
      </c>
      <c r="U1332">
        <f>VLOOKUP($A1332,'Medical Examination'!$A:$Z,2,FALSE)</f>
        <v>17.68</v>
      </c>
    </row>
    <row r="1333" spans="1:21" ht="15.5" x14ac:dyDescent="0.35">
      <c r="A1333" s="2" t="s">
        <v>1333</v>
      </c>
      <c r="B1333" s="2" t="s">
        <v>4326</v>
      </c>
      <c r="C1333">
        <v>30.875</v>
      </c>
      <c r="D1333">
        <v>4.0999999999999996</v>
      </c>
      <c r="E1333" t="s">
        <v>2344</v>
      </c>
      <c r="F1333" t="s">
        <v>2344</v>
      </c>
      <c r="G1333" t="s">
        <v>2344</v>
      </c>
      <c r="H1333">
        <v>0</v>
      </c>
      <c r="I1333" t="s">
        <v>2344</v>
      </c>
      <c r="J1333" t="str">
        <f t="shared" si="81"/>
        <v>Obesity</v>
      </c>
      <c r="K1333" t="str">
        <f t="shared" si="84"/>
        <v>Normal</v>
      </c>
      <c r="L1333">
        <v>30</v>
      </c>
      <c r="M1333" t="s">
        <v>2360</v>
      </c>
      <c r="N1333">
        <v>1969</v>
      </c>
      <c r="O1333" s="8">
        <f t="shared" si="82"/>
        <v>25537</v>
      </c>
      <c r="P1333" s="10">
        <v>11150.78</v>
      </c>
      <c r="Q1333" t="s">
        <v>2358</v>
      </c>
      <c r="R1333" t="s">
        <v>2357</v>
      </c>
      <c r="S1333" t="s">
        <v>2368</v>
      </c>
      <c r="T1333">
        <f t="shared" ca="1" si="83"/>
        <v>57</v>
      </c>
      <c r="U1333">
        <f>VLOOKUP($A1333,'Medical Examination'!$A:$Z,2,FALSE)</f>
        <v>30.875</v>
      </c>
    </row>
    <row r="1334" spans="1:21" ht="15.5" x14ac:dyDescent="0.35">
      <c r="A1334" s="2" t="s">
        <v>1334</v>
      </c>
      <c r="B1334" s="2" t="s">
        <v>4327</v>
      </c>
      <c r="C1334">
        <v>30.81</v>
      </c>
      <c r="D1334">
        <v>4.49</v>
      </c>
      <c r="E1334" t="s">
        <v>2344</v>
      </c>
      <c r="F1334" t="s">
        <v>2344</v>
      </c>
      <c r="G1334" t="s">
        <v>2344</v>
      </c>
      <c r="H1334">
        <v>0</v>
      </c>
      <c r="I1334" t="s">
        <v>2344</v>
      </c>
      <c r="J1334" t="str">
        <f t="shared" si="81"/>
        <v>Obesity</v>
      </c>
      <c r="K1334" t="str">
        <f t="shared" si="84"/>
        <v>Normal</v>
      </c>
      <c r="L1334">
        <v>25</v>
      </c>
      <c r="M1334" t="s">
        <v>2362</v>
      </c>
      <c r="N1334">
        <v>1969</v>
      </c>
      <c r="O1334" s="8">
        <f t="shared" si="82"/>
        <v>25379</v>
      </c>
      <c r="P1334" s="10">
        <v>11163.57</v>
      </c>
      <c r="Q1334" t="s">
        <v>2358</v>
      </c>
      <c r="R1334" t="s">
        <v>2357</v>
      </c>
      <c r="S1334" t="s">
        <v>2368</v>
      </c>
      <c r="T1334">
        <f t="shared" ca="1" si="83"/>
        <v>57</v>
      </c>
      <c r="U1334">
        <f>VLOOKUP($A1334,'Medical Examination'!$A:$Z,2,FALSE)</f>
        <v>30.81</v>
      </c>
    </row>
    <row r="1335" spans="1:21" ht="15.5" x14ac:dyDescent="0.35">
      <c r="A1335" s="2" t="s">
        <v>1335</v>
      </c>
      <c r="B1335" s="2" t="s">
        <v>4329</v>
      </c>
      <c r="C1335">
        <v>36.85</v>
      </c>
      <c r="D1335">
        <v>8.8000000000000007</v>
      </c>
      <c r="E1335" t="s">
        <v>2344</v>
      </c>
      <c r="F1335" t="s">
        <v>2344</v>
      </c>
      <c r="G1335" t="s">
        <v>2344</v>
      </c>
      <c r="H1335">
        <v>1</v>
      </c>
      <c r="I1335" t="s">
        <v>2344</v>
      </c>
      <c r="J1335" t="str">
        <f t="shared" si="81"/>
        <v>Obesity</v>
      </c>
      <c r="K1335" t="str">
        <f t="shared" si="84"/>
        <v>Diabetes</v>
      </c>
      <c r="L1335">
        <v>6</v>
      </c>
      <c r="M1335" t="s">
        <v>2366</v>
      </c>
      <c r="N1335">
        <v>1966</v>
      </c>
      <c r="O1335" s="8">
        <f t="shared" si="82"/>
        <v>24325</v>
      </c>
      <c r="P1335" s="10">
        <v>11165.42</v>
      </c>
      <c r="Q1335" t="s">
        <v>2358</v>
      </c>
      <c r="R1335" t="s">
        <v>2361</v>
      </c>
      <c r="S1335" t="s">
        <v>2371</v>
      </c>
      <c r="T1335">
        <f t="shared" ca="1" si="83"/>
        <v>60</v>
      </c>
      <c r="U1335">
        <f>VLOOKUP($A1335,'Medical Examination'!$A:$Z,2,FALSE)</f>
        <v>36.85</v>
      </c>
    </row>
    <row r="1336" spans="1:21" ht="15.5" x14ac:dyDescent="0.35">
      <c r="A1336" s="2" t="s">
        <v>1336</v>
      </c>
      <c r="B1336" s="2" t="s">
        <v>4331</v>
      </c>
      <c r="C1336">
        <v>35.86</v>
      </c>
      <c r="D1336">
        <v>7.93</v>
      </c>
      <c r="E1336" t="s">
        <v>2344</v>
      </c>
      <c r="F1336" t="s">
        <v>2344</v>
      </c>
      <c r="G1336" t="s">
        <v>2344</v>
      </c>
      <c r="H1336">
        <v>1</v>
      </c>
      <c r="I1336" t="s">
        <v>2344</v>
      </c>
      <c r="J1336" t="str">
        <f t="shared" si="81"/>
        <v>Obesity</v>
      </c>
      <c r="K1336" t="str">
        <f t="shared" si="84"/>
        <v>Diabetes</v>
      </c>
      <c r="L1336">
        <v>3</v>
      </c>
      <c r="M1336" t="s">
        <v>2363</v>
      </c>
      <c r="N1336">
        <v>1972</v>
      </c>
      <c r="O1336" s="8">
        <f t="shared" si="82"/>
        <v>26545</v>
      </c>
      <c r="P1336" s="10">
        <v>11186.2</v>
      </c>
      <c r="Q1336" t="s">
        <v>2358</v>
      </c>
      <c r="R1336" t="s">
        <v>2357</v>
      </c>
      <c r="S1336" t="s">
        <v>2377</v>
      </c>
      <c r="T1336">
        <f t="shared" ca="1" si="83"/>
        <v>54</v>
      </c>
      <c r="U1336">
        <f>VLOOKUP($A1336,'Medical Examination'!$A:$Z,2,FALSE)</f>
        <v>35.86</v>
      </c>
    </row>
    <row r="1337" spans="1:21" ht="15.5" x14ac:dyDescent="0.35">
      <c r="A1337" s="2" t="s">
        <v>1337</v>
      </c>
      <c r="B1337" s="2" t="s">
        <v>2406</v>
      </c>
      <c r="C1337">
        <v>30.3</v>
      </c>
      <c r="D1337">
        <v>9.4499999999999993</v>
      </c>
      <c r="E1337" t="s">
        <v>2344</v>
      </c>
      <c r="F1337" t="s">
        <v>2344</v>
      </c>
      <c r="G1337" t="s">
        <v>2344</v>
      </c>
      <c r="H1337">
        <v>1</v>
      </c>
      <c r="I1337" t="s">
        <v>2344</v>
      </c>
      <c r="J1337" t="str">
        <f t="shared" si="81"/>
        <v>Obesity</v>
      </c>
      <c r="K1337" t="str">
        <f t="shared" si="84"/>
        <v>Diabetes</v>
      </c>
      <c r="L1337">
        <v>14</v>
      </c>
      <c r="M1337" t="s">
        <v>2362</v>
      </c>
      <c r="N1337">
        <v>1970</v>
      </c>
      <c r="O1337" s="8">
        <f t="shared" si="82"/>
        <v>25733</v>
      </c>
      <c r="P1337" s="10">
        <v>11187.66</v>
      </c>
      <c r="Q1337" t="s">
        <v>2358</v>
      </c>
      <c r="R1337" t="s">
        <v>2357</v>
      </c>
      <c r="S1337" t="s">
        <v>2364</v>
      </c>
      <c r="T1337">
        <f t="shared" ca="1" si="83"/>
        <v>56</v>
      </c>
      <c r="U1337">
        <f>VLOOKUP($A1337,'Medical Examination'!$A:$Z,2,FALSE)</f>
        <v>30.3</v>
      </c>
    </row>
    <row r="1338" spans="1:21" ht="15.5" x14ac:dyDescent="0.35">
      <c r="A1338" s="2" t="s">
        <v>1338</v>
      </c>
      <c r="B1338" s="2" t="s">
        <v>4333</v>
      </c>
      <c r="C1338">
        <v>32.015000000000001</v>
      </c>
      <c r="D1338">
        <v>7.67</v>
      </c>
      <c r="E1338" t="s">
        <v>2344</v>
      </c>
      <c r="F1338" t="s">
        <v>2344</v>
      </c>
      <c r="G1338" t="s">
        <v>2344</v>
      </c>
      <c r="H1338">
        <v>0</v>
      </c>
      <c r="I1338" t="s">
        <v>2344</v>
      </c>
      <c r="J1338" t="str">
        <f t="shared" si="81"/>
        <v>Obesity</v>
      </c>
      <c r="K1338" t="str">
        <f t="shared" si="84"/>
        <v>Diabetes</v>
      </c>
      <c r="L1338">
        <v>28</v>
      </c>
      <c r="M1338" t="s">
        <v>2362</v>
      </c>
      <c r="N1338">
        <v>1976</v>
      </c>
      <c r="O1338" s="8">
        <f t="shared" si="82"/>
        <v>27939</v>
      </c>
      <c r="P1338" s="10">
        <v>11217.35</v>
      </c>
      <c r="Q1338" t="s">
        <v>2358</v>
      </c>
      <c r="R1338" t="s">
        <v>2357</v>
      </c>
      <c r="S1338" t="s">
        <v>2373</v>
      </c>
      <c r="T1338">
        <f t="shared" ca="1" si="83"/>
        <v>50</v>
      </c>
      <c r="U1338">
        <f>VLOOKUP($A1338,'Medical Examination'!$A:$Z,2,FALSE)</f>
        <v>32.015000000000001</v>
      </c>
    </row>
    <row r="1339" spans="1:21" ht="15.5" x14ac:dyDescent="0.35">
      <c r="A1339" s="2" t="s">
        <v>1339</v>
      </c>
      <c r="B1339" s="2" t="s">
        <v>2545</v>
      </c>
      <c r="C1339">
        <v>25.06</v>
      </c>
      <c r="D1339">
        <v>10.53</v>
      </c>
      <c r="E1339" t="s">
        <v>2344</v>
      </c>
      <c r="F1339" t="s">
        <v>2344</v>
      </c>
      <c r="G1339" t="s">
        <v>2344</v>
      </c>
      <c r="H1339">
        <v>1</v>
      </c>
      <c r="I1339" t="s">
        <v>2344</v>
      </c>
      <c r="J1339" t="str">
        <f t="shared" si="81"/>
        <v>Over weight</v>
      </c>
      <c r="K1339" t="str">
        <f t="shared" si="84"/>
        <v>Diabetes</v>
      </c>
      <c r="L1339">
        <v>30</v>
      </c>
      <c r="M1339" t="s">
        <v>2365</v>
      </c>
      <c r="N1339">
        <v>1969</v>
      </c>
      <c r="O1339" s="8">
        <f t="shared" si="82"/>
        <v>25567</v>
      </c>
      <c r="P1339" s="10">
        <v>11244.38</v>
      </c>
      <c r="Q1339" t="s">
        <v>2358</v>
      </c>
      <c r="R1339" t="s">
        <v>2361</v>
      </c>
      <c r="S1339" t="s">
        <v>2371</v>
      </c>
      <c r="T1339">
        <f t="shared" ca="1" si="83"/>
        <v>57</v>
      </c>
      <c r="U1339">
        <f>VLOOKUP($A1339,'Medical Examination'!$A:$Z,2,FALSE)</f>
        <v>25.06</v>
      </c>
    </row>
    <row r="1340" spans="1:21" ht="15.5" x14ac:dyDescent="0.35">
      <c r="A1340" s="2" t="s">
        <v>1340</v>
      </c>
      <c r="B1340" s="2" t="s">
        <v>4334</v>
      </c>
      <c r="C1340">
        <v>18.829999999999998</v>
      </c>
      <c r="D1340">
        <v>10.08</v>
      </c>
      <c r="E1340" t="s">
        <v>2346</v>
      </c>
      <c r="F1340" t="s">
        <v>2344</v>
      </c>
      <c r="G1340" t="s">
        <v>2344</v>
      </c>
      <c r="H1340">
        <v>0</v>
      </c>
      <c r="I1340" t="s">
        <v>2344</v>
      </c>
      <c r="J1340" t="str">
        <f t="shared" si="81"/>
        <v>Normal Weight</v>
      </c>
      <c r="K1340" t="str">
        <f t="shared" si="84"/>
        <v>Diabetes</v>
      </c>
      <c r="L1340">
        <v>17</v>
      </c>
      <c r="M1340" t="s">
        <v>2365</v>
      </c>
      <c r="N1340">
        <v>1989</v>
      </c>
      <c r="O1340" s="8">
        <f t="shared" si="82"/>
        <v>32859</v>
      </c>
      <c r="P1340" s="10">
        <v>11250.43</v>
      </c>
      <c r="Q1340" t="s">
        <v>2358</v>
      </c>
      <c r="R1340" t="s">
        <v>2357</v>
      </c>
      <c r="S1340" t="s">
        <v>2380</v>
      </c>
      <c r="T1340">
        <f t="shared" ca="1" si="83"/>
        <v>37</v>
      </c>
      <c r="U1340">
        <f>VLOOKUP($A1340,'Medical Examination'!$A:$Z,2,FALSE)</f>
        <v>18.829999999999998</v>
      </c>
    </row>
    <row r="1341" spans="1:21" ht="15.5" x14ac:dyDescent="0.35">
      <c r="A1341" s="2" t="s">
        <v>1341</v>
      </c>
      <c r="B1341" s="2" t="s">
        <v>4335</v>
      </c>
      <c r="C1341">
        <v>47.52</v>
      </c>
      <c r="D1341">
        <v>11.39</v>
      </c>
      <c r="E1341" t="s">
        <v>2346</v>
      </c>
      <c r="F1341" t="s">
        <v>2344</v>
      </c>
      <c r="G1341" t="s">
        <v>2344</v>
      </c>
      <c r="H1341">
        <v>1</v>
      </c>
      <c r="I1341" t="s">
        <v>2344</v>
      </c>
      <c r="J1341" t="str">
        <f t="shared" si="81"/>
        <v>Obesity</v>
      </c>
      <c r="K1341" t="str">
        <f t="shared" si="84"/>
        <v>Diabetes</v>
      </c>
      <c r="L1341">
        <v>20</v>
      </c>
      <c r="M1341" t="s">
        <v>2366</v>
      </c>
      <c r="N1341">
        <v>1969</v>
      </c>
      <c r="O1341" s="8">
        <f t="shared" si="82"/>
        <v>25435</v>
      </c>
      <c r="P1341" s="10">
        <v>11253.42</v>
      </c>
      <c r="Q1341" t="s">
        <v>2358</v>
      </c>
      <c r="R1341" t="s">
        <v>2361</v>
      </c>
      <c r="S1341" t="s">
        <v>2368</v>
      </c>
      <c r="T1341">
        <f t="shared" ca="1" si="83"/>
        <v>57</v>
      </c>
      <c r="U1341">
        <f>VLOOKUP($A1341,'Medical Examination'!$A:$Z,2,FALSE)</f>
        <v>47.52</v>
      </c>
    </row>
    <row r="1342" spans="1:21" ht="15.5" x14ac:dyDescent="0.35">
      <c r="A1342" s="2" t="s">
        <v>1342</v>
      </c>
      <c r="B1342" s="2" t="s">
        <v>4337</v>
      </c>
      <c r="C1342">
        <v>37.82</v>
      </c>
      <c r="D1342">
        <v>6.36</v>
      </c>
      <c r="E1342" t="s">
        <v>2344</v>
      </c>
      <c r="F1342" t="s">
        <v>2344</v>
      </c>
      <c r="G1342" t="s">
        <v>2344</v>
      </c>
      <c r="H1342">
        <v>0</v>
      </c>
      <c r="I1342" t="s">
        <v>2344</v>
      </c>
      <c r="J1342" t="str">
        <f t="shared" si="81"/>
        <v>Obesity</v>
      </c>
      <c r="K1342" t="str">
        <f t="shared" si="84"/>
        <v>Prediabetes</v>
      </c>
      <c r="L1342">
        <v>2</v>
      </c>
      <c r="M1342" t="s">
        <v>2367</v>
      </c>
      <c r="N1342">
        <v>1981</v>
      </c>
      <c r="O1342" s="8">
        <f t="shared" si="82"/>
        <v>29861</v>
      </c>
      <c r="P1342" s="10">
        <v>11255.29</v>
      </c>
      <c r="Q1342" t="s">
        <v>2358</v>
      </c>
      <c r="R1342" t="s">
        <v>2361</v>
      </c>
      <c r="S1342" t="s">
        <v>2380</v>
      </c>
      <c r="T1342">
        <f t="shared" ca="1" si="83"/>
        <v>45</v>
      </c>
      <c r="U1342">
        <f>VLOOKUP($A1342,'Medical Examination'!$A:$Z,2,FALSE)</f>
        <v>37.82</v>
      </c>
    </row>
    <row r="1343" spans="1:21" ht="15.5" x14ac:dyDescent="0.35">
      <c r="A1343" s="2" t="s">
        <v>1343</v>
      </c>
      <c r="B1343" s="2" t="s">
        <v>4338</v>
      </c>
      <c r="C1343">
        <v>44.16</v>
      </c>
      <c r="D1343">
        <v>5.31</v>
      </c>
      <c r="E1343" t="s">
        <v>2346</v>
      </c>
      <c r="F1343" t="s">
        <v>2344</v>
      </c>
      <c r="G1343" t="s">
        <v>2344</v>
      </c>
      <c r="H1343">
        <v>0</v>
      </c>
      <c r="I1343" t="s">
        <v>2344</v>
      </c>
      <c r="J1343" t="str">
        <f t="shared" si="81"/>
        <v>Obesity</v>
      </c>
      <c r="K1343" t="str">
        <f t="shared" si="84"/>
        <v>Normal</v>
      </c>
      <c r="L1343">
        <v>11</v>
      </c>
      <c r="M1343" t="s">
        <v>2367</v>
      </c>
      <c r="N1343">
        <v>1969</v>
      </c>
      <c r="O1343" s="8">
        <f t="shared" si="82"/>
        <v>25487</v>
      </c>
      <c r="P1343" s="10">
        <v>11264.54</v>
      </c>
      <c r="Q1343" t="s">
        <v>2358</v>
      </c>
      <c r="R1343" t="s">
        <v>2357</v>
      </c>
      <c r="S1343" t="s">
        <v>2368</v>
      </c>
      <c r="T1343">
        <f t="shared" ca="1" si="83"/>
        <v>57</v>
      </c>
      <c r="U1343">
        <f>VLOOKUP($A1343,'Medical Examination'!$A:$Z,2,FALSE)</f>
        <v>44.16</v>
      </c>
    </row>
    <row r="1344" spans="1:21" ht="15.5" x14ac:dyDescent="0.35">
      <c r="A1344" s="2" t="s">
        <v>1344</v>
      </c>
      <c r="B1344" s="2" t="s">
        <v>4340</v>
      </c>
      <c r="C1344">
        <v>37.049999999999997</v>
      </c>
      <c r="D1344">
        <v>4.74</v>
      </c>
      <c r="E1344" t="s">
        <v>2344</v>
      </c>
      <c r="F1344" t="s">
        <v>2344</v>
      </c>
      <c r="G1344" t="s">
        <v>2346</v>
      </c>
      <c r="H1344">
        <v>1</v>
      </c>
      <c r="I1344" t="s">
        <v>2344</v>
      </c>
      <c r="J1344" t="str">
        <f t="shared" si="81"/>
        <v>Obesity</v>
      </c>
      <c r="K1344" t="str">
        <f t="shared" si="84"/>
        <v>Normal</v>
      </c>
      <c r="L1344">
        <v>26</v>
      </c>
      <c r="M1344" t="s">
        <v>2365</v>
      </c>
      <c r="N1344">
        <v>1971</v>
      </c>
      <c r="O1344" s="8">
        <f t="shared" si="82"/>
        <v>26293</v>
      </c>
      <c r="P1344" s="10">
        <v>11265.71</v>
      </c>
      <c r="Q1344" t="s">
        <v>2358</v>
      </c>
      <c r="R1344" t="s">
        <v>2361</v>
      </c>
      <c r="S1344" t="s">
        <v>2373</v>
      </c>
      <c r="T1344">
        <f t="shared" ca="1" si="83"/>
        <v>55</v>
      </c>
      <c r="U1344">
        <f>VLOOKUP($A1344,'Medical Examination'!$A:$Z,2,FALSE)</f>
        <v>37.049999999999997</v>
      </c>
    </row>
    <row r="1345" spans="1:21" ht="15.5" x14ac:dyDescent="0.35">
      <c r="A1345" s="2" t="s">
        <v>1345</v>
      </c>
      <c r="B1345" s="2" t="s">
        <v>4342</v>
      </c>
      <c r="C1345">
        <v>18.66</v>
      </c>
      <c r="D1345">
        <v>11.35</v>
      </c>
      <c r="E1345" t="s">
        <v>2344</v>
      </c>
      <c r="F1345" t="s">
        <v>2344</v>
      </c>
      <c r="G1345" t="s">
        <v>2344</v>
      </c>
      <c r="H1345">
        <v>0</v>
      </c>
      <c r="I1345" t="s">
        <v>2344</v>
      </c>
      <c r="J1345" t="str">
        <f t="shared" si="81"/>
        <v>Normal Weight</v>
      </c>
      <c r="K1345" t="str">
        <f t="shared" si="84"/>
        <v>Diabetes</v>
      </c>
      <c r="L1345">
        <v>4</v>
      </c>
      <c r="M1345" t="s">
        <v>2367</v>
      </c>
      <c r="N1345">
        <v>2004</v>
      </c>
      <c r="O1345" s="8">
        <f t="shared" si="82"/>
        <v>38264</v>
      </c>
      <c r="P1345" s="10">
        <v>11272.33</v>
      </c>
      <c r="Q1345" t="s">
        <v>2358</v>
      </c>
      <c r="R1345" t="s">
        <v>2357</v>
      </c>
      <c r="S1345" t="s">
        <v>2370</v>
      </c>
      <c r="T1345">
        <f t="shared" ca="1" si="83"/>
        <v>22</v>
      </c>
      <c r="U1345">
        <f>VLOOKUP($A1345,'Medical Examination'!$A:$Z,2,FALSE)</f>
        <v>18.66</v>
      </c>
    </row>
    <row r="1346" spans="1:21" ht="15.5" x14ac:dyDescent="0.35">
      <c r="A1346" s="2" t="s">
        <v>1346</v>
      </c>
      <c r="B1346" s="2" t="s">
        <v>4343</v>
      </c>
      <c r="C1346">
        <v>36.200000000000003</v>
      </c>
      <c r="D1346">
        <v>6.81</v>
      </c>
      <c r="E1346" t="s">
        <v>2346</v>
      </c>
      <c r="F1346" t="s">
        <v>2344</v>
      </c>
      <c r="G1346" t="s">
        <v>2344</v>
      </c>
      <c r="H1346">
        <v>1</v>
      </c>
      <c r="I1346" t="s">
        <v>2344</v>
      </c>
      <c r="J1346" t="str">
        <f t="shared" si="81"/>
        <v>Obesity</v>
      </c>
      <c r="K1346" t="str">
        <f t="shared" si="84"/>
        <v>Diabetes</v>
      </c>
      <c r="L1346">
        <v>14</v>
      </c>
      <c r="M1346" t="s">
        <v>2362</v>
      </c>
      <c r="N1346">
        <v>1967</v>
      </c>
      <c r="O1346" s="8">
        <f t="shared" si="82"/>
        <v>24637</v>
      </c>
      <c r="P1346" s="10">
        <v>11286.54</v>
      </c>
      <c r="Q1346" t="s">
        <v>2358</v>
      </c>
      <c r="R1346" t="s">
        <v>2358</v>
      </c>
      <c r="S1346" t="s">
        <v>2374</v>
      </c>
      <c r="T1346">
        <f t="shared" ca="1" si="83"/>
        <v>59</v>
      </c>
      <c r="U1346">
        <f>VLOOKUP($A1346,'Medical Examination'!$A:$Z,2,FALSE)</f>
        <v>36.200000000000003</v>
      </c>
    </row>
    <row r="1347" spans="1:21" ht="15.5" x14ac:dyDescent="0.35">
      <c r="A1347" s="2" t="s">
        <v>1347</v>
      </c>
      <c r="B1347" s="2" t="s">
        <v>4344</v>
      </c>
      <c r="C1347">
        <v>18.87</v>
      </c>
      <c r="D1347">
        <v>8.06</v>
      </c>
      <c r="E1347" t="s">
        <v>2344</v>
      </c>
      <c r="F1347" t="s">
        <v>2344</v>
      </c>
      <c r="G1347" t="s">
        <v>2344</v>
      </c>
      <c r="H1347">
        <v>0</v>
      </c>
      <c r="I1347" t="s">
        <v>2344</v>
      </c>
      <c r="J1347" t="str">
        <f t="shared" ref="J1347:J1410" si="85">IF(C1347&lt;18.5,"Under Weight",IF(C1347&lt;25,"Normal Weight",IF(C1347&lt;30,"Over weight","Obesity")))</f>
        <v>Normal Weight</v>
      </c>
      <c r="K1347" t="str">
        <f t="shared" si="84"/>
        <v>Diabetes</v>
      </c>
      <c r="L1347">
        <v>22</v>
      </c>
      <c r="M1347" t="s">
        <v>2362</v>
      </c>
      <c r="N1347">
        <v>1970</v>
      </c>
      <c r="O1347" s="8">
        <f t="shared" ref="O1347:O1410" si="86">DATE(N1347,MONTH(1&amp;M1347),L1347)</f>
        <v>25741</v>
      </c>
      <c r="P1347" s="10">
        <v>11289.11</v>
      </c>
      <c r="Q1347" t="s">
        <v>2358</v>
      </c>
      <c r="R1347" t="s">
        <v>2361</v>
      </c>
      <c r="S1347" t="s">
        <v>2364</v>
      </c>
      <c r="T1347">
        <f t="shared" ref="T1347:T1410" ca="1" si="87">YEAR(TODAY())-YEAR(O1347)</f>
        <v>56</v>
      </c>
      <c r="U1347">
        <f>VLOOKUP($A1347,'Medical Examination'!$A:$Z,2,FALSE)</f>
        <v>18.87</v>
      </c>
    </row>
    <row r="1348" spans="1:21" ht="15.5" x14ac:dyDescent="0.35">
      <c r="A1348" s="2" t="s">
        <v>1348</v>
      </c>
      <c r="B1348" s="2" t="s">
        <v>4345</v>
      </c>
      <c r="C1348">
        <v>32.299999999999997</v>
      </c>
      <c r="D1348">
        <v>6.74</v>
      </c>
      <c r="E1348" t="s">
        <v>2346</v>
      </c>
      <c r="F1348" t="s">
        <v>2344</v>
      </c>
      <c r="G1348" t="s">
        <v>2344</v>
      </c>
      <c r="H1348">
        <v>1</v>
      </c>
      <c r="I1348" t="s">
        <v>2344</v>
      </c>
      <c r="J1348" t="str">
        <f t="shared" si="85"/>
        <v>Obesity</v>
      </c>
      <c r="K1348" t="str">
        <f t="shared" si="84"/>
        <v>Diabetes</v>
      </c>
      <c r="L1348">
        <v>14</v>
      </c>
      <c r="M1348" t="s">
        <v>2360</v>
      </c>
      <c r="N1348">
        <v>1988</v>
      </c>
      <c r="O1348" s="8">
        <f t="shared" si="86"/>
        <v>32461</v>
      </c>
      <c r="P1348" s="10">
        <v>11294.57</v>
      </c>
      <c r="Q1348" t="s">
        <v>2358</v>
      </c>
      <c r="R1348" t="s">
        <v>2361</v>
      </c>
      <c r="S1348" t="s">
        <v>2381</v>
      </c>
      <c r="T1348">
        <f t="shared" ca="1" si="87"/>
        <v>38</v>
      </c>
      <c r="U1348">
        <f>VLOOKUP($A1348,'Medical Examination'!$A:$Z,2,FALSE)</f>
        <v>32.299999999999997</v>
      </c>
    </row>
    <row r="1349" spans="1:21" ht="15.5" x14ac:dyDescent="0.35">
      <c r="A1349" s="2" t="s">
        <v>1349</v>
      </c>
      <c r="B1349" s="2" t="s">
        <v>4346</v>
      </c>
      <c r="C1349">
        <v>22.64</v>
      </c>
      <c r="D1349">
        <v>6.54</v>
      </c>
      <c r="E1349" t="s">
        <v>2346</v>
      </c>
      <c r="F1349" t="s">
        <v>2344</v>
      </c>
      <c r="G1349" t="s">
        <v>2344</v>
      </c>
      <c r="H1349">
        <v>1</v>
      </c>
      <c r="I1349" t="s">
        <v>2344</v>
      </c>
      <c r="J1349" t="str">
        <f t="shared" si="85"/>
        <v>Normal Weight</v>
      </c>
      <c r="K1349" t="str">
        <f t="shared" si="84"/>
        <v>Diabetes</v>
      </c>
      <c r="L1349">
        <v>25</v>
      </c>
      <c r="M1349" t="s">
        <v>2363</v>
      </c>
      <c r="N1349">
        <v>1972</v>
      </c>
      <c r="O1349" s="8">
        <f t="shared" si="86"/>
        <v>26567</v>
      </c>
      <c r="P1349" s="10">
        <v>11299.34</v>
      </c>
      <c r="Q1349" t="s">
        <v>2358</v>
      </c>
      <c r="R1349" t="s">
        <v>2357</v>
      </c>
      <c r="S1349" t="s">
        <v>2368</v>
      </c>
      <c r="T1349">
        <f t="shared" ca="1" si="87"/>
        <v>54</v>
      </c>
      <c r="U1349">
        <f>VLOOKUP($A1349,'Medical Examination'!$A:$Z,2,FALSE)</f>
        <v>22.64</v>
      </c>
    </row>
    <row r="1350" spans="1:21" ht="15.5" x14ac:dyDescent="0.35">
      <c r="A1350" s="2" t="s">
        <v>1350</v>
      </c>
      <c r="B1350" s="2" t="s">
        <v>4347</v>
      </c>
      <c r="C1350">
        <v>28.69</v>
      </c>
      <c r="D1350">
        <v>5.4</v>
      </c>
      <c r="E1350" t="s">
        <v>2344</v>
      </c>
      <c r="F1350" t="s">
        <v>2344</v>
      </c>
      <c r="G1350" t="s">
        <v>2344</v>
      </c>
      <c r="H1350">
        <v>0</v>
      </c>
      <c r="I1350" t="s">
        <v>2344</v>
      </c>
      <c r="J1350" t="str">
        <f t="shared" si="85"/>
        <v>Over weight</v>
      </c>
      <c r="K1350" t="str">
        <f t="shared" si="84"/>
        <v>Normal</v>
      </c>
      <c r="L1350">
        <v>6</v>
      </c>
      <c r="M1350" t="s">
        <v>2367</v>
      </c>
      <c r="N1350">
        <v>1968</v>
      </c>
      <c r="O1350" s="8">
        <f t="shared" si="86"/>
        <v>25117</v>
      </c>
      <c r="P1350" s="10">
        <v>11305.93</v>
      </c>
      <c r="Q1350" t="s">
        <v>2358</v>
      </c>
      <c r="R1350" t="s">
        <v>2361</v>
      </c>
      <c r="S1350" t="s">
        <v>2364</v>
      </c>
      <c r="T1350">
        <f t="shared" ca="1" si="87"/>
        <v>58</v>
      </c>
      <c r="U1350">
        <f>VLOOKUP($A1350,'Medical Examination'!$A:$Z,2,FALSE)</f>
        <v>28.69</v>
      </c>
    </row>
    <row r="1351" spans="1:21" ht="15.5" x14ac:dyDescent="0.35">
      <c r="A1351" s="2" t="s">
        <v>1351</v>
      </c>
      <c r="B1351" s="2" t="s">
        <v>4348</v>
      </c>
      <c r="C1351">
        <v>28.16</v>
      </c>
      <c r="D1351">
        <v>5.58</v>
      </c>
      <c r="E1351" t="s">
        <v>2346</v>
      </c>
      <c r="F1351" t="s">
        <v>2344</v>
      </c>
      <c r="G1351" t="s">
        <v>2344</v>
      </c>
      <c r="H1351">
        <v>0</v>
      </c>
      <c r="I1351" t="s">
        <v>2344</v>
      </c>
      <c r="J1351" t="str">
        <f t="shared" si="85"/>
        <v>Over weight</v>
      </c>
      <c r="K1351" t="str">
        <f t="shared" si="84"/>
        <v>Normal</v>
      </c>
      <c r="L1351">
        <v>22</v>
      </c>
      <c r="M1351" t="s">
        <v>2360</v>
      </c>
      <c r="N1351">
        <v>1963</v>
      </c>
      <c r="O1351" s="8">
        <f t="shared" si="86"/>
        <v>23337</v>
      </c>
      <c r="P1351" s="10">
        <v>11312.33</v>
      </c>
      <c r="Q1351" t="s">
        <v>2358</v>
      </c>
      <c r="R1351" t="s">
        <v>2358</v>
      </c>
      <c r="S1351" t="s">
        <v>2364</v>
      </c>
      <c r="T1351">
        <f t="shared" ca="1" si="87"/>
        <v>63</v>
      </c>
      <c r="U1351">
        <f>VLOOKUP($A1351,'Medical Examination'!$A:$Z,2,FALSE)</f>
        <v>28.16</v>
      </c>
    </row>
    <row r="1352" spans="1:21" ht="15.5" x14ac:dyDescent="0.35">
      <c r="A1352" s="2" t="s">
        <v>1352</v>
      </c>
      <c r="B1352" s="2" t="s">
        <v>2954</v>
      </c>
      <c r="C1352">
        <v>45.54</v>
      </c>
      <c r="D1352">
        <v>5.84</v>
      </c>
      <c r="E1352" t="s">
        <v>2344</v>
      </c>
      <c r="F1352" t="s">
        <v>2344</v>
      </c>
      <c r="G1352" t="s">
        <v>2346</v>
      </c>
      <c r="H1352">
        <v>1</v>
      </c>
      <c r="I1352" t="s">
        <v>2344</v>
      </c>
      <c r="J1352" t="str">
        <f t="shared" si="85"/>
        <v>Obesity</v>
      </c>
      <c r="K1352" t="str">
        <f t="shared" si="84"/>
        <v>Prediabetes</v>
      </c>
      <c r="L1352">
        <v>10</v>
      </c>
      <c r="M1352" t="s">
        <v>2365</v>
      </c>
      <c r="N1352">
        <v>1995</v>
      </c>
      <c r="O1352" s="8">
        <f t="shared" si="86"/>
        <v>35043</v>
      </c>
      <c r="P1352" s="10">
        <v>11318.57</v>
      </c>
      <c r="Q1352" t="s">
        <v>2358</v>
      </c>
      <c r="R1352" t="s">
        <v>2357</v>
      </c>
      <c r="S1352" t="s">
        <v>2380</v>
      </c>
      <c r="T1352">
        <f t="shared" ca="1" si="87"/>
        <v>31</v>
      </c>
      <c r="U1352">
        <f>VLOOKUP($A1352,'Medical Examination'!$A:$Z,2,FALSE)</f>
        <v>45.54</v>
      </c>
    </row>
    <row r="1353" spans="1:21" ht="15.5" x14ac:dyDescent="0.35">
      <c r="A1353" s="2" t="s">
        <v>1353</v>
      </c>
      <c r="B1353" s="2" t="s">
        <v>4350</v>
      </c>
      <c r="C1353">
        <v>28.7</v>
      </c>
      <c r="D1353">
        <v>4.2</v>
      </c>
      <c r="E1353" t="s">
        <v>2344</v>
      </c>
      <c r="F1353" t="s">
        <v>2344</v>
      </c>
      <c r="G1353" t="s">
        <v>2344</v>
      </c>
      <c r="H1353">
        <v>0</v>
      </c>
      <c r="I1353" t="s">
        <v>2344</v>
      </c>
      <c r="J1353" t="str">
        <f t="shared" si="85"/>
        <v>Over weight</v>
      </c>
      <c r="K1353" t="str">
        <f t="shared" si="84"/>
        <v>Normal</v>
      </c>
      <c r="L1353">
        <v>11</v>
      </c>
      <c r="M1353" t="s">
        <v>2356</v>
      </c>
      <c r="N1353">
        <v>1963</v>
      </c>
      <c r="O1353" s="8">
        <f t="shared" si="86"/>
        <v>23203</v>
      </c>
      <c r="P1353" s="10">
        <v>11319.12</v>
      </c>
      <c r="Q1353" t="s">
        <v>2358</v>
      </c>
      <c r="R1353" t="s">
        <v>2361</v>
      </c>
      <c r="S1353" t="s">
        <v>2364</v>
      </c>
      <c r="T1353">
        <f t="shared" ca="1" si="87"/>
        <v>63</v>
      </c>
      <c r="U1353">
        <f>VLOOKUP($A1353,'Medical Examination'!$A:$Z,2,FALSE)</f>
        <v>28.7</v>
      </c>
    </row>
    <row r="1354" spans="1:21" ht="15.5" x14ac:dyDescent="0.35">
      <c r="A1354" s="2" t="s">
        <v>1354</v>
      </c>
      <c r="B1354" s="2" t="s">
        <v>4351</v>
      </c>
      <c r="C1354">
        <v>27.74</v>
      </c>
      <c r="D1354">
        <v>6.06</v>
      </c>
      <c r="E1354" t="s">
        <v>2346</v>
      </c>
      <c r="F1354" t="s">
        <v>2344</v>
      </c>
      <c r="G1354" t="s">
        <v>2344</v>
      </c>
      <c r="H1354">
        <v>0</v>
      </c>
      <c r="I1354" t="s">
        <v>2344</v>
      </c>
      <c r="J1354" t="str">
        <f t="shared" si="85"/>
        <v>Over weight</v>
      </c>
      <c r="K1354" t="str">
        <f t="shared" si="84"/>
        <v>Prediabetes</v>
      </c>
      <c r="L1354">
        <v>20</v>
      </c>
      <c r="M1354" t="s">
        <v>2363</v>
      </c>
      <c r="N1354">
        <v>2002</v>
      </c>
      <c r="O1354" s="8">
        <f t="shared" si="86"/>
        <v>37519</v>
      </c>
      <c r="P1354" s="10">
        <v>11321.49</v>
      </c>
      <c r="Q1354" t="s">
        <v>2358</v>
      </c>
      <c r="R1354" t="s">
        <v>2358</v>
      </c>
      <c r="S1354" t="s">
        <v>2364</v>
      </c>
      <c r="T1354">
        <f t="shared" ca="1" si="87"/>
        <v>24</v>
      </c>
      <c r="U1354">
        <f>VLOOKUP($A1354,'Medical Examination'!$A:$Z,2,FALSE)</f>
        <v>27.74</v>
      </c>
    </row>
    <row r="1355" spans="1:21" ht="15.5" x14ac:dyDescent="0.35">
      <c r="A1355" s="2" t="s">
        <v>1355</v>
      </c>
      <c r="B1355" s="2" t="s">
        <v>3025</v>
      </c>
      <c r="C1355">
        <v>36.954999999999998</v>
      </c>
      <c r="D1355">
        <v>7.57</v>
      </c>
      <c r="E1355" t="s">
        <v>2344</v>
      </c>
      <c r="F1355" t="s">
        <v>2344</v>
      </c>
      <c r="G1355" t="s">
        <v>2344</v>
      </c>
      <c r="H1355">
        <v>0</v>
      </c>
      <c r="I1355" t="s">
        <v>2344</v>
      </c>
      <c r="J1355" t="str">
        <f t="shared" si="85"/>
        <v>Obesity</v>
      </c>
      <c r="K1355" t="str">
        <f t="shared" si="84"/>
        <v>Diabetes</v>
      </c>
      <c r="L1355">
        <v>19</v>
      </c>
      <c r="M1355" t="s">
        <v>2366</v>
      </c>
      <c r="N1355">
        <v>1989</v>
      </c>
      <c r="O1355" s="8">
        <f t="shared" si="86"/>
        <v>32739</v>
      </c>
      <c r="P1355" s="10">
        <v>11326.71</v>
      </c>
      <c r="Q1355" t="s">
        <v>2358</v>
      </c>
      <c r="R1355" t="s">
        <v>2358</v>
      </c>
      <c r="S1355" t="s">
        <v>2359</v>
      </c>
      <c r="T1355">
        <f t="shared" ca="1" si="87"/>
        <v>37</v>
      </c>
      <c r="U1355">
        <f>VLOOKUP($A1355,'Medical Examination'!$A:$Z,2,FALSE)</f>
        <v>36.954999999999998</v>
      </c>
    </row>
    <row r="1356" spans="1:21" ht="15.5" x14ac:dyDescent="0.35">
      <c r="A1356" s="2" t="s">
        <v>1356</v>
      </c>
      <c r="B1356" s="2" t="s">
        <v>4133</v>
      </c>
      <c r="C1356">
        <v>30.69</v>
      </c>
      <c r="D1356">
        <v>6.15</v>
      </c>
      <c r="E1356" t="s">
        <v>2344</v>
      </c>
      <c r="F1356" t="s">
        <v>2344</v>
      </c>
      <c r="G1356" t="s">
        <v>2344</v>
      </c>
      <c r="H1356">
        <v>0</v>
      </c>
      <c r="I1356" t="s">
        <v>2344</v>
      </c>
      <c r="J1356" t="str">
        <f t="shared" si="85"/>
        <v>Obesity</v>
      </c>
      <c r="K1356" t="str">
        <f t="shared" ref="K1356:K1419" si="88">IF(D1356&lt;5.7,"Normal",IF(D1356&lt;6.5,"Prediabetes","Diabetes"))</f>
        <v>Prediabetes</v>
      </c>
      <c r="L1356">
        <v>2</v>
      </c>
      <c r="M1356" t="s">
        <v>2360</v>
      </c>
      <c r="N1356">
        <v>1968</v>
      </c>
      <c r="O1356" s="8">
        <f t="shared" si="86"/>
        <v>25144</v>
      </c>
      <c r="P1356" s="10">
        <v>11344.32</v>
      </c>
      <c r="Q1356" t="s">
        <v>2358</v>
      </c>
      <c r="R1356" t="s">
        <v>2357</v>
      </c>
      <c r="S1356" t="s">
        <v>2373</v>
      </c>
      <c r="T1356">
        <f t="shared" ca="1" si="87"/>
        <v>58</v>
      </c>
      <c r="U1356">
        <f>VLOOKUP($A1356,'Medical Examination'!$A:$Z,2,FALSE)</f>
        <v>30.69</v>
      </c>
    </row>
    <row r="1357" spans="1:21" ht="15.5" x14ac:dyDescent="0.35">
      <c r="A1357" s="2" t="s">
        <v>1357</v>
      </c>
      <c r="B1357" s="2" t="s">
        <v>4354</v>
      </c>
      <c r="C1357">
        <v>24.984999999999999</v>
      </c>
      <c r="D1357">
        <v>4.5599999999999996</v>
      </c>
      <c r="E1357" t="s">
        <v>2344</v>
      </c>
      <c r="F1357" t="s">
        <v>2344</v>
      </c>
      <c r="G1357" t="s">
        <v>2344</v>
      </c>
      <c r="H1357">
        <v>0</v>
      </c>
      <c r="I1357" t="s">
        <v>2344</v>
      </c>
      <c r="J1357" t="str">
        <f t="shared" si="85"/>
        <v>Normal Weight</v>
      </c>
      <c r="K1357" t="str">
        <f t="shared" si="88"/>
        <v>Normal</v>
      </c>
      <c r="L1357">
        <v>12</v>
      </c>
      <c r="M1357" t="s">
        <v>2356</v>
      </c>
      <c r="N1357">
        <v>1964</v>
      </c>
      <c r="O1357" s="8">
        <f t="shared" si="86"/>
        <v>23570</v>
      </c>
      <c r="P1357" s="10">
        <v>11345.52</v>
      </c>
      <c r="Q1357" t="s">
        <v>2358</v>
      </c>
      <c r="R1357" t="s">
        <v>2358</v>
      </c>
      <c r="S1357" t="s">
        <v>2368</v>
      </c>
      <c r="T1357">
        <f t="shared" ca="1" si="87"/>
        <v>62</v>
      </c>
      <c r="U1357">
        <f>VLOOKUP($A1357,'Medical Examination'!$A:$Z,2,FALSE)</f>
        <v>24.984999999999999</v>
      </c>
    </row>
    <row r="1358" spans="1:21" ht="15.5" x14ac:dyDescent="0.35">
      <c r="A1358" s="2" t="s">
        <v>1358</v>
      </c>
      <c r="B1358" s="2" t="s">
        <v>4355</v>
      </c>
      <c r="C1358">
        <v>39.42</v>
      </c>
      <c r="D1358">
        <v>4.72</v>
      </c>
      <c r="E1358" t="s">
        <v>2346</v>
      </c>
      <c r="F1358" t="s">
        <v>2344</v>
      </c>
      <c r="G1358" t="s">
        <v>2344</v>
      </c>
      <c r="H1358">
        <v>1</v>
      </c>
      <c r="I1358" t="s">
        <v>2344</v>
      </c>
      <c r="J1358" t="str">
        <f t="shared" si="85"/>
        <v>Obesity</v>
      </c>
      <c r="K1358" t="str">
        <f t="shared" si="88"/>
        <v>Normal</v>
      </c>
      <c r="L1358">
        <v>29</v>
      </c>
      <c r="M1358" t="s">
        <v>2360</v>
      </c>
      <c r="N1358">
        <v>1965</v>
      </c>
      <c r="O1358" s="8">
        <f t="shared" si="86"/>
        <v>24075</v>
      </c>
      <c r="P1358" s="10">
        <v>11353.23</v>
      </c>
      <c r="Q1358" t="s">
        <v>2358</v>
      </c>
      <c r="R1358" t="s">
        <v>2361</v>
      </c>
      <c r="S1358" t="s">
        <v>2364</v>
      </c>
      <c r="T1358">
        <f t="shared" ca="1" si="87"/>
        <v>61</v>
      </c>
      <c r="U1358">
        <f>VLOOKUP($A1358,'Medical Examination'!$A:$Z,2,FALSE)</f>
        <v>39.42</v>
      </c>
    </row>
    <row r="1359" spans="1:21" ht="15.5" x14ac:dyDescent="0.35">
      <c r="A1359" s="2" t="s">
        <v>1359</v>
      </c>
      <c r="B1359" s="2" t="s">
        <v>4357</v>
      </c>
      <c r="C1359">
        <v>16.8</v>
      </c>
      <c r="D1359">
        <v>7.98</v>
      </c>
      <c r="E1359" t="s">
        <v>2344</v>
      </c>
      <c r="F1359" t="s">
        <v>2344</v>
      </c>
      <c r="G1359" t="s">
        <v>2344</v>
      </c>
      <c r="H1359">
        <v>0</v>
      </c>
      <c r="I1359" t="s">
        <v>2344</v>
      </c>
      <c r="J1359" t="str">
        <f t="shared" si="85"/>
        <v>Under Weight</v>
      </c>
      <c r="K1359" t="str">
        <f t="shared" si="88"/>
        <v>Diabetes</v>
      </c>
      <c r="L1359">
        <v>26</v>
      </c>
      <c r="M1359" t="s">
        <v>2363</v>
      </c>
      <c r="N1359">
        <v>1965</v>
      </c>
      <c r="O1359" s="8">
        <f t="shared" si="86"/>
        <v>24011</v>
      </c>
      <c r="P1359" s="10">
        <v>11356.66</v>
      </c>
      <c r="Q1359" t="s">
        <v>2358</v>
      </c>
      <c r="R1359" t="s">
        <v>2358</v>
      </c>
      <c r="S1359" t="s">
        <v>2364</v>
      </c>
      <c r="T1359">
        <f t="shared" ca="1" si="87"/>
        <v>61</v>
      </c>
      <c r="U1359">
        <f>VLOOKUP($A1359,'Medical Examination'!$A:$Z,2,FALSE)</f>
        <v>16.8</v>
      </c>
    </row>
    <row r="1360" spans="1:21" ht="15.5" x14ac:dyDescent="0.35">
      <c r="A1360" s="2" t="s">
        <v>1360</v>
      </c>
      <c r="B1360" s="2" t="s">
        <v>4358</v>
      </c>
      <c r="C1360">
        <v>23.274999999999999</v>
      </c>
      <c r="D1360">
        <v>6.26</v>
      </c>
      <c r="E1360" t="s">
        <v>2346</v>
      </c>
      <c r="F1360" t="s">
        <v>2344</v>
      </c>
      <c r="G1360" t="s">
        <v>2346</v>
      </c>
      <c r="H1360">
        <v>1</v>
      </c>
      <c r="I1360" t="s">
        <v>2344</v>
      </c>
      <c r="J1360" t="str">
        <f t="shared" si="85"/>
        <v>Normal Weight</v>
      </c>
      <c r="K1360" t="str">
        <f t="shared" si="88"/>
        <v>Prediabetes</v>
      </c>
      <c r="L1360">
        <v>4</v>
      </c>
      <c r="M1360" t="s">
        <v>2356</v>
      </c>
      <c r="N1360">
        <v>1964</v>
      </c>
      <c r="O1360" s="8">
        <f t="shared" si="86"/>
        <v>23562</v>
      </c>
      <c r="P1360" s="10">
        <v>11362.76</v>
      </c>
      <c r="Q1360" t="s">
        <v>2358</v>
      </c>
      <c r="R1360" t="s">
        <v>2361</v>
      </c>
      <c r="S1360" t="s">
        <v>2368</v>
      </c>
      <c r="T1360">
        <f t="shared" ca="1" si="87"/>
        <v>62</v>
      </c>
      <c r="U1360">
        <f>VLOOKUP($A1360,'Medical Examination'!$A:$Z,2,FALSE)</f>
        <v>23.274999999999999</v>
      </c>
    </row>
    <row r="1361" spans="1:21" ht="15.5" x14ac:dyDescent="0.35">
      <c r="A1361" s="2" t="s">
        <v>1361</v>
      </c>
      <c r="B1361" s="2" t="s">
        <v>2674</v>
      </c>
      <c r="C1361">
        <v>22.8</v>
      </c>
      <c r="D1361">
        <v>4.29</v>
      </c>
      <c r="E1361" t="s">
        <v>2346</v>
      </c>
      <c r="F1361" t="s">
        <v>2344</v>
      </c>
      <c r="G1361" t="s">
        <v>2346</v>
      </c>
      <c r="H1361">
        <v>1</v>
      </c>
      <c r="I1361" t="s">
        <v>2344</v>
      </c>
      <c r="J1361" t="str">
        <f t="shared" si="85"/>
        <v>Normal Weight</v>
      </c>
      <c r="K1361" t="str">
        <f t="shared" si="88"/>
        <v>Normal</v>
      </c>
      <c r="L1361">
        <v>3</v>
      </c>
      <c r="M1361" t="s">
        <v>2356</v>
      </c>
      <c r="N1361">
        <v>1964</v>
      </c>
      <c r="O1361" s="8">
        <f t="shared" si="86"/>
        <v>23561</v>
      </c>
      <c r="P1361" s="10">
        <v>11363.28</v>
      </c>
      <c r="Q1361" t="s">
        <v>2358</v>
      </c>
      <c r="R1361" t="s">
        <v>2361</v>
      </c>
      <c r="S1361" t="s">
        <v>2359</v>
      </c>
      <c r="T1361">
        <f t="shared" ca="1" si="87"/>
        <v>62</v>
      </c>
      <c r="U1361">
        <f>VLOOKUP($A1361,'Medical Examination'!$A:$Z,2,FALSE)</f>
        <v>22.8</v>
      </c>
    </row>
    <row r="1362" spans="1:21" ht="15.5" x14ac:dyDescent="0.35">
      <c r="A1362" s="2" t="s">
        <v>1362</v>
      </c>
      <c r="B1362" s="2" t="s">
        <v>4360</v>
      </c>
      <c r="C1362">
        <v>24.3</v>
      </c>
      <c r="D1362">
        <v>5.43</v>
      </c>
      <c r="E1362" t="s">
        <v>2344</v>
      </c>
      <c r="F1362" t="s">
        <v>2344</v>
      </c>
      <c r="G1362" t="s">
        <v>2344</v>
      </c>
      <c r="H1362">
        <v>1</v>
      </c>
      <c r="I1362" t="s">
        <v>2344</v>
      </c>
      <c r="J1362" t="str">
        <f t="shared" si="85"/>
        <v>Normal Weight</v>
      </c>
      <c r="K1362" t="str">
        <f t="shared" si="88"/>
        <v>Normal</v>
      </c>
      <c r="L1362">
        <v>13</v>
      </c>
      <c r="M1362" t="s">
        <v>2365</v>
      </c>
      <c r="N1362">
        <v>1964</v>
      </c>
      <c r="O1362" s="8">
        <f t="shared" si="86"/>
        <v>23724</v>
      </c>
      <c r="P1362" s="10">
        <v>11365.95</v>
      </c>
      <c r="Q1362" t="s">
        <v>2358</v>
      </c>
      <c r="R1362" t="s">
        <v>2357</v>
      </c>
      <c r="S1362" t="s">
        <v>2368</v>
      </c>
      <c r="T1362">
        <f t="shared" ca="1" si="87"/>
        <v>62</v>
      </c>
      <c r="U1362">
        <f>VLOOKUP($A1362,'Medical Examination'!$A:$Z,2,FALSE)</f>
        <v>24.3</v>
      </c>
    </row>
    <row r="1363" spans="1:21" ht="15.5" x14ac:dyDescent="0.35">
      <c r="A1363" s="2" t="s">
        <v>1363</v>
      </c>
      <c r="B1363" s="2" t="s">
        <v>4362</v>
      </c>
      <c r="C1363">
        <v>25.13</v>
      </c>
      <c r="D1363" t="s">
        <v>2346</v>
      </c>
      <c r="E1363" t="s">
        <v>2346</v>
      </c>
      <c r="F1363" t="s">
        <v>2344</v>
      </c>
      <c r="G1363" t="s">
        <v>2344</v>
      </c>
      <c r="H1363">
        <v>1</v>
      </c>
      <c r="I1363" t="s">
        <v>2344</v>
      </c>
      <c r="J1363" t="str">
        <f t="shared" si="85"/>
        <v>Over weight</v>
      </c>
      <c r="K1363" t="str">
        <f t="shared" si="88"/>
        <v>Diabetes</v>
      </c>
      <c r="L1363">
        <v>7</v>
      </c>
      <c r="M1363" t="s">
        <v>2362</v>
      </c>
      <c r="N1363">
        <v>1979</v>
      </c>
      <c r="O1363" s="8">
        <f t="shared" si="86"/>
        <v>29013</v>
      </c>
      <c r="P1363" s="10">
        <v>11369.39</v>
      </c>
      <c r="Q1363" t="s">
        <v>2358</v>
      </c>
      <c r="R1363" t="s">
        <v>2361</v>
      </c>
      <c r="S1363" t="s">
        <v>2380</v>
      </c>
      <c r="T1363">
        <f t="shared" ca="1" si="87"/>
        <v>47</v>
      </c>
      <c r="U1363">
        <f>VLOOKUP($A1363,'Medical Examination'!$A:$Z,2,FALSE)</f>
        <v>25.13</v>
      </c>
    </row>
    <row r="1364" spans="1:21" ht="15.5" x14ac:dyDescent="0.35">
      <c r="A1364" s="2" t="s">
        <v>1364</v>
      </c>
      <c r="B1364" s="2" t="s">
        <v>3679</v>
      </c>
      <c r="C1364">
        <v>22.72</v>
      </c>
      <c r="D1364">
        <v>9.9600000000000009</v>
      </c>
      <c r="E1364" t="s">
        <v>2346</v>
      </c>
      <c r="F1364" t="s">
        <v>2344</v>
      </c>
      <c r="G1364" t="s">
        <v>2344</v>
      </c>
      <c r="H1364">
        <v>1</v>
      </c>
      <c r="I1364" t="s">
        <v>2344</v>
      </c>
      <c r="J1364" t="str">
        <f t="shared" si="85"/>
        <v>Normal Weight</v>
      </c>
      <c r="K1364" t="str">
        <f t="shared" si="88"/>
        <v>Diabetes</v>
      </c>
      <c r="L1364">
        <v>6</v>
      </c>
      <c r="M1364" t="s">
        <v>2365</v>
      </c>
      <c r="N1364">
        <v>1972</v>
      </c>
      <c r="O1364" s="8">
        <f t="shared" si="86"/>
        <v>26639</v>
      </c>
      <c r="P1364" s="10">
        <v>11378.57</v>
      </c>
      <c r="Q1364" t="s">
        <v>2358</v>
      </c>
      <c r="R1364" t="s">
        <v>2357</v>
      </c>
      <c r="S1364" t="s">
        <v>2373</v>
      </c>
      <c r="T1364">
        <f t="shared" ca="1" si="87"/>
        <v>54</v>
      </c>
      <c r="U1364">
        <f>VLOOKUP($A1364,'Medical Examination'!$A:$Z,2,FALSE)</f>
        <v>22.72</v>
      </c>
    </row>
    <row r="1365" spans="1:21" ht="15.5" x14ac:dyDescent="0.35">
      <c r="A1365" s="2" t="s">
        <v>1365</v>
      </c>
      <c r="B1365" s="2" t="s">
        <v>4364</v>
      </c>
      <c r="C1365">
        <v>32.6</v>
      </c>
      <c r="D1365">
        <v>6.8</v>
      </c>
      <c r="E1365" t="s">
        <v>2346</v>
      </c>
      <c r="F1365" t="s">
        <v>2344</v>
      </c>
      <c r="G1365" t="s">
        <v>2344</v>
      </c>
      <c r="H1365">
        <v>0</v>
      </c>
      <c r="I1365" t="s">
        <v>2344</v>
      </c>
      <c r="J1365" t="str">
        <f t="shared" si="85"/>
        <v>Obesity</v>
      </c>
      <c r="K1365" t="str">
        <f t="shared" si="88"/>
        <v>Diabetes</v>
      </c>
      <c r="L1365">
        <v>13</v>
      </c>
      <c r="M1365" t="s">
        <v>2362</v>
      </c>
      <c r="N1365">
        <v>1964</v>
      </c>
      <c r="O1365" s="8">
        <f t="shared" si="86"/>
        <v>23541</v>
      </c>
      <c r="P1365" s="10">
        <v>11381.33</v>
      </c>
      <c r="Q1365" t="s">
        <v>2358</v>
      </c>
      <c r="R1365" t="s">
        <v>2357</v>
      </c>
      <c r="S1365" t="s">
        <v>2359</v>
      </c>
      <c r="T1365">
        <f t="shared" ca="1" si="87"/>
        <v>62</v>
      </c>
      <c r="U1365">
        <f>VLOOKUP($A1365,'Medical Examination'!$A:$Z,2,FALSE)</f>
        <v>32.6</v>
      </c>
    </row>
    <row r="1366" spans="1:21" ht="15.5" x14ac:dyDescent="0.35">
      <c r="A1366" s="2" t="s">
        <v>1366</v>
      </c>
      <c r="B1366" s="2" t="s">
        <v>4366</v>
      </c>
      <c r="C1366">
        <v>17.28</v>
      </c>
      <c r="D1366">
        <v>6.22</v>
      </c>
      <c r="E1366" t="s">
        <v>2346</v>
      </c>
      <c r="F1366" t="s">
        <v>2344</v>
      </c>
      <c r="G1366" t="s">
        <v>2344</v>
      </c>
      <c r="H1366">
        <v>1</v>
      </c>
      <c r="I1366" t="s">
        <v>2344</v>
      </c>
      <c r="J1366" t="str">
        <f t="shared" si="85"/>
        <v>Under Weight</v>
      </c>
      <c r="K1366" t="str">
        <f t="shared" si="88"/>
        <v>Prediabetes</v>
      </c>
      <c r="L1366">
        <v>28</v>
      </c>
      <c r="M1366" t="s">
        <v>2356</v>
      </c>
      <c r="N1366">
        <v>1997</v>
      </c>
      <c r="O1366" s="8">
        <f t="shared" si="86"/>
        <v>35639</v>
      </c>
      <c r="P1366" s="10">
        <v>11388.27</v>
      </c>
      <c r="Q1366" t="s">
        <v>2358</v>
      </c>
      <c r="R1366" t="s">
        <v>2357</v>
      </c>
      <c r="S1366" t="s">
        <v>2380</v>
      </c>
      <c r="T1366">
        <f t="shared" ca="1" si="87"/>
        <v>29</v>
      </c>
      <c r="U1366">
        <f>VLOOKUP($A1366,'Medical Examination'!$A:$Z,2,FALSE)</f>
        <v>17.28</v>
      </c>
    </row>
    <row r="1367" spans="1:21" ht="15.5" x14ac:dyDescent="0.35">
      <c r="A1367" s="2" t="s">
        <v>1367</v>
      </c>
      <c r="B1367" s="2" t="s">
        <v>4367</v>
      </c>
      <c r="C1367">
        <v>27.92</v>
      </c>
      <c r="D1367">
        <v>5.79</v>
      </c>
      <c r="E1367" t="s">
        <v>2344</v>
      </c>
      <c r="F1367" t="s">
        <v>2344</v>
      </c>
      <c r="G1367" t="s">
        <v>2344</v>
      </c>
      <c r="H1367">
        <v>1</v>
      </c>
      <c r="I1367" t="s">
        <v>2344</v>
      </c>
      <c r="J1367" t="str">
        <f t="shared" si="85"/>
        <v>Over weight</v>
      </c>
      <c r="K1367" t="str">
        <f t="shared" si="88"/>
        <v>Prediabetes</v>
      </c>
      <c r="L1367">
        <v>19</v>
      </c>
      <c r="M1367" t="s">
        <v>2365</v>
      </c>
      <c r="N1367">
        <v>1967</v>
      </c>
      <c r="O1367" s="8">
        <f t="shared" si="86"/>
        <v>24825</v>
      </c>
      <c r="P1367" s="10">
        <v>11394.07</v>
      </c>
      <c r="Q1367" t="s">
        <v>2358</v>
      </c>
      <c r="R1367" t="s">
        <v>2361</v>
      </c>
      <c r="S1367" t="s">
        <v>2372</v>
      </c>
      <c r="T1367">
        <f t="shared" ca="1" si="87"/>
        <v>59</v>
      </c>
      <c r="U1367">
        <f>VLOOKUP($A1367,'Medical Examination'!$A:$Z,2,FALSE)</f>
        <v>27.92</v>
      </c>
    </row>
    <row r="1368" spans="1:21" ht="15.5" x14ac:dyDescent="0.35">
      <c r="A1368" s="2" t="s">
        <v>1368</v>
      </c>
      <c r="B1368" s="2" t="s">
        <v>4369</v>
      </c>
      <c r="C1368">
        <v>38.284999999999997</v>
      </c>
      <c r="D1368">
        <v>5.41</v>
      </c>
      <c r="E1368" t="s">
        <v>2344</v>
      </c>
      <c r="F1368" t="s">
        <v>2344</v>
      </c>
      <c r="G1368" t="s">
        <v>2344</v>
      </c>
      <c r="H1368">
        <v>0</v>
      </c>
      <c r="I1368" t="s">
        <v>2344</v>
      </c>
      <c r="J1368" t="str">
        <f t="shared" si="85"/>
        <v>Obesity</v>
      </c>
      <c r="K1368" t="str">
        <f t="shared" si="88"/>
        <v>Normal</v>
      </c>
      <c r="L1368">
        <v>2</v>
      </c>
      <c r="M1368" t="s">
        <v>2367</v>
      </c>
      <c r="N1368">
        <v>1970</v>
      </c>
      <c r="O1368" s="8">
        <f t="shared" si="86"/>
        <v>25843</v>
      </c>
      <c r="P1368" s="10">
        <v>11396.9</v>
      </c>
      <c r="Q1368" t="s">
        <v>2358</v>
      </c>
      <c r="R1368" t="s">
        <v>2358</v>
      </c>
      <c r="S1368" t="s">
        <v>2374</v>
      </c>
      <c r="T1368">
        <f t="shared" ca="1" si="87"/>
        <v>56</v>
      </c>
      <c r="U1368">
        <f>VLOOKUP($A1368,'Medical Examination'!$A:$Z,2,FALSE)</f>
        <v>38.284999999999997</v>
      </c>
    </row>
    <row r="1369" spans="1:21" ht="15.5" x14ac:dyDescent="0.35">
      <c r="A1369" s="2" t="s">
        <v>1369</v>
      </c>
      <c r="B1369" s="2" t="s">
        <v>4371</v>
      </c>
      <c r="C1369">
        <v>16.48</v>
      </c>
      <c r="D1369">
        <v>11.05</v>
      </c>
      <c r="E1369" t="s">
        <v>2344</v>
      </c>
      <c r="F1369" t="s">
        <v>2344</v>
      </c>
      <c r="G1369" t="s">
        <v>2344</v>
      </c>
      <c r="H1369">
        <v>0</v>
      </c>
      <c r="I1369" t="s">
        <v>2344</v>
      </c>
      <c r="J1369" t="str">
        <f t="shared" si="85"/>
        <v>Under Weight</v>
      </c>
      <c r="K1369" t="str">
        <f t="shared" si="88"/>
        <v>Diabetes</v>
      </c>
      <c r="L1369">
        <v>7</v>
      </c>
      <c r="M1369" t="s">
        <v>2367</v>
      </c>
      <c r="N1369">
        <v>1970</v>
      </c>
      <c r="O1369" s="8">
        <f t="shared" si="86"/>
        <v>25848</v>
      </c>
      <c r="P1369" s="10">
        <v>11411.69</v>
      </c>
      <c r="Q1369" t="s">
        <v>2358</v>
      </c>
      <c r="R1369" t="s">
        <v>2357</v>
      </c>
      <c r="S1369" t="s">
        <v>2368</v>
      </c>
      <c r="T1369">
        <f t="shared" ca="1" si="87"/>
        <v>56</v>
      </c>
      <c r="U1369">
        <f>VLOOKUP($A1369,'Medical Examination'!$A:$Z,2,FALSE)</f>
        <v>16.48</v>
      </c>
    </row>
    <row r="1370" spans="1:21" ht="15.5" x14ac:dyDescent="0.35">
      <c r="A1370" s="2" t="s">
        <v>1370</v>
      </c>
      <c r="B1370" s="2" t="s">
        <v>4372</v>
      </c>
      <c r="C1370">
        <v>38.57</v>
      </c>
      <c r="D1370">
        <v>6.27</v>
      </c>
      <c r="E1370" t="s">
        <v>2344</v>
      </c>
      <c r="F1370" t="s">
        <v>2344</v>
      </c>
      <c r="G1370" t="s">
        <v>2344</v>
      </c>
      <c r="H1370">
        <v>0</v>
      </c>
      <c r="I1370" t="s">
        <v>2344</v>
      </c>
      <c r="J1370" t="str">
        <f t="shared" si="85"/>
        <v>Obesity</v>
      </c>
      <c r="K1370" t="str">
        <f t="shared" si="88"/>
        <v>Prediabetes</v>
      </c>
      <c r="L1370">
        <v>23</v>
      </c>
      <c r="M1370" t="s">
        <v>2367</v>
      </c>
      <c r="N1370">
        <v>1983</v>
      </c>
      <c r="O1370" s="8">
        <f t="shared" si="86"/>
        <v>30612</v>
      </c>
      <c r="P1370" s="10">
        <v>11412.02</v>
      </c>
      <c r="Q1370" t="s">
        <v>2358</v>
      </c>
      <c r="R1370" t="s">
        <v>2361</v>
      </c>
      <c r="S1370" t="s">
        <v>2377</v>
      </c>
      <c r="T1370">
        <f t="shared" ca="1" si="87"/>
        <v>43</v>
      </c>
      <c r="U1370">
        <f>VLOOKUP($A1370,'Medical Examination'!$A:$Z,2,FALSE)</f>
        <v>38.57</v>
      </c>
    </row>
    <row r="1371" spans="1:21" ht="15.5" x14ac:dyDescent="0.35">
      <c r="A1371" s="2" t="s">
        <v>1371</v>
      </c>
      <c r="B1371" s="2" t="s">
        <v>4374</v>
      </c>
      <c r="C1371">
        <v>43.85</v>
      </c>
      <c r="D1371">
        <v>4.7699999999999996</v>
      </c>
      <c r="E1371" t="s">
        <v>2346</v>
      </c>
      <c r="F1371" t="s">
        <v>2344</v>
      </c>
      <c r="G1371" t="s">
        <v>2344</v>
      </c>
      <c r="H1371">
        <v>0</v>
      </c>
      <c r="I1371" t="s">
        <v>2344</v>
      </c>
      <c r="J1371" t="str">
        <f t="shared" si="85"/>
        <v>Obesity</v>
      </c>
      <c r="K1371" t="str">
        <f t="shared" si="88"/>
        <v>Normal</v>
      </c>
      <c r="L1371">
        <v>9</v>
      </c>
      <c r="M1371" t="s">
        <v>2362</v>
      </c>
      <c r="N1371">
        <v>1985</v>
      </c>
      <c r="O1371" s="8">
        <f t="shared" si="86"/>
        <v>31207</v>
      </c>
      <c r="P1371" s="10">
        <v>11419.49</v>
      </c>
      <c r="Q1371" t="s">
        <v>2358</v>
      </c>
      <c r="R1371" t="s">
        <v>2361</v>
      </c>
      <c r="S1371" t="s">
        <v>2364</v>
      </c>
      <c r="T1371">
        <f t="shared" ca="1" si="87"/>
        <v>41</v>
      </c>
      <c r="U1371">
        <f>VLOOKUP($A1371,'Medical Examination'!$A:$Z,2,FALSE)</f>
        <v>43.85</v>
      </c>
    </row>
    <row r="1372" spans="1:21" ht="15.5" x14ac:dyDescent="0.35">
      <c r="A1372" s="2" t="s">
        <v>1372</v>
      </c>
      <c r="B1372" s="2" t="s">
        <v>4375</v>
      </c>
      <c r="C1372">
        <v>30.11</v>
      </c>
      <c r="D1372">
        <v>4.08</v>
      </c>
      <c r="E1372" t="s">
        <v>2344</v>
      </c>
      <c r="F1372" t="s">
        <v>2344</v>
      </c>
      <c r="G1372" t="s">
        <v>2344</v>
      </c>
      <c r="H1372">
        <v>0</v>
      </c>
      <c r="I1372" t="s">
        <v>2344</v>
      </c>
      <c r="J1372" t="str">
        <f t="shared" si="85"/>
        <v>Obesity</v>
      </c>
      <c r="K1372" t="str">
        <f t="shared" si="88"/>
        <v>Normal</v>
      </c>
      <c r="L1372">
        <v>17</v>
      </c>
      <c r="M1372" t="s">
        <v>2356</v>
      </c>
      <c r="N1372">
        <v>1980</v>
      </c>
      <c r="O1372" s="8">
        <f t="shared" si="86"/>
        <v>29419</v>
      </c>
      <c r="P1372" s="10">
        <v>11435.74</v>
      </c>
      <c r="Q1372" t="s">
        <v>2358</v>
      </c>
      <c r="R1372" t="s">
        <v>2358</v>
      </c>
      <c r="S1372" t="s">
        <v>2377</v>
      </c>
      <c r="T1372">
        <f t="shared" ca="1" si="87"/>
        <v>46</v>
      </c>
      <c r="U1372">
        <f>VLOOKUP($A1372,'Medical Examination'!$A:$Z,2,FALSE)</f>
        <v>30.11</v>
      </c>
    </row>
    <row r="1373" spans="1:21" ht="15.5" x14ac:dyDescent="0.35">
      <c r="A1373" s="2" t="s">
        <v>1373</v>
      </c>
      <c r="B1373" s="2" t="s">
        <v>4376</v>
      </c>
      <c r="C1373">
        <v>31.59</v>
      </c>
      <c r="D1373">
        <v>6.01</v>
      </c>
      <c r="E1373" t="s">
        <v>2344</v>
      </c>
      <c r="F1373" t="s">
        <v>2344</v>
      </c>
      <c r="G1373" t="s">
        <v>2344</v>
      </c>
      <c r="H1373">
        <v>0</v>
      </c>
      <c r="I1373" t="s">
        <v>2344</v>
      </c>
      <c r="J1373" t="str">
        <f t="shared" si="85"/>
        <v>Obesity</v>
      </c>
      <c r="K1373" t="str">
        <f t="shared" si="88"/>
        <v>Prediabetes</v>
      </c>
      <c r="L1373">
        <v>12</v>
      </c>
      <c r="M1373" t="s">
        <v>2363</v>
      </c>
      <c r="N1373">
        <v>1971</v>
      </c>
      <c r="O1373" s="8">
        <f t="shared" si="86"/>
        <v>26188</v>
      </c>
      <c r="P1373" s="10">
        <v>11436.74</v>
      </c>
      <c r="Q1373" t="s">
        <v>2358</v>
      </c>
      <c r="R1373" t="s">
        <v>2358</v>
      </c>
      <c r="S1373" t="s">
        <v>2364</v>
      </c>
      <c r="T1373">
        <f t="shared" ca="1" si="87"/>
        <v>55</v>
      </c>
      <c r="U1373">
        <f>VLOOKUP($A1373,'Medical Examination'!$A:$Z,2,FALSE)</f>
        <v>31.59</v>
      </c>
    </row>
    <row r="1374" spans="1:21" ht="15.5" x14ac:dyDescent="0.35">
      <c r="A1374" s="2" t="s">
        <v>1374</v>
      </c>
      <c r="B1374" s="2" t="s">
        <v>2758</v>
      </c>
      <c r="C1374">
        <v>40.15</v>
      </c>
      <c r="D1374">
        <v>11.84</v>
      </c>
      <c r="E1374" t="s">
        <v>2344</v>
      </c>
      <c r="F1374" t="s">
        <v>2344</v>
      </c>
      <c r="G1374" t="s">
        <v>2344</v>
      </c>
      <c r="H1374">
        <v>0</v>
      </c>
      <c r="I1374" t="s">
        <v>2344</v>
      </c>
      <c r="J1374" t="str">
        <f t="shared" si="85"/>
        <v>Obesity</v>
      </c>
      <c r="K1374" t="str">
        <f t="shared" si="88"/>
        <v>Diabetes</v>
      </c>
      <c r="L1374">
        <v>14</v>
      </c>
      <c r="M1374" t="s">
        <v>2362</v>
      </c>
      <c r="N1374">
        <v>1966</v>
      </c>
      <c r="O1374" s="8">
        <f t="shared" si="86"/>
        <v>24272</v>
      </c>
      <c r="P1374" s="10">
        <v>11454.02</v>
      </c>
      <c r="Q1374" t="s">
        <v>2358</v>
      </c>
      <c r="R1374" t="s">
        <v>2361</v>
      </c>
      <c r="S1374" t="s">
        <v>2364</v>
      </c>
      <c r="T1374">
        <f t="shared" ca="1" si="87"/>
        <v>60</v>
      </c>
      <c r="U1374">
        <f>VLOOKUP($A1374,'Medical Examination'!$A:$Z,2,FALSE)</f>
        <v>40.15</v>
      </c>
    </row>
    <row r="1375" spans="1:21" ht="15.5" x14ac:dyDescent="0.35">
      <c r="A1375" s="2" t="s">
        <v>1375</v>
      </c>
      <c r="B1375" s="2" t="s">
        <v>4379</v>
      </c>
      <c r="C1375">
        <v>40.700000000000003</v>
      </c>
      <c r="D1375">
        <v>6.27</v>
      </c>
      <c r="E1375" t="s">
        <v>2346</v>
      </c>
      <c r="F1375" t="s">
        <v>2344</v>
      </c>
      <c r="G1375" t="s">
        <v>2346</v>
      </c>
      <c r="H1375">
        <v>1</v>
      </c>
      <c r="I1375" t="s">
        <v>2344</v>
      </c>
      <c r="J1375" t="str">
        <f t="shared" si="85"/>
        <v>Obesity</v>
      </c>
      <c r="K1375" t="str">
        <f t="shared" si="88"/>
        <v>Prediabetes</v>
      </c>
      <c r="L1375">
        <v>23</v>
      </c>
      <c r="M1375" t="s">
        <v>2362</v>
      </c>
      <c r="N1375">
        <v>1965</v>
      </c>
      <c r="O1375" s="8">
        <f t="shared" si="86"/>
        <v>23916</v>
      </c>
      <c r="P1375" s="10">
        <v>11455.28</v>
      </c>
      <c r="Q1375" t="s">
        <v>2358</v>
      </c>
      <c r="R1375" t="s">
        <v>2357</v>
      </c>
      <c r="S1375" t="s">
        <v>2368</v>
      </c>
      <c r="T1375">
        <f t="shared" ca="1" si="87"/>
        <v>61</v>
      </c>
      <c r="U1375">
        <f>VLOOKUP($A1375,'Medical Examination'!$A:$Z,2,FALSE)</f>
        <v>40.700000000000003</v>
      </c>
    </row>
    <row r="1376" spans="1:21" ht="15.5" x14ac:dyDescent="0.35">
      <c r="A1376" s="2" t="s">
        <v>1376</v>
      </c>
      <c r="B1376" s="2" t="s">
        <v>3325</v>
      </c>
      <c r="C1376">
        <v>40.76</v>
      </c>
      <c r="D1376">
        <v>5.28</v>
      </c>
      <c r="E1376" t="s">
        <v>2344</v>
      </c>
      <c r="F1376" t="s">
        <v>2344</v>
      </c>
      <c r="G1376" t="s">
        <v>2344</v>
      </c>
      <c r="H1376">
        <v>0</v>
      </c>
      <c r="I1376" t="s">
        <v>2344</v>
      </c>
      <c r="J1376" t="str">
        <f t="shared" si="85"/>
        <v>Obesity</v>
      </c>
      <c r="K1376" t="str">
        <f t="shared" si="88"/>
        <v>Normal</v>
      </c>
      <c r="L1376">
        <v>7</v>
      </c>
      <c r="M1376" t="s">
        <v>2363</v>
      </c>
      <c r="N1376">
        <v>1966</v>
      </c>
      <c r="O1376" s="8">
        <f t="shared" si="86"/>
        <v>24357</v>
      </c>
      <c r="P1376" s="10">
        <v>11478.14</v>
      </c>
      <c r="Q1376" t="s">
        <v>2358</v>
      </c>
      <c r="R1376" t="s">
        <v>2357</v>
      </c>
      <c r="S1376" t="s">
        <v>2373</v>
      </c>
      <c r="T1376">
        <f t="shared" ca="1" si="87"/>
        <v>60</v>
      </c>
      <c r="U1376">
        <f>VLOOKUP($A1376,'Medical Examination'!$A:$Z,2,FALSE)</f>
        <v>40.76</v>
      </c>
    </row>
    <row r="1377" spans="1:21" ht="15.5" x14ac:dyDescent="0.35">
      <c r="A1377" s="2" t="s">
        <v>1377</v>
      </c>
      <c r="B1377" s="2" t="s">
        <v>4381</v>
      </c>
      <c r="C1377">
        <v>29.7</v>
      </c>
      <c r="D1377">
        <v>7.03</v>
      </c>
      <c r="E1377" t="s">
        <v>2344</v>
      </c>
      <c r="F1377" t="s">
        <v>2344</v>
      </c>
      <c r="G1377" t="s">
        <v>2344</v>
      </c>
      <c r="H1377">
        <v>0</v>
      </c>
      <c r="I1377" t="s">
        <v>2344</v>
      </c>
      <c r="J1377" t="str">
        <f t="shared" si="85"/>
        <v>Over weight</v>
      </c>
      <c r="K1377" t="str">
        <f t="shared" si="88"/>
        <v>Diabetes</v>
      </c>
      <c r="L1377">
        <v>10</v>
      </c>
      <c r="M1377" t="s">
        <v>2363</v>
      </c>
      <c r="N1377">
        <v>2004</v>
      </c>
      <c r="O1377" s="8">
        <f t="shared" si="86"/>
        <v>38240</v>
      </c>
      <c r="P1377" s="10">
        <v>11482.63</v>
      </c>
      <c r="Q1377" t="s">
        <v>2358</v>
      </c>
      <c r="R1377" t="s">
        <v>2357</v>
      </c>
      <c r="S1377" t="s">
        <v>2359</v>
      </c>
      <c r="T1377">
        <f t="shared" ca="1" si="87"/>
        <v>22</v>
      </c>
      <c r="U1377">
        <f>VLOOKUP($A1377,'Medical Examination'!$A:$Z,2,FALSE)</f>
        <v>29.7</v>
      </c>
    </row>
    <row r="1378" spans="1:21" ht="15.5" x14ac:dyDescent="0.35">
      <c r="A1378" s="2" t="s">
        <v>1378</v>
      </c>
      <c r="B1378" s="2" t="s">
        <v>4382</v>
      </c>
      <c r="C1378">
        <v>40.58</v>
      </c>
      <c r="D1378">
        <v>5.32</v>
      </c>
      <c r="E1378" t="s">
        <v>2346</v>
      </c>
      <c r="F1378" t="s">
        <v>2344</v>
      </c>
      <c r="G1378" t="s">
        <v>2346</v>
      </c>
      <c r="H1378">
        <v>1</v>
      </c>
      <c r="I1378" t="s">
        <v>2344</v>
      </c>
      <c r="J1378" t="str">
        <f t="shared" si="85"/>
        <v>Obesity</v>
      </c>
      <c r="K1378" t="str">
        <f t="shared" si="88"/>
        <v>Normal</v>
      </c>
      <c r="L1378">
        <v>13</v>
      </c>
      <c r="M1378" t="s">
        <v>2367</v>
      </c>
      <c r="N1378">
        <v>1970</v>
      </c>
      <c r="O1378" s="8">
        <f t="shared" si="86"/>
        <v>25854</v>
      </c>
      <c r="P1378" s="10">
        <v>11488.32</v>
      </c>
      <c r="Q1378" t="s">
        <v>2358</v>
      </c>
      <c r="R1378" t="s">
        <v>2361</v>
      </c>
      <c r="S1378" t="s">
        <v>2376</v>
      </c>
      <c r="T1378">
        <f t="shared" ca="1" si="87"/>
        <v>56</v>
      </c>
      <c r="U1378">
        <f>VLOOKUP($A1378,'Medical Examination'!$A:$Z,2,FALSE)</f>
        <v>40.58</v>
      </c>
    </row>
    <row r="1379" spans="1:21" ht="15.5" x14ac:dyDescent="0.35">
      <c r="A1379" s="2" t="s">
        <v>1379</v>
      </c>
      <c r="B1379" s="2" t="s">
        <v>4383</v>
      </c>
      <c r="C1379">
        <v>33.06</v>
      </c>
      <c r="D1379">
        <v>9.59</v>
      </c>
      <c r="E1379" t="s">
        <v>2346</v>
      </c>
      <c r="F1379" t="s">
        <v>2344</v>
      </c>
      <c r="G1379" t="s">
        <v>2344</v>
      </c>
      <c r="H1379">
        <v>0</v>
      </c>
      <c r="I1379" t="s">
        <v>2344</v>
      </c>
      <c r="J1379" t="str">
        <f t="shared" si="85"/>
        <v>Obesity</v>
      </c>
      <c r="K1379" t="str">
        <f t="shared" si="88"/>
        <v>Diabetes</v>
      </c>
      <c r="L1379">
        <v>7</v>
      </c>
      <c r="M1379" t="s">
        <v>2362</v>
      </c>
      <c r="N1379">
        <v>1983</v>
      </c>
      <c r="O1379" s="8">
        <f t="shared" si="86"/>
        <v>30474</v>
      </c>
      <c r="P1379" s="10">
        <v>11492.46</v>
      </c>
      <c r="Q1379" t="s">
        <v>2358</v>
      </c>
      <c r="R1379" t="s">
        <v>2358</v>
      </c>
      <c r="S1379" t="s">
        <v>2380</v>
      </c>
      <c r="T1379">
        <f t="shared" ca="1" si="87"/>
        <v>43</v>
      </c>
      <c r="U1379">
        <f>VLOOKUP($A1379,'Medical Examination'!$A:$Z,2,FALSE)</f>
        <v>33.06</v>
      </c>
    </row>
    <row r="1380" spans="1:21" ht="15.5" x14ac:dyDescent="0.35">
      <c r="A1380" s="2" t="s">
        <v>1380</v>
      </c>
      <c r="B1380" s="2" t="s">
        <v>4384</v>
      </c>
      <c r="C1380">
        <v>26.62</v>
      </c>
      <c r="D1380">
        <v>6.15</v>
      </c>
      <c r="E1380" t="s">
        <v>2346</v>
      </c>
      <c r="F1380" t="s">
        <v>2344</v>
      </c>
      <c r="G1380" t="s">
        <v>2344</v>
      </c>
      <c r="H1380">
        <v>0</v>
      </c>
      <c r="I1380" t="s">
        <v>2344</v>
      </c>
      <c r="J1380" t="str">
        <f t="shared" si="85"/>
        <v>Over weight</v>
      </c>
      <c r="K1380" t="str">
        <f t="shared" si="88"/>
        <v>Prediabetes</v>
      </c>
      <c r="L1380">
        <v>11</v>
      </c>
      <c r="M1380" t="s">
        <v>2366</v>
      </c>
      <c r="N1380">
        <v>1969</v>
      </c>
      <c r="O1380" s="8">
        <f t="shared" si="86"/>
        <v>25426</v>
      </c>
      <c r="P1380" s="10">
        <v>11497.69</v>
      </c>
      <c r="Q1380" t="s">
        <v>2358</v>
      </c>
      <c r="R1380" t="s">
        <v>2361</v>
      </c>
      <c r="S1380" t="s">
        <v>2364</v>
      </c>
      <c r="T1380">
        <f t="shared" ca="1" si="87"/>
        <v>57</v>
      </c>
      <c r="U1380">
        <f>VLOOKUP($A1380,'Medical Examination'!$A:$Z,2,FALSE)</f>
        <v>26.62</v>
      </c>
    </row>
    <row r="1381" spans="1:21" ht="15.5" x14ac:dyDescent="0.35">
      <c r="A1381" s="2" t="s">
        <v>1381</v>
      </c>
      <c r="B1381" s="2" t="s">
        <v>4385</v>
      </c>
      <c r="C1381">
        <v>37.1</v>
      </c>
      <c r="D1381">
        <v>11.08</v>
      </c>
      <c r="E1381" t="s">
        <v>2344</v>
      </c>
      <c r="F1381" t="s">
        <v>2344</v>
      </c>
      <c r="G1381" t="s">
        <v>2344</v>
      </c>
      <c r="H1381">
        <v>0</v>
      </c>
      <c r="I1381" t="s">
        <v>2344</v>
      </c>
      <c r="J1381" t="str">
        <f t="shared" si="85"/>
        <v>Obesity</v>
      </c>
      <c r="K1381" t="str">
        <f t="shared" si="88"/>
        <v>Diabetes</v>
      </c>
      <c r="L1381">
        <v>6</v>
      </c>
      <c r="M1381" t="s">
        <v>2367</v>
      </c>
      <c r="N1381">
        <v>1989</v>
      </c>
      <c r="O1381" s="8">
        <f t="shared" si="86"/>
        <v>32787</v>
      </c>
      <c r="P1381" s="10">
        <v>11511.61</v>
      </c>
      <c r="Q1381" t="s">
        <v>2358</v>
      </c>
      <c r="R1381" t="s">
        <v>2358</v>
      </c>
      <c r="S1381" t="s">
        <v>2380</v>
      </c>
      <c r="T1381">
        <f t="shared" ca="1" si="87"/>
        <v>37</v>
      </c>
      <c r="U1381">
        <f>VLOOKUP($A1381,'Medical Examination'!$A:$Z,2,FALSE)</f>
        <v>37.1</v>
      </c>
    </row>
    <row r="1382" spans="1:21" ht="15.5" x14ac:dyDescent="0.35">
      <c r="A1382" s="2" t="s">
        <v>1382</v>
      </c>
      <c r="B1382" s="2" t="s">
        <v>4386</v>
      </c>
      <c r="C1382">
        <v>18.28</v>
      </c>
      <c r="D1382">
        <v>7.95</v>
      </c>
      <c r="E1382" t="s">
        <v>2344</v>
      </c>
      <c r="F1382" t="s">
        <v>2344</v>
      </c>
      <c r="G1382" t="s">
        <v>2344</v>
      </c>
      <c r="H1382">
        <v>0</v>
      </c>
      <c r="I1382" t="s">
        <v>2344</v>
      </c>
      <c r="J1382" t="str">
        <f t="shared" si="85"/>
        <v>Under Weight</v>
      </c>
      <c r="K1382" t="str">
        <f t="shared" si="88"/>
        <v>Diabetes</v>
      </c>
      <c r="L1382">
        <v>24</v>
      </c>
      <c r="M1382" t="s">
        <v>2362</v>
      </c>
      <c r="N1382">
        <v>1968</v>
      </c>
      <c r="O1382" s="8">
        <f t="shared" si="86"/>
        <v>25013</v>
      </c>
      <c r="P1382" s="10">
        <v>11512.41</v>
      </c>
      <c r="Q1382" t="s">
        <v>2358</v>
      </c>
      <c r="R1382" t="s">
        <v>2361</v>
      </c>
      <c r="S1382" t="s">
        <v>2374</v>
      </c>
      <c r="T1382">
        <f t="shared" ca="1" si="87"/>
        <v>58</v>
      </c>
      <c r="U1382">
        <f>VLOOKUP($A1382,'Medical Examination'!$A:$Z,2,FALSE)</f>
        <v>18.28</v>
      </c>
    </row>
    <row r="1383" spans="1:21" ht="15.5" x14ac:dyDescent="0.35">
      <c r="A1383" s="2" t="s">
        <v>1383</v>
      </c>
      <c r="B1383" s="2" t="s">
        <v>4387</v>
      </c>
      <c r="C1383">
        <v>35.814999999999998</v>
      </c>
      <c r="D1383">
        <v>6.23</v>
      </c>
      <c r="E1383" t="s">
        <v>2344</v>
      </c>
      <c r="F1383" t="s">
        <v>2344</v>
      </c>
      <c r="G1383" t="s">
        <v>2344</v>
      </c>
      <c r="H1383">
        <v>0</v>
      </c>
      <c r="I1383" t="s">
        <v>2344</v>
      </c>
      <c r="J1383" t="str">
        <f t="shared" si="85"/>
        <v>Obesity</v>
      </c>
      <c r="K1383" t="str">
        <f t="shared" si="88"/>
        <v>Prediabetes</v>
      </c>
      <c r="L1383">
        <v>19</v>
      </c>
      <c r="M1383" t="s">
        <v>2365</v>
      </c>
      <c r="N1383">
        <v>1971</v>
      </c>
      <c r="O1383" s="8">
        <f t="shared" si="86"/>
        <v>26286</v>
      </c>
      <c r="P1383" s="10">
        <v>11520.1</v>
      </c>
      <c r="Q1383" t="s">
        <v>2358</v>
      </c>
      <c r="R1383" t="s">
        <v>2361</v>
      </c>
      <c r="S1383" t="s">
        <v>2364</v>
      </c>
      <c r="T1383">
        <f t="shared" ca="1" si="87"/>
        <v>55</v>
      </c>
      <c r="U1383">
        <f>VLOOKUP($A1383,'Medical Examination'!$A:$Z,2,FALSE)</f>
        <v>35.814999999999998</v>
      </c>
    </row>
    <row r="1384" spans="1:21" ht="15.5" x14ac:dyDescent="0.35">
      <c r="A1384" s="2" t="s">
        <v>1384</v>
      </c>
      <c r="B1384" s="2" t="s">
        <v>3448</v>
      </c>
      <c r="C1384">
        <v>30.69</v>
      </c>
      <c r="D1384">
        <v>6.5</v>
      </c>
      <c r="E1384" t="s">
        <v>2344</v>
      </c>
      <c r="F1384" t="s">
        <v>2344</v>
      </c>
      <c r="G1384" t="s">
        <v>2344</v>
      </c>
      <c r="H1384">
        <v>0</v>
      </c>
      <c r="I1384" t="s">
        <v>2344</v>
      </c>
      <c r="J1384" t="str">
        <f t="shared" si="85"/>
        <v>Obesity</v>
      </c>
      <c r="K1384" t="str">
        <f t="shared" si="88"/>
        <v>Diabetes</v>
      </c>
      <c r="L1384">
        <v>12</v>
      </c>
      <c r="M1384" t="s">
        <v>2362</v>
      </c>
      <c r="N1384">
        <v>1988</v>
      </c>
      <c r="O1384" s="8">
        <f t="shared" si="86"/>
        <v>32306</v>
      </c>
      <c r="P1384" s="10">
        <v>11524.25</v>
      </c>
      <c r="Q1384" t="s">
        <v>2358</v>
      </c>
      <c r="R1384" t="s">
        <v>2361</v>
      </c>
      <c r="S1384" t="s">
        <v>2380</v>
      </c>
      <c r="T1384">
        <f t="shared" ca="1" si="87"/>
        <v>38</v>
      </c>
      <c r="U1384">
        <f>VLOOKUP($A1384,'Medical Examination'!$A:$Z,2,FALSE)</f>
        <v>30.69</v>
      </c>
    </row>
    <row r="1385" spans="1:21" ht="15.5" x14ac:dyDescent="0.35">
      <c r="A1385" s="2" t="s">
        <v>1385</v>
      </c>
      <c r="B1385" s="2" t="s">
        <v>4388</v>
      </c>
      <c r="C1385">
        <v>26.125</v>
      </c>
      <c r="D1385">
        <v>5.22</v>
      </c>
      <c r="E1385" t="s">
        <v>2344</v>
      </c>
      <c r="F1385" t="s">
        <v>2344</v>
      </c>
      <c r="G1385" t="s">
        <v>2344</v>
      </c>
      <c r="H1385">
        <v>0</v>
      </c>
      <c r="I1385" t="s">
        <v>2344</v>
      </c>
      <c r="J1385" t="str">
        <f t="shared" si="85"/>
        <v>Over weight</v>
      </c>
      <c r="K1385" t="str">
        <f t="shared" si="88"/>
        <v>Normal</v>
      </c>
      <c r="L1385">
        <v>23</v>
      </c>
      <c r="M1385" t="s">
        <v>2356</v>
      </c>
      <c r="N1385">
        <v>1970</v>
      </c>
      <c r="O1385" s="8">
        <f t="shared" si="86"/>
        <v>25772</v>
      </c>
      <c r="P1385" s="10">
        <v>11530.12</v>
      </c>
      <c r="Q1385" t="s">
        <v>2358</v>
      </c>
      <c r="R1385" t="s">
        <v>2361</v>
      </c>
      <c r="S1385" t="s">
        <v>2364</v>
      </c>
      <c r="T1385">
        <f t="shared" ca="1" si="87"/>
        <v>56</v>
      </c>
      <c r="U1385">
        <f>VLOOKUP($A1385,'Medical Examination'!$A:$Z,2,FALSE)</f>
        <v>26.125</v>
      </c>
    </row>
    <row r="1386" spans="1:21" ht="15.5" x14ac:dyDescent="0.35">
      <c r="A1386" s="2" t="s">
        <v>1386</v>
      </c>
      <c r="B1386" s="2" t="s">
        <v>2921</v>
      </c>
      <c r="C1386">
        <v>34.58</v>
      </c>
      <c r="D1386">
        <v>6.3</v>
      </c>
      <c r="E1386" t="s">
        <v>2344</v>
      </c>
      <c r="F1386" t="s">
        <v>2344</v>
      </c>
      <c r="G1386" t="s">
        <v>2346</v>
      </c>
      <c r="H1386">
        <v>1</v>
      </c>
      <c r="I1386" t="s">
        <v>2344</v>
      </c>
      <c r="J1386" t="str">
        <f t="shared" si="85"/>
        <v>Obesity</v>
      </c>
      <c r="K1386" t="str">
        <f t="shared" si="88"/>
        <v>Prediabetes</v>
      </c>
      <c r="L1386">
        <v>3</v>
      </c>
      <c r="M1386" t="s">
        <v>2367</v>
      </c>
      <c r="N1386">
        <v>1965</v>
      </c>
      <c r="O1386" s="8">
        <f t="shared" si="86"/>
        <v>24018</v>
      </c>
      <c r="P1386" s="10">
        <v>11534.87</v>
      </c>
      <c r="Q1386" t="s">
        <v>2358</v>
      </c>
      <c r="R1386" t="s">
        <v>2361</v>
      </c>
      <c r="S1386" t="s">
        <v>2378</v>
      </c>
      <c r="T1386">
        <f t="shared" ca="1" si="87"/>
        <v>61</v>
      </c>
      <c r="U1386">
        <f>VLOOKUP($A1386,'Medical Examination'!$A:$Z,2,FALSE)</f>
        <v>34.58</v>
      </c>
    </row>
    <row r="1387" spans="1:21" ht="15.5" x14ac:dyDescent="0.35">
      <c r="A1387" s="2" t="s">
        <v>1387</v>
      </c>
      <c r="B1387" s="2" t="s">
        <v>4390</v>
      </c>
      <c r="C1387">
        <v>27.4</v>
      </c>
      <c r="D1387">
        <v>8.84</v>
      </c>
      <c r="E1387" t="s">
        <v>2344</v>
      </c>
      <c r="F1387" t="s">
        <v>2344</v>
      </c>
      <c r="G1387" t="s">
        <v>2344</v>
      </c>
      <c r="H1387">
        <v>0</v>
      </c>
      <c r="I1387" t="s">
        <v>2344</v>
      </c>
      <c r="J1387" t="str">
        <f t="shared" si="85"/>
        <v>Over weight</v>
      </c>
      <c r="K1387" t="str">
        <f t="shared" si="88"/>
        <v>Diabetes</v>
      </c>
      <c r="L1387">
        <v>14</v>
      </c>
      <c r="M1387" t="s">
        <v>2360</v>
      </c>
      <c r="N1387">
        <v>1968</v>
      </c>
      <c r="O1387" s="8">
        <f t="shared" si="86"/>
        <v>25156</v>
      </c>
      <c r="P1387" s="10">
        <v>11538.42</v>
      </c>
      <c r="Q1387" t="s">
        <v>2358</v>
      </c>
      <c r="R1387" t="s">
        <v>2361</v>
      </c>
      <c r="S1387" t="s">
        <v>2368</v>
      </c>
      <c r="T1387">
        <f t="shared" ca="1" si="87"/>
        <v>58</v>
      </c>
      <c r="U1387">
        <f>VLOOKUP($A1387,'Medical Examination'!$A:$Z,2,FALSE)</f>
        <v>27.4</v>
      </c>
    </row>
    <row r="1388" spans="1:21" ht="15.5" x14ac:dyDescent="0.35">
      <c r="A1388" s="2" t="s">
        <v>1388</v>
      </c>
      <c r="B1388" s="2" t="s">
        <v>3913</v>
      </c>
      <c r="C1388">
        <v>27.53</v>
      </c>
      <c r="D1388">
        <v>4.1100000000000003</v>
      </c>
      <c r="E1388" t="s">
        <v>2344</v>
      </c>
      <c r="F1388" t="s">
        <v>2344</v>
      </c>
      <c r="G1388" t="s">
        <v>2344</v>
      </c>
      <c r="H1388">
        <v>1</v>
      </c>
      <c r="I1388" t="s">
        <v>2344</v>
      </c>
      <c r="J1388" t="str">
        <f t="shared" si="85"/>
        <v>Over weight</v>
      </c>
      <c r="K1388" t="str">
        <f t="shared" si="88"/>
        <v>Normal</v>
      </c>
      <c r="L1388">
        <v>1</v>
      </c>
      <c r="M1388" t="s">
        <v>2365</v>
      </c>
      <c r="N1388">
        <v>1971</v>
      </c>
      <c r="O1388" s="8">
        <f t="shared" si="86"/>
        <v>26268</v>
      </c>
      <c r="P1388" s="10">
        <v>11540.25</v>
      </c>
      <c r="Q1388" t="s">
        <v>2358</v>
      </c>
      <c r="R1388" t="s">
        <v>2361</v>
      </c>
      <c r="S1388" t="s">
        <v>2364</v>
      </c>
      <c r="T1388">
        <f t="shared" ca="1" si="87"/>
        <v>55</v>
      </c>
      <c r="U1388">
        <f>VLOOKUP($A1388,'Medical Examination'!$A:$Z,2,FALSE)</f>
        <v>27.53</v>
      </c>
    </row>
    <row r="1389" spans="1:21" ht="15.5" x14ac:dyDescent="0.35">
      <c r="A1389" s="2" t="s">
        <v>1389</v>
      </c>
      <c r="B1389" s="2" t="s">
        <v>4392</v>
      </c>
      <c r="C1389">
        <v>33</v>
      </c>
      <c r="D1389">
        <v>4.57</v>
      </c>
      <c r="E1389" t="s">
        <v>2344</v>
      </c>
      <c r="F1389" t="s">
        <v>2344</v>
      </c>
      <c r="G1389" t="s">
        <v>2344</v>
      </c>
      <c r="H1389">
        <v>0</v>
      </c>
      <c r="I1389" t="s">
        <v>2344</v>
      </c>
      <c r="J1389" t="str">
        <f t="shared" si="85"/>
        <v>Obesity</v>
      </c>
      <c r="K1389" t="str">
        <f t="shared" si="88"/>
        <v>Normal</v>
      </c>
      <c r="L1389">
        <v>23</v>
      </c>
      <c r="M1389" t="s">
        <v>2356</v>
      </c>
      <c r="N1389">
        <v>1973</v>
      </c>
      <c r="O1389" s="8">
        <f t="shared" si="86"/>
        <v>26868</v>
      </c>
      <c r="P1389" s="10">
        <v>11552.9</v>
      </c>
      <c r="Q1389" t="s">
        <v>2358</v>
      </c>
      <c r="R1389" t="s">
        <v>2357</v>
      </c>
      <c r="S1389" t="s">
        <v>2368</v>
      </c>
      <c r="T1389">
        <f t="shared" ca="1" si="87"/>
        <v>53</v>
      </c>
      <c r="U1389">
        <f>VLOOKUP($A1389,'Medical Examination'!$A:$Z,2,FALSE)</f>
        <v>33</v>
      </c>
    </row>
    <row r="1390" spans="1:21" ht="15.5" x14ac:dyDescent="0.35">
      <c r="A1390" s="2" t="s">
        <v>1390</v>
      </c>
      <c r="B1390" s="2" t="s">
        <v>4394</v>
      </c>
      <c r="C1390">
        <v>25.78</v>
      </c>
      <c r="D1390">
        <v>11.06</v>
      </c>
      <c r="E1390" t="s">
        <v>2346</v>
      </c>
      <c r="F1390" t="s">
        <v>2344</v>
      </c>
      <c r="G1390" t="s">
        <v>2344</v>
      </c>
      <c r="H1390">
        <v>0</v>
      </c>
      <c r="I1390" t="s">
        <v>2344</v>
      </c>
      <c r="J1390" t="str">
        <f t="shared" si="85"/>
        <v>Over weight</v>
      </c>
      <c r="K1390" t="str">
        <f t="shared" si="88"/>
        <v>Diabetes</v>
      </c>
      <c r="L1390">
        <v>27</v>
      </c>
      <c r="M1390" t="s">
        <v>2367</v>
      </c>
      <c r="N1390">
        <v>1965</v>
      </c>
      <c r="O1390" s="8">
        <f t="shared" si="86"/>
        <v>24042</v>
      </c>
      <c r="P1390" s="10">
        <v>11554.22</v>
      </c>
      <c r="Q1390" t="s">
        <v>2358</v>
      </c>
      <c r="R1390" t="s">
        <v>2361</v>
      </c>
      <c r="S1390" t="s">
        <v>2359</v>
      </c>
      <c r="T1390">
        <f t="shared" ca="1" si="87"/>
        <v>61</v>
      </c>
      <c r="U1390">
        <f>VLOOKUP($A1390,'Medical Examination'!$A:$Z,2,FALSE)</f>
        <v>25.78</v>
      </c>
    </row>
    <row r="1391" spans="1:21" ht="15.5" x14ac:dyDescent="0.35">
      <c r="A1391" s="2" t="s">
        <v>1391</v>
      </c>
      <c r="B1391" s="2" t="s">
        <v>4395</v>
      </c>
      <c r="C1391">
        <v>22.66</v>
      </c>
      <c r="D1391">
        <v>10.68</v>
      </c>
      <c r="E1391" t="s">
        <v>2344</v>
      </c>
      <c r="F1391" t="s">
        <v>2344</v>
      </c>
      <c r="G1391" t="s">
        <v>2344</v>
      </c>
      <c r="H1391">
        <v>0</v>
      </c>
      <c r="I1391" t="s">
        <v>2344</v>
      </c>
      <c r="J1391" t="str">
        <f t="shared" si="85"/>
        <v>Normal Weight</v>
      </c>
      <c r="K1391" t="str">
        <f t="shared" si="88"/>
        <v>Diabetes</v>
      </c>
      <c r="L1391">
        <v>25</v>
      </c>
      <c r="M1391" t="s">
        <v>2365</v>
      </c>
      <c r="N1391">
        <v>1965</v>
      </c>
      <c r="O1391" s="8">
        <f t="shared" si="86"/>
        <v>24101</v>
      </c>
      <c r="P1391" s="10">
        <v>11566.3</v>
      </c>
      <c r="Q1391" t="s">
        <v>2358</v>
      </c>
      <c r="R1391" t="s">
        <v>2358</v>
      </c>
      <c r="S1391" t="s">
        <v>2371</v>
      </c>
      <c r="T1391">
        <f t="shared" ca="1" si="87"/>
        <v>61</v>
      </c>
      <c r="U1391">
        <f>VLOOKUP($A1391,'Medical Examination'!$A:$Z,2,FALSE)</f>
        <v>22.66</v>
      </c>
    </row>
    <row r="1392" spans="1:21" ht="15.5" x14ac:dyDescent="0.35">
      <c r="A1392" s="2" t="s">
        <v>1392</v>
      </c>
      <c r="B1392" s="2" t="s">
        <v>3179</v>
      </c>
      <c r="C1392">
        <v>38.81</v>
      </c>
      <c r="D1392">
        <v>6.14</v>
      </c>
      <c r="E1392" t="s">
        <v>2346</v>
      </c>
      <c r="F1392" t="s">
        <v>2344</v>
      </c>
      <c r="G1392" t="s">
        <v>2344</v>
      </c>
      <c r="H1392">
        <v>1</v>
      </c>
      <c r="I1392" t="s">
        <v>2344</v>
      </c>
      <c r="J1392" t="str">
        <f t="shared" si="85"/>
        <v>Obesity</v>
      </c>
      <c r="K1392" t="str">
        <f t="shared" si="88"/>
        <v>Prediabetes</v>
      </c>
      <c r="L1392">
        <v>6</v>
      </c>
      <c r="M1392" t="s">
        <v>2360</v>
      </c>
      <c r="N1392">
        <v>1965</v>
      </c>
      <c r="O1392" s="8">
        <f t="shared" si="86"/>
        <v>24052</v>
      </c>
      <c r="P1392" s="10">
        <v>11576.13</v>
      </c>
      <c r="Q1392" t="s">
        <v>2358</v>
      </c>
      <c r="R1392" t="s">
        <v>2358</v>
      </c>
      <c r="S1392" t="s">
        <v>2368</v>
      </c>
      <c r="T1392">
        <f t="shared" ca="1" si="87"/>
        <v>61</v>
      </c>
      <c r="U1392">
        <f>VLOOKUP($A1392,'Medical Examination'!$A:$Z,2,FALSE)</f>
        <v>38.81</v>
      </c>
    </row>
    <row r="1393" spans="1:21" ht="15.5" x14ac:dyDescent="0.35">
      <c r="A1393" s="2" t="s">
        <v>1393</v>
      </c>
      <c r="B1393" s="2" t="s">
        <v>4396</v>
      </c>
      <c r="C1393">
        <v>38.51</v>
      </c>
      <c r="D1393">
        <v>5.45</v>
      </c>
      <c r="E1393" t="s">
        <v>2346</v>
      </c>
      <c r="F1393" t="s">
        <v>2344</v>
      </c>
      <c r="G1393" t="s">
        <v>2344</v>
      </c>
      <c r="H1393">
        <v>0</v>
      </c>
      <c r="I1393" t="s">
        <v>2344</v>
      </c>
      <c r="J1393" t="str">
        <f t="shared" si="85"/>
        <v>Obesity</v>
      </c>
      <c r="K1393" t="str">
        <f t="shared" si="88"/>
        <v>Normal</v>
      </c>
      <c r="L1393">
        <v>20</v>
      </c>
      <c r="M1393" t="s">
        <v>2362</v>
      </c>
      <c r="N1393">
        <v>1964</v>
      </c>
      <c r="O1393" s="8">
        <f t="shared" si="86"/>
        <v>23548</v>
      </c>
      <c r="P1393" s="10">
        <v>11602.75</v>
      </c>
      <c r="Q1393" t="s">
        <v>2358</v>
      </c>
      <c r="R1393" t="s">
        <v>2361</v>
      </c>
      <c r="S1393" t="s">
        <v>2379</v>
      </c>
      <c r="T1393">
        <f t="shared" ca="1" si="87"/>
        <v>62</v>
      </c>
      <c r="U1393">
        <f>VLOOKUP($A1393,'Medical Examination'!$A:$Z,2,FALSE)</f>
        <v>38.51</v>
      </c>
    </row>
    <row r="1394" spans="1:21" ht="15.5" x14ac:dyDescent="0.35">
      <c r="A1394" s="2" t="s">
        <v>1394</v>
      </c>
      <c r="B1394" s="2" t="s">
        <v>4397</v>
      </c>
      <c r="C1394">
        <v>22.98</v>
      </c>
      <c r="D1394">
        <v>6.14</v>
      </c>
      <c r="E1394" t="s">
        <v>2346</v>
      </c>
      <c r="F1394" t="s">
        <v>2344</v>
      </c>
      <c r="G1394" t="s">
        <v>2344</v>
      </c>
      <c r="H1394">
        <v>0</v>
      </c>
      <c r="I1394" t="s">
        <v>2344</v>
      </c>
      <c r="J1394" t="str">
        <f t="shared" si="85"/>
        <v>Normal Weight</v>
      </c>
      <c r="K1394" t="str">
        <f t="shared" si="88"/>
        <v>Prediabetes</v>
      </c>
      <c r="L1394">
        <v>17</v>
      </c>
      <c r="M1394" t="s">
        <v>2356</v>
      </c>
      <c r="N1394">
        <v>1986</v>
      </c>
      <c r="O1394" s="8">
        <f t="shared" si="86"/>
        <v>31610</v>
      </c>
      <c r="P1394" s="10">
        <v>11625.11</v>
      </c>
      <c r="Q1394" t="s">
        <v>2358</v>
      </c>
      <c r="R1394" t="s">
        <v>2358</v>
      </c>
      <c r="S1394" t="s">
        <v>2381</v>
      </c>
      <c r="T1394">
        <f t="shared" ca="1" si="87"/>
        <v>40</v>
      </c>
      <c r="U1394">
        <f>VLOOKUP($A1394,'Medical Examination'!$A:$Z,2,FALSE)</f>
        <v>22.98</v>
      </c>
    </row>
    <row r="1395" spans="1:21" ht="15.5" x14ac:dyDescent="0.35">
      <c r="A1395" s="2" t="s">
        <v>1395</v>
      </c>
      <c r="B1395" s="2" t="s">
        <v>4398</v>
      </c>
      <c r="C1395">
        <v>15.65</v>
      </c>
      <c r="D1395">
        <v>7.85</v>
      </c>
      <c r="E1395" t="s">
        <v>2344</v>
      </c>
      <c r="F1395" t="s">
        <v>2344</v>
      </c>
      <c r="G1395" t="s">
        <v>2344</v>
      </c>
      <c r="H1395">
        <v>0</v>
      </c>
      <c r="I1395" t="s">
        <v>2344</v>
      </c>
      <c r="J1395" t="str">
        <f t="shared" si="85"/>
        <v>Under Weight</v>
      </c>
      <c r="K1395" t="str">
        <f t="shared" si="88"/>
        <v>Diabetes</v>
      </c>
      <c r="L1395">
        <v>4</v>
      </c>
      <c r="M1395" t="s">
        <v>2367</v>
      </c>
      <c r="N1395">
        <v>1966</v>
      </c>
      <c r="O1395" s="8">
        <f t="shared" si="86"/>
        <v>24384</v>
      </c>
      <c r="P1395" s="10">
        <v>11657.72</v>
      </c>
      <c r="Q1395" t="s">
        <v>2358</v>
      </c>
      <c r="R1395" t="s">
        <v>2357</v>
      </c>
      <c r="S1395" t="s">
        <v>2374</v>
      </c>
      <c r="T1395">
        <f t="shared" ca="1" si="87"/>
        <v>60</v>
      </c>
      <c r="U1395">
        <f>VLOOKUP($A1395,'Medical Examination'!$A:$Z,2,FALSE)</f>
        <v>15.65</v>
      </c>
    </row>
    <row r="1396" spans="1:21" ht="15.5" x14ac:dyDescent="0.35">
      <c r="A1396" s="2" t="s">
        <v>1396</v>
      </c>
      <c r="B1396" s="2" t="s">
        <v>4400</v>
      </c>
      <c r="C1396">
        <v>39.97</v>
      </c>
      <c r="D1396">
        <v>4.09</v>
      </c>
      <c r="E1396" t="s">
        <v>2344</v>
      </c>
      <c r="F1396" t="s">
        <v>2344</v>
      </c>
      <c r="G1396" t="s">
        <v>2344</v>
      </c>
      <c r="H1396">
        <v>1</v>
      </c>
      <c r="I1396" t="s">
        <v>2344</v>
      </c>
      <c r="J1396" t="str">
        <f t="shared" si="85"/>
        <v>Obesity</v>
      </c>
      <c r="K1396" t="str">
        <f t="shared" si="88"/>
        <v>Normal</v>
      </c>
      <c r="L1396">
        <v>20</v>
      </c>
      <c r="M1396" t="s">
        <v>2356</v>
      </c>
      <c r="N1396">
        <v>1994</v>
      </c>
      <c r="O1396" s="8">
        <f t="shared" si="86"/>
        <v>34535</v>
      </c>
      <c r="P1396" s="10">
        <v>11657.81</v>
      </c>
      <c r="Q1396" t="s">
        <v>2358</v>
      </c>
      <c r="R1396" t="s">
        <v>2357</v>
      </c>
      <c r="S1396" t="s">
        <v>2375</v>
      </c>
      <c r="T1396">
        <f t="shared" ca="1" si="87"/>
        <v>32</v>
      </c>
      <c r="U1396">
        <f>VLOOKUP($A1396,'Medical Examination'!$A:$Z,2,FALSE)</f>
        <v>39.97</v>
      </c>
    </row>
    <row r="1397" spans="1:21" ht="15.5" x14ac:dyDescent="0.35">
      <c r="A1397" s="2" t="s">
        <v>1397</v>
      </c>
      <c r="B1397" s="2" t="s">
        <v>4401</v>
      </c>
      <c r="C1397">
        <v>37.22</v>
      </c>
      <c r="D1397">
        <v>4.62</v>
      </c>
      <c r="E1397" t="s">
        <v>2344</v>
      </c>
      <c r="F1397" t="s">
        <v>2344</v>
      </c>
      <c r="G1397" t="s">
        <v>2346</v>
      </c>
      <c r="H1397">
        <v>1</v>
      </c>
      <c r="I1397" t="s">
        <v>2344</v>
      </c>
      <c r="J1397" t="str">
        <f t="shared" si="85"/>
        <v>Obesity</v>
      </c>
      <c r="K1397" t="str">
        <f t="shared" si="88"/>
        <v>Normal</v>
      </c>
      <c r="L1397">
        <v>6</v>
      </c>
      <c r="M1397" t="s">
        <v>2356</v>
      </c>
      <c r="N1397">
        <v>1966</v>
      </c>
      <c r="O1397" s="8">
        <f t="shared" si="86"/>
        <v>24294</v>
      </c>
      <c r="P1397" s="10">
        <v>11658.12</v>
      </c>
      <c r="Q1397" t="s">
        <v>2358</v>
      </c>
      <c r="R1397" t="s">
        <v>2361</v>
      </c>
      <c r="S1397" t="s">
        <v>2374</v>
      </c>
      <c r="T1397">
        <f t="shared" ca="1" si="87"/>
        <v>60</v>
      </c>
      <c r="U1397">
        <f>VLOOKUP($A1397,'Medical Examination'!$A:$Z,2,FALSE)</f>
        <v>37.22</v>
      </c>
    </row>
    <row r="1398" spans="1:21" ht="15.5" x14ac:dyDescent="0.35">
      <c r="A1398" s="2" t="s">
        <v>1398</v>
      </c>
      <c r="B1398" s="2" t="s">
        <v>4402</v>
      </c>
      <c r="C1398">
        <v>41.325000000000003</v>
      </c>
      <c r="D1398">
        <v>5.77</v>
      </c>
      <c r="E1398" t="s">
        <v>2344</v>
      </c>
      <c r="F1398" t="s">
        <v>2344</v>
      </c>
      <c r="G1398" t="s">
        <v>2344</v>
      </c>
      <c r="H1398">
        <v>0</v>
      </c>
      <c r="I1398" t="s">
        <v>2344</v>
      </c>
      <c r="J1398" t="str">
        <f t="shared" si="85"/>
        <v>Obesity</v>
      </c>
      <c r="K1398" t="str">
        <f t="shared" si="88"/>
        <v>Prediabetes</v>
      </c>
      <c r="L1398">
        <v>23</v>
      </c>
      <c r="M1398" t="s">
        <v>2366</v>
      </c>
      <c r="N1398">
        <v>1966</v>
      </c>
      <c r="O1398" s="8">
        <f t="shared" si="86"/>
        <v>24342</v>
      </c>
      <c r="P1398" s="10">
        <v>11658.38</v>
      </c>
      <c r="Q1398" t="s">
        <v>2358</v>
      </c>
      <c r="R1398" t="s">
        <v>2358</v>
      </c>
      <c r="S1398" t="s">
        <v>2374</v>
      </c>
      <c r="T1398">
        <f t="shared" ca="1" si="87"/>
        <v>60</v>
      </c>
      <c r="U1398">
        <f>VLOOKUP($A1398,'Medical Examination'!$A:$Z,2,FALSE)</f>
        <v>41.325000000000003</v>
      </c>
    </row>
    <row r="1399" spans="1:21" ht="15.5" x14ac:dyDescent="0.35">
      <c r="A1399" s="2" t="s">
        <v>1399</v>
      </c>
      <c r="B1399" s="2" t="s">
        <v>4403</v>
      </c>
      <c r="C1399">
        <v>40.31</v>
      </c>
      <c r="D1399">
        <v>5.84</v>
      </c>
      <c r="E1399" t="s">
        <v>2344</v>
      </c>
      <c r="F1399" t="s">
        <v>2344</v>
      </c>
      <c r="G1399" t="s">
        <v>2344</v>
      </c>
      <c r="H1399">
        <v>0</v>
      </c>
      <c r="I1399" t="s">
        <v>2344</v>
      </c>
      <c r="J1399" t="str">
        <f t="shared" si="85"/>
        <v>Obesity</v>
      </c>
      <c r="K1399" t="str">
        <f t="shared" si="88"/>
        <v>Prediabetes</v>
      </c>
      <c r="L1399">
        <v>9</v>
      </c>
      <c r="M1399" t="s">
        <v>2360</v>
      </c>
      <c r="N1399">
        <v>1966</v>
      </c>
      <c r="O1399" s="8">
        <f t="shared" si="86"/>
        <v>24420</v>
      </c>
      <c r="P1399" s="10">
        <v>11674.13</v>
      </c>
      <c r="Q1399" t="s">
        <v>2358</v>
      </c>
      <c r="R1399" t="s">
        <v>2361</v>
      </c>
      <c r="S1399" t="s">
        <v>2368</v>
      </c>
      <c r="T1399">
        <f t="shared" ca="1" si="87"/>
        <v>60</v>
      </c>
      <c r="U1399">
        <f>VLOOKUP($A1399,'Medical Examination'!$A:$Z,2,FALSE)</f>
        <v>40.31</v>
      </c>
    </row>
    <row r="1400" spans="1:21" ht="15.5" x14ac:dyDescent="0.35">
      <c r="A1400" s="2" t="s">
        <v>1400</v>
      </c>
      <c r="B1400" s="2" t="s">
        <v>4405</v>
      </c>
      <c r="C1400">
        <v>29.48</v>
      </c>
      <c r="D1400">
        <v>4.91</v>
      </c>
      <c r="E1400" t="s">
        <v>2344</v>
      </c>
      <c r="F1400" t="s">
        <v>2344</v>
      </c>
      <c r="G1400" t="s">
        <v>2344</v>
      </c>
      <c r="H1400">
        <v>0</v>
      </c>
      <c r="I1400" t="s">
        <v>2344</v>
      </c>
      <c r="J1400" t="str">
        <f t="shared" si="85"/>
        <v>Over weight</v>
      </c>
      <c r="K1400" t="str">
        <f t="shared" si="88"/>
        <v>Normal</v>
      </c>
      <c r="L1400">
        <v>1</v>
      </c>
      <c r="M1400" t="s">
        <v>2365</v>
      </c>
      <c r="N1400">
        <v>1970</v>
      </c>
      <c r="O1400" s="8">
        <f t="shared" si="86"/>
        <v>25903</v>
      </c>
      <c r="P1400" s="10">
        <v>11696.52</v>
      </c>
      <c r="Q1400" t="s">
        <v>2358</v>
      </c>
      <c r="R1400" t="s">
        <v>2361</v>
      </c>
      <c r="S1400" t="s">
        <v>2377</v>
      </c>
      <c r="T1400">
        <f t="shared" ca="1" si="87"/>
        <v>56</v>
      </c>
      <c r="U1400">
        <f>VLOOKUP($A1400,'Medical Examination'!$A:$Z,2,FALSE)</f>
        <v>29.48</v>
      </c>
    </row>
    <row r="1401" spans="1:21" ht="15.5" x14ac:dyDescent="0.35">
      <c r="A1401" s="2" t="s">
        <v>1401</v>
      </c>
      <c r="B1401" s="2" t="s">
        <v>4406</v>
      </c>
      <c r="C1401">
        <v>33.155000000000001</v>
      </c>
      <c r="D1401">
        <v>5.07</v>
      </c>
      <c r="E1401" t="s">
        <v>2344</v>
      </c>
      <c r="F1401" t="s">
        <v>2344</v>
      </c>
      <c r="G1401" t="s">
        <v>2344</v>
      </c>
      <c r="H1401">
        <v>0</v>
      </c>
      <c r="I1401" t="s">
        <v>2344</v>
      </c>
      <c r="J1401" t="str">
        <f t="shared" si="85"/>
        <v>Obesity</v>
      </c>
      <c r="K1401" t="str">
        <f t="shared" si="88"/>
        <v>Normal</v>
      </c>
      <c r="L1401">
        <v>21</v>
      </c>
      <c r="M1401" t="s">
        <v>2367</v>
      </c>
      <c r="N1401">
        <v>1982</v>
      </c>
      <c r="O1401" s="8">
        <f t="shared" si="86"/>
        <v>30245</v>
      </c>
      <c r="P1401" s="10">
        <v>11712.97</v>
      </c>
      <c r="Q1401" t="s">
        <v>2358</v>
      </c>
      <c r="R1401" t="s">
        <v>2357</v>
      </c>
      <c r="S1401" t="s">
        <v>2377</v>
      </c>
      <c r="T1401">
        <f t="shared" ca="1" si="87"/>
        <v>44</v>
      </c>
      <c r="U1401">
        <f>VLOOKUP($A1401,'Medical Examination'!$A:$Z,2,FALSE)</f>
        <v>33.155000000000001</v>
      </c>
    </row>
    <row r="1402" spans="1:21" ht="15.5" x14ac:dyDescent="0.35">
      <c r="A1402" s="2" t="s">
        <v>1402</v>
      </c>
      <c r="B1402" s="2" t="s">
        <v>4157</v>
      </c>
      <c r="C1402">
        <v>42.85</v>
      </c>
      <c r="D1402">
        <v>5.81</v>
      </c>
      <c r="E1402" t="s">
        <v>2346</v>
      </c>
      <c r="F1402" t="s">
        <v>2344</v>
      </c>
      <c r="G1402" t="s">
        <v>2344</v>
      </c>
      <c r="H1402">
        <v>0</v>
      </c>
      <c r="I1402" t="s">
        <v>2344</v>
      </c>
      <c r="J1402" t="str">
        <f t="shared" si="85"/>
        <v>Obesity</v>
      </c>
      <c r="K1402" t="str">
        <f t="shared" si="88"/>
        <v>Prediabetes</v>
      </c>
      <c r="L1402">
        <v>12</v>
      </c>
      <c r="M1402" t="s">
        <v>2367</v>
      </c>
      <c r="N1402">
        <v>1969</v>
      </c>
      <c r="O1402" s="8">
        <f t="shared" si="86"/>
        <v>25488</v>
      </c>
      <c r="P1402" s="10">
        <v>11729.68</v>
      </c>
      <c r="Q1402" t="s">
        <v>2358</v>
      </c>
      <c r="R1402" t="s">
        <v>2361</v>
      </c>
      <c r="S1402" t="s">
        <v>2374</v>
      </c>
      <c r="T1402">
        <f t="shared" ca="1" si="87"/>
        <v>57</v>
      </c>
      <c r="U1402">
        <f>VLOOKUP($A1402,'Medical Examination'!$A:$Z,2,FALSE)</f>
        <v>42.85</v>
      </c>
    </row>
    <row r="1403" spans="1:21" ht="15.5" x14ac:dyDescent="0.35">
      <c r="A1403" s="2" t="s">
        <v>1403</v>
      </c>
      <c r="B1403" s="2" t="s">
        <v>4407</v>
      </c>
      <c r="C1403">
        <v>32.340000000000003</v>
      </c>
      <c r="D1403">
        <v>11.2</v>
      </c>
      <c r="E1403" t="s">
        <v>2344</v>
      </c>
      <c r="F1403" t="s">
        <v>2344</v>
      </c>
      <c r="G1403" t="s">
        <v>2344</v>
      </c>
      <c r="H1403">
        <v>0</v>
      </c>
      <c r="I1403" t="s">
        <v>2344</v>
      </c>
      <c r="J1403" t="str">
        <f t="shared" si="85"/>
        <v>Obesity</v>
      </c>
      <c r="K1403" t="str">
        <f t="shared" si="88"/>
        <v>Diabetes</v>
      </c>
      <c r="L1403">
        <v>26</v>
      </c>
      <c r="M1403" t="s">
        <v>2360</v>
      </c>
      <c r="N1403">
        <v>1984</v>
      </c>
      <c r="O1403" s="8">
        <f t="shared" si="86"/>
        <v>31012</v>
      </c>
      <c r="P1403" s="10">
        <v>11730.82</v>
      </c>
      <c r="Q1403" t="s">
        <v>2358</v>
      </c>
      <c r="R1403" t="s">
        <v>2358</v>
      </c>
      <c r="S1403" t="s">
        <v>2380</v>
      </c>
      <c r="T1403">
        <f t="shared" ca="1" si="87"/>
        <v>42</v>
      </c>
      <c r="U1403">
        <f>VLOOKUP($A1403,'Medical Examination'!$A:$Z,2,FALSE)</f>
        <v>32.340000000000003</v>
      </c>
    </row>
    <row r="1404" spans="1:21" ht="15.5" x14ac:dyDescent="0.35">
      <c r="A1404" s="2" t="s">
        <v>1404</v>
      </c>
      <c r="B1404" s="2" t="s">
        <v>4408</v>
      </c>
      <c r="C1404">
        <v>27.5</v>
      </c>
      <c r="D1404">
        <v>10.75</v>
      </c>
      <c r="E1404" t="s">
        <v>2344</v>
      </c>
      <c r="F1404" t="s">
        <v>2344</v>
      </c>
      <c r="G1404" t="s">
        <v>2344</v>
      </c>
      <c r="H1404">
        <v>0</v>
      </c>
      <c r="I1404" t="s">
        <v>2344</v>
      </c>
      <c r="J1404" t="str">
        <f t="shared" si="85"/>
        <v>Over weight</v>
      </c>
      <c r="K1404" t="str">
        <f t="shared" si="88"/>
        <v>Diabetes</v>
      </c>
      <c r="L1404">
        <v>9</v>
      </c>
      <c r="M1404" t="s">
        <v>2360</v>
      </c>
      <c r="N1404">
        <v>1964</v>
      </c>
      <c r="O1404" s="8">
        <f t="shared" si="86"/>
        <v>23690</v>
      </c>
      <c r="P1404" s="10">
        <v>11735.88</v>
      </c>
      <c r="Q1404" t="s">
        <v>2358</v>
      </c>
      <c r="R1404" t="s">
        <v>2361</v>
      </c>
      <c r="S1404" t="s">
        <v>2364</v>
      </c>
      <c r="T1404">
        <f t="shared" ca="1" si="87"/>
        <v>62</v>
      </c>
      <c r="U1404">
        <f>VLOOKUP($A1404,'Medical Examination'!$A:$Z,2,FALSE)</f>
        <v>27.5</v>
      </c>
    </row>
    <row r="1405" spans="1:21" ht="15.5" x14ac:dyDescent="0.35">
      <c r="A1405" s="2" t="s">
        <v>1405</v>
      </c>
      <c r="B1405" s="2" t="s">
        <v>4409</v>
      </c>
      <c r="C1405">
        <v>25.8</v>
      </c>
      <c r="D1405">
        <v>7.8</v>
      </c>
      <c r="E1405" t="s">
        <v>2344</v>
      </c>
      <c r="F1405" t="s">
        <v>2344</v>
      </c>
      <c r="G1405" t="s">
        <v>2344</v>
      </c>
      <c r="H1405">
        <v>0</v>
      </c>
      <c r="I1405" t="s">
        <v>2344</v>
      </c>
      <c r="J1405" t="str">
        <f t="shared" si="85"/>
        <v>Over weight</v>
      </c>
      <c r="K1405" t="str">
        <f t="shared" si="88"/>
        <v>Diabetes</v>
      </c>
      <c r="L1405">
        <v>5</v>
      </c>
      <c r="M1405" t="s">
        <v>2363</v>
      </c>
      <c r="N1405">
        <v>1988</v>
      </c>
      <c r="O1405" s="8">
        <f t="shared" si="86"/>
        <v>32391</v>
      </c>
      <c r="P1405" s="10">
        <v>11737.85</v>
      </c>
      <c r="Q1405" t="s">
        <v>2358</v>
      </c>
      <c r="R1405" t="s">
        <v>2361</v>
      </c>
      <c r="S1405" t="s">
        <v>2368</v>
      </c>
      <c r="T1405">
        <f t="shared" ca="1" si="87"/>
        <v>38</v>
      </c>
      <c r="U1405">
        <f>VLOOKUP($A1405,'Medical Examination'!$A:$Z,2,FALSE)</f>
        <v>25.8</v>
      </c>
    </row>
    <row r="1406" spans="1:21" ht="15.5" x14ac:dyDescent="0.35">
      <c r="A1406" s="2" t="s">
        <v>1406</v>
      </c>
      <c r="B1406" s="2" t="s">
        <v>4410</v>
      </c>
      <c r="C1406">
        <v>25</v>
      </c>
      <c r="D1406">
        <v>7.04</v>
      </c>
      <c r="E1406" t="s">
        <v>2344</v>
      </c>
      <c r="F1406" t="s">
        <v>2344</v>
      </c>
      <c r="G1406" t="s">
        <v>2344</v>
      </c>
      <c r="H1406">
        <v>0</v>
      </c>
      <c r="I1406" t="s">
        <v>2344</v>
      </c>
      <c r="J1406" t="str">
        <f t="shared" si="85"/>
        <v>Over weight</v>
      </c>
      <c r="K1406" t="str">
        <f t="shared" si="88"/>
        <v>Diabetes</v>
      </c>
      <c r="L1406">
        <v>12</v>
      </c>
      <c r="M1406" t="s">
        <v>2360</v>
      </c>
      <c r="N1406">
        <v>1969</v>
      </c>
      <c r="O1406" s="8">
        <f t="shared" si="86"/>
        <v>25519</v>
      </c>
      <c r="P1406" s="10">
        <v>11741.73</v>
      </c>
      <c r="Q1406" t="s">
        <v>2358</v>
      </c>
      <c r="R1406" t="s">
        <v>2361</v>
      </c>
      <c r="S1406" t="s">
        <v>2368</v>
      </c>
      <c r="T1406">
        <f t="shared" ca="1" si="87"/>
        <v>57</v>
      </c>
      <c r="U1406">
        <f>VLOOKUP($A1406,'Medical Examination'!$A:$Z,2,FALSE)</f>
        <v>25</v>
      </c>
    </row>
    <row r="1407" spans="1:21" ht="15.5" x14ac:dyDescent="0.35">
      <c r="A1407" s="2" t="s">
        <v>1407</v>
      </c>
      <c r="B1407" s="2" t="s">
        <v>4412</v>
      </c>
      <c r="C1407">
        <v>41.2</v>
      </c>
      <c r="D1407">
        <v>4.18</v>
      </c>
      <c r="E1407" t="s">
        <v>2346</v>
      </c>
      <c r="F1407" t="s">
        <v>2344</v>
      </c>
      <c r="G1407" t="s">
        <v>2344</v>
      </c>
      <c r="H1407">
        <v>0</v>
      </c>
      <c r="I1407" t="s">
        <v>2344</v>
      </c>
      <c r="J1407" t="str">
        <f t="shared" si="85"/>
        <v>Obesity</v>
      </c>
      <c r="K1407" t="str">
        <f t="shared" si="88"/>
        <v>Normal</v>
      </c>
      <c r="L1407">
        <v>9</v>
      </c>
      <c r="M1407" t="s">
        <v>2362</v>
      </c>
      <c r="N1407">
        <v>1963</v>
      </c>
      <c r="O1407" s="8">
        <f t="shared" si="86"/>
        <v>23171</v>
      </c>
      <c r="P1407" s="10">
        <v>11743.3</v>
      </c>
      <c r="Q1407" t="s">
        <v>2358</v>
      </c>
      <c r="R1407" t="s">
        <v>2358</v>
      </c>
      <c r="S1407" t="s">
        <v>2359</v>
      </c>
      <c r="T1407">
        <f t="shared" ca="1" si="87"/>
        <v>63</v>
      </c>
      <c r="U1407">
        <f>VLOOKUP($A1407,'Medical Examination'!$A:$Z,2,FALSE)</f>
        <v>41.2</v>
      </c>
    </row>
    <row r="1408" spans="1:21" ht="15.5" x14ac:dyDescent="0.35">
      <c r="A1408" s="2" t="s">
        <v>1408</v>
      </c>
      <c r="B1408" s="2" t="s">
        <v>4413</v>
      </c>
      <c r="C1408">
        <v>17.78</v>
      </c>
      <c r="D1408">
        <v>8.19</v>
      </c>
      <c r="E1408" t="s">
        <v>2344</v>
      </c>
      <c r="F1408" t="s">
        <v>2344</v>
      </c>
      <c r="G1408" t="s">
        <v>2344</v>
      </c>
      <c r="H1408">
        <v>0</v>
      </c>
      <c r="I1408" t="s">
        <v>2344</v>
      </c>
      <c r="J1408" t="str">
        <f t="shared" si="85"/>
        <v>Under Weight</v>
      </c>
      <c r="K1408" t="str">
        <f t="shared" si="88"/>
        <v>Diabetes</v>
      </c>
      <c r="L1408">
        <v>2</v>
      </c>
      <c r="M1408" t="s">
        <v>2365</v>
      </c>
      <c r="N1408">
        <v>1964</v>
      </c>
      <c r="O1408" s="8">
        <f t="shared" si="86"/>
        <v>23713</v>
      </c>
      <c r="P1408" s="10">
        <v>11743.93</v>
      </c>
      <c r="Q1408" t="s">
        <v>2358</v>
      </c>
      <c r="R1408" t="s">
        <v>2361</v>
      </c>
      <c r="S1408" t="s">
        <v>2364</v>
      </c>
      <c r="T1408">
        <f t="shared" ca="1" si="87"/>
        <v>62</v>
      </c>
      <c r="U1408">
        <f>VLOOKUP($A1408,'Medical Examination'!$A:$Z,2,FALSE)</f>
        <v>17.78</v>
      </c>
    </row>
    <row r="1409" spans="1:21" ht="15.5" x14ac:dyDescent="0.35">
      <c r="A1409" s="2" t="s">
        <v>1409</v>
      </c>
      <c r="B1409" s="2" t="s">
        <v>4414</v>
      </c>
      <c r="C1409">
        <v>40.119999999999997</v>
      </c>
      <c r="D1409">
        <v>6.22</v>
      </c>
      <c r="E1409" t="s">
        <v>2346</v>
      </c>
      <c r="F1409" t="s">
        <v>2344</v>
      </c>
      <c r="G1409" t="s">
        <v>2346</v>
      </c>
      <c r="H1409">
        <v>1</v>
      </c>
      <c r="I1409" t="s">
        <v>2344</v>
      </c>
      <c r="J1409" t="str">
        <f t="shared" si="85"/>
        <v>Obesity</v>
      </c>
      <c r="K1409" t="str">
        <f t="shared" si="88"/>
        <v>Prediabetes</v>
      </c>
      <c r="L1409">
        <v>6</v>
      </c>
      <c r="M1409" t="s">
        <v>2360</v>
      </c>
      <c r="N1409">
        <v>1979</v>
      </c>
      <c r="O1409" s="8">
        <f t="shared" si="86"/>
        <v>29165</v>
      </c>
      <c r="P1409" s="10">
        <v>11752.68</v>
      </c>
      <c r="Q1409" t="s">
        <v>2358</v>
      </c>
      <c r="R1409" t="s">
        <v>2361</v>
      </c>
      <c r="S1409" t="s">
        <v>2380</v>
      </c>
      <c r="T1409">
        <f t="shared" ca="1" si="87"/>
        <v>47</v>
      </c>
      <c r="U1409">
        <f>VLOOKUP($A1409,'Medical Examination'!$A:$Z,2,FALSE)</f>
        <v>40.119999999999997</v>
      </c>
    </row>
    <row r="1410" spans="1:21" ht="15.5" x14ac:dyDescent="0.35">
      <c r="A1410" s="2" t="s">
        <v>1410</v>
      </c>
      <c r="B1410" s="2" t="s">
        <v>4415</v>
      </c>
      <c r="C1410">
        <v>19.350000000000001</v>
      </c>
      <c r="D1410">
        <v>8.2200000000000006</v>
      </c>
      <c r="E1410" t="s">
        <v>2346</v>
      </c>
      <c r="F1410" t="s">
        <v>2344</v>
      </c>
      <c r="G1410" t="s">
        <v>2344</v>
      </c>
      <c r="H1410">
        <v>0</v>
      </c>
      <c r="I1410" t="s">
        <v>2344</v>
      </c>
      <c r="J1410" t="str">
        <f t="shared" si="85"/>
        <v>Normal Weight</v>
      </c>
      <c r="K1410" t="str">
        <f t="shared" si="88"/>
        <v>Diabetes</v>
      </c>
      <c r="L1410">
        <v>25</v>
      </c>
      <c r="M1410" t="s">
        <v>2356</v>
      </c>
      <c r="N1410">
        <v>1966</v>
      </c>
      <c r="O1410" s="8">
        <f t="shared" si="86"/>
        <v>24313</v>
      </c>
      <c r="P1410" s="10">
        <v>11763</v>
      </c>
      <c r="Q1410" t="s">
        <v>2358</v>
      </c>
      <c r="R1410" t="s">
        <v>2358</v>
      </c>
      <c r="S1410" t="s">
        <v>2371</v>
      </c>
      <c r="T1410">
        <f t="shared" ca="1" si="87"/>
        <v>60</v>
      </c>
      <c r="U1410">
        <f>VLOOKUP($A1410,'Medical Examination'!$A:$Z,2,FALSE)</f>
        <v>19.350000000000001</v>
      </c>
    </row>
    <row r="1411" spans="1:21" ht="15.5" x14ac:dyDescent="0.35">
      <c r="A1411" s="2" t="s">
        <v>1411</v>
      </c>
      <c r="B1411" s="2" t="s">
        <v>4416</v>
      </c>
      <c r="C1411">
        <v>36.69</v>
      </c>
      <c r="D1411">
        <v>6.15</v>
      </c>
      <c r="E1411" t="s">
        <v>2344</v>
      </c>
      <c r="F1411" t="s">
        <v>2344</v>
      </c>
      <c r="G1411" t="s">
        <v>2344</v>
      </c>
      <c r="H1411">
        <v>0</v>
      </c>
      <c r="I1411" t="s">
        <v>2344</v>
      </c>
      <c r="J1411" t="str">
        <f t="shared" ref="J1411:J1474" si="89">IF(C1411&lt;18.5,"Under Weight",IF(C1411&lt;25,"Normal Weight",IF(C1411&lt;30,"Over weight","Obesity")))</f>
        <v>Obesity</v>
      </c>
      <c r="K1411" t="str">
        <f t="shared" si="88"/>
        <v>Prediabetes</v>
      </c>
      <c r="L1411">
        <v>20</v>
      </c>
      <c r="M1411" t="s">
        <v>2360</v>
      </c>
      <c r="N1411">
        <v>1982</v>
      </c>
      <c r="O1411" s="8">
        <f t="shared" ref="O1411:O1474" si="90">DATE(N1411,MONTH(1&amp;M1411),L1411)</f>
        <v>30275</v>
      </c>
      <c r="P1411" s="10">
        <v>11773.06</v>
      </c>
      <c r="Q1411" t="s">
        <v>2358</v>
      </c>
      <c r="R1411" t="s">
        <v>2358</v>
      </c>
      <c r="S1411" t="s">
        <v>2380</v>
      </c>
      <c r="T1411">
        <f t="shared" ref="T1411:T1474" ca="1" si="91">YEAR(TODAY())-YEAR(O1411)</f>
        <v>44</v>
      </c>
      <c r="U1411">
        <f>VLOOKUP($A1411,'Medical Examination'!$A:$Z,2,FALSE)</f>
        <v>36.69</v>
      </c>
    </row>
    <row r="1412" spans="1:21" ht="15.5" x14ac:dyDescent="0.35">
      <c r="A1412" s="2" t="s">
        <v>1412</v>
      </c>
      <c r="B1412" s="2" t="s">
        <v>4050</v>
      </c>
      <c r="C1412">
        <v>28.51</v>
      </c>
      <c r="D1412">
        <v>5.65</v>
      </c>
      <c r="E1412" t="s">
        <v>2346</v>
      </c>
      <c r="F1412" t="s">
        <v>2344</v>
      </c>
      <c r="G1412" t="s">
        <v>2344</v>
      </c>
      <c r="H1412">
        <v>1</v>
      </c>
      <c r="I1412" t="s">
        <v>2344</v>
      </c>
      <c r="J1412" t="str">
        <f t="shared" si="89"/>
        <v>Over weight</v>
      </c>
      <c r="K1412" t="str">
        <f t="shared" si="88"/>
        <v>Normal</v>
      </c>
      <c r="L1412">
        <v>3</v>
      </c>
      <c r="M1412" t="s">
        <v>2367</v>
      </c>
      <c r="N1412">
        <v>1965</v>
      </c>
      <c r="O1412" s="8">
        <f t="shared" si="90"/>
        <v>24018</v>
      </c>
      <c r="P1412" s="10">
        <v>11830.61</v>
      </c>
      <c r="Q1412" t="s">
        <v>2358</v>
      </c>
      <c r="R1412" t="s">
        <v>2361</v>
      </c>
      <c r="S1412" t="s">
        <v>2364</v>
      </c>
      <c r="T1412">
        <f t="shared" ca="1" si="91"/>
        <v>61</v>
      </c>
      <c r="U1412">
        <f>VLOOKUP($A1412,'Medical Examination'!$A:$Z,2,FALSE)</f>
        <v>28.51</v>
      </c>
    </row>
    <row r="1413" spans="1:21" ht="15.5" x14ac:dyDescent="0.35">
      <c r="A1413" s="2" t="s">
        <v>1413</v>
      </c>
      <c r="B1413" s="2" t="s">
        <v>4418</v>
      </c>
      <c r="C1413">
        <v>30.21</v>
      </c>
      <c r="D1413">
        <v>5.5</v>
      </c>
      <c r="E1413" t="s">
        <v>2344</v>
      </c>
      <c r="F1413" t="s">
        <v>2344</v>
      </c>
      <c r="G1413" t="s">
        <v>2344</v>
      </c>
      <c r="H1413">
        <v>1</v>
      </c>
      <c r="I1413" t="s">
        <v>2344</v>
      </c>
      <c r="J1413" t="str">
        <f t="shared" si="89"/>
        <v>Obesity</v>
      </c>
      <c r="K1413" t="str">
        <f t="shared" si="88"/>
        <v>Normal</v>
      </c>
      <c r="L1413">
        <v>27</v>
      </c>
      <c r="M1413" t="s">
        <v>2362</v>
      </c>
      <c r="N1413">
        <v>1964</v>
      </c>
      <c r="O1413" s="8">
        <f t="shared" si="90"/>
        <v>23555</v>
      </c>
      <c r="P1413" s="10">
        <v>11833.78</v>
      </c>
      <c r="Q1413" t="s">
        <v>2358</v>
      </c>
      <c r="R1413" t="s">
        <v>2358</v>
      </c>
      <c r="S1413" t="s">
        <v>2359</v>
      </c>
      <c r="T1413">
        <f t="shared" ca="1" si="91"/>
        <v>62</v>
      </c>
      <c r="U1413">
        <f>VLOOKUP($A1413,'Medical Examination'!$A:$Z,2,FALSE)</f>
        <v>30.21</v>
      </c>
    </row>
    <row r="1414" spans="1:21" ht="15.5" x14ac:dyDescent="0.35">
      <c r="A1414" s="2" t="s">
        <v>1414</v>
      </c>
      <c r="B1414" s="2" t="s">
        <v>4197</v>
      </c>
      <c r="C1414">
        <v>24.33</v>
      </c>
      <c r="D1414" t="s">
        <v>2346</v>
      </c>
      <c r="E1414" t="s">
        <v>2344</v>
      </c>
      <c r="F1414" t="s">
        <v>2344</v>
      </c>
      <c r="G1414" t="s">
        <v>2344</v>
      </c>
      <c r="H1414">
        <v>0</v>
      </c>
      <c r="I1414" t="s">
        <v>2344</v>
      </c>
      <c r="J1414" t="str">
        <f t="shared" si="89"/>
        <v>Normal Weight</v>
      </c>
      <c r="K1414" t="str">
        <f t="shared" si="88"/>
        <v>Diabetes</v>
      </c>
      <c r="L1414">
        <v>11</v>
      </c>
      <c r="M1414" t="s">
        <v>2363</v>
      </c>
      <c r="N1414">
        <v>1964</v>
      </c>
      <c r="O1414" s="8">
        <f t="shared" si="90"/>
        <v>23631</v>
      </c>
      <c r="P1414" s="10">
        <v>11837.16</v>
      </c>
      <c r="Q1414" t="s">
        <v>2358</v>
      </c>
      <c r="R1414" t="s">
        <v>2358</v>
      </c>
      <c r="S1414" t="s">
        <v>2368</v>
      </c>
      <c r="T1414">
        <f t="shared" ca="1" si="91"/>
        <v>62</v>
      </c>
      <c r="U1414">
        <f>VLOOKUP($A1414,'Medical Examination'!$A:$Z,2,FALSE)</f>
        <v>24.33</v>
      </c>
    </row>
    <row r="1415" spans="1:21" ht="15.5" x14ac:dyDescent="0.35">
      <c r="A1415" s="2" t="s">
        <v>1415</v>
      </c>
      <c r="B1415" s="2" t="s">
        <v>4420</v>
      </c>
      <c r="C1415">
        <v>19.855</v>
      </c>
      <c r="D1415">
        <v>5.71</v>
      </c>
      <c r="E1415" t="s">
        <v>2346</v>
      </c>
      <c r="F1415" t="s">
        <v>2344</v>
      </c>
      <c r="G1415" t="s">
        <v>2344</v>
      </c>
      <c r="H1415">
        <v>0</v>
      </c>
      <c r="I1415" t="s">
        <v>2344</v>
      </c>
      <c r="J1415" t="str">
        <f t="shared" si="89"/>
        <v>Normal Weight</v>
      </c>
      <c r="K1415" t="str">
        <f t="shared" si="88"/>
        <v>Prediabetes</v>
      </c>
      <c r="L1415">
        <v>25</v>
      </c>
      <c r="M1415" t="s">
        <v>2363</v>
      </c>
      <c r="N1415">
        <v>1965</v>
      </c>
      <c r="O1415" s="8">
        <f t="shared" si="90"/>
        <v>24010</v>
      </c>
      <c r="P1415" s="10">
        <v>11840.78</v>
      </c>
      <c r="Q1415" t="s">
        <v>2358</v>
      </c>
      <c r="R1415" t="s">
        <v>2357</v>
      </c>
      <c r="S1415" t="s">
        <v>2364</v>
      </c>
      <c r="T1415">
        <f t="shared" ca="1" si="91"/>
        <v>61</v>
      </c>
      <c r="U1415">
        <f>VLOOKUP($A1415,'Medical Examination'!$A:$Z,2,FALSE)</f>
        <v>19.855</v>
      </c>
    </row>
    <row r="1416" spans="1:21" ht="15.5" x14ac:dyDescent="0.35">
      <c r="A1416" s="2" t="s">
        <v>1416</v>
      </c>
      <c r="B1416" s="2" t="s">
        <v>4421</v>
      </c>
      <c r="C1416">
        <v>25.364999999999998</v>
      </c>
      <c r="D1416">
        <v>11.71</v>
      </c>
      <c r="E1416" t="s">
        <v>2344</v>
      </c>
      <c r="F1416" t="s">
        <v>2344</v>
      </c>
      <c r="G1416" t="s">
        <v>2344</v>
      </c>
      <c r="H1416">
        <v>0</v>
      </c>
      <c r="I1416" t="s">
        <v>2344</v>
      </c>
      <c r="J1416" t="str">
        <f t="shared" si="89"/>
        <v>Over weight</v>
      </c>
      <c r="K1416" t="str">
        <f t="shared" si="88"/>
        <v>Diabetes</v>
      </c>
      <c r="L1416">
        <v>11</v>
      </c>
      <c r="M1416" t="s">
        <v>2356</v>
      </c>
      <c r="N1416">
        <v>1964</v>
      </c>
      <c r="O1416" s="8">
        <f t="shared" si="90"/>
        <v>23569</v>
      </c>
      <c r="P1416" s="10">
        <v>11842.44</v>
      </c>
      <c r="Q1416" t="s">
        <v>2358</v>
      </c>
      <c r="R1416" t="s">
        <v>2357</v>
      </c>
      <c r="S1416" t="s">
        <v>2368</v>
      </c>
      <c r="T1416">
        <f t="shared" ca="1" si="91"/>
        <v>62</v>
      </c>
      <c r="U1416">
        <f>VLOOKUP($A1416,'Medical Examination'!$A:$Z,2,FALSE)</f>
        <v>25.364999999999998</v>
      </c>
    </row>
    <row r="1417" spans="1:21" ht="15.5" x14ac:dyDescent="0.35">
      <c r="A1417" s="2" t="s">
        <v>1417</v>
      </c>
      <c r="B1417" s="2" t="s">
        <v>4425</v>
      </c>
      <c r="C1417">
        <v>29.6</v>
      </c>
      <c r="D1417">
        <v>6.17</v>
      </c>
      <c r="E1417" t="s">
        <v>2346</v>
      </c>
      <c r="F1417" t="s">
        <v>2344</v>
      </c>
      <c r="G1417" t="s">
        <v>2346</v>
      </c>
      <c r="H1417">
        <v>1</v>
      </c>
      <c r="I1417" t="s">
        <v>2344</v>
      </c>
      <c r="J1417" t="str">
        <f t="shared" si="89"/>
        <v>Over weight</v>
      </c>
      <c r="K1417" t="str">
        <f t="shared" si="88"/>
        <v>Prediabetes</v>
      </c>
      <c r="L1417">
        <v>10</v>
      </c>
      <c r="M1417" t="s">
        <v>2360</v>
      </c>
      <c r="N1417">
        <v>1965</v>
      </c>
      <c r="O1417" s="8">
        <f t="shared" si="90"/>
        <v>24056</v>
      </c>
      <c r="P1417" s="10">
        <v>11842.62</v>
      </c>
      <c r="Q1417" t="s">
        <v>2358</v>
      </c>
      <c r="R1417" t="s">
        <v>2358</v>
      </c>
      <c r="S1417" t="s">
        <v>2364</v>
      </c>
      <c r="T1417">
        <f t="shared" ca="1" si="91"/>
        <v>61</v>
      </c>
      <c r="U1417">
        <f>VLOOKUP($A1417,'Medical Examination'!$A:$Z,2,FALSE)</f>
        <v>29.6</v>
      </c>
    </row>
    <row r="1418" spans="1:21" ht="15.5" x14ac:dyDescent="0.35">
      <c r="A1418" s="2" t="s">
        <v>1418</v>
      </c>
      <c r="B1418" s="2" t="s">
        <v>4426</v>
      </c>
      <c r="C1418">
        <v>39.43</v>
      </c>
      <c r="D1418">
        <v>6.1</v>
      </c>
      <c r="E1418" t="s">
        <v>2346</v>
      </c>
      <c r="F1418" t="s">
        <v>2344</v>
      </c>
      <c r="G1418" t="s">
        <v>2346</v>
      </c>
      <c r="H1418">
        <v>1</v>
      </c>
      <c r="I1418" t="s">
        <v>2344</v>
      </c>
      <c r="J1418" t="str">
        <f t="shared" si="89"/>
        <v>Obesity</v>
      </c>
      <c r="K1418" t="str">
        <f t="shared" si="88"/>
        <v>Prediabetes</v>
      </c>
      <c r="L1418">
        <v>27</v>
      </c>
      <c r="M1418" t="s">
        <v>2362</v>
      </c>
      <c r="N1418">
        <v>1964</v>
      </c>
      <c r="O1418" s="8">
        <f t="shared" si="90"/>
        <v>23555</v>
      </c>
      <c r="P1418" s="10">
        <v>11848.14</v>
      </c>
      <c r="Q1418" t="s">
        <v>2358</v>
      </c>
      <c r="R1418" t="s">
        <v>2357</v>
      </c>
      <c r="S1418" t="s">
        <v>2368</v>
      </c>
      <c r="T1418">
        <f t="shared" ca="1" si="91"/>
        <v>62</v>
      </c>
      <c r="U1418">
        <f>VLOOKUP($A1418,'Medical Examination'!$A:$Z,2,FALSE)</f>
        <v>39.43</v>
      </c>
    </row>
    <row r="1419" spans="1:21" ht="15.5" x14ac:dyDescent="0.35">
      <c r="A1419" s="2" t="s">
        <v>1419</v>
      </c>
      <c r="B1419" s="2" t="s">
        <v>4427</v>
      </c>
      <c r="C1419">
        <v>27.34</v>
      </c>
      <c r="D1419">
        <v>5.19</v>
      </c>
      <c r="E1419" t="s">
        <v>2346</v>
      </c>
      <c r="F1419" t="s">
        <v>2344</v>
      </c>
      <c r="G1419" t="s">
        <v>2344</v>
      </c>
      <c r="H1419">
        <v>1</v>
      </c>
      <c r="I1419" t="s">
        <v>2344</v>
      </c>
      <c r="J1419" t="str">
        <f t="shared" si="89"/>
        <v>Over weight</v>
      </c>
      <c r="K1419" t="str">
        <f t="shared" si="88"/>
        <v>Normal</v>
      </c>
      <c r="L1419">
        <v>29</v>
      </c>
      <c r="M1419" t="s">
        <v>2363</v>
      </c>
      <c r="N1419">
        <v>1964</v>
      </c>
      <c r="O1419" s="8">
        <f t="shared" si="90"/>
        <v>23649</v>
      </c>
      <c r="P1419" s="10">
        <v>11856.41</v>
      </c>
      <c r="Q1419" t="s">
        <v>2358</v>
      </c>
      <c r="R1419" t="s">
        <v>2357</v>
      </c>
      <c r="S1419" t="s">
        <v>2359</v>
      </c>
      <c r="T1419">
        <f t="shared" ca="1" si="91"/>
        <v>62</v>
      </c>
      <c r="U1419">
        <f>VLOOKUP($A1419,'Medical Examination'!$A:$Z,2,FALSE)</f>
        <v>27.34</v>
      </c>
    </row>
    <row r="1420" spans="1:21" ht="15.5" x14ac:dyDescent="0.35">
      <c r="A1420" s="2" t="s">
        <v>1420</v>
      </c>
      <c r="B1420" s="2" t="s">
        <v>4428</v>
      </c>
      <c r="C1420">
        <v>39.01</v>
      </c>
      <c r="D1420">
        <v>5.37</v>
      </c>
      <c r="E1420" t="s">
        <v>2346</v>
      </c>
      <c r="F1420" t="s">
        <v>2344</v>
      </c>
      <c r="G1420" t="s">
        <v>2344</v>
      </c>
      <c r="H1420">
        <v>0</v>
      </c>
      <c r="I1420" t="s">
        <v>2344</v>
      </c>
      <c r="J1420" t="str">
        <f t="shared" si="89"/>
        <v>Obesity</v>
      </c>
      <c r="K1420" t="str">
        <f t="shared" ref="K1420:K1483" si="92">IF(D1420&lt;5.7,"Normal",IF(D1420&lt;6.5,"Prediabetes","Diabetes"))</f>
        <v>Normal</v>
      </c>
      <c r="L1420">
        <v>7</v>
      </c>
      <c r="M1420" t="s">
        <v>2356</v>
      </c>
      <c r="N1420">
        <v>1974</v>
      </c>
      <c r="O1420" s="8">
        <f t="shared" si="90"/>
        <v>27217</v>
      </c>
      <c r="P1420" s="10">
        <v>11858.56</v>
      </c>
      <c r="Q1420" t="s">
        <v>2358</v>
      </c>
      <c r="R1420" t="s">
        <v>2358</v>
      </c>
      <c r="S1420" t="s">
        <v>2368</v>
      </c>
      <c r="T1420">
        <f t="shared" ca="1" si="91"/>
        <v>52</v>
      </c>
      <c r="U1420">
        <f>VLOOKUP($A1420,'Medical Examination'!$A:$Z,2,FALSE)</f>
        <v>39.01</v>
      </c>
    </row>
    <row r="1421" spans="1:21" ht="15.5" x14ac:dyDescent="0.35">
      <c r="A1421" s="2" t="s">
        <v>1421</v>
      </c>
      <c r="B1421" s="2" t="s">
        <v>4429</v>
      </c>
      <c r="C1421">
        <v>18.989999999999998</v>
      </c>
      <c r="D1421">
        <v>10.82</v>
      </c>
      <c r="E1421" t="s">
        <v>2346</v>
      </c>
      <c r="F1421" t="s">
        <v>2344</v>
      </c>
      <c r="G1421" t="s">
        <v>2344</v>
      </c>
      <c r="H1421">
        <v>0</v>
      </c>
      <c r="I1421" t="s">
        <v>2344</v>
      </c>
      <c r="J1421" t="str">
        <f t="shared" si="89"/>
        <v>Normal Weight</v>
      </c>
      <c r="K1421" t="str">
        <f t="shared" si="92"/>
        <v>Diabetes</v>
      </c>
      <c r="L1421">
        <v>24</v>
      </c>
      <c r="M1421" t="s">
        <v>2366</v>
      </c>
      <c r="N1421">
        <v>1967</v>
      </c>
      <c r="O1421" s="8">
        <f t="shared" si="90"/>
        <v>24708</v>
      </c>
      <c r="P1421" s="10">
        <v>11879.1</v>
      </c>
      <c r="Q1421" t="s">
        <v>2358</v>
      </c>
      <c r="R1421" t="s">
        <v>2358</v>
      </c>
      <c r="S1421" t="s">
        <v>2374</v>
      </c>
      <c r="T1421">
        <f t="shared" ca="1" si="91"/>
        <v>59</v>
      </c>
      <c r="U1421">
        <f>VLOOKUP($A1421,'Medical Examination'!$A:$Z,2,FALSE)</f>
        <v>18.989999999999998</v>
      </c>
    </row>
    <row r="1422" spans="1:21" ht="15.5" x14ac:dyDescent="0.35">
      <c r="A1422" s="2" t="s">
        <v>1422</v>
      </c>
      <c r="B1422" s="2" t="s">
        <v>4430</v>
      </c>
      <c r="C1422">
        <v>42.3</v>
      </c>
      <c r="D1422">
        <v>6.06</v>
      </c>
      <c r="E1422" t="s">
        <v>2346</v>
      </c>
      <c r="F1422" t="s">
        <v>2344</v>
      </c>
      <c r="G1422" t="s">
        <v>2344</v>
      </c>
      <c r="H1422">
        <v>0</v>
      </c>
      <c r="I1422" t="s">
        <v>2344</v>
      </c>
      <c r="J1422" t="str">
        <f t="shared" si="89"/>
        <v>Obesity</v>
      </c>
      <c r="K1422" t="str">
        <f t="shared" si="92"/>
        <v>Prediabetes</v>
      </c>
      <c r="L1422">
        <v>14</v>
      </c>
      <c r="M1422" t="s">
        <v>2356</v>
      </c>
      <c r="N1422">
        <v>1967</v>
      </c>
      <c r="O1422" s="8">
        <f t="shared" si="90"/>
        <v>24667</v>
      </c>
      <c r="P1422" s="10">
        <v>11881.36</v>
      </c>
      <c r="Q1422" t="s">
        <v>2358</v>
      </c>
      <c r="R1422" t="s">
        <v>2357</v>
      </c>
      <c r="S1422" t="s">
        <v>2368</v>
      </c>
      <c r="T1422">
        <f t="shared" ca="1" si="91"/>
        <v>59</v>
      </c>
      <c r="U1422">
        <f>VLOOKUP($A1422,'Medical Examination'!$A:$Z,2,FALSE)</f>
        <v>42.3</v>
      </c>
    </row>
    <row r="1423" spans="1:21" ht="15.5" x14ac:dyDescent="0.35">
      <c r="A1423" s="2" t="s">
        <v>1423</v>
      </c>
      <c r="B1423" s="2" t="s">
        <v>4432</v>
      </c>
      <c r="C1423">
        <v>39.805</v>
      </c>
      <c r="D1423">
        <v>5.91</v>
      </c>
      <c r="E1423" t="s">
        <v>2344</v>
      </c>
      <c r="F1423" t="s">
        <v>2344</v>
      </c>
      <c r="G1423" t="s">
        <v>2344</v>
      </c>
      <c r="H1423">
        <v>0</v>
      </c>
      <c r="I1423" t="s">
        <v>2344</v>
      </c>
      <c r="J1423" t="str">
        <f t="shared" si="89"/>
        <v>Obesity</v>
      </c>
      <c r="K1423" t="str">
        <f t="shared" si="92"/>
        <v>Prediabetes</v>
      </c>
      <c r="L1423">
        <v>29</v>
      </c>
      <c r="M1423" t="s">
        <v>2367</v>
      </c>
      <c r="N1423">
        <v>1967</v>
      </c>
      <c r="O1423" s="8">
        <f t="shared" si="90"/>
        <v>24774</v>
      </c>
      <c r="P1423" s="10">
        <v>11881.97</v>
      </c>
      <c r="Q1423" t="s">
        <v>2358</v>
      </c>
      <c r="R1423" t="s">
        <v>2361</v>
      </c>
      <c r="S1423" t="s">
        <v>2359</v>
      </c>
      <c r="T1423">
        <f t="shared" ca="1" si="91"/>
        <v>59</v>
      </c>
      <c r="U1423">
        <f>VLOOKUP($A1423,'Medical Examination'!$A:$Z,2,FALSE)</f>
        <v>39.805</v>
      </c>
    </row>
    <row r="1424" spans="1:21" ht="15.5" x14ac:dyDescent="0.35">
      <c r="A1424" s="2" t="s">
        <v>1424</v>
      </c>
      <c r="B1424" s="2" t="s">
        <v>4434</v>
      </c>
      <c r="C1424">
        <v>33.700000000000003</v>
      </c>
      <c r="D1424">
        <v>5.87</v>
      </c>
      <c r="E1424" t="s">
        <v>2344</v>
      </c>
      <c r="F1424" t="s">
        <v>2344</v>
      </c>
      <c r="G1424" t="s">
        <v>2344</v>
      </c>
      <c r="H1424">
        <v>0</v>
      </c>
      <c r="I1424" t="s">
        <v>2344</v>
      </c>
      <c r="J1424" t="str">
        <f t="shared" si="89"/>
        <v>Obesity</v>
      </c>
      <c r="K1424" t="str">
        <f t="shared" si="92"/>
        <v>Prediabetes</v>
      </c>
      <c r="L1424">
        <v>2</v>
      </c>
      <c r="M1424" t="s">
        <v>2362</v>
      </c>
      <c r="N1424">
        <v>2004</v>
      </c>
      <c r="O1424" s="8">
        <f t="shared" si="90"/>
        <v>38140</v>
      </c>
      <c r="P1424" s="10">
        <v>11884.05</v>
      </c>
      <c r="Q1424" t="s">
        <v>2358</v>
      </c>
      <c r="R1424" t="s">
        <v>2358</v>
      </c>
      <c r="S1424" t="s">
        <v>2359</v>
      </c>
      <c r="T1424">
        <f t="shared" ca="1" si="91"/>
        <v>22</v>
      </c>
      <c r="U1424">
        <f>VLOOKUP($A1424,'Medical Examination'!$A:$Z,2,FALSE)</f>
        <v>33.700000000000003</v>
      </c>
    </row>
    <row r="1425" spans="1:21" ht="15.5" x14ac:dyDescent="0.35">
      <c r="A1425" s="2" t="s">
        <v>1425</v>
      </c>
      <c r="B1425" s="2" t="s">
        <v>4435</v>
      </c>
      <c r="C1425">
        <v>36.195</v>
      </c>
      <c r="D1425">
        <v>6.22</v>
      </c>
      <c r="E1425" t="s">
        <v>2344</v>
      </c>
      <c r="F1425" t="s">
        <v>2344</v>
      </c>
      <c r="G1425" t="s">
        <v>2344</v>
      </c>
      <c r="H1425">
        <v>0</v>
      </c>
      <c r="I1425" t="s">
        <v>2344</v>
      </c>
      <c r="J1425" t="str">
        <f t="shared" si="89"/>
        <v>Obesity</v>
      </c>
      <c r="K1425" t="str">
        <f t="shared" si="92"/>
        <v>Prediabetes</v>
      </c>
      <c r="L1425">
        <v>19</v>
      </c>
      <c r="M1425" t="s">
        <v>2360</v>
      </c>
      <c r="N1425">
        <v>1964</v>
      </c>
      <c r="O1425" s="8">
        <f t="shared" si="90"/>
        <v>23700</v>
      </c>
      <c r="P1425" s="10">
        <v>11918.2</v>
      </c>
      <c r="Q1425" t="s">
        <v>2358</v>
      </c>
      <c r="R1425" t="s">
        <v>2361</v>
      </c>
      <c r="S1425" t="s">
        <v>2377</v>
      </c>
      <c r="T1425">
        <f t="shared" ca="1" si="91"/>
        <v>62</v>
      </c>
      <c r="U1425">
        <f>VLOOKUP($A1425,'Medical Examination'!$A:$Z,2,FALSE)</f>
        <v>36.195</v>
      </c>
    </row>
    <row r="1426" spans="1:21" ht="15.5" x14ac:dyDescent="0.35">
      <c r="A1426" s="2" t="s">
        <v>1426</v>
      </c>
      <c r="B1426" s="2" t="s">
        <v>4436</v>
      </c>
      <c r="C1426">
        <v>32.6</v>
      </c>
      <c r="D1426">
        <v>5.73</v>
      </c>
      <c r="E1426" t="s">
        <v>2344</v>
      </c>
      <c r="F1426" t="s">
        <v>2344</v>
      </c>
      <c r="G1426" t="s">
        <v>2346</v>
      </c>
      <c r="H1426">
        <v>1</v>
      </c>
      <c r="I1426" t="s">
        <v>2344</v>
      </c>
      <c r="J1426" t="str">
        <f t="shared" si="89"/>
        <v>Obesity</v>
      </c>
      <c r="K1426" t="str">
        <f t="shared" si="92"/>
        <v>Prediabetes</v>
      </c>
      <c r="L1426">
        <v>20</v>
      </c>
      <c r="M1426" t="s">
        <v>2365</v>
      </c>
      <c r="N1426">
        <v>1964</v>
      </c>
      <c r="O1426" s="8">
        <f t="shared" si="90"/>
        <v>23731</v>
      </c>
      <c r="P1426" s="10">
        <v>11931.13</v>
      </c>
      <c r="Q1426" t="s">
        <v>2358</v>
      </c>
      <c r="R1426" t="s">
        <v>2361</v>
      </c>
      <c r="S1426" t="s">
        <v>2370</v>
      </c>
      <c r="T1426">
        <f t="shared" ca="1" si="91"/>
        <v>62</v>
      </c>
      <c r="U1426">
        <f>VLOOKUP($A1426,'Medical Examination'!$A:$Z,2,FALSE)</f>
        <v>32.6</v>
      </c>
    </row>
    <row r="1427" spans="1:21" ht="15.5" x14ac:dyDescent="0.35">
      <c r="A1427" s="2" t="s">
        <v>1427</v>
      </c>
      <c r="B1427" s="2" t="s">
        <v>4438</v>
      </c>
      <c r="C1427">
        <v>30.2</v>
      </c>
      <c r="D1427">
        <v>5.7</v>
      </c>
      <c r="E1427" t="s">
        <v>2344</v>
      </c>
      <c r="F1427" t="s">
        <v>2344</v>
      </c>
      <c r="G1427" t="s">
        <v>2344</v>
      </c>
      <c r="H1427">
        <v>0</v>
      </c>
      <c r="I1427" t="s">
        <v>2344</v>
      </c>
      <c r="J1427" t="str">
        <f t="shared" si="89"/>
        <v>Obesity</v>
      </c>
      <c r="K1427" t="str">
        <f t="shared" si="92"/>
        <v>Prediabetes</v>
      </c>
      <c r="L1427">
        <v>2</v>
      </c>
      <c r="M1427" t="s">
        <v>2366</v>
      </c>
      <c r="N1427">
        <v>1964</v>
      </c>
      <c r="O1427" s="8">
        <f t="shared" si="90"/>
        <v>23591</v>
      </c>
      <c r="P1427" s="10">
        <v>11938.26</v>
      </c>
      <c r="Q1427" t="s">
        <v>2358</v>
      </c>
      <c r="R1427" t="s">
        <v>2358</v>
      </c>
      <c r="S1427" t="s">
        <v>2370</v>
      </c>
      <c r="T1427">
        <f t="shared" ca="1" si="91"/>
        <v>62</v>
      </c>
      <c r="U1427">
        <f>VLOOKUP($A1427,'Medical Examination'!$A:$Z,2,FALSE)</f>
        <v>30.2</v>
      </c>
    </row>
    <row r="1428" spans="1:21" ht="15.5" x14ac:dyDescent="0.35">
      <c r="A1428" s="2" t="s">
        <v>1428</v>
      </c>
      <c r="B1428" s="2" t="s">
        <v>2940</v>
      </c>
      <c r="C1428">
        <v>27.645</v>
      </c>
      <c r="D1428">
        <v>9.91</v>
      </c>
      <c r="E1428" t="s">
        <v>2344</v>
      </c>
      <c r="F1428" t="s">
        <v>2344</v>
      </c>
      <c r="G1428" t="s">
        <v>2344</v>
      </c>
      <c r="H1428">
        <v>0</v>
      </c>
      <c r="I1428" t="s">
        <v>2344</v>
      </c>
      <c r="J1428" t="str">
        <f t="shared" si="89"/>
        <v>Over weight</v>
      </c>
      <c r="K1428" t="str">
        <f t="shared" si="92"/>
        <v>Diabetes</v>
      </c>
      <c r="L1428">
        <v>19</v>
      </c>
      <c r="M1428" t="s">
        <v>2367</v>
      </c>
      <c r="N1428">
        <v>1991</v>
      </c>
      <c r="O1428" s="8">
        <f t="shared" si="90"/>
        <v>33530</v>
      </c>
      <c r="P1428" s="10">
        <v>11941.83</v>
      </c>
      <c r="Q1428" t="s">
        <v>2358</v>
      </c>
      <c r="R1428" t="s">
        <v>2361</v>
      </c>
      <c r="S1428" t="s">
        <v>2375</v>
      </c>
      <c r="T1428">
        <f t="shared" ca="1" si="91"/>
        <v>35</v>
      </c>
      <c r="U1428">
        <f>VLOOKUP($A1428,'Medical Examination'!$A:$Z,2,FALSE)</f>
        <v>27.645</v>
      </c>
    </row>
    <row r="1429" spans="1:21" ht="15.5" x14ac:dyDescent="0.35">
      <c r="A1429" s="2" t="s">
        <v>1429</v>
      </c>
      <c r="B1429" s="2" t="s">
        <v>4439</v>
      </c>
      <c r="C1429">
        <v>26.41</v>
      </c>
      <c r="D1429">
        <v>11.4</v>
      </c>
      <c r="E1429" t="s">
        <v>2344</v>
      </c>
      <c r="F1429" t="s">
        <v>2344</v>
      </c>
      <c r="G1429" t="s">
        <v>2344</v>
      </c>
      <c r="H1429">
        <v>0</v>
      </c>
      <c r="I1429" t="s">
        <v>2344</v>
      </c>
      <c r="J1429" t="str">
        <f t="shared" si="89"/>
        <v>Over weight</v>
      </c>
      <c r="K1429" t="str">
        <f t="shared" si="92"/>
        <v>Diabetes</v>
      </c>
      <c r="L1429">
        <v>25</v>
      </c>
      <c r="M1429" t="s">
        <v>2365</v>
      </c>
      <c r="N1429">
        <v>1964</v>
      </c>
      <c r="O1429" s="8">
        <f t="shared" si="90"/>
        <v>23736</v>
      </c>
      <c r="P1429" s="10">
        <v>11944.59</v>
      </c>
      <c r="Q1429" t="s">
        <v>2358</v>
      </c>
      <c r="R1429" t="s">
        <v>2357</v>
      </c>
      <c r="S1429" t="s">
        <v>2371</v>
      </c>
      <c r="T1429">
        <f t="shared" ca="1" si="91"/>
        <v>62</v>
      </c>
      <c r="U1429">
        <f>VLOOKUP($A1429,'Medical Examination'!$A:$Z,2,FALSE)</f>
        <v>26.41</v>
      </c>
    </row>
    <row r="1430" spans="1:21" ht="15.5" x14ac:dyDescent="0.35">
      <c r="A1430" s="2" t="s">
        <v>1430</v>
      </c>
      <c r="B1430" s="2" t="s">
        <v>2538</v>
      </c>
      <c r="C1430">
        <v>34.1</v>
      </c>
      <c r="D1430">
        <v>6.29</v>
      </c>
      <c r="E1430" t="s">
        <v>2346</v>
      </c>
      <c r="F1430" t="s">
        <v>2344</v>
      </c>
      <c r="G1430" t="s">
        <v>2346</v>
      </c>
      <c r="H1430">
        <v>1</v>
      </c>
      <c r="I1430" t="s">
        <v>2344</v>
      </c>
      <c r="J1430" t="str">
        <f t="shared" si="89"/>
        <v>Obesity</v>
      </c>
      <c r="K1430" t="str">
        <f t="shared" si="92"/>
        <v>Prediabetes</v>
      </c>
      <c r="L1430">
        <v>1</v>
      </c>
      <c r="M1430" t="s">
        <v>2360</v>
      </c>
      <c r="N1430">
        <v>1965</v>
      </c>
      <c r="O1430" s="8">
        <f t="shared" si="90"/>
        <v>24047</v>
      </c>
      <c r="P1430" s="10">
        <v>11945.13</v>
      </c>
      <c r="Q1430" t="s">
        <v>2358</v>
      </c>
      <c r="R1430" t="s">
        <v>2357</v>
      </c>
      <c r="S1430" t="s">
        <v>2364</v>
      </c>
      <c r="T1430">
        <f t="shared" ca="1" si="91"/>
        <v>61</v>
      </c>
      <c r="U1430">
        <f>VLOOKUP($A1430,'Medical Examination'!$A:$Z,2,FALSE)</f>
        <v>34.1</v>
      </c>
    </row>
    <row r="1431" spans="1:21" ht="15.5" x14ac:dyDescent="0.35">
      <c r="A1431" s="2" t="s">
        <v>1431</v>
      </c>
      <c r="B1431" s="2" t="s">
        <v>4441</v>
      </c>
      <c r="C1431">
        <v>17.3</v>
      </c>
      <c r="D1431">
        <v>9.2799999999999994</v>
      </c>
      <c r="E1431" t="s">
        <v>2344</v>
      </c>
      <c r="F1431" t="s">
        <v>2344</v>
      </c>
      <c r="G1431" t="s">
        <v>2344</v>
      </c>
      <c r="H1431">
        <v>0</v>
      </c>
      <c r="I1431" t="s">
        <v>2344</v>
      </c>
      <c r="J1431" t="str">
        <f t="shared" si="89"/>
        <v>Under Weight</v>
      </c>
      <c r="K1431" t="str">
        <f t="shared" si="92"/>
        <v>Diabetes</v>
      </c>
      <c r="L1431">
        <v>29</v>
      </c>
      <c r="M1431" t="s">
        <v>2363</v>
      </c>
      <c r="N1431">
        <v>1964</v>
      </c>
      <c r="O1431" s="8">
        <f t="shared" si="90"/>
        <v>23649</v>
      </c>
      <c r="P1431" s="10">
        <v>11946.63</v>
      </c>
      <c r="Q1431" t="s">
        <v>2358</v>
      </c>
      <c r="R1431" t="s">
        <v>2357</v>
      </c>
      <c r="S1431" t="s">
        <v>2359</v>
      </c>
      <c r="T1431">
        <f t="shared" ca="1" si="91"/>
        <v>62</v>
      </c>
      <c r="U1431">
        <f>VLOOKUP($A1431,'Medical Examination'!$A:$Z,2,FALSE)</f>
        <v>17.3</v>
      </c>
    </row>
    <row r="1432" spans="1:21" ht="15.5" x14ac:dyDescent="0.35">
      <c r="A1432" s="2" t="s">
        <v>1432</v>
      </c>
      <c r="B1432" s="2" t="s">
        <v>4442</v>
      </c>
      <c r="C1432">
        <v>35.020000000000003</v>
      </c>
      <c r="D1432">
        <v>4.78</v>
      </c>
      <c r="E1432" t="s">
        <v>2344</v>
      </c>
      <c r="F1432" t="s">
        <v>2344</v>
      </c>
      <c r="G1432" t="s">
        <v>2346</v>
      </c>
      <c r="H1432">
        <v>1</v>
      </c>
      <c r="I1432" t="s">
        <v>2344</v>
      </c>
      <c r="J1432" t="str">
        <f t="shared" si="89"/>
        <v>Obesity</v>
      </c>
      <c r="K1432" t="str">
        <f t="shared" si="92"/>
        <v>Normal</v>
      </c>
      <c r="L1432">
        <v>22</v>
      </c>
      <c r="M1432" t="s">
        <v>2365</v>
      </c>
      <c r="N1432">
        <v>1967</v>
      </c>
      <c r="O1432" s="8">
        <f t="shared" si="90"/>
        <v>24828</v>
      </c>
      <c r="P1432" s="10">
        <v>11987.17</v>
      </c>
      <c r="Q1432" t="s">
        <v>2358</v>
      </c>
      <c r="R1432" t="s">
        <v>2358</v>
      </c>
      <c r="S1432" t="s">
        <v>2359</v>
      </c>
      <c r="T1432">
        <f t="shared" ca="1" si="91"/>
        <v>59</v>
      </c>
      <c r="U1432">
        <f>VLOOKUP($A1432,'Medical Examination'!$A:$Z,2,FALSE)</f>
        <v>35.020000000000003</v>
      </c>
    </row>
    <row r="1433" spans="1:21" ht="15.5" x14ac:dyDescent="0.35">
      <c r="A1433" s="2" t="s">
        <v>1433</v>
      </c>
      <c r="B1433" s="2" t="s">
        <v>4444</v>
      </c>
      <c r="C1433">
        <v>37.1</v>
      </c>
      <c r="D1433">
        <v>8.8699999999999992</v>
      </c>
      <c r="E1433" t="s">
        <v>2346</v>
      </c>
      <c r="F1433" t="s">
        <v>2344</v>
      </c>
      <c r="G1433" t="s">
        <v>2344</v>
      </c>
      <c r="H1433">
        <v>0</v>
      </c>
      <c r="I1433" t="s">
        <v>2344</v>
      </c>
      <c r="J1433" t="str">
        <f t="shared" si="89"/>
        <v>Obesity</v>
      </c>
      <c r="K1433" t="str">
        <f t="shared" si="92"/>
        <v>Diabetes</v>
      </c>
      <c r="L1433">
        <v>4</v>
      </c>
      <c r="M1433" t="s">
        <v>2356</v>
      </c>
      <c r="N1433">
        <v>1983</v>
      </c>
      <c r="O1433" s="8">
        <f t="shared" si="90"/>
        <v>30501</v>
      </c>
      <c r="P1433" s="10">
        <v>11987.68</v>
      </c>
      <c r="Q1433" t="s">
        <v>2358</v>
      </c>
      <c r="R1433" t="s">
        <v>2357</v>
      </c>
      <c r="S1433" t="s">
        <v>2380</v>
      </c>
      <c r="T1433">
        <f t="shared" ca="1" si="91"/>
        <v>43</v>
      </c>
      <c r="U1433">
        <f>VLOOKUP($A1433,'Medical Examination'!$A:$Z,2,FALSE)</f>
        <v>37.1</v>
      </c>
    </row>
    <row r="1434" spans="1:21" ht="15.5" x14ac:dyDescent="0.35">
      <c r="A1434" s="2" t="s">
        <v>1434</v>
      </c>
      <c r="B1434" s="2" t="s">
        <v>4445</v>
      </c>
      <c r="C1434">
        <v>16.79</v>
      </c>
      <c r="D1434">
        <v>11.4</v>
      </c>
      <c r="E1434" t="s">
        <v>2344</v>
      </c>
      <c r="F1434" t="s">
        <v>2344</v>
      </c>
      <c r="G1434" t="s">
        <v>2344</v>
      </c>
      <c r="H1434">
        <v>0</v>
      </c>
      <c r="I1434" t="s">
        <v>2344</v>
      </c>
      <c r="J1434" t="str">
        <f t="shared" si="89"/>
        <v>Under Weight</v>
      </c>
      <c r="K1434" t="str">
        <f t="shared" si="92"/>
        <v>Diabetes</v>
      </c>
      <c r="L1434">
        <v>12</v>
      </c>
      <c r="M1434" t="s">
        <v>2365</v>
      </c>
      <c r="N1434">
        <v>1993</v>
      </c>
      <c r="O1434" s="8">
        <f t="shared" si="90"/>
        <v>34315</v>
      </c>
      <c r="P1434" s="10">
        <v>11994.89</v>
      </c>
      <c r="Q1434" t="s">
        <v>2358</v>
      </c>
      <c r="R1434" t="s">
        <v>2357</v>
      </c>
      <c r="S1434" t="s">
        <v>2364</v>
      </c>
      <c r="T1434">
        <f t="shared" ca="1" si="91"/>
        <v>33</v>
      </c>
      <c r="U1434">
        <f>VLOOKUP($A1434,'Medical Examination'!$A:$Z,2,FALSE)</f>
        <v>16.79</v>
      </c>
    </row>
    <row r="1435" spans="1:21" ht="15.5" x14ac:dyDescent="0.35">
      <c r="A1435" s="2" t="s">
        <v>1435</v>
      </c>
      <c r="B1435" s="2" t="s">
        <v>4447</v>
      </c>
      <c r="C1435">
        <v>31.635000000000002</v>
      </c>
      <c r="D1435">
        <v>9.1300000000000008</v>
      </c>
      <c r="E1435" t="s">
        <v>2346</v>
      </c>
      <c r="F1435" t="s">
        <v>2344</v>
      </c>
      <c r="G1435" t="s">
        <v>2344</v>
      </c>
      <c r="H1435">
        <v>0</v>
      </c>
      <c r="I1435" t="s">
        <v>2344</v>
      </c>
      <c r="J1435" t="str">
        <f t="shared" si="89"/>
        <v>Obesity</v>
      </c>
      <c r="K1435" t="str">
        <f t="shared" si="92"/>
        <v>Diabetes</v>
      </c>
      <c r="L1435">
        <v>17</v>
      </c>
      <c r="M1435" t="s">
        <v>2367</v>
      </c>
      <c r="N1435">
        <v>1982</v>
      </c>
      <c r="O1435" s="8">
        <f t="shared" si="90"/>
        <v>30241</v>
      </c>
      <c r="P1435" s="10">
        <v>12001.29</v>
      </c>
      <c r="Q1435" t="s">
        <v>2358</v>
      </c>
      <c r="R1435" t="s">
        <v>2358</v>
      </c>
      <c r="S1435" t="s">
        <v>2377</v>
      </c>
      <c r="T1435">
        <f t="shared" ca="1" si="91"/>
        <v>44</v>
      </c>
      <c r="U1435">
        <f>VLOOKUP($A1435,'Medical Examination'!$A:$Z,2,FALSE)</f>
        <v>31.635000000000002</v>
      </c>
    </row>
    <row r="1436" spans="1:21" ht="15.5" x14ac:dyDescent="0.35">
      <c r="A1436" s="2" t="s">
        <v>1436</v>
      </c>
      <c r="B1436" s="2" t="s">
        <v>2960</v>
      </c>
      <c r="C1436">
        <v>24.19</v>
      </c>
      <c r="D1436">
        <v>6.22</v>
      </c>
      <c r="E1436" t="s">
        <v>2346</v>
      </c>
      <c r="F1436" t="s">
        <v>2344</v>
      </c>
      <c r="G1436" t="s">
        <v>2346</v>
      </c>
      <c r="H1436">
        <v>1</v>
      </c>
      <c r="I1436" t="s">
        <v>2344</v>
      </c>
      <c r="J1436" t="str">
        <f t="shared" si="89"/>
        <v>Normal Weight</v>
      </c>
      <c r="K1436" t="str">
        <f t="shared" si="92"/>
        <v>Prediabetes</v>
      </c>
      <c r="L1436">
        <v>9</v>
      </c>
      <c r="M1436" t="s">
        <v>2362</v>
      </c>
      <c r="N1436">
        <v>1965</v>
      </c>
      <c r="O1436" s="8">
        <f t="shared" si="90"/>
        <v>23902</v>
      </c>
      <c r="P1436" s="10">
        <v>12029.29</v>
      </c>
      <c r="Q1436" t="s">
        <v>2358</v>
      </c>
      <c r="R1436" t="s">
        <v>2357</v>
      </c>
      <c r="S1436" t="s">
        <v>2374</v>
      </c>
      <c r="T1436">
        <f t="shared" ca="1" si="91"/>
        <v>61</v>
      </c>
      <c r="U1436">
        <f>VLOOKUP($A1436,'Medical Examination'!$A:$Z,2,FALSE)</f>
        <v>24.19</v>
      </c>
    </row>
    <row r="1437" spans="1:21" ht="15.5" x14ac:dyDescent="0.35">
      <c r="A1437" s="2" t="s">
        <v>1437</v>
      </c>
      <c r="B1437" s="2" t="s">
        <v>4449</v>
      </c>
      <c r="C1437">
        <v>35.29</v>
      </c>
      <c r="D1437">
        <v>5.9</v>
      </c>
      <c r="E1437" t="s">
        <v>2344</v>
      </c>
      <c r="F1437" t="s">
        <v>2344</v>
      </c>
      <c r="G1437" t="s">
        <v>2346</v>
      </c>
      <c r="H1437">
        <v>1</v>
      </c>
      <c r="I1437" t="s">
        <v>2344</v>
      </c>
      <c r="J1437" t="str">
        <f t="shared" si="89"/>
        <v>Obesity</v>
      </c>
      <c r="K1437" t="str">
        <f t="shared" si="92"/>
        <v>Prediabetes</v>
      </c>
      <c r="L1437">
        <v>29</v>
      </c>
      <c r="M1437" t="s">
        <v>2367</v>
      </c>
      <c r="N1437">
        <v>1965</v>
      </c>
      <c r="O1437" s="8">
        <f t="shared" si="90"/>
        <v>24044</v>
      </c>
      <c r="P1437" s="10">
        <v>12032.33</v>
      </c>
      <c r="Q1437" t="s">
        <v>2358</v>
      </c>
      <c r="R1437" t="s">
        <v>2361</v>
      </c>
      <c r="S1437" t="s">
        <v>2368</v>
      </c>
      <c r="T1437">
        <f t="shared" ca="1" si="91"/>
        <v>61</v>
      </c>
      <c r="U1437">
        <f>VLOOKUP($A1437,'Medical Examination'!$A:$Z,2,FALSE)</f>
        <v>35.29</v>
      </c>
    </row>
    <row r="1438" spans="1:21" ht="15.5" x14ac:dyDescent="0.35">
      <c r="A1438" s="2" t="s">
        <v>1438</v>
      </c>
      <c r="B1438" s="2" t="s">
        <v>4450</v>
      </c>
      <c r="C1438">
        <v>35.299999999999997</v>
      </c>
      <c r="D1438">
        <v>4.45</v>
      </c>
      <c r="E1438" t="s">
        <v>2344</v>
      </c>
      <c r="F1438" t="s">
        <v>2344</v>
      </c>
      <c r="G1438" t="s">
        <v>2344</v>
      </c>
      <c r="H1438">
        <v>0</v>
      </c>
      <c r="I1438" t="s">
        <v>2344</v>
      </c>
      <c r="J1438" t="str">
        <f t="shared" si="89"/>
        <v>Obesity</v>
      </c>
      <c r="K1438" t="str">
        <f t="shared" si="92"/>
        <v>Normal</v>
      </c>
      <c r="L1438">
        <v>16</v>
      </c>
      <c r="M1438" t="s">
        <v>2367</v>
      </c>
      <c r="N1438">
        <v>1979</v>
      </c>
      <c r="O1438" s="8">
        <f t="shared" si="90"/>
        <v>29144</v>
      </c>
      <c r="P1438" s="10">
        <v>12035.18</v>
      </c>
      <c r="Q1438" t="s">
        <v>2358</v>
      </c>
      <c r="R1438" t="s">
        <v>2358</v>
      </c>
      <c r="S1438" t="s">
        <v>2377</v>
      </c>
      <c r="T1438">
        <f t="shared" ca="1" si="91"/>
        <v>47</v>
      </c>
      <c r="U1438">
        <f>VLOOKUP($A1438,'Medical Examination'!$A:$Z,2,FALSE)</f>
        <v>35.299999999999997</v>
      </c>
    </row>
    <row r="1439" spans="1:21" ht="15.5" x14ac:dyDescent="0.35">
      <c r="A1439" s="2" t="s">
        <v>1439</v>
      </c>
      <c r="B1439" s="2" t="s">
        <v>4451</v>
      </c>
      <c r="C1439">
        <v>35.64</v>
      </c>
      <c r="D1439">
        <v>6.17</v>
      </c>
      <c r="E1439" t="s">
        <v>2344</v>
      </c>
      <c r="F1439" t="s">
        <v>2344</v>
      </c>
      <c r="G1439" t="s">
        <v>2346</v>
      </c>
      <c r="H1439">
        <v>1</v>
      </c>
      <c r="I1439" t="s">
        <v>2344</v>
      </c>
      <c r="J1439" t="str">
        <f t="shared" si="89"/>
        <v>Obesity</v>
      </c>
      <c r="K1439" t="str">
        <f t="shared" si="92"/>
        <v>Prediabetes</v>
      </c>
      <c r="L1439">
        <v>24</v>
      </c>
      <c r="M1439" t="s">
        <v>2360</v>
      </c>
      <c r="N1439">
        <v>1966</v>
      </c>
      <c r="O1439" s="8">
        <f t="shared" si="90"/>
        <v>24435</v>
      </c>
      <c r="P1439" s="10">
        <v>12044.34</v>
      </c>
      <c r="Q1439" t="s">
        <v>2358</v>
      </c>
      <c r="R1439" t="s">
        <v>2361</v>
      </c>
      <c r="S1439" t="s">
        <v>2364</v>
      </c>
      <c r="T1439">
        <f t="shared" ca="1" si="91"/>
        <v>60</v>
      </c>
      <c r="U1439">
        <f>VLOOKUP($A1439,'Medical Examination'!$A:$Z,2,FALSE)</f>
        <v>35.64</v>
      </c>
    </row>
    <row r="1440" spans="1:21" ht="15.5" x14ac:dyDescent="0.35">
      <c r="A1440" s="2" t="s">
        <v>1440</v>
      </c>
      <c r="B1440" s="2" t="s">
        <v>4452</v>
      </c>
      <c r="C1440">
        <v>33.1</v>
      </c>
      <c r="D1440">
        <v>4.93</v>
      </c>
      <c r="E1440" t="s">
        <v>2344</v>
      </c>
      <c r="F1440" t="s">
        <v>2344</v>
      </c>
      <c r="G1440" t="s">
        <v>2344</v>
      </c>
      <c r="H1440">
        <v>0</v>
      </c>
      <c r="I1440" t="s">
        <v>2344</v>
      </c>
      <c r="J1440" t="str">
        <f t="shared" si="89"/>
        <v>Obesity</v>
      </c>
      <c r="K1440" t="str">
        <f t="shared" si="92"/>
        <v>Normal</v>
      </c>
      <c r="L1440">
        <v>7</v>
      </c>
      <c r="M1440" t="s">
        <v>2363</v>
      </c>
      <c r="N1440">
        <v>1986</v>
      </c>
      <c r="O1440" s="8">
        <f t="shared" si="90"/>
        <v>31662</v>
      </c>
      <c r="P1440" s="10">
        <v>12048.13</v>
      </c>
      <c r="Q1440" t="s">
        <v>2358</v>
      </c>
      <c r="R1440" t="s">
        <v>2357</v>
      </c>
      <c r="S1440" t="s">
        <v>2380</v>
      </c>
      <c r="T1440">
        <f t="shared" ca="1" si="91"/>
        <v>40</v>
      </c>
      <c r="U1440">
        <f>VLOOKUP($A1440,'Medical Examination'!$A:$Z,2,FALSE)</f>
        <v>33.1</v>
      </c>
    </row>
    <row r="1441" spans="1:21" ht="15.5" x14ac:dyDescent="0.35">
      <c r="A1441" s="2" t="s">
        <v>1441</v>
      </c>
      <c r="B1441" s="2" t="s">
        <v>4453</v>
      </c>
      <c r="C1441">
        <v>26.41</v>
      </c>
      <c r="D1441">
        <v>7.32</v>
      </c>
      <c r="E1441" t="s">
        <v>2346</v>
      </c>
      <c r="F1441" t="s">
        <v>2344</v>
      </c>
      <c r="G1441" t="s">
        <v>2344</v>
      </c>
      <c r="H1441">
        <v>1</v>
      </c>
      <c r="I1441" t="s">
        <v>2344</v>
      </c>
      <c r="J1441" t="str">
        <f t="shared" si="89"/>
        <v>Over weight</v>
      </c>
      <c r="K1441" t="str">
        <f t="shared" si="92"/>
        <v>Diabetes</v>
      </c>
      <c r="L1441">
        <v>2</v>
      </c>
      <c r="M1441" t="s">
        <v>2363</v>
      </c>
      <c r="N1441">
        <v>1984</v>
      </c>
      <c r="O1441" s="8">
        <f t="shared" si="90"/>
        <v>30927</v>
      </c>
      <c r="P1441" s="10">
        <v>12091.34</v>
      </c>
      <c r="Q1441" t="s">
        <v>2358</v>
      </c>
      <c r="R1441" t="s">
        <v>2357</v>
      </c>
      <c r="S1441" t="s">
        <v>2381</v>
      </c>
      <c r="T1441">
        <f t="shared" ca="1" si="91"/>
        <v>42</v>
      </c>
      <c r="U1441">
        <f>VLOOKUP($A1441,'Medical Examination'!$A:$Z,2,FALSE)</f>
        <v>26.41</v>
      </c>
    </row>
    <row r="1442" spans="1:21" ht="15.5" x14ac:dyDescent="0.35">
      <c r="A1442" s="2" t="s">
        <v>1442</v>
      </c>
      <c r="B1442" s="2" t="s">
        <v>2695</v>
      </c>
      <c r="C1442">
        <v>29.9</v>
      </c>
      <c r="D1442">
        <v>5.27</v>
      </c>
      <c r="E1442" t="s">
        <v>2344</v>
      </c>
      <c r="F1442" t="s">
        <v>2344</v>
      </c>
      <c r="G1442" t="s">
        <v>2346</v>
      </c>
      <c r="H1442">
        <v>1</v>
      </c>
      <c r="I1442" t="s">
        <v>2344</v>
      </c>
      <c r="J1442" t="str">
        <f t="shared" si="89"/>
        <v>Over weight</v>
      </c>
      <c r="K1442" t="str">
        <f t="shared" si="92"/>
        <v>Normal</v>
      </c>
      <c r="L1442">
        <v>21</v>
      </c>
      <c r="M1442" t="s">
        <v>2362</v>
      </c>
      <c r="N1442">
        <v>1968</v>
      </c>
      <c r="O1442" s="8">
        <f t="shared" si="90"/>
        <v>25010</v>
      </c>
      <c r="P1442" s="10">
        <v>12094.48</v>
      </c>
      <c r="Q1442" t="s">
        <v>2358</v>
      </c>
      <c r="R1442" t="s">
        <v>2358</v>
      </c>
      <c r="S1442" t="s">
        <v>2368</v>
      </c>
      <c r="T1442">
        <f t="shared" ca="1" si="91"/>
        <v>58</v>
      </c>
      <c r="U1442">
        <f>VLOOKUP($A1442,'Medical Examination'!$A:$Z,2,FALSE)</f>
        <v>29.9</v>
      </c>
    </row>
    <row r="1443" spans="1:21" ht="15.5" x14ac:dyDescent="0.35">
      <c r="A1443" s="2" t="s">
        <v>1443</v>
      </c>
      <c r="B1443" s="2" t="s">
        <v>4455</v>
      </c>
      <c r="C1443">
        <v>25.24</v>
      </c>
      <c r="D1443">
        <v>5.82</v>
      </c>
      <c r="E1443" t="s">
        <v>2344</v>
      </c>
      <c r="F1443" t="s">
        <v>2344</v>
      </c>
      <c r="G1443" t="s">
        <v>2344</v>
      </c>
      <c r="H1443">
        <v>1</v>
      </c>
      <c r="I1443" t="s">
        <v>2344</v>
      </c>
      <c r="J1443" t="str">
        <f t="shared" si="89"/>
        <v>Over weight</v>
      </c>
      <c r="K1443" t="str">
        <f t="shared" si="92"/>
        <v>Prediabetes</v>
      </c>
      <c r="L1443">
        <v>9</v>
      </c>
      <c r="M1443" t="s">
        <v>2365</v>
      </c>
      <c r="N1443">
        <v>1968</v>
      </c>
      <c r="O1443" s="8">
        <f t="shared" si="90"/>
        <v>25181</v>
      </c>
      <c r="P1443" s="10">
        <v>12096.65</v>
      </c>
      <c r="Q1443" t="s">
        <v>2358</v>
      </c>
      <c r="R1443" t="s">
        <v>2361</v>
      </c>
      <c r="S1443" t="s">
        <v>2374</v>
      </c>
      <c r="T1443">
        <f t="shared" ca="1" si="91"/>
        <v>58</v>
      </c>
      <c r="U1443">
        <f>VLOOKUP($A1443,'Medical Examination'!$A:$Z,2,FALSE)</f>
        <v>25.24</v>
      </c>
    </row>
    <row r="1444" spans="1:21" ht="15.5" x14ac:dyDescent="0.35">
      <c r="A1444" s="2" t="s">
        <v>1444</v>
      </c>
      <c r="B1444" s="2" t="s">
        <v>4456</v>
      </c>
      <c r="C1444">
        <v>25.08</v>
      </c>
      <c r="D1444">
        <v>5.8</v>
      </c>
      <c r="E1444" t="s">
        <v>2344</v>
      </c>
      <c r="F1444" t="s">
        <v>2344</v>
      </c>
      <c r="G1444" t="s">
        <v>2346</v>
      </c>
      <c r="H1444">
        <v>1</v>
      </c>
      <c r="I1444" t="s">
        <v>2344</v>
      </c>
      <c r="J1444" t="str">
        <f t="shared" si="89"/>
        <v>Over weight</v>
      </c>
      <c r="K1444" t="str">
        <f t="shared" si="92"/>
        <v>Prediabetes</v>
      </c>
      <c r="L1444">
        <v>25</v>
      </c>
      <c r="M1444" t="s">
        <v>2367</v>
      </c>
      <c r="N1444">
        <v>1968</v>
      </c>
      <c r="O1444" s="8">
        <f t="shared" si="90"/>
        <v>25136</v>
      </c>
      <c r="P1444" s="10">
        <v>12105.32</v>
      </c>
      <c r="Q1444" t="s">
        <v>2358</v>
      </c>
      <c r="R1444" t="s">
        <v>2358</v>
      </c>
      <c r="S1444" t="s">
        <v>2368</v>
      </c>
      <c r="T1444">
        <f t="shared" ca="1" si="91"/>
        <v>58</v>
      </c>
      <c r="U1444">
        <f>VLOOKUP($A1444,'Medical Examination'!$A:$Z,2,FALSE)</f>
        <v>25.08</v>
      </c>
    </row>
    <row r="1445" spans="1:21" ht="15.5" x14ac:dyDescent="0.35">
      <c r="A1445" s="2" t="s">
        <v>1445</v>
      </c>
      <c r="B1445" s="2" t="s">
        <v>2406</v>
      </c>
      <c r="C1445">
        <v>29.164999999999999</v>
      </c>
      <c r="D1445">
        <v>4.87</v>
      </c>
      <c r="E1445" t="s">
        <v>2344</v>
      </c>
      <c r="F1445" t="s">
        <v>2345</v>
      </c>
      <c r="G1445" t="s">
        <v>2344</v>
      </c>
      <c r="H1445">
        <v>1</v>
      </c>
      <c r="I1445" t="s">
        <v>2344</v>
      </c>
      <c r="J1445" t="str">
        <f t="shared" si="89"/>
        <v>Over weight</v>
      </c>
      <c r="K1445" t="str">
        <f t="shared" si="92"/>
        <v>Normal</v>
      </c>
      <c r="L1445">
        <v>20</v>
      </c>
      <c r="M1445" t="s">
        <v>2356</v>
      </c>
      <c r="N1445">
        <v>1963</v>
      </c>
      <c r="O1445" s="8">
        <f t="shared" si="90"/>
        <v>23212</v>
      </c>
      <c r="P1445" s="10">
        <v>12124.99</v>
      </c>
      <c r="Q1445" t="s">
        <v>2358</v>
      </c>
      <c r="R1445" t="s">
        <v>2361</v>
      </c>
      <c r="S1445" t="s">
        <v>2364</v>
      </c>
      <c r="T1445">
        <f t="shared" ca="1" si="91"/>
        <v>63</v>
      </c>
      <c r="U1445">
        <f>VLOOKUP($A1445,'Medical Examination'!$A:$Z,2,FALSE)</f>
        <v>29.164999999999999</v>
      </c>
    </row>
    <row r="1446" spans="1:21" ht="15.5" x14ac:dyDescent="0.35">
      <c r="A1446" s="2" t="s">
        <v>1446</v>
      </c>
      <c r="B1446" s="2" t="s">
        <v>4457</v>
      </c>
      <c r="C1446">
        <v>15.05</v>
      </c>
      <c r="D1446">
        <v>8.1199999999999992</v>
      </c>
      <c r="E1446" t="s">
        <v>2344</v>
      </c>
      <c r="F1446" t="s">
        <v>2344</v>
      </c>
      <c r="G1446" t="s">
        <v>2344</v>
      </c>
      <c r="H1446">
        <v>0</v>
      </c>
      <c r="I1446" t="s">
        <v>2344</v>
      </c>
      <c r="J1446" t="str">
        <f t="shared" si="89"/>
        <v>Under Weight</v>
      </c>
      <c r="K1446" t="str">
        <f t="shared" si="92"/>
        <v>Diabetes</v>
      </c>
      <c r="L1446">
        <v>4</v>
      </c>
      <c r="M1446" t="s">
        <v>2362</v>
      </c>
      <c r="N1446">
        <v>1963</v>
      </c>
      <c r="O1446" s="8">
        <f t="shared" si="90"/>
        <v>23166</v>
      </c>
      <c r="P1446" s="10">
        <v>12129.61</v>
      </c>
      <c r="Q1446" t="s">
        <v>2358</v>
      </c>
      <c r="R1446" t="s">
        <v>2361</v>
      </c>
      <c r="S1446" t="s">
        <v>2364</v>
      </c>
      <c r="T1446">
        <f t="shared" ca="1" si="91"/>
        <v>63</v>
      </c>
      <c r="U1446">
        <f>VLOOKUP($A1446,'Medical Examination'!$A:$Z,2,FALSE)</f>
        <v>15.05</v>
      </c>
    </row>
    <row r="1447" spans="1:21" ht="15.5" x14ac:dyDescent="0.35">
      <c r="A1447" s="2" t="s">
        <v>1447</v>
      </c>
      <c r="B1447" s="2" t="s">
        <v>2545</v>
      </c>
      <c r="C1447">
        <v>19.95</v>
      </c>
      <c r="D1447">
        <v>4.3600000000000003</v>
      </c>
      <c r="E1447" t="s">
        <v>2344</v>
      </c>
      <c r="F1447" t="s">
        <v>2344</v>
      </c>
      <c r="G1447" t="s">
        <v>2344</v>
      </c>
      <c r="H1447">
        <v>1</v>
      </c>
      <c r="I1447" t="s">
        <v>2344</v>
      </c>
      <c r="J1447" t="str">
        <f t="shared" si="89"/>
        <v>Normal Weight</v>
      </c>
      <c r="K1447" t="str">
        <f t="shared" si="92"/>
        <v>Normal</v>
      </c>
      <c r="L1447">
        <v>6</v>
      </c>
      <c r="M1447" t="s">
        <v>2360</v>
      </c>
      <c r="N1447">
        <v>1991</v>
      </c>
      <c r="O1447" s="8">
        <f t="shared" si="90"/>
        <v>33548</v>
      </c>
      <c r="P1447" s="10">
        <v>12130.8</v>
      </c>
      <c r="Q1447" t="s">
        <v>2358</v>
      </c>
      <c r="R1447" t="s">
        <v>2358</v>
      </c>
      <c r="S1447" t="s">
        <v>2380</v>
      </c>
      <c r="T1447">
        <f t="shared" ca="1" si="91"/>
        <v>35</v>
      </c>
      <c r="U1447">
        <f>VLOOKUP($A1447,'Medical Examination'!$A:$Z,2,FALSE)</f>
        <v>19.95</v>
      </c>
    </row>
    <row r="1448" spans="1:21" ht="15.5" x14ac:dyDescent="0.35">
      <c r="A1448" s="2" t="s">
        <v>1448</v>
      </c>
      <c r="B1448" s="2" t="s">
        <v>4458</v>
      </c>
      <c r="C1448">
        <v>16.66</v>
      </c>
      <c r="D1448">
        <v>9.16</v>
      </c>
      <c r="E1448" t="s">
        <v>2344</v>
      </c>
      <c r="F1448" t="s">
        <v>2344</v>
      </c>
      <c r="G1448" t="s">
        <v>2344</v>
      </c>
      <c r="H1448">
        <v>0</v>
      </c>
      <c r="I1448" t="s">
        <v>2344</v>
      </c>
      <c r="J1448" t="str">
        <f t="shared" si="89"/>
        <v>Under Weight</v>
      </c>
      <c r="K1448" t="str">
        <f t="shared" si="92"/>
        <v>Diabetes</v>
      </c>
      <c r="L1448">
        <v>16</v>
      </c>
      <c r="M1448" t="s">
        <v>2363</v>
      </c>
      <c r="N1448">
        <v>1974</v>
      </c>
      <c r="O1448" s="8">
        <f t="shared" si="90"/>
        <v>27288</v>
      </c>
      <c r="P1448" s="10">
        <v>12137.6</v>
      </c>
      <c r="Q1448" t="s">
        <v>2358</v>
      </c>
      <c r="R1448" t="s">
        <v>2358</v>
      </c>
      <c r="S1448" t="s">
        <v>2364</v>
      </c>
      <c r="T1448">
        <f t="shared" ca="1" si="91"/>
        <v>52</v>
      </c>
      <c r="U1448">
        <f>VLOOKUP($A1448,'Medical Examination'!$A:$Z,2,FALSE)</f>
        <v>16.66</v>
      </c>
    </row>
    <row r="1449" spans="1:21" ht="15.5" x14ac:dyDescent="0.35">
      <c r="A1449" s="2" t="s">
        <v>1449</v>
      </c>
      <c r="B1449" s="2" t="s">
        <v>4459</v>
      </c>
      <c r="C1449">
        <v>16.62</v>
      </c>
      <c r="D1449">
        <v>9.14</v>
      </c>
      <c r="E1449" t="s">
        <v>2344</v>
      </c>
      <c r="F1449" t="s">
        <v>2344</v>
      </c>
      <c r="G1449" t="s">
        <v>2344</v>
      </c>
      <c r="H1449">
        <v>0</v>
      </c>
      <c r="I1449" t="s">
        <v>2344</v>
      </c>
      <c r="J1449" t="str">
        <f t="shared" si="89"/>
        <v>Under Weight</v>
      </c>
      <c r="K1449" t="str">
        <f t="shared" si="92"/>
        <v>Diabetes</v>
      </c>
      <c r="L1449">
        <v>4</v>
      </c>
      <c r="M1449" t="s">
        <v>2360</v>
      </c>
      <c r="N1449">
        <v>1962</v>
      </c>
      <c r="O1449" s="8">
        <f t="shared" si="90"/>
        <v>22954</v>
      </c>
      <c r="P1449" s="10">
        <v>12142.58</v>
      </c>
      <c r="Q1449" t="s">
        <v>2358</v>
      </c>
      <c r="R1449" t="s">
        <v>2357</v>
      </c>
      <c r="S1449" t="s">
        <v>2359</v>
      </c>
      <c r="T1449">
        <f t="shared" ca="1" si="91"/>
        <v>64</v>
      </c>
      <c r="U1449">
        <f>VLOOKUP($A1449,'Medical Examination'!$A:$Z,2,FALSE)</f>
        <v>16.62</v>
      </c>
    </row>
    <row r="1450" spans="1:21" ht="15.5" x14ac:dyDescent="0.35">
      <c r="A1450" s="2" t="s">
        <v>1450</v>
      </c>
      <c r="B1450" s="2" t="s">
        <v>4461</v>
      </c>
      <c r="C1450">
        <v>15.36</v>
      </c>
      <c r="D1450">
        <v>5.49</v>
      </c>
      <c r="E1450" t="s">
        <v>2346</v>
      </c>
      <c r="F1450" t="s">
        <v>2344</v>
      </c>
      <c r="G1450" t="s">
        <v>2344</v>
      </c>
      <c r="H1450">
        <v>1</v>
      </c>
      <c r="I1450" t="s">
        <v>2344</v>
      </c>
      <c r="J1450" t="str">
        <f t="shared" si="89"/>
        <v>Under Weight</v>
      </c>
      <c r="K1450" t="str">
        <f t="shared" si="92"/>
        <v>Normal</v>
      </c>
      <c r="L1450">
        <v>15</v>
      </c>
      <c r="M1450" t="s">
        <v>2363</v>
      </c>
      <c r="N1450">
        <v>1962</v>
      </c>
      <c r="O1450" s="8">
        <f t="shared" si="90"/>
        <v>22904</v>
      </c>
      <c r="P1450" s="10">
        <v>12146.97</v>
      </c>
      <c r="Q1450" t="s">
        <v>2358</v>
      </c>
      <c r="R1450" t="s">
        <v>2358</v>
      </c>
      <c r="S1450" t="s">
        <v>2368</v>
      </c>
      <c r="T1450">
        <f t="shared" ca="1" si="91"/>
        <v>64</v>
      </c>
      <c r="U1450">
        <f>VLOOKUP($A1450,'Medical Examination'!$A:$Z,2,FALSE)</f>
        <v>15.36</v>
      </c>
    </row>
    <row r="1451" spans="1:21" ht="15.5" x14ac:dyDescent="0.35">
      <c r="A1451" s="2" t="s">
        <v>1451</v>
      </c>
      <c r="B1451" s="2" t="s">
        <v>4462</v>
      </c>
      <c r="C1451">
        <v>27.74</v>
      </c>
      <c r="D1451">
        <v>5.96</v>
      </c>
      <c r="E1451" t="s">
        <v>2346</v>
      </c>
      <c r="F1451" t="s">
        <v>2344</v>
      </c>
      <c r="G1451" t="s">
        <v>2344</v>
      </c>
      <c r="H1451">
        <v>0</v>
      </c>
      <c r="I1451" t="s">
        <v>2344</v>
      </c>
      <c r="J1451" t="str">
        <f t="shared" si="89"/>
        <v>Over weight</v>
      </c>
      <c r="K1451" t="str">
        <f t="shared" si="92"/>
        <v>Prediabetes</v>
      </c>
      <c r="L1451">
        <v>5</v>
      </c>
      <c r="M1451" t="s">
        <v>2367</v>
      </c>
      <c r="N1451">
        <v>1987</v>
      </c>
      <c r="O1451" s="8">
        <f t="shared" si="90"/>
        <v>32055</v>
      </c>
      <c r="P1451" s="10">
        <v>12148.2</v>
      </c>
      <c r="Q1451" t="s">
        <v>2358</v>
      </c>
      <c r="R1451" t="s">
        <v>2358</v>
      </c>
      <c r="S1451" t="s">
        <v>2364</v>
      </c>
      <c r="T1451">
        <f t="shared" ca="1" si="91"/>
        <v>39</v>
      </c>
      <c r="U1451">
        <f>VLOOKUP($A1451,'Medical Examination'!$A:$Z,2,FALSE)</f>
        <v>27.74</v>
      </c>
    </row>
    <row r="1452" spans="1:21" ht="15.5" x14ac:dyDescent="0.35">
      <c r="A1452" s="2" t="s">
        <v>1452</v>
      </c>
      <c r="B1452" s="2" t="s">
        <v>4464</v>
      </c>
      <c r="C1452">
        <v>22.44</v>
      </c>
      <c r="D1452">
        <v>4.62</v>
      </c>
      <c r="E1452" t="s">
        <v>2346</v>
      </c>
      <c r="F1452" t="s">
        <v>2344</v>
      </c>
      <c r="G1452" t="s">
        <v>2344</v>
      </c>
      <c r="H1452">
        <v>0</v>
      </c>
      <c r="I1452" t="s">
        <v>2344</v>
      </c>
      <c r="J1452" t="str">
        <f t="shared" si="89"/>
        <v>Normal Weight</v>
      </c>
      <c r="K1452" t="str">
        <f t="shared" si="92"/>
        <v>Normal</v>
      </c>
      <c r="L1452">
        <v>29</v>
      </c>
      <c r="M1452" t="s">
        <v>2366</v>
      </c>
      <c r="N1452">
        <v>1991</v>
      </c>
      <c r="O1452" s="8">
        <f t="shared" si="90"/>
        <v>33479</v>
      </c>
      <c r="P1452" s="10">
        <v>12198.64</v>
      </c>
      <c r="Q1452" t="s">
        <v>2358</v>
      </c>
      <c r="R1452" t="s">
        <v>2358</v>
      </c>
      <c r="S1452" t="s">
        <v>2380</v>
      </c>
      <c r="T1452">
        <f t="shared" ca="1" si="91"/>
        <v>35</v>
      </c>
      <c r="U1452">
        <f>VLOOKUP($A1452,'Medical Examination'!$A:$Z,2,FALSE)</f>
        <v>22.44</v>
      </c>
    </row>
    <row r="1453" spans="1:21" ht="15.5" x14ac:dyDescent="0.35">
      <c r="A1453" s="2" t="s">
        <v>1453</v>
      </c>
      <c r="B1453" s="2" t="s">
        <v>4465</v>
      </c>
      <c r="C1453">
        <v>37.049999999999997</v>
      </c>
      <c r="D1453">
        <v>9.9600000000000009</v>
      </c>
      <c r="E1453" t="s">
        <v>2346</v>
      </c>
      <c r="F1453" t="s">
        <v>2344</v>
      </c>
      <c r="G1453" t="s">
        <v>2344</v>
      </c>
      <c r="H1453">
        <v>0</v>
      </c>
      <c r="I1453" t="s">
        <v>2344</v>
      </c>
      <c r="J1453" t="str">
        <f t="shared" si="89"/>
        <v>Obesity</v>
      </c>
      <c r="K1453" t="str">
        <f t="shared" si="92"/>
        <v>Diabetes</v>
      </c>
      <c r="L1453">
        <v>14</v>
      </c>
      <c r="M1453" t="s">
        <v>2366</v>
      </c>
      <c r="N1453">
        <v>1977</v>
      </c>
      <c r="O1453" s="8">
        <f t="shared" si="90"/>
        <v>28351</v>
      </c>
      <c r="P1453" s="10">
        <v>12218.7</v>
      </c>
      <c r="Q1453" t="s">
        <v>2358</v>
      </c>
      <c r="R1453" t="s">
        <v>2361</v>
      </c>
      <c r="S1453" t="s">
        <v>2364</v>
      </c>
      <c r="T1453">
        <f t="shared" ca="1" si="91"/>
        <v>49</v>
      </c>
      <c r="U1453">
        <f>VLOOKUP($A1453,'Medical Examination'!$A:$Z,2,FALSE)</f>
        <v>37.049999999999997</v>
      </c>
    </row>
    <row r="1454" spans="1:21" ht="15.5" x14ac:dyDescent="0.35">
      <c r="A1454" s="2" t="s">
        <v>1454</v>
      </c>
      <c r="B1454" s="2" t="s">
        <v>4466</v>
      </c>
      <c r="C1454">
        <v>22.95</v>
      </c>
      <c r="D1454">
        <v>10.53</v>
      </c>
      <c r="E1454" t="s">
        <v>2344</v>
      </c>
      <c r="F1454" t="s">
        <v>2344</v>
      </c>
      <c r="G1454" t="s">
        <v>2344</v>
      </c>
      <c r="H1454">
        <v>1</v>
      </c>
      <c r="I1454" t="s">
        <v>2344</v>
      </c>
      <c r="J1454" t="str">
        <f t="shared" si="89"/>
        <v>Normal Weight</v>
      </c>
      <c r="K1454" t="str">
        <f t="shared" si="92"/>
        <v>Diabetes</v>
      </c>
      <c r="L1454">
        <v>20</v>
      </c>
      <c r="M1454" t="s">
        <v>2356</v>
      </c>
      <c r="N1454">
        <v>1964</v>
      </c>
      <c r="O1454" s="8">
        <f t="shared" si="90"/>
        <v>23578</v>
      </c>
      <c r="P1454" s="10">
        <v>12222.9</v>
      </c>
      <c r="Q1454" t="s">
        <v>2358</v>
      </c>
      <c r="R1454" t="s">
        <v>2357</v>
      </c>
      <c r="S1454" t="s">
        <v>2364</v>
      </c>
      <c r="T1454">
        <f t="shared" ca="1" si="91"/>
        <v>62</v>
      </c>
      <c r="U1454">
        <f>VLOOKUP($A1454,'Medical Examination'!$A:$Z,2,FALSE)</f>
        <v>22.95</v>
      </c>
    </row>
    <row r="1455" spans="1:21" ht="15.5" x14ac:dyDescent="0.35">
      <c r="A1455" s="2" t="s">
        <v>1455</v>
      </c>
      <c r="B1455" s="2" t="s">
        <v>4467</v>
      </c>
      <c r="C1455">
        <v>34.200000000000003</v>
      </c>
      <c r="D1455">
        <v>6.69</v>
      </c>
      <c r="E1455" t="s">
        <v>2346</v>
      </c>
      <c r="F1455" t="s">
        <v>2344</v>
      </c>
      <c r="G1455" t="s">
        <v>2344</v>
      </c>
      <c r="H1455">
        <v>0</v>
      </c>
      <c r="I1455" t="s">
        <v>2344</v>
      </c>
      <c r="J1455" t="str">
        <f t="shared" si="89"/>
        <v>Obesity</v>
      </c>
      <c r="K1455" t="str">
        <f t="shared" si="92"/>
        <v>Diabetes</v>
      </c>
      <c r="L1455">
        <v>2</v>
      </c>
      <c r="M1455" t="s">
        <v>2356</v>
      </c>
      <c r="N1455">
        <v>1964</v>
      </c>
      <c r="O1455" s="8">
        <f t="shared" si="90"/>
        <v>23560</v>
      </c>
      <c r="P1455" s="10">
        <v>12224.35</v>
      </c>
      <c r="Q1455" t="s">
        <v>2358</v>
      </c>
      <c r="R1455" t="s">
        <v>2361</v>
      </c>
      <c r="S1455" t="s">
        <v>2364</v>
      </c>
      <c r="T1455">
        <f t="shared" ca="1" si="91"/>
        <v>62</v>
      </c>
      <c r="U1455">
        <f>VLOOKUP($A1455,'Medical Examination'!$A:$Z,2,FALSE)</f>
        <v>34.200000000000003</v>
      </c>
    </row>
    <row r="1456" spans="1:21" ht="15.5" x14ac:dyDescent="0.35">
      <c r="A1456" s="2" t="s">
        <v>1456</v>
      </c>
      <c r="B1456" s="2" t="s">
        <v>4468</v>
      </c>
      <c r="C1456">
        <v>30.59</v>
      </c>
      <c r="D1456">
        <v>9.5500000000000007</v>
      </c>
      <c r="E1456" t="s">
        <v>2346</v>
      </c>
      <c r="F1456" t="s">
        <v>2344</v>
      </c>
      <c r="G1456" t="s">
        <v>2344</v>
      </c>
      <c r="H1456">
        <v>0</v>
      </c>
      <c r="I1456" t="s">
        <v>2344</v>
      </c>
      <c r="J1456" t="str">
        <f t="shared" si="89"/>
        <v>Obesity</v>
      </c>
      <c r="K1456" t="str">
        <f t="shared" si="92"/>
        <v>Diabetes</v>
      </c>
      <c r="L1456">
        <v>24</v>
      </c>
      <c r="M1456" t="s">
        <v>2362</v>
      </c>
      <c r="N1456">
        <v>1964</v>
      </c>
      <c r="O1456" s="8">
        <f t="shared" si="90"/>
        <v>23552</v>
      </c>
      <c r="P1456" s="10">
        <v>12231.61</v>
      </c>
      <c r="Q1456" t="s">
        <v>2358</v>
      </c>
      <c r="R1456" t="s">
        <v>2358</v>
      </c>
      <c r="S1456" t="s">
        <v>2364</v>
      </c>
      <c r="T1456">
        <f t="shared" ca="1" si="91"/>
        <v>62</v>
      </c>
      <c r="U1456">
        <f>VLOOKUP($A1456,'Medical Examination'!$A:$Z,2,FALSE)</f>
        <v>30.59</v>
      </c>
    </row>
    <row r="1457" spans="1:21" ht="15.5" x14ac:dyDescent="0.35">
      <c r="A1457" s="2" t="s">
        <v>1457</v>
      </c>
      <c r="B1457" s="2" t="s">
        <v>3035</v>
      </c>
      <c r="C1457">
        <v>25.51</v>
      </c>
      <c r="D1457">
        <v>6.05</v>
      </c>
      <c r="E1457" t="s">
        <v>2344</v>
      </c>
      <c r="F1457" t="s">
        <v>2344</v>
      </c>
      <c r="G1457" t="s">
        <v>2344</v>
      </c>
      <c r="H1457">
        <v>0</v>
      </c>
      <c r="I1457" t="s">
        <v>2344</v>
      </c>
      <c r="J1457" t="str">
        <f t="shared" si="89"/>
        <v>Over weight</v>
      </c>
      <c r="K1457" t="str">
        <f t="shared" si="92"/>
        <v>Prediabetes</v>
      </c>
      <c r="L1457">
        <v>19</v>
      </c>
      <c r="M1457" t="s">
        <v>2356</v>
      </c>
      <c r="N1457">
        <v>1963</v>
      </c>
      <c r="O1457" s="8">
        <f t="shared" si="90"/>
        <v>23211</v>
      </c>
      <c r="P1457" s="10">
        <v>12233.83</v>
      </c>
      <c r="Q1457" t="s">
        <v>2358</v>
      </c>
      <c r="R1457" t="s">
        <v>2361</v>
      </c>
      <c r="S1457" t="s">
        <v>2368</v>
      </c>
      <c r="T1457">
        <f t="shared" ca="1" si="91"/>
        <v>63</v>
      </c>
      <c r="U1457">
        <f>VLOOKUP($A1457,'Medical Examination'!$A:$Z,2,FALSE)</f>
        <v>25.51</v>
      </c>
    </row>
    <row r="1458" spans="1:21" ht="15.5" x14ac:dyDescent="0.35">
      <c r="A1458" s="2" t="s">
        <v>1458</v>
      </c>
      <c r="B1458" s="2" t="s">
        <v>4469</v>
      </c>
      <c r="C1458">
        <v>29.04</v>
      </c>
      <c r="D1458">
        <v>10.56</v>
      </c>
      <c r="E1458" t="s">
        <v>2346</v>
      </c>
      <c r="F1458" t="s">
        <v>2344</v>
      </c>
      <c r="G1458" t="s">
        <v>2344</v>
      </c>
      <c r="H1458">
        <v>1</v>
      </c>
      <c r="I1458" t="s">
        <v>2344</v>
      </c>
      <c r="J1458" t="str">
        <f t="shared" si="89"/>
        <v>Over weight</v>
      </c>
      <c r="K1458" t="str">
        <f t="shared" si="92"/>
        <v>Diabetes</v>
      </c>
      <c r="L1458">
        <v>15</v>
      </c>
      <c r="M1458" t="s">
        <v>2367</v>
      </c>
      <c r="N1458">
        <v>1964</v>
      </c>
      <c r="O1458" s="8">
        <f t="shared" si="90"/>
        <v>23665</v>
      </c>
      <c r="P1458" s="10">
        <v>12235.84</v>
      </c>
      <c r="Q1458" t="s">
        <v>2358</v>
      </c>
      <c r="R1458" t="s">
        <v>2358</v>
      </c>
      <c r="S1458" t="s">
        <v>2364</v>
      </c>
      <c r="T1458">
        <f t="shared" ca="1" si="91"/>
        <v>62</v>
      </c>
      <c r="U1458">
        <f>VLOOKUP($A1458,'Medical Examination'!$A:$Z,2,FALSE)</f>
        <v>29.04</v>
      </c>
    </row>
    <row r="1459" spans="1:21" ht="15.5" x14ac:dyDescent="0.35">
      <c r="A1459" s="2" t="s">
        <v>1459</v>
      </c>
      <c r="B1459" s="2" t="s">
        <v>4470</v>
      </c>
      <c r="C1459">
        <v>22.135000000000002</v>
      </c>
      <c r="D1459">
        <v>10.81</v>
      </c>
      <c r="E1459" t="s">
        <v>2346</v>
      </c>
      <c r="F1459" t="s">
        <v>2344</v>
      </c>
      <c r="G1459" t="s">
        <v>2344</v>
      </c>
      <c r="H1459">
        <v>1</v>
      </c>
      <c r="I1459" t="s">
        <v>2344</v>
      </c>
      <c r="J1459" t="str">
        <f t="shared" si="89"/>
        <v>Normal Weight</v>
      </c>
      <c r="K1459" t="str">
        <f t="shared" si="92"/>
        <v>Diabetes</v>
      </c>
      <c r="L1459">
        <v>29</v>
      </c>
      <c r="M1459" t="s">
        <v>2356</v>
      </c>
      <c r="N1459">
        <v>1966</v>
      </c>
      <c r="O1459" s="8">
        <f t="shared" si="90"/>
        <v>24317</v>
      </c>
      <c r="P1459" s="10">
        <v>12237.73</v>
      </c>
      <c r="Q1459" t="s">
        <v>2358</v>
      </c>
      <c r="R1459" t="s">
        <v>2358</v>
      </c>
      <c r="S1459" t="s">
        <v>2364</v>
      </c>
      <c r="T1459">
        <f t="shared" ca="1" si="91"/>
        <v>60</v>
      </c>
      <c r="U1459">
        <f>VLOOKUP($A1459,'Medical Examination'!$A:$Z,2,FALSE)</f>
        <v>22.135000000000002</v>
      </c>
    </row>
    <row r="1460" spans="1:21" ht="15.5" x14ac:dyDescent="0.35">
      <c r="A1460" s="2" t="s">
        <v>1460</v>
      </c>
      <c r="B1460" s="2" t="s">
        <v>4471</v>
      </c>
      <c r="C1460">
        <v>21.375</v>
      </c>
      <c r="D1460">
        <v>4.32</v>
      </c>
      <c r="E1460" t="s">
        <v>2344</v>
      </c>
      <c r="F1460" t="s">
        <v>2344</v>
      </c>
      <c r="G1460" t="s">
        <v>2344</v>
      </c>
      <c r="H1460">
        <v>0</v>
      </c>
      <c r="I1460" t="s">
        <v>2344</v>
      </c>
      <c r="J1460" t="str">
        <f t="shared" si="89"/>
        <v>Normal Weight</v>
      </c>
      <c r="K1460" t="str">
        <f t="shared" si="92"/>
        <v>Normal</v>
      </c>
      <c r="L1460">
        <v>17</v>
      </c>
      <c r="M1460" t="s">
        <v>2356</v>
      </c>
      <c r="N1460">
        <v>1963</v>
      </c>
      <c r="O1460" s="8">
        <f t="shared" si="90"/>
        <v>23209</v>
      </c>
      <c r="P1460" s="10">
        <v>12244.53</v>
      </c>
      <c r="Q1460" t="s">
        <v>2358</v>
      </c>
      <c r="R1460" t="s">
        <v>2361</v>
      </c>
      <c r="S1460" t="s">
        <v>2359</v>
      </c>
      <c r="T1460">
        <f t="shared" ca="1" si="91"/>
        <v>63</v>
      </c>
      <c r="U1460">
        <f>VLOOKUP($A1460,'Medical Examination'!$A:$Z,2,FALSE)</f>
        <v>21.375</v>
      </c>
    </row>
    <row r="1461" spans="1:21" ht="15.5" x14ac:dyDescent="0.35">
      <c r="A1461" s="2" t="s">
        <v>1461</v>
      </c>
      <c r="B1461" s="2" t="s">
        <v>3659</v>
      </c>
      <c r="C1461">
        <v>29.19</v>
      </c>
      <c r="D1461">
        <v>4.37</v>
      </c>
      <c r="E1461" t="s">
        <v>2344</v>
      </c>
      <c r="F1461" t="s">
        <v>2344</v>
      </c>
      <c r="G1461" t="s">
        <v>2344</v>
      </c>
      <c r="H1461">
        <v>0</v>
      </c>
      <c r="I1461" t="s">
        <v>2344</v>
      </c>
      <c r="J1461" t="str">
        <f t="shared" si="89"/>
        <v>Over weight</v>
      </c>
      <c r="K1461" t="str">
        <f t="shared" si="92"/>
        <v>Normal</v>
      </c>
      <c r="L1461">
        <v>23</v>
      </c>
      <c r="M1461" t="s">
        <v>2362</v>
      </c>
      <c r="N1461">
        <v>1974</v>
      </c>
      <c r="O1461" s="8">
        <f t="shared" si="90"/>
        <v>27203</v>
      </c>
      <c r="P1461" s="10">
        <v>12245.17</v>
      </c>
      <c r="Q1461" t="s">
        <v>2358</v>
      </c>
      <c r="R1461" t="s">
        <v>2361</v>
      </c>
      <c r="S1461" t="s">
        <v>2364</v>
      </c>
      <c r="T1461">
        <f t="shared" ca="1" si="91"/>
        <v>52</v>
      </c>
      <c r="U1461">
        <f>VLOOKUP($A1461,'Medical Examination'!$A:$Z,2,FALSE)</f>
        <v>29.19</v>
      </c>
    </row>
    <row r="1462" spans="1:21" ht="15.5" x14ac:dyDescent="0.35">
      <c r="A1462" s="2" t="s">
        <v>1462</v>
      </c>
      <c r="B1462" s="2" t="s">
        <v>2934</v>
      </c>
      <c r="C1462">
        <v>31.92</v>
      </c>
      <c r="D1462">
        <v>4.8099999999999996</v>
      </c>
      <c r="E1462" t="s">
        <v>2346</v>
      </c>
      <c r="F1462" t="s">
        <v>2344</v>
      </c>
      <c r="G1462" t="s">
        <v>2346</v>
      </c>
      <c r="H1462">
        <v>1</v>
      </c>
      <c r="I1462" t="s">
        <v>2344</v>
      </c>
      <c r="J1462" t="str">
        <f t="shared" si="89"/>
        <v>Obesity</v>
      </c>
      <c r="K1462" t="str">
        <f t="shared" si="92"/>
        <v>Normal</v>
      </c>
      <c r="L1462">
        <v>23</v>
      </c>
      <c r="M1462" t="s">
        <v>2360</v>
      </c>
      <c r="N1462">
        <v>1989</v>
      </c>
      <c r="O1462" s="8">
        <f t="shared" si="90"/>
        <v>32835</v>
      </c>
      <c r="P1462" s="10">
        <v>12254.44</v>
      </c>
      <c r="Q1462" t="s">
        <v>2358</v>
      </c>
      <c r="R1462" t="s">
        <v>2358</v>
      </c>
      <c r="S1462" t="s">
        <v>2380</v>
      </c>
      <c r="T1462">
        <f t="shared" ca="1" si="91"/>
        <v>37</v>
      </c>
      <c r="U1462">
        <f>VLOOKUP($A1462,'Medical Examination'!$A:$Z,2,FALSE)</f>
        <v>31.92</v>
      </c>
    </row>
    <row r="1463" spans="1:21" ht="15.5" x14ac:dyDescent="0.35">
      <c r="A1463" s="2" t="s">
        <v>1463</v>
      </c>
      <c r="B1463" s="2" t="s">
        <v>2835</v>
      </c>
      <c r="C1463">
        <v>26.315000000000001</v>
      </c>
      <c r="D1463">
        <v>4.5599999999999996</v>
      </c>
      <c r="E1463" t="s">
        <v>2346</v>
      </c>
      <c r="F1463" t="s">
        <v>2344</v>
      </c>
      <c r="G1463" t="s">
        <v>2346</v>
      </c>
      <c r="H1463">
        <v>1</v>
      </c>
      <c r="I1463" t="s">
        <v>2344</v>
      </c>
      <c r="J1463" t="str">
        <f t="shared" si="89"/>
        <v>Over weight</v>
      </c>
      <c r="K1463" t="str">
        <f t="shared" si="92"/>
        <v>Normal</v>
      </c>
      <c r="L1463">
        <v>13</v>
      </c>
      <c r="M1463" t="s">
        <v>2366</v>
      </c>
      <c r="N1463">
        <v>1986</v>
      </c>
      <c r="O1463" s="8">
        <f t="shared" si="90"/>
        <v>31637</v>
      </c>
      <c r="P1463" s="10">
        <v>12255.04</v>
      </c>
      <c r="Q1463" t="s">
        <v>2358</v>
      </c>
      <c r="R1463" t="s">
        <v>2357</v>
      </c>
      <c r="S1463" t="s">
        <v>2380</v>
      </c>
      <c r="T1463">
        <f t="shared" ca="1" si="91"/>
        <v>40</v>
      </c>
      <c r="U1463">
        <f>VLOOKUP($A1463,'Medical Examination'!$A:$Z,2,FALSE)</f>
        <v>26.315000000000001</v>
      </c>
    </row>
    <row r="1464" spans="1:21" ht="15.5" x14ac:dyDescent="0.35">
      <c r="A1464" s="2" t="s">
        <v>1464</v>
      </c>
      <c r="B1464" s="2" t="s">
        <v>4475</v>
      </c>
      <c r="C1464">
        <v>35.299999999999997</v>
      </c>
      <c r="D1464">
        <v>4.3899999999999997</v>
      </c>
      <c r="E1464" t="s">
        <v>2344</v>
      </c>
      <c r="F1464" t="s">
        <v>2344</v>
      </c>
      <c r="G1464" t="s">
        <v>2344</v>
      </c>
      <c r="H1464">
        <v>0</v>
      </c>
      <c r="I1464" t="s">
        <v>2344</v>
      </c>
      <c r="J1464" t="str">
        <f t="shared" si="89"/>
        <v>Obesity</v>
      </c>
      <c r="K1464" t="str">
        <f t="shared" si="92"/>
        <v>Normal</v>
      </c>
      <c r="L1464">
        <v>6</v>
      </c>
      <c r="M1464" t="s">
        <v>2365</v>
      </c>
      <c r="N1464">
        <v>1966</v>
      </c>
      <c r="O1464" s="8">
        <f t="shared" si="90"/>
        <v>24447</v>
      </c>
      <c r="P1464" s="10">
        <v>12265.51</v>
      </c>
      <c r="Q1464" t="s">
        <v>2358</v>
      </c>
      <c r="R1464" t="s">
        <v>2358</v>
      </c>
      <c r="S1464" t="s">
        <v>2359</v>
      </c>
      <c r="T1464">
        <f t="shared" ca="1" si="91"/>
        <v>60</v>
      </c>
      <c r="U1464">
        <f>VLOOKUP($A1464,'Medical Examination'!$A:$Z,2,FALSE)</f>
        <v>35.299999999999997</v>
      </c>
    </row>
    <row r="1465" spans="1:21" ht="15.5" x14ac:dyDescent="0.35">
      <c r="A1465" s="2" t="s">
        <v>1465</v>
      </c>
      <c r="B1465" s="2" t="s">
        <v>4476</v>
      </c>
      <c r="C1465">
        <v>18.91</v>
      </c>
      <c r="D1465">
        <v>11.44</v>
      </c>
      <c r="E1465" t="s">
        <v>2344</v>
      </c>
      <c r="F1465" t="s">
        <v>2344</v>
      </c>
      <c r="G1465" t="s">
        <v>2344</v>
      </c>
      <c r="H1465">
        <v>0</v>
      </c>
      <c r="I1465" t="s">
        <v>2344</v>
      </c>
      <c r="J1465" t="str">
        <f t="shared" si="89"/>
        <v>Normal Weight</v>
      </c>
      <c r="K1465" t="str">
        <f t="shared" si="92"/>
        <v>Diabetes</v>
      </c>
      <c r="L1465">
        <v>30</v>
      </c>
      <c r="M1465" t="s">
        <v>2365</v>
      </c>
      <c r="N1465">
        <v>1967</v>
      </c>
      <c r="O1465" s="8">
        <f t="shared" si="90"/>
        <v>24836</v>
      </c>
      <c r="P1465" s="10">
        <v>12268.63</v>
      </c>
      <c r="Q1465" t="s">
        <v>2358</v>
      </c>
      <c r="R1465" t="s">
        <v>2361</v>
      </c>
      <c r="S1465" t="s">
        <v>2364</v>
      </c>
      <c r="T1465">
        <f t="shared" ca="1" si="91"/>
        <v>59</v>
      </c>
      <c r="U1465">
        <f>VLOOKUP($A1465,'Medical Examination'!$A:$Z,2,FALSE)</f>
        <v>18.91</v>
      </c>
    </row>
    <row r="1466" spans="1:21" ht="15.5" x14ac:dyDescent="0.35">
      <c r="A1466" s="2" t="s">
        <v>1466</v>
      </c>
      <c r="B1466" s="2" t="s">
        <v>2907</v>
      </c>
      <c r="C1466">
        <v>22.41</v>
      </c>
      <c r="D1466">
        <v>11.37</v>
      </c>
      <c r="E1466" t="s">
        <v>2346</v>
      </c>
      <c r="F1466" t="s">
        <v>2344</v>
      </c>
      <c r="G1466" t="s">
        <v>2344</v>
      </c>
      <c r="H1466">
        <v>1</v>
      </c>
      <c r="I1466" t="s">
        <v>2344</v>
      </c>
      <c r="J1466" t="str">
        <f t="shared" si="89"/>
        <v>Normal Weight</v>
      </c>
      <c r="K1466" t="str">
        <f t="shared" si="92"/>
        <v>Diabetes</v>
      </c>
      <c r="L1466">
        <v>28</v>
      </c>
      <c r="M1466" t="s">
        <v>2366</v>
      </c>
      <c r="N1466">
        <v>1967</v>
      </c>
      <c r="O1466" s="8">
        <f t="shared" si="90"/>
        <v>24712</v>
      </c>
      <c r="P1466" s="10">
        <v>12269.69</v>
      </c>
      <c r="Q1466" t="s">
        <v>2358</v>
      </c>
      <c r="R1466" t="s">
        <v>2357</v>
      </c>
      <c r="S1466" t="s">
        <v>2364</v>
      </c>
      <c r="T1466">
        <f t="shared" ca="1" si="91"/>
        <v>59</v>
      </c>
      <c r="U1466">
        <f>VLOOKUP($A1466,'Medical Examination'!$A:$Z,2,FALSE)</f>
        <v>22.41</v>
      </c>
    </row>
    <row r="1467" spans="1:21" ht="15.5" x14ac:dyDescent="0.35">
      <c r="A1467" s="2" t="s">
        <v>1467</v>
      </c>
      <c r="B1467" s="2" t="s">
        <v>3179</v>
      </c>
      <c r="C1467">
        <v>22.704999999999998</v>
      </c>
      <c r="D1467">
        <v>6.14</v>
      </c>
      <c r="E1467" t="s">
        <v>2344</v>
      </c>
      <c r="F1467" t="s">
        <v>2344</v>
      </c>
      <c r="G1467" t="s">
        <v>2344</v>
      </c>
      <c r="H1467">
        <v>0</v>
      </c>
      <c r="I1467" t="s">
        <v>2344</v>
      </c>
      <c r="J1467" t="str">
        <f t="shared" si="89"/>
        <v>Normal Weight</v>
      </c>
      <c r="K1467" t="str">
        <f t="shared" si="92"/>
        <v>Prediabetes</v>
      </c>
      <c r="L1467">
        <v>16</v>
      </c>
      <c r="M1467" t="s">
        <v>2360</v>
      </c>
      <c r="N1467">
        <v>1966</v>
      </c>
      <c r="O1467" s="8">
        <f t="shared" si="90"/>
        <v>24427</v>
      </c>
      <c r="P1467" s="10">
        <v>12282.03</v>
      </c>
      <c r="Q1467" t="s">
        <v>2358</v>
      </c>
      <c r="R1467" t="s">
        <v>2361</v>
      </c>
      <c r="S1467" t="s">
        <v>2373</v>
      </c>
      <c r="T1467">
        <f t="shared" ca="1" si="91"/>
        <v>60</v>
      </c>
      <c r="U1467">
        <f>VLOOKUP($A1467,'Medical Examination'!$A:$Z,2,FALSE)</f>
        <v>22.704999999999998</v>
      </c>
    </row>
    <row r="1468" spans="1:21" ht="15.5" x14ac:dyDescent="0.35">
      <c r="A1468" s="2" t="s">
        <v>1468</v>
      </c>
      <c r="B1468" s="2" t="s">
        <v>4480</v>
      </c>
      <c r="C1468">
        <v>37.18</v>
      </c>
      <c r="D1468">
        <v>4.8899999999999997</v>
      </c>
      <c r="E1468" t="s">
        <v>2344</v>
      </c>
      <c r="F1468" t="s">
        <v>2344</v>
      </c>
      <c r="G1468" t="s">
        <v>2344</v>
      </c>
      <c r="H1468">
        <v>0</v>
      </c>
      <c r="I1468" t="s">
        <v>2344</v>
      </c>
      <c r="J1468" t="str">
        <f t="shared" si="89"/>
        <v>Obesity</v>
      </c>
      <c r="K1468" t="str">
        <f t="shared" si="92"/>
        <v>Normal</v>
      </c>
      <c r="L1468">
        <v>29</v>
      </c>
      <c r="M1468" t="s">
        <v>2367</v>
      </c>
      <c r="N1468">
        <v>1990</v>
      </c>
      <c r="O1468" s="8">
        <f t="shared" si="90"/>
        <v>33175</v>
      </c>
      <c r="P1468" s="10">
        <v>12282.38</v>
      </c>
      <c r="Q1468" t="s">
        <v>2358</v>
      </c>
      <c r="R1468" t="s">
        <v>2361</v>
      </c>
      <c r="S1468" t="s">
        <v>2368</v>
      </c>
      <c r="T1468">
        <f t="shared" ca="1" si="91"/>
        <v>36</v>
      </c>
      <c r="U1468">
        <f>VLOOKUP($A1468,'Medical Examination'!$A:$Z,2,FALSE)</f>
        <v>37.18</v>
      </c>
    </row>
    <row r="1469" spans="1:21" ht="15.5" x14ac:dyDescent="0.35">
      <c r="A1469" s="2" t="s">
        <v>1469</v>
      </c>
      <c r="B1469" s="2" t="s">
        <v>4482</v>
      </c>
      <c r="C1469">
        <v>35.97</v>
      </c>
      <c r="D1469">
        <v>4.5999999999999996</v>
      </c>
      <c r="E1469" t="s">
        <v>2344</v>
      </c>
      <c r="F1469" t="s">
        <v>2344</v>
      </c>
      <c r="G1469" t="s">
        <v>2344</v>
      </c>
      <c r="H1469">
        <v>0</v>
      </c>
      <c r="I1469" t="s">
        <v>2344</v>
      </c>
      <c r="J1469" t="str">
        <f t="shared" si="89"/>
        <v>Obesity</v>
      </c>
      <c r="K1469" t="str">
        <f t="shared" si="92"/>
        <v>Normal</v>
      </c>
      <c r="L1469">
        <v>28</v>
      </c>
      <c r="M1469" t="s">
        <v>2367</v>
      </c>
      <c r="N1469">
        <v>1963</v>
      </c>
      <c r="O1469" s="8">
        <f t="shared" si="90"/>
        <v>23312</v>
      </c>
      <c r="P1469" s="10">
        <v>12299.59</v>
      </c>
      <c r="Q1469" t="s">
        <v>2358</v>
      </c>
      <c r="R1469" t="s">
        <v>2361</v>
      </c>
      <c r="S1469" t="s">
        <v>2373</v>
      </c>
      <c r="T1469">
        <f t="shared" ca="1" si="91"/>
        <v>63</v>
      </c>
      <c r="U1469">
        <f>VLOOKUP($A1469,'Medical Examination'!$A:$Z,2,FALSE)</f>
        <v>35.97</v>
      </c>
    </row>
    <row r="1470" spans="1:21" ht="15.5" x14ac:dyDescent="0.35">
      <c r="A1470" s="2" t="s">
        <v>1470</v>
      </c>
      <c r="B1470" s="2" t="s">
        <v>4484</v>
      </c>
      <c r="C1470">
        <v>35.799999999999997</v>
      </c>
      <c r="D1470">
        <v>4.42</v>
      </c>
      <c r="E1470" t="s">
        <v>2344</v>
      </c>
      <c r="F1470" t="s">
        <v>2344</v>
      </c>
      <c r="G1470" t="s">
        <v>2344</v>
      </c>
      <c r="H1470">
        <v>0</v>
      </c>
      <c r="I1470" t="s">
        <v>2344</v>
      </c>
      <c r="J1470" t="str">
        <f t="shared" si="89"/>
        <v>Obesity</v>
      </c>
      <c r="K1470" t="str">
        <f t="shared" si="92"/>
        <v>Normal</v>
      </c>
      <c r="L1470">
        <v>29</v>
      </c>
      <c r="M1470" t="s">
        <v>2366</v>
      </c>
      <c r="N1470">
        <v>1963</v>
      </c>
      <c r="O1470" s="8">
        <f t="shared" si="90"/>
        <v>23252</v>
      </c>
      <c r="P1470" s="10">
        <v>12323.94</v>
      </c>
      <c r="Q1470" t="s">
        <v>2358</v>
      </c>
      <c r="R1470" t="s">
        <v>2358</v>
      </c>
      <c r="S1470" t="s">
        <v>2378</v>
      </c>
      <c r="T1470">
        <f t="shared" ca="1" si="91"/>
        <v>63</v>
      </c>
      <c r="U1470">
        <f>VLOOKUP($A1470,'Medical Examination'!$A:$Z,2,FALSE)</f>
        <v>35.799999999999997</v>
      </c>
    </row>
    <row r="1471" spans="1:21" ht="15.5" x14ac:dyDescent="0.35">
      <c r="A1471" s="2" t="s">
        <v>1471</v>
      </c>
      <c r="B1471" s="2" t="s">
        <v>4485</v>
      </c>
      <c r="C1471">
        <v>28.31</v>
      </c>
      <c r="D1471">
        <v>7.48</v>
      </c>
      <c r="E1471" t="s">
        <v>2346</v>
      </c>
      <c r="F1471" t="s">
        <v>2344</v>
      </c>
      <c r="G1471" t="s">
        <v>2344</v>
      </c>
      <c r="H1471">
        <v>0</v>
      </c>
      <c r="I1471" t="s">
        <v>2344</v>
      </c>
      <c r="J1471" t="str">
        <f t="shared" si="89"/>
        <v>Over weight</v>
      </c>
      <c r="K1471" t="str">
        <f t="shared" si="92"/>
        <v>Diabetes</v>
      </c>
      <c r="L1471">
        <v>2</v>
      </c>
      <c r="M1471" t="s">
        <v>2366</v>
      </c>
      <c r="N1471">
        <v>1963</v>
      </c>
      <c r="O1471" s="8">
        <f t="shared" si="90"/>
        <v>23225</v>
      </c>
      <c r="P1471" s="10">
        <v>12333.83</v>
      </c>
      <c r="Q1471" t="s">
        <v>2358</v>
      </c>
      <c r="R1471" t="s">
        <v>2357</v>
      </c>
      <c r="S1471" t="s">
        <v>2368</v>
      </c>
      <c r="T1471">
        <f t="shared" ca="1" si="91"/>
        <v>63</v>
      </c>
      <c r="U1471">
        <f>VLOOKUP($A1471,'Medical Examination'!$A:$Z,2,FALSE)</f>
        <v>28.31</v>
      </c>
    </row>
    <row r="1472" spans="1:21" ht="15.5" x14ac:dyDescent="0.35">
      <c r="A1472" s="2" t="s">
        <v>1472</v>
      </c>
      <c r="B1472" s="2" t="s">
        <v>4486</v>
      </c>
      <c r="C1472">
        <v>38.06</v>
      </c>
      <c r="D1472">
        <v>10.74</v>
      </c>
      <c r="E1472" t="s">
        <v>2344</v>
      </c>
      <c r="F1472" t="s">
        <v>2344</v>
      </c>
      <c r="G1472" t="s">
        <v>2344</v>
      </c>
      <c r="H1472">
        <v>0</v>
      </c>
      <c r="I1472" t="s">
        <v>2344</v>
      </c>
      <c r="J1472" t="str">
        <f t="shared" si="89"/>
        <v>Obesity</v>
      </c>
      <c r="K1472" t="str">
        <f t="shared" si="92"/>
        <v>Diabetes</v>
      </c>
      <c r="L1472">
        <v>22</v>
      </c>
      <c r="M1472" t="s">
        <v>2363</v>
      </c>
      <c r="N1472">
        <v>1963</v>
      </c>
      <c r="O1472" s="8">
        <f t="shared" si="90"/>
        <v>23276</v>
      </c>
      <c r="P1472" s="10">
        <v>12347.17</v>
      </c>
      <c r="Q1472" t="s">
        <v>2358</v>
      </c>
      <c r="R1472" t="s">
        <v>2358</v>
      </c>
      <c r="S1472" t="s">
        <v>2368</v>
      </c>
      <c r="T1472">
        <f t="shared" ca="1" si="91"/>
        <v>63</v>
      </c>
      <c r="U1472">
        <f>VLOOKUP($A1472,'Medical Examination'!$A:$Z,2,FALSE)</f>
        <v>38.06</v>
      </c>
    </row>
    <row r="1473" spans="1:21" ht="15.5" x14ac:dyDescent="0.35">
      <c r="A1473" s="2" t="s">
        <v>1473</v>
      </c>
      <c r="B1473" s="2" t="s">
        <v>4487</v>
      </c>
      <c r="C1473">
        <v>28</v>
      </c>
      <c r="D1473">
        <v>5.19</v>
      </c>
      <c r="E1473" t="s">
        <v>2344</v>
      </c>
      <c r="F1473" t="s">
        <v>2344</v>
      </c>
      <c r="G1473" t="s">
        <v>2344</v>
      </c>
      <c r="H1473">
        <v>1</v>
      </c>
      <c r="I1473" t="s">
        <v>2344</v>
      </c>
      <c r="J1473" t="str">
        <f t="shared" si="89"/>
        <v>Over weight</v>
      </c>
      <c r="K1473" t="str">
        <f t="shared" si="92"/>
        <v>Normal</v>
      </c>
      <c r="L1473">
        <v>29</v>
      </c>
      <c r="M1473" t="s">
        <v>2365</v>
      </c>
      <c r="N1473">
        <v>1966</v>
      </c>
      <c r="O1473" s="8">
        <f t="shared" si="90"/>
        <v>24470</v>
      </c>
      <c r="P1473" s="10">
        <v>12363.55</v>
      </c>
      <c r="Q1473" t="s">
        <v>2358</v>
      </c>
      <c r="R1473" t="s">
        <v>2358</v>
      </c>
      <c r="S1473" t="s">
        <v>2368</v>
      </c>
      <c r="T1473">
        <f t="shared" ca="1" si="91"/>
        <v>60</v>
      </c>
      <c r="U1473">
        <f>VLOOKUP($A1473,'Medical Examination'!$A:$Z,2,FALSE)</f>
        <v>28</v>
      </c>
    </row>
    <row r="1474" spans="1:21" ht="15.5" x14ac:dyDescent="0.35">
      <c r="A1474" s="2" t="s">
        <v>1474</v>
      </c>
      <c r="B1474" s="2" t="s">
        <v>4488</v>
      </c>
      <c r="C1474">
        <v>34.32</v>
      </c>
      <c r="D1474">
        <v>9.17</v>
      </c>
      <c r="E1474" t="s">
        <v>2344</v>
      </c>
      <c r="F1474" t="s">
        <v>2344</v>
      </c>
      <c r="G1474" t="s">
        <v>2344</v>
      </c>
      <c r="H1474">
        <v>0</v>
      </c>
      <c r="I1474" t="s">
        <v>2344</v>
      </c>
      <c r="J1474" t="str">
        <f t="shared" si="89"/>
        <v>Obesity</v>
      </c>
      <c r="K1474" t="str">
        <f t="shared" si="92"/>
        <v>Diabetes</v>
      </c>
      <c r="L1474">
        <v>26</v>
      </c>
      <c r="M1474" t="s">
        <v>2363</v>
      </c>
      <c r="N1474">
        <v>1962</v>
      </c>
      <c r="O1474" s="8">
        <f t="shared" si="90"/>
        <v>22915</v>
      </c>
      <c r="P1474" s="10">
        <v>12369.89</v>
      </c>
      <c r="Q1474" t="s">
        <v>2358</v>
      </c>
      <c r="R1474" t="s">
        <v>2357</v>
      </c>
      <c r="S1474" t="s">
        <v>2374</v>
      </c>
      <c r="T1474">
        <f t="shared" ca="1" si="91"/>
        <v>64</v>
      </c>
      <c r="U1474">
        <f>VLOOKUP($A1474,'Medical Examination'!$A:$Z,2,FALSE)</f>
        <v>34.32</v>
      </c>
    </row>
    <row r="1475" spans="1:21" ht="15.5" x14ac:dyDescent="0.35">
      <c r="A1475" s="2" t="s">
        <v>1475</v>
      </c>
      <c r="B1475" s="2" t="s">
        <v>4489</v>
      </c>
      <c r="C1475">
        <v>22.3</v>
      </c>
      <c r="D1475">
        <v>4.95</v>
      </c>
      <c r="E1475" t="s">
        <v>2346</v>
      </c>
      <c r="F1475" t="s">
        <v>2344</v>
      </c>
      <c r="G1475" t="s">
        <v>2344</v>
      </c>
      <c r="H1475">
        <v>0</v>
      </c>
      <c r="I1475" t="s">
        <v>2344</v>
      </c>
      <c r="J1475" t="str">
        <f t="shared" ref="J1475:J1538" si="93">IF(C1475&lt;18.5,"Under Weight",IF(C1475&lt;25,"Normal Weight",IF(C1475&lt;30,"Over weight","Obesity")))</f>
        <v>Normal Weight</v>
      </c>
      <c r="K1475" t="str">
        <f t="shared" si="92"/>
        <v>Normal</v>
      </c>
      <c r="L1475">
        <v>29</v>
      </c>
      <c r="M1475" t="s">
        <v>2365</v>
      </c>
      <c r="N1475">
        <v>1989</v>
      </c>
      <c r="O1475" s="8">
        <f t="shared" ref="O1475:O1538" si="94">DATE(N1475,MONTH(1&amp;M1475),L1475)</f>
        <v>32871</v>
      </c>
      <c r="P1475" s="10">
        <v>12404.88</v>
      </c>
      <c r="Q1475" t="s">
        <v>2358</v>
      </c>
      <c r="R1475" t="s">
        <v>2358</v>
      </c>
      <c r="S1475" t="s">
        <v>2371</v>
      </c>
      <c r="T1475">
        <f t="shared" ref="T1475:T1538" ca="1" si="95">YEAR(TODAY())-YEAR(O1475)</f>
        <v>37</v>
      </c>
      <c r="U1475">
        <f>VLOOKUP($A1475,'Medical Examination'!$A:$Z,2,FALSE)</f>
        <v>22.3</v>
      </c>
    </row>
    <row r="1476" spans="1:21" ht="15.5" x14ac:dyDescent="0.35">
      <c r="A1476" s="2" t="s">
        <v>1476</v>
      </c>
      <c r="B1476" s="2" t="s">
        <v>4491</v>
      </c>
      <c r="C1476">
        <v>27.835000000000001</v>
      </c>
      <c r="D1476">
        <v>6.03</v>
      </c>
      <c r="E1476" t="s">
        <v>2344</v>
      </c>
      <c r="F1476" t="s">
        <v>2344</v>
      </c>
      <c r="G1476" t="s">
        <v>2344</v>
      </c>
      <c r="H1476">
        <v>1</v>
      </c>
      <c r="I1476" t="s">
        <v>2344</v>
      </c>
      <c r="J1476" t="str">
        <f t="shared" si="93"/>
        <v>Over weight</v>
      </c>
      <c r="K1476" t="str">
        <f t="shared" si="92"/>
        <v>Prediabetes</v>
      </c>
      <c r="L1476">
        <v>21</v>
      </c>
      <c r="M1476" t="s">
        <v>2366</v>
      </c>
      <c r="N1476">
        <v>1972</v>
      </c>
      <c r="O1476" s="8">
        <f t="shared" si="94"/>
        <v>26532</v>
      </c>
      <c r="P1476" s="10">
        <v>12407.3</v>
      </c>
      <c r="Q1476" t="s">
        <v>2358</v>
      </c>
      <c r="R1476" t="s">
        <v>2357</v>
      </c>
      <c r="S1476" t="s">
        <v>2377</v>
      </c>
      <c r="T1476">
        <f t="shared" ca="1" si="95"/>
        <v>54</v>
      </c>
      <c r="U1476">
        <f>VLOOKUP($A1476,'Medical Examination'!$A:$Z,2,FALSE)</f>
        <v>27.835000000000001</v>
      </c>
    </row>
    <row r="1477" spans="1:21" ht="15.5" x14ac:dyDescent="0.35">
      <c r="A1477" s="2" t="s">
        <v>1477</v>
      </c>
      <c r="B1477" s="2" t="s">
        <v>4493</v>
      </c>
      <c r="C1477">
        <v>39.229999999999997</v>
      </c>
      <c r="D1477">
        <v>5.36</v>
      </c>
      <c r="E1477" t="s">
        <v>2344</v>
      </c>
      <c r="F1477" t="s">
        <v>2344</v>
      </c>
      <c r="G1477" t="s">
        <v>2344</v>
      </c>
      <c r="H1477">
        <v>0</v>
      </c>
      <c r="I1477" t="s">
        <v>2344</v>
      </c>
      <c r="J1477" t="str">
        <f t="shared" si="93"/>
        <v>Obesity</v>
      </c>
      <c r="K1477" t="str">
        <f t="shared" si="92"/>
        <v>Normal</v>
      </c>
      <c r="L1477">
        <v>14</v>
      </c>
      <c r="M1477" t="s">
        <v>2356</v>
      </c>
      <c r="N1477">
        <v>1979</v>
      </c>
      <c r="O1477" s="8">
        <f t="shared" si="94"/>
        <v>29050</v>
      </c>
      <c r="P1477" s="10">
        <v>12408.29</v>
      </c>
      <c r="Q1477" t="s">
        <v>2358</v>
      </c>
      <c r="R1477" t="s">
        <v>2361</v>
      </c>
      <c r="S1477" t="s">
        <v>2381</v>
      </c>
      <c r="T1477">
        <f t="shared" ca="1" si="95"/>
        <v>47</v>
      </c>
      <c r="U1477">
        <f>VLOOKUP($A1477,'Medical Examination'!$A:$Z,2,FALSE)</f>
        <v>39.229999999999997</v>
      </c>
    </row>
    <row r="1478" spans="1:21" ht="15.5" x14ac:dyDescent="0.35">
      <c r="A1478" s="2" t="s">
        <v>1478</v>
      </c>
      <c r="B1478" s="2" t="s">
        <v>4494</v>
      </c>
      <c r="C1478">
        <v>19.95</v>
      </c>
      <c r="D1478">
        <v>6.11</v>
      </c>
      <c r="E1478" t="s">
        <v>2344</v>
      </c>
      <c r="F1478" t="s">
        <v>2344</v>
      </c>
      <c r="G1478" t="s">
        <v>2344</v>
      </c>
      <c r="H1478">
        <v>1</v>
      </c>
      <c r="I1478" t="s">
        <v>2344</v>
      </c>
      <c r="J1478" t="str">
        <f t="shared" si="93"/>
        <v>Normal Weight</v>
      </c>
      <c r="K1478" t="str">
        <f t="shared" si="92"/>
        <v>Prediabetes</v>
      </c>
      <c r="L1478">
        <v>4</v>
      </c>
      <c r="M1478" t="s">
        <v>2366</v>
      </c>
      <c r="N1478">
        <v>1964</v>
      </c>
      <c r="O1478" s="8">
        <f t="shared" si="94"/>
        <v>23593</v>
      </c>
      <c r="P1478" s="10">
        <v>12430.95</v>
      </c>
      <c r="Q1478" t="s">
        <v>2358</v>
      </c>
      <c r="R1478" t="s">
        <v>2358</v>
      </c>
      <c r="S1478" t="s">
        <v>2374</v>
      </c>
      <c r="T1478">
        <f t="shared" ca="1" si="95"/>
        <v>62</v>
      </c>
      <c r="U1478">
        <f>VLOOKUP($A1478,'Medical Examination'!$A:$Z,2,FALSE)</f>
        <v>19.95</v>
      </c>
    </row>
    <row r="1479" spans="1:21" ht="15.5" x14ac:dyDescent="0.35">
      <c r="A1479" s="2" t="s">
        <v>1479</v>
      </c>
      <c r="B1479" s="2" t="s">
        <v>4495</v>
      </c>
      <c r="C1479">
        <v>34.64</v>
      </c>
      <c r="D1479">
        <v>4.88</v>
      </c>
      <c r="E1479" t="s">
        <v>2344</v>
      </c>
      <c r="F1479" t="s">
        <v>2344</v>
      </c>
      <c r="G1479" t="s">
        <v>2346</v>
      </c>
      <c r="H1479">
        <v>1</v>
      </c>
      <c r="I1479" t="s">
        <v>2344</v>
      </c>
      <c r="J1479" t="str">
        <f t="shared" si="93"/>
        <v>Obesity</v>
      </c>
      <c r="K1479" t="str">
        <f t="shared" si="92"/>
        <v>Normal</v>
      </c>
      <c r="L1479">
        <v>9</v>
      </c>
      <c r="M1479" t="s">
        <v>2366</v>
      </c>
      <c r="N1479">
        <v>1995</v>
      </c>
      <c r="O1479" s="8">
        <f t="shared" si="94"/>
        <v>34920</v>
      </c>
      <c r="P1479" s="10">
        <v>12452.25</v>
      </c>
      <c r="Q1479" t="s">
        <v>2358</v>
      </c>
      <c r="R1479" t="s">
        <v>2358</v>
      </c>
      <c r="S1479" t="s">
        <v>2364</v>
      </c>
      <c r="T1479">
        <f t="shared" ca="1" si="95"/>
        <v>31</v>
      </c>
      <c r="U1479">
        <f>VLOOKUP($A1479,'Medical Examination'!$A:$Z,2,FALSE)</f>
        <v>34.64</v>
      </c>
    </row>
    <row r="1480" spans="1:21" ht="15.5" x14ac:dyDescent="0.35">
      <c r="A1480" s="2" t="s">
        <v>1480</v>
      </c>
      <c r="B1480" s="2" t="s">
        <v>4496</v>
      </c>
      <c r="C1480">
        <v>18.75</v>
      </c>
      <c r="D1480">
        <v>6.72</v>
      </c>
      <c r="E1480" t="s">
        <v>2344</v>
      </c>
      <c r="F1480" t="s">
        <v>2344</v>
      </c>
      <c r="G1480" t="s">
        <v>2344</v>
      </c>
      <c r="H1480">
        <v>0</v>
      </c>
      <c r="I1480" t="s">
        <v>2344</v>
      </c>
      <c r="J1480" t="str">
        <f t="shared" si="93"/>
        <v>Normal Weight</v>
      </c>
      <c r="K1480" t="str">
        <f t="shared" si="92"/>
        <v>Diabetes</v>
      </c>
      <c r="L1480">
        <v>26</v>
      </c>
      <c r="M1480" t="s">
        <v>2360</v>
      </c>
      <c r="N1480">
        <v>1968</v>
      </c>
      <c r="O1480" s="8">
        <f t="shared" si="94"/>
        <v>25168</v>
      </c>
      <c r="P1480" s="10">
        <v>12475.35</v>
      </c>
      <c r="Q1480" t="s">
        <v>2358</v>
      </c>
      <c r="R1480" t="s">
        <v>2361</v>
      </c>
      <c r="S1480" t="s">
        <v>2364</v>
      </c>
      <c r="T1480">
        <f t="shared" ca="1" si="95"/>
        <v>58</v>
      </c>
      <c r="U1480">
        <f>VLOOKUP($A1480,'Medical Examination'!$A:$Z,2,FALSE)</f>
        <v>18.75</v>
      </c>
    </row>
    <row r="1481" spans="1:21" ht="15.5" x14ac:dyDescent="0.35">
      <c r="A1481" s="2" t="s">
        <v>1481</v>
      </c>
      <c r="B1481" s="2" t="s">
        <v>4498</v>
      </c>
      <c r="C1481">
        <v>26.48</v>
      </c>
      <c r="D1481">
        <v>4.2</v>
      </c>
      <c r="E1481" t="s">
        <v>2344</v>
      </c>
      <c r="F1481" t="s">
        <v>2344</v>
      </c>
      <c r="G1481" t="s">
        <v>2344</v>
      </c>
      <c r="H1481">
        <v>1</v>
      </c>
      <c r="I1481" t="s">
        <v>2344</v>
      </c>
      <c r="J1481" t="str">
        <f t="shared" si="93"/>
        <v>Over weight</v>
      </c>
      <c r="K1481" t="str">
        <f t="shared" si="92"/>
        <v>Normal</v>
      </c>
      <c r="L1481">
        <v>12</v>
      </c>
      <c r="M1481" t="s">
        <v>2360</v>
      </c>
      <c r="N1481">
        <v>1968</v>
      </c>
      <c r="O1481" s="8">
        <f t="shared" si="94"/>
        <v>25154</v>
      </c>
      <c r="P1481" s="10">
        <v>12479.71</v>
      </c>
      <c r="Q1481" t="s">
        <v>2358</v>
      </c>
      <c r="R1481" t="s">
        <v>2358</v>
      </c>
      <c r="S1481" t="s">
        <v>2364</v>
      </c>
      <c r="T1481">
        <f t="shared" ca="1" si="95"/>
        <v>58</v>
      </c>
      <c r="U1481">
        <f>VLOOKUP($A1481,'Medical Examination'!$A:$Z,2,FALSE)</f>
        <v>26.48</v>
      </c>
    </row>
    <row r="1482" spans="1:21" ht="15.5" x14ac:dyDescent="0.35">
      <c r="A1482" s="2" t="s">
        <v>1482</v>
      </c>
      <c r="B1482" s="2" t="s">
        <v>4500</v>
      </c>
      <c r="C1482">
        <v>34.83</v>
      </c>
      <c r="D1482">
        <v>5.79</v>
      </c>
      <c r="E1482" t="s">
        <v>2344</v>
      </c>
      <c r="F1482" t="s">
        <v>2344</v>
      </c>
      <c r="G1482" t="s">
        <v>2344</v>
      </c>
      <c r="H1482">
        <v>1</v>
      </c>
      <c r="I1482" t="s">
        <v>2344</v>
      </c>
      <c r="J1482" t="str">
        <f t="shared" si="93"/>
        <v>Obesity</v>
      </c>
      <c r="K1482" t="str">
        <f t="shared" si="92"/>
        <v>Prediabetes</v>
      </c>
      <c r="L1482">
        <v>1</v>
      </c>
      <c r="M1482" t="s">
        <v>2363</v>
      </c>
      <c r="N1482">
        <v>1967</v>
      </c>
      <c r="O1482" s="8">
        <f t="shared" si="94"/>
        <v>24716</v>
      </c>
      <c r="P1482" s="10">
        <v>12485.8</v>
      </c>
      <c r="Q1482" t="s">
        <v>2358</v>
      </c>
      <c r="R1482" t="s">
        <v>2358</v>
      </c>
      <c r="S1482" t="s">
        <v>2359</v>
      </c>
      <c r="T1482">
        <f t="shared" ca="1" si="95"/>
        <v>59</v>
      </c>
      <c r="U1482">
        <f>VLOOKUP($A1482,'Medical Examination'!$A:$Z,2,FALSE)</f>
        <v>34.83</v>
      </c>
    </row>
    <row r="1483" spans="1:21" ht="15.5" x14ac:dyDescent="0.35">
      <c r="A1483" s="2" t="s">
        <v>1483</v>
      </c>
      <c r="B1483" s="2" t="s">
        <v>4346</v>
      </c>
      <c r="C1483">
        <v>25.46</v>
      </c>
      <c r="D1483">
        <v>4.29</v>
      </c>
      <c r="E1483" t="s">
        <v>2344</v>
      </c>
      <c r="F1483" t="s">
        <v>2344</v>
      </c>
      <c r="G1483" t="s">
        <v>2344</v>
      </c>
      <c r="H1483">
        <v>0</v>
      </c>
      <c r="I1483" t="s">
        <v>2344</v>
      </c>
      <c r="J1483" t="str">
        <f t="shared" si="93"/>
        <v>Over weight</v>
      </c>
      <c r="K1483" t="str">
        <f t="shared" si="92"/>
        <v>Normal</v>
      </c>
      <c r="L1483">
        <v>3</v>
      </c>
      <c r="M1483" t="s">
        <v>2365</v>
      </c>
      <c r="N1483">
        <v>1968</v>
      </c>
      <c r="O1483" s="8">
        <f t="shared" si="94"/>
        <v>25175</v>
      </c>
      <c r="P1483" s="10">
        <v>12495.29</v>
      </c>
      <c r="Q1483" t="s">
        <v>2358</v>
      </c>
      <c r="R1483" t="s">
        <v>2358</v>
      </c>
      <c r="S1483" t="s">
        <v>2364</v>
      </c>
      <c r="T1483">
        <f t="shared" ca="1" si="95"/>
        <v>58</v>
      </c>
      <c r="U1483">
        <f>VLOOKUP($A1483,'Medical Examination'!$A:$Z,2,FALSE)</f>
        <v>25.46</v>
      </c>
    </row>
    <row r="1484" spans="1:21" ht="15.5" x14ac:dyDescent="0.35">
      <c r="A1484" s="2" t="s">
        <v>1484</v>
      </c>
      <c r="B1484" s="2" t="s">
        <v>4501</v>
      </c>
      <c r="C1484">
        <v>23.31</v>
      </c>
      <c r="D1484">
        <v>8.27</v>
      </c>
      <c r="E1484" t="s">
        <v>2344</v>
      </c>
      <c r="F1484" t="s">
        <v>2344</v>
      </c>
      <c r="G1484" t="s">
        <v>2344</v>
      </c>
      <c r="H1484">
        <v>0</v>
      </c>
      <c r="I1484" t="s">
        <v>2344</v>
      </c>
      <c r="J1484" t="str">
        <f t="shared" si="93"/>
        <v>Normal Weight</v>
      </c>
      <c r="K1484" t="str">
        <f t="shared" ref="K1484:K1547" si="96">IF(D1484&lt;5.7,"Normal",IF(D1484&lt;6.5,"Prediabetes","Diabetes"))</f>
        <v>Diabetes</v>
      </c>
      <c r="L1484">
        <v>12</v>
      </c>
      <c r="M1484" t="s">
        <v>2356</v>
      </c>
      <c r="N1484">
        <v>1966</v>
      </c>
      <c r="O1484" s="8">
        <f t="shared" si="94"/>
        <v>24300</v>
      </c>
      <c r="P1484" s="10">
        <v>12499.88</v>
      </c>
      <c r="Q1484" t="s">
        <v>2358</v>
      </c>
      <c r="R1484" t="s">
        <v>2357</v>
      </c>
      <c r="S1484" t="s">
        <v>2364</v>
      </c>
      <c r="T1484">
        <f t="shared" ca="1" si="95"/>
        <v>60</v>
      </c>
      <c r="U1484">
        <f>VLOOKUP($A1484,'Medical Examination'!$A:$Z,2,FALSE)</f>
        <v>23.31</v>
      </c>
    </row>
    <row r="1485" spans="1:21" ht="15.5" x14ac:dyDescent="0.35">
      <c r="A1485" s="2" t="s">
        <v>1485</v>
      </c>
      <c r="B1485" s="2" t="s">
        <v>4502</v>
      </c>
      <c r="C1485">
        <v>29</v>
      </c>
      <c r="D1485">
        <v>4.5599999999999996</v>
      </c>
      <c r="E1485" t="s">
        <v>2344</v>
      </c>
      <c r="F1485" t="s">
        <v>2344</v>
      </c>
      <c r="G1485" t="s">
        <v>2344</v>
      </c>
      <c r="H1485">
        <v>0</v>
      </c>
      <c r="I1485" t="s">
        <v>2344</v>
      </c>
      <c r="J1485" t="str">
        <f t="shared" si="93"/>
        <v>Over weight</v>
      </c>
      <c r="K1485" t="str">
        <f t="shared" si="96"/>
        <v>Normal</v>
      </c>
      <c r="L1485">
        <v>16</v>
      </c>
      <c r="M1485" t="s">
        <v>2367</v>
      </c>
      <c r="N1485">
        <v>1962</v>
      </c>
      <c r="O1485" s="8">
        <f t="shared" si="94"/>
        <v>22935</v>
      </c>
      <c r="P1485" s="10">
        <v>12523.6</v>
      </c>
      <c r="Q1485" t="s">
        <v>2358</v>
      </c>
      <c r="R1485" t="s">
        <v>2358</v>
      </c>
      <c r="S1485" t="s">
        <v>2364</v>
      </c>
      <c r="T1485">
        <f t="shared" ca="1" si="95"/>
        <v>64</v>
      </c>
      <c r="U1485">
        <f>VLOOKUP($A1485,'Medical Examination'!$A:$Z,2,FALSE)</f>
        <v>29</v>
      </c>
    </row>
    <row r="1486" spans="1:21" ht="15.5" x14ac:dyDescent="0.35">
      <c r="A1486" s="2" t="s">
        <v>1486</v>
      </c>
      <c r="B1486" s="2" t="s">
        <v>4503</v>
      </c>
      <c r="C1486">
        <v>32.869999999999997</v>
      </c>
      <c r="D1486">
        <v>5.33</v>
      </c>
      <c r="E1486" t="s">
        <v>2344</v>
      </c>
      <c r="F1486" t="s">
        <v>2344</v>
      </c>
      <c r="G1486" t="s">
        <v>2344</v>
      </c>
      <c r="H1486">
        <v>0</v>
      </c>
      <c r="I1486" t="s">
        <v>2344</v>
      </c>
      <c r="J1486" t="str">
        <f t="shared" si="93"/>
        <v>Obesity</v>
      </c>
      <c r="K1486" t="str">
        <f t="shared" si="96"/>
        <v>Normal</v>
      </c>
      <c r="L1486">
        <v>28</v>
      </c>
      <c r="M1486" t="s">
        <v>2360</v>
      </c>
      <c r="N1486">
        <v>1961</v>
      </c>
      <c r="O1486" s="8">
        <f t="shared" si="94"/>
        <v>22613</v>
      </c>
      <c r="P1486" s="10">
        <v>12557.61</v>
      </c>
      <c r="Q1486" t="s">
        <v>2358</v>
      </c>
      <c r="R1486" t="s">
        <v>2358</v>
      </c>
      <c r="S1486" t="s">
        <v>2359</v>
      </c>
      <c r="T1486">
        <f t="shared" ca="1" si="95"/>
        <v>65</v>
      </c>
      <c r="U1486">
        <f>VLOOKUP($A1486,'Medical Examination'!$A:$Z,2,FALSE)</f>
        <v>32.869999999999997</v>
      </c>
    </row>
    <row r="1487" spans="1:21" ht="15.5" x14ac:dyDescent="0.35">
      <c r="A1487" s="2" t="s">
        <v>1487</v>
      </c>
      <c r="B1487" s="2" t="s">
        <v>4504</v>
      </c>
      <c r="C1487">
        <v>26.18</v>
      </c>
      <c r="D1487">
        <v>5.63</v>
      </c>
      <c r="E1487" t="s">
        <v>2344</v>
      </c>
      <c r="F1487" t="s">
        <v>2344</v>
      </c>
      <c r="G1487" t="s">
        <v>2344</v>
      </c>
      <c r="H1487">
        <v>0</v>
      </c>
      <c r="I1487" t="s">
        <v>2344</v>
      </c>
      <c r="J1487" t="str">
        <f t="shared" si="93"/>
        <v>Over weight</v>
      </c>
      <c r="K1487" t="str">
        <f t="shared" si="96"/>
        <v>Normal</v>
      </c>
      <c r="L1487">
        <v>28</v>
      </c>
      <c r="M1487" t="s">
        <v>2360</v>
      </c>
      <c r="N1487">
        <v>1961</v>
      </c>
      <c r="O1487" s="8">
        <f t="shared" si="94"/>
        <v>22613</v>
      </c>
      <c r="P1487" s="10">
        <v>12574.05</v>
      </c>
      <c r="Q1487" t="s">
        <v>2358</v>
      </c>
      <c r="R1487" t="s">
        <v>2361</v>
      </c>
      <c r="S1487" t="s">
        <v>2368</v>
      </c>
      <c r="T1487">
        <f t="shared" ca="1" si="95"/>
        <v>65</v>
      </c>
      <c r="U1487">
        <f>VLOOKUP($A1487,'Medical Examination'!$A:$Z,2,FALSE)</f>
        <v>26.18</v>
      </c>
    </row>
    <row r="1488" spans="1:21" ht="15.5" x14ac:dyDescent="0.35">
      <c r="A1488" s="2" t="s">
        <v>1488</v>
      </c>
      <c r="B1488" s="2" t="s">
        <v>4506</v>
      </c>
      <c r="C1488">
        <v>25.3</v>
      </c>
      <c r="D1488">
        <v>5.12</v>
      </c>
      <c r="E1488" t="s">
        <v>2344</v>
      </c>
      <c r="F1488" t="s">
        <v>2344</v>
      </c>
      <c r="G1488" t="s">
        <v>2344</v>
      </c>
      <c r="H1488">
        <v>0</v>
      </c>
      <c r="I1488" t="s">
        <v>2344</v>
      </c>
      <c r="J1488" t="str">
        <f t="shared" si="93"/>
        <v>Over weight</v>
      </c>
      <c r="K1488" t="str">
        <f t="shared" si="96"/>
        <v>Normal</v>
      </c>
      <c r="L1488">
        <v>26</v>
      </c>
      <c r="M1488" t="s">
        <v>2360</v>
      </c>
      <c r="N1488">
        <v>1969</v>
      </c>
      <c r="O1488" s="8">
        <f t="shared" si="94"/>
        <v>25533</v>
      </c>
      <c r="P1488" s="10">
        <v>12579.92</v>
      </c>
      <c r="Q1488" t="s">
        <v>2358</v>
      </c>
      <c r="R1488" t="s">
        <v>2361</v>
      </c>
      <c r="S1488" t="s">
        <v>2373</v>
      </c>
      <c r="T1488">
        <f t="shared" ca="1" si="95"/>
        <v>57</v>
      </c>
      <c r="U1488">
        <f>VLOOKUP($A1488,'Medical Examination'!$A:$Z,2,FALSE)</f>
        <v>25.3</v>
      </c>
    </row>
    <row r="1489" spans="1:21" ht="15.5" x14ac:dyDescent="0.35">
      <c r="A1489" s="2" t="s">
        <v>1489</v>
      </c>
      <c r="B1489" s="2" t="s">
        <v>3885</v>
      </c>
      <c r="C1489">
        <v>36.94</v>
      </c>
      <c r="D1489">
        <v>5.15</v>
      </c>
      <c r="E1489" t="s">
        <v>2346</v>
      </c>
      <c r="F1489" t="s">
        <v>2344</v>
      </c>
      <c r="G1489" t="s">
        <v>2344</v>
      </c>
      <c r="H1489">
        <v>1</v>
      </c>
      <c r="I1489" t="s">
        <v>2344</v>
      </c>
      <c r="J1489" t="str">
        <f t="shared" si="93"/>
        <v>Obesity</v>
      </c>
      <c r="K1489" t="str">
        <f t="shared" si="96"/>
        <v>Normal</v>
      </c>
      <c r="L1489">
        <v>18</v>
      </c>
      <c r="M1489" t="s">
        <v>2362</v>
      </c>
      <c r="N1489">
        <v>1970</v>
      </c>
      <c r="O1489" s="8">
        <f t="shared" si="94"/>
        <v>25737</v>
      </c>
      <c r="P1489" s="10">
        <v>12592.53</v>
      </c>
      <c r="Q1489" t="s">
        <v>2358</v>
      </c>
      <c r="R1489" t="s">
        <v>2357</v>
      </c>
      <c r="S1489" t="s">
        <v>2359</v>
      </c>
      <c r="T1489">
        <f t="shared" ca="1" si="95"/>
        <v>56</v>
      </c>
      <c r="U1489">
        <f>VLOOKUP($A1489,'Medical Examination'!$A:$Z,2,FALSE)</f>
        <v>36.94</v>
      </c>
    </row>
    <row r="1490" spans="1:21" ht="15.5" x14ac:dyDescent="0.35">
      <c r="A1490" s="2" t="s">
        <v>1490</v>
      </c>
      <c r="B1490" s="2" t="s">
        <v>4508</v>
      </c>
      <c r="C1490">
        <v>22.86</v>
      </c>
      <c r="D1490">
        <v>7.5</v>
      </c>
      <c r="E1490" t="s">
        <v>2344</v>
      </c>
      <c r="F1490" t="s">
        <v>2344</v>
      </c>
      <c r="G1490" t="s">
        <v>2344</v>
      </c>
      <c r="H1490">
        <v>0</v>
      </c>
      <c r="I1490" t="s">
        <v>2344</v>
      </c>
      <c r="J1490" t="str">
        <f t="shared" si="93"/>
        <v>Normal Weight</v>
      </c>
      <c r="K1490" t="str">
        <f t="shared" si="96"/>
        <v>Diabetes</v>
      </c>
      <c r="L1490">
        <v>11</v>
      </c>
      <c r="M1490" t="s">
        <v>2366</v>
      </c>
      <c r="N1490">
        <v>1988</v>
      </c>
      <c r="O1490" s="8">
        <f t="shared" si="94"/>
        <v>32366</v>
      </c>
      <c r="P1490" s="10">
        <v>12600.46</v>
      </c>
      <c r="Q1490" t="s">
        <v>2358</v>
      </c>
      <c r="R1490" t="s">
        <v>2361</v>
      </c>
      <c r="S1490" t="s">
        <v>2375</v>
      </c>
      <c r="T1490">
        <f t="shared" ca="1" si="95"/>
        <v>38</v>
      </c>
      <c r="U1490">
        <f>VLOOKUP($A1490,'Medical Examination'!$A:$Z,2,FALSE)</f>
        <v>22.86</v>
      </c>
    </row>
    <row r="1491" spans="1:21" ht="15.5" x14ac:dyDescent="0.35">
      <c r="A1491" s="2" t="s">
        <v>1491</v>
      </c>
      <c r="B1491" s="2" t="s">
        <v>4510</v>
      </c>
      <c r="C1491">
        <v>18.760000000000002</v>
      </c>
      <c r="D1491">
        <v>4.88</v>
      </c>
      <c r="E1491" t="s">
        <v>2346</v>
      </c>
      <c r="F1491" t="s">
        <v>2344</v>
      </c>
      <c r="G1491" t="s">
        <v>2346</v>
      </c>
      <c r="H1491">
        <v>1</v>
      </c>
      <c r="I1491" t="s">
        <v>2344</v>
      </c>
      <c r="J1491" t="str">
        <f t="shared" si="93"/>
        <v>Normal Weight</v>
      </c>
      <c r="K1491" t="str">
        <f t="shared" si="96"/>
        <v>Normal</v>
      </c>
      <c r="L1491">
        <v>18</v>
      </c>
      <c r="M1491" t="s">
        <v>2360</v>
      </c>
      <c r="N1491">
        <v>1998</v>
      </c>
      <c r="O1491" s="8">
        <f t="shared" si="94"/>
        <v>36117</v>
      </c>
      <c r="P1491" s="10">
        <v>12609.89</v>
      </c>
      <c r="Q1491" t="s">
        <v>2358</v>
      </c>
      <c r="R1491" t="s">
        <v>2358</v>
      </c>
      <c r="S1491" t="s">
        <v>2364</v>
      </c>
      <c r="T1491">
        <f t="shared" ca="1" si="95"/>
        <v>28</v>
      </c>
      <c r="U1491">
        <f>VLOOKUP($A1491,'Medical Examination'!$A:$Z,2,FALSE)</f>
        <v>18.760000000000002</v>
      </c>
    </row>
    <row r="1492" spans="1:21" ht="15.5" x14ac:dyDescent="0.35">
      <c r="A1492" s="2" t="s">
        <v>1492</v>
      </c>
      <c r="B1492" s="2" t="s">
        <v>4511</v>
      </c>
      <c r="C1492">
        <v>24.36</v>
      </c>
      <c r="D1492">
        <v>5.57</v>
      </c>
      <c r="E1492" t="s">
        <v>2344</v>
      </c>
      <c r="F1492" t="s">
        <v>2344</v>
      </c>
      <c r="G1492" t="s">
        <v>2344</v>
      </c>
      <c r="H1492">
        <v>0</v>
      </c>
      <c r="I1492" t="s">
        <v>2344</v>
      </c>
      <c r="J1492" t="str">
        <f t="shared" si="93"/>
        <v>Normal Weight</v>
      </c>
      <c r="K1492" t="str">
        <f t="shared" si="96"/>
        <v>Normal</v>
      </c>
      <c r="L1492">
        <v>19</v>
      </c>
      <c r="M1492" t="s">
        <v>2366</v>
      </c>
      <c r="N1492">
        <v>1963</v>
      </c>
      <c r="O1492" s="8">
        <f t="shared" si="94"/>
        <v>23242</v>
      </c>
      <c r="P1492" s="10">
        <v>12622.18</v>
      </c>
      <c r="Q1492" t="s">
        <v>2358</v>
      </c>
      <c r="R1492" t="s">
        <v>2361</v>
      </c>
      <c r="S1492" t="s">
        <v>2364</v>
      </c>
      <c r="T1492">
        <f t="shared" ca="1" si="95"/>
        <v>63</v>
      </c>
      <c r="U1492">
        <f>VLOOKUP($A1492,'Medical Examination'!$A:$Z,2,FALSE)</f>
        <v>24.36</v>
      </c>
    </row>
    <row r="1493" spans="1:21" ht="15.5" x14ac:dyDescent="0.35">
      <c r="A1493" s="2" t="s">
        <v>1493</v>
      </c>
      <c r="B1493" s="2" t="s">
        <v>3032</v>
      </c>
      <c r="C1493">
        <v>32.299999999999997</v>
      </c>
      <c r="D1493">
        <v>5.31</v>
      </c>
      <c r="E1493" t="s">
        <v>2344</v>
      </c>
      <c r="F1493" t="s">
        <v>2344</v>
      </c>
      <c r="G1493" t="s">
        <v>2344</v>
      </c>
      <c r="H1493">
        <v>0</v>
      </c>
      <c r="I1493" t="s">
        <v>2344</v>
      </c>
      <c r="J1493" t="str">
        <f t="shared" si="93"/>
        <v>Obesity</v>
      </c>
      <c r="K1493" t="str">
        <f t="shared" si="96"/>
        <v>Normal</v>
      </c>
      <c r="L1493">
        <v>28</v>
      </c>
      <c r="M1493" t="s">
        <v>2365</v>
      </c>
      <c r="N1493">
        <v>1970</v>
      </c>
      <c r="O1493" s="8">
        <f t="shared" si="94"/>
        <v>25930</v>
      </c>
      <c r="P1493" s="10">
        <v>12624.74</v>
      </c>
      <c r="Q1493" t="s">
        <v>2358</v>
      </c>
      <c r="R1493" t="s">
        <v>2361</v>
      </c>
      <c r="S1493" t="s">
        <v>2364</v>
      </c>
      <c r="T1493">
        <f t="shared" ca="1" si="95"/>
        <v>56</v>
      </c>
      <c r="U1493">
        <f>VLOOKUP($A1493,'Medical Examination'!$A:$Z,2,FALSE)</f>
        <v>32.299999999999997</v>
      </c>
    </row>
    <row r="1494" spans="1:21" ht="15.5" x14ac:dyDescent="0.35">
      <c r="A1494" s="2" t="s">
        <v>1494</v>
      </c>
      <c r="B1494" s="2" t="s">
        <v>4514</v>
      </c>
      <c r="C1494">
        <v>22.704999999999998</v>
      </c>
      <c r="D1494">
        <v>4.57</v>
      </c>
      <c r="E1494" t="s">
        <v>2346</v>
      </c>
      <c r="F1494" t="s">
        <v>2344</v>
      </c>
      <c r="G1494" t="s">
        <v>2344</v>
      </c>
      <c r="H1494">
        <v>0</v>
      </c>
      <c r="I1494" t="s">
        <v>2344</v>
      </c>
      <c r="J1494" t="str">
        <f t="shared" si="93"/>
        <v>Normal Weight</v>
      </c>
      <c r="K1494" t="str">
        <f t="shared" si="96"/>
        <v>Normal</v>
      </c>
      <c r="L1494">
        <v>4</v>
      </c>
      <c r="M1494" t="s">
        <v>2367</v>
      </c>
      <c r="N1494">
        <v>1965</v>
      </c>
      <c r="O1494" s="8">
        <f t="shared" si="94"/>
        <v>24019</v>
      </c>
      <c r="P1494" s="10">
        <v>12629.17</v>
      </c>
      <c r="Q1494" t="s">
        <v>2358</v>
      </c>
      <c r="R1494" t="s">
        <v>2361</v>
      </c>
      <c r="S1494" t="s">
        <v>2359</v>
      </c>
      <c r="T1494">
        <f t="shared" ca="1" si="95"/>
        <v>61</v>
      </c>
      <c r="U1494">
        <f>VLOOKUP($A1494,'Medical Examination'!$A:$Z,2,FALSE)</f>
        <v>22.704999999999998</v>
      </c>
    </row>
    <row r="1495" spans="1:21" ht="15.5" x14ac:dyDescent="0.35">
      <c r="A1495" s="2" t="s">
        <v>1495</v>
      </c>
      <c r="B1495" s="2" t="s">
        <v>4516</v>
      </c>
      <c r="C1495">
        <v>21.79</v>
      </c>
      <c r="D1495">
        <v>8.6999999999999993</v>
      </c>
      <c r="E1495" t="s">
        <v>2346</v>
      </c>
      <c r="F1495" t="s">
        <v>2344</v>
      </c>
      <c r="G1495" t="s">
        <v>2344</v>
      </c>
      <c r="H1495">
        <v>1</v>
      </c>
      <c r="I1495" t="s">
        <v>2344</v>
      </c>
      <c r="J1495" t="str">
        <f t="shared" si="93"/>
        <v>Normal Weight</v>
      </c>
      <c r="K1495" t="str">
        <f t="shared" si="96"/>
        <v>Diabetes</v>
      </c>
      <c r="L1495">
        <v>22</v>
      </c>
      <c r="M1495" t="s">
        <v>2360</v>
      </c>
      <c r="N1495">
        <v>1962</v>
      </c>
      <c r="O1495" s="8">
        <f t="shared" si="94"/>
        <v>22972</v>
      </c>
      <c r="P1495" s="10">
        <v>12629.9</v>
      </c>
      <c r="Q1495" t="s">
        <v>2358</v>
      </c>
      <c r="R1495" t="s">
        <v>2358</v>
      </c>
      <c r="S1495" t="s">
        <v>2359</v>
      </c>
      <c r="T1495">
        <f t="shared" ca="1" si="95"/>
        <v>64</v>
      </c>
      <c r="U1495">
        <f>VLOOKUP($A1495,'Medical Examination'!$A:$Z,2,FALSE)</f>
        <v>21.79</v>
      </c>
    </row>
    <row r="1496" spans="1:21" ht="15.5" x14ac:dyDescent="0.35">
      <c r="A1496" s="2" t="s">
        <v>1496</v>
      </c>
      <c r="B1496" s="2" t="s">
        <v>4517</v>
      </c>
      <c r="C1496">
        <v>24.52</v>
      </c>
      <c r="D1496">
        <v>4.76</v>
      </c>
      <c r="E1496" t="s">
        <v>2344</v>
      </c>
      <c r="F1496" t="s">
        <v>2344</v>
      </c>
      <c r="G1496" t="s">
        <v>2344</v>
      </c>
      <c r="H1496">
        <v>0</v>
      </c>
      <c r="I1496" t="s">
        <v>2344</v>
      </c>
      <c r="J1496" t="str">
        <f t="shared" si="93"/>
        <v>Normal Weight</v>
      </c>
      <c r="K1496" t="str">
        <f t="shared" si="96"/>
        <v>Normal</v>
      </c>
      <c r="L1496">
        <v>22</v>
      </c>
      <c r="M1496" t="s">
        <v>2356</v>
      </c>
      <c r="N1496">
        <v>1962</v>
      </c>
      <c r="O1496" s="8">
        <f t="shared" si="94"/>
        <v>22849</v>
      </c>
      <c r="P1496" s="10">
        <v>12638.2</v>
      </c>
      <c r="Q1496" t="s">
        <v>2358</v>
      </c>
      <c r="R1496" t="s">
        <v>2361</v>
      </c>
      <c r="S1496" t="s">
        <v>2368</v>
      </c>
      <c r="T1496">
        <f t="shared" ca="1" si="95"/>
        <v>64</v>
      </c>
      <c r="U1496">
        <f>VLOOKUP($A1496,'Medical Examination'!$A:$Z,2,FALSE)</f>
        <v>24.52</v>
      </c>
    </row>
    <row r="1497" spans="1:21" ht="15.5" x14ac:dyDescent="0.35">
      <c r="A1497" s="2" t="s">
        <v>1497</v>
      </c>
      <c r="B1497" s="2" t="s">
        <v>4519</v>
      </c>
      <c r="C1497">
        <v>39.520000000000003</v>
      </c>
      <c r="D1497">
        <v>11.81</v>
      </c>
      <c r="E1497" t="s">
        <v>2344</v>
      </c>
      <c r="F1497" t="s">
        <v>2344</v>
      </c>
      <c r="G1497" t="s">
        <v>2344</v>
      </c>
      <c r="H1497">
        <v>0</v>
      </c>
      <c r="I1497" t="s">
        <v>2344</v>
      </c>
      <c r="J1497" t="str">
        <f t="shared" si="93"/>
        <v>Obesity</v>
      </c>
      <c r="K1497" t="str">
        <f t="shared" si="96"/>
        <v>Diabetes</v>
      </c>
      <c r="L1497">
        <v>5</v>
      </c>
      <c r="M1497" t="s">
        <v>2363</v>
      </c>
      <c r="N1497">
        <v>1972</v>
      </c>
      <c r="O1497" s="8">
        <f t="shared" si="94"/>
        <v>26547</v>
      </c>
      <c r="P1497" s="10">
        <v>12640.24</v>
      </c>
      <c r="Q1497" t="s">
        <v>2358</v>
      </c>
      <c r="R1497" t="s">
        <v>2361</v>
      </c>
      <c r="S1497" t="s">
        <v>2368</v>
      </c>
      <c r="T1497">
        <f t="shared" ca="1" si="95"/>
        <v>54</v>
      </c>
      <c r="U1497">
        <f>VLOOKUP($A1497,'Medical Examination'!$A:$Z,2,FALSE)</f>
        <v>39.520000000000003</v>
      </c>
    </row>
    <row r="1498" spans="1:21" ht="15.5" x14ac:dyDescent="0.35">
      <c r="A1498" s="2" t="s">
        <v>1498</v>
      </c>
      <c r="B1498" s="2" t="s">
        <v>4521</v>
      </c>
      <c r="C1498">
        <v>24.49</v>
      </c>
      <c r="D1498">
        <v>4.67</v>
      </c>
      <c r="E1498" t="s">
        <v>2344</v>
      </c>
      <c r="F1498" t="s">
        <v>2344</v>
      </c>
      <c r="G1498" t="s">
        <v>2344</v>
      </c>
      <c r="H1498">
        <v>0</v>
      </c>
      <c r="I1498" t="s">
        <v>2344</v>
      </c>
      <c r="J1498" t="str">
        <f t="shared" si="93"/>
        <v>Normal Weight</v>
      </c>
      <c r="K1498" t="str">
        <f t="shared" si="96"/>
        <v>Normal</v>
      </c>
      <c r="L1498">
        <v>17</v>
      </c>
      <c r="M1498" t="s">
        <v>2365</v>
      </c>
      <c r="N1498">
        <v>1966</v>
      </c>
      <c r="O1498" s="8">
        <f t="shared" si="94"/>
        <v>24458</v>
      </c>
      <c r="P1498" s="10">
        <v>12643.38</v>
      </c>
      <c r="Q1498" t="s">
        <v>2358</v>
      </c>
      <c r="R1498" t="s">
        <v>2361</v>
      </c>
      <c r="S1498" t="s">
        <v>2364</v>
      </c>
      <c r="T1498">
        <f t="shared" ca="1" si="95"/>
        <v>60</v>
      </c>
      <c r="U1498">
        <f>VLOOKUP($A1498,'Medical Examination'!$A:$Z,2,FALSE)</f>
        <v>24.49</v>
      </c>
    </row>
    <row r="1499" spans="1:21" ht="15.5" x14ac:dyDescent="0.35">
      <c r="A1499" s="2" t="s">
        <v>1499</v>
      </c>
      <c r="B1499" s="2" t="s">
        <v>4524</v>
      </c>
      <c r="C1499">
        <v>26.315000000000001</v>
      </c>
      <c r="D1499">
        <v>6.02</v>
      </c>
      <c r="E1499" t="s">
        <v>2344</v>
      </c>
      <c r="F1499" t="s">
        <v>2344</v>
      </c>
      <c r="G1499" t="s">
        <v>2344</v>
      </c>
      <c r="H1499">
        <v>0</v>
      </c>
      <c r="I1499" t="s">
        <v>2344</v>
      </c>
      <c r="J1499" t="str">
        <f t="shared" si="93"/>
        <v>Over weight</v>
      </c>
      <c r="K1499" t="str">
        <f t="shared" si="96"/>
        <v>Prediabetes</v>
      </c>
      <c r="L1499">
        <v>11</v>
      </c>
      <c r="M1499" t="s">
        <v>2356</v>
      </c>
      <c r="N1499">
        <v>1962</v>
      </c>
      <c r="O1499" s="8">
        <f t="shared" si="94"/>
        <v>22838</v>
      </c>
      <c r="P1499" s="10">
        <v>12644.59</v>
      </c>
      <c r="Q1499" t="s">
        <v>2358</v>
      </c>
      <c r="R1499" t="s">
        <v>2357</v>
      </c>
      <c r="S1499" t="s">
        <v>2368</v>
      </c>
      <c r="T1499">
        <f t="shared" ca="1" si="95"/>
        <v>64</v>
      </c>
      <c r="U1499">
        <f>VLOOKUP($A1499,'Medical Examination'!$A:$Z,2,FALSE)</f>
        <v>26.315000000000001</v>
      </c>
    </row>
    <row r="1500" spans="1:21" ht="15.5" x14ac:dyDescent="0.35">
      <c r="A1500" s="2" t="s">
        <v>1500</v>
      </c>
      <c r="B1500" s="2" t="s">
        <v>4525</v>
      </c>
      <c r="C1500">
        <v>22.58</v>
      </c>
      <c r="D1500">
        <v>7.46</v>
      </c>
      <c r="E1500" t="s">
        <v>2344</v>
      </c>
      <c r="F1500" t="s">
        <v>2344</v>
      </c>
      <c r="G1500" t="s">
        <v>2344</v>
      </c>
      <c r="H1500">
        <v>0</v>
      </c>
      <c r="I1500" t="s">
        <v>2344</v>
      </c>
      <c r="J1500" t="str">
        <f t="shared" si="93"/>
        <v>Normal Weight</v>
      </c>
      <c r="K1500" t="str">
        <f t="shared" si="96"/>
        <v>Diabetes</v>
      </c>
      <c r="L1500">
        <v>14</v>
      </c>
      <c r="M1500" t="s">
        <v>2363</v>
      </c>
      <c r="N1500">
        <v>1965</v>
      </c>
      <c r="O1500" s="8">
        <f t="shared" si="94"/>
        <v>23999</v>
      </c>
      <c r="P1500" s="10">
        <v>12646.21</v>
      </c>
      <c r="Q1500" t="s">
        <v>2358</v>
      </c>
      <c r="R1500" t="s">
        <v>2357</v>
      </c>
      <c r="S1500" t="s">
        <v>2368</v>
      </c>
      <c r="T1500">
        <f t="shared" ca="1" si="95"/>
        <v>61</v>
      </c>
      <c r="U1500">
        <f>VLOOKUP($A1500,'Medical Examination'!$A:$Z,2,FALSE)</f>
        <v>22.58</v>
      </c>
    </row>
    <row r="1501" spans="1:21" ht="15.5" x14ac:dyDescent="0.35">
      <c r="A1501" s="2" t="s">
        <v>1501</v>
      </c>
      <c r="B1501" s="2" t="s">
        <v>4526</v>
      </c>
      <c r="C1501">
        <v>19.475000000000001</v>
      </c>
      <c r="D1501">
        <v>4.74</v>
      </c>
      <c r="E1501" t="s">
        <v>2344</v>
      </c>
      <c r="F1501" t="s">
        <v>2344</v>
      </c>
      <c r="G1501" t="s">
        <v>2344</v>
      </c>
      <c r="H1501">
        <v>1</v>
      </c>
      <c r="I1501" t="s">
        <v>2344</v>
      </c>
      <c r="J1501" t="str">
        <f t="shared" si="93"/>
        <v>Normal Weight</v>
      </c>
      <c r="K1501" t="str">
        <f t="shared" si="96"/>
        <v>Normal</v>
      </c>
      <c r="L1501">
        <v>27</v>
      </c>
      <c r="M1501" t="s">
        <v>2366</v>
      </c>
      <c r="N1501">
        <v>1962</v>
      </c>
      <c r="O1501" s="8">
        <f t="shared" si="94"/>
        <v>22885</v>
      </c>
      <c r="P1501" s="10">
        <v>12648.7</v>
      </c>
      <c r="Q1501" t="s">
        <v>2358</v>
      </c>
      <c r="R1501" t="s">
        <v>2357</v>
      </c>
      <c r="S1501" t="s">
        <v>2359</v>
      </c>
      <c r="T1501">
        <f t="shared" ca="1" si="95"/>
        <v>64</v>
      </c>
      <c r="U1501">
        <f>VLOOKUP($A1501,'Medical Examination'!$A:$Z,2,FALSE)</f>
        <v>19.475000000000001</v>
      </c>
    </row>
    <row r="1502" spans="1:21" ht="15.5" x14ac:dyDescent="0.35">
      <c r="A1502" s="2" t="s">
        <v>1502</v>
      </c>
      <c r="B1502" s="2" t="s">
        <v>4527</v>
      </c>
      <c r="C1502">
        <v>26.33</v>
      </c>
      <c r="D1502">
        <v>4.79</v>
      </c>
      <c r="E1502" t="s">
        <v>2344</v>
      </c>
      <c r="F1502" t="s">
        <v>2344</v>
      </c>
      <c r="G1502" t="s">
        <v>2344</v>
      </c>
      <c r="H1502">
        <v>0</v>
      </c>
      <c r="I1502" t="s">
        <v>2344</v>
      </c>
      <c r="J1502" t="str">
        <f t="shared" si="93"/>
        <v>Over weight</v>
      </c>
      <c r="K1502" t="str">
        <f t="shared" si="96"/>
        <v>Normal</v>
      </c>
      <c r="L1502">
        <v>24</v>
      </c>
      <c r="M1502" t="s">
        <v>2363</v>
      </c>
      <c r="N1502">
        <v>1974</v>
      </c>
      <c r="O1502" s="8">
        <f t="shared" si="94"/>
        <v>27296</v>
      </c>
      <c r="P1502" s="10">
        <v>12697.48</v>
      </c>
      <c r="Q1502" t="s">
        <v>2358</v>
      </c>
      <c r="R1502" t="s">
        <v>2358</v>
      </c>
      <c r="S1502" t="s">
        <v>2377</v>
      </c>
      <c r="T1502">
        <f t="shared" ca="1" si="95"/>
        <v>52</v>
      </c>
      <c r="U1502">
        <f>VLOOKUP($A1502,'Medical Examination'!$A:$Z,2,FALSE)</f>
        <v>26.33</v>
      </c>
    </row>
    <row r="1503" spans="1:21" ht="15.5" x14ac:dyDescent="0.35">
      <c r="A1503" s="2" t="s">
        <v>1503</v>
      </c>
      <c r="B1503" s="2" t="s">
        <v>4529</v>
      </c>
      <c r="C1503">
        <v>17.29</v>
      </c>
      <c r="D1503">
        <v>5.35</v>
      </c>
      <c r="E1503" t="s">
        <v>2346</v>
      </c>
      <c r="F1503" t="s">
        <v>2344</v>
      </c>
      <c r="G1503" t="s">
        <v>2344</v>
      </c>
      <c r="H1503">
        <v>0</v>
      </c>
      <c r="I1503" t="s">
        <v>2344</v>
      </c>
      <c r="J1503" t="str">
        <f t="shared" si="93"/>
        <v>Under Weight</v>
      </c>
      <c r="K1503" t="str">
        <f t="shared" si="96"/>
        <v>Normal</v>
      </c>
      <c r="L1503">
        <v>7</v>
      </c>
      <c r="M1503" t="s">
        <v>2356</v>
      </c>
      <c r="N1503">
        <v>1992</v>
      </c>
      <c r="O1503" s="8">
        <f t="shared" si="94"/>
        <v>33792</v>
      </c>
      <c r="P1503" s="10">
        <v>12699.56</v>
      </c>
      <c r="Q1503" t="s">
        <v>2358</v>
      </c>
      <c r="R1503" t="s">
        <v>2357</v>
      </c>
      <c r="S1503" t="s">
        <v>2368</v>
      </c>
      <c r="T1503">
        <f t="shared" ca="1" si="95"/>
        <v>34</v>
      </c>
      <c r="U1503">
        <f>VLOOKUP($A1503,'Medical Examination'!$A:$Z,2,FALSE)</f>
        <v>17.29</v>
      </c>
    </row>
    <row r="1504" spans="1:21" ht="15.5" x14ac:dyDescent="0.35">
      <c r="A1504" s="2" t="s">
        <v>1504</v>
      </c>
      <c r="B1504" s="2" t="s">
        <v>4530</v>
      </c>
      <c r="C1504">
        <v>42.88</v>
      </c>
      <c r="D1504">
        <v>4.87</v>
      </c>
      <c r="E1504" t="s">
        <v>2344</v>
      </c>
      <c r="F1504" t="s">
        <v>2345</v>
      </c>
      <c r="G1504" t="s">
        <v>2344</v>
      </c>
      <c r="H1504">
        <v>1</v>
      </c>
      <c r="I1504" t="s">
        <v>2344</v>
      </c>
      <c r="J1504" t="str">
        <f t="shared" si="93"/>
        <v>Obesity</v>
      </c>
      <c r="K1504" t="str">
        <f t="shared" si="96"/>
        <v>Normal</v>
      </c>
      <c r="L1504">
        <v>28</v>
      </c>
      <c r="M1504" t="s">
        <v>2360</v>
      </c>
      <c r="N1504">
        <v>1964</v>
      </c>
      <c r="O1504" s="8">
        <f t="shared" si="94"/>
        <v>23709</v>
      </c>
      <c r="P1504" s="10">
        <v>12700.63</v>
      </c>
      <c r="Q1504" t="s">
        <v>2358</v>
      </c>
      <c r="R1504" t="s">
        <v>2358</v>
      </c>
      <c r="S1504" t="s">
        <v>2368</v>
      </c>
      <c r="T1504">
        <f t="shared" ca="1" si="95"/>
        <v>62</v>
      </c>
      <c r="U1504">
        <f>VLOOKUP($A1504,'Medical Examination'!$A:$Z,2,FALSE)</f>
        <v>42.88</v>
      </c>
    </row>
    <row r="1505" spans="1:21" ht="15.5" x14ac:dyDescent="0.35">
      <c r="A1505" s="2" t="s">
        <v>1505</v>
      </c>
      <c r="B1505" s="2" t="s">
        <v>3793</v>
      </c>
      <c r="C1505">
        <v>32.200000000000003</v>
      </c>
      <c r="D1505">
        <v>10.09</v>
      </c>
      <c r="E1505" t="s">
        <v>2346</v>
      </c>
      <c r="F1505" t="s">
        <v>2344</v>
      </c>
      <c r="G1505" t="s">
        <v>2344</v>
      </c>
      <c r="H1505">
        <v>0</v>
      </c>
      <c r="I1505" t="s">
        <v>2344</v>
      </c>
      <c r="J1505" t="str">
        <f t="shared" si="93"/>
        <v>Obesity</v>
      </c>
      <c r="K1505" t="str">
        <f t="shared" si="96"/>
        <v>Diabetes</v>
      </c>
      <c r="L1505">
        <v>8</v>
      </c>
      <c r="M1505" t="s">
        <v>2356</v>
      </c>
      <c r="N1505">
        <v>1970</v>
      </c>
      <c r="O1505" s="8">
        <f t="shared" si="94"/>
        <v>25757</v>
      </c>
      <c r="P1505" s="10">
        <v>12713</v>
      </c>
      <c r="Q1505" t="s">
        <v>2358</v>
      </c>
      <c r="R1505" t="s">
        <v>2361</v>
      </c>
      <c r="S1505" t="s">
        <v>2368</v>
      </c>
      <c r="T1505">
        <f t="shared" ca="1" si="95"/>
        <v>56</v>
      </c>
      <c r="U1505">
        <f>VLOOKUP($A1505,'Medical Examination'!$A:$Z,2,FALSE)</f>
        <v>32.200000000000003</v>
      </c>
    </row>
    <row r="1506" spans="1:21" ht="15.5" x14ac:dyDescent="0.35">
      <c r="A1506" s="2" t="s">
        <v>1506</v>
      </c>
      <c r="B1506" s="2" t="s">
        <v>4531</v>
      </c>
      <c r="C1506">
        <v>18.75</v>
      </c>
      <c r="D1506">
        <v>5.47</v>
      </c>
      <c r="E1506" t="s">
        <v>2346</v>
      </c>
      <c r="F1506" t="s">
        <v>2344</v>
      </c>
      <c r="G1506" t="s">
        <v>2346</v>
      </c>
      <c r="H1506">
        <v>1</v>
      </c>
      <c r="I1506" t="s">
        <v>2344</v>
      </c>
      <c r="J1506" t="str">
        <f t="shared" si="93"/>
        <v>Normal Weight</v>
      </c>
      <c r="K1506" t="str">
        <f t="shared" si="96"/>
        <v>Normal</v>
      </c>
      <c r="L1506">
        <v>17</v>
      </c>
      <c r="M1506" t="s">
        <v>2356</v>
      </c>
      <c r="N1506">
        <v>1988</v>
      </c>
      <c r="O1506" s="8">
        <f t="shared" si="94"/>
        <v>32341</v>
      </c>
      <c r="P1506" s="10">
        <v>12718.21</v>
      </c>
      <c r="Q1506" t="s">
        <v>2358</v>
      </c>
      <c r="R1506" t="s">
        <v>2361</v>
      </c>
      <c r="S1506" t="s">
        <v>2380</v>
      </c>
      <c r="T1506">
        <f t="shared" ca="1" si="95"/>
        <v>38</v>
      </c>
      <c r="U1506">
        <f>VLOOKUP($A1506,'Medical Examination'!$A:$Z,2,FALSE)</f>
        <v>18.75</v>
      </c>
    </row>
    <row r="1507" spans="1:21" ht="15.5" x14ac:dyDescent="0.35">
      <c r="A1507" s="2" t="s">
        <v>1507</v>
      </c>
      <c r="B1507" s="2" t="s">
        <v>4532</v>
      </c>
      <c r="C1507">
        <v>22.36</v>
      </c>
      <c r="D1507">
        <v>8.6</v>
      </c>
      <c r="E1507" t="s">
        <v>2344</v>
      </c>
      <c r="F1507" t="s">
        <v>2344</v>
      </c>
      <c r="G1507" t="s">
        <v>2344</v>
      </c>
      <c r="H1507">
        <v>0</v>
      </c>
      <c r="I1507" t="s">
        <v>2344</v>
      </c>
      <c r="J1507" t="str">
        <f t="shared" si="93"/>
        <v>Normal Weight</v>
      </c>
      <c r="K1507" t="str">
        <f t="shared" si="96"/>
        <v>Diabetes</v>
      </c>
      <c r="L1507">
        <v>2</v>
      </c>
      <c r="M1507" t="s">
        <v>2363</v>
      </c>
      <c r="N1507">
        <v>1962</v>
      </c>
      <c r="O1507" s="8">
        <f t="shared" si="94"/>
        <v>22891</v>
      </c>
      <c r="P1507" s="10">
        <v>12731</v>
      </c>
      <c r="Q1507" t="s">
        <v>2358</v>
      </c>
      <c r="R1507" t="s">
        <v>2358</v>
      </c>
      <c r="S1507" t="s">
        <v>2371</v>
      </c>
      <c r="T1507">
        <f t="shared" ca="1" si="95"/>
        <v>64</v>
      </c>
      <c r="U1507">
        <f>VLOOKUP($A1507,'Medical Examination'!$A:$Z,2,FALSE)</f>
        <v>22.36</v>
      </c>
    </row>
    <row r="1508" spans="1:21" ht="15.5" x14ac:dyDescent="0.35">
      <c r="A1508" s="2" t="s">
        <v>1508</v>
      </c>
      <c r="B1508" s="2" t="s">
        <v>4534</v>
      </c>
      <c r="C1508">
        <v>23.94</v>
      </c>
      <c r="D1508">
        <v>10.74</v>
      </c>
      <c r="E1508" t="s">
        <v>2346</v>
      </c>
      <c r="F1508" t="s">
        <v>2344</v>
      </c>
      <c r="G1508" t="s">
        <v>2344</v>
      </c>
      <c r="H1508">
        <v>0</v>
      </c>
      <c r="I1508" t="s">
        <v>2344</v>
      </c>
      <c r="J1508" t="str">
        <f t="shared" si="93"/>
        <v>Normal Weight</v>
      </c>
      <c r="K1508" t="str">
        <f t="shared" si="96"/>
        <v>Diabetes</v>
      </c>
      <c r="L1508">
        <v>1</v>
      </c>
      <c r="M1508" t="s">
        <v>2367</v>
      </c>
      <c r="N1508">
        <v>1962</v>
      </c>
      <c r="O1508" s="8">
        <f t="shared" si="94"/>
        <v>22920</v>
      </c>
      <c r="P1508" s="10">
        <v>12741.17</v>
      </c>
      <c r="Q1508" t="s">
        <v>2358</v>
      </c>
      <c r="R1508" t="s">
        <v>2361</v>
      </c>
      <c r="S1508" t="s">
        <v>2378</v>
      </c>
      <c r="T1508">
        <f t="shared" ca="1" si="95"/>
        <v>64</v>
      </c>
      <c r="U1508">
        <f>VLOOKUP($A1508,'Medical Examination'!$A:$Z,2,FALSE)</f>
        <v>23.94</v>
      </c>
    </row>
    <row r="1509" spans="1:21" ht="15.5" x14ac:dyDescent="0.35">
      <c r="A1509" s="2" t="s">
        <v>1509</v>
      </c>
      <c r="B1509" s="2" t="s">
        <v>3685</v>
      </c>
      <c r="C1509">
        <v>30.1</v>
      </c>
      <c r="D1509">
        <v>4.3899999999999997</v>
      </c>
      <c r="E1509" t="s">
        <v>2344</v>
      </c>
      <c r="F1509" t="s">
        <v>2344</v>
      </c>
      <c r="G1509" t="s">
        <v>2346</v>
      </c>
      <c r="H1509">
        <v>1</v>
      </c>
      <c r="I1509" t="s">
        <v>2344</v>
      </c>
      <c r="J1509" t="str">
        <f t="shared" si="93"/>
        <v>Obesity</v>
      </c>
      <c r="K1509" t="str">
        <f t="shared" si="96"/>
        <v>Normal</v>
      </c>
      <c r="L1509">
        <v>25</v>
      </c>
      <c r="M1509" t="s">
        <v>2363</v>
      </c>
      <c r="N1509">
        <v>1975</v>
      </c>
      <c r="O1509" s="8">
        <f t="shared" si="94"/>
        <v>27662</v>
      </c>
      <c r="P1509" s="10">
        <v>12770.27</v>
      </c>
      <c r="Q1509" t="s">
        <v>2358</v>
      </c>
      <c r="R1509" t="s">
        <v>2358</v>
      </c>
      <c r="S1509" t="s">
        <v>2377</v>
      </c>
      <c r="T1509">
        <f t="shared" ca="1" si="95"/>
        <v>51</v>
      </c>
      <c r="U1509">
        <f>VLOOKUP($A1509,'Medical Examination'!$A:$Z,2,FALSE)</f>
        <v>30.1</v>
      </c>
    </row>
    <row r="1510" spans="1:21" ht="15.5" x14ac:dyDescent="0.35">
      <c r="A1510" s="2" t="s">
        <v>1510</v>
      </c>
      <c r="B1510" s="2" t="s">
        <v>2736</v>
      </c>
      <c r="C1510">
        <v>21.93</v>
      </c>
      <c r="D1510">
        <v>6.3</v>
      </c>
      <c r="E1510" t="s">
        <v>2344</v>
      </c>
      <c r="F1510" t="s">
        <v>2344</v>
      </c>
      <c r="G1510" t="s">
        <v>2344</v>
      </c>
      <c r="H1510">
        <v>0</v>
      </c>
      <c r="I1510" t="s">
        <v>2344</v>
      </c>
      <c r="J1510" t="str">
        <f t="shared" si="93"/>
        <v>Normal Weight</v>
      </c>
      <c r="K1510" t="str">
        <f t="shared" si="96"/>
        <v>Prediabetes</v>
      </c>
      <c r="L1510">
        <v>7</v>
      </c>
      <c r="M1510" t="s">
        <v>2367</v>
      </c>
      <c r="N1510">
        <v>1972</v>
      </c>
      <c r="O1510" s="8">
        <f t="shared" si="94"/>
        <v>26579</v>
      </c>
      <c r="P1510" s="10">
        <v>12776.05</v>
      </c>
      <c r="Q1510" t="s">
        <v>2358</v>
      </c>
      <c r="R1510" t="s">
        <v>2358</v>
      </c>
      <c r="S1510" t="s">
        <v>2380</v>
      </c>
      <c r="T1510">
        <f t="shared" ca="1" si="95"/>
        <v>54</v>
      </c>
      <c r="U1510">
        <f>VLOOKUP($A1510,'Medical Examination'!$A:$Z,2,FALSE)</f>
        <v>21.93</v>
      </c>
    </row>
    <row r="1511" spans="1:21" ht="15.5" x14ac:dyDescent="0.35">
      <c r="A1511" s="2" t="s">
        <v>1511</v>
      </c>
      <c r="B1511" s="2" t="s">
        <v>4536</v>
      </c>
      <c r="C1511">
        <v>39.75</v>
      </c>
      <c r="D1511">
        <v>5.41</v>
      </c>
      <c r="E1511" t="s">
        <v>2344</v>
      </c>
      <c r="F1511" t="s">
        <v>2345</v>
      </c>
      <c r="G1511" t="s">
        <v>2344</v>
      </c>
      <c r="H1511">
        <v>1</v>
      </c>
      <c r="I1511" t="s">
        <v>2344</v>
      </c>
      <c r="J1511" t="str">
        <f t="shared" si="93"/>
        <v>Obesity</v>
      </c>
      <c r="K1511" t="str">
        <f t="shared" si="96"/>
        <v>Normal</v>
      </c>
      <c r="L1511">
        <v>5</v>
      </c>
      <c r="M1511" t="s">
        <v>2365</v>
      </c>
      <c r="N1511">
        <v>1963</v>
      </c>
      <c r="O1511" s="8">
        <f t="shared" si="94"/>
        <v>23350</v>
      </c>
      <c r="P1511" s="10">
        <v>12788.03</v>
      </c>
      <c r="Q1511" t="s">
        <v>2358</v>
      </c>
      <c r="R1511" t="s">
        <v>2358</v>
      </c>
      <c r="S1511" t="s">
        <v>2373</v>
      </c>
      <c r="T1511">
        <f t="shared" ca="1" si="95"/>
        <v>63</v>
      </c>
      <c r="U1511">
        <f>VLOOKUP($A1511,'Medical Examination'!$A:$Z,2,FALSE)</f>
        <v>39.75</v>
      </c>
    </row>
    <row r="1512" spans="1:21" ht="15.5" x14ac:dyDescent="0.35">
      <c r="A1512" s="2" t="s">
        <v>1512</v>
      </c>
      <c r="B1512" s="2" t="s">
        <v>4537</v>
      </c>
      <c r="C1512">
        <v>26.03</v>
      </c>
      <c r="D1512">
        <v>4.47</v>
      </c>
      <c r="E1512" t="s">
        <v>2344</v>
      </c>
      <c r="F1512" t="s">
        <v>2344</v>
      </c>
      <c r="G1512" t="s">
        <v>2346</v>
      </c>
      <c r="H1512">
        <v>1</v>
      </c>
      <c r="I1512" t="s">
        <v>2344</v>
      </c>
      <c r="J1512" t="str">
        <f t="shared" si="93"/>
        <v>Over weight</v>
      </c>
      <c r="K1512" t="str">
        <f t="shared" si="96"/>
        <v>Normal</v>
      </c>
      <c r="L1512">
        <v>29</v>
      </c>
      <c r="M1512" t="s">
        <v>2367</v>
      </c>
      <c r="N1512">
        <v>1983</v>
      </c>
      <c r="O1512" s="8">
        <f t="shared" si="94"/>
        <v>30618</v>
      </c>
      <c r="P1512" s="10">
        <v>12788.18</v>
      </c>
      <c r="Q1512" t="s">
        <v>2358</v>
      </c>
      <c r="R1512" t="s">
        <v>2361</v>
      </c>
      <c r="S1512" t="s">
        <v>2380</v>
      </c>
      <c r="T1512">
        <f t="shared" ca="1" si="95"/>
        <v>43</v>
      </c>
      <c r="U1512">
        <f>VLOOKUP($A1512,'Medical Examination'!$A:$Z,2,FALSE)</f>
        <v>26.03</v>
      </c>
    </row>
    <row r="1513" spans="1:21" ht="15.5" x14ac:dyDescent="0.35">
      <c r="A1513" s="2" t="s">
        <v>1513</v>
      </c>
      <c r="B1513" s="2" t="s">
        <v>4538</v>
      </c>
      <c r="C1513">
        <v>34.51</v>
      </c>
      <c r="D1513">
        <v>6.26</v>
      </c>
      <c r="E1513" t="s">
        <v>2344</v>
      </c>
      <c r="F1513" t="s">
        <v>2344</v>
      </c>
      <c r="G1513" t="s">
        <v>2344</v>
      </c>
      <c r="H1513">
        <v>0</v>
      </c>
      <c r="I1513" t="s">
        <v>2344</v>
      </c>
      <c r="J1513" t="str">
        <f t="shared" si="93"/>
        <v>Obesity</v>
      </c>
      <c r="K1513" t="str">
        <f t="shared" si="96"/>
        <v>Prediabetes</v>
      </c>
      <c r="L1513">
        <v>24</v>
      </c>
      <c r="M1513" t="s">
        <v>2356</v>
      </c>
      <c r="N1513">
        <v>1978</v>
      </c>
      <c r="O1513" s="8">
        <f t="shared" si="94"/>
        <v>28695</v>
      </c>
      <c r="P1513" s="10">
        <v>12797.21</v>
      </c>
      <c r="Q1513" t="s">
        <v>2358</v>
      </c>
      <c r="R1513" t="s">
        <v>2361</v>
      </c>
      <c r="S1513" t="s">
        <v>2374</v>
      </c>
      <c r="T1513">
        <f t="shared" ca="1" si="95"/>
        <v>48</v>
      </c>
      <c r="U1513">
        <f>VLOOKUP($A1513,'Medical Examination'!$A:$Z,2,FALSE)</f>
        <v>34.51</v>
      </c>
    </row>
    <row r="1514" spans="1:21" ht="15.5" x14ac:dyDescent="0.35">
      <c r="A1514" s="2" t="s">
        <v>1514</v>
      </c>
      <c r="B1514" s="2" t="s">
        <v>4539</v>
      </c>
      <c r="C1514">
        <v>19.32</v>
      </c>
      <c r="D1514">
        <v>11.58</v>
      </c>
      <c r="E1514" t="s">
        <v>2346</v>
      </c>
      <c r="F1514" t="s">
        <v>2344</v>
      </c>
      <c r="G1514" t="s">
        <v>2344</v>
      </c>
      <c r="H1514">
        <v>1</v>
      </c>
      <c r="I1514" t="s">
        <v>2344</v>
      </c>
      <c r="J1514" t="str">
        <f t="shared" si="93"/>
        <v>Normal Weight</v>
      </c>
      <c r="K1514" t="str">
        <f t="shared" si="96"/>
        <v>Diabetes</v>
      </c>
      <c r="L1514">
        <v>20</v>
      </c>
      <c r="M1514" t="s">
        <v>2356</v>
      </c>
      <c r="N1514">
        <v>1963</v>
      </c>
      <c r="O1514" s="8">
        <f t="shared" si="94"/>
        <v>23212</v>
      </c>
      <c r="P1514" s="10">
        <v>12815.44</v>
      </c>
      <c r="Q1514" t="s">
        <v>2358</v>
      </c>
      <c r="R1514" t="s">
        <v>2358</v>
      </c>
      <c r="S1514" t="s">
        <v>2374</v>
      </c>
      <c r="T1514">
        <f t="shared" ca="1" si="95"/>
        <v>63</v>
      </c>
      <c r="U1514">
        <f>VLOOKUP($A1514,'Medical Examination'!$A:$Z,2,FALSE)</f>
        <v>19.32</v>
      </c>
    </row>
    <row r="1515" spans="1:21" ht="15.5" x14ac:dyDescent="0.35">
      <c r="A1515" s="2" t="s">
        <v>1515</v>
      </c>
      <c r="B1515" s="2" t="s">
        <v>4541</v>
      </c>
      <c r="C1515">
        <v>28.5</v>
      </c>
      <c r="D1515">
        <v>4.3600000000000003</v>
      </c>
      <c r="E1515" t="s">
        <v>2344</v>
      </c>
      <c r="F1515" t="s">
        <v>2344</v>
      </c>
      <c r="G1515" t="s">
        <v>2344</v>
      </c>
      <c r="H1515">
        <v>0</v>
      </c>
      <c r="I1515" t="s">
        <v>2344</v>
      </c>
      <c r="J1515" t="str">
        <f t="shared" si="93"/>
        <v>Over weight</v>
      </c>
      <c r="K1515" t="str">
        <f t="shared" si="96"/>
        <v>Normal</v>
      </c>
      <c r="L1515">
        <v>25</v>
      </c>
      <c r="M1515" t="s">
        <v>2363</v>
      </c>
      <c r="N1515">
        <v>1967</v>
      </c>
      <c r="O1515" s="8">
        <f t="shared" si="94"/>
        <v>24740</v>
      </c>
      <c r="P1515" s="10">
        <v>12823.25</v>
      </c>
      <c r="Q1515" t="s">
        <v>2358</v>
      </c>
      <c r="R1515" t="s">
        <v>2358</v>
      </c>
      <c r="S1515" t="s">
        <v>2377</v>
      </c>
      <c r="T1515">
        <f t="shared" ca="1" si="95"/>
        <v>59</v>
      </c>
      <c r="U1515">
        <f>VLOOKUP($A1515,'Medical Examination'!$A:$Z,2,FALSE)</f>
        <v>28.5</v>
      </c>
    </row>
    <row r="1516" spans="1:21" ht="15.5" x14ac:dyDescent="0.35">
      <c r="A1516" s="2" t="s">
        <v>1516</v>
      </c>
      <c r="B1516" s="2" t="s">
        <v>4543</v>
      </c>
      <c r="C1516">
        <v>30.875</v>
      </c>
      <c r="D1516">
        <v>4.1399999999999997</v>
      </c>
      <c r="E1516" t="s">
        <v>2346</v>
      </c>
      <c r="F1516" t="s">
        <v>2344</v>
      </c>
      <c r="G1516" t="s">
        <v>2344</v>
      </c>
      <c r="H1516">
        <v>0</v>
      </c>
      <c r="I1516" t="s">
        <v>2344</v>
      </c>
      <c r="J1516" t="str">
        <f t="shared" si="93"/>
        <v>Obesity</v>
      </c>
      <c r="K1516" t="str">
        <f t="shared" si="96"/>
        <v>Normal</v>
      </c>
      <c r="L1516">
        <v>9</v>
      </c>
      <c r="M1516" t="s">
        <v>2360</v>
      </c>
      <c r="N1516">
        <v>2004</v>
      </c>
      <c r="O1516" s="8">
        <f t="shared" si="94"/>
        <v>38300</v>
      </c>
      <c r="P1516" s="10">
        <v>12829.46</v>
      </c>
      <c r="Q1516" t="s">
        <v>2358</v>
      </c>
      <c r="R1516" t="s">
        <v>2358</v>
      </c>
      <c r="S1516" t="s">
        <v>2371</v>
      </c>
      <c r="T1516">
        <f t="shared" ca="1" si="95"/>
        <v>22</v>
      </c>
      <c r="U1516">
        <f>VLOOKUP($A1516,'Medical Examination'!$A:$Z,2,FALSE)</f>
        <v>30.875</v>
      </c>
    </row>
    <row r="1517" spans="1:21" ht="15.5" x14ac:dyDescent="0.35">
      <c r="A1517" s="2" t="s">
        <v>1517</v>
      </c>
      <c r="B1517" s="2" t="s">
        <v>4544</v>
      </c>
      <c r="C1517">
        <v>24.02</v>
      </c>
      <c r="D1517">
        <v>4.38</v>
      </c>
      <c r="E1517" t="s">
        <v>2344</v>
      </c>
      <c r="F1517" t="s">
        <v>2344</v>
      </c>
      <c r="G1517" t="s">
        <v>2344</v>
      </c>
      <c r="H1517">
        <v>0</v>
      </c>
      <c r="I1517" t="s">
        <v>2344</v>
      </c>
      <c r="J1517" t="str">
        <f t="shared" si="93"/>
        <v>Normal Weight</v>
      </c>
      <c r="K1517" t="str">
        <f t="shared" si="96"/>
        <v>Normal</v>
      </c>
      <c r="L1517">
        <v>27</v>
      </c>
      <c r="M1517" t="s">
        <v>2363</v>
      </c>
      <c r="N1517">
        <v>1993</v>
      </c>
      <c r="O1517" s="8">
        <f t="shared" si="94"/>
        <v>34239</v>
      </c>
      <c r="P1517" s="10">
        <v>12847.24</v>
      </c>
      <c r="Q1517" t="s">
        <v>2358</v>
      </c>
      <c r="R1517" t="s">
        <v>2357</v>
      </c>
      <c r="S1517" t="s">
        <v>2364</v>
      </c>
      <c r="T1517">
        <f t="shared" ca="1" si="95"/>
        <v>33</v>
      </c>
      <c r="U1517">
        <f>VLOOKUP($A1517,'Medical Examination'!$A:$Z,2,FALSE)</f>
        <v>24.02</v>
      </c>
    </row>
    <row r="1518" spans="1:21" ht="15.5" x14ac:dyDescent="0.35">
      <c r="A1518" s="2" t="s">
        <v>1518</v>
      </c>
      <c r="B1518" s="2" t="s">
        <v>4545</v>
      </c>
      <c r="C1518">
        <v>36.08</v>
      </c>
      <c r="D1518">
        <v>11.61</v>
      </c>
      <c r="E1518" t="s">
        <v>2346</v>
      </c>
      <c r="F1518" t="s">
        <v>2344</v>
      </c>
      <c r="G1518" t="s">
        <v>2344</v>
      </c>
      <c r="H1518">
        <v>0</v>
      </c>
      <c r="I1518" t="s">
        <v>2344</v>
      </c>
      <c r="J1518" t="str">
        <f t="shared" si="93"/>
        <v>Obesity</v>
      </c>
      <c r="K1518" t="str">
        <f t="shared" si="96"/>
        <v>Diabetes</v>
      </c>
      <c r="L1518">
        <v>22</v>
      </c>
      <c r="M1518" t="s">
        <v>2363</v>
      </c>
      <c r="N1518">
        <v>1973</v>
      </c>
      <c r="O1518" s="8">
        <f t="shared" si="94"/>
        <v>26929</v>
      </c>
      <c r="P1518" s="10">
        <v>12852.37</v>
      </c>
      <c r="Q1518" t="s">
        <v>2358</v>
      </c>
      <c r="R1518" t="s">
        <v>2361</v>
      </c>
      <c r="S1518" t="s">
        <v>2364</v>
      </c>
      <c r="T1518">
        <f t="shared" ca="1" si="95"/>
        <v>53</v>
      </c>
      <c r="U1518">
        <f>VLOOKUP($A1518,'Medical Examination'!$A:$Z,2,FALSE)</f>
        <v>36.08</v>
      </c>
    </row>
    <row r="1519" spans="1:21" ht="15.5" x14ac:dyDescent="0.35">
      <c r="A1519" s="2" t="s">
        <v>1519</v>
      </c>
      <c r="B1519" s="2" t="s">
        <v>4547</v>
      </c>
      <c r="C1519">
        <v>32.200000000000003</v>
      </c>
      <c r="D1519">
        <v>10.59</v>
      </c>
      <c r="E1519" t="s">
        <v>2346</v>
      </c>
      <c r="F1519" t="s">
        <v>2344</v>
      </c>
      <c r="G1519" t="s">
        <v>2344</v>
      </c>
      <c r="H1519">
        <v>0</v>
      </c>
      <c r="I1519" t="s">
        <v>2344</v>
      </c>
      <c r="J1519" t="str">
        <f t="shared" si="93"/>
        <v>Obesity</v>
      </c>
      <c r="K1519" t="str">
        <f t="shared" si="96"/>
        <v>Diabetes</v>
      </c>
      <c r="L1519">
        <v>27</v>
      </c>
      <c r="M1519" t="s">
        <v>2363</v>
      </c>
      <c r="N1519">
        <v>1963</v>
      </c>
      <c r="O1519" s="8">
        <f t="shared" si="94"/>
        <v>23281</v>
      </c>
      <c r="P1519" s="10">
        <v>12856.84</v>
      </c>
      <c r="Q1519" t="s">
        <v>2358</v>
      </c>
      <c r="R1519" t="s">
        <v>2358</v>
      </c>
      <c r="S1519" t="s">
        <v>2377</v>
      </c>
      <c r="T1519">
        <f t="shared" ca="1" si="95"/>
        <v>63</v>
      </c>
      <c r="U1519">
        <f>VLOOKUP($A1519,'Medical Examination'!$A:$Z,2,FALSE)</f>
        <v>32.200000000000003</v>
      </c>
    </row>
    <row r="1520" spans="1:21" ht="15.5" x14ac:dyDescent="0.35">
      <c r="A1520" s="2" t="s">
        <v>1520</v>
      </c>
      <c r="B1520" s="2" t="s">
        <v>4548</v>
      </c>
      <c r="C1520">
        <v>28.05</v>
      </c>
      <c r="D1520">
        <v>11.85</v>
      </c>
      <c r="E1520" t="s">
        <v>2346</v>
      </c>
      <c r="F1520" t="s">
        <v>2344</v>
      </c>
      <c r="G1520" t="s">
        <v>2344</v>
      </c>
      <c r="H1520">
        <v>0</v>
      </c>
      <c r="I1520" t="s">
        <v>2344</v>
      </c>
      <c r="J1520" t="str">
        <f t="shared" si="93"/>
        <v>Over weight</v>
      </c>
      <c r="K1520" t="str">
        <f t="shared" si="96"/>
        <v>Diabetes</v>
      </c>
      <c r="L1520">
        <v>6</v>
      </c>
      <c r="M1520" t="s">
        <v>2366</v>
      </c>
      <c r="N1520">
        <v>1984</v>
      </c>
      <c r="O1520" s="8">
        <f t="shared" si="94"/>
        <v>30900</v>
      </c>
      <c r="P1520" s="10">
        <v>12870.31</v>
      </c>
      <c r="Q1520" t="s">
        <v>2358</v>
      </c>
      <c r="R1520" t="s">
        <v>2358</v>
      </c>
      <c r="S1520" t="s">
        <v>2364</v>
      </c>
      <c r="T1520">
        <f t="shared" ca="1" si="95"/>
        <v>42</v>
      </c>
      <c r="U1520">
        <f>VLOOKUP($A1520,'Medical Examination'!$A:$Z,2,FALSE)</f>
        <v>28.05</v>
      </c>
    </row>
    <row r="1521" spans="1:21" ht="15.5" x14ac:dyDescent="0.35">
      <c r="A1521" s="2" t="s">
        <v>1521</v>
      </c>
      <c r="B1521" s="2" t="s">
        <v>4550</v>
      </c>
      <c r="C1521">
        <v>19</v>
      </c>
      <c r="D1521">
        <v>5.46</v>
      </c>
      <c r="E1521" t="s">
        <v>2346</v>
      </c>
      <c r="F1521" t="s">
        <v>2344</v>
      </c>
      <c r="G1521" t="s">
        <v>2344</v>
      </c>
      <c r="H1521">
        <v>1</v>
      </c>
      <c r="I1521" t="s">
        <v>2344</v>
      </c>
      <c r="J1521" t="str">
        <f t="shared" si="93"/>
        <v>Normal Weight</v>
      </c>
      <c r="K1521" t="str">
        <f t="shared" si="96"/>
        <v>Normal</v>
      </c>
      <c r="L1521">
        <v>9</v>
      </c>
      <c r="M1521" t="s">
        <v>2356</v>
      </c>
      <c r="N1521">
        <v>2004</v>
      </c>
      <c r="O1521" s="8">
        <f t="shared" si="94"/>
        <v>38177</v>
      </c>
      <c r="P1521" s="10">
        <v>12890.06</v>
      </c>
      <c r="Q1521" t="s">
        <v>2358</v>
      </c>
      <c r="R1521" t="s">
        <v>2361</v>
      </c>
      <c r="S1521" t="s">
        <v>2370</v>
      </c>
      <c r="T1521">
        <f t="shared" ca="1" si="95"/>
        <v>22</v>
      </c>
      <c r="U1521">
        <f>VLOOKUP($A1521,'Medical Examination'!$A:$Z,2,FALSE)</f>
        <v>19</v>
      </c>
    </row>
    <row r="1522" spans="1:21" ht="15.5" x14ac:dyDescent="0.35">
      <c r="A1522" s="2" t="s">
        <v>1522</v>
      </c>
      <c r="B1522" s="2" t="s">
        <v>4551</v>
      </c>
      <c r="C1522">
        <v>16.13</v>
      </c>
      <c r="D1522">
        <v>4.54</v>
      </c>
      <c r="E1522" t="s">
        <v>2346</v>
      </c>
      <c r="F1522" t="s">
        <v>2344</v>
      </c>
      <c r="G1522" t="s">
        <v>2344</v>
      </c>
      <c r="H1522">
        <v>1</v>
      </c>
      <c r="I1522" t="s">
        <v>2344</v>
      </c>
      <c r="J1522" t="str">
        <f t="shared" si="93"/>
        <v>Under Weight</v>
      </c>
      <c r="K1522" t="str">
        <f t="shared" si="96"/>
        <v>Normal</v>
      </c>
      <c r="L1522">
        <v>16</v>
      </c>
      <c r="M1522" t="s">
        <v>2366</v>
      </c>
      <c r="N1522">
        <v>1963</v>
      </c>
      <c r="O1522" s="8">
        <f t="shared" si="94"/>
        <v>23239</v>
      </c>
      <c r="P1522" s="10">
        <v>12913.99</v>
      </c>
      <c r="Q1522" t="s">
        <v>2358</v>
      </c>
      <c r="R1522" t="s">
        <v>2357</v>
      </c>
      <c r="S1522" t="s">
        <v>2371</v>
      </c>
      <c r="T1522">
        <f t="shared" ca="1" si="95"/>
        <v>63</v>
      </c>
      <c r="U1522">
        <f>VLOOKUP($A1522,'Medical Examination'!$A:$Z,2,FALSE)</f>
        <v>16.13</v>
      </c>
    </row>
    <row r="1523" spans="1:21" ht="15.5" x14ac:dyDescent="0.35">
      <c r="A1523" s="2" t="s">
        <v>1523</v>
      </c>
      <c r="B1523" s="2" t="s">
        <v>4552</v>
      </c>
      <c r="C1523">
        <v>18.77</v>
      </c>
      <c r="D1523">
        <v>11.98</v>
      </c>
      <c r="E1523" t="s">
        <v>2346</v>
      </c>
      <c r="F1523" t="s">
        <v>2344</v>
      </c>
      <c r="G1523" t="s">
        <v>2344</v>
      </c>
      <c r="H1523">
        <v>1</v>
      </c>
      <c r="I1523" t="s">
        <v>2344</v>
      </c>
      <c r="J1523" t="str">
        <f t="shared" si="93"/>
        <v>Normal Weight</v>
      </c>
      <c r="K1523" t="str">
        <f t="shared" si="96"/>
        <v>Diabetes</v>
      </c>
      <c r="L1523">
        <v>1</v>
      </c>
      <c r="M1523" t="s">
        <v>2363</v>
      </c>
      <c r="N1523">
        <v>1963</v>
      </c>
      <c r="O1523" s="8">
        <f t="shared" si="94"/>
        <v>23255</v>
      </c>
      <c r="P1523" s="10">
        <v>12925.89</v>
      </c>
      <c r="Q1523" t="s">
        <v>2358</v>
      </c>
      <c r="R1523" t="s">
        <v>2357</v>
      </c>
      <c r="S1523" t="s">
        <v>2359</v>
      </c>
      <c r="T1523">
        <f t="shared" ca="1" si="95"/>
        <v>63</v>
      </c>
      <c r="U1523">
        <f>VLOOKUP($A1523,'Medical Examination'!$A:$Z,2,FALSE)</f>
        <v>18.77</v>
      </c>
    </row>
    <row r="1524" spans="1:21" ht="15.5" x14ac:dyDescent="0.35">
      <c r="A1524" s="2" t="s">
        <v>1524</v>
      </c>
      <c r="B1524" s="2" t="s">
        <v>4553</v>
      </c>
      <c r="C1524">
        <v>28.88</v>
      </c>
      <c r="D1524">
        <v>6.59</v>
      </c>
      <c r="E1524" t="s">
        <v>2346</v>
      </c>
      <c r="F1524" t="s">
        <v>2344</v>
      </c>
      <c r="G1524" t="s">
        <v>2344</v>
      </c>
      <c r="H1524">
        <v>1</v>
      </c>
      <c r="I1524" t="s">
        <v>2344</v>
      </c>
      <c r="J1524" t="str">
        <f t="shared" si="93"/>
        <v>Over weight</v>
      </c>
      <c r="K1524" t="str">
        <f t="shared" si="96"/>
        <v>Diabetes</v>
      </c>
      <c r="L1524">
        <v>14</v>
      </c>
      <c r="M1524" t="s">
        <v>2366</v>
      </c>
      <c r="N1524">
        <v>1963</v>
      </c>
      <c r="O1524" s="8">
        <f t="shared" si="94"/>
        <v>23237</v>
      </c>
      <c r="P1524" s="10">
        <v>12928.79</v>
      </c>
      <c r="Q1524" t="s">
        <v>2358</v>
      </c>
      <c r="R1524" t="s">
        <v>2357</v>
      </c>
      <c r="S1524" t="s">
        <v>2359</v>
      </c>
      <c r="T1524">
        <f t="shared" ca="1" si="95"/>
        <v>63</v>
      </c>
      <c r="U1524">
        <f>VLOOKUP($A1524,'Medical Examination'!$A:$Z,2,FALSE)</f>
        <v>28.88</v>
      </c>
    </row>
    <row r="1525" spans="1:21" ht="15.5" x14ac:dyDescent="0.35">
      <c r="A1525" s="2" t="s">
        <v>1525</v>
      </c>
      <c r="B1525" s="2" t="s">
        <v>4554</v>
      </c>
      <c r="C1525">
        <v>27.55</v>
      </c>
      <c r="D1525">
        <v>10.83</v>
      </c>
      <c r="E1525" t="s">
        <v>2346</v>
      </c>
      <c r="F1525" t="s">
        <v>2344</v>
      </c>
      <c r="G1525" t="s">
        <v>2344</v>
      </c>
      <c r="H1525">
        <v>1</v>
      </c>
      <c r="I1525" t="s">
        <v>2344</v>
      </c>
      <c r="J1525" t="str">
        <f t="shared" si="93"/>
        <v>Over weight</v>
      </c>
      <c r="K1525" t="str">
        <f t="shared" si="96"/>
        <v>Diabetes</v>
      </c>
      <c r="L1525">
        <v>22</v>
      </c>
      <c r="M1525" t="s">
        <v>2365</v>
      </c>
      <c r="N1525">
        <v>1966</v>
      </c>
      <c r="O1525" s="8">
        <f t="shared" si="94"/>
        <v>24463</v>
      </c>
      <c r="P1525" s="10">
        <v>12949.16</v>
      </c>
      <c r="Q1525" t="s">
        <v>2358</v>
      </c>
      <c r="R1525" t="s">
        <v>2358</v>
      </c>
      <c r="S1525" t="s">
        <v>2359</v>
      </c>
      <c r="T1525">
        <f t="shared" ca="1" si="95"/>
        <v>60</v>
      </c>
      <c r="U1525">
        <f>VLOOKUP($A1525,'Medical Examination'!$A:$Z,2,FALSE)</f>
        <v>27.55</v>
      </c>
    </row>
    <row r="1526" spans="1:21" ht="15.5" x14ac:dyDescent="0.35">
      <c r="A1526" s="2" t="s">
        <v>1526</v>
      </c>
      <c r="B1526" s="2" t="s">
        <v>3755</v>
      </c>
      <c r="C1526">
        <v>15.6</v>
      </c>
      <c r="D1526">
        <v>8.6</v>
      </c>
      <c r="E1526" t="s">
        <v>2344</v>
      </c>
      <c r="F1526" t="s">
        <v>2344</v>
      </c>
      <c r="G1526" t="s">
        <v>2344</v>
      </c>
      <c r="H1526">
        <v>0</v>
      </c>
      <c r="I1526" t="s">
        <v>2344</v>
      </c>
      <c r="J1526" t="str">
        <f t="shared" si="93"/>
        <v>Under Weight</v>
      </c>
      <c r="K1526" t="str">
        <f t="shared" si="96"/>
        <v>Diabetes</v>
      </c>
      <c r="L1526">
        <v>20</v>
      </c>
      <c r="M1526" t="s">
        <v>2366</v>
      </c>
      <c r="N1526">
        <v>1961</v>
      </c>
      <c r="O1526" s="8">
        <f t="shared" si="94"/>
        <v>22513</v>
      </c>
      <c r="P1526" s="10">
        <v>12950.07</v>
      </c>
      <c r="Q1526" t="s">
        <v>2358</v>
      </c>
      <c r="R1526" t="s">
        <v>2361</v>
      </c>
      <c r="S1526" t="s">
        <v>2364</v>
      </c>
      <c r="T1526">
        <f t="shared" ca="1" si="95"/>
        <v>65</v>
      </c>
      <c r="U1526">
        <f>VLOOKUP($A1526,'Medical Examination'!$A:$Z,2,FALSE)</f>
        <v>15.6</v>
      </c>
    </row>
    <row r="1527" spans="1:21" ht="15.5" x14ac:dyDescent="0.35">
      <c r="A1527" s="2" t="s">
        <v>1527</v>
      </c>
      <c r="B1527" s="2" t="s">
        <v>4555</v>
      </c>
      <c r="C1527">
        <v>21.99</v>
      </c>
      <c r="D1527">
        <v>11.17</v>
      </c>
      <c r="E1527" t="s">
        <v>2344</v>
      </c>
      <c r="F1527" t="s">
        <v>2344</v>
      </c>
      <c r="G1527" t="s">
        <v>2344</v>
      </c>
      <c r="H1527">
        <v>0</v>
      </c>
      <c r="I1527" t="s">
        <v>2344</v>
      </c>
      <c r="J1527" t="str">
        <f t="shared" si="93"/>
        <v>Normal Weight</v>
      </c>
      <c r="K1527" t="str">
        <f t="shared" si="96"/>
        <v>Diabetes</v>
      </c>
      <c r="L1527">
        <v>4</v>
      </c>
      <c r="M1527" t="s">
        <v>2360</v>
      </c>
      <c r="N1527">
        <v>1960</v>
      </c>
      <c r="O1527" s="8">
        <f t="shared" si="94"/>
        <v>22224</v>
      </c>
      <c r="P1527" s="10">
        <v>12957.12</v>
      </c>
      <c r="Q1527" t="s">
        <v>2358</v>
      </c>
      <c r="R1527" t="s">
        <v>2361</v>
      </c>
      <c r="S1527" t="s">
        <v>2368</v>
      </c>
      <c r="T1527">
        <f t="shared" ca="1" si="95"/>
        <v>66</v>
      </c>
      <c r="U1527">
        <f>VLOOKUP($A1527,'Medical Examination'!$A:$Z,2,FALSE)</f>
        <v>21.99</v>
      </c>
    </row>
    <row r="1528" spans="1:21" ht="15.5" x14ac:dyDescent="0.35">
      <c r="A1528" s="2" t="s">
        <v>1528</v>
      </c>
      <c r="B1528" s="2" t="s">
        <v>4556</v>
      </c>
      <c r="C1528">
        <v>34.85</v>
      </c>
      <c r="D1528">
        <v>5.75</v>
      </c>
      <c r="E1528" t="s">
        <v>2344</v>
      </c>
      <c r="F1528" t="s">
        <v>2344</v>
      </c>
      <c r="G1528" t="s">
        <v>2344</v>
      </c>
      <c r="H1528">
        <v>0</v>
      </c>
      <c r="I1528" t="s">
        <v>2344</v>
      </c>
      <c r="J1528" t="str">
        <f t="shared" si="93"/>
        <v>Obesity</v>
      </c>
      <c r="K1528" t="str">
        <f t="shared" si="96"/>
        <v>Prediabetes</v>
      </c>
      <c r="L1528">
        <v>22</v>
      </c>
      <c r="M1528" t="s">
        <v>2362</v>
      </c>
      <c r="N1528">
        <v>1960</v>
      </c>
      <c r="O1528" s="8">
        <f t="shared" si="94"/>
        <v>22089</v>
      </c>
      <c r="P1528" s="10">
        <v>12979.36</v>
      </c>
      <c r="Q1528" t="s">
        <v>2358</v>
      </c>
      <c r="R1528" t="s">
        <v>2361</v>
      </c>
      <c r="S1528" t="s">
        <v>2368</v>
      </c>
      <c r="T1528">
        <f t="shared" ca="1" si="95"/>
        <v>66</v>
      </c>
      <c r="U1528">
        <f>VLOOKUP($A1528,'Medical Examination'!$A:$Z,2,FALSE)</f>
        <v>34.85</v>
      </c>
    </row>
    <row r="1529" spans="1:21" ht="15.5" x14ac:dyDescent="0.35">
      <c r="A1529" s="2" t="s">
        <v>1529</v>
      </c>
      <c r="B1529" s="2" t="s">
        <v>4558</v>
      </c>
      <c r="C1529">
        <v>24.51</v>
      </c>
      <c r="D1529">
        <v>4.83</v>
      </c>
      <c r="E1529" t="s">
        <v>2346</v>
      </c>
      <c r="F1529" t="s">
        <v>2344</v>
      </c>
      <c r="G1529" t="s">
        <v>2346</v>
      </c>
      <c r="H1529">
        <v>1</v>
      </c>
      <c r="I1529" t="s">
        <v>2344</v>
      </c>
      <c r="J1529" t="str">
        <f t="shared" si="93"/>
        <v>Normal Weight</v>
      </c>
      <c r="K1529" t="str">
        <f t="shared" si="96"/>
        <v>Normal</v>
      </c>
      <c r="L1529">
        <v>23</v>
      </c>
      <c r="M1529" t="s">
        <v>2363</v>
      </c>
      <c r="N1529">
        <v>1960</v>
      </c>
      <c r="O1529" s="8">
        <f t="shared" si="94"/>
        <v>22182</v>
      </c>
      <c r="P1529" s="10">
        <v>12981.35</v>
      </c>
      <c r="Q1529" t="s">
        <v>2358</v>
      </c>
      <c r="R1529" t="s">
        <v>2358</v>
      </c>
      <c r="S1529" t="s">
        <v>2359</v>
      </c>
      <c r="T1529">
        <f t="shared" ca="1" si="95"/>
        <v>66</v>
      </c>
      <c r="U1529">
        <f>VLOOKUP($A1529,'Medical Examination'!$A:$Z,2,FALSE)</f>
        <v>24.51</v>
      </c>
    </row>
    <row r="1530" spans="1:21" ht="15.5" x14ac:dyDescent="0.35">
      <c r="A1530" s="2" t="s">
        <v>1530</v>
      </c>
      <c r="B1530" s="2" t="s">
        <v>4559</v>
      </c>
      <c r="C1530">
        <v>19.399999999999999</v>
      </c>
      <c r="D1530">
        <v>11.93</v>
      </c>
      <c r="E1530" t="s">
        <v>2344</v>
      </c>
      <c r="F1530" t="s">
        <v>2344</v>
      </c>
      <c r="G1530" t="s">
        <v>2344</v>
      </c>
      <c r="H1530">
        <v>0</v>
      </c>
      <c r="I1530" t="s">
        <v>2344</v>
      </c>
      <c r="J1530" t="str">
        <f t="shared" si="93"/>
        <v>Normal Weight</v>
      </c>
      <c r="K1530" t="str">
        <f t="shared" si="96"/>
        <v>Diabetes</v>
      </c>
      <c r="L1530">
        <v>28</v>
      </c>
      <c r="M1530" t="s">
        <v>2360</v>
      </c>
      <c r="N1530">
        <v>1960</v>
      </c>
      <c r="O1530" s="8">
        <f t="shared" si="94"/>
        <v>22248</v>
      </c>
      <c r="P1530" s="10">
        <v>12982.87</v>
      </c>
      <c r="Q1530" t="s">
        <v>2358</v>
      </c>
      <c r="R1530" t="s">
        <v>2361</v>
      </c>
      <c r="S1530" t="s">
        <v>2359</v>
      </c>
      <c r="T1530">
        <f t="shared" ca="1" si="95"/>
        <v>66</v>
      </c>
      <c r="U1530">
        <f>VLOOKUP($A1530,'Medical Examination'!$A:$Z,2,FALSE)</f>
        <v>19.399999999999999</v>
      </c>
    </row>
    <row r="1531" spans="1:21" ht="15.5" x14ac:dyDescent="0.35">
      <c r="A1531" s="2" t="s">
        <v>1531</v>
      </c>
      <c r="B1531" s="2" t="s">
        <v>2940</v>
      </c>
      <c r="C1531">
        <v>15.1</v>
      </c>
      <c r="D1531">
        <v>8.41</v>
      </c>
      <c r="E1531" t="s">
        <v>2344</v>
      </c>
      <c r="F1531" t="s">
        <v>2344</v>
      </c>
      <c r="G1531" t="s">
        <v>2344</v>
      </c>
      <c r="H1531">
        <v>0</v>
      </c>
      <c r="I1531" t="s">
        <v>2344</v>
      </c>
      <c r="J1531" t="str">
        <f t="shared" si="93"/>
        <v>Under Weight</v>
      </c>
      <c r="K1531" t="str">
        <f t="shared" si="96"/>
        <v>Diabetes</v>
      </c>
      <c r="L1531">
        <v>27</v>
      </c>
      <c r="M1531" t="s">
        <v>2360</v>
      </c>
      <c r="N1531">
        <v>1979</v>
      </c>
      <c r="O1531" s="8">
        <f t="shared" si="94"/>
        <v>29186</v>
      </c>
      <c r="P1531" s="10">
        <v>12994.12</v>
      </c>
      <c r="Q1531" t="s">
        <v>2358</v>
      </c>
      <c r="R1531" t="s">
        <v>2357</v>
      </c>
      <c r="S1531" t="s">
        <v>2380</v>
      </c>
      <c r="T1531">
        <f t="shared" ca="1" si="95"/>
        <v>47</v>
      </c>
      <c r="U1531">
        <f>VLOOKUP($A1531,'Medical Examination'!$A:$Z,2,FALSE)</f>
        <v>15.1</v>
      </c>
    </row>
    <row r="1532" spans="1:21" ht="15.5" x14ac:dyDescent="0.35">
      <c r="A1532" s="2" t="s">
        <v>1532</v>
      </c>
      <c r="B1532" s="2" t="s">
        <v>4560</v>
      </c>
      <c r="C1532">
        <v>23.37</v>
      </c>
      <c r="D1532">
        <v>5.59</v>
      </c>
      <c r="E1532" t="s">
        <v>2346</v>
      </c>
      <c r="F1532" t="s">
        <v>2344</v>
      </c>
      <c r="G1532" t="s">
        <v>2344</v>
      </c>
      <c r="H1532">
        <v>0</v>
      </c>
      <c r="I1532" t="s">
        <v>2344</v>
      </c>
      <c r="J1532" t="str">
        <f t="shared" si="93"/>
        <v>Normal Weight</v>
      </c>
      <c r="K1532" t="str">
        <f t="shared" si="96"/>
        <v>Normal</v>
      </c>
      <c r="L1532">
        <v>30</v>
      </c>
      <c r="M1532" t="s">
        <v>2367</v>
      </c>
      <c r="N1532">
        <v>1981</v>
      </c>
      <c r="O1532" s="8">
        <f t="shared" si="94"/>
        <v>29889</v>
      </c>
      <c r="P1532" s="10">
        <v>13002.91</v>
      </c>
      <c r="Q1532" t="s">
        <v>2358</v>
      </c>
      <c r="R1532" t="s">
        <v>2361</v>
      </c>
      <c r="S1532" t="s">
        <v>2364</v>
      </c>
      <c r="T1532">
        <f t="shared" ca="1" si="95"/>
        <v>45</v>
      </c>
      <c r="U1532">
        <f>VLOOKUP($A1532,'Medical Examination'!$A:$Z,2,FALSE)</f>
        <v>23.37</v>
      </c>
    </row>
    <row r="1533" spans="1:21" ht="15.5" x14ac:dyDescent="0.35">
      <c r="A1533" s="2" t="s">
        <v>1533</v>
      </c>
      <c r="B1533" s="2" t="s">
        <v>4561</v>
      </c>
      <c r="C1533">
        <v>42.4</v>
      </c>
      <c r="D1533">
        <v>4.0599999999999996</v>
      </c>
      <c r="E1533" t="s">
        <v>2344</v>
      </c>
      <c r="F1533" t="s">
        <v>2344</v>
      </c>
      <c r="G1533" t="s">
        <v>2344</v>
      </c>
      <c r="H1533">
        <v>0</v>
      </c>
      <c r="I1533" t="s">
        <v>2344</v>
      </c>
      <c r="J1533" t="str">
        <f t="shared" si="93"/>
        <v>Obesity</v>
      </c>
      <c r="K1533" t="str">
        <f t="shared" si="96"/>
        <v>Normal</v>
      </c>
      <c r="L1533">
        <v>24</v>
      </c>
      <c r="M1533" t="s">
        <v>2362</v>
      </c>
      <c r="N1533">
        <v>1962</v>
      </c>
      <c r="O1533" s="8">
        <f t="shared" si="94"/>
        <v>22821</v>
      </c>
      <c r="P1533" s="10">
        <v>13004.95</v>
      </c>
      <c r="Q1533" t="s">
        <v>2358</v>
      </c>
      <c r="R1533" t="s">
        <v>2361</v>
      </c>
      <c r="S1533" t="s">
        <v>2364</v>
      </c>
      <c r="T1533">
        <f t="shared" ca="1" si="95"/>
        <v>64</v>
      </c>
      <c r="U1533">
        <f>VLOOKUP($A1533,'Medical Examination'!$A:$Z,2,FALSE)</f>
        <v>42.4</v>
      </c>
    </row>
    <row r="1534" spans="1:21" ht="15.5" x14ac:dyDescent="0.35">
      <c r="A1534" s="2" t="s">
        <v>1534</v>
      </c>
      <c r="B1534" s="2" t="s">
        <v>4562</v>
      </c>
      <c r="C1534">
        <v>28.405000000000001</v>
      </c>
      <c r="D1534">
        <v>7.02</v>
      </c>
      <c r="E1534" t="s">
        <v>2346</v>
      </c>
      <c r="F1534" t="s">
        <v>2344</v>
      </c>
      <c r="G1534" t="s">
        <v>2344</v>
      </c>
      <c r="H1534">
        <v>0</v>
      </c>
      <c r="I1534" t="s">
        <v>2344</v>
      </c>
      <c r="J1534" t="str">
        <f t="shared" si="93"/>
        <v>Over weight</v>
      </c>
      <c r="K1534" t="str">
        <f t="shared" si="96"/>
        <v>Diabetes</v>
      </c>
      <c r="L1534">
        <v>13</v>
      </c>
      <c r="M1534" t="s">
        <v>2365</v>
      </c>
      <c r="N1534">
        <v>1969</v>
      </c>
      <c r="O1534" s="8">
        <f t="shared" si="94"/>
        <v>25550</v>
      </c>
      <c r="P1534" s="10">
        <v>13008.07</v>
      </c>
      <c r="Q1534" t="s">
        <v>2358</v>
      </c>
      <c r="R1534" t="s">
        <v>2358</v>
      </c>
      <c r="S1534" t="s">
        <v>2364</v>
      </c>
      <c r="T1534">
        <f t="shared" ca="1" si="95"/>
        <v>57</v>
      </c>
      <c r="U1534">
        <f>VLOOKUP($A1534,'Medical Examination'!$A:$Z,2,FALSE)</f>
        <v>28.405000000000001</v>
      </c>
    </row>
    <row r="1535" spans="1:21" ht="15.5" x14ac:dyDescent="0.35">
      <c r="A1535" s="2" t="s">
        <v>1535</v>
      </c>
      <c r="B1535" s="2" t="s">
        <v>4563</v>
      </c>
      <c r="C1535">
        <v>23.4</v>
      </c>
      <c r="D1535">
        <v>4.47</v>
      </c>
      <c r="E1535" t="s">
        <v>2344</v>
      </c>
      <c r="F1535" t="s">
        <v>2344</v>
      </c>
      <c r="G1535" t="s">
        <v>2344</v>
      </c>
      <c r="H1535">
        <v>0</v>
      </c>
      <c r="I1535" t="s">
        <v>2344</v>
      </c>
      <c r="J1535" t="str">
        <f t="shared" si="93"/>
        <v>Normal Weight</v>
      </c>
      <c r="K1535" t="str">
        <f t="shared" si="96"/>
        <v>Normal</v>
      </c>
      <c r="L1535">
        <v>27</v>
      </c>
      <c r="M1535" t="s">
        <v>2363</v>
      </c>
      <c r="N1535">
        <v>1972</v>
      </c>
      <c r="O1535" s="8">
        <f t="shared" si="94"/>
        <v>26569</v>
      </c>
      <c r="P1535" s="10">
        <v>13010.86</v>
      </c>
      <c r="Q1535" t="s">
        <v>2358</v>
      </c>
      <c r="R1535" t="s">
        <v>2357</v>
      </c>
      <c r="S1535" t="s">
        <v>2364</v>
      </c>
      <c r="T1535">
        <f t="shared" ca="1" si="95"/>
        <v>54</v>
      </c>
      <c r="U1535">
        <f>VLOOKUP($A1535,'Medical Examination'!$A:$Z,2,FALSE)</f>
        <v>23.4</v>
      </c>
    </row>
    <row r="1536" spans="1:21" ht="15.5" x14ac:dyDescent="0.35">
      <c r="A1536" s="2" t="s">
        <v>1536</v>
      </c>
      <c r="B1536" s="2" t="s">
        <v>4564</v>
      </c>
      <c r="C1536">
        <v>33.44</v>
      </c>
      <c r="D1536">
        <v>4.54</v>
      </c>
      <c r="E1536" t="s">
        <v>2344</v>
      </c>
      <c r="F1536" t="s">
        <v>2344</v>
      </c>
      <c r="G1536" t="s">
        <v>2344</v>
      </c>
      <c r="H1536">
        <v>0</v>
      </c>
      <c r="I1536" t="s">
        <v>2344</v>
      </c>
      <c r="J1536" t="str">
        <f t="shared" si="93"/>
        <v>Obesity</v>
      </c>
      <c r="K1536" t="str">
        <f t="shared" si="96"/>
        <v>Normal</v>
      </c>
      <c r="L1536">
        <v>20</v>
      </c>
      <c r="M1536" t="s">
        <v>2356</v>
      </c>
      <c r="N1536">
        <v>1962</v>
      </c>
      <c r="O1536" s="8">
        <f t="shared" si="94"/>
        <v>22847</v>
      </c>
      <c r="P1536" s="10">
        <v>13012.21</v>
      </c>
      <c r="Q1536" t="s">
        <v>2358</v>
      </c>
      <c r="R1536" t="s">
        <v>2361</v>
      </c>
      <c r="S1536" t="s">
        <v>2364</v>
      </c>
      <c r="T1536">
        <f t="shared" ca="1" si="95"/>
        <v>64</v>
      </c>
      <c r="U1536">
        <f>VLOOKUP($A1536,'Medical Examination'!$A:$Z,2,FALSE)</f>
        <v>33.44</v>
      </c>
    </row>
    <row r="1537" spans="1:21" ht="15.5" x14ac:dyDescent="0.35">
      <c r="A1537" s="2" t="s">
        <v>1537</v>
      </c>
      <c r="B1537" s="2" t="s">
        <v>4565</v>
      </c>
      <c r="C1537">
        <v>21.12</v>
      </c>
      <c r="D1537">
        <v>4.99</v>
      </c>
      <c r="E1537" t="s">
        <v>2344</v>
      </c>
      <c r="F1537" t="s">
        <v>2344</v>
      </c>
      <c r="G1537" t="s">
        <v>2344</v>
      </c>
      <c r="H1537">
        <v>1</v>
      </c>
      <c r="I1537" t="s">
        <v>2344</v>
      </c>
      <c r="J1537" t="str">
        <f t="shared" si="93"/>
        <v>Normal Weight</v>
      </c>
      <c r="K1537" t="str">
        <f t="shared" si="96"/>
        <v>Normal</v>
      </c>
      <c r="L1537">
        <v>23</v>
      </c>
      <c r="M1537" t="s">
        <v>2363</v>
      </c>
      <c r="N1537">
        <v>1964</v>
      </c>
      <c r="O1537" s="8">
        <f t="shared" si="94"/>
        <v>23643</v>
      </c>
      <c r="P1537" s="10">
        <v>13019.16</v>
      </c>
      <c r="Q1537" t="s">
        <v>2358</v>
      </c>
      <c r="R1537" t="s">
        <v>2361</v>
      </c>
      <c r="S1537" t="s">
        <v>2374</v>
      </c>
      <c r="T1537">
        <f t="shared" ca="1" si="95"/>
        <v>62</v>
      </c>
      <c r="U1537">
        <f>VLOOKUP($A1537,'Medical Examination'!$A:$Z,2,FALSE)</f>
        <v>21.12</v>
      </c>
    </row>
    <row r="1538" spans="1:21" ht="15.5" x14ac:dyDescent="0.35">
      <c r="A1538" s="2" t="s">
        <v>1538</v>
      </c>
      <c r="B1538" s="2" t="s">
        <v>4566</v>
      </c>
      <c r="C1538">
        <v>18.48</v>
      </c>
      <c r="D1538">
        <v>10.84</v>
      </c>
      <c r="E1538" t="s">
        <v>2346</v>
      </c>
      <c r="F1538" t="s">
        <v>2344</v>
      </c>
      <c r="G1538" t="s">
        <v>2344</v>
      </c>
      <c r="H1538">
        <v>1</v>
      </c>
      <c r="I1538" t="s">
        <v>2344</v>
      </c>
      <c r="J1538" t="str">
        <f t="shared" si="93"/>
        <v>Under Weight</v>
      </c>
      <c r="K1538" t="str">
        <f t="shared" si="96"/>
        <v>Diabetes</v>
      </c>
      <c r="L1538">
        <v>4</v>
      </c>
      <c r="M1538" t="s">
        <v>2360</v>
      </c>
      <c r="N1538">
        <v>1965</v>
      </c>
      <c r="O1538" s="8">
        <f t="shared" si="94"/>
        <v>24050</v>
      </c>
      <c r="P1538" s="10">
        <v>13023.93</v>
      </c>
      <c r="Q1538" t="s">
        <v>2358</v>
      </c>
      <c r="R1538" t="s">
        <v>2357</v>
      </c>
      <c r="S1538" t="s">
        <v>2373</v>
      </c>
      <c r="T1538">
        <f t="shared" ca="1" si="95"/>
        <v>61</v>
      </c>
      <c r="U1538">
        <f>VLOOKUP($A1538,'Medical Examination'!$A:$Z,2,FALSE)</f>
        <v>18.48</v>
      </c>
    </row>
    <row r="1539" spans="1:21" ht="15.5" x14ac:dyDescent="0.35">
      <c r="A1539" s="2" t="s">
        <v>1539</v>
      </c>
      <c r="B1539" s="2" t="s">
        <v>4567</v>
      </c>
      <c r="C1539">
        <v>16.815000000000001</v>
      </c>
      <c r="D1539">
        <v>5.63</v>
      </c>
      <c r="E1539" t="s">
        <v>2344</v>
      </c>
      <c r="F1539" t="s">
        <v>2344</v>
      </c>
      <c r="G1539" t="s">
        <v>2344</v>
      </c>
      <c r="H1539">
        <v>1</v>
      </c>
      <c r="I1539" t="s">
        <v>2344</v>
      </c>
      <c r="J1539" t="str">
        <f t="shared" ref="J1539:J1602" si="97">IF(C1539&lt;18.5,"Under Weight",IF(C1539&lt;25,"Normal Weight",IF(C1539&lt;30,"Over weight","Obesity")))</f>
        <v>Under Weight</v>
      </c>
      <c r="K1539" t="str">
        <f t="shared" si="96"/>
        <v>Normal</v>
      </c>
      <c r="L1539">
        <v>9</v>
      </c>
      <c r="M1539" t="s">
        <v>2360</v>
      </c>
      <c r="N1539">
        <v>1961</v>
      </c>
      <c r="O1539" s="8">
        <f t="shared" ref="O1539:O1602" si="98">DATE(N1539,MONTH(1&amp;M1539),L1539)</f>
        <v>22594</v>
      </c>
      <c r="P1539" s="10">
        <v>13041.92</v>
      </c>
      <c r="Q1539" t="s">
        <v>2358</v>
      </c>
      <c r="R1539" t="s">
        <v>2361</v>
      </c>
      <c r="S1539" t="s">
        <v>2368</v>
      </c>
      <c r="T1539">
        <f t="shared" ref="T1539:T1602" ca="1" si="99">YEAR(TODAY())-YEAR(O1539)</f>
        <v>65</v>
      </c>
      <c r="U1539">
        <f>VLOOKUP($A1539,'Medical Examination'!$A:$Z,2,FALSE)</f>
        <v>16.815000000000001</v>
      </c>
    </row>
    <row r="1540" spans="1:21" ht="15.5" x14ac:dyDescent="0.35">
      <c r="A1540" s="2" t="s">
        <v>1540</v>
      </c>
      <c r="B1540" s="2" t="s">
        <v>4568</v>
      </c>
      <c r="C1540">
        <v>26.72</v>
      </c>
      <c r="D1540">
        <v>4.1399999999999997</v>
      </c>
      <c r="E1540" t="s">
        <v>2344</v>
      </c>
      <c r="F1540" t="s">
        <v>2344</v>
      </c>
      <c r="G1540" t="s">
        <v>2344</v>
      </c>
      <c r="H1540">
        <v>0</v>
      </c>
      <c r="I1540" t="s">
        <v>2344</v>
      </c>
      <c r="J1540" t="str">
        <f t="shared" si="97"/>
        <v>Over weight</v>
      </c>
      <c r="K1540" t="str">
        <f t="shared" si="96"/>
        <v>Normal</v>
      </c>
      <c r="L1540">
        <v>23</v>
      </c>
      <c r="M1540" t="s">
        <v>2363</v>
      </c>
      <c r="N1540">
        <v>1969</v>
      </c>
      <c r="O1540" s="8">
        <f t="shared" si="98"/>
        <v>25469</v>
      </c>
      <c r="P1540" s="10">
        <v>13044.41</v>
      </c>
      <c r="Q1540" t="s">
        <v>2358</v>
      </c>
      <c r="R1540" t="s">
        <v>2361</v>
      </c>
      <c r="S1540" t="s">
        <v>2364</v>
      </c>
      <c r="T1540">
        <f t="shared" ca="1" si="99"/>
        <v>57</v>
      </c>
      <c r="U1540">
        <f>VLOOKUP($A1540,'Medical Examination'!$A:$Z,2,FALSE)</f>
        <v>26.72</v>
      </c>
    </row>
    <row r="1541" spans="1:21" ht="15.5" x14ac:dyDescent="0.35">
      <c r="A1541" s="2" t="s">
        <v>1541</v>
      </c>
      <c r="B1541" s="2" t="s">
        <v>4569</v>
      </c>
      <c r="C1541">
        <v>41.42</v>
      </c>
      <c r="D1541">
        <v>5.17</v>
      </c>
      <c r="E1541" t="s">
        <v>2344</v>
      </c>
      <c r="F1541" t="s">
        <v>2344</v>
      </c>
      <c r="G1541" t="s">
        <v>2346</v>
      </c>
      <c r="H1541">
        <v>1</v>
      </c>
      <c r="I1541" t="s">
        <v>2344</v>
      </c>
      <c r="J1541" t="str">
        <f t="shared" si="97"/>
        <v>Obesity</v>
      </c>
      <c r="K1541" t="str">
        <f t="shared" si="96"/>
        <v>Normal</v>
      </c>
      <c r="L1541">
        <v>6</v>
      </c>
      <c r="M1541" t="s">
        <v>2366</v>
      </c>
      <c r="N1541">
        <v>1967</v>
      </c>
      <c r="O1541" s="8">
        <f t="shared" si="98"/>
        <v>24690</v>
      </c>
      <c r="P1541" s="10">
        <v>13047.33</v>
      </c>
      <c r="Q1541" t="s">
        <v>2358</v>
      </c>
      <c r="R1541" t="s">
        <v>2358</v>
      </c>
      <c r="S1541" t="s">
        <v>2374</v>
      </c>
      <c r="T1541">
        <f t="shared" ca="1" si="99"/>
        <v>59</v>
      </c>
      <c r="U1541">
        <f>VLOOKUP($A1541,'Medical Examination'!$A:$Z,2,FALSE)</f>
        <v>41.42</v>
      </c>
    </row>
    <row r="1542" spans="1:21" ht="15.5" x14ac:dyDescent="0.35">
      <c r="A1542" s="2" t="s">
        <v>1542</v>
      </c>
      <c r="B1542" s="2" t="s">
        <v>4571</v>
      </c>
      <c r="C1542">
        <v>20.69</v>
      </c>
      <c r="D1542">
        <v>6.93</v>
      </c>
      <c r="E1542" t="s">
        <v>2344</v>
      </c>
      <c r="F1542" t="s">
        <v>2344</v>
      </c>
      <c r="G1542" t="s">
        <v>2344</v>
      </c>
      <c r="H1542">
        <v>1</v>
      </c>
      <c r="I1542" t="s">
        <v>2344</v>
      </c>
      <c r="J1542" t="str">
        <f t="shared" si="97"/>
        <v>Normal Weight</v>
      </c>
      <c r="K1542" t="str">
        <f t="shared" si="96"/>
        <v>Diabetes</v>
      </c>
      <c r="L1542">
        <v>26</v>
      </c>
      <c r="M1542" t="s">
        <v>2367</v>
      </c>
      <c r="N1542">
        <v>1985</v>
      </c>
      <c r="O1542" s="8">
        <f t="shared" si="98"/>
        <v>31346</v>
      </c>
      <c r="P1542" s="10">
        <v>13051.22</v>
      </c>
      <c r="Q1542" t="s">
        <v>2358</v>
      </c>
      <c r="R1542" t="s">
        <v>2361</v>
      </c>
      <c r="S1542" t="s">
        <v>2380</v>
      </c>
      <c r="T1542">
        <f t="shared" ca="1" si="99"/>
        <v>41</v>
      </c>
      <c r="U1542">
        <f>VLOOKUP($A1542,'Medical Examination'!$A:$Z,2,FALSE)</f>
        <v>20.69</v>
      </c>
    </row>
    <row r="1543" spans="1:21" ht="15.5" x14ac:dyDescent="0.35">
      <c r="A1543" s="2" t="s">
        <v>1543</v>
      </c>
      <c r="B1543" s="2" t="s">
        <v>4572</v>
      </c>
      <c r="C1543">
        <v>41.23</v>
      </c>
      <c r="D1543">
        <v>4.24</v>
      </c>
      <c r="E1543" t="s">
        <v>2344</v>
      </c>
      <c r="F1543" t="s">
        <v>2344</v>
      </c>
      <c r="G1543" t="s">
        <v>2344</v>
      </c>
      <c r="H1543">
        <v>0</v>
      </c>
      <c r="I1543" t="s">
        <v>2344</v>
      </c>
      <c r="J1543" t="str">
        <f t="shared" si="97"/>
        <v>Obesity</v>
      </c>
      <c r="K1543" t="str">
        <f t="shared" si="96"/>
        <v>Normal</v>
      </c>
      <c r="L1543">
        <v>6</v>
      </c>
      <c r="M1543" t="s">
        <v>2360</v>
      </c>
      <c r="N1543">
        <v>1961</v>
      </c>
      <c r="O1543" s="8">
        <f t="shared" si="98"/>
        <v>22591</v>
      </c>
      <c r="P1543" s="10">
        <v>13063.88</v>
      </c>
      <c r="Q1543" t="s">
        <v>2358</v>
      </c>
      <c r="R1543" t="s">
        <v>2357</v>
      </c>
      <c r="S1543" t="s">
        <v>2368</v>
      </c>
      <c r="T1543">
        <f t="shared" ca="1" si="99"/>
        <v>65</v>
      </c>
      <c r="U1543">
        <f>VLOOKUP($A1543,'Medical Examination'!$A:$Z,2,FALSE)</f>
        <v>41.23</v>
      </c>
    </row>
    <row r="1544" spans="1:21" ht="15.5" x14ac:dyDescent="0.35">
      <c r="A1544" s="2" t="s">
        <v>1544</v>
      </c>
      <c r="B1544" s="2" t="s">
        <v>4573</v>
      </c>
      <c r="C1544">
        <v>29.9</v>
      </c>
      <c r="D1544">
        <v>5.91</v>
      </c>
      <c r="E1544" t="s">
        <v>2344</v>
      </c>
      <c r="F1544" t="s">
        <v>2344</v>
      </c>
      <c r="G1544" t="s">
        <v>2344</v>
      </c>
      <c r="H1544">
        <v>0</v>
      </c>
      <c r="I1544" t="s">
        <v>2344</v>
      </c>
      <c r="J1544" t="str">
        <f t="shared" si="97"/>
        <v>Over weight</v>
      </c>
      <c r="K1544" t="str">
        <f t="shared" si="96"/>
        <v>Prediabetes</v>
      </c>
      <c r="L1544">
        <v>17</v>
      </c>
      <c r="M1544" t="s">
        <v>2356</v>
      </c>
      <c r="N1544">
        <v>1978</v>
      </c>
      <c r="O1544" s="8">
        <f t="shared" si="98"/>
        <v>28688</v>
      </c>
      <c r="P1544" s="10">
        <v>13101.74</v>
      </c>
      <c r="Q1544" t="s">
        <v>2358</v>
      </c>
      <c r="R1544" t="s">
        <v>2357</v>
      </c>
      <c r="S1544" t="s">
        <v>2380</v>
      </c>
      <c r="T1544">
        <f t="shared" ca="1" si="99"/>
        <v>48</v>
      </c>
      <c r="U1544">
        <f>VLOOKUP($A1544,'Medical Examination'!$A:$Z,2,FALSE)</f>
        <v>29.9</v>
      </c>
    </row>
    <row r="1545" spans="1:21" ht="15.5" x14ac:dyDescent="0.35">
      <c r="A1545" s="2" t="s">
        <v>1545</v>
      </c>
      <c r="B1545" s="2" t="s">
        <v>4574</v>
      </c>
      <c r="C1545">
        <v>34.104999999999997</v>
      </c>
      <c r="D1545">
        <v>5.93</v>
      </c>
      <c r="E1545" t="s">
        <v>2344</v>
      </c>
      <c r="F1545" t="s">
        <v>2344</v>
      </c>
      <c r="G1545" t="s">
        <v>2344</v>
      </c>
      <c r="H1545">
        <v>0</v>
      </c>
      <c r="I1545" t="s">
        <v>2344</v>
      </c>
      <c r="J1545" t="str">
        <f t="shared" si="97"/>
        <v>Obesity</v>
      </c>
      <c r="K1545" t="str">
        <f t="shared" si="96"/>
        <v>Prediabetes</v>
      </c>
      <c r="L1545">
        <v>30</v>
      </c>
      <c r="M1545" t="s">
        <v>2367</v>
      </c>
      <c r="N1545">
        <v>1971</v>
      </c>
      <c r="O1545" s="8">
        <f t="shared" si="98"/>
        <v>26236</v>
      </c>
      <c r="P1545" s="10">
        <v>13110.79</v>
      </c>
      <c r="Q1545" t="s">
        <v>2358</v>
      </c>
      <c r="R1545" t="s">
        <v>2357</v>
      </c>
      <c r="S1545" t="s">
        <v>2368</v>
      </c>
      <c r="T1545">
        <f t="shared" ca="1" si="99"/>
        <v>55</v>
      </c>
      <c r="U1545">
        <f>VLOOKUP($A1545,'Medical Examination'!$A:$Z,2,FALSE)</f>
        <v>34.104999999999997</v>
      </c>
    </row>
    <row r="1546" spans="1:21" ht="15.5" x14ac:dyDescent="0.35">
      <c r="A1546" s="2" t="s">
        <v>1546</v>
      </c>
      <c r="B1546" s="2" t="s">
        <v>4575</v>
      </c>
      <c r="C1546">
        <v>24.97</v>
      </c>
      <c r="D1546">
        <v>5.66</v>
      </c>
      <c r="E1546" t="s">
        <v>2344</v>
      </c>
      <c r="F1546" t="s">
        <v>2344</v>
      </c>
      <c r="G1546" t="s">
        <v>2344</v>
      </c>
      <c r="H1546">
        <v>0</v>
      </c>
      <c r="I1546" t="s">
        <v>2344</v>
      </c>
      <c r="J1546" t="str">
        <f t="shared" si="97"/>
        <v>Normal Weight</v>
      </c>
      <c r="K1546" t="str">
        <f t="shared" si="96"/>
        <v>Normal</v>
      </c>
      <c r="L1546">
        <v>2</v>
      </c>
      <c r="M1546" t="s">
        <v>2366</v>
      </c>
      <c r="N1546">
        <v>1962</v>
      </c>
      <c r="O1546" s="8">
        <f t="shared" si="98"/>
        <v>22860</v>
      </c>
      <c r="P1546" s="10">
        <v>13112.6</v>
      </c>
      <c r="Q1546" t="s">
        <v>2358</v>
      </c>
      <c r="R1546" t="s">
        <v>2358</v>
      </c>
      <c r="S1546" t="s">
        <v>2364</v>
      </c>
      <c r="T1546">
        <f t="shared" ca="1" si="99"/>
        <v>64</v>
      </c>
      <c r="U1546">
        <f>VLOOKUP($A1546,'Medical Examination'!$A:$Z,2,FALSE)</f>
        <v>24.97</v>
      </c>
    </row>
    <row r="1547" spans="1:21" ht="15.5" x14ac:dyDescent="0.35">
      <c r="A1547" s="2" t="s">
        <v>1547</v>
      </c>
      <c r="B1547" s="2" t="s">
        <v>4577</v>
      </c>
      <c r="C1547">
        <v>34.799999999999997</v>
      </c>
      <c r="D1547">
        <v>4.1900000000000004</v>
      </c>
      <c r="E1547" t="s">
        <v>2344</v>
      </c>
      <c r="F1547" t="s">
        <v>2344</v>
      </c>
      <c r="G1547" t="s">
        <v>2344</v>
      </c>
      <c r="H1547">
        <v>1</v>
      </c>
      <c r="I1547" t="s">
        <v>2344</v>
      </c>
      <c r="J1547" t="str">
        <f t="shared" si="97"/>
        <v>Obesity</v>
      </c>
      <c r="K1547" t="str">
        <f t="shared" si="96"/>
        <v>Normal</v>
      </c>
      <c r="L1547">
        <v>12</v>
      </c>
      <c r="M1547" t="s">
        <v>2366</v>
      </c>
      <c r="N1547">
        <v>1992</v>
      </c>
      <c r="O1547" s="8">
        <f t="shared" si="98"/>
        <v>33828</v>
      </c>
      <c r="P1547" s="10">
        <v>13113.51</v>
      </c>
      <c r="Q1547" t="s">
        <v>2358</v>
      </c>
      <c r="R1547" t="s">
        <v>2357</v>
      </c>
      <c r="S1547" t="s">
        <v>2380</v>
      </c>
      <c r="T1547">
        <f t="shared" ca="1" si="99"/>
        <v>34</v>
      </c>
      <c r="U1547">
        <f>VLOOKUP($A1547,'Medical Examination'!$A:$Z,2,FALSE)</f>
        <v>34.799999999999997</v>
      </c>
    </row>
    <row r="1548" spans="1:21" ht="15.5" x14ac:dyDescent="0.35">
      <c r="A1548" s="2" t="s">
        <v>1548</v>
      </c>
      <c r="B1548" s="2" t="s">
        <v>4578</v>
      </c>
      <c r="C1548">
        <v>32.965000000000003</v>
      </c>
      <c r="D1548">
        <v>9.2100000000000009</v>
      </c>
      <c r="E1548" t="s">
        <v>2346</v>
      </c>
      <c r="F1548" t="s">
        <v>2344</v>
      </c>
      <c r="G1548" t="s">
        <v>2344</v>
      </c>
      <c r="H1548">
        <v>0</v>
      </c>
      <c r="I1548" t="s">
        <v>2344</v>
      </c>
      <c r="J1548" t="str">
        <f t="shared" si="97"/>
        <v>Obesity</v>
      </c>
      <c r="K1548" t="str">
        <f t="shared" ref="K1548:K1611" si="100">IF(D1548&lt;5.7,"Normal",IF(D1548&lt;6.5,"Prediabetes","Diabetes"))</f>
        <v>Diabetes</v>
      </c>
      <c r="L1548">
        <v>14</v>
      </c>
      <c r="M1548" t="s">
        <v>2363</v>
      </c>
      <c r="N1548">
        <v>1963</v>
      </c>
      <c r="O1548" s="8">
        <f t="shared" si="98"/>
        <v>23268</v>
      </c>
      <c r="P1548" s="10">
        <v>13116.84</v>
      </c>
      <c r="Q1548" t="s">
        <v>2358</v>
      </c>
      <c r="R1548" t="s">
        <v>2361</v>
      </c>
      <c r="S1548" t="s">
        <v>2364</v>
      </c>
      <c r="T1548">
        <f t="shared" ca="1" si="99"/>
        <v>63</v>
      </c>
      <c r="U1548">
        <f>VLOOKUP($A1548,'Medical Examination'!$A:$Z,2,FALSE)</f>
        <v>32.965000000000003</v>
      </c>
    </row>
    <row r="1549" spans="1:21" ht="15.5" x14ac:dyDescent="0.35">
      <c r="A1549" s="2" t="s">
        <v>1549</v>
      </c>
      <c r="B1549" s="2" t="s">
        <v>4579</v>
      </c>
      <c r="C1549">
        <v>27.265000000000001</v>
      </c>
      <c r="D1549">
        <v>5.51</v>
      </c>
      <c r="E1549" t="s">
        <v>2344</v>
      </c>
      <c r="F1549" t="s">
        <v>2344</v>
      </c>
      <c r="G1549" t="s">
        <v>2344</v>
      </c>
      <c r="H1549">
        <v>1</v>
      </c>
      <c r="I1549" t="s">
        <v>2344</v>
      </c>
      <c r="J1549" t="str">
        <f t="shared" si="97"/>
        <v>Over weight</v>
      </c>
      <c r="K1549" t="str">
        <f t="shared" si="100"/>
        <v>Normal</v>
      </c>
      <c r="L1549">
        <v>16</v>
      </c>
      <c r="M1549" t="s">
        <v>2366</v>
      </c>
      <c r="N1549">
        <v>1999</v>
      </c>
      <c r="O1549" s="8">
        <f t="shared" si="98"/>
        <v>36388</v>
      </c>
      <c r="P1549" s="10">
        <v>13126.68</v>
      </c>
      <c r="Q1549" t="s">
        <v>2358</v>
      </c>
      <c r="R1549" t="s">
        <v>2358</v>
      </c>
      <c r="S1549" t="s">
        <v>2368</v>
      </c>
      <c r="T1549">
        <f t="shared" ca="1" si="99"/>
        <v>27</v>
      </c>
      <c r="U1549">
        <f>VLOOKUP($A1549,'Medical Examination'!$A:$Z,2,FALSE)</f>
        <v>27.265000000000001</v>
      </c>
    </row>
    <row r="1550" spans="1:21" ht="15.5" x14ac:dyDescent="0.35">
      <c r="A1550" s="2" t="s">
        <v>1550</v>
      </c>
      <c r="B1550" s="2" t="s">
        <v>4580</v>
      </c>
      <c r="C1550">
        <v>17.059999999999999</v>
      </c>
      <c r="D1550">
        <v>8.5</v>
      </c>
      <c r="E1550" t="s">
        <v>2344</v>
      </c>
      <c r="F1550" t="s">
        <v>2344</v>
      </c>
      <c r="G1550" t="s">
        <v>2344</v>
      </c>
      <c r="H1550">
        <v>0</v>
      </c>
      <c r="I1550" t="s">
        <v>2344</v>
      </c>
      <c r="J1550" t="str">
        <f t="shared" si="97"/>
        <v>Under Weight</v>
      </c>
      <c r="K1550" t="str">
        <f t="shared" si="100"/>
        <v>Diabetes</v>
      </c>
      <c r="L1550">
        <v>7</v>
      </c>
      <c r="M1550" t="s">
        <v>2363</v>
      </c>
      <c r="N1550">
        <v>1961</v>
      </c>
      <c r="O1550" s="8">
        <f t="shared" si="98"/>
        <v>22531</v>
      </c>
      <c r="P1550" s="10">
        <v>13129.6</v>
      </c>
      <c r="Q1550" t="s">
        <v>2358</v>
      </c>
      <c r="R1550" t="s">
        <v>2357</v>
      </c>
      <c r="S1550" t="s">
        <v>2378</v>
      </c>
      <c r="T1550">
        <f t="shared" ca="1" si="99"/>
        <v>65</v>
      </c>
      <c r="U1550">
        <f>VLOOKUP($A1550,'Medical Examination'!$A:$Z,2,FALSE)</f>
        <v>17.059999999999999</v>
      </c>
    </row>
    <row r="1551" spans="1:21" ht="15.5" x14ac:dyDescent="0.35">
      <c r="A1551" s="2" t="s">
        <v>1551</v>
      </c>
      <c r="B1551" s="2" t="s">
        <v>4581</v>
      </c>
      <c r="C1551">
        <v>36.29</v>
      </c>
      <c r="D1551">
        <v>6.23</v>
      </c>
      <c r="E1551" t="s">
        <v>2344</v>
      </c>
      <c r="F1551" t="s">
        <v>2344</v>
      </c>
      <c r="G1551" t="s">
        <v>2344</v>
      </c>
      <c r="H1551">
        <v>0</v>
      </c>
      <c r="I1551" t="s">
        <v>2344</v>
      </c>
      <c r="J1551" t="str">
        <f t="shared" si="97"/>
        <v>Obesity</v>
      </c>
      <c r="K1551" t="str">
        <f t="shared" si="100"/>
        <v>Prediabetes</v>
      </c>
      <c r="L1551">
        <v>6</v>
      </c>
      <c r="M1551" t="s">
        <v>2365</v>
      </c>
      <c r="N1551">
        <v>1961</v>
      </c>
      <c r="O1551" s="8">
        <f t="shared" si="98"/>
        <v>22621</v>
      </c>
      <c r="P1551" s="10">
        <v>13143.34</v>
      </c>
      <c r="Q1551" t="s">
        <v>2358</v>
      </c>
      <c r="R1551" t="s">
        <v>2357</v>
      </c>
      <c r="S1551" t="s">
        <v>2379</v>
      </c>
      <c r="T1551">
        <f t="shared" ca="1" si="99"/>
        <v>65</v>
      </c>
      <c r="U1551">
        <f>VLOOKUP($A1551,'Medical Examination'!$A:$Z,2,FALSE)</f>
        <v>36.29</v>
      </c>
    </row>
    <row r="1552" spans="1:21" ht="15.5" x14ac:dyDescent="0.35">
      <c r="A1552" s="2" t="s">
        <v>1552</v>
      </c>
      <c r="B1552" s="2" t="s">
        <v>4582</v>
      </c>
      <c r="C1552">
        <v>28.594999999999999</v>
      </c>
      <c r="D1552">
        <v>8.5299999999999994</v>
      </c>
      <c r="E1552" t="s">
        <v>2346</v>
      </c>
      <c r="F1552" t="s">
        <v>2344</v>
      </c>
      <c r="G1552" t="s">
        <v>2344</v>
      </c>
      <c r="H1552">
        <v>1</v>
      </c>
      <c r="I1552" t="s">
        <v>2344</v>
      </c>
      <c r="J1552" t="str">
        <f t="shared" si="97"/>
        <v>Over weight</v>
      </c>
      <c r="K1552" t="str">
        <f t="shared" si="100"/>
        <v>Diabetes</v>
      </c>
      <c r="L1552">
        <v>6</v>
      </c>
      <c r="M1552" t="s">
        <v>2365</v>
      </c>
      <c r="N1552">
        <v>1961</v>
      </c>
      <c r="O1552" s="8">
        <f t="shared" si="98"/>
        <v>22621</v>
      </c>
      <c r="P1552" s="10">
        <v>13143.86</v>
      </c>
      <c r="Q1552" t="s">
        <v>2358</v>
      </c>
      <c r="R1552" t="s">
        <v>2357</v>
      </c>
      <c r="S1552" t="s">
        <v>2371</v>
      </c>
      <c r="T1552">
        <f t="shared" ca="1" si="99"/>
        <v>65</v>
      </c>
      <c r="U1552">
        <f>VLOOKUP($A1552,'Medical Examination'!$A:$Z,2,FALSE)</f>
        <v>28.594999999999999</v>
      </c>
    </row>
    <row r="1553" spans="1:21" ht="15.5" x14ac:dyDescent="0.35">
      <c r="A1553" s="2" t="s">
        <v>1553</v>
      </c>
      <c r="B1553" s="2" t="s">
        <v>4231</v>
      </c>
      <c r="C1553">
        <v>17.8</v>
      </c>
      <c r="D1553">
        <v>5.75</v>
      </c>
      <c r="E1553" t="s">
        <v>2346</v>
      </c>
      <c r="F1553" t="s">
        <v>2344</v>
      </c>
      <c r="G1553" t="s">
        <v>2346</v>
      </c>
      <c r="H1553">
        <v>1</v>
      </c>
      <c r="I1553" t="s">
        <v>2344</v>
      </c>
      <c r="J1553" t="str">
        <f t="shared" si="97"/>
        <v>Under Weight</v>
      </c>
      <c r="K1553" t="str">
        <f t="shared" si="100"/>
        <v>Prediabetes</v>
      </c>
      <c r="L1553">
        <v>5</v>
      </c>
      <c r="M1553" t="s">
        <v>2366</v>
      </c>
      <c r="N1553">
        <v>1962</v>
      </c>
      <c r="O1553" s="8">
        <f t="shared" si="98"/>
        <v>22863</v>
      </c>
      <c r="P1553" s="10">
        <v>13204.29</v>
      </c>
      <c r="Q1553" t="s">
        <v>2358</v>
      </c>
      <c r="R1553" t="s">
        <v>2361</v>
      </c>
      <c r="S1553" t="s">
        <v>2374</v>
      </c>
      <c r="T1553">
        <f t="shared" ca="1" si="99"/>
        <v>64</v>
      </c>
      <c r="U1553">
        <f>VLOOKUP($A1553,'Medical Examination'!$A:$Z,2,FALSE)</f>
        <v>17.8</v>
      </c>
    </row>
    <row r="1554" spans="1:21" ht="15.5" x14ac:dyDescent="0.35">
      <c r="A1554" s="2" t="s">
        <v>1554</v>
      </c>
      <c r="B1554" s="2" t="s">
        <v>4584</v>
      </c>
      <c r="C1554">
        <v>21.4</v>
      </c>
      <c r="D1554">
        <v>5.6</v>
      </c>
      <c r="E1554" t="s">
        <v>2344</v>
      </c>
      <c r="F1554" t="s">
        <v>2344</v>
      </c>
      <c r="G1554" t="s">
        <v>2344</v>
      </c>
      <c r="H1554">
        <v>0</v>
      </c>
      <c r="I1554" t="s">
        <v>2344</v>
      </c>
      <c r="J1554" t="str">
        <f t="shared" si="97"/>
        <v>Normal Weight</v>
      </c>
      <c r="K1554" t="str">
        <f t="shared" si="100"/>
        <v>Normal</v>
      </c>
      <c r="L1554">
        <v>15</v>
      </c>
      <c r="M1554" t="s">
        <v>2367</v>
      </c>
      <c r="N1554">
        <v>1982</v>
      </c>
      <c r="O1554" s="8">
        <f t="shared" si="98"/>
        <v>30239</v>
      </c>
      <c r="P1554" s="10">
        <v>13214.43</v>
      </c>
      <c r="Q1554" t="s">
        <v>2358</v>
      </c>
      <c r="R1554" t="s">
        <v>2357</v>
      </c>
      <c r="S1554" t="s">
        <v>2364</v>
      </c>
      <c r="T1554">
        <f t="shared" ca="1" si="99"/>
        <v>44</v>
      </c>
      <c r="U1554">
        <f>VLOOKUP($A1554,'Medical Examination'!$A:$Z,2,FALSE)</f>
        <v>21.4</v>
      </c>
    </row>
    <row r="1555" spans="1:21" ht="15.5" x14ac:dyDescent="0.35">
      <c r="A1555" s="2" t="s">
        <v>1555</v>
      </c>
      <c r="B1555" s="2" t="s">
        <v>4585</v>
      </c>
      <c r="C1555">
        <v>23.01</v>
      </c>
      <c r="D1555">
        <v>4.68</v>
      </c>
      <c r="E1555" t="s">
        <v>2344</v>
      </c>
      <c r="F1555" t="s">
        <v>2344</v>
      </c>
      <c r="G1555" t="s">
        <v>2344</v>
      </c>
      <c r="H1555">
        <v>0</v>
      </c>
      <c r="I1555" t="s">
        <v>2344</v>
      </c>
      <c r="J1555" t="str">
        <f t="shared" si="97"/>
        <v>Normal Weight</v>
      </c>
      <c r="K1555" t="str">
        <f t="shared" si="100"/>
        <v>Normal</v>
      </c>
      <c r="L1555">
        <v>7</v>
      </c>
      <c r="M1555" t="s">
        <v>2365</v>
      </c>
      <c r="N1555">
        <v>1962</v>
      </c>
      <c r="O1555" s="8">
        <f t="shared" si="98"/>
        <v>22987</v>
      </c>
      <c r="P1555" s="10">
        <v>13217.09</v>
      </c>
      <c r="Q1555" t="s">
        <v>2358</v>
      </c>
      <c r="R1555" t="s">
        <v>2361</v>
      </c>
      <c r="S1555" t="s">
        <v>2374</v>
      </c>
      <c r="T1555">
        <f t="shared" ca="1" si="99"/>
        <v>64</v>
      </c>
      <c r="U1555">
        <f>VLOOKUP($A1555,'Medical Examination'!$A:$Z,2,FALSE)</f>
        <v>23.01</v>
      </c>
    </row>
    <row r="1556" spans="1:21" ht="15.5" x14ac:dyDescent="0.35">
      <c r="A1556" s="2" t="s">
        <v>1556</v>
      </c>
      <c r="B1556" s="2" t="s">
        <v>4587</v>
      </c>
      <c r="C1556">
        <v>19.86</v>
      </c>
      <c r="D1556">
        <v>5.62</v>
      </c>
      <c r="E1556" t="s">
        <v>2346</v>
      </c>
      <c r="F1556" t="s">
        <v>2344</v>
      </c>
      <c r="G1556" t="s">
        <v>2344</v>
      </c>
      <c r="H1556">
        <v>0</v>
      </c>
      <c r="I1556" t="s">
        <v>2344</v>
      </c>
      <c r="J1556" t="str">
        <f t="shared" si="97"/>
        <v>Normal Weight</v>
      </c>
      <c r="K1556" t="str">
        <f t="shared" si="100"/>
        <v>Normal</v>
      </c>
      <c r="L1556">
        <v>13</v>
      </c>
      <c r="M1556" t="s">
        <v>2360</v>
      </c>
      <c r="N1556">
        <v>1965</v>
      </c>
      <c r="O1556" s="8">
        <f t="shared" si="98"/>
        <v>24059</v>
      </c>
      <c r="P1556" s="10">
        <v>13224.06</v>
      </c>
      <c r="Q1556" t="s">
        <v>2358</v>
      </c>
      <c r="R1556" t="s">
        <v>2358</v>
      </c>
      <c r="S1556" t="s">
        <v>2374</v>
      </c>
      <c r="T1556">
        <f t="shared" ca="1" si="99"/>
        <v>61</v>
      </c>
      <c r="U1556">
        <f>VLOOKUP($A1556,'Medical Examination'!$A:$Z,2,FALSE)</f>
        <v>19.86</v>
      </c>
    </row>
    <row r="1557" spans="1:21" ht="15.5" x14ac:dyDescent="0.35">
      <c r="A1557" s="2" t="s">
        <v>1557</v>
      </c>
      <c r="B1557" s="2" t="s">
        <v>4024</v>
      </c>
      <c r="C1557">
        <v>33.58</v>
      </c>
      <c r="D1557">
        <v>5.08</v>
      </c>
      <c r="E1557" t="s">
        <v>2344</v>
      </c>
      <c r="F1557" t="s">
        <v>2344</v>
      </c>
      <c r="G1557" t="s">
        <v>2344</v>
      </c>
      <c r="H1557">
        <v>0</v>
      </c>
      <c r="I1557" t="s">
        <v>2344</v>
      </c>
      <c r="J1557" t="str">
        <f t="shared" si="97"/>
        <v>Obesity</v>
      </c>
      <c r="K1557" t="str">
        <f t="shared" si="100"/>
        <v>Normal</v>
      </c>
      <c r="L1557">
        <v>24</v>
      </c>
      <c r="M1557" t="s">
        <v>2360</v>
      </c>
      <c r="N1557">
        <v>1962</v>
      </c>
      <c r="O1557" s="8">
        <f t="shared" si="98"/>
        <v>22974</v>
      </c>
      <c r="P1557" s="10">
        <v>13224.69</v>
      </c>
      <c r="Q1557" t="s">
        <v>2358</v>
      </c>
      <c r="R1557" t="s">
        <v>2357</v>
      </c>
      <c r="S1557" t="s">
        <v>2368</v>
      </c>
      <c r="T1557">
        <f t="shared" ca="1" si="99"/>
        <v>64</v>
      </c>
      <c r="U1557">
        <f>VLOOKUP($A1557,'Medical Examination'!$A:$Z,2,FALSE)</f>
        <v>33.58</v>
      </c>
    </row>
    <row r="1558" spans="1:21" ht="15.5" x14ac:dyDescent="0.35">
      <c r="A1558" s="2" t="s">
        <v>1558</v>
      </c>
      <c r="B1558" s="2" t="s">
        <v>4589</v>
      </c>
      <c r="C1558">
        <v>29.81</v>
      </c>
      <c r="D1558">
        <v>5.28</v>
      </c>
      <c r="E1558" t="s">
        <v>2344</v>
      </c>
      <c r="F1558" t="s">
        <v>2344</v>
      </c>
      <c r="G1558" t="s">
        <v>2344</v>
      </c>
      <c r="H1558">
        <v>0</v>
      </c>
      <c r="I1558" t="s">
        <v>2344</v>
      </c>
      <c r="J1558" t="str">
        <f t="shared" si="97"/>
        <v>Over weight</v>
      </c>
      <c r="K1558" t="str">
        <f t="shared" si="100"/>
        <v>Normal</v>
      </c>
      <c r="L1558">
        <v>11</v>
      </c>
      <c r="M1558" t="s">
        <v>2367</v>
      </c>
      <c r="N1558">
        <v>1962</v>
      </c>
      <c r="O1558" s="8">
        <f t="shared" si="98"/>
        <v>22930</v>
      </c>
      <c r="P1558" s="10">
        <v>13228.85</v>
      </c>
      <c r="Q1558" t="s">
        <v>2358</v>
      </c>
      <c r="R1558" t="s">
        <v>2358</v>
      </c>
      <c r="S1558" t="s">
        <v>2375</v>
      </c>
      <c r="T1558">
        <f t="shared" ca="1" si="99"/>
        <v>64</v>
      </c>
      <c r="U1558">
        <f>VLOOKUP($A1558,'Medical Examination'!$A:$Z,2,FALSE)</f>
        <v>29.81</v>
      </c>
    </row>
    <row r="1559" spans="1:21" ht="15.5" x14ac:dyDescent="0.35">
      <c r="A1559" s="2" t="s">
        <v>1559</v>
      </c>
      <c r="B1559" s="2" t="s">
        <v>4591</v>
      </c>
      <c r="C1559">
        <v>27.4</v>
      </c>
      <c r="D1559">
        <v>4.6100000000000003</v>
      </c>
      <c r="E1559" t="s">
        <v>2344</v>
      </c>
      <c r="F1559" t="s">
        <v>2344</v>
      </c>
      <c r="G1559" t="s">
        <v>2344</v>
      </c>
      <c r="H1559">
        <v>0</v>
      </c>
      <c r="I1559" t="s">
        <v>2344</v>
      </c>
      <c r="J1559" t="str">
        <f t="shared" si="97"/>
        <v>Over weight</v>
      </c>
      <c r="K1559" t="str">
        <f t="shared" si="100"/>
        <v>Normal</v>
      </c>
      <c r="L1559">
        <v>1</v>
      </c>
      <c r="M1559" t="s">
        <v>2356</v>
      </c>
      <c r="N1559">
        <v>1994</v>
      </c>
      <c r="O1559" s="8">
        <f t="shared" si="98"/>
        <v>34516</v>
      </c>
      <c r="P1559" s="10">
        <v>13292.52</v>
      </c>
      <c r="Q1559" t="s">
        <v>2358</v>
      </c>
      <c r="R1559" t="s">
        <v>2358</v>
      </c>
      <c r="S1559" t="s">
        <v>2364</v>
      </c>
      <c r="T1559">
        <f t="shared" ca="1" si="99"/>
        <v>32</v>
      </c>
      <c r="U1559">
        <f>VLOOKUP($A1559,'Medical Examination'!$A:$Z,2,FALSE)</f>
        <v>27.4</v>
      </c>
    </row>
    <row r="1560" spans="1:21" ht="15.5" x14ac:dyDescent="0.35">
      <c r="A1560" s="2" t="s">
        <v>1560</v>
      </c>
      <c r="B1560" s="2" t="s">
        <v>4592</v>
      </c>
      <c r="C1560">
        <v>17.98</v>
      </c>
      <c r="D1560">
        <v>6.57</v>
      </c>
      <c r="E1560" t="s">
        <v>2346</v>
      </c>
      <c r="F1560" t="s">
        <v>2344</v>
      </c>
      <c r="G1560" t="s">
        <v>2344</v>
      </c>
      <c r="H1560">
        <v>1</v>
      </c>
      <c r="I1560" t="s">
        <v>2344</v>
      </c>
      <c r="J1560" t="str">
        <f t="shared" si="97"/>
        <v>Under Weight</v>
      </c>
      <c r="K1560" t="str">
        <f t="shared" si="100"/>
        <v>Diabetes</v>
      </c>
      <c r="L1560">
        <v>23</v>
      </c>
      <c r="M1560" t="s">
        <v>2366</v>
      </c>
      <c r="N1560">
        <v>1976</v>
      </c>
      <c r="O1560" s="8">
        <f t="shared" si="98"/>
        <v>27995</v>
      </c>
      <c r="P1560" s="10">
        <v>13333.71</v>
      </c>
      <c r="Q1560" t="s">
        <v>2358</v>
      </c>
      <c r="R1560" t="s">
        <v>2357</v>
      </c>
      <c r="S1560" t="s">
        <v>2364</v>
      </c>
      <c r="T1560">
        <f t="shared" ca="1" si="99"/>
        <v>50</v>
      </c>
      <c r="U1560">
        <f>VLOOKUP($A1560,'Medical Examination'!$A:$Z,2,FALSE)</f>
        <v>17.98</v>
      </c>
    </row>
    <row r="1561" spans="1:21" ht="15.5" x14ac:dyDescent="0.35">
      <c r="A1561" s="2" t="s">
        <v>1561</v>
      </c>
      <c r="B1561" s="2" t="s">
        <v>4594</v>
      </c>
      <c r="C1561">
        <v>37.9</v>
      </c>
      <c r="D1561">
        <v>5.83</v>
      </c>
      <c r="E1561" t="s">
        <v>2344</v>
      </c>
      <c r="F1561" t="s">
        <v>2344</v>
      </c>
      <c r="G1561" t="s">
        <v>2344</v>
      </c>
      <c r="H1561">
        <v>0</v>
      </c>
      <c r="I1561" t="s">
        <v>2344</v>
      </c>
      <c r="J1561" t="str">
        <f t="shared" si="97"/>
        <v>Obesity</v>
      </c>
      <c r="K1561" t="str">
        <f t="shared" si="100"/>
        <v>Prediabetes</v>
      </c>
      <c r="L1561">
        <v>11</v>
      </c>
      <c r="M1561" t="s">
        <v>2360</v>
      </c>
      <c r="N1561">
        <v>1960</v>
      </c>
      <c r="O1561" s="8">
        <f t="shared" si="98"/>
        <v>22231</v>
      </c>
      <c r="P1561" s="10">
        <v>13352.1</v>
      </c>
      <c r="Q1561" t="s">
        <v>2358</v>
      </c>
      <c r="R1561" t="s">
        <v>2361</v>
      </c>
      <c r="S1561" t="s">
        <v>2364</v>
      </c>
      <c r="T1561">
        <f t="shared" ca="1" si="99"/>
        <v>66</v>
      </c>
      <c r="U1561">
        <f>VLOOKUP($A1561,'Medical Examination'!$A:$Z,2,FALSE)</f>
        <v>37.9</v>
      </c>
    </row>
    <row r="1562" spans="1:21" ht="15.5" x14ac:dyDescent="0.35">
      <c r="A1562" s="2" t="s">
        <v>1562</v>
      </c>
      <c r="B1562" s="2" t="s">
        <v>4597</v>
      </c>
      <c r="C1562">
        <v>25.27</v>
      </c>
      <c r="D1562">
        <v>6.98</v>
      </c>
      <c r="E1562" t="s">
        <v>2346</v>
      </c>
      <c r="F1562" t="s">
        <v>2344</v>
      </c>
      <c r="G1562" t="s">
        <v>2344</v>
      </c>
      <c r="H1562">
        <v>0</v>
      </c>
      <c r="I1562" t="s">
        <v>2344</v>
      </c>
      <c r="J1562" t="str">
        <f t="shared" si="97"/>
        <v>Over weight</v>
      </c>
      <c r="K1562" t="str">
        <f t="shared" si="100"/>
        <v>Diabetes</v>
      </c>
      <c r="L1562">
        <v>2</v>
      </c>
      <c r="M1562" t="s">
        <v>2367</v>
      </c>
      <c r="N1562">
        <v>1990</v>
      </c>
      <c r="O1562" s="8">
        <f t="shared" si="98"/>
        <v>33148</v>
      </c>
      <c r="P1562" s="10">
        <v>13360.94</v>
      </c>
      <c r="Q1562" t="s">
        <v>2358</v>
      </c>
      <c r="R1562" t="s">
        <v>2361</v>
      </c>
      <c r="S1562" t="s">
        <v>2364</v>
      </c>
      <c r="T1562">
        <f t="shared" ca="1" si="99"/>
        <v>36</v>
      </c>
      <c r="U1562">
        <f>VLOOKUP($A1562,'Medical Examination'!$A:$Z,2,FALSE)</f>
        <v>25.27</v>
      </c>
    </row>
    <row r="1563" spans="1:21" ht="15.5" x14ac:dyDescent="0.35">
      <c r="A1563" s="2" t="s">
        <v>1563</v>
      </c>
      <c r="B1563" s="2" t="s">
        <v>4598</v>
      </c>
      <c r="C1563">
        <v>29.26</v>
      </c>
      <c r="D1563">
        <v>4.03</v>
      </c>
      <c r="E1563" t="s">
        <v>2344</v>
      </c>
      <c r="F1563" t="s">
        <v>2344</v>
      </c>
      <c r="G1563" t="s">
        <v>2344</v>
      </c>
      <c r="H1563">
        <v>1</v>
      </c>
      <c r="I1563" t="s">
        <v>2344</v>
      </c>
      <c r="J1563" t="str">
        <f t="shared" si="97"/>
        <v>Over weight</v>
      </c>
      <c r="K1563" t="str">
        <f t="shared" si="100"/>
        <v>Normal</v>
      </c>
      <c r="L1563">
        <v>24</v>
      </c>
      <c r="M1563" t="s">
        <v>2363</v>
      </c>
      <c r="N1563">
        <v>1964</v>
      </c>
      <c r="O1563" s="8">
        <f t="shared" si="98"/>
        <v>23644</v>
      </c>
      <c r="P1563" s="10">
        <v>13375.76</v>
      </c>
      <c r="Q1563" t="s">
        <v>2358</v>
      </c>
      <c r="R1563" t="s">
        <v>2357</v>
      </c>
      <c r="S1563" t="s">
        <v>2373</v>
      </c>
      <c r="T1563">
        <f t="shared" ca="1" si="99"/>
        <v>62</v>
      </c>
      <c r="U1563">
        <f>VLOOKUP($A1563,'Medical Examination'!$A:$Z,2,FALSE)</f>
        <v>29.26</v>
      </c>
    </row>
    <row r="1564" spans="1:21" ht="15.5" x14ac:dyDescent="0.35">
      <c r="A1564" s="2" t="s">
        <v>1564</v>
      </c>
      <c r="B1564" s="2" t="s">
        <v>4600</v>
      </c>
      <c r="C1564">
        <v>27.835000000000001</v>
      </c>
      <c r="D1564">
        <v>4.5599999999999996</v>
      </c>
      <c r="E1564" t="s">
        <v>2344</v>
      </c>
      <c r="F1564" t="s">
        <v>2344</v>
      </c>
      <c r="G1564" t="s">
        <v>2344</v>
      </c>
      <c r="H1564">
        <v>1</v>
      </c>
      <c r="I1564" t="s">
        <v>2344</v>
      </c>
      <c r="J1564" t="str">
        <f t="shared" si="97"/>
        <v>Over weight</v>
      </c>
      <c r="K1564" t="str">
        <f t="shared" si="100"/>
        <v>Normal</v>
      </c>
      <c r="L1564">
        <v>30</v>
      </c>
      <c r="M1564" t="s">
        <v>2363</v>
      </c>
      <c r="N1564">
        <v>1979</v>
      </c>
      <c r="O1564" s="8">
        <f t="shared" si="98"/>
        <v>29128</v>
      </c>
      <c r="P1564" s="10">
        <v>13377.41</v>
      </c>
      <c r="Q1564" t="s">
        <v>2358</v>
      </c>
      <c r="R1564" t="s">
        <v>2358</v>
      </c>
      <c r="S1564" t="s">
        <v>2380</v>
      </c>
      <c r="T1564">
        <f t="shared" ca="1" si="99"/>
        <v>47</v>
      </c>
      <c r="U1564">
        <f>VLOOKUP($A1564,'Medical Examination'!$A:$Z,2,FALSE)</f>
        <v>27.835000000000001</v>
      </c>
    </row>
    <row r="1565" spans="1:21" ht="15.5" x14ac:dyDescent="0.35">
      <c r="A1565" s="2" t="s">
        <v>1565</v>
      </c>
      <c r="B1565" s="2" t="s">
        <v>3239</v>
      </c>
      <c r="C1565">
        <v>46.53</v>
      </c>
      <c r="D1565">
        <v>5.38</v>
      </c>
      <c r="E1565" t="s">
        <v>2346</v>
      </c>
      <c r="F1565" t="s">
        <v>2344</v>
      </c>
      <c r="G1565" t="s">
        <v>2344</v>
      </c>
      <c r="H1565">
        <v>0</v>
      </c>
      <c r="I1565" t="s">
        <v>2344</v>
      </c>
      <c r="J1565" t="str">
        <f t="shared" si="97"/>
        <v>Obesity</v>
      </c>
      <c r="K1565" t="str">
        <f t="shared" si="100"/>
        <v>Normal</v>
      </c>
      <c r="L1565">
        <v>6</v>
      </c>
      <c r="M1565" t="s">
        <v>2362</v>
      </c>
      <c r="N1565">
        <v>1984</v>
      </c>
      <c r="O1565" s="8">
        <f t="shared" si="98"/>
        <v>30839</v>
      </c>
      <c r="P1565" s="10">
        <v>13383.67</v>
      </c>
      <c r="Q1565" t="s">
        <v>2358</v>
      </c>
      <c r="R1565" t="s">
        <v>2357</v>
      </c>
      <c r="S1565" t="s">
        <v>2375</v>
      </c>
      <c r="T1565">
        <f t="shared" ca="1" si="99"/>
        <v>42</v>
      </c>
      <c r="U1565">
        <f>VLOOKUP($A1565,'Medical Examination'!$A:$Z,2,FALSE)</f>
        <v>46.53</v>
      </c>
    </row>
    <row r="1566" spans="1:21" ht="15.5" x14ac:dyDescent="0.35">
      <c r="A1566" s="2" t="s">
        <v>1566</v>
      </c>
      <c r="B1566" s="2" t="s">
        <v>3769</v>
      </c>
      <c r="C1566">
        <v>20.58</v>
      </c>
      <c r="D1566">
        <v>11.04</v>
      </c>
      <c r="E1566" t="s">
        <v>2346</v>
      </c>
      <c r="F1566" t="s">
        <v>2344</v>
      </c>
      <c r="G1566" t="s">
        <v>2344</v>
      </c>
      <c r="H1566">
        <v>1</v>
      </c>
      <c r="I1566" t="s">
        <v>2344</v>
      </c>
      <c r="J1566" t="str">
        <f t="shared" si="97"/>
        <v>Normal Weight</v>
      </c>
      <c r="K1566" t="str">
        <f t="shared" si="100"/>
        <v>Diabetes</v>
      </c>
      <c r="L1566">
        <v>9</v>
      </c>
      <c r="M1566" t="s">
        <v>2365</v>
      </c>
      <c r="N1566">
        <v>1959</v>
      </c>
      <c r="O1566" s="8">
        <f t="shared" si="98"/>
        <v>21893</v>
      </c>
      <c r="P1566" s="10">
        <v>13390.56</v>
      </c>
      <c r="Q1566" t="s">
        <v>2358</v>
      </c>
      <c r="R1566" t="s">
        <v>2358</v>
      </c>
      <c r="S1566" t="s">
        <v>2368</v>
      </c>
      <c r="T1566">
        <f t="shared" ca="1" si="99"/>
        <v>67</v>
      </c>
      <c r="U1566">
        <f>VLOOKUP($A1566,'Medical Examination'!$A:$Z,2,FALSE)</f>
        <v>20.58</v>
      </c>
    </row>
    <row r="1567" spans="1:21" ht="15.5" x14ac:dyDescent="0.35">
      <c r="A1567" s="2" t="s">
        <v>1567</v>
      </c>
      <c r="B1567" s="2" t="s">
        <v>4601</v>
      </c>
      <c r="C1567">
        <v>19.53</v>
      </c>
      <c r="D1567">
        <v>6.09</v>
      </c>
      <c r="E1567" t="s">
        <v>2346</v>
      </c>
      <c r="F1567" t="s">
        <v>2344</v>
      </c>
      <c r="G1567" t="s">
        <v>2344</v>
      </c>
      <c r="H1567">
        <v>0</v>
      </c>
      <c r="I1567" t="s">
        <v>2344</v>
      </c>
      <c r="J1567" t="str">
        <f t="shared" si="97"/>
        <v>Normal Weight</v>
      </c>
      <c r="K1567" t="str">
        <f t="shared" si="100"/>
        <v>Prediabetes</v>
      </c>
      <c r="L1567">
        <v>25</v>
      </c>
      <c r="M1567" t="s">
        <v>2360</v>
      </c>
      <c r="N1567">
        <v>1959</v>
      </c>
      <c r="O1567" s="8">
        <f t="shared" si="98"/>
        <v>21879</v>
      </c>
      <c r="P1567" s="10">
        <v>13393.76</v>
      </c>
      <c r="Q1567" t="s">
        <v>2358</v>
      </c>
      <c r="R1567" t="s">
        <v>2361</v>
      </c>
      <c r="S1567" t="s">
        <v>2368</v>
      </c>
      <c r="T1567">
        <f t="shared" ca="1" si="99"/>
        <v>67</v>
      </c>
      <c r="U1567">
        <f>VLOOKUP($A1567,'Medical Examination'!$A:$Z,2,FALSE)</f>
        <v>19.53</v>
      </c>
    </row>
    <row r="1568" spans="1:21" ht="15.5" x14ac:dyDescent="0.35">
      <c r="A1568" s="2" t="s">
        <v>1568</v>
      </c>
      <c r="B1568" s="2" t="s">
        <v>4603</v>
      </c>
      <c r="C1568">
        <v>27.7</v>
      </c>
      <c r="D1568">
        <v>4.71</v>
      </c>
      <c r="E1568" t="s">
        <v>2344</v>
      </c>
      <c r="F1568" t="s">
        <v>2344</v>
      </c>
      <c r="G1568" t="s">
        <v>2344</v>
      </c>
      <c r="H1568">
        <v>1</v>
      </c>
      <c r="I1568" t="s">
        <v>2344</v>
      </c>
      <c r="J1568" t="str">
        <f t="shared" si="97"/>
        <v>Over weight</v>
      </c>
      <c r="K1568" t="str">
        <f t="shared" si="100"/>
        <v>Normal</v>
      </c>
      <c r="L1568">
        <v>20</v>
      </c>
      <c r="M1568" t="s">
        <v>2365</v>
      </c>
      <c r="N1568">
        <v>1959</v>
      </c>
      <c r="O1568" s="8">
        <f t="shared" si="98"/>
        <v>21904</v>
      </c>
      <c r="P1568" s="10">
        <v>13405.39</v>
      </c>
      <c r="Q1568" t="s">
        <v>2358</v>
      </c>
      <c r="R1568" t="s">
        <v>2358</v>
      </c>
      <c r="S1568" t="s">
        <v>2359</v>
      </c>
      <c r="T1568">
        <f t="shared" ca="1" si="99"/>
        <v>67</v>
      </c>
      <c r="U1568">
        <f>VLOOKUP($A1568,'Medical Examination'!$A:$Z,2,FALSE)</f>
        <v>27.7</v>
      </c>
    </row>
    <row r="1569" spans="1:21" ht="15.5" x14ac:dyDescent="0.35">
      <c r="A1569" s="2" t="s">
        <v>1569</v>
      </c>
      <c r="B1569" s="2" t="s">
        <v>3303</v>
      </c>
      <c r="C1569">
        <v>18.920000000000002</v>
      </c>
      <c r="D1569">
        <v>8.18</v>
      </c>
      <c r="E1569" t="s">
        <v>2344</v>
      </c>
      <c r="F1569" t="s">
        <v>2344</v>
      </c>
      <c r="G1569" t="s">
        <v>2344</v>
      </c>
      <c r="H1569">
        <v>0</v>
      </c>
      <c r="I1569" t="s">
        <v>2344</v>
      </c>
      <c r="J1569" t="str">
        <f t="shared" si="97"/>
        <v>Normal Weight</v>
      </c>
      <c r="K1569" t="str">
        <f t="shared" si="100"/>
        <v>Diabetes</v>
      </c>
      <c r="L1569">
        <v>19</v>
      </c>
      <c r="M1569" t="s">
        <v>2365</v>
      </c>
      <c r="N1569">
        <v>1992</v>
      </c>
      <c r="O1569" s="8">
        <f t="shared" si="98"/>
        <v>33957</v>
      </c>
      <c r="P1569" s="10">
        <v>13412.97</v>
      </c>
      <c r="Q1569" t="s">
        <v>2358</v>
      </c>
      <c r="R1569" t="s">
        <v>2358</v>
      </c>
      <c r="S1569" t="s">
        <v>2375</v>
      </c>
      <c r="T1569">
        <f t="shared" ca="1" si="99"/>
        <v>34</v>
      </c>
      <c r="U1569">
        <f>VLOOKUP($A1569,'Medical Examination'!$A:$Z,2,FALSE)</f>
        <v>18.920000000000002</v>
      </c>
    </row>
    <row r="1570" spans="1:21" ht="15.5" x14ac:dyDescent="0.35">
      <c r="A1570" s="2" t="s">
        <v>1570</v>
      </c>
      <c r="B1570" s="2" t="s">
        <v>4605</v>
      </c>
      <c r="C1570">
        <v>17.760000000000002</v>
      </c>
      <c r="D1570">
        <v>11.18</v>
      </c>
      <c r="E1570" t="s">
        <v>2346</v>
      </c>
      <c r="F1570" t="s">
        <v>2344</v>
      </c>
      <c r="G1570" t="s">
        <v>2344</v>
      </c>
      <c r="H1570">
        <v>1</v>
      </c>
      <c r="I1570" t="s">
        <v>2344</v>
      </c>
      <c r="J1570" t="str">
        <f t="shared" si="97"/>
        <v>Under Weight</v>
      </c>
      <c r="K1570" t="str">
        <f t="shared" si="100"/>
        <v>Diabetes</v>
      </c>
      <c r="L1570">
        <v>22</v>
      </c>
      <c r="M1570" t="s">
        <v>2356</v>
      </c>
      <c r="N1570">
        <v>1961</v>
      </c>
      <c r="O1570" s="8">
        <f t="shared" si="98"/>
        <v>22484</v>
      </c>
      <c r="P1570" s="10">
        <v>13415.04</v>
      </c>
      <c r="Q1570" t="s">
        <v>2358</v>
      </c>
      <c r="R1570" t="s">
        <v>2357</v>
      </c>
      <c r="S1570" t="s">
        <v>2364</v>
      </c>
      <c r="T1570">
        <f t="shared" ca="1" si="99"/>
        <v>65</v>
      </c>
      <c r="U1570">
        <f>VLOOKUP($A1570,'Medical Examination'!$A:$Z,2,FALSE)</f>
        <v>17.760000000000002</v>
      </c>
    </row>
    <row r="1571" spans="1:21" ht="15.5" x14ac:dyDescent="0.35">
      <c r="A1571" s="2" t="s">
        <v>1571</v>
      </c>
      <c r="B1571" s="2" t="s">
        <v>4607</v>
      </c>
      <c r="C1571">
        <v>29.83</v>
      </c>
      <c r="D1571">
        <v>5.03</v>
      </c>
      <c r="E1571" t="s">
        <v>2346</v>
      </c>
      <c r="F1571" t="s">
        <v>2344</v>
      </c>
      <c r="G1571" t="s">
        <v>2344</v>
      </c>
      <c r="H1571">
        <v>0</v>
      </c>
      <c r="I1571" t="s">
        <v>2344</v>
      </c>
      <c r="J1571" t="str">
        <f t="shared" si="97"/>
        <v>Over weight</v>
      </c>
      <c r="K1571" t="str">
        <f t="shared" si="100"/>
        <v>Normal</v>
      </c>
      <c r="L1571">
        <v>17</v>
      </c>
      <c r="M1571" t="s">
        <v>2362</v>
      </c>
      <c r="N1571">
        <v>1994</v>
      </c>
      <c r="O1571" s="8">
        <f t="shared" si="98"/>
        <v>34502</v>
      </c>
      <c r="P1571" s="10">
        <v>13417.05</v>
      </c>
      <c r="Q1571" t="s">
        <v>2358</v>
      </c>
      <c r="R1571" t="s">
        <v>2358</v>
      </c>
      <c r="S1571" t="s">
        <v>2364</v>
      </c>
      <c r="T1571">
        <f t="shared" ca="1" si="99"/>
        <v>32</v>
      </c>
      <c r="U1571">
        <f>VLOOKUP($A1571,'Medical Examination'!$A:$Z,2,FALSE)</f>
        <v>29.83</v>
      </c>
    </row>
    <row r="1572" spans="1:21" ht="15.5" x14ac:dyDescent="0.35">
      <c r="A1572" s="2" t="s">
        <v>1572</v>
      </c>
      <c r="B1572" s="2" t="s">
        <v>4608</v>
      </c>
      <c r="C1572">
        <v>23.465</v>
      </c>
      <c r="D1572">
        <v>5.56</v>
      </c>
      <c r="E1572" t="s">
        <v>2344</v>
      </c>
      <c r="F1572" t="s">
        <v>2344</v>
      </c>
      <c r="G1572" t="s">
        <v>2344</v>
      </c>
      <c r="H1572">
        <v>1</v>
      </c>
      <c r="I1572" t="s">
        <v>2344</v>
      </c>
      <c r="J1572" t="str">
        <f t="shared" si="97"/>
        <v>Normal Weight</v>
      </c>
      <c r="K1572" t="str">
        <f t="shared" si="100"/>
        <v>Normal</v>
      </c>
      <c r="L1572">
        <v>3</v>
      </c>
      <c r="M1572" t="s">
        <v>2360</v>
      </c>
      <c r="N1572">
        <v>1961</v>
      </c>
      <c r="O1572" s="8">
        <f t="shared" si="98"/>
        <v>22588</v>
      </c>
      <c r="P1572" s="10">
        <v>13429.04</v>
      </c>
      <c r="Q1572" t="s">
        <v>2358</v>
      </c>
      <c r="R1572" t="s">
        <v>2358</v>
      </c>
      <c r="S1572" t="s">
        <v>2364</v>
      </c>
      <c r="T1572">
        <f t="shared" ca="1" si="99"/>
        <v>65</v>
      </c>
      <c r="U1572">
        <f>VLOOKUP($A1572,'Medical Examination'!$A:$Z,2,FALSE)</f>
        <v>23.465</v>
      </c>
    </row>
    <row r="1573" spans="1:21" ht="15.5" x14ac:dyDescent="0.35">
      <c r="A1573" s="2" t="s">
        <v>1573</v>
      </c>
      <c r="B1573" s="2" t="s">
        <v>3223</v>
      </c>
      <c r="C1573">
        <v>29.355</v>
      </c>
      <c r="D1573">
        <v>4.33</v>
      </c>
      <c r="E1573" t="s">
        <v>2344</v>
      </c>
      <c r="F1573" t="s">
        <v>2344</v>
      </c>
      <c r="G1573" t="s">
        <v>2344</v>
      </c>
      <c r="H1573">
        <v>0</v>
      </c>
      <c r="I1573" t="s">
        <v>2344</v>
      </c>
      <c r="J1573" t="str">
        <f t="shared" si="97"/>
        <v>Over weight</v>
      </c>
      <c r="K1573" t="str">
        <f t="shared" si="100"/>
        <v>Normal</v>
      </c>
      <c r="L1573">
        <v>14</v>
      </c>
      <c r="M1573" t="s">
        <v>2360</v>
      </c>
      <c r="N1573">
        <v>1966</v>
      </c>
      <c r="O1573" s="8">
        <f t="shared" si="98"/>
        <v>24425</v>
      </c>
      <c r="P1573" s="10">
        <v>13430.27</v>
      </c>
      <c r="Q1573" t="s">
        <v>2358</v>
      </c>
      <c r="R1573" t="s">
        <v>2358</v>
      </c>
      <c r="S1573" t="s">
        <v>2374</v>
      </c>
      <c r="T1573">
        <f t="shared" ca="1" si="99"/>
        <v>60</v>
      </c>
      <c r="U1573">
        <f>VLOOKUP($A1573,'Medical Examination'!$A:$Z,2,FALSE)</f>
        <v>29.355</v>
      </c>
    </row>
    <row r="1574" spans="1:21" ht="15.5" x14ac:dyDescent="0.35">
      <c r="A1574" s="2" t="s">
        <v>1574</v>
      </c>
      <c r="B1574" s="2" t="s">
        <v>4610</v>
      </c>
      <c r="C1574">
        <v>35.49</v>
      </c>
      <c r="D1574">
        <v>5.21</v>
      </c>
      <c r="E1574" t="s">
        <v>2346</v>
      </c>
      <c r="F1574" t="s">
        <v>2344</v>
      </c>
      <c r="G1574" t="s">
        <v>2346</v>
      </c>
      <c r="H1574">
        <v>1</v>
      </c>
      <c r="I1574" t="s">
        <v>2344</v>
      </c>
      <c r="J1574" t="str">
        <f t="shared" si="97"/>
        <v>Obesity</v>
      </c>
      <c r="K1574" t="str">
        <f t="shared" si="100"/>
        <v>Normal</v>
      </c>
      <c r="L1574">
        <v>29</v>
      </c>
      <c r="M1574" t="s">
        <v>2362</v>
      </c>
      <c r="N1574">
        <v>1975</v>
      </c>
      <c r="O1574" s="8">
        <f t="shared" si="98"/>
        <v>27574</v>
      </c>
      <c r="P1574" s="10">
        <v>13440.7</v>
      </c>
      <c r="Q1574" t="s">
        <v>2358</v>
      </c>
      <c r="R1574" t="s">
        <v>2357</v>
      </c>
      <c r="S1574" t="s">
        <v>2364</v>
      </c>
      <c r="T1574">
        <f t="shared" ca="1" si="99"/>
        <v>51</v>
      </c>
      <c r="U1574">
        <f>VLOOKUP($A1574,'Medical Examination'!$A:$Z,2,FALSE)</f>
        <v>35.49</v>
      </c>
    </row>
    <row r="1575" spans="1:21" ht="15.5" x14ac:dyDescent="0.35">
      <c r="A1575" s="2" t="s">
        <v>1575</v>
      </c>
      <c r="B1575" s="2" t="s">
        <v>4612</v>
      </c>
      <c r="C1575">
        <v>26.315000000000001</v>
      </c>
      <c r="D1575">
        <v>5.89</v>
      </c>
      <c r="E1575" t="s">
        <v>2344</v>
      </c>
      <c r="F1575" t="s">
        <v>2344</v>
      </c>
      <c r="G1575" t="s">
        <v>2344</v>
      </c>
      <c r="H1575">
        <v>0</v>
      </c>
      <c r="I1575" t="s">
        <v>2344</v>
      </c>
      <c r="J1575" t="str">
        <f t="shared" si="97"/>
        <v>Over weight</v>
      </c>
      <c r="K1575" t="str">
        <f t="shared" si="100"/>
        <v>Prediabetes</v>
      </c>
      <c r="L1575">
        <v>13</v>
      </c>
      <c r="M1575" t="s">
        <v>2366</v>
      </c>
      <c r="N1575">
        <v>1960</v>
      </c>
      <c r="O1575" s="8">
        <f t="shared" si="98"/>
        <v>22141</v>
      </c>
      <c r="P1575" s="10">
        <v>13451.12</v>
      </c>
      <c r="Q1575" t="s">
        <v>2358</v>
      </c>
      <c r="R1575" t="s">
        <v>2361</v>
      </c>
      <c r="S1575" t="s">
        <v>2368</v>
      </c>
      <c r="T1575">
        <f t="shared" ca="1" si="99"/>
        <v>66</v>
      </c>
      <c r="U1575">
        <f>VLOOKUP($A1575,'Medical Examination'!$A:$Z,2,FALSE)</f>
        <v>26.315000000000001</v>
      </c>
    </row>
    <row r="1576" spans="1:21" ht="15.5" x14ac:dyDescent="0.35">
      <c r="A1576" s="2" t="s">
        <v>1576</v>
      </c>
      <c r="B1576" s="2" t="s">
        <v>4614</v>
      </c>
      <c r="C1576">
        <v>19.79</v>
      </c>
      <c r="D1576">
        <v>4.8099999999999996</v>
      </c>
      <c r="E1576" t="s">
        <v>2346</v>
      </c>
      <c r="F1576" t="s">
        <v>2344</v>
      </c>
      <c r="G1576" t="s">
        <v>2344</v>
      </c>
      <c r="H1576">
        <v>0</v>
      </c>
      <c r="I1576" t="s">
        <v>2344</v>
      </c>
      <c r="J1576" t="str">
        <f t="shared" si="97"/>
        <v>Normal Weight</v>
      </c>
      <c r="K1576" t="str">
        <f t="shared" si="100"/>
        <v>Normal</v>
      </c>
      <c r="L1576">
        <v>11</v>
      </c>
      <c r="M1576" t="s">
        <v>2356</v>
      </c>
      <c r="N1576">
        <v>1960</v>
      </c>
      <c r="O1576" s="8">
        <f t="shared" si="98"/>
        <v>22108</v>
      </c>
      <c r="P1576" s="10">
        <v>13457.96</v>
      </c>
      <c r="Q1576" t="s">
        <v>2358</v>
      </c>
      <c r="R1576" t="s">
        <v>2361</v>
      </c>
      <c r="S1576" t="s">
        <v>2359</v>
      </c>
      <c r="T1576">
        <f t="shared" ca="1" si="99"/>
        <v>66</v>
      </c>
      <c r="U1576">
        <f>VLOOKUP($A1576,'Medical Examination'!$A:$Z,2,FALSE)</f>
        <v>19.79</v>
      </c>
    </row>
    <row r="1577" spans="1:21" ht="15.5" x14ac:dyDescent="0.35">
      <c r="A1577" s="2" t="s">
        <v>1577</v>
      </c>
      <c r="B1577" s="2" t="s">
        <v>3325</v>
      </c>
      <c r="C1577">
        <v>40.564999999999998</v>
      </c>
      <c r="D1577">
        <v>5.66</v>
      </c>
      <c r="E1577" t="s">
        <v>2344</v>
      </c>
      <c r="F1577" t="s">
        <v>2344</v>
      </c>
      <c r="G1577" t="s">
        <v>2344</v>
      </c>
      <c r="H1577">
        <v>1</v>
      </c>
      <c r="I1577" t="s">
        <v>2344</v>
      </c>
      <c r="J1577" t="str">
        <f t="shared" si="97"/>
        <v>Obesity</v>
      </c>
      <c r="K1577" t="str">
        <f t="shared" si="100"/>
        <v>Normal</v>
      </c>
      <c r="L1577">
        <v>16</v>
      </c>
      <c r="M1577" t="s">
        <v>2365</v>
      </c>
      <c r="N1577">
        <v>1960</v>
      </c>
      <c r="O1577" s="8">
        <f t="shared" si="98"/>
        <v>22266</v>
      </c>
      <c r="P1577" s="10">
        <v>13462.52</v>
      </c>
      <c r="Q1577" t="s">
        <v>2358</v>
      </c>
      <c r="R1577" t="s">
        <v>2357</v>
      </c>
      <c r="S1577" t="s">
        <v>2368</v>
      </c>
      <c r="T1577">
        <f t="shared" ca="1" si="99"/>
        <v>66</v>
      </c>
      <c r="U1577">
        <f>VLOOKUP($A1577,'Medical Examination'!$A:$Z,2,FALSE)</f>
        <v>40.564999999999998</v>
      </c>
    </row>
    <row r="1578" spans="1:21" ht="15.5" x14ac:dyDescent="0.35">
      <c r="A1578" s="2" t="s">
        <v>1578</v>
      </c>
      <c r="B1578" s="2" t="s">
        <v>4616</v>
      </c>
      <c r="C1578">
        <v>18.03</v>
      </c>
      <c r="D1578">
        <v>10.66</v>
      </c>
      <c r="E1578" t="s">
        <v>2346</v>
      </c>
      <c r="F1578" t="s">
        <v>2344</v>
      </c>
      <c r="G1578" t="s">
        <v>2344</v>
      </c>
      <c r="H1578">
        <v>1</v>
      </c>
      <c r="I1578" t="s">
        <v>2344</v>
      </c>
      <c r="J1578" t="str">
        <f t="shared" si="97"/>
        <v>Under Weight</v>
      </c>
      <c r="K1578" t="str">
        <f t="shared" si="100"/>
        <v>Diabetes</v>
      </c>
      <c r="L1578">
        <v>19</v>
      </c>
      <c r="M1578" t="s">
        <v>2366</v>
      </c>
      <c r="N1578">
        <v>1985</v>
      </c>
      <c r="O1578" s="8">
        <f t="shared" si="98"/>
        <v>31278</v>
      </c>
      <c r="P1578" s="10">
        <v>13465.8</v>
      </c>
      <c r="Q1578" t="s">
        <v>2358</v>
      </c>
      <c r="R1578" t="s">
        <v>2361</v>
      </c>
      <c r="S1578" t="s">
        <v>2364</v>
      </c>
      <c r="T1578">
        <f t="shared" ca="1" si="99"/>
        <v>41</v>
      </c>
      <c r="U1578">
        <f>VLOOKUP($A1578,'Medical Examination'!$A:$Z,2,FALSE)</f>
        <v>18.03</v>
      </c>
    </row>
    <row r="1579" spans="1:21" ht="15.5" x14ac:dyDescent="0.35">
      <c r="A1579" s="2" t="s">
        <v>1579</v>
      </c>
      <c r="B1579" s="2" t="s">
        <v>4617</v>
      </c>
      <c r="C1579">
        <v>34.65</v>
      </c>
      <c r="D1579">
        <v>5.98</v>
      </c>
      <c r="E1579" t="s">
        <v>2346</v>
      </c>
      <c r="F1579" t="s">
        <v>2344</v>
      </c>
      <c r="G1579" t="s">
        <v>2344</v>
      </c>
      <c r="H1579">
        <v>0</v>
      </c>
      <c r="I1579" t="s">
        <v>2344</v>
      </c>
      <c r="J1579" t="str">
        <f t="shared" si="97"/>
        <v>Obesity</v>
      </c>
      <c r="K1579" t="str">
        <f t="shared" si="100"/>
        <v>Prediabetes</v>
      </c>
      <c r="L1579">
        <v>28</v>
      </c>
      <c r="M1579" t="s">
        <v>2356</v>
      </c>
      <c r="N1579">
        <v>1960</v>
      </c>
      <c r="O1579" s="8">
        <f t="shared" si="98"/>
        <v>22125</v>
      </c>
      <c r="P1579" s="10">
        <v>13470.8</v>
      </c>
      <c r="Q1579" t="s">
        <v>2358</v>
      </c>
      <c r="R1579" t="s">
        <v>2357</v>
      </c>
      <c r="S1579" t="s">
        <v>2359</v>
      </c>
      <c r="T1579">
        <f t="shared" ca="1" si="99"/>
        <v>66</v>
      </c>
      <c r="U1579">
        <f>VLOOKUP($A1579,'Medical Examination'!$A:$Z,2,FALSE)</f>
        <v>34.65</v>
      </c>
    </row>
    <row r="1580" spans="1:21" ht="15.5" x14ac:dyDescent="0.35">
      <c r="A1580" s="2" t="s">
        <v>1580</v>
      </c>
      <c r="B1580" s="2" t="s">
        <v>3462</v>
      </c>
      <c r="C1580">
        <v>42.94</v>
      </c>
      <c r="D1580">
        <v>4.34</v>
      </c>
      <c r="E1580" t="s">
        <v>2344</v>
      </c>
      <c r="F1580" t="s">
        <v>2344</v>
      </c>
      <c r="G1580" t="s">
        <v>2344</v>
      </c>
      <c r="H1580">
        <v>0</v>
      </c>
      <c r="I1580" t="s">
        <v>2344</v>
      </c>
      <c r="J1580" t="str">
        <f t="shared" si="97"/>
        <v>Obesity</v>
      </c>
      <c r="K1580" t="str">
        <f t="shared" si="100"/>
        <v>Normal</v>
      </c>
      <c r="L1580">
        <v>24</v>
      </c>
      <c r="M1580" t="s">
        <v>2356</v>
      </c>
      <c r="N1580">
        <v>1960</v>
      </c>
      <c r="O1580" s="8">
        <f t="shared" si="98"/>
        <v>22121</v>
      </c>
      <c r="P1580" s="10">
        <v>13470.86</v>
      </c>
      <c r="Q1580" t="s">
        <v>2358</v>
      </c>
      <c r="R1580" t="s">
        <v>2358</v>
      </c>
      <c r="S1580" t="s">
        <v>2368</v>
      </c>
      <c r="T1580">
        <f t="shared" ca="1" si="99"/>
        <v>66</v>
      </c>
      <c r="U1580">
        <f>VLOOKUP($A1580,'Medical Examination'!$A:$Z,2,FALSE)</f>
        <v>42.94</v>
      </c>
    </row>
    <row r="1581" spans="1:21" ht="15.5" x14ac:dyDescent="0.35">
      <c r="A1581" s="2" t="s">
        <v>1581</v>
      </c>
      <c r="B1581" s="2" t="s">
        <v>4620</v>
      </c>
      <c r="C1581">
        <v>31.254999999999999</v>
      </c>
      <c r="D1581">
        <v>5.17</v>
      </c>
      <c r="E1581" t="s">
        <v>2344</v>
      </c>
      <c r="F1581" t="s">
        <v>2344</v>
      </c>
      <c r="G1581" t="s">
        <v>2344</v>
      </c>
      <c r="H1581">
        <v>0</v>
      </c>
      <c r="I1581" t="s">
        <v>2344</v>
      </c>
      <c r="J1581" t="str">
        <f t="shared" si="97"/>
        <v>Obesity</v>
      </c>
      <c r="K1581" t="str">
        <f t="shared" si="100"/>
        <v>Normal</v>
      </c>
      <c r="L1581">
        <v>7</v>
      </c>
      <c r="M1581" t="s">
        <v>2366</v>
      </c>
      <c r="N1581">
        <v>1975</v>
      </c>
      <c r="O1581" s="8">
        <f t="shared" si="98"/>
        <v>27613</v>
      </c>
      <c r="P1581" s="10">
        <v>13472.19</v>
      </c>
      <c r="Q1581" t="s">
        <v>2358</v>
      </c>
      <c r="R1581" t="s">
        <v>2357</v>
      </c>
      <c r="S1581" t="s">
        <v>2364</v>
      </c>
      <c r="T1581">
        <f t="shared" ca="1" si="99"/>
        <v>51</v>
      </c>
      <c r="U1581">
        <f>VLOOKUP($A1581,'Medical Examination'!$A:$Z,2,FALSE)</f>
        <v>31.254999999999999</v>
      </c>
    </row>
    <row r="1582" spans="1:21" ht="15.5" x14ac:dyDescent="0.35">
      <c r="A1582" s="2" t="s">
        <v>1582</v>
      </c>
      <c r="B1582" s="2" t="s">
        <v>4621</v>
      </c>
      <c r="C1582">
        <v>45.43</v>
      </c>
      <c r="D1582">
        <v>4.2300000000000004</v>
      </c>
      <c r="E1582" t="s">
        <v>2346</v>
      </c>
      <c r="F1582" t="s">
        <v>2344</v>
      </c>
      <c r="G1582" t="s">
        <v>2346</v>
      </c>
      <c r="H1582">
        <v>1</v>
      </c>
      <c r="I1582" t="s">
        <v>2344</v>
      </c>
      <c r="J1582" t="str">
        <f t="shared" si="97"/>
        <v>Obesity</v>
      </c>
      <c r="K1582" t="str">
        <f t="shared" si="100"/>
        <v>Normal</v>
      </c>
      <c r="L1582">
        <v>30</v>
      </c>
      <c r="M1582" t="s">
        <v>2366</v>
      </c>
      <c r="N1582">
        <v>1990</v>
      </c>
      <c r="O1582" s="8">
        <f t="shared" si="98"/>
        <v>33115</v>
      </c>
      <c r="P1582" s="10">
        <v>13480.83</v>
      </c>
      <c r="Q1582" t="s">
        <v>2358</v>
      </c>
      <c r="R1582" t="s">
        <v>2357</v>
      </c>
      <c r="S1582" t="s">
        <v>2375</v>
      </c>
      <c r="T1582">
        <f t="shared" ca="1" si="99"/>
        <v>36</v>
      </c>
      <c r="U1582">
        <f>VLOOKUP($A1582,'Medical Examination'!$A:$Z,2,FALSE)</f>
        <v>45.43</v>
      </c>
    </row>
    <row r="1583" spans="1:21" ht="15.5" x14ac:dyDescent="0.35">
      <c r="A1583" s="2" t="s">
        <v>1583</v>
      </c>
      <c r="B1583" s="2" t="s">
        <v>3005</v>
      </c>
      <c r="C1583">
        <v>32.340000000000003</v>
      </c>
      <c r="D1583">
        <v>4.88</v>
      </c>
      <c r="E1583" t="s">
        <v>2346</v>
      </c>
      <c r="F1583" t="s">
        <v>2344</v>
      </c>
      <c r="G1583" t="s">
        <v>2346</v>
      </c>
      <c r="H1583">
        <v>1</v>
      </c>
      <c r="I1583" t="s">
        <v>2344</v>
      </c>
      <c r="J1583" t="str">
        <f t="shared" si="97"/>
        <v>Obesity</v>
      </c>
      <c r="K1583" t="str">
        <f t="shared" si="100"/>
        <v>Normal</v>
      </c>
      <c r="L1583">
        <v>14</v>
      </c>
      <c r="M1583" t="s">
        <v>2367</v>
      </c>
      <c r="N1583">
        <v>1963</v>
      </c>
      <c r="O1583" s="8">
        <f t="shared" si="98"/>
        <v>23298</v>
      </c>
      <c r="P1583" s="10">
        <v>13511.28</v>
      </c>
      <c r="Q1583" t="s">
        <v>2358</v>
      </c>
      <c r="R1583" t="s">
        <v>2361</v>
      </c>
      <c r="S1583" t="s">
        <v>2364</v>
      </c>
      <c r="T1583">
        <f t="shared" ca="1" si="99"/>
        <v>63</v>
      </c>
      <c r="U1583">
        <f>VLOOKUP($A1583,'Medical Examination'!$A:$Z,2,FALSE)</f>
        <v>32.340000000000003</v>
      </c>
    </row>
    <row r="1584" spans="1:21" ht="15.5" x14ac:dyDescent="0.35">
      <c r="A1584" s="2" t="s">
        <v>1584</v>
      </c>
      <c r="B1584" s="2" t="s">
        <v>4622</v>
      </c>
      <c r="C1584">
        <v>25.46</v>
      </c>
      <c r="D1584">
        <v>9.7100000000000009</v>
      </c>
      <c r="E1584" t="s">
        <v>2346</v>
      </c>
      <c r="F1584" t="s">
        <v>2344</v>
      </c>
      <c r="G1584" t="s">
        <v>2344</v>
      </c>
      <c r="H1584">
        <v>1</v>
      </c>
      <c r="I1584" t="s">
        <v>2344</v>
      </c>
      <c r="J1584" t="str">
        <f t="shared" si="97"/>
        <v>Over weight</v>
      </c>
      <c r="K1584" t="str">
        <f t="shared" si="100"/>
        <v>Diabetes</v>
      </c>
      <c r="L1584">
        <v>11</v>
      </c>
      <c r="M1584" t="s">
        <v>2356</v>
      </c>
      <c r="N1584">
        <v>1960</v>
      </c>
      <c r="O1584" s="8">
        <f t="shared" si="98"/>
        <v>22108</v>
      </c>
      <c r="P1584" s="10">
        <v>13555</v>
      </c>
      <c r="Q1584" t="s">
        <v>2358</v>
      </c>
      <c r="R1584" t="s">
        <v>2358</v>
      </c>
      <c r="S1584" t="s">
        <v>2378</v>
      </c>
      <c r="T1584">
        <f t="shared" ca="1" si="99"/>
        <v>66</v>
      </c>
      <c r="U1584">
        <f>VLOOKUP($A1584,'Medical Examination'!$A:$Z,2,FALSE)</f>
        <v>25.46</v>
      </c>
    </row>
    <row r="1585" spans="1:21" ht="15.5" x14ac:dyDescent="0.35">
      <c r="A1585" s="2" t="s">
        <v>1585</v>
      </c>
      <c r="B1585" s="2" t="s">
        <v>4624</v>
      </c>
      <c r="C1585">
        <v>37.145000000000003</v>
      </c>
      <c r="D1585">
        <v>5.32</v>
      </c>
      <c r="E1585" t="s">
        <v>2344</v>
      </c>
      <c r="F1585" t="s">
        <v>2344</v>
      </c>
      <c r="G1585" t="s">
        <v>2344</v>
      </c>
      <c r="H1585">
        <v>0</v>
      </c>
      <c r="I1585" t="s">
        <v>2344</v>
      </c>
      <c r="J1585" t="str">
        <f t="shared" si="97"/>
        <v>Obesity</v>
      </c>
      <c r="K1585" t="str">
        <f t="shared" si="100"/>
        <v>Normal</v>
      </c>
      <c r="L1585">
        <v>15</v>
      </c>
      <c r="M1585" t="s">
        <v>2356</v>
      </c>
      <c r="N1585">
        <v>1968</v>
      </c>
      <c r="O1585" s="8">
        <f t="shared" si="98"/>
        <v>25034</v>
      </c>
      <c r="P1585" s="10">
        <v>13566.04</v>
      </c>
      <c r="Q1585" t="s">
        <v>2358</v>
      </c>
      <c r="R1585" t="s">
        <v>2358</v>
      </c>
      <c r="S1585" t="s">
        <v>2380</v>
      </c>
      <c r="T1585">
        <f t="shared" ca="1" si="99"/>
        <v>58</v>
      </c>
      <c r="U1585">
        <f>VLOOKUP($A1585,'Medical Examination'!$A:$Z,2,FALSE)</f>
        <v>37.145000000000003</v>
      </c>
    </row>
    <row r="1586" spans="1:21" ht="15.5" x14ac:dyDescent="0.35">
      <c r="A1586" s="2" t="s">
        <v>1586</v>
      </c>
      <c r="B1586" s="2" t="s">
        <v>4626</v>
      </c>
      <c r="C1586">
        <v>30.8</v>
      </c>
      <c r="D1586">
        <v>5.83</v>
      </c>
      <c r="E1586" t="s">
        <v>2346</v>
      </c>
      <c r="F1586" t="s">
        <v>2344</v>
      </c>
      <c r="G1586" t="s">
        <v>2344</v>
      </c>
      <c r="H1586">
        <v>0</v>
      </c>
      <c r="I1586" t="s">
        <v>2344</v>
      </c>
      <c r="J1586" t="str">
        <f t="shared" si="97"/>
        <v>Obesity</v>
      </c>
      <c r="K1586" t="str">
        <f t="shared" si="100"/>
        <v>Prediabetes</v>
      </c>
      <c r="L1586">
        <v>14</v>
      </c>
      <c r="M1586" t="s">
        <v>2366</v>
      </c>
      <c r="N1586">
        <v>1992</v>
      </c>
      <c r="O1586" s="8">
        <f t="shared" si="98"/>
        <v>33830</v>
      </c>
      <c r="P1586" s="10">
        <v>13588.17</v>
      </c>
      <c r="Q1586" t="s">
        <v>2358</v>
      </c>
      <c r="R1586" t="s">
        <v>2361</v>
      </c>
      <c r="S1586" t="s">
        <v>2364</v>
      </c>
      <c r="T1586">
        <f t="shared" ca="1" si="99"/>
        <v>34</v>
      </c>
      <c r="U1586">
        <f>VLOOKUP($A1586,'Medical Examination'!$A:$Z,2,FALSE)</f>
        <v>30.8</v>
      </c>
    </row>
    <row r="1587" spans="1:21" ht="15.5" x14ac:dyDescent="0.35">
      <c r="A1587" s="2" t="s">
        <v>1587</v>
      </c>
      <c r="B1587" s="2" t="s">
        <v>4628</v>
      </c>
      <c r="C1587">
        <v>29.5</v>
      </c>
      <c r="D1587">
        <v>5.54</v>
      </c>
      <c r="E1587" t="s">
        <v>2346</v>
      </c>
      <c r="F1587" t="s">
        <v>2344</v>
      </c>
      <c r="G1587" t="s">
        <v>2344</v>
      </c>
      <c r="H1587">
        <v>0</v>
      </c>
      <c r="I1587" t="s">
        <v>2344</v>
      </c>
      <c r="J1587" t="str">
        <f t="shared" si="97"/>
        <v>Over weight</v>
      </c>
      <c r="K1587" t="str">
        <f t="shared" si="100"/>
        <v>Normal</v>
      </c>
      <c r="L1587">
        <v>10</v>
      </c>
      <c r="M1587" t="s">
        <v>2363</v>
      </c>
      <c r="N1587">
        <v>1964</v>
      </c>
      <c r="O1587" s="8">
        <f t="shared" si="98"/>
        <v>23630</v>
      </c>
      <c r="P1587" s="10">
        <v>13607.37</v>
      </c>
      <c r="Q1587" t="s">
        <v>2358</v>
      </c>
      <c r="R1587" t="s">
        <v>2361</v>
      </c>
      <c r="S1587" t="s">
        <v>2374</v>
      </c>
      <c r="T1587">
        <f t="shared" ca="1" si="99"/>
        <v>62</v>
      </c>
      <c r="U1587">
        <f>VLOOKUP($A1587,'Medical Examination'!$A:$Z,2,FALSE)</f>
        <v>29.5</v>
      </c>
    </row>
    <row r="1588" spans="1:21" ht="15.5" x14ac:dyDescent="0.35">
      <c r="A1588" s="2" t="s">
        <v>1588</v>
      </c>
      <c r="B1588" s="2" t="s">
        <v>4630</v>
      </c>
      <c r="C1588">
        <v>43.39</v>
      </c>
      <c r="D1588">
        <v>5.85</v>
      </c>
      <c r="E1588" t="s">
        <v>2344</v>
      </c>
      <c r="F1588" t="s">
        <v>2345</v>
      </c>
      <c r="G1588" t="s">
        <v>2344</v>
      </c>
      <c r="H1588">
        <v>1</v>
      </c>
      <c r="I1588" t="s">
        <v>2344</v>
      </c>
      <c r="J1588" t="str">
        <f t="shared" si="97"/>
        <v>Obesity</v>
      </c>
      <c r="K1588" t="str">
        <f t="shared" si="100"/>
        <v>Prediabetes</v>
      </c>
      <c r="L1588">
        <v>18</v>
      </c>
      <c r="M1588" t="s">
        <v>2360</v>
      </c>
      <c r="N1588">
        <v>1961</v>
      </c>
      <c r="O1588" s="8">
        <f t="shared" si="98"/>
        <v>22603</v>
      </c>
      <c r="P1588" s="10">
        <v>13616.36</v>
      </c>
      <c r="Q1588" t="s">
        <v>2358</v>
      </c>
      <c r="R1588" t="s">
        <v>2358</v>
      </c>
      <c r="S1588" t="s">
        <v>2374</v>
      </c>
      <c r="T1588">
        <f t="shared" ca="1" si="99"/>
        <v>65</v>
      </c>
      <c r="U1588">
        <f>VLOOKUP($A1588,'Medical Examination'!$A:$Z,2,FALSE)</f>
        <v>43.39</v>
      </c>
    </row>
    <row r="1589" spans="1:21" ht="15.5" x14ac:dyDescent="0.35">
      <c r="A1589" s="2" t="s">
        <v>1589</v>
      </c>
      <c r="B1589" s="2" t="s">
        <v>4632</v>
      </c>
      <c r="C1589">
        <v>15.08</v>
      </c>
      <c r="D1589">
        <v>4.8499999999999996</v>
      </c>
      <c r="E1589" t="s">
        <v>2346</v>
      </c>
      <c r="F1589" t="s">
        <v>2344</v>
      </c>
      <c r="G1589" t="s">
        <v>2346</v>
      </c>
      <c r="H1589">
        <v>1</v>
      </c>
      <c r="I1589" t="s">
        <v>2344</v>
      </c>
      <c r="J1589" t="str">
        <f t="shared" si="97"/>
        <v>Under Weight</v>
      </c>
      <c r="K1589" t="str">
        <f t="shared" si="100"/>
        <v>Normal</v>
      </c>
      <c r="L1589">
        <v>26</v>
      </c>
      <c r="M1589" t="s">
        <v>2356</v>
      </c>
      <c r="N1589">
        <v>1969</v>
      </c>
      <c r="O1589" s="8">
        <f t="shared" si="98"/>
        <v>25410</v>
      </c>
      <c r="P1589" s="10">
        <v>13622.01</v>
      </c>
      <c r="Q1589" t="s">
        <v>2358</v>
      </c>
      <c r="R1589" t="s">
        <v>2358</v>
      </c>
      <c r="S1589" t="s">
        <v>2364</v>
      </c>
      <c r="T1589">
        <f t="shared" ca="1" si="99"/>
        <v>57</v>
      </c>
      <c r="U1589">
        <f>VLOOKUP($A1589,'Medical Examination'!$A:$Z,2,FALSE)</f>
        <v>15.08</v>
      </c>
    </row>
    <row r="1590" spans="1:21" ht="15.5" x14ac:dyDescent="0.35">
      <c r="A1590" s="2" t="s">
        <v>1590</v>
      </c>
      <c r="B1590" s="2" t="s">
        <v>4633</v>
      </c>
      <c r="C1590">
        <v>20.48</v>
      </c>
      <c r="D1590">
        <v>11.09</v>
      </c>
      <c r="E1590" t="s">
        <v>2344</v>
      </c>
      <c r="F1590" t="s">
        <v>2344</v>
      </c>
      <c r="G1590" t="s">
        <v>2344</v>
      </c>
      <c r="H1590">
        <v>0</v>
      </c>
      <c r="I1590" t="s">
        <v>2344</v>
      </c>
      <c r="J1590" t="str">
        <f t="shared" si="97"/>
        <v>Normal Weight</v>
      </c>
      <c r="K1590" t="str">
        <f t="shared" si="100"/>
        <v>Diabetes</v>
      </c>
      <c r="L1590">
        <v>24</v>
      </c>
      <c r="M1590" t="s">
        <v>2365</v>
      </c>
      <c r="N1590">
        <v>1961</v>
      </c>
      <c r="O1590" s="8">
        <f t="shared" si="98"/>
        <v>22639</v>
      </c>
      <c r="P1590" s="10">
        <v>13635.64</v>
      </c>
      <c r="Q1590" t="s">
        <v>2358</v>
      </c>
      <c r="R1590" t="s">
        <v>2358</v>
      </c>
      <c r="S1590" t="s">
        <v>2374</v>
      </c>
      <c r="T1590">
        <f t="shared" ca="1" si="99"/>
        <v>65</v>
      </c>
      <c r="U1590">
        <f>VLOOKUP($A1590,'Medical Examination'!$A:$Z,2,FALSE)</f>
        <v>20.48</v>
      </c>
    </row>
    <row r="1591" spans="1:21" ht="15.5" x14ac:dyDescent="0.35">
      <c r="A1591" s="2" t="s">
        <v>1591</v>
      </c>
      <c r="B1591" s="2" t="s">
        <v>2946</v>
      </c>
      <c r="C1591">
        <v>34.450000000000003</v>
      </c>
      <c r="D1591">
        <v>5.58</v>
      </c>
      <c r="E1591" t="s">
        <v>2346</v>
      </c>
      <c r="F1591" t="s">
        <v>2344</v>
      </c>
      <c r="G1591" t="s">
        <v>2344</v>
      </c>
      <c r="H1591">
        <v>0</v>
      </c>
      <c r="I1591" t="s">
        <v>2344</v>
      </c>
      <c r="J1591" t="str">
        <f t="shared" si="97"/>
        <v>Obesity</v>
      </c>
      <c r="K1591" t="str">
        <f t="shared" si="100"/>
        <v>Normal</v>
      </c>
      <c r="L1591">
        <v>20</v>
      </c>
      <c r="M1591" t="s">
        <v>2356</v>
      </c>
      <c r="N1591">
        <v>1984</v>
      </c>
      <c r="O1591" s="8">
        <f t="shared" si="98"/>
        <v>30883</v>
      </c>
      <c r="P1591" s="10">
        <v>13638.06</v>
      </c>
      <c r="Q1591" t="s">
        <v>2358</v>
      </c>
      <c r="R1591" t="s">
        <v>2358</v>
      </c>
      <c r="S1591" t="s">
        <v>2375</v>
      </c>
      <c r="T1591">
        <f t="shared" ca="1" si="99"/>
        <v>42</v>
      </c>
      <c r="U1591">
        <f>VLOOKUP($A1591,'Medical Examination'!$A:$Z,2,FALSE)</f>
        <v>34.450000000000003</v>
      </c>
    </row>
    <row r="1592" spans="1:21" ht="15.5" x14ac:dyDescent="0.35">
      <c r="A1592" s="2" t="s">
        <v>1592</v>
      </c>
      <c r="B1592" s="2" t="s">
        <v>4635</v>
      </c>
      <c r="C1592">
        <v>34.21</v>
      </c>
      <c r="D1592">
        <v>9.7200000000000006</v>
      </c>
      <c r="E1592" t="s">
        <v>2346</v>
      </c>
      <c r="F1592" t="s">
        <v>2344</v>
      </c>
      <c r="G1592" t="s">
        <v>2344</v>
      </c>
      <c r="H1592">
        <v>0</v>
      </c>
      <c r="I1592" t="s">
        <v>2344</v>
      </c>
      <c r="J1592" t="str">
        <f t="shared" si="97"/>
        <v>Obesity</v>
      </c>
      <c r="K1592" t="str">
        <f t="shared" si="100"/>
        <v>Diabetes</v>
      </c>
      <c r="L1592">
        <v>4</v>
      </c>
      <c r="M1592" t="s">
        <v>2366</v>
      </c>
      <c r="N1592">
        <v>1963</v>
      </c>
      <c r="O1592" s="8">
        <f t="shared" si="98"/>
        <v>23227</v>
      </c>
      <c r="P1592" s="10">
        <v>13677.68</v>
      </c>
      <c r="Q1592" t="s">
        <v>2358</v>
      </c>
      <c r="R1592" t="s">
        <v>2357</v>
      </c>
      <c r="S1592" t="s">
        <v>2377</v>
      </c>
      <c r="T1592">
        <f t="shared" ca="1" si="99"/>
        <v>63</v>
      </c>
      <c r="U1592">
        <f>VLOOKUP($A1592,'Medical Examination'!$A:$Z,2,FALSE)</f>
        <v>34.21</v>
      </c>
    </row>
    <row r="1593" spans="1:21" ht="15.5" x14ac:dyDescent="0.35">
      <c r="A1593" s="2" t="s">
        <v>1593</v>
      </c>
      <c r="B1593" s="2" t="s">
        <v>4636</v>
      </c>
      <c r="C1593">
        <v>28.8</v>
      </c>
      <c r="D1593">
        <v>11.41</v>
      </c>
      <c r="E1593" t="s">
        <v>2346</v>
      </c>
      <c r="F1593" t="s">
        <v>2344</v>
      </c>
      <c r="G1593" t="s">
        <v>2344</v>
      </c>
      <c r="H1593">
        <v>0</v>
      </c>
      <c r="I1593" t="s">
        <v>2344</v>
      </c>
      <c r="J1593" t="str">
        <f t="shared" si="97"/>
        <v>Over weight</v>
      </c>
      <c r="K1593" t="str">
        <f t="shared" si="100"/>
        <v>Diabetes</v>
      </c>
      <c r="L1593">
        <v>14</v>
      </c>
      <c r="M1593" t="s">
        <v>2363</v>
      </c>
      <c r="N1593">
        <v>1985</v>
      </c>
      <c r="O1593" s="8">
        <f t="shared" si="98"/>
        <v>31304</v>
      </c>
      <c r="P1593" s="10">
        <v>13685.51</v>
      </c>
      <c r="Q1593" t="s">
        <v>2358</v>
      </c>
      <c r="R1593" t="s">
        <v>2361</v>
      </c>
      <c r="S1593" t="s">
        <v>2380</v>
      </c>
      <c r="T1593">
        <f t="shared" ca="1" si="99"/>
        <v>41</v>
      </c>
      <c r="U1593">
        <f>VLOOKUP($A1593,'Medical Examination'!$A:$Z,2,FALSE)</f>
        <v>28.8</v>
      </c>
    </row>
    <row r="1594" spans="1:21" ht="15.5" x14ac:dyDescent="0.35">
      <c r="A1594" s="2" t="s">
        <v>1594</v>
      </c>
      <c r="B1594" s="2" t="s">
        <v>4637</v>
      </c>
      <c r="C1594">
        <v>31.74</v>
      </c>
      <c r="D1594">
        <v>4.46</v>
      </c>
      <c r="E1594" t="s">
        <v>2344</v>
      </c>
      <c r="F1594" t="s">
        <v>2344</v>
      </c>
      <c r="G1594" t="s">
        <v>2346</v>
      </c>
      <c r="H1594">
        <v>1</v>
      </c>
      <c r="I1594" t="s">
        <v>2344</v>
      </c>
      <c r="J1594" t="str">
        <f t="shared" si="97"/>
        <v>Obesity</v>
      </c>
      <c r="K1594" t="str">
        <f t="shared" si="100"/>
        <v>Normal</v>
      </c>
      <c r="L1594">
        <v>24</v>
      </c>
      <c r="M1594" t="s">
        <v>2360</v>
      </c>
      <c r="N1594">
        <v>1986</v>
      </c>
      <c r="O1594" s="8">
        <f t="shared" si="98"/>
        <v>31740</v>
      </c>
      <c r="P1594" s="10">
        <v>13714.55</v>
      </c>
      <c r="Q1594" t="s">
        <v>2358</v>
      </c>
      <c r="R1594" t="s">
        <v>2357</v>
      </c>
      <c r="S1594" t="s">
        <v>2375</v>
      </c>
      <c r="T1594">
        <f t="shared" ca="1" si="99"/>
        <v>40</v>
      </c>
      <c r="U1594">
        <f>VLOOKUP($A1594,'Medical Examination'!$A:$Z,2,FALSE)</f>
        <v>31.74</v>
      </c>
    </row>
    <row r="1595" spans="1:21" ht="15.5" x14ac:dyDescent="0.35">
      <c r="A1595" s="2" t="s">
        <v>1595</v>
      </c>
      <c r="B1595" s="2" t="s">
        <v>4638</v>
      </c>
      <c r="C1595">
        <v>21.78</v>
      </c>
      <c r="D1595">
        <v>9.31</v>
      </c>
      <c r="E1595" t="s">
        <v>2346</v>
      </c>
      <c r="F1595" t="s">
        <v>2344</v>
      </c>
      <c r="G1595" t="s">
        <v>2344</v>
      </c>
      <c r="H1595">
        <v>0</v>
      </c>
      <c r="I1595" t="s">
        <v>2344</v>
      </c>
      <c r="J1595" t="str">
        <f t="shared" si="97"/>
        <v>Normal Weight</v>
      </c>
      <c r="K1595" t="str">
        <f t="shared" si="100"/>
        <v>Diabetes</v>
      </c>
      <c r="L1595">
        <v>2</v>
      </c>
      <c r="M1595" t="s">
        <v>2366</v>
      </c>
      <c r="N1595">
        <v>1981</v>
      </c>
      <c r="O1595" s="8">
        <f t="shared" si="98"/>
        <v>29800</v>
      </c>
      <c r="P1595" s="10">
        <v>13725.47</v>
      </c>
      <c r="Q1595" t="s">
        <v>2358</v>
      </c>
      <c r="R1595" t="s">
        <v>2357</v>
      </c>
      <c r="S1595" t="s">
        <v>2374</v>
      </c>
      <c r="T1595">
        <f t="shared" ca="1" si="99"/>
        <v>45</v>
      </c>
      <c r="U1595">
        <f>VLOOKUP($A1595,'Medical Examination'!$A:$Z,2,FALSE)</f>
        <v>21.78</v>
      </c>
    </row>
    <row r="1596" spans="1:21" ht="15.5" x14ac:dyDescent="0.35">
      <c r="A1596" s="2" t="s">
        <v>1596</v>
      </c>
      <c r="B1596" s="2" t="s">
        <v>4639</v>
      </c>
      <c r="C1596">
        <v>23.75</v>
      </c>
      <c r="D1596">
        <v>5.03</v>
      </c>
      <c r="E1596" t="s">
        <v>2344</v>
      </c>
      <c r="F1596" t="s">
        <v>2344</v>
      </c>
      <c r="G1596" t="s">
        <v>2344</v>
      </c>
      <c r="H1596">
        <v>1</v>
      </c>
      <c r="I1596" t="s">
        <v>2344</v>
      </c>
      <c r="J1596" t="str">
        <f t="shared" si="97"/>
        <v>Normal Weight</v>
      </c>
      <c r="K1596" t="str">
        <f t="shared" si="100"/>
        <v>Normal</v>
      </c>
      <c r="L1596">
        <v>29</v>
      </c>
      <c r="M1596" t="s">
        <v>2366</v>
      </c>
      <c r="N1596">
        <v>1985</v>
      </c>
      <c r="O1596" s="8">
        <f t="shared" si="98"/>
        <v>31288</v>
      </c>
      <c r="P1596" s="10">
        <v>13726.21</v>
      </c>
      <c r="Q1596" t="s">
        <v>2358</v>
      </c>
      <c r="R1596" t="s">
        <v>2358</v>
      </c>
      <c r="S1596" t="s">
        <v>2380</v>
      </c>
      <c r="T1596">
        <f t="shared" ca="1" si="99"/>
        <v>41</v>
      </c>
      <c r="U1596">
        <f>VLOOKUP($A1596,'Medical Examination'!$A:$Z,2,FALSE)</f>
        <v>23.75</v>
      </c>
    </row>
    <row r="1597" spans="1:21" ht="15.5" x14ac:dyDescent="0.35">
      <c r="A1597" s="2" t="s">
        <v>1597</v>
      </c>
      <c r="B1597" s="2" t="s">
        <v>4640</v>
      </c>
      <c r="C1597">
        <v>33.21</v>
      </c>
      <c r="D1597">
        <v>5.07</v>
      </c>
      <c r="E1597" t="s">
        <v>2346</v>
      </c>
      <c r="F1597" t="s">
        <v>2344</v>
      </c>
      <c r="G1597" t="s">
        <v>2344</v>
      </c>
      <c r="H1597">
        <v>1</v>
      </c>
      <c r="I1597" t="s">
        <v>2344</v>
      </c>
      <c r="J1597" t="str">
        <f t="shared" si="97"/>
        <v>Obesity</v>
      </c>
      <c r="K1597" t="str">
        <f t="shared" si="100"/>
        <v>Normal</v>
      </c>
      <c r="L1597">
        <v>23</v>
      </c>
      <c r="M1597" t="s">
        <v>2367</v>
      </c>
      <c r="N1597">
        <v>1969</v>
      </c>
      <c r="O1597" s="8">
        <f t="shared" si="98"/>
        <v>25499</v>
      </c>
      <c r="P1597" s="10">
        <v>13746.74</v>
      </c>
      <c r="Q1597" t="s">
        <v>2358</v>
      </c>
      <c r="R1597" t="s">
        <v>2357</v>
      </c>
      <c r="S1597" t="s">
        <v>2380</v>
      </c>
      <c r="T1597">
        <f t="shared" ca="1" si="99"/>
        <v>57</v>
      </c>
      <c r="U1597">
        <f>VLOOKUP($A1597,'Medical Examination'!$A:$Z,2,FALSE)</f>
        <v>33.21</v>
      </c>
    </row>
    <row r="1598" spans="1:21" ht="15.5" x14ac:dyDescent="0.35">
      <c r="A1598" s="2" t="s">
        <v>1598</v>
      </c>
      <c r="B1598" s="2" t="s">
        <v>4641</v>
      </c>
      <c r="C1598">
        <v>17.7</v>
      </c>
      <c r="D1598">
        <v>10.42</v>
      </c>
      <c r="E1598" t="s">
        <v>2346</v>
      </c>
      <c r="F1598" t="s">
        <v>2344</v>
      </c>
      <c r="G1598" t="s">
        <v>2344</v>
      </c>
      <c r="H1598">
        <v>1</v>
      </c>
      <c r="I1598" t="s">
        <v>2344</v>
      </c>
      <c r="J1598" t="str">
        <f t="shared" si="97"/>
        <v>Under Weight</v>
      </c>
      <c r="K1598" t="str">
        <f t="shared" si="100"/>
        <v>Diabetes</v>
      </c>
      <c r="L1598">
        <v>16</v>
      </c>
      <c r="M1598" t="s">
        <v>2356</v>
      </c>
      <c r="N1598">
        <v>2004</v>
      </c>
      <c r="O1598" s="8">
        <f t="shared" si="98"/>
        <v>38184</v>
      </c>
      <c r="P1598" s="10">
        <v>13747.87</v>
      </c>
      <c r="Q1598" t="s">
        <v>2358</v>
      </c>
      <c r="R1598" t="s">
        <v>2357</v>
      </c>
      <c r="S1598" t="s">
        <v>2372</v>
      </c>
      <c r="T1598">
        <f t="shared" ca="1" si="99"/>
        <v>22</v>
      </c>
      <c r="U1598">
        <f>VLOOKUP($A1598,'Medical Examination'!$A:$Z,2,FALSE)</f>
        <v>17.7</v>
      </c>
    </row>
    <row r="1599" spans="1:21" ht="15.5" x14ac:dyDescent="0.35">
      <c r="A1599" s="2" t="s">
        <v>1599</v>
      </c>
      <c r="B1599" s="2" t="s">
        <v>4643</v>
      </c>
      <c r="C1599">
        <v>17.2</v>
      </c>
      <c r="D1599">
        <v>6.45</v>
      </c>
      <c r="E1599" t="s">
        <v>2344</v>
      </c>
      <c r="F1599" t="s">
        <v>2344</v>
      </c>
      <c r="G1599" t="s">
        <v>2344</v>
      </c>
      <c r="H1599">
        <v>1</v>
      </c>
      <c r="I1599" t="s">
        <v>2344</v>
      </c>
      <c r="J1599" t="str">
        <f t="shared" si="97"/>
        <v>Under Weight</v>
      </c>
      <c r="K1599" t="str">
        <f t="shared" si="100"/>
        <v>Prediabetes</v>
      </c>
      <c r="L1599">
        <v>6</v>
      </c>
      <c r="M1599" t="s">
        <v>2366</v>
      </c>
      <c r="N1599">
        <v>1959</v>
      </c>
      <c r="O1599" s="8">
        <f t="shared" si="98"/>
        <v>21768</v>
      </c>
      <c r="P1599" s="10">
        <v>13770.1</v>
      </c>
      <c r="Q1599" t="s">
        <v>2358</v>
      </c>
      <c r="R1599" t="s">
        <v>2361</v>
      </c>
      <c r="S1599" t="s">
        <v>2364</v>
      </c>
      <c r="T1599">
        <f t="shared" ca="1" si="99"/>
        <v>67</v>
      </c>
      <c r="U1599">
        <f>VLOOKUP($A1599,'Medical Examination'!$A:$Z,2,FALSE)</f>
        <v>17.2</v>
      </c>
    </row>
    <row r="1600" spans="1:21" ht="15.5" x14ac:dyDescent="0.35">
      <c r="A1600" s="2" t="s">
        <v>1600</v>
      </c>
      <c r="B1600" s="2" t="s">
        <v>3823</v>
      </c>
      <c r="C1600">
        <v>19.21</v>
      </c>
      <c r="D1600">
        <v>5.52</v>
      </c>
      <c r="E1600" t="s">
        <v>2344</v>
      </c>
      <c r="F1600" t="s">
        <v>2344</v>
      </c>
      <c r="G1600" t="s">
        <v>2344</v>
      </c>
      <c r="H1600">
        <v>1</v>
      </c>
      <c r="I1600" t="s">
        <v>2344</v>
      </c>
      <c r="J1600" t="str">
        <f t="shared" si="97"/>
        <v>Normal Weight</v>
      </c>
      <c r="K1600" t="str">
        <f t="shared" si="100"/>
        <v>Normal</v>
      </c>
      <c r="L1600">
        <v>10</v>
      </c>
      <c r="M1600" t="s">
        <v>2360</v>
      </c>
      <c r="N1600">
        <v>1966</v>
      </c>
      <c r="O1600" s="8">
        <f t="shared" si="98"/>
        <v>24421</v>
      </c>
      <c r="P1600" s="10">
        <v>13801.61</v>
      </c>
      <c r="Q1600" t="s">
        <v>2358</v>
      </c>
      <c r="R1600" t="s">
        <v>2358</v>
      </c>
      <c r="S1600" t="s">
        <v>2380</v>
      </c>
      <c r="T1600">
        <f t="shared" ca="1" si="99"/>
        <v>60</v>
      </c>
      <c r="U1600">
        <f>VLOOKUP($A1600,'Medical Examination'!$A:$Z,2,FALSE)</f>
        <v>19.21</v>
      </c>
    </row>
    <row r="1601" spans="1:21" ht="15.5" x14ac:dyDescent="0.35">
      <c r="A1601" s="2" t="s">
        <v>1601</v>
      </c>
      <c r="B1601" s="2" t="s">
        <v>4646</v>
      </c>
      <c r="C1601">
        <v>23.2</v>
      </c>
      <c r="D1601">
        <v>4.41</v>
      </c>
      <c r="E1601" t="s">
        <v>2344</v>
      </c>
      <c r="F1601" t="s">
        <v>2344</v>
      </c>
      <c r="G1601" t="s">
        <v>2346</v>
      </c>
      <c r="H1601">
        <v>1</v>
      </c>
      <c r="I1601" t="s">
        <v>2344</v>
      </c>
      <c r="J1601" t="str">
        <f t="shared" si="97"/>
        <v>Normal Weight</v>
      </c>
      <c r="K1601" t="str">
        <f t="shared" si="100"/>
        <v>Normal</v>
      </c>
      <c r="L1601">
        <v>8</v>
      </c>
      <c r="M1601" t="s">
        <v>2365</v>
      </c>
      <c r="N1601">
        <v>1986</v>
      </c>
      <c r="O1601" s="8">
        <f t="shared" si="98"/>
        <v>31754</v>
      </c>
      <c r="P1601" s="10">
        <v>13819.49</v>
      </c>
      <c r="Q1601" t="s">
        <v>2358</v>
      </c>
      <c r="R1601" t="s">
        <v>2357</v>
      </c>
      <c r="S1601" t="s">
        <v>2364</v>
      </c>
      <c r="T1601">
        <f t="shared" ca="1" si="99"/>
        <v>40</v>
      </c>
      <c r="U1601">
        <f>VLOOKUP($A1601,'Medical Examination'!$A:$Z,2,FALSE)</f>
        <v>23.2</v>
      </c>
    </row>
    <row r="1602" spans="1:21" ht="15.5" x14ac:dyDescent="0.35">
      <c r="A1602" s="2" t="s">
        <v>1602</v>
      </c>
      <c r="B1602" s="2" t="s">
        <v>4647</v>
      </c>
      <c r="C1602">
        <v>32.5</v>
      </c>
      <c r="D1602">
        <v>4.6900000000000004</v>
      </c>
      <c r="E1602" t="s">
        <v>2346</v>
      </c>
      <c r="F1602" t="s">
        <v>2344</v>
      </c>
      <c r="G1602" t="s">
        <v>2346</v>
      </c>
      <c r="H1602">
        <v>1</v>
      </c>
      <c r="I1602" t="s">
        <v>2344</v>
      </c>
      <c r="J1602" t="str">
        <f t="shared" si="97"/>
        <v>Obesity</v>
      </c>
      <c r="K1602" t="str">
        <f t="shared" si="100"/>
        <v>Normal</v>
      </c>
      <c r="L1602">
        <v>25</v>
      </c>
      <c r="M1602" t="s">
        <v>2360</v>
      </c>
      <c r="N1602">
        <v>1958</v>
      </c>
      <c r="O1602" s="8">
        <f t="shared" si="98"/>
        <v>21514</v>
      </c>
      <c r="P1602" s="10">
        <v>13822.8</v>
      </c>
      <c r="Q1602" t="s">
        <v>2358</v>
      </c>
      <c r="R1602" t="s">
        <v>2358</v>
      </c>
      <c r="S1602" t="s">
        <v>2368</v>
      </c>
      <c r="T1602">
        <f t="shared" ca="1" si="99"/>
        <v>68</v>
      </c>
      <c r="U1602">
        <f>VLOOKUP($A1602,'Medical Examination'!$A:$Z,2,FALSE)</f>
        <v>32.5</v>
      </c>
    </row>
    <row r="1603" spans="1:21" ht="15.5" x14ac:dyDescent="0.35">
      <c r="A1603" s="2" t="s">
        <v>1603</v>
      </c>
      <c r="B1603" s="2" t="s">
        <v>4649</v>
      </c>
      <c r="C1603">
        <v>20.9</v>
      </c>
      <c r="D1603">
        <v>6.94</v>
      </c>
      <c r="E1603" t="s">
        <v>2344</v>
      </c>
      <c r="F1603" t="s">
        <v>2344</v>
      </c>
      <c r="G1603" t="s">
        <v>2344</v>
      </c>
      <c r="H1603">
        <v>0</v>
      </c>
      <c r="I1603" t="s">
        <v>2344</v>
      </c>
      <c r="J1603" t="str">
        <f t="shared" ref="J1603:J1666" si="101">IF(C1603&lt;18.5,"Under Weight",IF(C1603&lt;25,"Normal Weight",IF(C1603&lt;30,"Over weight","Obesity")))</f>
        <v>Normal Weight</v>
      </c>
      <c r="K1603" t="str">
        <f t="shared" si="100"/>
        <v>Diabetes</v>
      </c>
      <c r="L1603">
        <v>10</v>
      </c>
      <c r="M1603" t="s">
        <v>2365</v>
      </c>
      <c r="N1603">
        <v>1958</v>
      </c>
      <c r="O1603" s="8">
        <f t="shared" ref="O1603:O1666" si="102">DATE(N1603,MONTH(1&amp;M1603),L1603)</f>
        <v>21529</v>
      </c>
      <c r="P1603" s="10">
        <v>13831.12</v>
      </c>
      <c r="Q1603" t="s">
        <v>2358</v>
      </c>
      <c r="R1603" t="s">
        <v>2361</v>
      </c>
      <c r="S1603" t="s">
        <v>2359</v>
      </c>
      <c r="T1603">
        <f t="shared" ref="T1603:T1666" ca="1" si="103">YEAR(TODAY())-YEAR(O1603)</f>
        <v>68</v>
      </c>
      <c r="U1603">
        <f>VLOOKUP($A1603,'Medical Examination'!$A:$Z,2,FALSE)</f>
        <v>20.9</v>
      </c>
    </row>
    <row r="1604" spans="1:21" ht="15.5" x14ac:dyDescent="0.35">
      <c r="A1604" s="2" t="s">
        <v>1604</v>
      </c>
      <c r="B1604" s="2" t="s">
        <v>4650</v>
      </c>
      <c r="C1604">
        <v>19.11</v>
      </c>
      <c r="D1604">
        <v>4.3499999999999996</v>
      </c>
      <c r="E1604" t="s">
        <v>2344</v>
      </c>
      <c r="F1604" t="s">
        <v>2344</v>
      </c>
      <c r="G1604" t="s">
        <v>2344</v>
      </c>
      <c r="H1604">
        <v>1</v>
      </c>
      <c r="I1604" t="s">
        <v>2344</v>
      </c>
      <c r="J1604" t="str">
        <f t="shared" si="101"/>
        <v>Normal Weight</v>
      </c>
      <c r="K1604" t="str">
        <f t="shared" si="100"/>
        <v>Normal</v>
      </c>
      <c r="L1604">
        <v>7</v>
      </c>
      <c r="M1604" t="s">
        <v>2362</v>
      </c>
      <c r="N1604">
        <v>2003</v>
      </c>
      <c r="O1604" s="8">
        <f t="shared" si="102"/>
        <v>37779</v>
      </c>
      <c r="P1604" s="10">
        <v>13844.51</v>
      </c>
      <c r="Q1604" t="s">
        <v>2357</v>
      </c>
      <c r="R1604" t="s">
        <v>2361</v>
      </c>
      <c r="S1604" t="s">
        <v>2368</v>
      </c>
      <c r="T1604">
        <f t="shared" ca="1" si="103"/>
        <v>23</v>
      </c>
      <c r="U1604">
        <f>VLOOKUP($A1604,'Medical Examination'!$A:$Z,2,FALSE)</f>
        <v>19.11</v>
      </c>
    </row>
    <row r="1605" spans="1:21" ht="15.5" x14ac:dyDescent="0.35">
      <c r="A1605" s="2" t="s">
        <v>1605</v>
      </c>
      <c r="B1605" s="2" t="s">
        <v>3657</v>
      </c>
      <c r="C1605">
        <v>31.17</v>
      </c>
      <c r="D1605">
        <v>5.28</v>
      </c>
      <c r="E1605" t="s">
        <v>2344</v>
      </c>
      <c r="F1605" t="s">
        <v>2344</v>
      </c>
      <c r="G1605" t="s">
        <v>2344</v>
      </c>
      <c r="H1605">
        <v>1</v>
      </c>
      <c r="I1605" t="s">
        <v>2344</v>
      </c>
      <c r="J1605" t="str">
        <f t="shared" si="101"/>
        <v>Obesity</v>
      </c>
      <c r="K1605" t="str">
        <f t="shared" si="100"/>
        <v>Normal</v>
      </c>
      <c r="L1605">
        <v>21</v>
      </c>
      <c r="M1605" t="s">
        <v>2356</v>
      </c>
      <c r="N1605">
        <v>1960</v>
      </c>
      <c r="O1605" s="8">
        <f t="shared" si="102"/>
        <v>22118</v>
      </c>
      <c r="P1605" s="10">
        <v>13844.8</v>
      </c>
      <c r="Q1605" t="s">
        <v>2357</v>
      </c>
      <c r="R1605" t="s">
        <v>2357</v>
      </c>
      <c r="S1605" t="s">
        <v>2364</v>
      </c>
      <c r="T1605">
        <f t="shared" ca="1" si="103"/>
        <v>66</v>
      </c>
      <c r="U1605">
        <f>VLOOKUP($A1605,'Medical Examination'!$A:$Z,2,FALSE)</f>
        <v>31.17</v>
      </c>
    </row>
    <row r="1606" spans="1:21" ht="15.5" x14ac:dyDescent="0.35">
      <c r="A1606" s="2" t="s">
        <v>1606</v>
      </c>
      <c r="B1606" s="2" t="s">
        <v>4652</v>
      </c>
      <c r="C1606">
        <v>36.08</v>
      </c>
      <c r="D1606">
        <v>4.29</v>
      </c>
      <c r="E1606" t="s">
        <v>2344</v>
      </c>
      <c r="F1606" t="s">
        <v>2344</v>
      </c>
      <c r="G1606" t="s">
        <v>2344</v>
      </c>
      <c r="H1606">
        <v>0</v>
      </c>
      <c r="I1606" t="s">
        <v>2344</v>
      </c>
      <c r="J1606" t="str">
        <f t="shared" si="101"/>
        <v>Obesity</v>
      </c>
      <c r="K1606" t="str">
        <f t="shared" si="100"/>
        <v>Normal</v>
      </c>
      <c r="L1606">
        <v>19</v>
      </c>
      <c r="M1606" t="s">
        <v>2365</v>
      </c>
      <c r="N1606">
        <v>1978</v>
      </c>
      <c r="O1606" s="8">
        <f t="shared" si="102"/>
        <v>28843</v>
      </c>
      <c r="P1606" s="10">
        <v>13874.89</v>
      </c>
      <c r="Q1606" t="s">
        <v>2357</v>
      </c>
      <c r="R1606" t="s">
        <v>2361</v>
      </c>
      <c r="S1606" t="s">
        <v>2364</v>
      </c>
      <c r="T1606">
        <f t="shared" ca="1" si="103"/>
        <v>48</v>
      </c>
      <c r="U1606">
        <f>VLOOKUP($A1606,'Medical Examination'!$A:$Z,2,FALSE)</f>
        <v>36.08</v>
      </c>
    </row>
    <row r="1607" spans="1:21" ht="15.5" x14ac:dyDescent="0.35">
      <c r="A1607" s="2" t="s">
        <v>1607</v>
      </c>
      <c r="B1607" s="2" t="s">
        <v>4653</v>
      </c>
      <c r="C1607">
        <v>28.024999999999999</v>
      </c>
      <c r="D1607">
        <v>5.69</v>
      </c>
      <c r="E1607" t="s">
        <v>2346</v>
      </c>
      <c r="F1607" t="s">
        <v>2344</v>
      </c>
      <c r="G1607" t="s">
        <v>2344</v>
      </c>
      <c r="H1607">
        <v>0</v>
      </c>
      <c r="I1607" t="s">
        <v>2344</v>
      </c>
      <c r="J1607" t="str">
        <f t="shared" si="101"/>
        <v>Over weight</v>
      </c>
      <c r="K1607" t="str">
        <f t="shared" si="100"/>
        <v>Normal</v>
      </c>
      <c r="L1607">
        <v>5</v>
      </c>
      <c r="M1607" t="s">
        <v>2367</v>
      </c>
      <c r="N1607">
        <v>1959</v>
      </c>
      <c r="O1607" s="8">
        <f t="shared" si="102"/>
        <v>21828</v>
      </c>
      <c r="P1607" s="10">
        <v>13880.95</v>
      </c>
      <c r="Q1607" t="s">
        <v>2357</v>
      </c>
      <c r="R1607" t="s">
        <v>2357</v>
      </c>
      <c r="S1607" t="s">
        <v>2368</v>
      </c>
      <c r="T1607">
        <f t="shared" ca="1" si="103"/>
        <v>67</v>
      </c>
      <c r="U1607">
        <f>VLOOKUP($A1607,'Medical Examination'!$A:$Z,2,FALSE)</f>
        <v>28.024999999999999</v>
      </c>
    </row>
    <row r="1608" spans="1:21" ht="15.5" x14ac:dyDescent="0.35">
      <c r="A1608" s="2" t="s">
        <v>1608</v>
      </c>
      <c r="B1608" s="2" t="s">
        <v>3239</v>
      </c>
      <c r="C1608">
        <v>24.32</v>
      </c>
      <c r="D1608">
        <v>5.56</v>
      </c>
      <c r="E1608" t="s">
        <v>2346</v>
      </c>
      <c r="F1608" t="s">
        <v>2344</v>
      </c>
      <c r="G1608" t="s">
        <v>2344</v>
      </c>
      <c r="H1608">
        <v>0</v>
      </c>
      <c r="I1608" t="s">
        <v>2344</v>
      </c>
      <c r="J1608" t="str">
        <f t="shared" si="101"/>
        <v>Normal Weight</v>
      </c>
      <c r="K1608" t="str">
        <f t="shared" si="100"/>
        <v>Normal</v>
      </c>
      <c r="L1608">
        <v>25</v>
      </c>
      <c r="M1608" t="s">
        <v>2363</v>
      </c>
      <c r="N1608">
        <v>1985</v>
      </c>
      <c r="O1608" s="8">
        <f t="shared" si="102"/>
        <v>31315</v>
      </c>
      <c r="P1608" s="10">
        <v>13886.4</v>
      </c>
      <c r="Q1608" t="s">
        <v>2357</v>
      </c>
      <c r="R1608" t="s">
        <v>2357</v>
      </c>
      <c r="S1608" t="s">
        <v>2364</v>
      </c>
      <c r="T1608">
        <f t="shared" ca="1" si="103"/>
        <v>41</v>
      </c>
      <c r="U1608">
        <f>VLOOKUP($A1608,'Medical Examination'!$A:$Z,2,FALSE)</f>
        <v>24.32</v>
      </c>
    </row>
    <row r="1609" spans="1:21" ht="15.5" x14ac:dyDescent="0.35">
      <c r="A1609" s="2" t="s">
        <v>1609</v>
      </c>
      <c r="B1609" s="2" t="s">
        <v>4654</v>
      </c>
      <c r="C1609">
        <v>38</v>
      </c>
      <c r="D1609">
        <v>5.41</v>
      </c>
      <c r="E1609" t="s">
        <v>2346</v>
      </c>
      <c r="F1609" t="s">
        <v>2344</v>
      </c>
      <c r="G1609" t="s">
        <v>2344</v>
      </c>
      <c r="H1609">
        <v>1</v>
      </c>
      <c r="I1609" t="s">
        <v>2344</v>
      </c>
      <c r="J1609" t="str">
        <f t="shared" si="101"/>
        <v>Obesity</v>
      </c>
      <c r="K1609" t="str">
        <f t="shared" si="100"/>
        <v>Normal</v>
      </c>
      <c r="L1609">
        <v>29</v>
      </c>
      <c r="M1609" t="s">
        <v>2365</v>
      </c>
      <c r="N1609">
        <v>1959</v>
      </c>
      <c r="O1609" s="8">
        <f t="shared" si="102"/>
        <v>21913</v>
      </c>
      <c r="P1609" s="10">
        <v>13887.2</v>
      </c>
      <c r="Q1609" t="s">
        <v>2357</v>
      </c>
      <c r="R1609" t="s">
        <v>2358</v>
      </c>
      <c r="S1609" t="s">
        <v>2359</v>
      </c>
      <c r="T1609">
        <f t="shared" ca="1" si="103"/>
        <v>67</v>
      </c>
      <c r="U1609">
        <f>VLOOKUP($A1609,'Medical Examination'!$A:$Z,2,FALSE)</f>
        <v>38</v>
      </c>
    </row>
    <row r="1610" spans="1:21" ht="15.5" x14ac:dyDescent="0.35">
      <c r="A1610" s="2" t="s">
        <v>1610</v>
      </c>
      <c r="B1610" s="2" t="s">
        <v>4656</v>
      </c>
      <c r="C1610">
        <v>31.6</v>
      </c>
      <c r="D1610">
        <v>10.85</v>
      </c>
      <c r="E1610" t="s">
        <v>2346</v>
      </c>
      <c r="F1610" t="s">
        <v>2344</v>
      </c>
      <c r="G1610" t="s">
        <v>2344</v>
      </c>
      <c r="H1610">
        <v>0</v>
      </c>
      <c r="I1610" t="s">
        <v>2344</v>
      </c>
      <c r="J1610" t="str">
        <f t="shared" si="101"/>
        <v>Obesity</v>
      </c>
      <c r="K1610" t="str">
        <f t="shared" si="100"/>
        <v>Diabetes</v>
      </c>
      <c r="L1610">
        <v>7</v>
      </c>
      <c r="M1610" t="s">
        <v>2356</v>
      </c>
      <c r="N1610">
        <v>1959</v>
      </c>
      <c r="O1610" s="8">
        <f t="shared" si="102"/>
        <v>21738</v>
      </c>
      <c r="P1610" s="10">
        <v>13887.97</v>
      </c>
      <c r="Q1610" t="s">
        <v>2357</v>
      </c>
      <c r="R1610" t="s">
        <v>2357</v>
      </c>
      <c r="S1610" t="s">
        <v>2359</v>
      </c>
      <c r="T1610">
        <f t="shared" ca="1" si="103"/>
        <v>67</v>
      </c>
      <c r="U1610">
        <f>VLOOKUP($A1610,'Medical Examination'!$A:$Z,2,FALSE)</f>
        <v>31.6</v>
      </c>
    </row>
    <row r="1611" spans="1:21" ht="15.5" x14ac:dyDescent="0.35">
      <c r="A1611" s="2" t="s">
        <v>1611</v>
      </c>
      <c r="B1611" s="2" t="s">
        <v>4657</v>
      </c>
      <c r="C1611">
        <v>31.02</v>
      </c>
      <c r="D1611">
        <v>11.63</v>
      </c>
      <c r="E1611" t="s">
        <v>2346</v>
      </c>
      <c r="F1611" t="s">
        <v>2344</v>
      </c>
      <c r="G1611" t="s">
        <v>2344</v>
      </c>
      <c r="H1611">
        <v>0</v>
      </c>
      <c r="I1611" t="s">
        <v>2344</v>
      </c>
      <c r="J1611" t="str">
        <f t="shared" si="101"/>
        <v>Obesity</v>
      </c>
      <c r="K1611" t="str">
        <f t="shared" si="100"/>
        <v>Diabetes</v>
      </c>
      <c r="L1611">
        <v>27</v>
      </c>
      <c r="M1611" t="s">
        <v>2356</v>
      </c>
      <c r="N1611">
        <v>1962</v>
      </c>
      <c r="O1611" s="8">
        <f t="shared" si="102"/>
        <v>22854</v>
      </c>
      <c r="P1611" s="10">
        <v>13919.82</v>
      </c>
      <c r="Q1611" t="s">
        <v>2357</v>
      </c>
      <c r="R1611" t="s">
        <v>2357</v>
      </c>
      <c r="S1611" t="s">
        <v>2359</v>
      </c>
      <c r="T1611">
        <f t="shared" ca="1" si="103"/>
        <v>64</v>
      </c>
      <c r="U1611">
        <f>VLOOKUP($A1611,'Medical Examination'!$A:$Z,2,FALSE)</f>
        <v>31.02</v>
      </c>
    </row>
    <row r="1612" spans="1:21" ht="15.5" x14ac:dyDescent="0.35">
      <c r="A1612" s="2" t="s">
        <v>1612</v>
      </c>
      <c r="B1612" s="2" t="s">
        <v>4658</v>
      </c>
      <c r="C1612">
        <v>29.26</v>
      </c>
      <c r="D1612">
        <v>5.68</v>
      </c>
      <c r="E1612" t="s">
        <v>2346</v>
      </c>
      <c r="F1612" t="s">
        <v>2344</v>
      </c>
      <c r="G1612" t="s">
        <v>2344</v>
      </c>
      <c r="H1612">
        <v>1</v>
      </c>
      <c r="I1612" t="s">
        <v>2344</v>
      </c>
      <c r="J1612" t="str">
        <f t="shared" si="101"/>
        <v>Over weight</v>
      </c>
      <c r="K1612" t="str">
        <f t="shared" ref="K1612:K1675" si="104">IF(D1612&lt;5.7,"Normal",IF(D1612&lt;6.5,"Prediabetes","Diabetes"))</f>
        <v>Normal</v>
      </c>
      <c r="L1612">
        <v>18</v>
      </c>
      <c r="M1612" t="s">
        <v>2362</v>
      </c>
      <c r="N1612">
        <v>1960</v>
      </c>
      <c r="O1612" s="8">
        <f t="shared" si="102"/>
        <v>22085</v>
      </c>
      <c r="P1612" s="10">
        <v>13937.67</v>
      </c>
      <c r="Q1612" t="s">
        <v>2357</v>
      </c>
      <c r="R1612" t="s">
        <v>2361</v>
      </c>
      <c r="S1612" t="s">
        <v>2364</v>
      </c>
      <c r="T1612">
        <f t="shared" ca="1" si="103"/>
        <v>66</v>
      </c>
      <c r="U1612">
        <f>VLOOKUP($A1612,'Medical Examination'!$A:$Z,2,FALSE)</f>
        <v>29.26</v>
      </c>
    </row>
    <row r="1613" spans="1:21" ht="15.5" x14ac:dyDescent="0.35">
      <c r="A1613" s="2" t="s">
        <v>1613</v>
      </c>
      <c r="B1613" s="2" t="s">
        <v>4659</v>
      </c>
      <c r="C1613">
        <v>15.09</v>
      </c>
      <c r="D1613">
        <v>7.59</v>
      </c>
      <c r="E1613" t="s">
        <v>2346</v>
      </c>
      <c r="F1613" t="s">
        <v>2344</v>
      </c>
      <c r="G1613" t="s">
        <v>2344</v>
      </c>
      <c r="H1613">
        <v>1</v>
      </c>
      <c r="I1613" t="s">
        <v>2344</v>
      </c>
      <c r="J1613" t="str">
        <f t="shared" si="101"/>
        <v>Under Weight</v>
      </c>
      <c r="K1613" t="str">
        <f t="shared" si="104"/>
        <v>Diabetes</v>
      </c>
      <c r="L1613">
        <v>29</v>
      </c>
      <c r="M1613" t="s">
        <v>2366</v>
      </c>
      <c r="N1613">
        <v>1959</v>
      </c>
      <c r="O1613" s="8">
        <f t="shared" si="102"/>
        <v>21791</v>
      </c>
      <c r="P1613" s="10">
        <v>13974.46</v>
      </c>
      <c r="Q1613" t="s">
        <v>2357</v>
      </c>
      <c r="R1613" t="s">
        <v>2357</v>
      </c>
      <c r="S1613" t="s">
        <v>2370</v>
      </c>
      <c r="T1613">
        <f t="shared" ca="1" si="103"/>
        <v>67</v>
      </c>
      <c r="U1613">
        <f>VLOOKUP($A1613,'Medical Examination'!$A:$Z,2,FALSE)</f>
        <v>15.09</v>
      </c>
    </row>
    <row r="1614" spans="1:21" ht="15.5" x14ac:dyDescent="0.35">
      <c r="A1614" s="2" t="s">
        <v>1614</v>
      </c>
      <c r="B1614" s="2" t="s">
        <v>4660</v>
      </c>
      <c r="C1614">
        <v>22.63</v>
      </c>
      <c r="D1614">
        <v>5.09</v>
      </c>
      <c r="E1614" t="s">
        <v>2346</v>
      </c>
      <c r="F1614" t="s">
        <v>2344</v>
      </c>
      <c r="G1614" t="s">
        <v>2344</v>
      </c>
      <c r="H1614">
        <v>0</v>
      </c>
      <c r="I1614" t="s">
        <v>2344</v>
      </c>
      <c r="J1614" t="str">
        <f t="shared" si="101"/>
        <v>Normal Weight</v>
      </c>
      <c r="K1614" t="str">
        <f t="shared" si="104"/>
        <v>Normal</v>
      </c>
      <c r="L1614">
        <v>13</v>
      </c>
      <c r="M1614" t="s">
        <v>2356</v>
      </c>
      <c r="N1614">
        <v>1990</v>
      </c>
      <c r="O1614" s="8">
        <f t="shared" si="102"/>
        <v>33067</v>
      </c>
      <c r="P1614" s="10">
        <v>13979.45</v>
      </c>
      <c r="Q1614" t="s">
        <v>2357</v>
      </c>
      <c r="R1614" t="s">
        <v>2361</v>
      </c>
      <c r="S1614" t="s">
        <v>2375</v>
      </c>
      <c r="T1614">
        <f t="shared" ca="1" si="103"/>
        <v>36</v>
      </c>
      <c r="U1614">
        <f>VLOOKUP($A1614,'Medical Examination'!$A:$Z,2,FALSE)</f>
        <v>22.63</v>
      </c>
    </row>
    <row r="1615" spans="1:21" ht="15.5" x14ac:dyDescent="0.35">
      <c r="A1615" s="2" t="s">
        <v>1615</v>
      </c>
      <c r="B1615" s="2" t="s">
        <v>4662</v>
      </c>
      <c r="C1615">
        <v>23.46</v>
      </c>
      <c r="D1615">
        <v>4.21</v>
      </c>
      <c r="E1615" t="s">
        <v>2344</v>
      </c>
      <c r="F1615" t="s">
        <v>2344</v>
      </c>
      <c r="G1615" t="s">
        <v>2344</v>
      </c>
      <c r="H1615">
        <v>1</v>
      </c>
      <c r="I1615" t="s">
        <v>2344</v>
      </c>
      <c r="J1615" t="str">
        <f t="shared" si="101"/>
        <v>Normal Weight</v>
      </c>
      <c r="K1615" t="str">
        <f t="shared" si="104"/>
        <v>Normal</v>
      </c>
      <c r="L1615">
        <v>6</v>
      </c>
      <c r="M1615" t="s">
        <v>2363</v>
      </c>
      <c r="N1615">
        <v>1959</v>
      </c>
      <c r="O1615" s="8">
        <f t="shared" si="102"/>
        <v>21799</v>
      </c>
      <c r="P1615" s="10">
        <v>13981.85</v>
      </c>
      <c r="Q1615" t="s">
        <v>2357</v>
      </c>
      <c r="R1615" t="s">
        <v>2361</v>
      </c>
      <c r="S1615" t="s">
        <v>2371</v>
      </c>
      <c r="T1615">
        <f t="shared" ca="1" si="103"/>
        <v>67</v>
      </c>
      <c r="U1615">
        <f>VLOOKUP($A1615,'Medical Examination'!$A:$Z,2,FALSE)</f>
        <v>23.46</v>
      </c>
    </row>
    <row r="1616" spans="1:21" ht="15.5" x14ac:dyDescent="0.35">
      <c r="A1616" s="2" t="s">
        <v>1616</v>
      </c>
      <c r="B1616" s="2" t="s">
        <v>4663</v>
      </c>
      <c r="C1616">
        <v>22.56</v>
      </c>
      <c r="D1616">
        <v>4.34</v>
      </c>
      <c r="E1616" t="s">
        <v>2346</v>
      </c>
      <c r="F1616" t="s">
        <v>2344</v>
      </c>
      <c r="G1616" t="s">
        <v>2344</v>
      </c>
      <c r="H1616">
        <v>0</v>
      </c>
      <c r="I1616" t="s">
        <v>2344</v>
      </c>
      <c r="J1616" t="str">
        <f t="shared" si="101"/>
        <v>Normal Weight</v>
      </c>
      <c r="K1616" t="str">
        <f t="shared" si="104"/>
        <v>Normal</v>
      </c>
      <c r="L1616">
        <v>23</v>
      </c>
      <c r="M1616" t="s">
        <v>2365</v>
      </c>
      <c r="N1616">
        <v>1963</v>
      </c>
      <c r="O1616" s="8">
        <f t="shared" si="102"/>
        <v>23368</v>
      </c>
      <c r="P1616" s="10">
        <v>14001.13</v>
      </c>
      <c r="Q1616" t="s">
        <v>2357</v>
      </c>
      <c r="R1616" t="s">
        <v>2361</v>
      </c>
      <c r="S1616" t="s">
        <v>2359</v>
      </c>
      <c r="T1616">
        <f t="shared" ca="1" si="103"/>
        <v>63</v>
      </c>
      <c r="U1616">
        <f>VLOOKUP($A1616,'Medical Examination'!$A:$Z,2,FALSE)</f>
        <v>22.56</v>
      </c>
    </row>
    <row r="1617" spans="1:21" ht="15.5" x14ac:dyDescent="0.35">
      <c r="A1617" s="2" t="s">
        <v>1617</v>
      </c>
      <c r="B1617" s="2" t="s">
        <v>4664</v>
      </c>
      <c r="C1617">
        <v>19.28</v>
      </c>
      <c r="D1617">
        <v>11.85</v>
      </c>
      <c r="E1617" t="s">
        <v>2344</v>
      </c>
      <c r="F1617" t="s">
        <v>2344</v>
      </c>
      <c r="G1617" t="s">
        <v>2344</v>
      </c>
      <c r="H1617">
        <v>1</v>
      </c>
      <c r="I1617" t="s">
        <v>2344</v>
      </c>
      <c r="J1617" t="str">
        <f t="shared" si="101"/>
        <v>Normal Weight</v>
      </c>
      <c r="K1617" t="str">
        <f t="shared" si="104"/>
        <v>Diabetes</v>
      </c>
      <c r="L1617">
        <v>6</v>
      </c>
      <c r="M1617" t="s">
        <v>2356</v>
      </c>
      <c r="N1617">
        <v>1963</v>
      </c>
      <c r="O1617" s="8">
        <f t="shared" si="102"/>
        <v>23198</v>
      </c>
      <c r="P1617" s="10">
        <v>14001.29</v>
      </c>
      <c r="Q1617" t="s">
        <v>2357</v>
      </c>
      <c r="R1617" t="s">
        <v>2357</v>
      </c>
      <c r="S1617" t="s">
        <v>2359</v>
      </c>
      <c r="T1617">
        <f t="shared" ca="1" si="103"/>
        <v>63</v>
      </c>
      <c r="U1617">
        <f>VLOOKUP($A1617,'Medical Examination'!$A:$Z,2,FALSE)</f>
        <v>19.28</v>
      </c>
    </row>
    <row r="1618" spans="1:21" ht="15.5" x14ac:dyDescent="0.35">
      <c r="A1618" s="2" t="s">
        <v>1618</v>
      </c>
      <c r="B1618" s="2" t="s">
        <v>4665</v>
      </c>
      <c r="C1618">
        <v>15.37</v>
      </c>
      <c r="D1618">
        <v>9.61</v>
      </c>
      <c r="E1618" t="s">
        <v>2346</v>
      </c>
      <c r="F1618" t="s">
        <v>2344</v>
      </c>
      <c r="G1618" t="s">
        <v>2344</v>
      </c>
      <c r="H1618">
        <v>1</v>
      </c>
      <c r="I1618" t="s">
        <v>2344</v>
      </c>
      <c r="J1618" t="str">
        <f t="shared" si="101"/>
        <v>Under Weight</v>
      </c>
      <c r="K1618" t="str">
        <f t="shared" si="104"/>
        <v>Diabetes</v>
      </c>
      <c r="L1618">
        <v>8</v>
      </c>
      <c r="M1618" t="s">
        <v>2356</v>
      </c>
      <c r="N1618">
        <v>1963</v>
      </c>
      <c r="O1618" s="8">
        <f t="shared" si="102"/>
        <v>23200</v>
      </c>
      <c r="P1618" s="10">
        <v>14007.22</v>
      </c>
      <c r="Q1618" t="s">
        <v>2357</v>
      </c>
      <c r="R1618" t="s">
        <v>2358</v>
      </c>
      <c r="S1618" t="s">
        <v>2368</v>
      </c>
      <c r="T1618">
        <f t="shared" ca="1" si="103"/>
        <v>63</v>
      </c>
      <c r="U1618">
        <f>VLOOKUP($A1618,'Medical Examination'!$A:$Z,2,FALSE)</f>
        <v>15.37</v>
      </c>
    </row>
    <row r="1619" spans="1:21" ht="15.5" x14ac:dyDescent="0.35">
      <c r="A1619" s="2" t="s">
        <v>1619</v>
      </c>
      <c r="B1619" s="2" t="s">
        <v>4667</v>
      </c>
      <c r="C1619">
        <v>18.71</v>
      </c>
      <c r="D1619">
        <v>5.29</v>
      </c>
      <c r="E1619" t="s">
        <v>2346</v>
      </c>
      <c r="F1619" t="s">
        <v>2344</v>
      </c>
      <c r="G1619" t="s">
        <v>2344</v>
      </c>
      <c r="H1619">
        <v>0</v>
      </c>
      <c r="I1619" t="s">
        <v>2344</v>
      </c>
      <c r="J1619" t="str">
        <f t="shared" si="101"/>
        <v>Normal Weight</v>
      </c>
      <c r="K1619" t="str">
        <f t="shared" si="104"/>
        <v>Normal</v>
      </c>
      <c r="L1619">
        <v>8</v>
      </c>
      <c r="M1619" t="s">
        <v>2360</v>
      </c>
      <c r="N1619">
        <v>1960</v>
      </c>
      <c r="O1619" s="8">
        <f t="shared" si="102"/>
        <v>22228</v>
      </c>
      <c r="P1619" s="10">
        <v>14043.48</v>
      </c>
      <c r="Q1619" t="s">
        <v>2357</v>
      </c>
      <c r="R1619" t="s">
        <v>2358</v>
      </c>
      <c r="S1619" t="s">
        <v>2374</v>
      </c>
      <c r="T1619">
        <f t="shared" ca="1" si="103"/>
        <v>66</v>
      </c>
      <c r="U1619">
        <f>VLOOKUP($A1619,'Medical Examination'!$A:$Z,2,FALSE)</f>
        <v>18.71</v>
      </c>
    </row>
    <row r="1620" spans="1:21" ht="15.5" x14ac:dyDescent="0.35">
      <c r="A1620" s="2" t="s">
        <v>1620</v>
      </c>
      <c r="B1620" s="2" t="s">
        <v>2511</v>
      </c>
      <c r="C1620">
        <v>20.61</v>
      </c>
      <c r="D1620">
        <v>6.89</v>
      </c>
      <c r="E1620" t="s">
        <v>2344</v>
      </c>
      <c r="F1620" t="s">
        <v>2344</v>
      </c>
      <c r="G1620" t="s">
        <v>2344</v>
      </c>
      <c r="H1620">
        <v>0</v>
      </c>
      <c r="I1620" t="s">
        <v>2344</v>
      </c>
      <c r="J1620" t="str">
        <f t="shared" si="101"/>
        <v>Normal Weight</v>
      </c>
      <c r="K1620" t="str">
        <f t="shared" si="104"/>
        <v>Diabetes</v>
      </c>
      <c r="L1620">
        <v>12</v>
      </c>
      <c r="M1620" t="s">
        <v>2363</v>
      </c>
      <c r="N1620">
        <v>1991</v>
      </c>
      <c r="O1620" s="8">
        <f t="shared" si="102"/>
        <v>33493</v>
      </c>
      <c r="P1620" s="10">
        <v>14081.93</v>
      </c>
      <c r="Q1620" t="s">
        <v>2357</v>
      </c>
      <c r="R1620" t="s">
        <v>2358</v>
      </c>
      <c r="S1620" t="s">
        <v>2364</v>
      </c>
      <c r="T1620">
        <f t="shared" ca="1" si="103"/>
        <v>35</v>
      </c>
      <c r="U1620">
        <f>VLOOKUP($A1620,'Medical Examination'!$A:$Z,2,FALSE)</f>
        <v>20.61</v>
      </c>
    </row>
    <row r="1621" spans="1:21" ht="15.5" x14ac:dyDescent="0.35">
      <c r="A1621" s="2" t="s">
        <v>1621</v>
      </c>
      <c r="B1621" s="2" t="s">
        <v>4669</v>
      </c>
      <c r="C1621">
        <v>15.99</v>
      </c>
      <c r="D1621">
        <v>4.57</v>
      </c>
      <c r="E1621" t="s">
        <v>2346</v>
      </c>
      <c r="F1621" t="s">
        <v>2344</v>
      </c>
      <c r="G1621" t="s">
        <v>2346</v>
      </c>
      <c r="H1621">
        <v>1</v>
      </c>
      <c r="I1621" t="s">
        <v>2344</v>
      </c>
      <c r="J1621" t="str">
        <f t="shared" si="101"/>
        <v>Under Weight</v>
      </c>
      <c r="K1621" t="str">
        <f t="shared" si="104"/>
        <v>Normal</v>
      </c>
      <c r="L1621">
        <v>26</v>
      </c>
      <c r="M1621" t="s">
        <v>2363</v>
      </c>
      <c r="N1621">
        <v>1976</v>
      </c>
      <c r="O1621" s="8">
        <f t="shared" si="102"/>
        <v>28029</v>
      </c>
      <c r="P1621" s="10">
        <v>14098.07</v>
      </c>
      <c r="Q1621" t="s">
        <v>2357</v>
      </c>
      <c r="R1621" t="s">
        <v>2358</v>
      </c>
      <c r="S1621" t="s">
        <v>2375</v>
      </c>
      <c r="T1621">
        <f t="shared" ca="1" si="103"/>
        <v>50</v>
      </c>
      <c r="U1621">
        <f>VLOOKUP($A1621,'Medical Examination'!$A:$Z,2,FALSE)</f>
        <v>15.99</v>
      </c>
    </row>
    <row r="1622" spans="1:21" ht="15.5" x14ac:dyDescent="0.35">
      <c r="A1622" s="2" t="s">
        <v>1622</v>
      </c>
      <c r="B1622" s="2" t="s">
        <v>4670</v>
      </c>
      <c r="C1622">
        <v>33.155000000000001</v>
      </c>
      <c r="D1622">
        <v>4.32</v>
      </c>
      <c r="E1622" t="s">
        <v>2344</v>
      </c>
      <c r="F1622" t="s">
        <v>2344</v>
      </c>
      <c r="G1622" t="s">
        <v>2344</v>
      </c>
      <c r="H1622">
        <v>0</v>
      </c>
      <c r="I1622" t="s">
        <v>2344</v>
      </c>
      <c r="J1622" t="str">
        <f t="shared" si="101"/>
        <v>Obesity</v>
      </c>
      <c r="K1622" t="str">
        <f t="shared" si="104"/>
        <v>Normal</v>
      </c>
      <c r="L1622">
        <v>14</v>
      </c>
      <c r="M1622" t="s">
        <v>2362</v>
      </c>
      <c r="N1622">
        <v>1961</v>
      </c>
      <c r="O1622" s="8">
        <f t="shared" si="102"/>
        <v>22446</v>
      </c>
      <c r="P1622" s="10">
        <v>14119.62</v>
      </c>
      <c r="Q1622" t="s">
        <v>2357</v>
      </c>
      <c r="R1622" t="s">
        <v>2361</v>
      </c>
      <c r="S1622" t="s">
        <v>2364</v>
      </c>
      <c r="T1622">
        <f t="shared" ca="1" si="103"/>
        <v>65</v>
      </c>
      <c r="U1622">
        <f>VLOOKUP($A1622,'Medical Examination'!$A:$Z,2,FALSE)</f>
        <v>33.155000000000001</v>
      </c>
    </row>
    <row r="1623" spans="1:21" ht="15.5" x14ac:dyDescent="0.35">
      <c r="A1623" s="2" t="s">
        <v>1623</v>
      </c>
      <c r="B1623" s="2" t="s">
        <v>4672</v>
      </c>
      <c r="C1623">
        <v>26.22</v>
      </c>
      <c r="D1623">
        <v>5.57</v>
      </c>
      <c r="E1623" t="s">
        <v>2346</v>
      </c>
      <c r="F1623" t="s">
        <v>2344</v>
      </c>
      <c r="G1623" t="s">
        <v>2346</v>
      </c>
      <c r="H1623">
        <v>1</v>
      </c>
      <c r="I1623" t="s">
        <v>2344</v>
      </c>
      <c r="J1623" t="str">
        <f t="shared" si="101"/>
        <v>Over weight</v>
      </c>
      <c r="K1623" t="str">
        <f t="shared" si="104"/>
        <v>Normal</v>
      </c>
      <c r="L1623">
        <v>6</v>
      </c>
      <c r="M1623" t="s">
        <v>2356</v>
      </c>
      <c r="N1623">
        <v>2004</v>
      </c>
      <c r="O1623" s="8">
        <f t="shared" si="102"/>
        <v>38174</v>
      </c>
      <c r="P1623" s="10">
        <v>14133.04</v>
      </c>
      <c r="Q1623" t="s">
        <v>2357</v>
      </c>
      <c r="R1623" t="s">
        <v>2358</v>
      </c>
      <c r="S1623" t="s">
        <v>2359</v>
      </c>
      <c r="T1623">
        <f t="shared" ca="1" si="103"/>
        <v>22</v>
      </c>
      <c r="U1623">
        <f>VLOOKUP($A1623,'Medical Examination'!$A:$Z,2,FALSE)</f>
        <v>26.22</v>
      </c>
    </row>
    <row r="1624" spans="1:21" ht="15.5" x14ac:dyDescent="0.35">
      <c r="A1624" s="2" t="s">
        <v>1624</v>
      </c>
      <c r="B1624" s="2" t="s">
        <v>4673</v>
      </c>
      <c r="C1624">
        <v>21.85</v>
      </c>
      <c r="D1624">
        <v>5.26</v>
      </c>
      <c r="E1624" t="s">
        <v>2346</v>
      </c>
      <c r="F1624" t="s">
        <v>2344</v>
      </c>
      <c r="G1624" t="s">
        <v>2346</v>
      </c>
      <c r="H1624">
        <v>1</v>
      </c>
      <c r="I1624" t="s">
        <v>2344</v>
      </c>
      <c r="J1624" t="str">
        <f t="shared" si="101"/>
        <v>Normal Weight</v>
      </c>
      <c r="K1624" t="str">
        <f t="shared" si="104"/>
        <v>Normal</v>
      </c>
      <c r="L1624">
        <v>7</v>
      </c>
      <c r="M1624" t="s">
        <v>2356</v>
      </c>
      <c r="N1624">
        <v>1984</v>
      </c>
      <c r="O1624" s="8">
        <f t="shared" si="102"/>
        <v>30870</v>
      </c>
      <c r="P1624" s="10">
        <v>14152.46</v>
      </c>
      <c r="Q1624" t="s">
        <v>2357</v>
      </c>
      <c r="R1624" t="s">
        <v>2361</v>
      </c>
      <c r="S1624" t="s">
        <v>2364</v>
      </c>
      <c r="T1624">
        <f t="shared" ca="1" si="103"/>
        <v>42</v>
      </c>
      <c r="U1624">
        <f>VLOOKUP($A1624,'Medical Examination'!$A:$Z,2,FALSE)</f>
        <v>21.85</v>
      </c>
    </row>
    <row r="1625" spans="1:21" ht="15.5" x14ac:dyDescent="0.35">
      <c r="A1625" s="2" t="s">
        <v>1625</v>
      </c>
      <c r="B1625" s="2" t="s">
        <v>4674</v>
      </c>
      <c r="C1625">
        <v>30.495000000000001</v>
      </c>
      <c r="D1625">
        <v>6.25</v>
      </c>
      <c r="E1625" t="s">
        <v>2344</v>
      </c>
      <c r="F1625" t="s">
        <v>2344</v>
      </c>
      <c r="G1625" t="s">
        <v>2344</v>
      </c>
      <c r="H1625">
        <v>0</v>
      </c>
      <c r="I1625" t="s">
        <v>2344</v>
      </c>
      <c r="J1625" t="str">
        <f t="shared" si="101"/>
        <v>Obesity</v>
      </c>
      <c r="K1625" t="str">
        <f t="shared" si="104"/>
        <v>Prediabetes</v>
      </c>
      <c r="L1625">
        <v>25</v>
      </c>
      <c r="M1625" t="s">
        <v>2365</v>
      </c>
      <c r="N1625">
        <v>1968</v>
      </c>
      <c r="O1625" s="8">
        <f t="shared" si="102"/>
        <v>25197</v>
      </c>
      <c r="P1625" s="10">
        <v>14193.55</v>
      </c>
      <c r="Q1625" t="s">
        <v>2357</v>
      </c>
      <c r="R1625" t="s">
        <v>2361</v>
      </c>
      <c r="S1625" t="s">
        <v>2380</v>
      </c>
      <c r="T1625">
        <f t="shared" ca="1" si="103"/>
        <v>58</v>
      </c>
      <c r="U1625">
        <f>VLOOKUP($A1625,'Medical Examination'!$A:$Z,2,FALSE)</f>
        <v>30.495000000000001</v>
      </c>
    </row>
    <row r="1626" spans="1:21" ht="15.5" x14ac:dyDescent="0.35">
      <c r="A1626" s="2" t="s">
        <v>1626</v>
      </c>
      <c r="B1626" s="2" t="s">
        <v>4675</v>
      </c>
      <c r="C1626">
        <v>34.104999999999997</v>
      </c>
      <c r="D1626">
        <v>5.67</v>
      </c>
      <c r="E1626" t="s">
        <v>2346</v>
      </c>
      <c r="F1626" t="s">
        <v>2344</v>
      </c>
      <c r="G1626" t="s">
        <v>2344</v>
      </c>
      <c r="H1626">
        <v>0</v>
      </c>
      <c r="I1626" t="s">
        <v>2344</v>
      </c>
      <c r="J1626" t="str">
        <f t="shared" si="101"/>
        <v>Obesity</v>
      </c>
      <c r="K1626" t="str">
        <f t="shared" si="104"/>
        <v>Normal</v>
      </c>
      <c r="L1626">
        <v>17</v>
      </c>
      <c r="M1626" t="s">
        <v>2360</v>
      </c>
      <c r="N1626">
        <v>1983</v>
      </c>
      <c r="O1626" s="8">
        <f t="shared" si="102"/>
        <v>30637</v>
      </c>
      <c r="P1626" s="10">
        <v>14209.4</v>
      </c>
      <c r="Q1626" t="s">
        <v>2357</v>
      </c>
      <c r="R1626" t="s">
        <v>2361</v>
      </c>
      <c r="S1626" t="s">
        <v>2380</v>
      </c>
      <c r="T1626">
        <f t="shared" ca="1" si="103"/>
        <v>43</v>
      </c>
      <c r="U1626">
        <f>VLOOKUP($A1626,'Medical Examination'!$A:$Z,2,FALSE)</f>
        <v>34.104999999999997</v>
      </c>
    </row>
    <row r="1627" spans="1:21" ht="15.5" x14ac:dyDescent="0.35">
      <c r="A1627" s="2" t="s">
        <v>1627</v>
      </c>
      <c r="B1627" s="2" t="s">
        <v>3958</v>
      </c>
      <c r="C1627">
        <v>32.770000000000003</v>
      </c>
      <c r="D1627">
        <v>4.42</v>
      </c>
      <c r="E1627" t="s">
        <v>2346</v>
      </c>
      <c r="F1627" t="s">
        <v>2344</v>
      </c>
      <c r="G1627" t="s">
        <v>2344</v>
      </c>
      <c r="H1627">
        <v>1</v>
      </c>
      <c r="I1627" t="s">
        <v>2344</v>
      </c>
      <c r="J1627" t="str">
        <f t="shared" si="101"/>
        <v>Obesity</v>
      </c>
      <c r="K1627" t="str">
        <f t="shared" si="104"/>
        <v>Normal</v>
      </c>
      <c r="L1627">
        <v>21</v>
      </c>
      <c r="M1627" t="s">
        <v>2363</v>
      </c>
      <c r="N1627">
        <v>1958</v>
      </c>
      <c r="O1627" s="8">
        <f t="shared" si="102"/>
        <v>21449</v>
      </c>
      <c r="P1627" s="10">
        <v>14210.54</v>
      </c>
      <c r="Q1627" t="s">
        <v>2357</v>
      </c>
      <c r="R1627" t="s">
        <v>2357</v>
      </c>
      <c r="S1627" t="s">
        <v>2364</v>
      </c>
      <c r="T1627">
        <f t="shared" ca="1" si="103"/>
        <v>68</v>
      </c>
      <c r="U1627">
        <f>VLOOKUP($A1627,'Medical Examination'!$A:$Z,2,FALSE)</f>
        <v>32.770000000000003</v>
      </c>
    </row>
    <row r="1628" spans="1:21" ht="15.5" x14ac:dyDescent="0.35">
      <c r="A1628" s="2" t="s">
        <v>1628</v>
      </c>
      <c r="B1628" s="2" t="s">
        <v>4677</v>
      </c>
      <c r="C1628">
        <v>16.850000000000001</v>
      </c>
      <c r="D1628">
        <v>11.75</v>
      </c>
      <c r="E1628" t="s">
        <v>2346</v>
      </c>
      <c r="F1628" t="s">
        <v>2344</v>
      </c>
      <c r="G1628" t="s">
        <v>2344</v>
      </c>
      <c r="H1628">
        <v>1</v>
      </c>
      <c r="I1628" t="s">
        <v>2344</v>
      </c>
      <c r="J1628" t="str">
        <f t="shared" si="101"/>
        <v>Under Weight</v>
      </c>
      <c r="K1628" t="str">
        <f t="shared" si="104"/>
        <v>Diabetes</v>
      </c>
      <c r="L1628">
        <v>25</v>
      </c>
      <c r="M1628" t="s">
        <v>2363</v>
      </c>
      <c r="N1628">
        <v>1961</v>
      </c>
      <c r="O1628" s="8">
        <f t="shared" si="102"/>
        <v>22549</v>
      </c>
      <c r="P1628" s="10">
        <v>14235.07</v>
      </c>
      <c r="Q1628" t="s">
        <v>2357</v>
      </c>
      <c r="R1628" t="s">
        <v>2361</v>
      </c>
      <c r="S1628" t="s">
        <v>2368</v>
      </c>
      <c r="T1628">
        <f t="shared" ca="1" si="103"/>
        <v>65</v>
      </c>
      <c r="U1628">
        <f>VLOOKUP($A1628,'Medical Examination'!$A:$Z,2,FALSE)</f>
        <v>16.850000000000001</v>
      </c>
    </row>
    <row r="1629" spans="1:21" ht="15.5" x14ac:dyDescent="0.35">
      <c r="A1629" s="2" t="s">
        <v>1629</v>
      </c>
      <c r="B1629" s="2" t="s">
        <v>4679</v>
      </c>
      <c r="C1629">
        <v>34.700000000000003</v>
      </c>
      <c r="D1629">
        <v>6.06</v>
      </c>
      <c r="E1629" t="s">
        <v>2344</v>
      </c>
      <c r="F1629" t="s">
        <v>2344</v>
      </c>
      <c r="G1629" t="s">
        <v>2344</v>
      </c>
      <c r="H1629">
        <v>1</v>
      </c>
      <c r="I1629" t="s">
        <v>2344</v>
      </c>
      <c r="J1629" t="str">
        <f t="shared" si="101"/>
        <v>Obesity</v>
      </c>
      <c r="K1629" t="str">
        <f t="shared" si="104"/>
        <v>Prediabetes</v>
      </c>
      <c r="L1629">
        <v>10</v>
      </c>
      <c r="M1629" t="s">
        <v>2367</v>
      </c>
      <c r="N1629">
        <v>1959</v>
      </c>
      <c r="O1629" s="8">
        <f t="shared" si="102"/>
        <v>21833</v>
      </c>
      <c r="P1629" s="10">
        <v>14254.61</v>
      </c>
      <c r="Q1629" t="s">
        <v>2357</v>
      </c>
      <c r="R1629" t="s">
        <v>2361</v>
      </c>
      <c r="S1629" t="s">
        <v>2364</v>
      </c>
      <c r="T1629">
        <f t="shared" ca="1" si="103"/>
        <v>67</v>
      </c>
      <c r="U1629">
        <f>VLOOKUP($A1629,'Medical Examination'!$A:$Z,2,FALSE)</f>
        <v>34.700000000000003</v>
      </c>
    </row>
    <row r="1630" spans="1:21" ht="15.5" x14ac:dyDescent="0.35">
      <c r="A1630" s="2" t="s">
        <v>1630</v>
      </c>
      <c r="B1630" s="2" t="s">
        <v>4680</v>
      </c>
      <c r="C1630">
        <v>37.049999999999997</v>
      </c>
      <c r="D1630">
        <v>5.48</v>
      </c>
      <c r="E1630" t="s">
        <v>2344</v>
      </c>
      <c r="F1630" t="s">
        <v>2344</v>
      </c>
      <c r="G1630" t="s">
        <v>2344</v>
      </c>
      <c r="H1630">
        <v>1</v>
      </c>
      <c r="I1630" t="s">
        <v>2344</v>
      </c>
      <c r="J1630" t="str">
        <f t="shared" si="101"/>
        <v>Obesity</v>
      </c>
      <c r="K1630" t="str">
        <f t="shared" si="104"/>
        <v>Normal</v>
      </c>
      <c r="L1630">
        <v>8</v>
      </c>
      <c r="M1630" t="s">
        <v>2360</v>
      </c>
      <c r="N1630">
        <v>1959</v>
      </c>
      <c r="O1630" s="8">
        <f t="shared" si="102"/>
        <v>21862</v>
      </c>
      <c r="P1630" s="10">
        <v>14256.19</v>
      </c>
      <c r="Q1630" t="s">
        <v>2357</v>
      </c>
      <c r="R1630" t="s">
        <v>2358</v>
      </c>
      <c r="S1630" t="s">
        <v>2364</v>
      </c>
      <c r="T1630">
        <f t="shared" ca="1" si="103"/>
        <v>67</v>
      </c>
      <c r="U1630">
        <f>VLOOKUP($A1630,'Medical Examination'!$A:$Z,2,FALSE)</f>
        <v>37.049999999999997</v>
      </c>
    </row>
    <row r="1631" spans="1:21" ht="15.5" x14ac:dyDescent="0.35">
      <c r="A1631" s="2" t="s">
        <v>1631</v>
      </c>
      <c r="B1631" s="2" t="s">
        <v>4682</v>
      </c>
      <c r="C1631">
        <v>18.78</v>
      </c>
      <c r="D1631">
        <v>4.45</v>
      </c>
      <c r="E1631" t="s">
        <v>2344</v>
      </c>
      <c r="F1631" t="s">
        <v>2344</v>
      </c>
      <c r="G1631" t="s">
        <v>2346</v>
      </c>
      <c r="H1631">
        <v>1</v>
      </c>
      <c r="I1631" t="s">
        <v>2344</v>
      </c>
      <c r="J1631" t="str">
        <f t="shared" si="101"/>
        <v>Normal Weight</v>
      </c>
      <c r="K1631" t="str">
        <f t="shared" si="104"/>
        <v>Normal</v>
      </c>
      <c r="L1631">
        <v>26</v>
      </c>
      <c r="M1631" t="s">
        <v>2365</v>
      </c>
      <c r="N1631">
        <v>1974</v>
      </c>
      <c r="O1631" s="8">
        <f t="shared" si="102"/>
        <v>27389</v>
      </c>
      <c r="P1631" s="10">
        <v>14256.79</v>
      </c>
      <c r="Q1631" t="s">
        <v>2357</v>
      </c>
      <c r="R1631" t="s">
        <v>2357</v>
      </c>
      <c r="S1631" t="s">
        <v>2380</v>
      </c>
      <c r="T1631">
        <f t="shared" ca="1" si="103"/>
        <v>52</v>
      </c>
      <c r="U1631">
        <f>VLOOKUP($A1631,'Medical Examination'!$A:$Z,2,FALSE)</f>
        <v>18.78</v>
      </c>
    </row>
    <row r="1632" spans="1:21" ht="15.5" x14ac:dyDescent="0.35">
      <c r="A1632" s="2" t="s">
        <v>1632</v>
      </c>
      <c r="B1632" s="2" t="s">
        <v>3950</v>
      </c>
      <c r="C1632">
        <v>28.024999999999999</v>
      </c>
      <c r="D1632" t="s">
        <v>2346</v>
      </c>
      <c r="E1632" t="s">
        <v>2344</v>
      </c>
      <c r="F1632" t="s">
        <v>2344</v>
      </c>
      <c r="G1632" t="s">
        <v>2344</v>
      </c>
      <c r="H1632">
        <v>1</v>
      </c>
      <c r="I1632" t="s">
        <v>2344</v>
      </c>
      <c r="J1632" t="str">
        <f t="shared" si="101"/>
        <v>Over weight</v>
      </c>
      <c r="K1632" t="str">
        <f t="shared" si="104"/>
        <v>Diabetes</v>
      </c>
      <c r="L1632">
        <v>13</v>
      </c>
      <c r="M1632" t="s">
        <v>2356</v>
      </c>
      <c r="N1632">
        <v>1972</v>
      </c>
      <c r="O1632" s="8">
        <f t="shared" si="102"/>
        <v>26493</v>
      </c>
      <c r="P1632" s="10">
        <v>14258.33</v>
      </c>
      <c r="Q1632" t="s">
        <v>2357</v>
      </c>
      <c r="R1632" t="s">
        <v>2357</v>
      </c>
      <c r="S1632" t="s">
        <v>2380</v>
      </c>
      <c r="T1632">
        <f t="shared" ca="1" si="103"/>
        <v>54</v>
      </c>
      <c r="U1632">
        <f>VLOOKUP($A1632,'Medical Examination'!$A:$Z,2,FALSE)</f>
        <v>28.024999999999999</v>
      </c>
    </row>
    <row r="1633" spans="1:21" ht="15.5" x14ac:dyDescent="0.35">
      <c r="A1633" s="2" t="s">
        <v>1633</v>
      </c>
      <c r="B1633" s="2" t="s">
        <v>4566</v>
      </c>
      <c r="C1633">
        <v>35.090000000000003</v>
      </c>
      <c r="D1633">
        <v>5.84</v>
      </c>
      <c r="E1633" t="s">
        <v>2344</v>
      </c>
      <c r="F1633" t="s">
        <v>2344</v>
      </c>
      <c r="G1633" t="s">
        <v>2344</v>
      </c>
      <c r="H1633">
        <v>0</v>
      </c>
      <c r="I1633" t="s">
        <v>2344</v>
      </c>
      <c r="J1633" t="str">
        <f t="shared" si="101"/>
        <v>Obesity</v>
      </c>
      <c r="K1633" t="str">
        <f t="shared" si="104"/>
        <v>Prediabetes</v>
      </c>
      <c r="L1633">
        <v>6</v>
      </c>
      <c r="M1633" t="s">
        <v>2363</v>
      </c>
      <c r="N1633">
        <v>2004</v>
      </c>
      <c r="O1633" s="8">
        <f t="shared" si="102"/>
        <v>38236</v>
      </c>
      <c r="P1633" s="10">
        <v>14283.46</v>
      </c>
      <c r="Q1633" t="s">
        <v>2357</v>
      </c>
      <c r="R1633" t="s">
        <v>2357</v>
      </c>
      <c r="S1633" t="s">
        <v>2374</v>
      </c>
      <c r="T1633">
        <f t="shared" ca="1" si="103"/>
        <v>22</v>
      </c>
      <c r="U1633">
        <f>VLOOKUP($A1633,'Medical Examination'!$A:$Z,2,FALSE)</f>
        <v>35.090000000000003</v>
      </c>
    </row>
    <row r="1634" spans="1:21" ht="15.5" x14ac:dyDescent="0.35">
      <c r="A1634" s="2" t="s">
        <v>1634</v>
      </c>
      <c r="B1634" s="2" t="s">
        <v>4684</v>
      </c>
      <c r="C1634">
        <v>34.42</v>
      </c>
      <c r="D1634">
        <v>5.21</v>
      </c>
      <c r="E1634" t="s">
        <v>2346</v>
      </c>
      <c r="F1634" t="s">
        <v>2344</v>
      </c>
      <c r="G1634" t="s">
        <v>2344</v>
      </c>
      <c r="H1634">
        <v>0</v>
      </c>
      <c r="I1634" t="s">
        <v>2344</v>
      </c>
      <c r="J1634" t="str">
        <f t="shared" si="101"/>
        <v>Obesity</v>
      </c>
      <c r="K1634" t="str">
        <f t="shared" si="104"/>
        <v>Normal</v>
      </c>
      <c r="L1634">
        <v>15</v>
      </c>
      <c r="M1634" t="s">
        <v>2365</v>
      </c>
      <c r="N1634">
        <v>1968</v>
      </c>
      <c r="O1634" s="8">
        <f t="shared" si="102"/>
        <v>25187</v>
      </c>
      <c r="P1634" s="10">
        <v>14285.9</v>
      </c>
      <c r="Q1634" t="s">
        <v>2357</v>
      </c>
      <c r="R1634" t="s">
        <v>2358</v>
      </c>
      <c r="S1634" t="s">
        <v>2364</v>
      </c>
      <c r="T1634">
        <f t="shared" ca="1" si="103"/>
        <v>58</v>
      </c>
      <c r="U1634">
        <f>VLOOKUP($A1634,'Medical Examination'!$A:$Z,2,FALSE)</f>
        <v>34.42</v>
      </c>
    </row>
    <row r="1635" spans="1:21" ht="15.5" x14ac:dyDescent="0.35">
      <c r="A1635" s="2" t="s">
        <v>1635</v>
      </c>
      <c r="B1635" s="2" t="s">
        <v>4685</v>
      </c>
      <c r="C1635">
        <v>29.4</v>
      </c>
      <c r="D1635">
        <v>4.26</v>
      </c>
      <c r="E1635" t="s">
        <v>2344</v>
      </c>
      <c r="F1635" t="s">
        <v>2344</v>
      </c>
      <c r="G1635" t="s">
        <v>2344</v>
      </c>
      <c r="H1635">
        <v>0</v>
      </c>
      <c r="I1635" t="s">
        <v>2344</v>
      </c>
      <c r="J1635" t="str">
        <f t="shared" si="101"/>
        <v>Over weight</v>
      </c>
      <c r="K1635" t="str">
        <f t="shared" si="104"/>
        <v>Normal</v>
      </c>
      <c r="L1635">
        <v>15</v>
      </c>
      <c r="M1635" t="s">
        <v>2367</v>
      </c>
      <c r="N1635">
        <v>1958</v>
      </c>
      <c r="O1635" s="8">
        <f t="shared" si="102"/>
        <v>21473</v>
      </c>
      <c r="P1635" s="10">
        <v>14313.85</v>
      </c>
      <c r="Q1635" t="s">
        <v>2357</v>
      </c>
      <c r="R1635" t="s">
        <v>2358</v>
      </c>
      <c r="S1635" t="s">
        <v>2359</v>
      </c>
      <c r="T1635">
        <f t="shared" ca="1" si="103"/>
        <v>68</v>
      </c>
      <c r="U1635">
        <f>VLOOKUP($A1635,'Medical Examination'!$A:$Z,2,FALSE)</f>
        <v>29.4</v>
      </c>
    </row>
    <row r="1636" spans="1:21" ht="15.5" x14ac:dyDescent="0.35">
      <c r="A1636" s="2" t="s">
        <v>1636</v>
      </c>
      <c r="B1636" s="2" t="s">
        <v>4686</v>
      </c>
      <c r="C1636">
        <v>21.31</v>
      </c>
      <c r="D1636">
        <v>4.17</v>
      </c>
      <c r="E1636" t="s">
        <v>2344</v>
      </c>
      <c r="F1636" t="s">
        <v>2344</v>
      </c>
      <c r="G1636" t="s">
        <v>2344</v>
      </c>
      <c r="H1636">
        <v>0</v>
      </c>
      <c r="I1636" t="s">
        <v>2344</v>
      </c>
      <c r="J1636" t="str">
        <f t="shared" si="101"/>
        <v>Normal Weight</v>
      </c>
      <c r="K1636" t="str">
        <f t="shared" si="104"/>
        <v>Normal</v>
      </c>
      <c r="L1636">
        <v>10</v>
      </c>
      <c r="M1636" t="s">
        <v>2356</v>
      </c>
      <c r="N1636">
        <v>1958</v>
      </c>
      <c r="O1636" s="8">
        <f t="shared" si="102"/>
        <v>21376</v>
      </c>
      <c r="P1636" s="10">
        <v>14319.03</v>
      </c>
      <c r="Q1636" t="s">
        <v>2357</v>
      </c>
      <c r="R1636" t="s">
        <v>2357</v>
      </c>
      <c r="S1636" t="s">
        <v>2368</v>
      </c>
      <c r="T1636">
        <f t="shared" ca="1" si="103"/>
        <v>68</v>
      </c>
      <c r="U1636">
        <f>VLOOKUP($A1636,'Medical Examination'!$A:$Z,2,FALSE)</f>
        <v>21.31</v>
      </c>
    </row>
    <row r="1637" spans="1:21" ht="15.5" x14ac:dyDescent="0.35">
      <c r="A1637" s="2" t="s">
        <v>1637</v>
      </c>
      <c r="B1637" s="2" t="s">
        <v>4687</v>
      </c>
      <c r="C1637">
        <v>19.559999999999999</v>
      </c>
      <c r="D1637">
        <v>11.96</v>
      </c>
      <c r="E1637" t="s">
        <v>2344</v>
      </c>
      <c r="F1637" t="s">
        <v>2344</v>
      </c>
      <c r="G1637" t="s">
        <v>2344</v>
      </c>
      <c r="H1637">
        <v>0</v>
      </c>
      <c r="I1637" t="s">
        <v>2344</v>
      </c>
      <c r="J1637" t="str">
        <f t="shared" si="101"/>
        <v>Normal Weight</v>
      </c>
      <c r="K1637" t="str">
        <f t="shared" si="104"/>
        <v>Diabetes</v>
      </c>
      <c r="L1637">
        <v>26</v>
      </c>
      <c r="M1637" t="s">
        <v>2363</v>
      </c>
      <c r="N1637">
        <v>1969</v>
      </c>
      <c r="O1637" s="8">
        <f t="shared" si="102"/>
        <v>25472</v>
      </c>
      <c r="P1637" s="10">
        <v>14337.91</v>
      </c>
      <c r="Q1637" t="s">
        <v>2357</v>
      </c>
      <c r="R1637" t="s">
        <v>2358</v>
      </c>
      <c r="S1637" t="s">
        <v>2381</v>
      </c>
      <c r="T1637">
        <f t="shared" ca="1" si="103"/>
        <v>57</v>
      </c>
      <c r="U1637">
        <f>VLOOKUP($A1637,'Medical Examination'!$A:$Z,2,FALSE)</f>
        <v>19.559999999999999</v>
      </c>
    </row>
    <row r="1638" spans="1:21" ht="15.5" x14ac:dyDescent="0.35">
      <c r="A1638" s="2" t="s">
        <v>1638</v>
      </c>
      <c r="B1638" s="2" t="s">
        <v>4688</v>
      </c>
      <c r="C1638">
        <v>37.335000000000001</v>
      </c>
      <c r="D1638">
        <v>6.26</v>
      </c>
      <c r="E1638" t="s">
        <v>2346</v>
      </c>
      <c r="F1638" t="s">
        <v>2344</v>
      </c>
      <c r="G1638" t="s">
        <v>2344</v>
      </c>
      <c r="H1638">
        <v>1</v>
      </c>
      <c r="I1638" t="s">
        <v>2344</v>
      </c>
      <c r="J1638" t="str">
        <f t="shared" si="101"/>
        <v>Obesity</v>
      </c>
      <c r="K1638" t="str">
        <f t="shared" si="104"/>
        <v>Prediabetes</v>
      </c>
      <c r="L1638">
        <v>24</v>
      </c>
      <c r="M1638" t="s">
        <v>2365</v>
      </c>
      <c r="N1638">
        <v>1959</v>
      </c>
      <c r="O1638" s="8">
        <f t="shared" si="102"/>
        <v>21908</v>
      </c>
      <c r="P1638" s="10">
        <v>14349.85</v>
      </c>
      <c r="Q1638" t="s">
        <v>2357</v>
      </c>
      <c r="R1638" t="s">
        <v>2357</v>
      </c>
      <c r="S1638" t="s">
        <v>2364</v>
      </c>
      <c r="T1638">
        <f t="shared" ca="1" si="103"/>
        <v>67</v>
      </c>
      <c r="U1638">
        <f>VLOOKUP($A1638,'Medical Examination'!$A:$Z,2,FALSE)</f>
        <v>37.335000000000001</v>
      </c>
    </row>
    <row r="1639" spans="1:21" ht="15.5" x14ac:dyDescent="0.35">
      <c r="A1639" s="2" t="s">
        <v>1639</v>
      </c>
      <c r="B1639" s="2" t="s">
        <v>4344</v>
      </c>
      <c r="C1639">
        <v>19.53</v>
      </c>
      <c r="D1639">
        <v>11.68</v>
      </c>
      <c r="E1639" t="s">
        <v>2344</v>
      </c>
      <c r="F1639" t="s">
        <v>2344</v>
      </c>
      <c r="G1639" t="s">
        <v>2344</v>
      </c>
      <c r="H1639">
        <v>0</v>
      </c>
      <c r="I1639" t="s">
        <v>2344</v>
      </c>
      <c r="J1639" t="str">
        <f t="shared" si="101"/>
        <v>Normal Weight</v>
      </c>
      <c r="K1639" t="str">
        <f t="shared" si="104"/>
        <v>Diabetes</v>
      </c>
      <c r="L1639">
        <v>10</v>
      </c>
      <c r="M1639" t="s">
        <v>2367</v>
      </c>
      <c r="N1639">
        <v>1967</v>
      </c>
      <c r="O1639" s="8">
        <f t="shared" si="102"/>
        <v>24755</v>
      </c>
      <c r="P1639" s="10">
        <v>14355.43</v>
      </c>
      <c r="Q1639" t="s">
        <v>2357</v>
      </c>
      <c r="R1639" t="s">
        <v>2361</v>
      </c>
      <c r="S1639" t="s">
        <v>2380</v>
      </c>
      <c r="T1639">
        <f t="shared" ca="1" si="103"/>
        <v>59</v>
      </c>
      <c r="U1639">
        <f>VLOOKUP($A1639,'Medical Examination'!$A:$Z,2,FALSE)</f>
        <v>19.53</v>
      </c>
    </row>
    <row r="1640" spans="1:21" ht="15.5" x14ac:dyDescent="0.35">
      <c r="A1640" s="2" t="s">
        <v>1640</v>
      </c>
      <c r="B1640" s="2" t="s">
        <v>2862</v>
      </c>
      <c r="C1640">
        <v>34.1</v>
      </c>
      <c r="D1640">
        <v>5.16</v>
      </c>
      <c r="E1640" t="s">
        <v>2344</v>
      </c>
      <c r="F1640" t="s">
        <v>2344</v>
      </c>
      <c r="G1640" t="s">
        <v>2344</v>
      </c>
      <c r="H1640">
        <v>0</v>
      </c>
      <c r="I1640" t="s">
        <v>2344</v>
      </c>
      <c r="J1640" t="str">
        <f t="shared" si="101"/>
        <v>Obesity</v>
      </c>
      <c r="K1640" t="str">
        <f t="shared" si="104"/>
        <v>Normal</v>
      </c>
      <c r="L1640">
        <v>16</v>
      </c>
      <c r="M1640" t="s">
        <v>2360</v>
      </c>
      <c r="N1640">
        <v>1988</v>
      </c>
      <c r="O1640" s="8">
        <f t="shared" si="102"/>
        <v>32463</v>
      </c>
      <c r="P1640" s="10">
        <v>14358.36</v>
      </c>
      <c r="Q1640" t="s">
        <v>2357</v>
      </c>
      <c r="R1640" t="s">
        <v>2357</v>
      </c>
      <c r="S1640" t="s">
        <v>2368</v>
      </c>
      <c r="T1640">
        <f t="shared" ca="1" si="103"/>
        <v>38</v>
      </c>
      <c r="U1640">
        <f>VLOOKUP($A1640,'Medical Examination'!$A:$Z,2,FALSE)</f>
        <v>34.1</v>
      </c>
    </row>
    <row r="1641" spans="1:21" ht="15.5" x14ac:dyDescent="0.35">
      <c r="A1641" s="2" t="s">
        <v>1641</v>
      </c>
      <c r="B1641" s="2" t="s">
        <v>4691</v>
      </c>
      <c r="C1641">
        <v>16.5</v>
      </c>
      <c r="D1641">
        <v>6.9</v>
      </c>
      <c r="E1641" t="s">
        <v>2346</v>
      </c>
      <c r="F1641" t="s">
        <v>2344</v>
      </c>
      <c r="G1641" t="s">
        <v>2344</v>
      </c>
      <c r="H1641">
        <v>1</v>
      </c>
      <c r="I1641" t="s">
        <v>2344</v>
      </c>
      <c r="J1641" t="str">
        <f t="shared" si="101"/>
        <v>Under Weight</v>
      </c>
      <c r="K1641" t="str">
        <f t="shared" si="104"/>
        <v>Diabetes</v>
      </c>
      <c r="L1641">
        <v>16</v>
      </c>
      <c r="M1641" t="s">
        <v>2356</v>
      </c>
      <c r="N1641">
        <v>1963</v>
      </c>
      <c r="O1641" s="8">
        <f t="shared" si="102"/>
        <v>23208</v>
      </c>
      <c r="P1641" s="10">
        <v>14382.71</v>
      </c>
      <c r="Q1641" t="s">
        <v>2357</v>
      </c>
      <c r="R1641" t="s">
        <v>2357</v>
      </c>
      <c r="S1641" t="s">
        <v>2364</v>
      </c>
      <c r="T1641">
        <f t="shared" ca="1" si="103"/>
        <v>63</v>
      </c>
      <c r="U1641">
        <f>VLOOKUP($A1641,'Medical Examination'!$A:$Z,2,FALSE)</f>
        <v>16.5</v>
      </c>
    </row>
    <row r="1642" spans="1:21" ht="15.5" x14ac:dyDescent="0.35">
      <c r="A1642" s="2" t="s">
        <v>1642</v>
      </c>
      <c r="B1642" s="2" t="s">
        <v>4692</v>
      </c>
      <c r="C1642">
        <v>30.69</v>
      </c>
      <c r="D1642">
        <v>4.83</v>
      </c>
      <c r="E1642" t="s">
        <v>2344</v>
      </c>
      <c r="F1642" t="s">
        <v>2344</v>
      </c>
      <c r="G1642" t="s">
        <v>2344</v>
      </c>
      <c r="H1642">
        <v>1</v>
      </c>
      <c r="I1642" t="s">
        <v>2344</v>
      </c>
      <c r="J1642" t="str">
        <f t="shared" si="101"/>
        <v>Obesity</v>
      </c>
      <c r="K1642" t="str">
        <f t="shared" si="104"/>
        <v>Normal</v>
      </c>
      <c r="L1642">
        <v>22</v>
      </c>
      <c r="M1642" t="s">
        <v>2362</v>
      </c>
      <c r="N1642">
        <v>1965</v>
      </c>
      <c r="O1642" s="8">
        <f t="shared" si="102"/>
        <v>23915</v>
      </c>
      <c r="P1642" s="10">
        <v>14394.4</v>
      </c>
      <c r="Q1642" t="s">
        <v>2357</v>
      </c>
      <c r="R1642" t="s">
        <v>2358</v>
      </c>
      <c r="S1642" t="s">
        <v>2374</v>
      </c>
      <c r="T1642">
        <f t="shared" ca="1" si="103"/>
        <v>61</v>
      </c>
      <c r="U1642">
        <f>VLOOKUP($A1642,'Medical Examination'!$A:$Z,2,FALSE)</f>
        <v>30.69</v>
      </c>
    </row>
    <row r="1643" spans="1:21" ht="15.5" x14ac:dyDescent="0.35">
      <c r="A1643" s="2" t="s">
        <v>1643</v>
      </c>
      <c r="B1643" s="2" t="s">
        <v>3190</v>
      </c>
      <c r="C1643">
        <v>28.93</v>
      </c>
      <c r="D1643">
        <v>4.87</v>
      </c>
      <c r="E1643" t="s">
        <v>2344</v>
      </c>
      <c r="F1643" t="s">
        <v>2344</v>
      </c>
      <c r="G1643" t="s">
        <v>2344</v>
      </c>
      <c r="H1643">
        <v>1</v>
      </c>
      <c r="I1643" t="s">
        <v>2344</v>
      </c>
      <c r="J1643" t="str">
        <f t="shared" si="101"/>
        <v>Over weight</v>
      </c>
      <c r="K1643" t="str">
        <f t="shared" si="104"/>
        <v>Normal</v>
      </c>
      <c r="L1643">
        <v>14</v>
      </c>
      <c r="M1643" t="s">
        <v>2363</v>
      </c>
      <c r="N1643">
        <v>1958</v>
      </c>
      <c r="O1643" s="8">
        <f t="shared" si="102"/>
        <v>21442</v>
      </c>
      <c r="P1643" s="10">
        <v>14394.56</v>
      </c>
      <c r="Q1643" t="s">
        <v>2357</v>
      </c>
      <c r="R1643" t="s">
        <v>2361</v>
      </c>
      <c r="S1643" t="s">
        <v>2372</v>
      </c>
      <c r="T1643">
        <f t="shared" ca="1" si="103"/>
        <v>68</v>
      </c>
      <c r="U1643">
        <f>VLOOKUP($A1643,'Medical Examination'!$A:$Z,2,FALSE)</f>
        <v>28.93</v>
      </c>
    </row>
    <row r="1644" spans="1:21" ht="15.5" x14ac:dyDescent="0.35">
      <c r="A1644" s="2" t="s">
        <v>1644</v>
      </c>
      <c r="B1644" s="2" t="s">
        <v>4694</v>
      </c>
      <c r="C1644">
        <v>38.9</v>
      </c>
      <c r="D1644">
        <v>4.28</v>
      </c>
      <c r="E1644" t="s">
        <v>2344</v>
      </c>
      <c r="F1644" t="s">
        <v>2344</v>
      </c>
      <c r="G1644" t="s">
        <v>2344</v>
      </c>
      <c r="H1644">
        <v>0</v>
      </c>
      <c r="I1644" t="s">
        <v>2344</v>
      </c>
      <c r="J1644" t="str">
        <f t="shared" si="101"/>
        <v>Obesity</v>
      </c>
      <c r="K1644" t="str">
        <f t="shared" si="104"/>
        <v>Normal</v>
      </c>
      <c r="L1644">
        <v>29</v>
      </c>
      <c r="M1644" t="s">
        <v>2356</v>
      </c>
      <c r="N1644">
        <v>1958</v>
      </c>
      <c r="O1644" s="8">
        <f t="shared" si="102"/>
        <v>21395</v>
      </c>
      <c r="P1644" s="10">
        <v>14410.93</v>
      </c>
      <c r="Q1644" t="s">
        <v>2357</v>
      </c>
      <c r="R1644" t="s">
        <v>2357</v>
      </c>
      <c r="S1644" t="s">
        <v>2371</v>
      </c>
      <c r="T1644">
        <f t="shared" ca="1" si="103"/>
        <v>68</v>
      </c>
      <c r="U1644">
        <f>VLOOKUP($A1644,'Medical Examination'!$A:$Z,2,FALSE)</f>
        <v>38.9</v>
      </c>
    </row>
    <row r="1645" spans="1:21" ht="15.5" x14ac:dyDescent="0.35">
      <c r="A1645" s="2" t="s">
        <v>1645</v>
      </c>
      <c r="B1645" s="2" t="s">
        <v>3326</v>
      </c>
      <c r="C1645">
        <v>26.9</v>
      </c>
      <c r="D1645">
        <v>4.07</v>
      </c>
      <c r="E1645" t="s">
        <v>2344</v>
      </c>
      <c r="F1645" t="s">
        <v>2344</v>
      </c>
      <c r="G1645" t="s">
        <v>2344</v>
      </c>
      <c r="H1645">
        <v>0</v>
      </c>
      <c r="I1645" t="s">
        <v>2344</v>
      </c>
      <c r="J1645" t="str">
        <f t="shared" si="101"/>
        <v>Over weight</v>
      </c>
      <c r="K1645" t="str">
        <f t="shared" si="104"/>
        <v>Normal</v>
      </c>
      <c r="L1645">
        <v>20</v>
      </c>
      <c r="M1645" t="s">
        <v>2363</v>
      </c>
      <c r="N1645">
        <v>1958</v>
      </c>
      <c r="O1645" s="8">
        <f t="shared" si="102"/>
        <v>21448</v>
      </c>
      <c r="P1645" s="10">
        <v>14418.28</v>
      </c>
      <c r="Q1645" t="s">
        <v>2357</v>
      </c>
      <c r="R1645" t="s">
        <v>2358</v>
      </c>
      <c r="S1645" t="s">
        <v>2359</v>
      </c>
      <c r="T1645">
        <f t="shared" ca="1" si="103"/>
        <v>68</v>
      </c>
      <c r="U1645">
        <f>VLOOKUP($A1645,'Medical Examination'!$A:$Z,2,FALSE)</f>
        <v>26.9</v>
      </c>
    </row>
    <row r="1646" spans="1:21" ht="15.5" x14ac:dyDescent="0.35">
      <c r="A1646" s="2" t="s">
        <v>1646</v>
      </c>
      <c r="B1646" s="2" t="s">
        <v>3642</v>
      </c>
      <c r="C1646">
        <v>24.86</v>
      </c>
      <c r="D1646">
        <v>6.23</v>
      </c>
      <c r="E1646" t="s">
        <v>2344</v>
      </c>
      <c r="F1646" t="s">
        <v>2344</v>
      </c>
      <c r="G1646" t="s">
        <v>2344</v>
      </c>
      <c r="H1646">
        <v>0</v>
      </c>
      <c r="I1646" t="s">
        <v>2344</v>
      </c>
      <c r="J1646" t="str">
        <f t="shared" si="101"/>
        <v>Normal Weight</v>
      </c>
      <c r="K1646" t="str">
        <f t="shared" si="104"/>
        <v>Prediabetes</v>
      </c>
      <c r="L1646">
        <v>10</v>
      </c>
      <c r="M1646" t="s">
        <v>2366</v>
      </c>
      <c r="N1646">
        <v>1999</v>
      </c>
      <c r="O1646" s="8">
        <f t="shared" si="102"/>
        <v>36382</v>
      </c>
      <c r="P1646" s="10">
        <v>14426.07</v>
      </c>
      <c r="Q1646" t="s">
        <v>2357</v>
      </c>
      <c r="R1646" t="s">
        <v>2361</v>
      </c>
      <c r="S1646" t="s">
        <v>2364</v>
      </c>
      <c r="T1646">
        <f t="shared" ca="1" si="103"/>
        <v>27</v>
      </c>
      <c r="U1646">
        <f>VLOOKUP($A1646,'Medical Examination'!$A:$Z,2,FALSE)</f>
        <v>24.86</v>
      </c>
    </row>
    <row r="1647" spans="1:21" ht="15.5" x14ac:dyDescent="0.35">
      <c r="A1647" s="2" t="s">
        <v>1647</v>
      </c>
      <c r="B1647" s="2" t="s">
        <v>4696</v>
      </c>
      <c r="C1647">
        <v>39.14</v>
      </c>
      <c r="D1647">
        <v>6.24</v>
      </c>
      <c r="E1647" t="s">
        <v>2344</v>
      </c>
      <c r="F1647" t="s">
        <v>2345</v>
      </c>
      <c r="G1647" t="s">
        <v>2344</v>
      </c>
      <c r="H1647">
        <v>1</v>
      </c>
      <c r="I1647" t="s">
        <v>2344</v>
      </c>
      <c r="J1647" t="str">
        <f t="shared" si="101"/>
        <v>Obesity</v>
      </c>
      <c r="K1647" t="str">
        <f t="shared" si="104"/>
        <v>Prediabetes</v>
      </c>
      <c r="L1647">
        <v>15</v>
      </c>
      <c r="M1647" t="s">
        <v>2366</v>
      </c>
      <c r="N1647">
        <v>1967</v>
      </c>
      <c r="O1647" s="8">
        <f t="shared" si="102"/>
        <v>24699</v>
      </c>
      <c r="P1647" s="10">
        <v>14426.66</v>
      </c>
      <c r="Q1647" t="s">
        <v>2357</v>
      </c>
      <c r="R1647" t="s">
        <v>2357</v>
      </c>
      <c r="S1647" t="s">
        <v>2380</v>
      </c>
      <c r="T1647">
        <f t="shared" ca="1" si="103"/>
        <v>59</v>
      </c>
      <c r="U1647">
        <f>VLOOKUP($A1647,'Medical Examination'!$A:$Z,2,FALSE)</f>
        <v>39.14</v>
      </c>
    </row>
    <row r="1648" spans="1:21" ht="15.5" x14ac:dyDescent="0.35">
      <c r="A1648" s="2" t="s">
        <v>1648</v>
      </c>
      <c r="B1648" s="2" t="s">
        <v>4697</v>
      </c>
      <c r="C1648">
        <v>39.799999999999997</v>
      </c>
      <c r="D1648">
        <v>6.17</v>
      </c>
      <c r="E1648" t="s">
        <v>2344</v>
      </c>
      <c r="F1648" t="s">
        <v>2344</v>
      </c>
      <c r="G1648" t="s">
        <v>2346</v>
      </c>
      <c r="H1648">
        <v>1</v>
      </c>
      <c r="I1648" t="s">
        <v>2344</v>
      </c>
      <c r="J1648" t="str">
        <f t="shared" si="101"/>
        <v>Obesity</v>
      </c>
      <c r="K1648" t="str">
        <f t="shared" si="104"/>
        <v>Prediabetes</v>
      </c>
      <c r="L1648">
        <v>4</v>
      </c>
      <c r="M1648" t="s">
        <v>2360</v>
      </c>
      <c r="N1648">
        <v>1967</v>
      </c>
      <c r="O1648" s="8">
        <f t="shared" si="102"/>
        <v>24780</v>
      </c>
      <c r="P1648" s="10">
        <v>14427.63</v>
      </c>
      <c r="Q1648" t="s">
        <v>2357</v>
      </c>
      <c r="R1648" t="s">
        <v>2357</v>
      </c>
      <c r="S1648" t="s">
        <v>2377</v>
      </c>
      <c r="T1648">
        <f t="shared" ca="1" si="103"/>
        <v>59</v>
      </c>
      <c r="U1648">
        <f>VLOOKUP($A1648,'Medical Examination'!$A:$Z,2,FALSE)</f>
        <v>39.799999999999997</v>
      </c>
    </row>
    <row r="1649" spans="1:21" ht="15.5" x14ac:dyDescent="0.35">
      <c r="A1649" s="2" t="s">
        <v>1649</v>
      </c>
      <c r="B1649" s="2" t="s">
        <v>4698</v>
      </c>
      <c r="C1649">
        <v>34.32</v>
      </c>
      <c r="D1649">
        <v>5.16</v>
      </c>
      <c r="E1649" t="s">
        <v>2344</v>
      </c>
      <c r="F1649" t="s">
        <v>2344</v>
      </c>
      <c r="G1649" t="s">
        <v>2344</v>
      </c>
      <c r="H1649">
        <v>1</v>
      </c>
      <c r="I1649" t="s">
        <v>2344</v>
      </c>
      <c r="J1649" t="str">
        <f t="shared" si="101"/>
        <v>Obesity</v>
      </c>
      <c r="K1649" t="str">
        <f t="shared" si="104"/>
        <v>Normal</v>
      </c>
      <c r="L1649">
        <v>29</v>
      </c>
      <c r="M1649" t="s">
        <v>2362</v>
      </c>
      <c r="N1649">
        <v>1959</v>
      </c>
      <c r="O1649" s="8">
        <f t="shared" si="102"/>
        <v>21730</v>
      </c>
      <c r="P1649" s="10">
        <v>14449.85</v>
      </c>
      <c r="Q1649" t="s">
        <v>2357</v>
      </c>
      <c r="R1649" t="s">
        <v>2361</v>
      </c>
      <c r="S1649" t="s">
        <v>2374</v>
      </c>
      <c r="T1649">
        <f t="shared" ca="1" si="103"/>
        <v>67</v>
      </c>
      <c r="U1649">
        <f>VLOOKUP($A1649,'Medical Examination'!$A:$Z,2,FALSE)</f>
        <v>34.32</v>
      </c>
    </row>
    <row r="1650" spans="1:21" ht="15.5" x14ac:dyDescent="0.35">
      <c r="A1650" s="2" t="s">
        <v>1650</v>
      </c>
      <c r="B1650" s="2" t="s">
        <v>2862</v>
      </c>
      <c r="C1650">
        <v>32.51</v>
      </c>
      <c r="D1650">
        <v>4.3</v>
      </c>
      <c r="E1650" t="s">
        <v>2344</v>
      </c>
      <c r="F1650" t="s">
        <v>2344</v>
      </c>
      <c r="G1650" t="s">
        <v>2344</v>
      </c>
      <c r="H1650">
        <v>0</v>
      </c>
      <c r="I1650" t="s">
        <v>2344</v>
      </c>
      <c r="J1650" t="str">
        <f t="shared" si="101"/>
        <v>Obesity</v>
      </c>
      <c r="K1650" t="str">
        <f t="shared" si="104"/>
        <v>Normal</v>
      </c>
      <c r="L1650">
        <v>3</v>
      </c>
      <c r="M1650" t="s">
        <v>2366</v>
      </c>
      <c r="N1650">
        <v>1959</v>
      </c>
      <c r="O1650" s="8">
        <f t="shared" si="102"/>
        <v>21765</v>
      </c>
      <c r="P1650" s="10">
        <v>14451.84</v>
      </c>
      <c r="Q1650" t="s">
        <v>2357</v>
      </c>
      <c r="R1650" t="s">
        <v>2358</v>
      </c>
      <c r="S1650" t="s">
        <v>2375</v>
      </c>
      <c r="T1650">
        <f t="shared" ca="1" si="103"/>
        <v>67</v>
      </c>
      <c r="U1650">
        <f>VLOOKUP($A1650,'Medical Examination'!$A:$Z,2,FALSE)</f>
        <v>32.51</v>
      </c>
    </row>
    <row r="1651" spans="1:21" ht="15.5" x14ac:dyDescent="0.35">
      <c r="A1651" s="2" t="s">
        <v>1651</v>
      </c>
      <c r="B1651" s="2" t="s">
        <v>4699</v>
      </c>
      <c r="C1651">
        <v>30.71</v>
      </c>
      <c r="D1651">
        <v>6.14</v>
      </c>
      <c r="E1651" t="s">
        <v>2344</v>
      </c>
      <c r="F1651" t="s">
        <v>2344</v>
      </c>
      <c r="G1651" t="s">
        <v>2346</v>
      </c>
      <c r="H1651">
        <v>1</v>
      </c>
      <c r="I1651" t="s">
        <v>2344</v>
      </c>
      <c r="J1651" t="str">
        <f t="shared" si="101"/>
        <v>Obesity</v>
      </c>
      <c r="K1651" t="str">
        <f t="shared" si="104"/>
        <v>Prediabetes</v>
      </c>
      <c r="L1651">
        <v>10</v>
      </c>
      <c r="M1651" t="s">
        <v>2360</v>
      </c>
      <c r="N1651">
        <v>1996</v>
      </c>
      <c r="O1651" s="8">
        <f t="shared" si="102"/>
        <v>35379</v>
      </c>
      <c r="P1651" s="10">
        <v>14455.64</v>
      </c>
      <c r="Q1651" t="s">
        <v>2357</v>
      </c>
      <c r="R1651" t="s">
        <v>2358</v>
      </c>
      <c r="S1651" t="s">
        <v>2374</v>
      </c>
      <c r="T1651">
        <f t="shared" ca="1" si="103"/>
        <v>30</v>
      </c>
      <c r="U1651">
        <f>VLOOKUP($A1651,'Medical Examination'!$A:$Z,2,FALSE)</f>
        <v>30.71</v>
      </c>
    </row>
    <row r="1652" spans="1:21" ht="15.5" x14ac:dyDescent="0.35">
      <c r="A1652" s="2" t="s">
        <v>1652</v>
      </c>
      <c r="B1652" s="2" t="s">
        <v>4700</v>
      </c>
      <c r="C1652">
        <v>28.9</v>
      </c>
      <c r="D1652">
        <v>5.36</v>
      </c>
      <c r="E1652" t="s">
        <v>2344</v>
      </c>
      <c r="F1652" t="s">
        <v>2344</v>
      </c>
      <c r="G1652" t="s">
        <v>2344</v>
      </c>
      <c r="H1652">
        <v>1</v>
      </c>
      <c r="I1652" t="s">
        <v>2344</v>
      </c>
      <c r="J1652" t="str">
        <f t="shared" si="101"/>
        <v>Over weight</v>
      </c>
      <c r="K1652" t="str">
        <f t="shared" si="104"/>
        <v>Normal</v>
      </c>
      <c r="L1652">
        <v>27</v>
      </c>
      <c r="M1652" t="s">
        <v>2360</v>
      </c>
      <c r="N1652">
        <v>1976</v>
      </c>
      <c r="O1652" s="8">
        <f t="shared" si="102"/>
        <v>28091</v>
      </c>
      <c r="P1652" s="10">
        <v>14470.01</v>
      </c>
      <c r="Q1652" t="s">
        <v>2357</v>
      </c>
      <c r="R1652" t="s">
        <v>2358</v>
      </c>
      <c r="S1652" t="s">
        <v>2364</v>
      </c>
      <c r="T1652">
        <f t="shared" ca="1" si="103"/>
        <v>50</v>
      </c>
      <c r="U1652">
        <f>VLOOKUP($A1652,'Medical Examination'!$A:$Z,2,FALSE)</f>
        <v>28.9</v>
      </c>
    </row>
    <row r="1653" spans="1:21" ht="15.5" x14ac:dyDescent="0.35">
      <c r="A1653" s="2" t="s">
        <v>1653</v>
      </c>
      <c r="B1653" s="2" t="s">
        <v>4702</v>
      </c>
      <c r="C1653">
        <v>36.19</v>
      </c>
      <c r="D1653">
        <v>4.3</v>
      </c>
      <c r="E1653" t="s">
        <v>2344</v>
      </c>
      <c r="F1653" t="s">
        <v>2344</v>
      </c>
      <c r="G1653" t="s">
        <v>2344</v>
      </c>
      <c r="H1653">
        <v>0</v>
      </c>
      <c r="I1653" t="s">
        <v>2344</v>
      </c>
      <c r="J1653" t="str">
        <f t="shared" si="101"/>
        <v>Obesity</v>
      </c>
      <c r="K1653" t="str">
        <f t="shared" si="104"/>
        <v>Normal</v>
      </c>
      <c r="L1653">
        <v>20</v>
      </c>
      <c r="M1653" t="s">
        <v>2360</v>
      </c>
      <c r="N1653">
        <v>1959</v>
      </c>
      <c r="O1653" s="8">
        <f t="shared" si="102"/>
        <v>21874</v>
      </c>
      <c r="P1653" s="10">
        <v>14474.68</v>
      </c>
      <c r="Q1653" t="s">
        <v>2357</v>
      </c>
      <c r="R1653" t="s">
        <v>2357</v>
      </c>
      <c r="S1653" t="s">
        <v>2359</v>
      </c>
      <c r="T1653">
        <f t="shared" ca="1" si="103"/>
        <v>67</v>
      </c>
      <c r="U1653">
        <f>VLOOKUP($A1653,'Medical Examination'!$A:$Z,2,FALSE)</f>
        <v>36.19</v>
      </c>
    </row>
    <row r="1654" spans="1:21" ht="15.5" x14ac:dyDescent="0.35">
      <c r="A1654" s="2" t="s">
        <v>1654</v>
      </c>
      <c r="B1654" s="2" t="s">
        <v>4704</v>
      </c>
      <c r="C1654">
        <v>29.6</v>
      </c>
      <c r="D1654">
        <v>4.09</v>
      </c>
      <c r="E1654" t="s">
        <v>2344</v>
      </c>
      <c r="F1654" t="s">
        <v>2344</v>
      </c>
      <c r="G1654" t="s">
        <v>2344</v>
      </c>
      <c r="H1654">
        <v>0</v>
      </c>
      <c r="I1654" t="s">
        <v>2344</v>
      </c>
      <c r="J1654" t="str">
        <f t="shared" si="101"/>
        <v>Over weight</v>
      </c>
      <c r="K1654" t="str">
        <f t="shared" si="104"/>
        <v>Normal</v>
      </c>
      <c r="L1654">
        <v>20</v>
      </c>
      <c r="M1654" t="s">
        <v>2367</v>
      </c>
      <c r="N1654">
        <v>1979</v>
      </c>
      <c r="O1654" s="8">
        <f t="shared" si="102"/>
        <v>29148</v>
      </c>
      <c r="P1654" s="10">
        <v>14478.33</v>
      </c>
      <c r="Q1654" t="s">
        <v>2357</v>
      </c>
      <c r="R1654" t="s">
        <v>2357</v>
      </c>
      <c r="S1654" t="s">
        <v>2359</v>
      </c>
      <c r="T1654">
        <f t="shared" ca="1" si="103"/>
        <v>47</v>
      </c>
      <c r="U1654">
        <f>VLOOKUP($A1654,'Medical Examination'!$A:$Z,2,FALSE)</f>
        <v>29.6</v>
      </c>
    </row>
    <row r="1655" spans="1:21" ht="15.5" x14ac:dyDescent="0.35">
      <c r="A1655" s="2" t="s">
        <v>1655</v>
      </c>
      <c r="B1655" s="2" t="s">
        <v>4705</v>
      </c>
      <c r="C1655">
        <v>30.95</v>
      </c>
      <c r="D1655">
        <v>6.27</v>
      </c>
      <c r="E1655" t="s">
        <v>2344</v>
      </c>
      <c r="F1655" t="s">
        <v>2344</v>
      </c>
      <c r="G1655" t="s">
        <v>2346</v>
      </c>
      <c r="H1655">
        <v>1</v>
      </c>
      <c r="I1655" t="s">
        <v>2344</v>
      </c>
      <c r="J1655" t="str">
        <f t="shared" si="101"/>
        <v>Obesity</v>
      </c>
      <c r="K1655" t="str">
        <f t="shared" si="104"/>
        <v>Prediabetes</v>
      </c>
      <c r="L1655">
        <v>22</v>
      </c>
      <c r="M1655" t="s">
        <v>2356</v>
      </c>
      <c r="N1655">
        <v>1989</v>
      </c>
      <c r="O1655" s="8">
        <f t="shared" si="102"/>
        <v>32711</v>
      </c>
      <c r="P1655" s="10">
        <v>14507.46</v>
      </c>
      <c r="Q1655" t="s">
        <v>2357</v>
      </c>
      <c r="R1655" t="s">
        <v>2358</v>
      </c>
      <c r="S1655" t="s">
        <v>2364</v>
      </c>
      <c r="T1655">
        <f t="shared" ca="1" si="103"/>
        <v>37</v>
      </c>
      <c r="U1655">
        <f>VLOOKUP($A1655,'Medical Examination'!$A:$Z,2,FALSE)</f>
        <v>30.95</v>
      </c>
    </row>
    <row r="1656" spans="1:21" ht="15.5" x14ac:dyDescent="0.35">
      <c r="A1656" s="2" t="s">
        <v>1656</v>
      </c>
      <c r="B1656" s="2" t="s">
        <v>4706</v>
      </c>
      <c r="C1656">
        <v>19.95</v>
      </c>
      <c r="D1656">
        <v>5.39</v>
      </c>
      <c r="E1656" t="s">
        <v>2344</v>
      </c>
      <c r="F1656" t="s">
        <v>2344</v>
      </c>
      <c r="G1656" t="s">
        <v>2344</v>
      </c>
      <c r="H1656">
        <v>1</v>
      </c>
      <c r="I1656" t="s">
        <v>2344</v>
      </c>
      <c r="J1656" t="str">
        <f t="shared" si="101"/>
        <v>Normal Weight</v>
      </c>
      <c r="K1656" t="str">
        <f t="shared" si="104"/>
        <v>Normal</v>
      </c>
      <c r="L1656">
        <v>14</v>
      </c>
      <c r="M1656" t="s">
        <v>2356</v>
      </c>
      <c r="N1656">
        <v>1989</v>
      </c>
      <c r="O1656" s="8">
        <f t="shared" si="102"/>
        <v>32703</v>
      </c>
      <c r="P1656" s="10">
        <v>14547.26</v>
      </c>
      <c r="Q1656" t="s">
        <v>2357</v>
      </c>
      <c r="R1656" t="s">
        <v>2358</v>
      </c>
      <c r="S1656" t="s">
        <v>2368</v>
      </c>
      <c r="T1656">
        <f t="shared" ca="1" si="103"/>
        <v>37</v>
      </c>
      <c r="U1656">
        <f>VLOOKUP($A1656,'Medical Examination'!$A:$Z,2,FALSE)</f>
        <v>19.95</v>
      </c>
    </row>
    <row r="1657" spans="1:21" ht="15.5" x14ac:dyDescent="0.35">
      <c r="A1657" s="2" t="s">
        <v>1657</v>
      </c>
      <c r="B1657" s="2" t="s">
        <v>4708</v>
      </c>
      <c r="C1657">
        <v>23.65</v>
      </c>
      <c r="D1657">
        <v>5.75</v>
      </c>
      <c r="E1657" t="s">
        <v>2346</v>
      </c>
      <c r="F1657" t="s">
        <v>2344</v>
      </c>
      <c r="G1657" t="s">
        <v>2344</v>
      </c>
      <c r="H1657">
        <v>0</v>
      </c>
      <c r="I1657" t="s">
        <v>2344</v>
      </c>
      <c r="J1657" t="str">
        <f t="shared" si="101"/>
        <v>Normal Weight</v>
      </c>
      <c r="K1657" t="str">
        <f t="shared" si="104"/>
        <v>Prediabetes</v>
      </c>
      <c r="L1657">
        <v>12</v>
      </c>
      <c r="M1657" t="s">
        <v>2363</v>
      </c>
      <c r="N1657">
        <v>1998</v>
      </c>
      <c r="O1657" s="8">
        <f t="shared" si="102"/>
        <v>36050</v>
      </c>
      <c r="P1657" s="10">
        <v>14571.89</v>
      </c>
      <c r="Q1657" t="s">
        <v>2357</v>
      </c>
      <c r="R1657" t="s">
        <v>2361</v>
      </c>
      <c r="S1657" t="s">
        <v>2374</v>
      </c>
      <c r="T1657">
        <f t="shared" ca="1" si="103"/>
        <v>28</v>
      </c>
      <c r="U1657">
        <f>VLOOKUP($A1657,'Medical Examination'!$A:$Z,2,FALSE)</f>
        <v>23.65</v>
      </c>
    </row>
    <row r="1658" spans="1:21" ht="15.5" x14ac:dyDescent="0.35">
      <c r="A1658" s="2" t="s">
        <v>1658</v>
      </c>
      <c r="B1658" s="2" t="s">
        <v>3546</v>
      </c>
      <c r="C1658">
        <v>43.34</v>
      </c>
      <c r="D1658">
        <v>4.91</v>
      </c>
      <c r="E1658" t="s">
        <v>2344</v>
      </c>
      <c r="F1658" t="s">
        <v>2344</v>
      </c>
      <c r="G1658" t="s">
        <v>2344</v>
      </c>
      <c r="H1658">
        <v>1</v>
      </c>
      <c r="I1658" t="s">
        <v>2344</v>
      </c>
      <c r="J1658" t="str">
        <f t="shared" si="101"/>
        <v>Obesity</v>
      </c>
      <c r="K1658" t="str">
        <f t="shared" si="104"/>
        <v>Normal</v>
      </c>
      <c r="L1658">
        <v>3</v>
      </c>
      <c r="M1658" t="s">
        <v>2365</v>
      </c>
      <c r="N1658">
        <v>1962</v>
      </c>
      <c r="O1658" s="8">
        <f t="shared" si="102"/>
        <v>22983</v>
      </c>
      <c r="P1658" s="10">
        <v>14574.64</v>
      </c>
      <c r="Q1658" t="s">
        <v>2357</v>
      </c>
      <c r="R1658" t="s">
        <v>2361</v>
      </c>
      <c r="S1658" t="s">
        <v>2373</v>
      </c>
      <c r="T1658">
        <f t="shared" ca="1" si="103"/>
        <v>64</v>
      </c>
      <c r="U1658">
        <f>VLOOKUP($A1658,'Medical Examination'!$A:$Z,2,FALSE)</f>
        <v>43.34</v>
      </c>
    </row>
    <row r="1659" spans="1:21" ht="15.5" x14ac:dyDescent="0.35">
      <c r="A1659" s="2" t="s">
        <v>1659</v>
      </c>
      <c r="B1659" s="2" t="s">
        <v>4709</v>
      </c>
      <c r="C1659">
        <v>31.98</v>
      </c>
      <c r="D1659">
        <v>4.46</v>
      </c>
      <c r="E1659" t="s">
        <v>2346</v>
      </c>
      <c r="F1659" t="s">
        <v>2344</v>
      </c>
      <c r="G1659" t="s">
        <v>2344</v>
      </c>
      <c r="H1659">
        <v>1</v>
      </c>
      <c r="I1659" t="s">
        <v>2344</v>
      </c>
      <c r="J1659" t="str">
        <f t="shared" si="101"/>
        <v>Obesity</v>
      </c>
      <c r="K1659" t="str">
        <f t="shared" si="104"/>
        <v>Normal</v>
      </c>
      <c r="L1659">
        <v>14</v>
      </c>
      <c r="M1659" t="s">
        <v>2367</v>
      </c>
      <c r="N1659">
        <v>1963</v>
      </c>
      <c r="O1659" s="8">
        <f t="shared" si="102"/>
        <v>23298</v>
      </c>
      <c r="P1659" s="10">
        <v>14590.63</v>
      </c>
      <c r="Q1659" t="s">
        <v>2357</v>
      </c>
      <c r="R1659" t="s">
        <v>2361</v>
      </c>
      <c r="S1659" t="s">
        <v>2374</v>
      </c>
      <c r="T1659">
        <f t="shared" ca="1" si="103"/>
        <v>63</v>
      </c>
      <c r="U1659">
        <f>VLOOKUP($A1659,'Medical Examination'!$A:$Z,2,FALSE)</f>
        <v>31.98</v>
      </c>
    </row>
    <row r="1660" spans="1:21" ht="15.5" x14ac:dyDescent="0.35">
      <c r="A1660" s="2" t="s">
        <v>1660</v>
      </c>
      <c r="B1660" s="2" t="s">
        <v>3811</v>
      </c>
      <c r="C1660">
        <v>35.86</v>
      </c>
      <c r="D1660">
        <v>6.22</v>
      </c>
      <c r="E1660" t="s">
        <v>2344</v>
      </c>
      <c r="F1660" t="s">
        <v>2344</v>
      </c>
      <c r="G1660" t="s">
        <v>2344</v>
      </c>
      <c r="H1660">
        <v>1</v>
      </c>
      <c r="I1660" t="s">
        <v>2344</v>
      </c>
      <c r="J1660" t="str">
        <f t="shared" si="101"/>
        <v>Obesity</v>
      </c>
      <c r="K1660" t="str">
        <f t="shared" si="104"/>
        <v>Prediabetes</v>
      </c>
      <c r="L1660">
        <v>18</v>
      </c>
      <c r="M1660" t="s">
        <v>2356</v>
      </c>
      <c r="N1660">
        <v>1967</v>
      </c>
      <c r="O1660" s="8">
        <f t="shared" si="102"/>
        <v>24671</v>
      </c>
      <c r="P1660" s="10">
        <v>14600.62</v>
      </c>
      <c r="Q1660" t="s">
        <v>2357</v>
      </c>
      <c r="R1660" t="s">
        <v>2358</v>
      </c>
      <c r="S1660" t="s">
        <v>2381</v>
      </c>
      <c r="T1660">
        <f t="shared" ca="1" si="103"/>
        <v>59</v>
      </c>
      <c r="U1660">
        <f>VLOOKUP($A1660,'Medical Examination'!$A:$Z,2,FALSE)</f>
        <v>35.86</v>
      </c>
    </row>
    <row r="1661" spans="1:21" ht="15.5" x14ac:dyDescent="0.35">
      <c r="A1661" s="2" t="s">
        <v>1661</v>
      </c>
      <c r="B1661" s="2" t="s">
        <v>4711</v>
      </c>
      <c r="C1661">
        <v>15.2</v>
      </c>
      <c r="D1661">
        <v>8.82</v>
      </c>
      <c r="E1661" t="s">
        <v>2344</v>
      </c>
      <c r="F1661" t="s">
        <v>2344</v>
      </c>
      <c r="G1661" t="s">
        <v>2344</v>
      </c>
      <c r="H1661">
        <v>0</v>
      </c>
      <c r="I1661" t="s">
        <v>2344</v>
      </c>
      <c r="J1661" t="str">
        <f t="shared" si="101"/>
        <v>Under Weight</v>
      </c>
      <c r="K1661" t="str">
        <f t="shared" si="104"/>
        <v>Diabetes</v>
      </c>
      <c r="L1661">
        <v>8</v>
      </c>
      <c r="M1661" t="s">
        <v>2360</v>
      </c>
      <c r="N1661">
        <v>1965</v>
      </c>
      <c r="O1661" s="8">
        <f t="shared" si="102"/>
        <v>24054</v>
      </c>
      <c r="P1661" s="10">
        <v>14612.33</v>
      </c>
      <c r="Q1661" t="s">
        <v>2357</v>
      </c>
      <c r="R1661" t="s">
        <v>2358</v>
      </c>
      <c r="S1661" t="s">
        <v>2377</v>
      </c>
      <c r="T1661">
        <f t="shared" ca="1" si="103"/>
        <v>61</v>
      </c>
      <c r="U1661">
        <f>VLOOKUP($A1661,'Medical Examination'!$A:$Z,2,FALSE)</f>
        <v>15.2</v>
      </c>
    </row>
    <row r="1662" spans="1:21" ht="15.5" x14ac:dyDescent="0.35">
      <c r="A1662" s="2" t="s">
        <v>1662</v>
      </c>
      <c r="B1662" s="2" t="s">
        <v>4712</v>
      </c>
      <c r="C1662">
        <v>37.200000000000003</v>
      </c>
      <c r="D1662">
        <v>10.14</v>
      </c>
      <c r="E1662" t="s">
        <v>2344</v>
      </c>
      <c r="F1662" t="s">
        <v>2344</v>
      </c>
      <c r="G1662" t="s">
        <v>2344</v>
      </c>
      <c r="H1662">
        <v>0</v>
      </c>
      <c r="I1662" t="s">
        <v>2344</v>
      </c>
      <c r="J1662" t="str">
        <f t="shared" si="101"/>
        <v>Obesity</v>
      </c>
      <c r="K1662" t="str">
        <f t="shared" si="104"/>
        <v>Diabetes</v>
      </c>
      <c r="L1662">
        <v>21</v>
      </c>
      <c r="M1662" t="s">
        <v>2366</v>
      </c>
      <c r="N1662">
        <v>1991</v>
      </c>
      <c r="O1662" s="8">
        <f t="shared" si="102"/>
        <v>33471</v>
      </c>
      <c r="P1662" s="10">
        <v>14630.52</v>
      </c>
      <c r="Q1662" t="s">
        <v>2357</v>
      </c>
      <c r="R1662" t="s">
        <v>2358</v>
      </c>
      <c r="S1662" t="s">
        <v>2368</v>
      </c>
      <c r="T1662">
        <f t="shared" ca="1" si="103"/>
        <v>35</v>
      </c>
      <c r="U1662">
        <f>VLOOKUP($A1662,'Medical Examination'!$A:$Z,2,FALSE)</f>
        <v>37.200000000000003</v>
      </c>
    </row>
    <row r="1663" spans="1:21" ht="15.5" x14ac:dyDescent="0.35">
      <c r="A1663" s="2" t="s">
        <v>1663</v>
      </c>
      <c r="B1663" s="2" t="s">
        <v>4713</v>
      </c>
      <c r="C1663">
        <v>17.91</v>
      </c>
      <c r="D1663">
        <v>4.66</v>
      </c>
      <c r="E1663" t="s">
        <v>2344</v>
      </c>
      <c r="F1663" t="s">
        <v>2344</v>
      </c>
      <c r="G1663" t="s">
        <v>2344</v>
      </c>
      <c r="H1663">
        <v>1</v>
      </c>
      <c r="I1663" t="s">
        <v>2344</v>
      </c>
      <c r="J1663" t="str">
        <f t="shared" si="101"/>
        <v>Under Weight</v>
      </c>
      <c r="K1663" t="str">
        <f t="shared" si="104"/>
        <v>Normal</v>
      </c>
      <c r="L1663">
        <v>1</v>
      </c>
      <c r="M1663" t="s">
        <v>2363</v>
      </c>
      <c r="N1663">
        <v>1967</v>
      </c>
      <c r="O1663" s="8">
        <f t="shared" si="102"/>
        <v>24716</v>
      </c>
      <c r="P1663" s="10">
        <v>14640.35</v>
      </c>
      <c r="Q1663" t="s">
        <v>2357</v>
      </c>
      <c r="R1663" t="s">
        <v>2358</v>
      </c>
      <c r="S1663" t="s">
        <v>2380</v>
      </c>
      <c r="T1663">
        <f t="shared" ca="1" si="103"/>
        <v>59</v>
      </c>
      <c r="U1663">
        <f>VLOOKUP($A1663,'Medical Examination'!$A:$Z,2,FALSE)</f>
        <v>17.91</v>
      </c>
    </row>
    <row r="1664" spans="1:21" ht="15.5" x14ac:dyDescent="0.35">
      <c r="A1664" s="2" t="s">
        <v>1664</v>
      </c>
      <c r="B1664" s="2" t="s">
        <v>4714</v>
      </c>
      <c r="C1664">
        <v>20.76</v>
      </c>
      <c r="D1664">
        <v>6.26</v>
      </c>
      <c r="E1664" t="s">
        <v>2344</v>
      </c>
      <c r="F1664" t="s">
        <v>2344</v>
      </c>
      <c r="G1664" t="s">
        <v>2344</v>
      </c>
      <c r="H1664">
        <v>0</v>
      </c>
      <c r="I1664" t="s">
        <v>2344</v>
      </c>
      <c r="J1664" t="str">
        <f t="shared" si="101"/>
        <v>Normal Weight</v>
      </c>
      <c r="K1664" t="str">
        <f t="shared" si="104"/>
        <v>Prediabetes</v>
      </c>
      <c r="L1664">
        <v>13</v>
      </c>
      <c r="M1664" t="s">
        <v>2360</v>
      </c>
      <c r="N1664">
        <v>1981</v>
      </c>
      <c r="O1664" s="8">
        <f t="shared" si="102"/>
        <v>29903</v>
      </c>
      <c r="P1664" s="10">
        <v>14657.2</v>
      </c>
      <c r="Q1664" t="s">
        <v>2357</v>
      </c>
      <c r="R1664" t="s">
        <v>2361</v>
      </c>
      <c r="S1664" t="s">
        <v>2364</v>
      </c>
      <c r="T1664">
        <f t="shared" ca="1" si="103"/>
        <v>45</v>
      </c>
      <c r="U1664">
        <f>VLOOKUP($A1664,'Medical Examination'!$A:$Z,2,FALSE)</f>
        <v>20.76</v>
      </c>
    </row>
    <row r="1665" spans="1:21" ht="15.5" x14ac:dyDescent="0.35">
      <c r="A1665" s="2" t="s">
        <v>1665</v>
      </c>
      <c r="B1665" s="2" t="s">
        <v>4715</v>
      </c>
      <c r="C1665">
        <v>38.99</v>
      </c>
      <c r="D1665">
        <v>5.21</v>
      </c>
      <c r="E1665" t="s">
        <v>2344</v>
      </c>
      <c r="F1665" t="s">
        <v>2345</v>
      </c>
      <c r="G1665" t="s">
        <v>2344</v>
      </c>
      <c r="H1665">
        <v>1</v>
      </c>
      <c r="I1665" t="s">
        <v>2344</v>
      </c>
      <c r="J1665" t="str">
        <f t="shared" si="101"/>
        <v>Obesity</v>
      </c>
      <c r="K1665" t="str">
        <f t="shared" si="104"/>
        <v>Normal</v>
      </c>
      <c r="L1665">
        <v>20</v>
      </c>
      <c r="M1665" t="s">
        <v>2367</v>
      </c>
      <c r="N1665">
        <v>1969</v>
      </c>
      <c r="O1665" s="8">
        <f t="shared" si="102"/>
        <v>25496</v>
      </c>
      <c r="P1665" s="10">
        <v>14665.75</v>
      </c>
      <c r="Q1665" t="s">
        <v>2357</v>
      </c>
      <c r="R1665" t="s">
        <v>2361</v>
      </c>
      <c r="S1665" t="s">
        <v>2364</v>
      </c>
      <c r="T1665">
        <f t="shared" ca="1" si="103"/>
        <v>57</v>
      </c>
      <c r="U1665">
        <f>VLOOKUP($A1665,'Medical Examination'!$A:$Z,2,FALSE)</f>
        <v>38.99</v>
      </c>
    </row>
    <row r="1666" spans="1:21" ht="15.5" x14ac:dyDescent="0.35">
      <c r="A1666" s="2" t="s">
        <v>1666</v>
      </c>
      <c r="B1666" s="2" t="s">
        <v>4717</v>
      </c>
      <c r="C1666">
        <v>42.655000000000001</v>
      </c>
      <c r="D1666">
        <v>5.94</v>
      </c>
      <c r="E1666" t="s">
        <v>2346</v>
      </c>
      <c r="F1666" t="s">
        <v>2344</v>
      </c>
      <c r="G1666" t="s">
        <v>2346</v>
      </c>
      <c r="H1666">
        <v>1</v>
      </c>
      <c r="I1666" t="s">
        <v>2344</v>
      </c>
      <c r="J1666" t="str">
        <f t="shared" si="101"/>
        <v>Obesity</v>
      </c>
      <c r="K1666" t="str">
        <f t="shared" si="104"/>
        <v>Prediabetes</v>
      </c>
      <c r="L1666">
        <v>23</v>
      </c>
      <c r="M1666" t="s">
        <v>2356</v>
      </c>
      <c r="N1666">
        <v>1958</v>
      </c>
      <c r="O1666" s="8">
        <f t="shared" si="102"/>
        <v>21389</v>
      </c>
      <c r="P1666" s="10">
        <v>14692.67</v>
      </c>
      <c r="Q1666" t="s">
        <v>2357</v>
      </c>
      <c r="R1666" t="s">
        <v>2361</v>
      </c>
      <c r="S1666" t="s">
        <v>2364</v>
      </c>
      <c r="T1666">
        <f t="shared" ca="1" si="103"/>
        <v>68</v>
      </c>
      <c r="U1666">
        <f>VLOOKUP($A1666,'Medical Examination'!$A:$Z,2,FALSE)</f>
        <v>42.655000000000001</v>
      </c>
    </row>
    <row r="1667" spans="1:21" ht="15.5" x14ac:dyDescent="0.35">
      <c r="A1667" s="2" t="s">
        <v>1667</v>
      </c>
      <c r="B1667" s="2" t="s">
        <v>2545</v>
      </c>
      <c r="C1667">
        <v>30.57</v>
      </c>
      <c r="D1667">
        <v>5.34</v>
      </c>
      <c r="E1667" t="s">
        <v>2344</v>
      </c>
      <c r="F1667" t="s">
        <v>2344</v>
      </c>
      <c r="G1667" t="s">
        <v>2346</v>
      </c>
      <c r="H1667">
        <v>1</v>
      </c>
      <c r="I1667" t="s">
        <v>2344</v>
      </c>
      <c r="J1667" t="str">
        <f t="shared" ref="J1667:J1730" si="105">IF(C1667&lt;18.5,"Under Weight",IF(C1667&lt;25,"Normal Weight",IF(C1667&lt;30,"Over weight","Obesity")))</f>
        <v>Obesity</v>
      </c>
      <c r="K1667" t="str">
        <f t="shared" si="104"/>
        <v>Normal</v>
      </c>
      <c r="L1667">
        <v>4</v>
      </c>
      <c r="M1667" t="s">
        <v>2363</v>
      </c>
      <c r="N1667">
        <v>1982</v>
      </c>
      <c r="O1667" s="8">
        <f t="shared" ref="O1667:O1730" si="106">DATE(N1667,MONTH(1&amp;M1667),L1667)</f>
        <v>30198</v>
      </c>
      <c r="P1667" s="10">
        <v>14696.77</v>
      </c>
      <c r="Q1667" t="s">
        <v>2357</v>
      </c>
      <c r="R1667" t="s">
        <v>2357</v>
      </c>
      <c r="S1667" t="s">
        <v>2368</v>
      </c>
      <c r="T1667">
        <f t="shared" ref="T1667:T1730" ca="1" si="107">YEAR(TODAY())-YEAR(O1667)</f>
        <v>44</v>
      </c>
      <c r="U1667">
        <f>VLOOKUP($A1667,'Medical Examination'!$A:$Z,2,FALSE)</f>
        <v>30.57</v>
      </c>
    </row>
    <row r="1668" spans="1:21" ht="15.5" x14ac:dyDescent="0.35">
      <c r="A1668" s="2" t="s">
        <v>1668</v>
      </c>
      <c r="B1668" s="2" t="s">
        <v>4718</v>
      </c>
      <c r="C1668">
        <v>17.7</v>
      </c>
      <c r="D1668">
        <v>6.38</v>
      </c>
      <c r="E1668" t="s">
        <v>2344</v>
      </c>
      <c r="F1668" t="s">
        <v>2344</v>
      </c>
      <c r="G1668" t="s">
        <v>2344</v>
      </c>
      <c r="H1668">
        <v>1</v>
      </c>
      <c r="I1668" t="s">
        <v>2344</v>
      </c>
      <c r="J1668" t="str">
        <f t="shared" si="105"/>
        <v>Under Weight</v>
      </c>
      <c r="K1668" t="str">
        <f t="shared" si="104"/>
        <v>Prediabetes</v>
      </c>
      <c r="L1668">
        <v>24</v>
      </c>
      <c r="M1668" t="s">
        <v>2363</v>
      </c>
      <c r="N1668">
        <v>2002</v>
      </c>
      <c r="O1668" s="8">
        <f t="shared" si="106"/>
        <v>37523</v>
      </c>
      <c r="P1668" s="10">
        <v>14711.74</v>
      </c>
      <c r="Q1668" t="s">
        <v>2357</v>
      </c>
      <c r="R1668" t="s">
        <v>2357</v>
      </c>
      <c r="S1668" t="s">
        <v>2364</v>
      </c>
      <c r="T1668">
        <f t="shared" ca="1" si="107"/>
        <v>24</v>
      </c>
      <c r="U1668">
        <f>VLOOKUP($A1668,'Medical Examination'!$A:$Z,2,FALSE)</f>
        <v>17.7</v>
      </c>
    </row>
    <row r="1669" spans="1:21" ht="15.5" x14ac:dyDescent="0.35">
      <c r="A1669" s="2" t="s">
        <v>1669</v>
      </c>
      <c r="B1669" s="2" t="s">
        <v>4719</v>
      </c>
      <c r="C1669">
        <v>34.770000000000003</v>
      </c>
      <c r="D1669">
        <v>4.47</v>
      </c>
      <c r="E1669" t="s">
        <v>2344</v>
      </c>
      <c r="F1669" t="s">
        <v>2344</v>
      </c>
      <c r="G1669" t="s">
        <v>2344</v>
      </c>
      <c r="H1669">
        <v>1</v>
      </c>
      <c r="I1669" t="s">
        <v>2344</v>
      </c>
      <c r="J1669" t="str">
        <f t="shared" si="105"/>
        <v>Obesity</v>
      </c>
      <c r="K1669" t="str">
        <f t="shared" si="104"/>
        <v>Normal</v>
      </c>
      <c r="L1669">
        <v>29</v>
      </c>
      <c r="M1669" t="s">
        <v>2356</v>
      </c>
      <c r="N1669">
        <v>1962</v>
      </c>
      <c r="O1669" s="8">
        <f t="shared" si="106"/>
        <v>22856</v>
      </c>
      <c r="P1669" s="10">
        <v>14738.43</v>
      </c>
      <c r="Q1669" t="s">
        <v>2357</v>
      </c>
      <c r="R1669" t="s">
        <v>2358</v>
      </c>
      <c r="S1669" t="s">
        <v>2377</v>
      </c>
      <c r="T1669">
        <f t="shared" ca="1" si="107"/>
        <v>64</v>
      </c>
      <c r="U1669">
        <f>VLOOKUP($A1669,'Medical Examination'!$A:$Z,2,FALSE)</f>
        <v>34.770000000000003</v>
      </c>
    </row>
    <row r="1670" spans="1:21" ht="15.5" x14ac:dyDescent="0.35">
      <c r="A1670" s="2" t="s">
        <v>1670</v>
      </c>
      <c r="B1670" s="2" t="s">
        <v>3128</v>
      </c>
      <c r="C1670">
        <v>16.88</v>
      </c>
      <c r="D1670">
        <v>9.9600000000000009</v>
      </c>
      <c r="E1670" t="s">
        <v>2344</v>
      </c>
      <c r="F1670" t="s">
        <v>2344</v>
      </c>
      <c r="G1670" t="s">
        <v>2344</v>
      </c>
      <c r="H1670">
        <v>0</v>
      </c>
      <c r="I1670" t="s">
        <v>2344</v>
      </c>
      <c r="J1670" t="str">
        <f t="shared" si="105"/>
        <v>Under Weight</v>
      </c>
      <c r="K1670" t="str">
        <f t="shared" si="104"/>
        <v>Diabetes</v>
      </c>
      <c r="L1670">
        <v>27</v>
      </c>
      <c r="M1670" t="s">
        <v>2356</v>
      </c>
      <c r="N1670">
        <v>1965</v>
      </c>
      <c r="O1670" s="8">
        <f t="shared" si="106"/>
        <v>23950</v>
      </c>
      <c r="P1670" s="10">
        <v>14750.42</v>
      </c>
      <c r="Q1670" t="s">
        <v>2357</v>
      </c>
      <c r="R1670" t="s">
        <v>2357</v>
      </c>
      <c r="S1670" t="s">
        <v>2380</v>
      </c>
      <c r="T1670">
        <f t="shared" ca="1" si="107"/>
        <v>61</v>
      </c>
      <c r="U1670">
        <f>VLOOKUP($A1670,'Medical Examination'!$A:$Z,2,FALSE)</f>
        <v>16.88</v>
      </c>
    </row>
    <row r="1671" spans="1:21" ht="15.5" x14ac:dyDescent="0.35">
      <c r="A1671" s="2" t="s">
        <v>1671</v>
      </c>
      <c r="B1671" s="2" t="s">
        <v>4720</v>
      </c>
      <c r="C1671">
        <v>40.26</v>
      </c>
      <c r="D1671">
        <v>9.92</v>
      </c>
      <c r="E1671" t="s">
        <v>2346</v>
      </c>
      <c r="F1671" t="s">
        <v>2344</v>
      </c>
      <c r="G1671" t="s">
        <v>2344</v>
      </c>
      <c r="H1671">
        <v>0</v>
      </c>
      <c r="I1671" t="s">
        <v>2344</v>
      </c>
      <c r="J1671" t="str">
        <f t="shared" si="105"/>
        <v>Obesity</v>
      </c>
      <c r="K1671" t="str">
        <f t="shared" si="104"/>
        <v>Diabetes</v>
      </c>
      <c r="L1671">
        <v>10</v>
      </c>
      <c r="M1671" t="s">
        <v>2365</v>
      </c>
      <c r="N1671">
        <v>1975</v>
      </c>
      <c r="O1671" s="8">
        <f t="shared" si="106"/>
        <v>27738</v>
      </c>
      <c r="P1671" s="10">
        <v>14819</v>
      </c>
      <c r="Q1671" t="s">
        <v>2357</v>
      </c>
      <c r="R1671" t="s">
        <v>2358</v>
      </c>
      <c r="S1671" t="s">
        <v>2375</v>
      </c>
      <c r="T1671">
        <f t="shared" ca="1" si="107"/>
        <v>51</v>
      </c>
      <c r="U1671">
        <f>VLOOKUP($A1671,'Medical Examination'!$A:$Z,2,FALSE)</f>
        <v>40.26</v>
      </c>
    </row>
    <row r="1672" spans="1:21" ht="15.5" x14ac:dyDescent="0.35">
      <c r="A1672" s="2" t="s">
        <v>1672</v>
      </c>
      <c r="B1672" s="2" t="s">
        <v>4157</v>
      </c>
      <c r="C1672">
        <v>25.6</v>
      </c>
      <c r="D1672">
        <v>6.03</v>
      </c>
      <c r="E1672" t="s">
        <v>2344</v>
      </c>
      <c r="F1672" t="s">
        <v>2344</v>
      </c>
      <c r="G1672" t="s">
        <v>2346</v>
      </c>
      <c r="H1672">
        <v>1</v>
      </c>
      <c r="I1672" t="s">
        <v>2344</v>
      </c>
      <c r="J1672" t="str">
        <f t="shared" si="105"/>
        <v>Over weight</v>
      </c>
      <c r="K1672" t="str">
        <f t="shared" si="104"/>
        <v>Prediabetes</v>
      </c>
      <c r="L1672">
        <v>18</v>
      </c>
      <c r="M1672" t="s">
        <v>2367</v>
      </c>
      <c r="N1672">
        <v>1979</v>
      </c>
      <c r="O1672" s="8">
        <f t="shared" si="106"/>
        <v>29146</v>
      </c>
      <c r="P1672" s="10">
        <v>14839.34</v>
      </c>
      <c r="Q1672" t="s">
        <v>2357</v>
      </c>
      <c r="R1672" t="s">
        <v>2358</v>
      </c>
      <c r="S1672" t="s">
        <v>2380</v>
      </c>
      <c r="T1672">
        <f t="shared" ca="1" si="107"/>
        <v>47</v>
      </c>
      <c r="U1672">
        <f>VLOOKUP($A1672,'Medical Examination'!$A:$Z,2,FALSE)</f>
        <v>25.6</v>
      </c>
    </row>
    <row r="1673" spans="1:21" ht="15.5" x14ac:dyDescent="0.35">
      <c r="A1673" s="2" t="s">
        <v>1673</v>
      </c>
      <c r="B1673" s="2" t="s">
        <v>4722</v>
      </c>
      <c r="C1673">
        <v>33.549999999999997</v>
      </c>
      <c r="D1673">
        <v>10.9</v>
      </c>
      <c r="E1673" t="s">
        <v>2346</v>
      </c>
      <c r="F1673" t="s">
        <v>2344</v>
      </c>
      <c r="G1673" t="s">
        <v>2344</v>
      </c>
      <c r="H1673">
        <v>0</v>
      </c>
      <c r="I1673" t="s">
        <v>2344</v>
      </c>
      <c r="J1673" t="str">
        <f t="shared" si="105"/>
        <v>Obesity</v>
      </c>
      <c r="K1673" t="str">
        <f t="shared" si="104"/>
        <v>Diabetes</v>
      </c>
      <c r="L1673">
        <v>5</v>
      </c>
      <c r="M1673" t="s">
        <v>2362</v>
      </c>
      <c r="N1673">
        <v>1981</v>
      </c>
      <c r="O1673" s="8">
        <f t="shared" si="106"/>
        <v>29742</v>
      </c>
      <c r="P1673" s="10">
        <v>14843.96</v>
      </c>
      <c r="Q1673" t="s">
        <v>2357</v>
      </c>
      <c r="R1673" t="s">
        <v>2358</v>
      </c>
      <c r="S1673" t="s">
        <v>2380</v>
      </c>
      <c r="T1673">
        <f t="shared" ca="1" si="107"/>
        <v>45</v>
      </c>
      <c r="U1673">
        <f>VLOOKUP($A1673,'Medical Examination'!$A:$Z,2,FALSE)</f>
        <v>33.549999999999997</v>
      </c>
    </row>
    <row r="1674" spans="1:21" ht="15.5" x14ac:dyDescent="0.35">
      <c r="A1674" s="2" t="s">
        <v>1674</v>
      </c>
      <c r="B1674" s="2" t="s">
        <v>4723</v>
      </c>
      <c r="C1674">
        <v>16.690000000000001</v>
      </c>
      <c r="D1674">
        <v>10.66</v>
      </c>
      <c r="E1674" t="s">
        <v>2344</v>
      </c>
      <c r="F1674" t="s">
        <v>2344</v>
      </c>
      <c r="G1674" t="s">
        <v>2344</v>
      </c>
      <c r="H1674">
        <v>0</v>
      </c>
      <c r="I1674" t="s">
        <v>2344</v>
      </c>
      <c r="J1674" t="str">
        <f t="shared" si="105"/>
        <v>Under Weight</v>
      </c>
      <c r="K1674" t="str">
        <f t="shared" si="104"/>
        <v>Diabetes</v>
      </c>
      <c r="L1674">
        <v>11</v>
      </c>
      <c r="M1674" t="s">
        <v>2360</v>
      </c>
      <c r="N1674">
        <v>1970</v>
      </c>
      <c r="O1674" s="8">
        <f t="shared" si="106"/>
        <v>25883</v>
      </c>
      <c r="P1674" s="10">
        <v>14847.63</v>
      </c>
      <c r="Q1674" t="s">
        <v>2357</v>
      </c>
      <c r="R1674" t="s">
        <v>2357</v>
      </c>
      <c r="S1674" t="s">
        <v>2375</v>
      </c>
      <c r="T1674">
        <f t="shared" ca="1" si="107"/>
        <v>56</v>
      </c>
      <c r="U1674">
        <f>VLOOKUP($A1674,'Medical Examination'!$A:$Z,2,FALSE)</f>
        <v>16.690000000000001</v>
      </c>
    </row>
    <row r="1675" spans="1:21" ht="15.5" x14ac:dyDescent="0.35">
      <c r="A1675" s="2" t="s">
        <v>1675</v>
      </c>
      <c r="B1675" s="2" t="s">
        <v>4724</v>
      </c>
      <c r="C1675">
        <v>19.95</v>
      </c>
      <c r="D1675">
        <v>4.05</v>
      </c>
      <c r="E1675" t="s">
        <v>2344</v>
      </c>
      <c r="F1675" t="s">
        <v>2344</v>
      </c>
      <c r="G1675" t="s">
        <v>2344</v>
      </c>
      <c r="H1675">
        <v>1</v>
      </c>
      <c r="I1675" t="s">
        <v>2344</v>
      </c>
      <c r="J1675" t="str">
        <f t="shared" si="105"/>
        <v>Normal Weight</v>
      </c>
      <c r="K1675" t="str">
        <f t="shared" si="104"/>
        <v>Normal</v>
      </c>
      <c r="L1675">
        <v>17</v>
      </c>
      <c r="M1675" t="s">
        <v>2367</v>
      </c>
      <c r="N1675">
        <v>1958</v>
      </c>
      <c r="O1675" s="8">
        <f t="shared" si="106"/>
        <v>21475</v>
      </c>
      <c r="P1675" s="10">
        <v>14901.52</v>
      </c>
      <c r="Q1675" t="s">
        <v>2357</v>
      </c>
      <c r="R1675" t="s">
        <v>2357</v>
      </c>
      <c r="S1675" t="s">
        <v>2374</v>
      </c>
      <c r="T1675">
        <f t="shared" ca="1" si="107"/>
        <v>68</v>
      </c>
      <c r="U1675">
        <f>VLOOKUP($A1675,'Medical Examination'!$A:$Z,2,FALSE)</f>
        <v>19.95</v>
      </c>
    </row>
    <row r="1676" spans="1:21" ht="15.5" x14ac:dyDescent="0.35">
      <c r="A1676" s="2" t="s">
        <v>1676</v>
      </c>
      <c r="B1676" s="2" t="s">
        <v>4725</v>
      </c>
      <c r="C1676">
        <v>17.55</v>
      </c>
      <c r="D1676">
        <v>4.2300000000000004</v>
      </c>
      <c r="E1676" t="s">
        <v>2344</v>
      </c>
      <c r="F1676" t="s">
        <v>2344</v>
      </c>
      <c r="G1676" t="s">
        <v>2344</v>
      </c>
      <c r="H1676">
        <v>1</v>
      </c>
      <c r="I1676" t="s">
        <v>2344</v>
      </c>
      <c r="J1676" t="str">
        <f t="shared" si="105"/>
        <v>Under Weight</v>
      </c>
      <c r="K1676" t="str">
        <f t="shared" ref="K1676:K1739" si="108">IF(D1676&lt;5.7,"Normal",IF(D1676&lt;6.5,"Prediabetes","Diabetes"))</f>
        <v>Normal</v>
      </c>
      <c r="L1676">
        <v>4</v>
      </c>
      <c r="M1676" t="s">
        <v>2356</v>
      </c>
      <c r="N1676">
        <v>1981</v>
      </c>
      <c r="O1676" s="8">
        <f t="shared" si="106"/>
        <v>29771</v>
      </c>
      <c r="P1676" s="10">
        <v>14908.27</v>
      </c>
      <c r="Q1676" t="s">
        <v>2357</v>
      </c>
      <c r="R1676" t="s">
        <v>2361</v>
      </c>
      <c r="S1676" t="s">
        <v>2368</v>
      </c>
      <c r="T1676">
        <f t="shared" ca="1" si="107"/>
        <v>45</v>
      </c>
      <c r="U1676">
        <f>VLOOKUP($A1676,'Medical Examination'!$A:$Z,2,FALSE)</f>
        <v>17.55</v>
      </c>
    </row>
    <row r="1677" spans="1:21" ht="15.5" x14ac:dyDescent="0.35">
      <c r="A1677" s="2" t="s">
        <v>1677</v>
      </c>
      <c r="B1677" s="2" t="s">
        <v>4727</v>
      </c>
      <c r="C1677">
        <v>22.01</v>
      </c>
      <c r="D1677">
        <v>5.01</v>
      </c>
      <c r="E1677" t="s">
        <v>2344</v>
      </c>
      <c r="F1677" t="s">
        <v>2344</v>
      </c>
      <c r="G1677" t="s">
        <v>2344</v>
      </c>
      <c r="H1677">
        <v>1</v>
      </c>
      <c r="I1677" t="s">
        <v>2344</v>
      </c>
      <c r="J1677" t="str">
        <f t="shared" si="105"/>
        <v>Normal Weight</v>
      </c>
      <c r="K1677" t="str">
        <f t="shared" si="108"/>
        <v>Normal</v>
      </c>
      <c r="L1677">
        <v>8</v>
      </c>
      <c r="M1677" t="s">
        <v>2360</v>
      </c>
      <c r="N1677">
        <v>1968</v>
      </c>
      <c r="O1677" s="8">
        <f t="shared" si="106"/>
        <v>25150</v>
      </c>
      <c r="P1677" s="10">
        <v>14926.97</v>
      </c>
      <c r="Q1677" t="s">
        <v>2357</v>
      </c>
      <c r="R1677" t="s">
        <v>2357</v>
      </c>
      <c r="S1677" t="s">
        <v>2364</v>
      </c>
      <c r="T1677">
        <f t="shared" ca="1" si="107"/>
        <v>58</v>
      </c>
      <c r="U1677">
        <f>VLOOKUP($A1677,'Medical Examination'!$A:$Z,2,FALSE)</f>
        <v>22.01</v>
      </c>
    </row>
    <row r="1678" spans="1:21" ht="15.5" x14ac:dyDescent="0.35">
      <c r="A1678" s="2" t="s">
        <v>1678</v>
      </c>
      <c r="B1678" s="2" t="s">
        <v>4729</v>
      </c>
      <c r="C1678">
        <v>41.8</v>
      </c>
      <c r="D1678">
        <v>5.82</v>
      </c>
      <c r="E1678" t="s">
        <v>2346</v>
      </c>
      <c r="F1678" t="s">
        <v>2344</v>
      </c>
      <c r="G1678" t="s">
        <v>2346</v>
      </c>
      <c r="H1678">
        <v>1</v>
      </c>
      <c r="I1678" t="s">
        <v>2344</v>
      </c>
      <c r="J1678" t="str">
        <f t="shared" si="105"/>
        <v>Obesity</v>
      </c>
      <c r="K1678" t="str">
        <f t="shared" si="108"/>
        <v>Prediabetes</v>
      </c>
      <c r="L1678">
        <v>29</v>
      </c>
      <c r="M1678" t="s">
        <v>2360</v>
      </c>
      <c r="N1678">
        <v>1962</v>
      </c>
      <c r="O1678" s="8">
        <f t="shared" si="106"/>
        <v>22979</v>
      </c>
      <c r="P1678" s="10">
        <v>14945.34</v>
      </c>
      <c r="Q1678" t="s">
        <v>2357</v>
      </c>
      <c r="R1678" t="s">
        <v>2361</v>
      </c>
      <c r="S1678" t="s">
        <v>2377</v>
      </c>
      <c r="T1678">
        <f t="shared" ca="1" si="107"/>
        <v>64</v>
      </c>
      <c r="U1678">
        <f>VLOOKUP($A1678,'Medical Examination'!$A:$Z,2,FALSE)</f>
        <v>41.8</v>
      </c>
    </row>
    <row r="1679" spans="1:21" ht="15.5" x14ac:dyDescent="0.35">
      <c r="A1679" s="2" t="s">
        <v>1679</v>
      </c>
      <c r="B1679" s="2" t="s">
        <v>4730</v>
      </c>
      <c r="C1679">
        <v>19.170000000000002</v>
      </c>
      <c r="D1679">
        <v>7.94</v>
      </c>
      <c r="E1679" t="s">
        <v>2344</v>
      </c>
      <c r="F1679" t="s">
        <v>2344</v>
      </c>
      <c r="G1679" t="s">
        <v>2344</v>
      </c>
      <c r="H1679">
        <v>0</v>
      </c>
      <c r="I1679" t="s">
        <v>2344</v>
      </c>
      <c r="J1679" t="str">
        <f t="shared" si="105"/>
        <v>Normal Weight</v>
      </c>
      <c r="K1679" t="str">
        <f t="shared" si="108"/>
        <v>Diabetes</v>
      </c>
      <c r="L1679">
        <v>29</v>
      </c>
      <c r="M1679" t="s">
        <v>2356</v>
      </c>
      <c r="N1679">
        <v>1958</v>
      </c>
      <c r="O1679" s="8">
        <f t="shared" si="106"/>
        <v>21395</v>
      </c>
      <c r="P1679" s="10">
        <v>14988.43</v>
      </c>
      <c r="Q1679" t="s">
        <v>2357</v>
      </c>
      <c r="R1679" t="s">
        <v>2358</v>
      </c>
      <c r="S1679" t="s">
        <v>2368</v>
      </c>
      <c r="T1679">
        <f t="shared" ca="1" si="107"/>
        <v>68</v>
      </c>
      <c r="U1679">
        <f>VLOOKUP($A1679,'Medical Examination'!$A:$Z,2,FALSE)</f>
        <v>19.170000000000002</v>
      </c>
    </row>
    <row r="1680" spans="1:21" ht="15.5" x14ac:dyDescent="0.35">
      <c r="A1680" s="2" t="s">
        <v>1680</v>
      </c>
      <c r="B1680" s="2" t="s">
        <v>4120</v>
      </c>
      <c r="C1680">
        <v>32.799999999999997</v>
      </c>
      <c r="D1680">
        <v>6.16</v>
      </c>
      <c r="E1680" t="s">
        <v>2346</v>
      </c>
      <c r="F1680" t="s">
        <v>2344</v>
      </c>
      <c r="G1680" t="s">
        <v>2346</v>
      </c>
      <c r="H1680">
        <v>1</v>
      </c>
      <c r="I1680" t="s">
        <v>2344</v>
      </c>
      <c r="J1680" t="str">
        <f t="shared" si="105"/>
        <v>Obesity</v>
      </c>
      <c r="K1680" t="str">
        <f t="shared" si="108"/>
        <v>Prediabetes</v>
      </c>
      <c r="L1680">
        <v>2</v>
      </c>
      <c r="M1680" t="s">
        <v>2366</v>
      </c>
      <c r="N1680">
        <v>1995</v>
      </c>
      <c r="O1680" s="8">
        <f t="shared" si="106"/>
        <v>34913</v>
      </c>
      <c r="P1680" s="10">
        <v>15006.58</v>
      </c>
      <c r="Q1680" t="s">
        <v>2357</v>
      </c>
      <c r="R1680" t="s">
        <v>2357</v>
      </c>
      <c r="S1680" t="s">
        <v>2374</v>
      </c>
      <c r="T1680">
        <f t="shared" ca="1" si="107"/>
        <v>31</v>
      </c>
      <c r="U1680">
        <f>VLOOKUP($A1680,'Medical Examination'!$A:$Z,2,FALSE)</f>
        <v>32.799999999999997</v>
      </c>
    </row>
    <row r="1681" spans="1:21" ht="15.5" x14ac:dyDescent="0.35">
      <c r="A1681" s="2" t="s">
        <v>1681</v>
      </c>
      <c r="B1681" s="2" t="s">
        <v>4731</v>
      </c>
      <c r="C1681">
        <v>35.814999999999998</v>
      </c>
      <c r="D1681">
        <v>4.1500000000000004</v>
      </c>
      <c r="E1681" t="s">
        <v>2344</v>
      </c>
      <c r="F1681" t="s">
        <v>2344</v>
      </c>
      <c r="G1681" t="s">
        <v>2344</v>
      </c>
      <c r="H1681">
        <v>1</v>
      </c>
      <c r="I1681" t="s">
        <v>2344</v>
      </c>
      <c r="J1681" t="str">
        <f t="shared" si="105"/>
        <v>Obesity</v>
      </c>
      <c r="K1681" t="str">
        <f t="shared" si="108"/>
        <v>Normal</v>
      </c>
      <c r="L1681">
        <v>8</v>
      </c>
      <c r="M1681" t="s">
        <v>2366</v>
      </c>
      <c r="N1681">
        <v>1960</v>
      </c>
      <c r="O1681" s="8">
        <f t="shared" si="106"/>
        <v>22136</v>
      </c>
      <c r="P1681" s="10">
        <v>15019.76</v>
      </c>
      <c r="Q1681" t="s">
        <v>2357</v>
      </c>
      <c r="R1681" t="s">
        <v>2357</v>
      </c>
      <c r="S1681" t="s">
        <v>2364</v>
      </c>
      <c r="T1681">
        <f t="shared" ca="1" si="107"/>
        <v>66</v>
      </c>
      <c r="U1681">
        <f>VLOOKUP($A1681,'Medical Examination'!$A:$Z,2,FALSE)</f>
        <v>35.814999999999998</v>
      </c>
    </row>
    <row r="1682" spans="1:21" ht="15.5" x14ac:dyDescent="0.35">
      <c r="A1682" s="2" t="s">
        <v>1682</v>
      </c>
      <c r="B1682" s="2" t="s">
        <v>3344</v>
      </c>
      <c r="C1682">
        <v>24.3</v>
      </c>
      <c r="D1682">
        <v>6.23</v>
      </c>
      <c r="E1682" t="s">
        <v>2344</v>
      </c>
      <c r="F1682" t="s">
        <v>2344</v>
      </c>
      <c r="G1682" t="s">
        <v>2344</v>
      </c>
      <c r="H1682">
        <v>0</v>
      </c>
      <c r="I1682" t="s">
        <v>2344</v>
      </c>
      <c r="J1682" t="str">
        <f t="shared" si="105"/>
        <v>Normal Weight</v>
      </c>
      <c r="K1682" t="str">
        <f t="shared" si="108"/>
        <v>Prediabetes</v>
      </c>
      <c r="L1682">
        <v>25</v>
      </c>
      <c r="M1682" t="s">
        <v>2360</v>
      </c>
      <c r="N1682">
        <v>1979</v>
      </c>
      <c r="O1682" s="8">
        <f t="shared" si="106"/>
        <v>29184</v>
      </c>
      <c r="P1682" s="10">
        <v>15025.76</v>
      </c>
      <c r="Q1682" t="s">
        <v>2357</v>
      </c>
      <c r="R1682" t="s">
        <v>2361</v>
      </c>
      <c r="S1682" t="s">
        <v>2368</v>
      </c>
      <c r="T1682">
        <f t="shared" ca="1" si="107"/>
        <v>47</v>
      </c>
      <c r="U1682">
        <f>VLOOKUP($A1682,'Medical Examination'!$A:$Z,2,FALSE)</f>
        <v>24.3</v>
      </c>
    </row>
    <row r="1683" spans="1:21" ht="15.5" x14ac:dyDescent="0.35">
      <c r="A1683" s="2" t="s">
        <v>1683</v>
      </c>
      <c r="B1683" s="2" t="s">
        <v>4734</v>
      </c>
      <c r="C1683">
        <v>19.059999999999999</v>
      </c>
      <c r="D1683">
        <v>7.41</v>
      </c>
      <c r="E1683" t="s">
        <v>2344</v>
      </c>
      <c r="F1683" t="s">
        <v>2344</v>
      </c>
      <c r="G1683" t="s">
        <v>2344</v>
      </c>
      <c r="H1683">
        <v>0</v>
      </c>
      <c r="I1683" t="s">
        <v>2344</v>
      </c>
      <c r="J1683" t="str">
        <f t="shared" si="105"/>
        <v>Normal Weight</v>
      </c>
      <c r="K1683" t="str">
        <f t="shared" si="108"/>
        <v>Diabetes</v>
      </c>
      <c r="L1683">
        <v>11</v>
      </c>
      <c r="M1683" t="s">
        <v>2363</v>
      </c>
      <c r="N1683">
        <v>1970</v>
      </c>
      <c r="O1683" s="8">
        <f t="shared" si="106"/>
        <v>25822</v>
      </c>
      <c r="P1683" s="10">
        <v>15026.3</v>
      </c>
      <c r="Q1683" t="s">
        <v>2357</v>
      </c>
      <c r="R1683" t="s">
        <v>2358</v>
      </c>
      <c r="S1683" t="s">
        <v>2368</v>
      </c>
      <c r="T1683">
        <f t="shared" ca="1" si="107"/>
        <v>56</v>
      </c>
      <c r="U1683">
        <f>VLOOKUP($A1683,'Medical Examination'!$A:$Z,2,FALSE)</f>
        <v>19.059999999999999</v>
      </c>
    </row>
    <row r="1684" spans="1:21" ht="15.5" x14ac:dyDescent="0.35">
      <c r="A1684" s="2" t="s">
        <v>1684</v>
      </c>
      <c r="B1684" s="2" t="s">
        <v>3023</v>
      </c>
      <c r="C1684">
        <v>33.25</v>
      </c>
      <c r="D1684">
        <v>5.62</v>
      </c>
      <c r="E1684" t="s">
        <v>2346</v>
      </c>
      <c r="F1684" t="s">
        <v>2344</v>
      </c>
      <c r="G1684" t="s">
        <v>2344</v>
      </c>
      <c r="H1684">
        <v>1</v>
      </c>
      <c r="I1684" t="s">
        <v>2344</v>
      </c>
      <c r="J1684" t="str">
        <f t="shared" si="105"/>
        <v>Obesity</v>
      </c>
      <c r="K1684" t="str">
        <f t="shared" si="108"/>
        <v>Normal</v>
      </c>
      <c r="L1684">
        <v>15</v>
      </c>
      <c r="M1684" t="s">
        <v>2366</v>
      </c>
      <c r="N1684">
        <v>1971</v>
      </c>
      <c r="O1684" s="8">
        <f t="shared" si="106"/>
        <v>26160</v>
      </c>
      <c r="P1684" s="10">
        <v>15038.51</v>
      </c>
      <c r="Q1684" t="s">
        <v>2357</v>
      </c>
      <c r="R1684" t="s">
        <v>2358</v>
      </c>
      <c r="S1684" t="s">
        <v>2375</v>
      </c>
      <c r="T1684">
        <f t="shared" ca="1" si="107"/>
        <v>55</v>
      </c>
      <c r="U1684">
        <f>VLOOKUP($A1684,'Medical Examination'!$A:$Z,2,FALSE)</f>
        <v>33.25</v>
      </c>
    </row>
    <row r="1685" spans="1:21" ht="15.5" x14ac:dyDescent="0.35">
      <c r="A1685" s="2" t="s">
        <v>1685</v>
      </c>
      <c r="B1685" s="2" t="s">
        <v>4342</v>
      </c>
      <c r="C1685">
        <v>21.37</v>
      </c>
      <c r="D1685">
        <v>4.54</v>
      </c>
      <c r="E1685" t="s">
        <v>2346</v>
      </c>
      <c r="F1685" t="s">
        <v>2344</v>
      </c>
      <c r="G1685" t="s">
        <v>2346</v>
      </c>
      <c r="H1685">
        <v>1</v>
      </c>
      <c r="I1685" t="s">
        <v>2344</v>
      </c>
      <c r="J1685" t="str">
        <f t="shared" si="105"/>
        <v>Normal Weight</v>
      </c>
      <c r="K1685" t="str">
        <f t="shared" si="108"/>
        <v>Normal</v>
      </c>
      <c r="L1685">
        <v>12</v>
      </c>
      <c r="M1685" t="s">
        <v>2362</v>
      </c>
      <c r="N1685">
        <v>1968</v>
      </c>
      <c r="O1685" s="8">
        <f t="shared" si="106"/>
        <v>25001</v>
      </c>
      <c r="P1685" s="10">
        <v>15052.68</v>
      </c>
      <c r="Q1685" t="s">
        <v>2357</v>
      </c>
      <c r="R1685" t="s">
        <v>2357</v>
      </c>
      <c r="S1685" t="s">
        <v>2381</v>
      </c>
      <c r="T1685">
        <f t="shared" ca="1" si="107"/>
        <v>58</v>
      </c>
      <c r="U1685">
        <f>VLOOKUP($A1685,'Medical Examination'!$A:$Z,2,FALSE)</f>
        <v>21.37</v>
      </c>
    </row>
    <row r="1686" spans="1:21" ht="15.5" x14ac:dyDescent="0.35">
      <c r="A1686" s="2" t="s">
        <v>1686</v>
      </c>
      <c r="B1686" s="2" t="s">
        <v>4737</v>
      </c>
      <c r="C1686">
        <v>34.43</v>
      </c>
      <c r="D1686">
        <v>8.6199999999999992</v>
      </c>
      <c r="E1686" t="s">
        <v>2346</v>
      </c>
      <c r="F1686" t="s">
        <v>2344</v>
      </c>
      <c r="G1686" t="s">
        <v>2344</v>
      </c>
      <c r="H1686">
        <v>1</v>
      </c>
      <c r="I1686" t="s">
        <v>2344</v>
      </c>
      <c r="J1686" t="str">
        <f t="shared" si="105"/>
        <v>Obesity</v>
      </c>
      <c r="K1686" t="str">
        <f t="shared" si="108"/>
        <v>Diabetes</v>
      </c>
      <c r="L1686">
        <v>26</v>
      </c>
      <c r="M1686" t="s">
        <v>2367</v>
      </c>
      <c r="N1686">
        <v>1975</v>
      </c>
      <c r="O1686" s="8">
        <f t="shared" si="106"/>
        <v>27693</v>
      </c>
      <c r="P1686" s="10">
        <v>15090.35</v>
      </c>
      <c r="Q1686" t="s">
        <v>2357</v>
      </c>
      <c r="R1686" t="s">
        <v>2361</v>
      </c>
      <c r="S1686" t="s">
        <v>2375</v>
      </c>
      <c r="T1686">
        <f t="shared" ca="1" si="107"/>
        <v>51</v>
      </c>
      <c r="U1686">
        <f>VLOOKUP($A1686,'Medical Examination'!$A:$Z,2,FALSE)</f>
        <v>34.43</v>
      </c>
    </row>
    <row r="1687" spans="1:21" ht="15.5" x14ac:dyDescent="0.35">
      <c r="A1687" s="2" t="s">
        <v>1687</v>
      </c>
      <c r="B1687" s="2" t="s">
        <v>3218</v>
      </c>
      <c r="C1687">
        <v>20.86</v>
      </c>
      <c r="D1687">
        <v>4.3600000000000003</v>
      </c>
      <c r="E1687" t="s">
        <v>2346</v>
      </c>
      <c r="F1687" t="s">
        <v>2344</v>
      </c>
      <c r="G1687" t="s">
        <v>2344</v>
      </c>
      <c r="H1687">
        <v>0</v>
      </c>
      <c r="I1687" t="s">
        <v>2344</v>
      </c>
      <c r="J1687" t="str">
        <f t="shared" si="105"/>
        <v>Normal Weight</v>
      </c>
      <c r="K1687" t="str">
        <f t="shared" si="108"/>
        <v>Normal</v>
      </c>
      <c r="L1687">
        <v>7</v>
      </c>
      <c r="M1687" t="s">
        <v>2360</v>
      </c>
      <c r="N1687">
        <v>1972</v>
      </c>
      <c r="O1687" s="8">
        <f t="shared" si="106"/>
        <v>26610</v>
      </c>
      <c r="P1687" s="10">
        <v>15103.69</v>
      </c>
      <c r="Q1687" t="s">
        <v>2357</v>
      </c>
      <c r="R1687" t="s">
        <v>2361</v>
      </c>
      <c r="S1687" t="s">
        <v>2364</v>
      </c>
      <c r="T1687">
        <f t="shared" ca="1" si="107"/>
        <v>54</v>
      </c>
      <c r="U1687">
        <f>VLOOKUP($A1687,'Medical Examination'!$A:$Z,2,FALSE)</f>
        <v>20.86</v>
      </c>
    </row>
    <row r="1688" spans="1:21" ht="15.5" x14ac:dyDescent="0.35">
      <c r="A1688" s="2" t="s">
        <v>1688</v>
      </c>
      <c r="B1688" s="2" t="s">
        <v>4739</v>
      </c>
      <c r="C1688">
        <v>18.34</v>
      </c>
      <c r="D1688">
        <v>10.01</v>
      </c>
      <c r="E1688" t="s">
        <v>2344</v>
      </c>
      <c r="F1688" t="s">
        <v>2344</v>
      </c>
      <c r="G1688" t="s">
        <v>2344</v>
      </c>
      <c r="H1688">
        <v>0</v>
      </c>
      <c r="I1688" t="s">
        <v>2344</v>
      </c>
      <c r="J1688" t="str">
        <f t="shared" si="105"/>
        <v>Under Weight</v>
      </c>
      <c r="K1688" t="str">
        <f t="shared" si="108"/>
        <v>Diabetes</v>
      </c>
      <c r="L1688">
        <v>5</v>
      </c>
      <c r="M1688" t="s">
        <v>2363</v>
      </c>
      <c r="N1688">
        <v>1978</v>
      </c>
      <c r="O1688" s="8">
        <f t="shared" si="106"/>
        <v>28738</v>
      </c>
      <c r="P1688" s="10">
        <v>15123.19</v>
      </c>
      <c r="Q1688" t="s">
        <v>2357</v>
      </c>
      <c r="R1688" t="s">
        <v>2361</v>
      </c>
      <c r="S1688" t="s">
        <v>2368</v>
      </c>
      <c r="T1688">
        <f t="shared" ca="1" si="107"/>
        <v>48</v>
      </c>
      <c r="U1688">
        <f>VLOOKUP($A1688,'Medical Examination'!$A:$Z,2,FALSE)</f>
        <v>18.34</v>
      </c>
    </row>
    <row r="1689" spans="1:21" ht="15.5" x14ac:dyDescent="0.35">
      <c r="A1689" s="2" t="s">
        <v>1689</v>
      </c>
      <c r="B1689" s="2" t="s">
        <v>4740</v>
      </c>
      <c r="C1689">
        <v>34.15</v>
      </c>
      <c r="D1689">
        <v>5.42</v>
      </c>
      <c r="E1689" t="s">
        <v>2344</v>
      </c>
      <c r="F1689" t="s">
        <v>2344</v>
      </c>
      <c r="G1689" t="s">
        <v>2344</v>
      </c>
      <c r="H1689">
        <v>0</v>
      </c>
      <c r="I1689" t="s">
        <v>2344</v>
      </c>
      <c r="J1689" t="str">
        <f t="shared" si="105"/>
        <v>Obesity</v>
      </c>
      <c r="K1689" t="str">
        <f t="shared" si="108"/>
        <v>Normal</v>
      </c>
      <c r="L1689">
        <v>25</v>
      </c>
      <c r="M1689" t="s">
        <v>2360</v>
      </c>
      <c r="N1689">
        <v>1971</v>
      </c>
      <c r="O1689" s="8">
        <f t="shared" si="106"/>
        <v>26262</v>
      </c>
      <c r="P1689" s="10">
        <v>15150.44</v>
      </c>
      <c r="Q1689" t="s">
        <v>2357</v>
      </c>
      <c r="R1689" t="s">
        <v>2361</v>
      </c>
      <c r="S1689" t="s">
        <v>2375</v>
      </c>
      <c r="T1689">
        <f t="shared" ca="1" si="107"/>
        <v>55</v>
      </c>
      <c r="U1689">
        <f>VLOOKUP($A1689,'Medical Examination'!$A:$Z,2,FALSE)</f>
        <v>34.15</v>
      </c>
    </row>
    <row r="1690" spans="1:21" ht="15.5" x14ac:dyDescent="0.35">
      <c r="A1690" s="2" t="s">
        <v>1690</v>
      </c>
      <c r="B1690" s="2" t="s">
        <v>4742</v>
      </c>
      <c r="C1690">
        <v>18.350000000000001</v>
      </c>
      <c r="D1690">
        <v>5.12</v>
      </c>
      <c r="E1690" t="s">
        <v>2344</v>
      </c>
      <c r="F1690" t="s">
        <v>2344</v>
      </c>
      <c r="G1690" t="s">
        <v>2344</v>
      </c>
      <c r="H1690">
        <v>0</v>
      </c>
      <c r="I1690" t="s">
        <v>2344</v>
      </c>
      <c r="J1690" t="str">
        <f t="shared" si="105"/>
        <v>Under Weight</v>
      </c>
      <c r="K1690" t="str">
        <f t="shared" si="108"/>
        <v>Normal</v>
      </c>
      <c r="L1690">
        <v>25</v>
      </c>
      <c r="M1690" t="s">
        <v>2367</v>
      </c>
      <c r="N1690">
        <v>1962</v>
      </c>
      <c r="O1690" s="8">
        <f t="shared" si="106"/>
        <v>22944</v>
      </c>
      <c r="P1690" s="10">
        <v>15161.25</v>
      </c>
      <c r="Q1690" t="s">
        <v>2357</v>
      </c>
      <c r="R1690" t="s">
        <v>2357</v>
      </c>
      <c r="S1690" t="s">
        <v>2364</v>
      </c>
      <c r="T1690">
        <f t="shared" ca="1" si="107"/>
        <v>64</v>
      </c>
      <c r="U1690">
        <f>VLOOKUP($A1690,'Medical Examination'!$A:$Z,2,FALSE)</f>
        <v>18.350000000000001</v>
      </c>
    </row>
    <row r="1691" spans="1:21" ht="15.5" x14ac:dyDescent="0.35">
      <c r="A1691" s="2" t="s">
        <v>1691</v>
      </c>
      <c r="B1691" s="2" t="s">
        <v>4743</v>
      </c>
      <c r="C1691">
        <v>22.13</v>
      </c>
      <c r="D1691">
        <v>9.1999999999999993</v>
      </c>
      <c r="E1691" t="s">
        <v>2346</v>
      </c>
      <c r="F1691" t="s">
        <v>2344</v>
      </c>
      <c r="G1691" t="s">
        <v>2344</v>
      </c>
      <c r="H1691">
        <v>0</v>
      </c>
      <c r="I1691" t="s">
        <v>2344</v>
      </c>
      <c r="J1691" t="str">
        <f t="shared" si="105"/>
        <v>Normal Weight</v>
      </c>
      <c r="K1691" t="str">
        <f t="shared" si="108"/>
        <v>Diabetes</v>
      </c>
      <c r="L1691">
        <v>4</v>
      </c>
      <c r="M1691" t="s">
        <v>2362</v>
      </c>
      <c r="N1691">
        <v>1959</v>
      </c>
      <c r="O1691" s="8">
        <f t="shared" si="106"/>
        <v>21705</v>
      </c>
      <c r="P1691" s="10">
        <v>15161.53</v>
      </c>
      <c r="Q1691" t="s">
        <v>2357</v>
      </c>
      <c r="R1691" t="s">
        <v>2361</v>
      </c>
      <c r="S1691" t="s">
        <v>2359</v>
      </c>
      <c r="T1691">
        <f t="shared" ca="1" si="107"/>
        <v>67</v>
      </c>
      <c r="U1691">
        <f>VLOOKUP($A1691,'Medical Examination'!$A:$Z,2,FALSE)</f>
        <v>22.13</v>
      </c>
    </row>
    <row r="1692" spans="1:21" ht="15.5" x14ac:dyDescent="0.35">
      <c r="A1692" s="2" t="s">
        <v>1692</v>
      </c>
      <c r="B1692" s="2" t="s">
        <v>4745</v>
      </c>
      <c r="C1692">
        <v>22.51</v>
      </c>
      <c r="D1692">
        <v>6.08</v>
      </c>
      <c r="E1692" t="s">
        <v>2346</v>
      </c>
      <c r="F1692" t="s">
        <v>2344</v>
      </c>
      <c r="G1692" t="s">
        <v>2344</v>
      </c>
      <c r="H1692">
        <v>1</v>
      </c>
      <c r="I1692" t="s">
        <v>2344</v>
      </c>
      <c r="J1692" t="str">
        <f t="shared" si="105"/>
        <v>Normal Weight</v>
      </c>
      <c r="K1692" t="str">
        <f t="shared" si="108"/>
        <v>Prediabetes</v>
      </c>
      <c r="L1692">
        <v>3</v>
      </c>
      <c r="M1692" t="s">
        <v>2365</v>
      </c>
      <c r="N1692">
        <v>1959</v>
      </c>
      <c r="O1692" s="8">
        <f t="shared" si="106"/>
        <v>21887</v>
      </c>
      <c r="P1692" s="10">
        <v>15170.07</v>
      </c>
      <c r="Q1692" t="s">
        <v>2357</v>
      </c>
      <c r="R1692" t="s">
        <v>2358</v>
      </c>
      <c r="S1692" t="s">
        <v>2368</v>
      </c>
      <c r="T1692">
        <f t="shared" ca="1" si="107"/>
        <v>67</v>
      </c>
      <c r="U1692">
        <f>VLOOKUP($A1692,'Medical Examination'!$A:$Z,2,FALSE)</f>
        <v>22.51</v>
      </c>
    </row>
    <row r="1693" spans="1:21" ht="15.5" x14ac:dyDescent="0.35">
      <c r="A1693" s="2" t="s">
        <v>1693</v>
      </c>
      <c r="B1693" s="2" t="s">
        <v>4746</v>
      </c>
      <c r="C1693">
        <v>31</v>
      </c>
      <c r="D1693">
        <v>4.7699999999999996</v>
      </c>
      <c r="E1693" t="s">
        <v>2344</v>
      </c>
      <c r="F1693" t="s">
        <v>2344</v>
      </c>
      <c r="G1693" t="s">
        <v>2344</v>
      </c>
      <c r="H1693">
        <v>1</v>
      </c>
      <c r="I1693" t="s">
        <v>2344</v>
      </c>
      <c r="J1693" t="str">
        <f t="shared" si="105"/>
        <v>Obesity</v>
      </c>
      <c r="K1693" t="str">
        <f t="shared" si="108"/>
        <v>Normal</v>
      </c>
      <c r="L1693">
        <v>17</v>
      </c>
      <c r="M1693" t="s">
        <v>2362</v>
      </c>
      <c r="N1693">
        <v>1962</v>
      </c>
      <c r="O1693" s="8">
        <f t="shared" si="106"/>
        <v>22814</v>
      </c>
      <c r="P1693" s="10">
        <v>15174.81</v>
      </c>
      <c r="Q1693" t="s">
        <v>2357</v>
      </c>
      <c r="R1693" t="s">
        <v>2361</v>
      </c>
      <c r="S1693" t="s">
        <v>2364</v>
      </c>
      <c r="T1693">
        <f t="shared" ca="1" si="107"/>
        <v>64</v>
      </c>
      <c r="U1693">
        <f>VLOOKUP($A1693,'Medical Examination'!$A:$Z,2,FALSE)</f>
        <v>31</v>
      </c>
    </row>
    <row r="1694" spans="1:21" ht="15.5" x14ac:dyDescent="0.35">
      <c r="A1694" s="2" t="s">
        <v>1694</v>
      </c>
      <c r="B1694" s="2" t="s">
        <v>3236</v>
      </c>
      <c r="C1694">
        <v>28.27</v>
      </c>
      <c r="D1694">
        <v>4.62</v>
      </c>
      <c r="E1694" t="s">
        <v>2344</v>
      </c>
      <c r="F1694" t="s">
        <v>2344</v>
      </c>
      <c r="G1694" t="s">
        <v>2344</v>
      </c>
      <c r="H1694">
        <v>1</v>
      </c>
      <c r="I1694" t="s">
        <v>2344</v>
      </c>
      <c r="J1694" t="str">
        <f t="shared" si="105"/>
        <v>Over weight</v>
      </c>
      <c r="K1694" t="str">
        <f t="shared" si="108"/>
        <v>Normal</v>
      </c>
      <c r="L1694">
        <v>23</v>
      </c>
      <c r="M1694" t="s">
        <v>2360</v>
      </c>
      <c r="N1694">
        <v>1978</v>
      </c>
      <c r="O1694" s="8">
        <f t="shared" si="106"/>
        <v>28817</v>
      </c>
      <c r="P1694" s="10">
        <v>15207.92</v>
      </c>
      <c r="Q1694" t="s">
        <v>2357</v>
      </c>
      <c r="R1694" t="s">
        <v>2361</v>
      </c>
      <c r="S1694" t="s">
        <v>2364</v>
      </c>
      <c r="T1694">
        <f t="shared" ca="1" si="107"/>
        <v>48</v>
      </c>
      <c r="U1694">
        <f>VLOOKUP($A1694,'Medical Examination'!$A:$Z,2,FALSE)</f>
        <v>28.27</v>
      </c>
    </row>
    <row r="1695" spans="1:21" ht="15.5" x14ac:dyDescent="0.35">
      <c r="A1695" s="2" t="s">
        <v>1695</v>
      </c>
      <c r="B1695" s="2" t="s">
        <v>4748</v>
      </c>
      <c r="C1695">
        <v>29.92</v>
      </c>
      <c r="D1695">
        <v>9.07</v>
      </c>
      <c r="E1695" t="s">
        <v>2346</v>
      </c>
      <c r="F1695" t="s">
        <v>2344</v>
      </c>
      <c r="G1695" t="s">
        <v>2344</v>
      </c>
      <c r="H1695">
        <v>1</v>
      </c>
      <c r="I1695" t="s">
        <v>2344</v>
      </c>
      <c r="J1695" t="str">
        <f t="shared" si="105"/>
        <v>Over weight</v>
      </c>
      <c r="K1695" t="str">
        <f t="shared" si="108"/>
        <v>Diabetes</v>
      </c>
      <c r="L1695">
        <v>25</v>
      </c>
      <c r="M1695" t="s">
        <v>2356</v>
      </c>
      <c r="N1695">
        <v>1960</v>
      </c>
      <c r="O1695" s="8">
        <f t="shared" si="106"/>
        <v>22122</v>
      </c>
      <c r="P1695" s="10">
        <v>15230.32</v>
      </c>
      <c r="Q1695" t="s">
        <v>2357</v>
      </c>
      <c r="R1695" t="s">
        <v>2357</v>
      </c>
      <c r="S1695" t="s">
        <v>2374</v>
      </c>
      <c r="T1695">
        <f t="shared" ca="1" si="107"/>
        <v>66</v>
      </c>
      <c r="U1695">
        <f>VLOOKUP($A1695,'Medical Examination'!$A:$Z,2,FALSE)</f>
        <v>29.92</v>
      </c>
    </row>
    <row r="1696" spans="1:21" ht="15.5" x14ac:dyDescent="0.35">
      <c r="A1696" s="2" t="s">
        <v>1696</v>
      </c>
      <c r="B1696" s="2" t="s">
        <v>4749</v>
      </c>
      <c r="C1696">
        <v>25.9</v>
      </c>
      <c r="D1696">
        <v>9.1199999999999992</v>
      </c>
      <c r="E1696" t="s">
        <v>2346</v>
      </c>
      <c r="F1696" t="s">
        <v>2344</v>
      </c>
      <c r="G1696" t="s">
        <v>2344</v>
      </c>
      <c r="H1696">
        <v>1</v>
      </c>
      <c r="I1696" t="s">
        <v>2344</v>
      </c>
      <c r="J1696" t="str">
        <f t="shared" si="105"/>
        <v>Over weight</v>
      </c>
      <c r="K1696" t="str">
        <f t="shared" si="108"/>
        <v>Diabetes</v>
      </c>
      <c r="L1696">
        <v>16</v>
      </c>
      <c r="M1696" t="s">
        <v>2363</v>
      </c>
      <c r="N1696">
        <v>1969</v>
      </c>
      <c r="O1696" s="8">
        <f t="shared" si="106"/>
        <v>25462</v>
      </c>
      <c r="P1696" s="10">
        <v>15260.52</v>
      </c>
      <c r="Q1696" t="s">
        <v>2357</v>
      </c>
      <c r="R1696" t="s">
        <v>2357</v>
      </c>
      <c r="S1696" t="s">
        <v>2375</v>
      </c>
      <c r="T1696">
        <f t="shared" ca="1" si="107"/>
        <v>57</v>
      </c>
      <c r="U1696">
        <f>VLOOKUP($A1696,'Medical Examination'!$A:$Z,2,FALSE)</f>
        <v>25.9</v>
      </c>
    </row>
    <row r="1697" spans="1:21" ht="15.5" x14ac:dyDescent="0.35">
      <c r="A1697" s="2" t="s">
        <v>1697</v>
      </c>
      <c r="B1697" s="2" t="s">
        <v>4751</v>
      </c>
      <c r="C1697">
        <v>27.74</v>
      </c>
      <c r="D1697">
        <v>7.32</v>
      </c>
      <c r="E1697" t="s">
        <v>2346</v>
      </c>
      <c r="F1697" t="s">
        <v>2344</v>
      </c>
      <c r="G1697" t="s">
        <v>2344</v>
      </c>
      <c r="H1697">
        <v>1</v>
      </c>
      <c r="I1697" t="s">
        <v>2344</v>
      </c>
      <c r="J1697" t="str">
        <f t="shared" si="105"/>
        <v>Over weight</v>
      </c>
      <c r="K1697" t="str">
        <f t="shared" si="108"/>
        <v>Diabetes</v>
      </c>
      <c r="L1697">
        <v>13</v>
      </c>
      <c r="M1697" t="s">
        <v>2365</v>
      </c>
      <c r="N1697">
        <v>1963</v>
      </c>
      <c r="O1697" s="8">
        <f t="shared" si="106"/>
        <v>23358</v>
      </c>
      <c r="P1697" s="10">
        <v>15322.77</v>
      </c>
      <c r="Q1697" t="s">
        <v>2357</v>
      </c>
      <c r="R1697" t="s">
        <v>2358</v>
      </c>
      <c r="S1697" t="s">
        <v>2377</v>
      </c>
      <c r="T1697">
        <f t="shared" ca="1" si="107"/>
        <v>63</v>
      </c>
      <c r="U1697">
        <f>VLOOKUP($A1697,'Medical Examination'!$A:$Z,2,FALSE)</f>
        <v>27.74</v>
      </c>
    </row>
    <row r="1698" spans="1:21" ht="15.5" x14ac:dyDescent="0.35">
      <c r="A1698" s="2" t="s">
        <v>1698</v>
      </c>
      <c r="B1698" s="2" t="s">
        <v>4384</v>
      </c>
      <c r="C1698">
        <v>17.260000000000002</v>
      </c>
      <c r="D1698">
        <v>11.73</v>
      </c>
      <c r="E1698" t="s">
        <v>2344</v>
      </c>
      <c r="F1698" t="s">
        <v>2344</v>
      </c>
      <c r="G1698" t="s">
        <v>2344</v>
      </c>
      <c r="H1698">
        <v>1</v>
      </c>
      <c r="I1698" t="s">
        <v>2344</v>
      </c>
      <c r="J1698" t="str">
        <f t="shared" si="105"/>
        <v>Under Weight</v>
      </c>
      <c r="K1698" t="str">
        <f t="shared" si="108"/>
        <v>Diabetes</v>
      </c>
      <c r="L1698">
        <v>14</v>
      </c>
      <c r="M1698" t="s">
        <v>2356</v>
      </c>
      <c r="N1698">
        <v>2001</v>
      </c>
      <c r="O1698" s="8">
        <f t="shared" si="106"/>
        <v>37086</v>
      </c>
      <c r="P1698" s="10">
        <v>15359.1</v>
      </c>
      <c r="Q1698" t="s">
        <v>2357</v>
      </c>
      <c r="R1698" t="s">
        <v>2358</v>
      </c>
      <c r="S1698" t="s">
        <v>2374</v>
      </c>
      <c r="T1698">
        <f t="shared" ca="1" si="107"/>
        <v>25</v>
      </c>
      <c r="U1698">
        <f>VLOOKUP($A1698,'Medical Examination'!$A:$Z,2,FALSE)</f>
        <v>17.260000000000002</v>
      </c>
    </row>
    <row r="1699" spans="1:21" ht="15.5" x14ac:dyDescent="0.35">
      <c r="A1699" s="2" t="s">
        <v>1699</v>
      </c>
      <c r="B1699" s="2" t="s">
        <v>4752</v>
      </c>
      <c r="C1699">
        <v>19.855</v>
      </c>
      <c r="D1699">
        <v>6.64</v>
      </c>
      <c r="E1699" t="s">
        <v>2346</v>
      </c>
      <c r="F1699" t="s">
        <v>2344</v>
      </c>
      <c r="G1699" t="s">
        <v>2344</v>
      </c>
      <c r="H1699">
        <v>1</v>
      </c>
      <c r="I1699" t="s">
        <v>2344</v>
      </c>
      <c r="J1699" t="str">
        <f t="shared" si="105"/>
        <v>Normal Weight</v>
      </c>
      <c r="K1699" t="str">
        <f t="shared" si="108"/>
        <v>Diabetes</v>
      </c>
      <c r="L1699">
        <v>17</v>
      </c>
      <c r="M1699" t="s">
        <v>2365</v>
      </c>
      <c r="N1699">
        <v>1988</v>
      </c>
      <c r="O1699" s="8">
        <f t="shared" si="106"/>
        <v>32494</v>
      </c>
      <c r="P1699" s="10">
        <v>15361.5</v>
      </c>
      <c r="Q1699" t="s">
        <v>2357</v>
      </c>
      <c r="R1699" t="s">
        <v>2358</v>
      </c>
      <c r="S1699" t="s">
        <v>2375</v>
      </c>
      <c r="T1699">
        <f t="shared" ca="1" si="107"/>
        <v>38</v>
      </c>
      <c r="U1699">
        <f>VLOOKUP($A1699,'Medical Examination'!$A:$Z,2,FALSE)</f>
        <v>19.855</v>
      </c>
    </row>
    <row r="1700" spans="1:21" ht="15.5" x14ac:dyDescent="0.35">
      <c r="A1700" s="2" t="s">
        <v>1700</v>
      </c>
      <c r="B1700" s="2" t="s">
        <v>4753</v>
      </c>
      <c r="C1700">
        <v>41.69</v>
      </c>
      <c r="D1700">
        <v>5.78</v>
      </c>
      <c r="E1700" t="s">
        <v>2344</v>
      </c>
      <c r="F1700" t="s">
        <v>2344</v>
      </c>
      <c r="G1700" t="s">
        <v>2344</v>
      </c>
      <c r="H1700">
        <v>0</v>
      </c>
      <c r="I1700" t="s">
        <v>2344</v>
      </c>
      <c r="J1700" t="str">
        <f t="shared" si="105"/>
        <v>Obesity</v>
      </c>
      <c r="K1700" t="str">
        <f t="shared" si="108"/>
        <v>Prediabetes</v>
      </c>
      <c r="L1700">
        <v>18</v>
      </c>
      <c r="M1700" t="s">
        <v>2356</v>
      </c>
      <c r="N1700">
        <v>1968</v>
      </c>
      <c r="O1700" s="8">
        <f t="shared" si="106"/>
        <v>25037</v>
      </c>
      <c r="P1700" s="10">
        <v>15363.77</v>
      </c>
      <c r="Q1700" t="s">
        <v>2357</v>
      </c>
      <c r="R1700" t="s">
        <v>2361</v>
      </c>
      <c r="S1700" t="s">
        <v>2380</v>
      </c>
      <c r="T1700">
        <f t="shared" ca="1" si="107"/>
        <v>58</v>
      </c>
      <c r="U1700">
        <f>VLOOKUP($A1700,'Medical Examination'!$A:$Z,2,FALSE)</f>
        <v>41.69</v>
      </c>
    </row>
    <row r="1701" spans="1:21" ht="15.5" x14ac:dyDescent="0.35">
      <c r="A1701" s="2" t="s">
        <v>1701</v>
      </c>
      <c r="B1701" s="2" t="s">
        <v>4754</v>
      </c>
      <c r="C1701">
        <v>16.12</v>
      </c>
      <c r="D1701">
        <v>10.45</v>
      </c>
      <c r="E1701" t="s">
        <v>2344</v>
      </c>
      <c r="F1701" t="s">
        <v>2344</v>
      </c>
      <c r="G1701" t="s">
        <v>2344</v>
      </c>
      <c r="H1701">
        <v>0</v>
      </c>
      <c r="I1701" t="s">
        <v>2344</v>
      </c>
      <c r="J1701" t="str">
        <f t="shared" si="105"/>
        <v>Under Weight</v>
      </c>
      <c r="K1701" t="str">
        <f t="shared" si="108"/>
        <v>Diabetes</v>
      </c>
      <c r="L1701">
        <v>6</v>
      </c>
      <c r="M1701" t="s">
        <v>2363</v>
      </c>
      <c r="N1701">
        <v>1962</v>
      </c>
      <c r="O1701" s="8">
        <f t="shared" si="106"/>
        <v>22895</v>
      </c>
      <c r="P1701" s="10">
        <v>15368.22</v>
      </c>
      <c r="Q1701" t="s">
        <v>2357</v>
      </c>
      <c r="R1701" t="s">
        <v>2357</v>
      </c>
      <c r="S1701" t="s">
        <v>2368</v>
      </c>
      <c r="T1701">
        <f t="shared" ca="1" si="107"/>
        <v>64</v>
      </c>
      <c r="U1701">
        <f>VLOOKUP($A1701,'Medical Examination'!$A:$Z,2,FALSE)</f>
        <v>16.12</v>
      </c>
    </row>
    <row r="1702" spans="1:21" ht="15.5" x14ac:dyDescent="0.35">
      <c r="A1702" s="2" t="s">
        <v>1702</v>
      </c>
      <c r="B1702" s="2" t="s">
        <v>4755</v>
      </c>
      <c r="C1702">
        <v>37.43</v>
      </c>
      <c r="D1702">
        <v>4.5199999999999996</v>
      </c>
      <c r="E1702" t="s">
        <v>2344</v>
      </c>
      <c r="F1702" t="s">
        <v>2344</v>
      </c>
      <c r="G1702" t="s">
        <v>2344</v>
      </c>
      <c r="H1702">
        <v>1</v>
      </c>
      <c r="I1702" t="s">
        <v>2344</v>
      </c>
      <c r="J1702" t="str">
        <f t="shared" si="105"/>
        <v>Obesity</v>
      </c>
      <c r="K1702" t="str">
        <f t="shared" si="108"/>
        <v>Normal</v>
      </c>
      <c r="L1702">
        <v>4</v>
      </c>
      <c r="M1702" t="s">
        <v>2363</v>
      </c>
      <c r="N1702">
        <v>1964</v>
      </c>
      <c r="O1702" s="8">
        <f t="shared" si="106"/>
        <v>23624</v>
      </c>
      <c r="P1702" s="10">
        <v>15377.77</v>
      </c>
      <c r="Q1702" t="s">
        <v>2357</v>
      </c>
      <c r="R1702" t="s">
        <v>2357</v>
      </c>
      <c r="S1702" t="s">
        <v>2364</v>
      </c>
      <c r="T1702">
        <f t="shared" ca="1" si="107"/>
        <v>62</v>
      </c>
      <c r="U1702">
        <f>VLOOKUP($A1702,'Medical Examination'!$A:$Z,2,FALSE)</f>
        <v>37.43</v>
      </c>
    </row>
    <row r="1703" spans="1:21" ht="15.5" x14ac:dyDescent="0.35">
      <c r="A1703" s="2" t="s">
        <v>1703</v>
      </c>
      <c r="B1703" s="2" t="s">
        <v>4756</v>
      </c>
      <c r="C1703">
        <v>31.065000000000001</v>
      </c>
      <c r="D1703">
        <v>5.71</v>
      </c>
      <c r="E1703" t="s">
        <v>2344</v>
      </c>
      <c r="F1703" t="s">
        <v>2344</v>
      </c>
      <c r="G1703" t="s">
        <v>2344</v>
      </c>
      <c r="H1703">
        <v>0</v>
      </c>
      <c r="I1703" t="s">
        <v>2344</v>
      </c>
      <c r="J1703" t="str">
        <f t="shared" si="105"/>
        <v>Obesity</v>
      </c>
      <c r="K1703" t="str">
        <f t="shared" si="108"/>
        <v>Prediabetes</v>
      </c>
      <c r="L1703">
        <v>25</v>
      </c>
      <c r="M1703" t="s">
        <v>2367</v>
      </c>
      <c r="N1703">
        <v>1990</v>
      </c>
      <c r="O1703" s="8">
        <f t="shared" si="106"/>
        <v>33171</v>
      </c>
      <c r="P1703" s="10">
        <v>15440.2</v>
      </c>
      <c r="Q1703" t="s">
        <v>2357</v>
      </c>
      <c r="R1703" t="s">
        <v>2361</v>
      </c>
      <c r="S1703" t="s">
        <v>2364</v>
      </c>
      <c r="T1703">
        <f t="shared" ca="1" si="107"/>
        <v>36</v>
      </c>
      <c r="U1703">
        <f>VLOOKUP($A1703,'Medical Examination'!$A:$Z,2,FALSE)</f>
        <v>31.065000000000001</v>
      </c>
    </row>
    <row r="1704" spans="1:21" ht="15.5" x14ac:dyDescent="0.35">
      <c r="A1704" s="2" t="s">
        <v>1704</v>
      </c>
      <c r="B1704" s="2" t="s">
        <v>4757</v>
      </c>
      <c r="C1704">
        <v>25.08</v>
      </c>
      <c r="D1704">
        <v>4.7699999999999996</v>
      </c>
      <c r="E1704" t="s">
        <v>2344</v>
      </c>
      <c r="F1704" t="s">
        <v>2344</v>
      </c>
      <c r="G1704" t="s">
        <v>2344</v>
      </c>
      <c r="H1704">
        <v>0</v>
      </c>
      <c r="I1704" t="s">
        <v>2344</v>
      </c>
      <c r="J1704" t="str">
        <f t="shared" si="105"/>
        <v>Over weight</v>
      </c>
      <c r="K1704" t="str">
        <f t="shared" si="108"/>
        <v>Normal</v>
      </c>
      <c r="L1704">
        <v>20</v>
      </c>
      <c r="M1704" t="s">
        <v>2356</v>
      </c>
      <c r="N1704">
        <v>1976</v>
      </c>
      <c r="O1704" s="8">
        <f t="shared" si="106"/>
        <v>27961</v>
      </c>
      <c r="P1704" s="10">
        <v>15450.48</v>
      </c>
      <c r="Q1704" t="s">
        <v>2357</v>
      </c>
      <c r="R1704" t="s">
        <v>2361</v>
      </c>
      <c r="S1704" t="s">
        <v>2380</v>
      </c>
      <c r="T1704">
        <f t="shared" ca="1" si="107"/>
        <v>50</v>
      </c>
      <c r="U1704">
        <f>VLOOKUP($A1704,'Medical Examination'!$A:$Z,2,FALSE)</f>
        <v>25.08</v>
      </c>
    </row>
    <row r="1705" spans="1:21" ht="15.5" x14ac:dyDescent="0.35">
      <c r="A1705" s="2" t="s">
        <v>1705</v>
      </c>
      <c r="B1705" s="2" t="s">
        <v>4758</v>
      </c>
      <c r="C1705">
        <v>15.2</v>
      </c>
      <c r="D1705">
        <v>7.81</v>
      </c>
      <c r="E1705" t="s">
        <v>2346</v>
      </c>
      <c r="F1705" t="s">
        <v>2344</v>
      </c>
      <c r="G1705" t="s">
        <v>2344</v>
      </c>
      <c r="H1705">
        <v>1</v>
      </c>
      <c r="I1705" t="s">
        <v>2344</v>
      </c>
      <c r="J1705" t="str">
        <f t="shared" si="105"/>
        <v>Under Weight</v>
      </c>
      <c r="K1705" t="str">
        <f t="shared" si="108"/>
        <v>Diabetes</v>
      </c>
      <c r="L1705">
        <v>17</v>
      </c>
      <c r="M1705" t="s">
        <v>2356</v>
      </c>
      <c r="N1705">
        <v>2004</v>
      </c>
      <c r="O1705" s="8">
        <f t="shared" si="106"/>
        <v>38185</v>
      </c>
      <c r="P1705" s="10">
        <v>15518.18</v>
      </c>
      <c r="Q1705" t="s">
        <v>2357</v>
      </c>
      <c r="R1705" t="s">
        <v>2358</v>
      </c>
      <c r="S1705" t="s">
        <v>2369</v>
      </c>
      <c r="T1705">
        <f t="shared" ca="1" si="107"/>
        <v>22</v>
      </c>
      <c r="U1705">
        <f>VLOOKUP($A1705,'Medical Examination'!$A:$Z,2,FALSE)</f>
        <v>15.2</v>
      </c>
    </row>
    <row r="1706" spans="1:21" ht="15.5" x14ac:dyDescent="0.35">
      <c r="A1706" s="2" t="s">
        <v>1706</v>
      </c>
      <c r="B1706" s="2" t="s">
        <v>3618</v>
      </c>
      <c r="C1706">
        <v>22.34</v>
      </c>
      <c r="D1706">
        <v>5.19</v>
      </c>
      <c r="E1706" t="s">
        <v>2346</v>
      </c>
      <c r="F1706" t="s">
        <v>2344</v>
      </c>
      <c r="G1706" t="s">
        <v>2344</v>
      </c>
      <c r="H1706">
        <v>0</v>
      </c>
      <c r="I1706" t="s">
        <v>2344</v>
      </c>
      <c r="J1706" t="str">
        <f t="shared" si="105"/>
        <v>Normal Weight</v>
      </c>
      <c r="K1706" t="str">
        <f t="shared" si="108"/>
        <v>Normal</v>
      </c>
      <c r="L1706">
        <v>28</v>
      </c>
      <c r="M1706" t="s">
        <v>2362</v>
      </c>
      <c r="N1706">
        <v>1974</v>
      </c>
      <c r="O1706" s="8">
        <f t="shared" si="106"/>
        <v>27208</v>
      </c>
      <c r="P1706" s="10">
        <v>15532.16</v>
      </c>
      <c r="Q1706" t="s">
        <v>2357</v>
      </c>
      <c r="R1706" t="s">
        <v>2357</v>
      </c>
      <c r="S1706" t="s">
        <v>2380</v>
      </c>
      <c r="T1706">
        <f t="shared" ca="1" si="107"/>
        <v>52</v>
      </c>
      <c r="U1706">
        <f>VLOOKUP($A1706,'Medical Examination'!$A:$Z,2,FALSE)</f>
        <v>22.34</v>
      </c>
    </row>
    <row r="1707" spans="1:21" ht="15.5" x14ac:dyDescent="0.35">
      <c r="A1707" s="2" t="s">
        <v>1707</v>
      </c>
      <c r="B1707" s="2" t="s">
        <v>4759</v>
      </c>
      <c r="C1707">
        <v>40.15</v>
      </c>
      <c r="D1707">
        <v>5.93</v>
      </c>
      <c r="E1707" t="s">
        <v>2344</v>
      </c>
      <c r="F1707" t="s">
        <v>2344</v>
      </c>
      <c r="G1707" t="s">
        <v>2344</v>
      </c>
      <c r="H1707">
        <v>1</v>
      </c>
      <c r="I1707" t="s">
        <v>2344</v>
      </c>
      <c r="J1707" t="str">
        <f t="shared" si="105"/>
        <v>Obesity</v>
      </c>
      <c r="K1707" t="str">
        <f t="shared" si="108"/>
        <v>Prediabetes</v>
      </c>
      <c r="L1707">
        <v>2</v>
      </c>
      <c r="M1707" t="s">
        <v>2367</v>
      </c>
      <c r="N1707">
        <v>1959</v>
      </c>
      <c r="O1707" s="8">
        <f t="shared" si="106"/>
        <v>21825</v>
      </c>
      <c r="P1707" s="10">
        <v>15555.19</v>
      </c>
      <c r="Q1707" t="s">
        <v>2357</v>
      </c>
      <c r="R1707" t="s">
        <v>2358</v>
      </c>
      <c r="S1707" t="s">
        <v>2364</v>
      </c>
      <c r="T1707">
        <f t="shared" ca="1" si="107"/>
        <v>67</v>
      </c>
      <c r="U1707">
        <f>VLOOKUP($A1707,'Medical Examination'!$A:$Z,2,FALSE)</f>
        <v>40.15</v>
      </c>
    </row>
    <row r="1708" spans="1:21" ht="15.5" x14ac:dyDescent="0.35">
      <c r="A1708" s="2" t="s">
        <v>1708</v>
      </c>
      <c r="B1708" s="2" t="s">
        <v>4083</v>
      </c>
      <c r="C1708">
        <v>37.729999999999997</v>
      </c>
      <c r="D1708">
        <v>6.29</v>
      </c>
      <c r="E1708" t="s">
        <v>2344</v>
      </c>
      <c r="F1708" t="s">
        <v>2344</v>
      </c>
      <c r="G1708" t="s">
        <v>2344</v>
      </c>
      <c r="H1708">
        <v>1</v>
      </c>
      <c r="I1708" t="s">
        <v>2344</v>
      </c>
      <c r="J1708" t="str">
        <f t="shared" si="105"/>
        <v>Obesity</v>
      </c>
      <c r="K1708" t="str">
        <f t="shared" si="108"/>
        <v>Prediabetes</v>
      </c>
      <c r="L1708">
        <v>30</v>
      </c>
      <c r="M1708" t="s">
        <v>2356</v>
      </c>
      <c r="N1708">
        <v>1974</v>
      </c>
      <c r="O1708" s="8">
        <f t="shared" si="106"/>
        <v>27240</v>
      </c>
      <c r="P1708" s="10">
        <v>15556.67</v>
      </c>
      <c r="Q1708" t="s">
        <v>2357</v>
      </c>
      <c r="R1708" t="s">
        <v>2357</v>
      </c>
      <c r="S1708" t="s">
        <v>2364</v>
      </c>
      <c r="T1708">
        <f t="shared" ca="1" si="107"/>
        <v>52</v>
      </c>
      <c r="U1708">
        <f>VLOOKUP($A1708,'Medical Examination'!$A:$Z,2,FALSE)</f>
        <v>37.729999999999997</v>
      </c>
    </row>
    <row r="1709" spans="1:21" ht="15.5" x14ac:dyDescent="0.35">
      <c r="A1709" s="2" t="s">
        <v>1709</v>
      </c>
      <c r="B1709" s="2" t="s">
        <v>4761</v>
      </c>
      <c r="C1709">
        <v>25.35</v>
      </c>
      <c r="D1709">
        <v>4.9000000000000004</v>
      </c>
      <c r="E1709" t="s">
        <v>2344</v>
      </c>
      <c r="F1709" t="s">
        <v>2344</v>
      </c>
      <c r="G1709" t="s">
        <v>2344</v>
      </c>
      <c r="H1709">
        <v>0</v>
      </c>
      <c r="I1709" t="s">
        <v>2344</v>
      </c>
      <c r="J1709" t="str">
        <f t="shared" si="105"/>
        <v>Over weight</v>
      </c>
      <c r="K1709" t="str">
        <f t="shared" si="108"/>
        <v>Normal</v>
      </c>
      <c r="L1709">
        <v>28</v>
      </c>
      <c r="M1709" t="s">
        <v>2367</v>
      </c>
      <c r="N1709">
        <v>1965</v>
      </c>
      <c r="O1709" s="8">
        <f t="shared" si="106"/>
        <v>24043</v>
      </c>
      <c r="P1709" s="10">
        <v>15608.58</v>
      </c>
      <c r="Q1709" t="s">
        <v>2357</v>
      </c>
      <c r="R1709" t="s">
        <v>2357</v>
      </c>
      <c r="S1709" t="s">
        <v>2380</v>
      </c>
      <c r="T1709">
        <f t="shared" ca="1" si="107"/>
        <v>61</v>
      </c>
      <c r="U1709">
        <f>VLOOKUP($A1709,'Medical Examination'!$A:$Z,2,FALSE)</f>
        <v>25.35</v>
      </c>
    </row>
    <row r="1710" spans="1:21" ht="15.5" x14ac:dyDescent="0.35">
      <c r="A1710" s="2" t="s">
        <v>1710</v>
      </c>
      <c r="B1710" s="2" t="s">
        <v>4384</v>
      </c>
      <c r="C1710">
        <v>26.41</v>
      </c>
      <c r="D1710">
        <v>5.07</v>
      </c>
      <c r="E1710" t="s">
        <v>2346</v>
      </c>
      <c r="F1710" t="s">
        <v>2344</v>
      </c>
      <c r="G1710" t="s">
        <v>2344</v>
      </c>
      <c r="H1710">
        <v>1</v>
      </c>
      <c r="I1710" t="s">
        <v>2344</v>
      </c>
      <c r="J1710" t="str">
        <f t="shared" si="105"/>
        <v>Over weight</v>
      </c>
      <c r="K1710" t="str">
        <f t="shared" si="108"/>
        <v>Normal</v>
      </c>
      <c r="L1710">
        <v>6</v>
      </c>
      <c r="M1710" t="s">
        <v>2362</v>
      </c>
      <c r="N1710">
        <v>1960</v>
      </c>
      <c r="O1710" s="8">
        <f t="shared" si="106"/>
        <v>22073</v>
      </c>
      <c r="P1710" s="10">
        <v>15612.19</v>
      </c>
      <c r="Q1710" t="s">
        <v>2357</v>
      </c>
      <c r="R1710" t="s">
        <v>2357</v>
      </c>
      <c r="S1710" t="s">
        <v>2364</v>
      </c>
      <c r="T1710">
        <f t="shared" ca="1" si="107"/>
        <v>66</v>
      </c>
      <c r="U1710">
        <f>VLOOKUP($A1710,'Medical Examination'!$A:$Z,2,FALSE)</f>
        <v>26.41</v>
      </c>
    </row>
    <row r="1711" spans="1:21" ht="15.5" x14ac:dyDescent="0.35">
      <c r="A1711" s="2" t="s">
        <v>1711</v>
      </c>
      <c r="B1711" s="2" t="s">
        <v>4763</v>
      </c>
      <c r="C1711">
        <v>27.6</v>
      </c>
      <c r="D1711">
        <v>5.33</v>
      </c>
      <c r="E1711" t="s">
        <v>2344</v>
      </c>
      <c r="F1711" t="s">
        <v>2344</v>
      </c>
      <c r="G1711" t="s">
        <v>2344</v>
      </c>
      <c r="H1711">
        <v>1</v>
      </c>
      <c r="I1711" t="s">
        <v>2344</v>
      </c>
      <c r="J1711" t="str">
        <f t="shared" si="105"/>
        <v>Over weight</v>
      </c>
      <c r="K1711" t="str">
        <f t="shared" si="108"/>
        <v>Normal</v>
      </c>
      <c r="L1711">
        <v>22</v>
      </c>
      <c r="M1711" t="s">
        <v>2365</v>
      </c>
      <c r="N1711">
        <v>1988</v>
      </c>
      <c r="O1711" s="8">
        <f t="shared" si="106"/>
        <v>32499</v>
      </c>
      <c r="P1711" s="10">
        <v>15646.28</v>
      </c>
      <c r="Q1711" t="s">
        <v>2357</v>
      </c>
      <c r="R1711" t="s">
        <v>2357</v>
      </c>
      <c r="S1711" t="s">
        <v>2368</v>
      </c>
      <c r="T1711">
        <f t="shared" ca="1" si="107"/>
        <v>38</v>
      </c>
      <c r="U1711">
        <f>VLOOKUP($A1711,'Medical Examination'!$A:$Z,2,FALSE)</f>
        <v>27.6</v>
      </c>
    </row>
    <row r="1712" spans="1:21" ht="15.5" x14ac:dyDescent="0.35">
      <c r="A1712" s="2" t="s">
        <v>1712</v>
      </c>
      <c r="B1712" s="2" t="s">
        <v>2505</v>
      </c>
      <c r="C1712">
        <v>33.82</v>
      </c>
      <c r="D1712">
        <v>8.93</v>
      </c>
      <c r="E1712" t="s">
        <v>2346</v>
      </c>
      <c r="F1712" t="s">
        <v>2344</v>
      </c>
      <c r="G1712" t="s">
        <v>2344</v>
      </c>
      <c r="H1712">
        <v>1</v>
      </c>
      <c r="I1712" t="s">
        <v>2344</v>
      </c>
      <c r="J1712" t="str">
        <f t="shared" si="105"/>
        <v>Obesity</v>
      </c>
      <c r="K1712" t="str">
        <f t="shared" si="108"/>
        <v>Diabetes</v>
      </c>
      <c r="L1712">
        <v>26</v>
      </c>
      <c r="M1712" t="s">
        <v>2362</v>
      </c>
      <c r="N1712">
        <v>1973</v>
      </c>
      <c r="O1712" s="8">
        <f t="shared" si="106"/>
        <v>26841</v>
      </c>
      <c r="P1712" s="10">
        <v>15670.3</v>
      </c>
      <c r="Q1712" t="s">
        <v>2357</v>
      </c>
      <c r="R1712" t="s">
        <v>2357</v>
      </c>
      <c r="S1712" t="s">
        <v>2380</v>
      </c>
      <c r="T1712">
        <f t="shared" ca="1" si="107"/>
        <v>53</v>
      </c>
      <c r="U1712">
        <f>VLOOKUP($A1712,'Medical Examination'!$A:$Z,2,FALSE)</f>
        <v>33.82</v>
      </c>
    </row>
    <row r="1713" spans="1:21" ht="15.5" x14ac:dyDescent="0.35">
      <c r="A1713" s="2" t="s">
        <v>1713</v>
      </c>
      <c r="B1713" s="2" t="s">
        <v>4766</v>
      </c>
      <c r="C1713">
        <v>32.9</v>
      </c>
      <c r="D1713">
        <v>4.3499999999999996</v>
      </c>
      <c r="E1713" t="s">
        <v>2344</v>
      </c>
      <c r="F1713" t="s">
        <v>2344</v>
      </c>
      <c r="G1713" t="s">
        <v>2344</v>
      </c>
      <c r="H1713">
        <v>0</v>
      </c>
      <c r="I1713" t="s">
        <v>2344</v>
      </c>
      <c r="J1713" t="str">
        <f t="shared" si="105"/>
        <v>Obesity</v>
      </c>
      <c r="K1713" t="str">
        <f t="shared" si="108"/>
        <v>Normal</v>
      </c>
      <c r="L1713">
        <v>20</v>
      </c>
      <c r="M1713" t="s">
        <v>2363</v>
      </c>
      <c r="N1713">
        <v>1976</v>
      </c>
      <c r="O1713" s="8">
        <f t="shared" si="106"/>
        <v>28023</v>
      </c>
      <c r="P1713" s="10">
        <v>15698.86</v>
      </c>
      <c r="Q1713" t="s">
        <v>2357</v>
      </c>
      <c r="R1713" t="s">
        <v>2357</v>
      </c>
      <c r="S1713" t="s">
        <v>2364</v>
      </c>
      <c r="T1713">
        <f t="shared" ca="1" si="107"/>
        <v>50</v>
      </c>
      <c r="U1713">
        <f>VLOOKUP($A1713,'Medical Examination'!$A:$Z,2,FALSE)</f>
        <v>32.9</v>
      </c>
    </row>
    <row r="1714" spans="1:21" ht="15.5" x14ac:dyDescent="0.35">
      <c r="A1714" s="2" t="s">
        <v>1714</v>
      </c>
      <c r="B1714" s="2" t="s">
        <v>4767</v>
      </c>
      <c r="C1714">
        <v>30.875</v>
      </c>
      <c r="D1714">
        <v>9.5399999999999991</v>
      </c>
      <c r="E1714" t="s">
        <v>2346</v>
      </c>
      <c r="F1714" t="s">
        <v>2344</v>
      </c>
      <c r="G1714" t="s">
        <v>2344</v>
      </c>
      <c r="H1714">
        <v>1</v>
      </c>
      <c r="I1714" t="s">
        <v>2344</v>
      </c>
      <c r="J1714" t="str">
        <f t="shared" si="105"/>
        <v>Obesity</v>
      </c>
      <c r="K1714" t="str">
        <f t="shared" si="108"/>
        <v>Diabetes</v>
      </c>
      <c r="L1714">
        <v>29</v>
      </c>
      <c r="M1714" t="s">
        <v>2366</v>
      </c>
      <c r="N1714">
        <v>1974</v>
      </c>
      <c r="O1714" s="8">
        <f t="shared" si="106"/>
        <v>27270</v>
      </c>
      <c r="P1714" s="10">
        <v>15746.62</v>
      </c>
      <c r="Q1714" t="s">
        <v>2357</v>
      </c>
      <c r="R1714" t="s">
        <v>2361</v>
      </c>
      <c r="S1714" t="s">
        <v>2364</v>
      </c>
      <c r="T1714">
        <f t="shared" ca="1" si="107"/>
        <v>52</v>
      </c>
      <c r="U1714">
        <f>VLOOKUP($A1714,'Medical Examination'!$A:$Z,2,FALSE)</f>
        <v>30.875</v>
      </c>
    </row>
    <row r="1715" spans="1:21" ht="15.5" x14ac:dyDescent="0.35">
      <c r="A1715" s="2" t="s">
        <v>1715</v>
      </c>
      <c r="B1715" s="2" t="s">
        <v>4768</v>
      </c>
      <c r="C1715">
        <v>32.64</v>
      </c>
      <c r="D1715">
        <v>5.91</v>
      </c>
      <c r="E1715" t="s">
        <v>2344</v>
      </c>
      <c r="F1715" t="s">
        <v>2344</v>
      </c>
      <c r="G1715" t="s">
        <v>2344</v>
      </c>
      <c r="H1715">
        <v>0</v>
      </c>
      <c r="I1715" t="s">
        <v>2344</v>
      </c>
      <c r="J1715" t="str">
        <f t="shared" si="105"/>
        <v>Obesity</v>
      </c>
      <c r="K1715" t="str">
        <f t="shared" si="108"/>
        <v>Prediabetes</v>
      </c>
      <c r="L1715">
        <v>9</v>
      </c>
      <c r="M1715" t="s">
        <v>2367</v>
      </c>
      <c r="N1715">
        <v>1997</v>
      </c>
      <c r="O1715" s="8">
        <f t="shared" si="106"/>
        <v>35712</v>
      </c>
      <c r="P1715" s="10">
        <v>15817.99</v>
      </c>
      <c r="Q1715" t="s">
        <v>2357</v>
      </c>
      <c r="R1715" t="s">
        <v>2357</v>
      </c>
      <c r="S1715" t="s">
        <v>2364</v>
      </c>
      <c r="T1715">
        <f t="shared" ca="1" si="107"/>
        <v>29</v>
      </c>
      <c r="U1715">
        <f>VLOOKUP($A1715,'Medical Examination'!$A:$Z,2,FALSE)</f>
        <v>32.64</v>
      </c>
    </row>
    <row r="1716" spans="1:21" ht="15.5" x14ac:dyDescent="0.35">
      <c r="A1716" s="2" t="s">
        <v>1716</v>
      </c>
      <c r="B1716" s="2" t="s">
        <v>4770</v>
      </c>
      <c r="C1716">
        <v>22.135000000000002</v>
      </c>
      <c r="D1716">
        <v>5.0999999999999996</v>
      </c>
      <c r="E1716" t="s">
        <v>2344</v>
      </c>
      <c r="F1716" t="s">
        <v>2344</v>
      </c>
      <c r="G1716" t="s">
        <v>2344</v>
      </c>
      <c r="H1716">
        <v>0</v>
      </c>
      <c r="I1716" t="s">
        <v>2344</v>
      </c>
      <c r="J1716" t="str">
        <f t="shared" si="105"/>
        <v>Normal Weight</v>
      </c>
      <c r="K1716" t="str">
        <f t="shared" si="108"/>
        <v>Normal</v>
      </c>
      <c r="L1716">
        <v>26</v>
      </c>
      <c r="M1716" t="s">
        <v>2362</v>
      </c>
      <c r="N1716">
        <v>1984</v>
      </c>
      <c r="O1716" s="8">
        <f t="shared" si="106"/>
        <v>30859</v>
      </c>
      <c r="P1716" s="10">
        <v>15820.7</v>
      </c>
      <c r="Q1716" t="s">
        <v>2357</v>
      </c>
      <c r="R1716" t="s">
        <v>2358</v>
      </c>
      <c r="S1716" t="s">
        <v>2368</v>
      </c>
      <c r="T1716">
        <f t="shared" ca="1" si="107"/>
        <v>42</v>
      </c>
      <c r="U1716">
        <f>VLOOKUP($A1716,'Medical Examination'!$A:$Z,2,FALSE)</f>
        <v>22.135000000000002</v>
      </c>
    </row>
    <row r="1717" spans="1:21" ht="15.5" x14ac:dyDescent="0.35">
      <c r="A1717" s="2" t="s">
        <v>1717</v>
      </c>
      <c r="B1717" s="2" t="s">
        <v>4771</v>
      </c>
      <c r="C1717">
        <v>16.53</v>
      </c>
      <c r="D1717">
        <v>5.08</v>
      </c>
      <c r="E1717" t="s">
        <v>2344</v>
      </c>
      <c r="F1717" t="s">
        <v>2344</v>
      </c>
      <c r="G1717" t="s">
        <v>2344</v>
      </c>
      <c r="H1717">
        <v>1</v>
      </c>
      <c r="I1717" t="s">
        <v>2344</v>
      </c>
      <c r="J1717" t="str">
        <f t="shared" si="105"/>
        <v>Under Weight</v>
      </c>
      <c r="K1717" t="str">
        <f t="shared" si="108"/>
        <v>Normal</v>
      </c>
      <c r="L1717">
        <v>11</v>
      </c>
      <c r="M1717" t="s">
        <v>2360</v>
      </c>
      <c r="N1717">
        <v>1982</v>
      </c>
      <c r="O1717" s="8">
        <f t="shared" si="106"/>
        <v>30266</v>
      </c>
      <c r="P1717" s="10">
        <v>15828.82</v>
      </c>
      <c r="Q1717" t="s">
        <v>2357</v>
      </c>
      <c r="R1717" t="s">
        <v>2358</v>
      </c>
      <c r="S1717" t="s">
        <v>2368</v>
      </c>
      <c r="T1717">
        <f t="shared" ca="1" si="107"/>
        <v>44</v>
      </c>
      <c r="U1717">
        <f>VLOOKUP($A1717,'Medical Examination'!$A:$Z,2,FALSE)</f>
        <v>16.53</v>
      </c>
    </row>
    <row r="1718" spans="1:21" ht="15.5" x14ac:dyDescent="0.35">
      <c r="A1718" s="2" t="s">
        <v>1718</v>
      </c>
      <c r="B1718" s="2" t="s">
        <v>4772</v>
      </c>
      <c r="C1718">
        <v>32.774999999999999</v>
      </c>
      <c r="D1718">
        <v>4.75</v>
      </c>
      <c r="E1718" t="s">
        <v>2344</v>
      </c>
      <c r="F1718" t="s">
        <v>2344</v>
      </c>
      <c r="G1718" t="s">
        <v>2344</v>
      </c>
      <c r="H1718">
        <v>0</v>
      </c>
      <c r="I1718" t="s">
        <v>2344</v>
      </c>
      <c r="J1718" t="str">
        <f t="shared" si="105"/>
        <v>Obesity</v>
      </c>
      <c r="K1718" t="str">
        <f t="shared" si="108"/>
        <v>Normal</v>
      </c>
      <c r="L1718">
        <v>25</v>
      </c>
      <c r="M1718" t="s">
        <v>2365</v>
      </c>
      <c r="N1718">
        <v>1962</v>
      </c>
      <c r="O1718" s="8">
        <f t="shared" si="106"/>
        <v>23005</v>
      </c>
      <c r="P1718" s="10">
        <v>15840.81</v>
      </c>
      <c r="Q1718" t="s">
        <v>2357</v>
      </c>
      <c r="R1718" t="s">
        <v>2361</v>
      </c>
      <c r="S1718" t="s">
        <v>2381</v>
      </c>
      <c r="T1718">
        <f t="shared" ca="1" si="107"/>
        <v>64</v>
      </c>
      <c r="U1718">
        <f>VLOOKUP($A1718,'Medical Examination'!$A:$Z,2,FALSE)</f>
        <v>32.774999999999999</v>
      </c>
    </row>
    <row r="1719" spans="1:21" ht="15.5" x14ac:dyDescent="0.35">
      <c r="A1719" s="2" t="s">
        <v>1719</v>
      </c>
      <c r="B1719" s="2" t="s">
        <v>4774</v>
      </c>
      <c r="C1719">
        <v>30.9</v>
      </c>
      <c r="D1719">
        <v>6.05</v>
      </c>
      <c r="E1719" t="s">
        <v>2344</v>
      </c>
      <c r="F1719" t="s">
        <v>2344</v>
      </c>
      <c r="G1719" t="s">
        <v>2344</v>
      </c>
      <c r="H1719">
        <v>1</v>
      </c>
      <c r="I1719" t="s">
        <v>2344</v>
      </c>
      <c r="J1719" t="str">
        <f t="shared" si="105"/>
        <v>Obesity</v>
      </c>
      <c r="K1719" t="str">
        <f t="shared" si="108"/>
        <v>Prediabetes</v>
      </c>
      <c r="L1719">
        <v>12</v>
      </c>
      <c r="M1719" t="s">
        <v>2367</v>
      </c>
      <c r="N1719">
        <v>1980</v>
      </c>
      <c r="O1719" s="8">
        <f t="shared" si="106"/>
        <v>29506</v>
      </c>
      <c r="P1719" s="10">
        <v>15922.29</v>
      </c>
      <c r="Q1719" t="s">
        <v>2357</v>
      </c>
      <c r="R1719" t="s">
        <v>2358</v>
      </c>
      <c r="S1719" t="s">
        <v>2380</v>
      </c>
      <c r="T1719">
        <f t="shared" ca="1" si="107"/>
        <v>46</v>
      </c>
      <c r="U1719">
        <f>VLOOKUP($A1719,'Medical Examination'!$A:$Z,2,FALSE)</f>
        <v>30.9</v>
      </c>
    </row>
    <row r="1720" spans="1:21" ht="15.5" x14ac:dyDescent="0.35">
      <c r="A1720" s="2" t="s">
        <v>1720</v>
      </c>
      <c r="B1720" s="2" t="s">
        <v>4775</v>
      </c>
      <c r="C1720">
        <v>15.58</v>
      </c>
      <c r="D1720">
        <v>11.56</v>
      </c>
      <c r="E1720" t="s">
        <v>2344</v>
      </c>
      <c r="F1720" t="s">
        <v>2344</v>
      </c>
      <c r="G1720" t="s">
        <v>2344</v>
      </c>
      <c r="H1720">
        <v>0</v>
      </c>
      <c r="I1720" t="s">
        <v>2344</v>
      </c>
      <c r="J1720" t="str">
        <f t="shared" si="105"/>
        <v>Under Weight</v>
      </c>
      <c r="K1720" t="str">
        <f t="shared" si="108"/>
        <v>Diabetes</v>
      </c>
      <c r="L1720">
        <v>24</v>
      </c>
      <c r="M1720" t="s">
        <v>2356</v>
      </c>
      <c r="N1720">
        <v>1982</v>
      </c>
      <c r="O1720" s="8">
        <f t="shared" si="106"/>
        <v>30156</v>
      </c>
      <c r="P1720" s="10">
        <v>15965.29</v>
      </c>
      <c r="Q1720" t="s">
        <v>2357</v>
      </c>
      <c r="R1720" t="s">
        <v>2361</v>
      </c>
      <c r="S1720" t="s">
        <v>2364</v>
      </c>
      <c r="T1720">
        <f t="shared" ca="1" si="107"/>
        <v>44</v>
      </c>
      <c r="U1720">
        <f>VLOOKUP($A1720,'Medical Examination'!$A:$Z,2,FALSE)</f>
        <v>15.58</v>
      </c>
    </row>
    <row r="1721" spans="1:21" ht="15.5" x14ac:dyDescent="0.35">
      <c r="A1721" s="2" t="s">
        <v>1721</v>
      </c>
      <c r="B1721" s="2" t="s">
        <v>2805</v>
      </c>
      <c r="C1721">
        <v>26.315000000000001</v>
      </c>
      <c r="D1721">
        <v>5.76</v>
      </c>
      <c r="E1721" t="s">
        <v>2344</v>
      </c>
      <c r="F1721" t="s">
        <v>2344</v>
      </c>
      <c r="G1721" t="s">
        <v>2344</v>
      </c>
      <c r="H1721">
        <v>0</v>
      </c>
      <c r="I1721" t="s">
        <v>2344</v>
      </c>
      <c r="J1721" t="str">
        <f t="shared" si="105"/>
        <v>Over weight</v>
      </c>
      <c r="K1721" t="str">
        <f t="shared" si="108"/>
        <v>Prediabetes</v>
      </c>
      <c r="L1721">
        <v>19</v>
      </c>
      <c r="M1721" t="s">
        <v>2363</v>
      </c>
      <c r="N1721">
        <v>1980</v>
      </c>
      <c r="O1721" s="8">
        <f t="shared" si="106"/>
        <v>29483</v>
      </c>
      <c r="P1721" s="10">
        <v>15966.19</v>
      </c>
      <c r="Q1721" t="s">
        <v>2357</v>
      </c>
      <c r="R1721" t="s">
        <v>2357</v>
      </c>
      <c r="S1721" t="s">
        <v>2364</v>
      </c>
      <c r="T1721">
        <f t="shared" ca="1" si="107"/>
        <v>46</v>
      </c>
      <c r="U1721">
        <f>VLOOKUP($A1721,'Medical Examination'!$A:$Z,2,FALSE)</f>
        <v>26.315000000000001</v>
      </c>
    </row>
    <row r="1722" spans="1:21" ht="15.5" x14ac:dyDescent="0.35">
      <c r="A1722" s="2" t="s">
        <v>1722</v>
      </c>
      <c r="B1722" s="2" t="s">
        <v>4776</v>
      </c>
      <c r="C1722">
        <v>35.61</v>
      </c>
      <c r="D1722">
        <v>5.65</v>
      </c>
      <c r="E1722" t="s">
        <v>2344</v>
      </c>
      <c r="F1722" t="s">
        <v>2345</v>
      </c>
      <c r="G1722" t="s">
        <v>2344</v>
      </c>
      <c r="H1722">
        <v>1</v>
      </c>
      <c r="I1722" t="s">
        <v>2344</v>
      </c>
      <c r="J1722" t="str">
        <f t="shared" si="105"/>
        <v>Obesity</v>
      </c>
      <c r="K1722" t="str">
        <f t="shared" si="108"/>
        <v>Normal</v>
      </c>
      <c r="L1722">
        <v>5</v>
      </c>
      <c r="M1722" t="s">
        <v>2365</v>
      </c>
      <c r="N1722">
        <v>1988</v>
      </c>
      <c r="O1722" s="8">
        <f t="shared" si="106"/>
        <v>32482</v>
      </c>
      <c r="P1722" s="10">
        <v>16059.06</v>
      </c>
      <c r="Q1722" t="s">
        <v>2357</v>
      </c>
      <c r="R1722" t="s">
        <v>2358</v>
      </c>
      <c r="S1722" t="s">
        <v>2364</v>
      </c>
      <c r="T1722">
        <f t="shared" ca="1" si="107"/>
        <v>38</v>
      </c>
      <c r="U1722">
        <f>VLOOKUP($A1722,'Medical Examination'!$A:$Z,2,FALSE)</f>
        <v>35.61</v>
      </c>
    </row>
    <row r="1723" spans="1:21" ht="15.5" x14ac:dyDescent="0.35">
      <c r="A1723" s="2" t="s">
        <v>1723</v>
      </c>
      <c r="B1723" s="2" t="s">
        <v>4777</v>
      </c>
      <c r="C1723">
        <v>37.56</v>
      </c>
      <c r="D1723">
        <v>5.88</v>
      </c>
      <c r="E1723" t="s">
        <v>2344</v>
      </c>
      <c r="F1723" t="s">
        <v>2345</v>
      </c>
      <c r="G1723" t="s">
        <v>2344</v>
      </c>
      <c r="H1723">
        <v>1</v>
      </c>
      <c r="I1723" t="s">
        <v>2344</v>
      </c>
      <c r="J1723" t="str">
        <f t="shared" si="105"/>
        <v>Obesity</v>
      </c>
      <c r="K1723" t="str">
        <f t="shared" si="108"/>
        <v>Prediabetes</v>
      </c>
      <c r="L1723">
        <v>16</v>
      </c>
      <c r="M1723" t="s">
        <v>2363</v>
      </c>
      <c r="N1723">
        <v>1978</v>
      </c>
      <c r="O1723" s="8">
        <f t="shared" si="106"/>
        <v>28749</v>
      </c>
      <c r="P1723" s="10">
        <v>16062.89</v>
      </c>
      <c r="Q1723" t="s">
        <v>2357</v>
      </c>
      <c r="R1723" t="s">
        <v>2357</v>
      </c>
      <c r="S1723" t="s">
        <v>2380</v>
      </c>
      <c r="T1723">
        <f t="shared" ca="1" si="107"/>
        <v>48</v>
      </c>
      <c r="U1723">
        <f>VLOOKUP($A1723,'Medical Examination'!$A:$Z,2,FALSE)</f>
        <v>37.56</v>
      </c>
    </row>
    <row r="1724" spans="1:21" ht="15.5" x14ac:dyDescent="0.35">
      <c r="A1724" s="2" t="s">
        <v>1724</v>
      </c>
      <c r="B1724" s="2" t="s">
        <v>4779</v>
      </c>
      <c r="C1724">
        <v>15.49</v>
      </c>
      <c r="D1724">
        <v>9.6</v>
      </c>
      <c r="E1724" t="s">
        <v>2344</v>
      </c>
      <c r="F1724" t="s">
        <v>2344</v>
      </c>
      <c r="G1724" t="s">
        <v>2344</v>
      </c>
      <c r="H1724">
        <v>0</v>
      </c>
      <c r="I1724" t="s">
        <v>2344</v>
      </c>
      <c r="J1724" t="str">
        <f t="shared" si="105"/>
        <v>Under Weight</v>
      </c>
      <c r="K1724" t="str">
        <f t="shared" si="108"/>
        <v>Diabetes</v>
      </c>
      <c r="L1724">
        <v>22</v>
      </c>
      <c r="M1724" t="s">
        <v>2367</v>
      </c>
      <c r="N1724">
        <v>1958</v>
      </c>
      <c r="O1724" s="8">
        <f t="shared" si="106"/>
        <v>21480</v>
      </c>
      <c r="P1724" s="10">
        <v>16069.08</v>
      </c>
      <c r="Q1724" t="s">
        <v>2357</v>
      </c>
      <c r="R1724" t="s">
        <v>2357</v>
      </c>
      <c r="S1724" t="s">
        <v>2374</v>
      </c>
      <c r="T1724">
        <f t="shared" ca="1" si="107"/>
        <v>68</v>
      </c>
      <c r="U1724">
        <f>VLOOKUP($A1724,'Medical Examination'!$A:$Z,2,FALSE)</f>
        <v>15.49</v>
      </c>
    </row>
    <row r="1725" spans="1:21" ht="15.5" x14ac:dyDescent="0.35">
      <c r="A1725" s="2" t="s">
        <v>1725</v>
      </c>
      <c r="B1725" s="2" t="s">
        <v>4780</v>
      </c>
      <c r="C1725">
        <v>23.48</v>
      </c>
      <c r="D1725">
        <v>6.24</v>
      </c>
      <c r="E1725" t="s">
        <v>2344</v>
      </c>
      <c r="F1725" t="s">
        <v>2344</v>
      </c>
      <c r="G1725" t="s">
        <v>2344</v>
      </c>
      <c r="H1725">
        <v>1</v>
      </c>
      <c r="I1725" t="s">
        <v>2344</v>
      </c>
      <c r="J1725" t="str">
        <f t="shared" si="105"/>
        <v>Normal Weight</v>
      </c>
      <c r="K1725" t="str">
        <f t="shared" si="108"/>
        <v>Prediabetes</v>
      </c>
      <c r="L1725">
        <v>21</v>
      </c>
      <c r="M1725" t="s">
        <v>2362</v>
      </c>
      <c r="N1725">
        <v>1958</v>
      </c>
      <c r="O1725" s="8">
        <f t="shared" si="106"/>
        <v>21357</v>
      </c>
      <c r="P1725" s="10">
        <v>16085.13</v>
      </c>
      <c r="Q1725" t="s">
        <v>2357</v>
      </c>
      <c r="R1725" t="s">
        <v>2357</v>
      </c>
      <c r="S1725" t="s">
        <v>2359</v>
      </c>
      <c r="T1725">
        <f t="shared" ca="1" si="107"/>
        <v>68</v>
      </c>
      <c r="U1725">
        <f>VLOOKUP($A1725,'Medical Examination'!$A:$Z,2,FALSE)</f>
        <v>23.48</v>
      </c>
    </row>
    <row r="1726" spans="1:21" ht="15.5" x14ac:dyDescent="0.35">
      <c r="A1726" s="2" t="s">
        <v>1726</v>
      </c>
      <c r="B1726" s="2" t="s">
        <v>4461</v>
      </c>
      <c r="C1726">
        <v>30.02</v>
      </c>
      <c r="D1726">
        <v>7.63</v>
      </c>
      <c r="E1726" t="s">
        <v>2346</v>
      </c>
      <c r="F1726" t="s">
        <v>2344</v>
      </c>
      <c r="G1726" t="s">
        <v>2344</v>
      </c>
      <c r="H1726">
        <v>1</v>
      </c>
      <c r="I1726" t="s">
        <v>2344</v>
      </c>
      <c r="J1726" t="str">
        <f t="shared" si="105"/>
        <v>Obesity</v>
      </c>
      <c r="K1726" t="str">
        <f t="shared" si="108"/>
        <v>Diabetes</v>
      </c>
      <c r="L1726">
        <v>27</v>
      </c>
      <c r="M1726" t="s">
        <v>2366</v>
      </c>
      <c r="N1726">
        <v>1985</v>
      </c>
      <c r="O1726" s="8">
        <f t="shared" si="106"/>
        <v>31286</v>
      </c>
      <c r="P1726" s="10">
        <v>16097.94</v>
      </c>
      <c r="Q1726" t="s">
        <v>2357</v>
      </c>
      <c r="R1726" t="s">
        <v>2358</v>
      </c>
      <c r="S1726" t="s">
        <v>2364</v>
      </c>
      <c r="T1726">
        <f t="shared" ca="1" si="107"/>
        <v>41</v>
      </c>
      <c r="U1726">
        <f>VLOOKUP($A1726,'Medical Examination'!$A:$Z,2,FALSE)</f>
        <v>30.02</v>
      </c>
    </row>
    <row r="1727" spans="1:21" ht="15.5" x14ac:dyDescent="0.35">
      <c r="A1727" s="2" t="s">
        <v>1727</v>
      </c>
      <c r="B1727" s="2" t="s">
        <v>4783</v>
      </c>
      <c r="C1727">
        <v>26.885000000000002</v>
      </c>
      <c r="D1727">
        <v>8.66</v>
      </c>
      <c r="E1727" t="s">
        <v>2346</v>
      </c>
      <c r="F1727" t="s">
        <v>2344</v>
      </c>
      <c r="G1727" t="s">
        <v>2344</v>
      </c>
      <c r="H1727">
        <v>1</v>
      </c>
      <c r="I1727" t="s">
        <v>2344</v>
      </c>
      <c r="J1727" t="str">
        <f t="shared" si="105"/>
        <v>Over weight</v>
      </c>
      <c r="K1727" t="str">
        <f t="shared" si="108"/>
        <v>Diabetes</v>
      </c>
      <c r="L1727">
        <v>8</v>
      </c>
      <c r="M1727" t="s">
        <v>2366</v>
      </c>
      <c r="N1727">
        <v>1993</v>
      </c>
      <c r="O1727" s="8">
        <f t="shared" si="106"/>
        <v>34189</v>
      </c>
      <c r="P1727" s="10">
        <v>16115.3</v>
      </c>
      <c r="Q1727" t="s">
        <v>2357</v>
      </c>
      <c r="R1727" t="s">
        <v>2361</v>
      </c>
      <c r="S1727" t="s">
        <v>2374</v>
      </c>
      <c r="T1727">
        <f t="shared" ca="1" si="107"/>
        <v>33</v>
      </c>
      <c r="U1727">
        <f>VLOOKUP($A1727,'Medical Examination'!$A:$Z,2,FALSE)</f>
        <v>26.885000000000002</v>
      </c>
    </row>
    <row r="1728" spans="1:21" ht="15.5" x14ac:dyDescent="0.35">
      <c r="A1728" s="2" t="s">
        <v>1728</v>
      </c>
      <c r="B1728" s="2" t="s">
        <v>4784</v>
      </c>
      <c r="C1728">
        <v>25.84</v>
      </c>
      <c r="D1728">
        <v>8.5500000000000007</v>
      </c>
      <c r="E1728" t="s">
        <v>2346</v>
      </c>
      <c r="F1728" t="s">
        <v>2344</v>
      </c>
      <c r="G1728" t="s">
        <v>2344</v>
      </c>
      <c r="H1728">
        <v>1</v>
      </c>
      <c r="I1728" t="s">
        <v>2344</v>
      </c>
      <c r="J1728" t="str">
        <f t="shared" si="105"/>
        <v>Over weight</v>
      </c>
      <c r="K1728" t="str">
        <f t="shared" si="108"/>
        <v>Diabetes</v>
      </c>
      <c r="L1728">
        <v>6</v>
      </c>
      <c r="M1728" t="s">
        <v>2367</v>
      </c>
      <c r="N1728">
        <v>1987</v>
      </c>
      <c r="O1728" s="8">
        <f t="shared" si="106"/>
        <v>32056</v>
      </c>
      <c r="P1728" s="10">
        <v>16122.65</v>
      </c>
      <c r="Q1728" t="s">
        <v>2357</v>
      </c>
      <c r="R1728" t="s">
        <v>2361</v>
      </c>
      <c r="S1728" t="s">
        <v>2368</v>
      </c>
      <c r="T1728">
        <f t="shared" ca="1" si="107"/>
        <v>39</v>
      </c>
      <c r="U1728">
        <f>VLOOKUP($A1728,'Medical Examination'!$A:$Z,2,FALSE)</f>
        <v>25.84</v>
      </c>
    </row>
    <row r="1729" spans="1:21" ht="15.5" x14ac:dyDescent="0.35">
      <c r="A1729" s="2" t="s">
        <v>1729</v>
      </c>
      <c r="B1729" s="2" t="s">
        <v>3482</v>
      </c>
      <c r="C1729">
        <v>27.454999999999998</v>
      </c>
      <c r="D1729">
        <v>4.54</v>
      </c>
      <c r="E1729" t="s">
        <v>2344</v>
      </c>
      <c r="F1729" t="s">
        <v>2344</v>
      </c>
      <c r="G1729" t="s">
        <v>2344</v>
      </c>
      <c r="H1729">
        <v>0</v>
      </c>
      <c r="I1729" t="s">
        <v>2344</v>
      </c>
      <c r="J1729" t="str">
        <f t="shared" si="105"/>
        <v>Over weight</v>
      </c>
      <c r="K1729" t="str">
        <f t="shared" si="108"/>
        <v>Normal</v>
      </c>
      <c r="L1729">
        <v>12</v>
      </c>
      <c r="M1729" t="s">
        <v>2365</v>
      </c>
      <c r="N1729">
        <v>1993</v>
      </c>
      <c r="O1729" s="8">
        <f t="shared" si="106"/>
        <v>34315</v>
      </c>
      <c r="P1729" s="10">
        <v>16138.76</v>
      </c>
      <c r="Q1729" t="s">
        <v>2357</v>
      </c>
      <c r="R1729" t="s">
        <v>2358</v>
      </c>
      <c r="S1729" t="s">
        <v>2378</v>
      </c>
      <c r="T1729">
        <f t="shared" ca="1" si="107"/>
        <v>33</v>
      </c>
      <c r="U1729">
        <f>VLOOKUP($A1729,'Medical Examination'!$A:$Z,2,FALSE)</f>
        <v>27.454999999999998</v>
      </c>
    </row>
    <row r="1730" spans="1:21" ht="15.5" x14ac:dyDescent="0.35">
      <c r="A1730" s="2" t="s">
        <v>1730</v>
      </c>
      <c r="B1730" s="2" t="s">
        <v>4786</v>
      </c>
      <c r="C1730">
        <v>24.605</v>
      </c>
      <c r="D1730">
        <v>5.7</v>
      </c>
      <c r="E1730" t="s">
        <v>2344</v>
      </c>
      <c r="F1730" t="s">
        <v>2344</v>
      </c>
      <c r="G1730" t="s">
        <v>2344</v>
      </c>
      <c r="H1730">
        <v>0</v>
      </c>
      <c r="I1730" t="s">
        <v>2344</v>
      </c>
      <c r="J1730" t="str">
        <f t="shared" si="105"/>
        <v>Normal Weight</v>
      </c>
      <c r="K1730" t="str">
        <f t="shared" si="108"/>
        <v>Prediabetes</v>
      </c>
      <c r="L1730">
        <v>6</v>
      </c>
      <c r="M1730" t="s">
        <v>2356</v>
      </c>
      <c r="N1730">
        <v>1982</v>
      </c>
      <c r="O1730" s="8">
        <f t="shared" si="106"/>
        <v>30138</v>
      </c>
      <c r="P1730" s="10">
        <v>16152.04</v>
      </c>
      <c r="Q1730" t="s">
        <v>2357</v>
      </c>
      <c r="R1730" t="s">
        <v>2361</v>
      </c>
      <c r="S1730" t="s">
        <v>2380</v>
      </c>
      <c r="T1730">
        <f t="shared" ca="1" si="107"/>
        <v>44</v>
      </c>
      <c r="U1730">
        <f>VLOOKUP($A1730,'Medical Examination'!$A:$Z,2,FALSE)</f>
        <v>24.605</v>
      </c>
    </row>
    <row r="1731" spans="1:21" ht="15.5" x14ac:dyDescent="0.35">
      <c r="A1731" s="2" t="s">
        <v>1731</v>
      </c>
      <c r="B1731" s="2" t="s">
        <v>4639</v>
      </c>
      <c r="C1731">
        <v>30.8</v>
      </c>
      <c r="D1731">
        <v>5.07</v>
      </c>
      <c r="E1731" t="s">
        <v>2344</v>
      </c>
      <c r="F1731" t="s">
        <v>2344</v>
      </c>
      <c r="G1731" t="s">
        <v>2344</v>
      </c>
      <c r="H1731">
        <v>0</v>
      </c>
      <c r="I1731" t="s">
        <v>2344</v>
      </c>
      <c r="J1731" t="str">
        <f t="shared" ref="J1731:J1794" si="109">IF(C1731&lt;18.5,"Under Weight",IF(C1731&lt;25,"Normal Weight",IF(C1731&lt;30,"Over weight","Obesity")))</f>
        <v>Obesity</v>
      </c>
      <c r="K1731" t="str">
        <f t="shared" si="108"/>
        <v>Normal</v>
      </c>
      <c r="L1731">
        <v>11</v>
      </c>
      <c r="M1731" t="s">
        <v>2363</v>
      </c>
      <c r="N1731">
        <v>1974</v>
      </c>
      <c r="O1731" s="8">
        <f t="shared" ref="O1731:O1794" si="110">DATE(N1731,MONTH(1&amp;M1731),L1731)</f>
        <v>27283</v>
      </c>
      <c r="P1731" s="10">
        <v>16190.97</v>
      </c>
      <c r="Q1731" t="s">
        <v>2357</v>
      </c>
      <c r="R1731" t="s">
        <v>2358</v>
      </c>
      <c r="S1731" t="s">
        <v>2364</v>
      </c>
      <c r="T1731">
        <f t="shared" ref="T1731:T1794" ca="1" si="111">YEAR(TODAY())-YEAR(O1731)</f>
        <v>52</v>
      </c>
      <c r="U1731">
        <f>VLOOKUP($A1731,'Medical Examination'!$A:$Z,2,FALSE)</f>
        <v>30.8</v>
      </c>
    </row>
    <row r="1732" spans="1:21" ht="15.5" x14ac:dyDescent="0.35">
      <c r="A1732" s="2" t="s">
        <v>1732</v>
      </c>
      <c r="B1732" s="2" t="s">
        <v>3378</v>
      </c>
      <c r="C1732">
        <v>34.799999999999997</v>
      </c>
      <c r="D1732">
        <v>4.38</v>
      </c>
      <c r="E1732" t="s">
        <v>2344</v>
      </c>
      <c r="F1732" t="s">
        <v>2344</v>
      </c>
      <c r="G1732" t="s">
        <v>2344</v>
      </c>
      <c r="H1732">
        <v>1</v>
      </c>
      <c r="I1732" t="s">
        <v>2344</v>
      </c>
      <c r="J1732" t="str">
        <f t="shared" si="109"/>
        <v>Obesity</v>
      </c>
      <c r="K1732" t="str">
        <f t="shared" si="108"/>
        <v>Normal</v>
      </c>
      <c r="L1732">
        <v>6</v>
      </c>
      <c r="M1732" t="s">
        <v>2366</v>
      </c>
      <c r="N1732">
        <v>1988</v>
      </c>
      <c r="O1732" s="8">
        <f t="shared" si="110"/>
        <v>32361</v>
      </c>
      <c r="P1732" s="10">
        <v>16199.1</v>
      </c>
      <c r="Q1732" t="s">
        <v>2357</v>
      </c>
      <c r="R1732" t="s">
        <v>2357</v>
      </c>
      <c r="S1732" t="s">
        <v>2364</v>
      </c>
      <c r="T1732">
        <f t="shared" ca="1" si="111"/>
        <v>38</v>
      </c>
      <c r="U1732">
        <f>VLOOKUP($A1732,'Medical Examination'!$A:$Z,2,FALSE)</f>
        <v>34.799999999999997</v>
      </c>
    </row>
    <row r="1733" spans="1:21" ht="15.5" x14ac:dyDescent="0.35">
      <c r="A1733" s="2" t="s">
        <v>1733</v>
      </c>
      <c r="B1733" s="2" t="s">
        <v>4788</v>
      </c>
      <c r="C1733">
        <v>34.21</v>
      </c>
      <c r="D1733">
        <v>4.54</v>
      </c>
      <c r="E1733" t="s">
        <v>2344</v>
      </c>
      <c r="F1733" t="s">
        <v>2344</v>
      </c>
      <c r="G1733" t="s">
        <v>2344</v>
      </c>
      <c r="H1733">
        <v>1</v>
      </c>
      <c r="I1733" t="s">
        <v>2344</v>
      </c>
      <c r="J1733" t="str">
        <f t="shared" si="109"/>
        <v>Obesity</v>
      </c>
      <c r="K1733" t="str">
        <f t="shared" si="108"/>
        <v>Normal</v>
      </c>
      <c r="L1733">
        <v>21</v>
      </c>
      <c r="M1733" t="s">
        <v>2366</v>
      </c>
      <c r="N1733">
        <v>1988</v>
      </c>
      <c r="O1733" s="8">
        <f t="shared" si="110"/>
        <v>32376</v>
      </c>
      <c r="P1733" s="10">
        <v>16205.88</v>
      </c>
      <c r="Q1733" t="s">
        <v>2357</v>
      </c>
      <c r="R1733" t="s">
        <v>2361</v>
      </c>
      <c r="S1733" t="s">
        <v>2364</v>
      </c>
      <c r="T1733">
        <f t="shared" ca="1" si="111"/>
        <v>38</v>
      </c>
      <c r="U1733">
        <f>VLOOKUP($A1733,'Medical Examination'!$A:$Z,2,FALSE)</f>
        <v>34.21</v>
      </c>
    </row>
    <row r="1734" spans="1:21" ht="15.5" x14ac:dyDescent="0.35">
      <c r="A1734" s="2" t="s">
        <v>1734</v>
      </c>
      <c r="B1734" s="2" t="s">
        <v>4789</v>
      </c>
      <c r="C1734">
        <v>31</v>
      </c>
      <c r="D1734">
        <v>5.38</v>
      </c>
      <c r="E1734" t="s">
        <v>2344</v>
      </c>
      <c r="F1734" t="s">
        <v>2344</v>
      </c>
      <c r="G1734" t="s">
        <v>2344</v>
      </c>
      <c r="H1734">
        <v>1</v>
      </c>
      <c r="I1734" t="s">
        <v>2344</v>
      </c>
      <c r="J1734" t="str">
        <f t="shared" si="109"/>
        <v>Obesity</v>
      </c>
      <c r="K1734" t="str">
        <f t="shared" si="108"/>
        <v>Normal</v>
      </c>
      <c r="L1734">
        <v>8</v>
      </c>
      <c r="M1734" t="s">
        <v>2363</v>
      </c>
      <c r="N1734">
        <v>2002</v>
      </c>
      <c r="O1734" s="8">
        <f t="shared" si="110"/>
        <v>37507</v>
      </c>
      <c r="P1734" s="10">
        <v>16232.85</v>
      </c>
      <c r="Q1734" t="s">
        <v>2357</v>
      </c>
      <c r="R1734" t="s">
        <v>2361</v>
      </c>
      <c r="S1734" t="s">
        <v>2368</v>
      </c>
      <c r="T1734">
        <f t="shared" ca="1" si="111"/>
        <v>24</v>
      </c>
      <c r="U1734">
        <f>VLOOKUP($A1734,'Medical Examination'!$A:$Z,2,FALSE)</f>
        <v>31</v>
      </c>
    </row>
    <row r="1735" spans="1:21" ht="15.5" x14ac:dyDescent="0.35">
      <c r="A1735" s="2" t="s">
        <v>1735</v>
      </c>
      <c r="B1735" s="2" t="s">
        <v>4790</v>
      </c>
      <c r="C1735">
        <v>26.125</v>
      </c>
      <c r="D1735">
        <v>5.55</v>
      </c>
      <c r="E1735" t="s">
        <v>2344</v>
      </c>
      <c r="F1735" t="s">
        <v>2344</v>
      </c>
      <c r="G1735" t="s">
        <v>2344</v>
      </c>
      <c r="H1735">
        <v>1</v>
      </c>
      <c r="I1735" t="s">
        <v>2344</v>
      </c>
      <c r="J1735" t="str">
        <f t="shared" si="109"/>
        <v>Over weight</v>
      </c>
      <c r="K1735" t="str">
        <f t="shared" si="108"/>
        <v>Normal</v>
      </c>
      <c r="L1735">
        <v>30</v>
      </c>
      <c r="M1735" t="s">
        <v>2356</v>
      </c>
      <c r="N1735">
        <v>1972</v>
      </c>
      <c r="O1735" s="8">
        <f t="shared" si="110"/>
        <v>26510</v>
      </c>
      <c r="P1735" s="10">
        <v>16267.32</v>
      </c>
      <c r="Q1735" t="s">
        <v>2357</v>
      </c>
      <c r="R1735" t="s">
        <v>2357</v>
      </c>
      <c r="S1735" t="s">
        <v>2375</v>
      </c>
      <c r="T1735">
        <f t="shared" ca="1" si="111"/>
        <v>54</v>
      </c>
      <c r="U1735">
        <f>VLOOKUP($A1735,'Medical Examination'!$A:$Z,2,FALSE)</f>
        <v>26.125</v>
      </c>
    </row>
    <row r="1736" spans="1:21" ht="15.5" x14ac:dyDescent="0.35">
      <c r="A1736" s="2" t="s">
        <v>1736</v>
      </c>
      <c r="B1736" s="2" t="s">
        <v>4792</v>
      </c>
      <c r="C1736">
        <v>30.13</v>
      </c>
      <c r="D1736">
        <v>4.03</v>
      </c>
      <c r="E1736" t="s">
        <v>2346</v>
      </c>
      <c r="F1736" t="s">
        <v>2344</v>
      </c>
      <c r="G1736" t="s">
        <v>2344</v>
      </c>
      <c r="H1736">
        <v>1</v>
      </c>
      <c r="I1736" t="s">
        <v>2344</v>
      </c>
      <c r="J1736" t="str">
        <f t="shared" si="109"/>
        <v>Obesity</v>
      </c>
      <c r="K1736" t="str">
        <f t="shared" si="108"/>
        <v>Normal</v>
      </c>
      <c r="L1736">
        <v>24</v>
      </c>
      <c r="M1736" t="s">
        <v>2366</v>
      </c>
      <c r="N1736">
        <v>2003</v>
      </c>
      <c r="O1736" s="8">
        <f t="shared" si="110"/>
        <v>37857</v>
      </c>
      <c r="P1736" s="10">
        <v>16297.85</v>
      </c>
      <c r="Q1736" t="s">
        <v>2357</v>
      </c>
      <c r="R1736" t="s">
        <v>2358</v>
      </c>
      <c r="S1736" t="s">
        <v>2368</v>
      </c>
      <c r="T1736">
        <f t="shared" ca="1" si="111"/>
        <v>23</v>
      </c>
      <c r="U1736">
        <f>VLOOKUP($A1736,'Medical Examination'!$A:$Z,2,FALSE)</f>
        <v>30.13</v>
      </c>
    </row>
    <row r="1737" spans="1:21" ht="15.5" x14ac:dyDescent="0.35">
      <c r="A1737" s="2" t="s">
        <v>1737</v>
      </c>
      <c r="B1737" s="2" t="s">
        <v>4793</v>
      </c>
      <c r="C1737">
        <v>34.19</v>
      </c>
      <c r="D1737">
        <v>4.1900000000000004</v>
      </c>
      <c r="E1737" t="s">
        <v>2344</v>
      </c>
      <c r="F1737" t="s">
        <v>2344</v>
      </c>
      <c r="G1737" t="s">
        <v>2344</v>
      </c>
      <c r="H1737">
        <v>0</v>
      </c>
      <c r="I1737" t="s">
        <v>2344</v>
      </c>
      <c r="J1737" t="str">
        <f t="shared" si="109"/>
        <v>Obesity</v>
      </c>
      <c r="K1737" t="str">
        <f t="shared" si="108"/>
        <v>Normal</v>
      </c>
      <c r="L1737">
        <v>8</v>
      </c>
      <c r="M1737" t="s">
        <v>2366</v>
      </c>
      <c r="N1737">
        <v>1969</v>
      </c>
      <c r="O1737" s="8">
        <f t="shared" si="110"/>
        <v>25423</v>
      </c>
      <c r="P1737" s="10">
        <v>16311.05</v>
      </c>
      <c r="Q1737" t="s">
        <v>2357</v>
      </c>
      <c r="R1737" t="s">
        <v>2358</v>
      </c>
      <c r="S1737" t="s">
        <v>2380</v>
      </c>
      <c r="T1737">
        <f t="shared" ca="1" si="111"/>
        <v>57</v>
      </c>
      <c r="U1737">
        <f>VLOOKUP($A1737,'Medical Examination'!$A:$Z,2,FALSE)</f>
        <v>34.19</v>
      </c>
    </row>
    <row r="1738" spans="1:21" ht="15.5" x14ac:dyDescent="0.35">
      <c r="A1738" s="2" t="s">
        <v>1738</v>
      </c>
      <c r="B1738" s="2" t="s">
        <v>3793</v>
      </c>
      <c r="C1738">
        <v>22.515000000000001</v>
      </c>
      <c r="D1738">
        <v>4.37</v>
      </c>
      <c r="E1738" t="s">
        <v>2344</v>
      </c>
      <c r="F1738" t="s">
        <v>2344</v>
      </c>
      <c r="G1738" t="s">
        <v>2346</v>
      </c>
      <c r="H1738">
        <v>1</v>
      </c>
      <c r="I1738" t="s">
        <v>2344</v>
      </c>
      <c r="J1738" t="str">
        <f t="shared" si="109"/>
        <v>Normal Weight</v>
      </c>
      <c r="K1738" t="str">
        <f t="shared" si="108"/>
        <v>Normal</v>
      </c>
      <c r="L1738">
        <v>5</v>
      </c>
      <c r="M1738" t="s">
        <v>2365</v>
      </c>
      <c r="N1738">
        <v>1965</v>
      </c>
      <c r="O1738" s="8">
        <f t="shared" si="110"/>
        <v>24081</v>
      </c>
      <c r="P1738" s="10">
        <v>16351.42</v>
      </c>
      <c r="Q1738" t="s">
        <v>2357</v>
      </c>
      <c r="R1738" t="s">
        <v>2358</v>
      </c>
      <c r="S1738" t="s">
        <v>2380</v>
      </c>
      <c r="T1738">
        <f t="shared" ca="1" si="111"/>
        <v>61</v>
      </c>
      <c r="U1738">
        <f>VLOOKUP($A1738,'Medical Examination'!$A:$Z,2,FALSE)</f>
        <v>22.515000000000001</v>
      </c>
    </row>
    <row r="1739" spans="1:21" ht="15.5" x14ac:dyDescent="0.35">
      <c r="A1739" s="2" t="s">
        <v>1739</v>
      </c>
      <c r="B1739" s="2" t="s">
        <v>4795</v>
      </c>
      <c r="C1739">
        <v>18.239999999999998</v>
      </c>
      <c r="D1739">
        <v>5.31</v>
      </c>
      <c r="E1739" t="s">
        <v>2346</v>
      </c>
      <c r="F1739" t="s">
        <v>2344</v>
      </c>
      <c r="G1739" t="s">
        <v>2346</v>
      </c>
      <c r="H1739">
        <v>1</v>
      </c>
      <c r="I1739" t="s">
        <v>2344</v>
      </c>
      <c r="J1739" t="str">
        <f t="shared" si="109"/>
        <v>Under Weight</v>
      </c>
      <c r="K1739" t="str">
        <f t="shared" si="108"/>
        <v>Normal</v>
      </c>
      <c r="L1739">
        <v>28</v>
      </c>
      <c r="M1739" t="s">
        <v>2363</v>
      </c>
      <c r="N1739">
        <v>1995</v>
      </c>
      <c r="O1739" s="8">
        <f t="shared" si="110"/>
        <v>34970</v>
      </c>
      <c r="P1739" s="10">
        <v>16420.490000000002</v>
      </c>
      <c r="Q1739" t="s">
        <v>2357</v>
      </c>
      <c r="R1739" t="s">
        <v>2358</v>
      </c>
      <c r="S1739" t="s">
        <v>2364</v>
      </c>
      <c r="T1739">
        <f t="shared" ca="1" si="111"/>
        <v>31</v>
      </c>
      <c r="U1739">
        <f>VLOOKUP($A1739,'Medical Examination'!$A:$Z,2,FALSE)</f>
        <v>18.239999999999998</v>
      </c>
    </row>
    <row r="1740" spans="1:21" ht="15.5" x14ac:dyDescent="0.35">
      <c r="A1740" s="2" t="s">
        <v>1740</v>
      </c>
      <c r="B1740" s="2" t="s">
        <v>4796</v>
      </c>
      <c r="C1740">
        <v>37.28</v>
      </c>
      <c r="D1740">
        <v>4.66</v>
      </c>
      <c r="E1740" t="s">
        <v>2344</v>
      </c>
      <c r="F1740" t="s">
        <v>2345</v>
      </c>
      <c r="G1740" t="s">
        <v>2344</v>
      </c>
      <c r="H1740">
        <v>1</v>
      </c>
      <c r="I1740" t="s">
        <v>2344</v>
      </c>
      <c r="J1740" t="str">
        <f t="shared" si="109"/>
        <v>Obesity</v>
      </c>
      <c r="K1740" t="str">
        <f t="shared" ref="K1740:K1803" si="112">IF(D1740&lt;5.7,"Normal",IF(D1740&lt;6.5,"Prediabetes","Diabetes"))</f>
        <v>Normal</v>
      </c>
      <c r="L1740">
        <v>20</v>
      </c>
      <c r="M1740" t="s">
        <v>2365</v>
      </c>
      <c r="N1740">
        <v>2003</v>
      </c>
      <c r="O1740" s="8">
        <f t="shared" si="110"/>
        <v>37975</v>
      </c>
      <c r="P1740" s="10">
        <v>16450.89</v>
      </c>
      <c r="Q1740" t="s">
        <v>2357</v>
      </c>
      <c r="R1740" t="s">
        <v>2361</v>
      </c>
      <c r="S1740" t="s">
        <v>2364</v>
      </c>
      <c r="T1740">
        <f t="shared" ca="1" si="111"/>
        <v>23</v>
      </c>
      <c r="U1740">
        <f>VLOOKUP($A1740,'Medical Examination'!$A:$Z,2,FALSE)</f>
        <v>37.28</v>
      </c>
    </row>
    <row r="1741" spans="1:21" ht="15.5" x14ac:dyDescent="0.35">
      <c r="A1741" s="2" t="s">
        <v>1741</v>
      </c>
      <c r="B1741" s="2" t="s">
        <v>4797</v>
      </c>
      <c r="C1741">
        <v>18.2</v>
      </c>
      <c r="D1741">
        <v>6.19</v>
      </c>
      <c r="E1741" t="s">
        <v>2344</v>
      </c>
      <c r="F1741" t="s">
        <v>2344</v>
      </c>
      <c r="G1741" t="s">
        <v>2346</v>
      </c>
      <c r="H1741">
        <v>1</v>
      </c>
      <c r="I1741" t="s">
        <v>2344</v>
      </c>
      <c r="J1741" t="str">
        <f t="shared" si="109"/>
        <v>Under Weight</v>
      </c>
      <c r="K1741" t="str">
        <f t="shared" si="112"/>
        <v>Prediabetes</v>
      </c>
      <c r="L1741">
        <v>10</v>
      </c>
      <c r="M1741" t="s">
        <v>2367</v>
      </c>
      <c r="N1741">
        <v>1958</v>
      </c>
      <c r="O1741" s="8">
        <f t="shared" si="110"/>
        <v>21468</v>
      </c>
      <c r="P1741" s="10">
        <v>16455.71</v>
      </c>
      <c r="Q1741" t="s">
        <v>2357</v>
      </c>
      <c r="R1741" t="s">
        <v>2357</v>
      </c>
      <c r="S1741" t="s">
        <v>2364</v>
      </c>
      <c r="T1741">
        <f t="shared" ca="1" si="111"/>
        <v>68</v>
      </c>
      <c r="U1741">
        <f>VLOOKUP($A1741,'Medical Examination'!$A:$Z,2,FALSE)</f>
        <v>18.2</v>
      </c>
    </row>
    <row r="1742" spans="1:21" ht="15.5" x14ac:dyDescent="0.35">
      <c r="A1742" s="2" t="s">
        <v>1742</v>
      </c>
      <c r="B1742" s="2" t="s">
        <v>4798</v>
      </c>
      <c r="C1742">
        <v>20.53</v>
      </c>
      <c r="D1742">
        <v>4.8600000000000003</v>
      </c>
      <c r="E1742" t="s">
        <v>2344</v>
      </c>
      <c r="F1742" t="s">
        <v>2344</v>
      </c>
      <c r="G1742" t="s">
        <v>2344</v>
      </c>
      <c r="H1742">
        <v>1</v>
      </c>
      <c r="I1742" t="s">
        <v>2344</v>
      </c>
      <c r="J1742" t="str">
        <f t="shared" si="109"/>
        <v>Normal Weight</v>
      </c>
      <c r="K1742" t="str">
        <f t="shared" si="112"/>
        <v>Normal</v>
      </c>
      <c r="L1742">
        <v>23</v>
      </c>
      <c r="M1742" t="s">
        <v>2365</v>
      </c>
      <c r="N1742">
        <v>1995</v>
      </c>
      <c r="O1742" s="8">
        <f t="shared" si="110"/>
        <v>35056</v>
      </c>
      <c r="P1742" s="10">
        <v>16577.78</v>
      </c>
      <c r="Q1742" t="s">
        <v>2357</v>
      </c>
      <c r="R1742" t="s">
        <v>2361</v>
      </c>
      <c r="S1742" t="s">
        <v>2359</v>
      </c>
      <c r="T1742">
        <f t="shared" ca="1" si="111"/>
        <v>31</v>
      </c>
      <c r="U1742">
        <f>VLOOKUP($A1742,'Medical Examination'!$A:$Z,2,FALSE)</f>
        <v>20.53</v>
      </c>
    </row>
    <row r="1743" spans="1:21" ht="15.5" x14ac:dyDescent="0.35">
      <c r="A1743" s="2" t="s">
        <v>1743</v>
      </c>
      <c r="B1743" s="2" t="s">
        <v>4799</v>
      </c>
      <c r="C1743">
        <v>23.79</v>
      </c>
      <c r="D1743">
        <v>4.74</v>
      </c>
      <c r="E1743" t="s">
        <v>2344</v>
      </c>
      <c r="F1743" t="s">
        <v>2344</v>
      </c>
      <c r="G1743" t="s">
        <v>2344</v>
      </c>
      <c r="H1743">
        <v>0</v>
      </c>
      <c r="I1743" t="s">
        <v>2344</v>
      </c>
      <c r="J1743" t="str">
        <f t="shared" si="109"/>
        <v>Normal Weight</v>
      </c>
      <c r="K1743" t="str">
        <f t="shared" si="112"/>
        <v>Normal</v>
      </c>
      <c r="L1743">
        <v>25</v>
      </c>
      <c r="M1743" t="s">
        <v>2362</v>
      </c>
      <c r="N1743">
        <v>2001</v>
      </c>
      <c r="O1743" s="8">
        <f t="shared" si="110"/>
        <v>37067</v>
      </c>
      <c r="P1743" s="10">
        <v>16586.5</v>
      </c>
      <c r="Q1743" t="s">
        <v>2357</v>
      </c>
      <c r="R1743" t="s">
        <v>2361</v>
      </c>
      <c r="S1743" t="s">
        <v>2359</v>
      </c>
      <c r="T1743">
        <f t="shared" ca="1" si="111"/>
        <v>25</v>
      </c>
      <c r="U1743">
        <f>VLOOKUP($A1743,'Medical Examination'!$A:$Z,2,FALSE)</f>
        <v>23.79</v>
      </c>
    </row>
    <row r="1744" spans="1:21" ht="15.5" x14ac:dyDescent="0.35">
      <c r="A1744" s="2" t="s">
        <v>1744</v>
      </c>
      <c r="B1744" s="2" t="s">
        <v>4801</v>
      </c>
      <c r="C1744">
        <v>29.8</v>
      </c>
      <c r="D1744">
        <v>6.03</v>
      </c>
      <c r="E1744" t="s">
        <v>2344</v>
      </c>
      <c r="F1744" t="s">
        <v>2344</v>
      </c>
      <c r="G1744" t="s">
        <v>2344</v>
      </c>
      <c r="H1744">
        <v>0</v>
      </c>
      <c r="I1744" t="s">
        <v>2344</v>
      </c>
      <c r="J1744" t="str">
        <f t="shared" si="109"/>
        <v>Over weight</v>
      </c>
      <c r="K1744" t="str">
        <f t="shared" si="112"/>
        <v>Prediabetes</v>
      </c>
      <c r="L1744">
        <v>25</v>
      </c>
      <c r="M1744" t="s">
        <v>2362</v>
      </c>
      <c r="N1744">
        <v>1963</v>
      </c>
      <c r="O1744" s="8">
        <f t="shared" si="110"/>
        <v>23187</v>
      </c>
      <c r="P1744" s="10">
        <v>16587.96</v>
      </c>
      <c r="Q1744" t="s">
        <v>2357</v>
      </c>
      <c r="R1744" t="s">
        <v>2357</v>
      </c>
      <c r="S1744" t="s">
        <v>2375</v>
      </c>
      <c r="T1744">
        <f t="shared" ca="1" si="111"/>
        <v>63</v>
      </c>
      <c r="U1744">
        <f>VLOOKUP($A1744,'Medical Examination'!$A:$Z,2,FALSE)</f>
        <v>29.8</v>
      </c>
    </row>
    <row r="1745" spans="1:21" ht="15.5" x14ac:dyDescent="0.35">
      <c r="A1745" s="2" t="s">
        <v>1745</v>
      </c>
      <c r="B1745" s="2" t="s">
        <v>4802</v>
      </c>
      <c r="C1745">
        <v>31.54</v>
      </c>
      <c r="D1745">
        <v>4.71</v>
      </c>
      <c r="E1745" t="s">
        <v>2344</v>
      </c>
      <c r="F1745" t="s">
        <v>2344</v>
      </c>
      <c r="G1745" t="s">
        <v>2344</v>
      </c>
      <c r="H1745">
        <v>0</v>
      </c>
      <c r="I1745" t="s">
        <v>2344</v>
      </c>
      <c r="J1745" t="str">
        <f t="shared" si="109"/>
        <v>Obesity</v>
      </c>
      <c r="K1745" t="str">
        <f t="shared" si="112"/>
        <v>Normal</v>
      </c>
      <c r="L1745">
        <v>10</v>
      </c>
      <c r="M1745" t="s">
        <v>2356</v>
      </c>
      <c r="N1745">
        <v>1970</v>
      </c>
      <c r="O1745" s="8">
        <f t="shared" si="110"/>
        <v>25759</v>
      </c>
      <c r="P1745" s="10">
        <v>16600.16</v>
      </c>
      <c r="Q1745" t="s">
        <v>2357</v>
      </c>
      <c r="R1745" t="s">
        <v>2357</v>
      </c>
      <c r="S1745" t="s">
        <v>2368</v>
      </c>
      <c r="T1745">
        <f t="shared" ca="1" si="111"/>
        <v>56</v>
      </c>
      <c r="U1745">
        <f>VLOOKUP($A1745,'Medical Examination'!$A:$Z,2,FALSE)</f>
        <v>31.54</v>
      </c>
    </row>
    <row r="1746" spans="1:21" ht="15.5" x14ac:dyDescent="0.35">
      <c r="A1746" s="2" t="s">
        <v>1746</v>
      </c>
      <c r="B1746" s="2" t="s">
        <v>3577</v>
      </c>
      <c r="C1746">
        <v>20.82</v>
      </c>
      <c r="D1746">
        <v>5.55</v>
      </c>
      <c r="E1746" t="s">
        <v>2344</v>
      </c>
      <c r="F1746" t="s">
        <v>2344</v>
      </c>
      <c r="G1746" t="s">
        <v>2344</v>
      </c>
      <c r="H1746">
        <v>1</v>
      </c>
      <c r="I1746" t="s">
        <v>2344</v>
      </c>
      <c r="J1746" t="str">
        <f t="shared" si="109"/>
        <v>Normal Weight</v>
      </c>
      <c r="K1746" t="str">
        <f t="shared" si="112"/>
        <v>Normal</v>
      </c>
      <c r="L1746">
        <v>24</v>
      </c>
      <c r="M1746" t="s">
        <v>2356</v>
      </c>
      <c r="N1746">
        <v>1975</v>
      </c>
      <c r="O1746" s="8">
        <f t="shared" si="110"/>
        <v>27599</v>
      </c>
      <c r="P1746" s="10">
        <v>16602.18</v>
      </c>
      <c r="Q1746" t="s">
        <v>2357</v>
      </c>
      <c r="R1746" t="s">
        <v>2361</v>
      </c>
      <c r="S1746" t="s">
        <v>2380</v>
      </c>
      <c r="T1746">
        <f t="shared" ca="1" si="111"/>
        <v>51</v>
      </c>
      <c r="U1746">
        <f>VLOOKUP($A1746,'Medical Examination'!$A:$Z,2,FALSE)</f>
        <v>20.82</v>
      </c>
    </row>
    <row r="1747" spans="1:21" ht="15.5" x14ac:dyDescent="0.35">
      <c r="A1747" s="2" t="s">
        <v>1747</v>
      </c>
      <c r="B1747" s="2" t="s">
        <v>4803</v>
      </c>
      <c r="C1747">
        <v>38.83</v>
      </c>
      <c r="D1747">
        <v>4.78</v>
      </c>
      <c r="E1747" t="s">
        <v>2344</v>
      </c>
      <c r="F1747" t="s">
        <v>2344</v>
      </c>
      <c r="G1747" t="s">
        <v>2346</v>
      </c>
      <c r="H1747">
        <v>1</v>
      </c>
      <c r="I1747" t="s">
        <v>2344</v>
      </c>
      <c r="J1747" t="str">
        <f t="shared" si="109"/>
        <v>Obesity</v>
      </c>
      <c r="K1747" t="str">
        <f t="shared" si="112"/>
        <v>Normal</v>
      </c>
      <c r="L1747">
        <v>25</v>
      </c>
      <c r="M1747" t="s">
        <v>2363</v>
      </c>
      <c r="N1747">
        <v>1977</v>
      </c>
      <c r="O1747" s="8">
        <f t="shared" si="110"/>
        <v>28393</v>
      </c>
      <c r="P1747" s="10">
        <v>16631.61</v>
      </c>
      <c r="Q1747" t="s">
        <v>2357</v>
      </c>
      <c r="R1747" t="s">
        <v>2361</v>
      </c>
      <c r="S1747" t="s">
        <v>2364</v>
      </c>
      <c r="T1747">
        <f t="shared" ca="1" si="111"/>
        <v>49</v>
      </c>
      <c r="U1747">
        <f>VLOOKUP($A1747,'Medical Examination'!$A:$Z,2,FALSE)</f>
        <v>38.83</v>
      </c>
    </row>
    <row r="1748" spans="1:21" ht="15.5" x14ac:dyDescent="0.35">
      <c r="A1748" s="2" t="s">
        <v>1748</v>
      </c>
      <c r="B1748" s="2" t="s">
        <v>4804</v>
      </c>
      <c r="C1748">
        <v>23.44</v>
      </c>
      <c r="D1748">
        <v>4.6500000000000004</v>
      </c>
      <c r="E1748" t="s">
        <v>2346</v>
      </c>
      <c r="F1748" t="s">
        <v>2344</v>
      </c>
      <c r="G1748" t="s">
        <v>2344</v>
      </c>
      <c r="H1748">
        <v>1</v>
      </c>
      <c r="I1748" t="s">
        <v>2344</v>
      </c>
      <c r="J1748" t="str">
        <f t="shared" si="109"/>
        <v>Normal Weight</v>
      </c>
      <c r="K1748" t="str">
        <f t="shared" si="112"/>
        <v>Normal</v>
      </c>
      <c r="L1748">
        <v>5</v>
      </c>
      <c r="M1748" t="s">
        <v>2360</v>
      </c>
      <c r="N1748">
        <v>1993</v>
      </c>
      <c r="O1748" s="8">
        <f t="shared" si="110"/>
        <v>34278</v>
      </c>
      <c r="P1748" s="10">
        <v>16657.72</v>
      </c>
      <c r="Q1748" t="s">
        <v>2357</v>
      </c>
      <c r="R1748" t="s">
        <v>2361</v>
      </c>
      <c r="S1748" t="s">
        <v>2374</v>
      </c>
      <c r="T1748">
        <f t="shared" ca="1" si="111"/>
        <v>33</v>
      </c>
      <c r="U1748">
        <f>VLOOKUP($A1748,'Medical Examination'!$A:$Z,2,FALSE)</f>
        <v>23.44</v>
      </c>
    </row>
    <row r="1749" spans="1:21" ht="15.5" x14ac:dyDescent="0.35">
      <c r="A1749" s="2" t="s">
        <v>1749</v>
      </c>
      <c r="B1749" s="2" t="s">
        <v>4793</v>
      </c>
      <c r="C1749">
        <v>24.13</v>
      </c>
      <c r="D1749">
        <v>5.2</v>
      </c>
      <c r="E1749" t="s">
        <v>2344</v>
      </c>
      <c r="F1749" t="s">
        <v>2344</v>
      </c>
      <c r="G1749" t="s">
        <v>2344</v>
      </c>
      <c r="H1749">
        <v>1</v>
      </c>
      <c r="I1749" t="s">
        <v>2344</v>
      </c>
      <c r="J1749" t="str">
        <f t="shared" si="109"/>
        <v>Normal Weight</v>
      </c>
      <c r="K1749" t="str">
        <f t="shared" si="112"/>
        <v>Normal</v>
      </c>
      <c r="L1749">
        <v>28</v>
      </c>
      <c r="M1749" t="s">
        <v>2366</v>
      </c>
      <c r="N1749">
        <v>1974</v>
      </c>
      <c r="O1749" s="8">
        <f t="shared" si="110"/>
        <v>27269</v>
      </c>
      <c r="P1749" s="10">
        <v>16770.990000000002</v>
      </c>
      <c r="Q1749" t="s">
        <v>2357</v>
      </c>
      <c r="R1749" t="s">
        <v>2361</v>
      </c>
      <c r="S1749" t="s">
        <v>2364</v>
      </c>
      <c r="T1749">
        <f t="shared" ca="1" si="111"/>
        <v>52</v>
      </c>
      <c r="U1749">
        <f>VLOOKUP($A1749,'Medical Examination'!$A:$Z,2,FALSE)</f>
        <v>24.13</v>
      </c>
    </row>
    <row r="1750" spans="1:21" ht="15.5" x14ac:dyDescent="0.35">
      <c r="A1750" s="2" t="s">
        <v>1750</v>
      </c>
      <c r="B1750" s="2" t="s">
        <v>4806</v>
      </c>
      <c r="C1750">
        <v>42.13</v>
      </c>
      <c r="D1750">
        <v>4.54</v>
      </c>
      <c r="E1750" t="s">
        <v>2346</v>
      </c>
      <c r="F1750" t="s">
        <v>2344</v>
      </c>
      <c r="G1750" t="s">
        <v>2344</v>
      </c>
      <c r="H1750">
        <v>1</v>
      </c>
      <c r="I1750" t="s">
        <v>2344</v>
      </c>
      <c r="J1750" t="str">
        <f t="shared" si="109"/>
        <v>Obesity</v>
      </c>
      <c r="K1750" t="str">
        <f t="shared" si="112"/>
        <v>Normal</v>
      </c>
      <c r="L1750">
        <v>23</v>
      </c>
      <c r="M1750" t="s">
        <v>2363</v>
      </c>
      <c r="N1750">
        <v>1989</v>
      </c>
      <c r="O1750" s="8">
        <f t="shared" si="110"/>
        <v>32774</v>
      </c>
      <c r="P1750" s="10">
        <v>16776.3</v>
      </c>
      <c r="Q1750" t="s">
        <v>2357</v>
      </c>
      <c r="R1750" t="s">
        <v>2357</v>
      </c>
      <c r="S1750" t="s">
        <v>2374</v>
      </c>
      <c r="T1750">
        <f t="shared" ca="1" si="111"/>
        <v>37</v>
      </c>
      <c r="U1750">
        <f>VLOOKUP($A1750,'Medical Examination'!$A:$Z,2,FALSE)</f>
        <v>42.13</v>
      </c>
    </row>
    <row r="1751" spans="1:21" ht="15.5" x14ac:dyDescent="0.35">
      <c r="A1751" s="2" t="s">
        <v>1751</v>
      </c>
      <c r="B1751" s="2" t="s">
        <v>4037</v>
      </c>
      <c r="C1751">
        <v>17.86</v>
      </c>
      <c r="D1751">
        <v>4.1100000000000003</v>
      </c>
      <c r="E1751" t="s">
        <v>2344</v>
      </c>
      <c r="F1751" t="s">
        <v>2344</v>
      </c>
      <c r="G1751" t="s">
        <v>2344</v>
      </c>
      <c r="H1751">
        <v>1</v>
      </c>
      <c r="I1751" t="s">
        <v>2344</v>
      </c>
      <c r="J1751" t="str">
        <f t="shared" si="109"/>
        <v>Under Weight</v>
      </c>
      <c r="K1751" t="str">
        <f t="shared" si="112"/>
        <v>Normal</v>
      </c>
      <c r="L1751">
        <v>29</v>
      </c>
      <c r="M1751" t="s">
        <v>2356</v>
      </c>
      <c r="N1751">
        <v>1962</v>
      </c>
      <c r="O1751" s="8">
        <f t="shared" si="110"/>
        <v>22856</v>
      </c>
      <c r="P1751" s="10">
        <v>16779.400000000001</v>
      </c>
      <c r="Q1751" t="s">
        <v>2357</v>
      </c>
      <c r="R1751" t="s">
        <v>2357</v>
      </c>
      <c r="S1751" t="s">
        <v>2380</v>
      </c>
      <c r="T1751">
        <f t="shared" ca="1" si="111"/>
        <v>64</v>
      </c>
      <c r="U1751">
        <f>VLOOKUP($A1751,'Medical Examination'!$A:$Z,2,FALSE)</f>
        <v>17.86</v>
      </c>
    </row>
    <row r="1752" spans="1:21" ht="15.5" x14ac:dyDescent="0.35">
      <c r="A1752" s="2" t="s">
        <v>1752</v>
      </c>
      <c r="B1752" s="2" t="s">
        <v>4807</v>
      </c>
      <c r="C1752">
        <v>32.78</v>
      </c>
      <c r="D1752">
        <v>4.63</v>
      </c>
      <c r="E1752" t="s">
        <v>2344</v>
      </c>
      <c r="F1752" t="s">
        <v>2344</v>
      </c>
      <c r="G1752" t="s">
        <v>2344</v>
      </c>
      <c r="H1752">
        <v>0</v>
      </c>
      <c r="I1752" t="s">
        <v>2344</v>
      </c>
      <c r="J1752" t="str">
        <f t="shared" si="109"/>
        <v>Obesity</v>
      </c>
      <c r="K1752" t="str">
        <f t="shared" si="112"/>
        <v>Normal</v>
      </c>
      <c r="L1752">
        <v>19</v>
      </c>
      <c r="M1752" t="s">
        <v>2367</v>
      </c>
      <c r="N1752">
        <v>1995</v>
      </c>
      <c r="O1752" s="8">
        <f t="shared" si="110"/>
        <v>34991</v>
      </c>
      <c r="P1752" s="10">
        <v>16796.41</v>
      </c>
      <c r="Q1752" t="s">
        <v>2357</v>
      </c>
      <c r="R1752" t="s">
        <v>2358</v>
      </c>
      <c r="S1752" t="s">
        <v>2374</v>
      </c>
      <c r="T1752">
        <f t="shared" ca="1" si="111"/>
        <v>31</v>
      </c>
      <c r="U1752">
        <f>VLOOKUP($A1752,'Medical Examination'!$A:$Z,2,FALSE)</f>
        <v>32.78</v>
      </c>
    </row>
    <row r="1753" spans="1:21" ht="15.5" x14ac:dyDescent="0.35">
      <c r="A1753" s="2" t="s">
        <v>1753</v>
      </c>
      <c r="B1753" s="2" t="s">
        <v>4808</v>
      </c>
      <c r="C1753">
        <v>23.9</v>
      </c>
      <c r="D1753">
        <v>6.06</v>
      </c>
      <c r="E1753" t="s">
        <v>2346</v>
      </c>
      <c r="F1753" t="s">
        <v>2344</v>
      </c>
      <c r="G1753" t="s">
        <v>2346</v>
      </c>
      <c r="H1753">
        <v>1</v>
      </c>
      <c r="I1753" t="s">
        <v>2344</v>
      </c>
      <c r="J1753" t="str">
        <f t="shared" si="109"/>
        <v>Normal Weight</v>
      </c>
      <c r="K1753" t="str">
        <f t="shared" si="112"/>
        <v>Prediabetes</v>
      </c>
      <c r="L1753">
        <v>8</v>
      </c>
      <c r="M1753" t="s">
        <v>2366</v>
      </c>
      <c r="N1753">
        <v>1974</v>
      </c>
      <c r="O1753" s="8">
        <f t="shared" si="110"/>
        <v>27249</v>
      </c>
      <c r="P1753" s="10">
        <v>16841.32</v>
      </c>
      <c r="Q1753" t="s">
        <v>2357</v>
      </c>
      <c r="R1753" t="s">
        <v>2358</v>
      </c>
      <c r="S1753" t="s">
        <v>2368</v>
      </c>
      <c r="T1753">
        <f t="shared" ca="1" si="111"/>
        <v>52</v>
      </c>
      <c r="U1753">
        <f>VLOOKUP($A1753,'Medical Examination'!$A:$Z,2,FALSE)</f>
        <v>23.9</v>
      </c>
    </row>
    <row r="1754" spans="1:21" ht="15.5" x14ac:dyDescent="0.35">
      <c r="A1754" s="2" t="s">
        <v>1754</v>
      </c>
      <c r="B1754" s="2" t="s">
        <v>4809</v>
      </c>
      <c r="C1754">
        <v>15.47</v>
      </c>
      <c r="D1754">
        <v>8.43</v>
      </c>
      <c r="E1754" t="s">
        <v>2344</v>
      </c>
      <c r="F1754" t="s">
        <v>2344</v>
      </c>
      <c r="G1754" t="s">
        <v>2344</v>
      </c>
      <c r="H1754">
        <v>0</v>
      </c>
      <c r="I1754" t="s">
        <v>2344</v>
      </c>
      <c r="J1754" t="str">
        <f t="shared" si="109"/>
        <v>Under Weight</v>
      </c>
      <c r="K1754" t="str">
        <f t="shared" si="112"/>
        <v>Diabetes</v>
      </c>
      <c r="L1754">
        <v>10</v>
      </c>
      <c r="M1754" t="s">
        <v>2363</v>
      </c>
      <c r="N1754">
        <v>2003</v>
      </c>
      <c r="O1754" s="8">
        <f t="shared" si="110"/>
        <v>37874</v>
      </c>
      <c r="P1754" s="10">
        <v>16884.919999999998</v>
      </c>
      <c r="Q1754" t="s">
        <v>2357</v>
      </c>
      <c r="R1754" t="s">
        <v>2357</v>
      </c>
      <c r="S1754" t="s">
        <v>2368</v>
      </c>
      <c r="T1754">
        <f t="shared" ca="1" si="111"/>
        <v>23</v>
      </c>
      <c r="U1754">
        <f>VLOOKUP($A1754,'Medical Examination'!$A:$Z,2,FALSE)</f>
        <v>15.47</v>
      </c>
    </row>
    <row r="1755" spans="1:21" ht="15.5" x14ac:dyDescent="0.35">
      <c r="A1755" s="2" t="s">
        <v>1755</v>
      </c>
      <c r="B1755" s="2" t="s">
        <v>3395</v>
      </c>
      <c r="C1755">
        <v>28.54</v>
      </c>
      <c r="D1755">
        <v>5.51</v>
      </c>
      <c r="E1755" t="s">
        <v>2344</v>
      </c>
      <c r="F1755" t="s">
        <v>2344</v>
      </c>
      <c r="G1755" t="s">
        <v>2346</v>
      </c>
      <c r="H1755">
        <v>1</v>
      </c>
      <c r="I1755" t="s">
        <v>2344</v>
      </c>
      <c r="J1755" t="str">
        <f t="shared" si="109"/>
        <v>Over weight</v>
      </c>
      <c r="K1755" t="str">
        <f t="shared" si="112"/>
        <v>Normal</v>
      </c>
      <c r="L1755">
        <v>21</v>
      </c>
      <c r="M1755" t="s">
        <v>2367</v>
      </c>
      <c r="N1755">
        <v>1968</v>
      </c>
      <c r="O1755" s="8">
        <f t="shared" si="110"/>
        <v>25132</v>
      </c>
      <c r="P1755" s="10">
        <v>16903.5</v>
      </c>
      <c r="Q1755" t="s">
        <v>2357</v>
      </c>
      <c r="R1755" t="s">
        <v>2358</v>
      </c>
      <c r="S1755" t="s">
        <v>2364</v>
      </c>
      <c r="T1755">
        <f t="shared" ca="1" si="111"/>
        <v>58</v>
      </c>
      <c r="U1755">
        <f>VLOOKUP($A1755,'Medical Examination'!$A:$Z,2,FALSE)</f>
        <v>28.54</v>
      </c>
    </row>
    <row r="1756" spans="1:21" ht="15.5" x14ac:dyDescent="0.35">
      <c r="A1756" s="2" t="s">
        <v>1756</v>
      </c>
      <c r="B1756" s="2" t="s">
        <v>4810</v>
      </c>
      <c r="C1756">
        <v>18.54</v>
      </c>
      <c r="D1756">
        <v>4.95</v>
      </c>
      <c r="E1756" t="s">
        <v>2344</v>
      </c>
      <c r="F1756" t="s">
        <v>2344</v>
      </c>
      <c r="G1756" t="s">
        <v>2344</v>
      </c>
      <c r="H1756">
        <v>0</v>
      </c>
      <c r="I1756" t="s">
        <v>2344</v>
      </c>
      <c r="J1756" t="str">
        <f t="shared" si="109"/>
        <v>Normal Weight</v>
      </c>
      <c r="K1756" t="str">
        <f t="shared" si="112"/>
        <v>Normal</v>
      </c>
      <c r="L1756">
        <v>25</v>
      </c>
      <c r="M1756" t="s">
        <v>2366</v>
      </c>
      <c r="N1756">
        <v>1977</v>
      </c>
      <c r="O1756" s="8">
        <f t="shared" si="110"/>
        <v>28362</v>
      </c>
      <c r="P1756" s="10">
        <v>16921.09</v>
      </c>
      <c r="Q1756" t="s">
        <v>2357</v>
      </c>
      <c r="R1756" t="s">
        <v>2358</v>
      </c>
      <c r="S1756" t="s">
        <v>2375</v>
      </c>
      <c r="T1756">
        <f t="shared" ca="1" si="111"/>
        <v>49</v>
      </c>
      <c r="U1756">
        <f>VLOOKUP($A1756,'Medical Examination'!$A:$Z,2,FALSE)</f>
        <v>18.54</v>
      </c>
    </row>
    <row r="1757" spans="1:21" ht="15.5" x14ac:dyDescent="0.35">
      <c r="A1757" s="2" t="s">
        <v>1757</v>
      </c>
      <c r="B1757" s="2" t="s">
        <v>4811</v>
      </c>
      <c r="C1757">
        <v>32.18</v>
      </c>
      <c r="D1757">
        <v>6.44</v>
      </c>
      <c r="E1757" t="s">
        <v>2346</v>
      </c>
      <c r="F1757" t="s">
        <v>2344</v>
      </c>
      <c r="G1757" t="s">
        <v>2346</v>
      </c>
      <c r="H1757">
        <v>1</v>
      </c>
      <c r="I1757" t="s">
        <v>2344</v>
      </c>
      <c r="J1757" t="str">
        <f t="shared" si="109"/>
        <v>Obesity</v>
      </c>
      <c r="K1757" t="str">
        <f t="shared" si="112"/>
        <v>Prediabetes</v>
      </c>
      <c r="L1757">
        <v>16</v>
      </c>
      <c r="M1757" t="s">
        <v>2356</v>
      </c>
      <c r="N1757">
        <v>1980</v>
      </c>
      <c r="O1757" s="8">
        <f t="shared" si="110"/>
        <v>29418</v>
      </c>
      <c r="P1757" s="10">
        <v>16990.55</v>
      </c>
      <c r="Q1757" t="s">
        <v>2357</v>
      </c>
      <c r="R1757" t="s">
        <v>2358</v>
      </c>
      <c r="S1757" t="s">
        <v>2364</v>
      </c>
      <c r="T1757">
        <f t="shared" ca="1" si="111"/>
        <v>46</v>
      </c>
      <c r="U1757">
        <f>VLOOKUP($A1757,'Medical Examination'!$A:$Z,2,FALSE)</f>
        <v>32.18</v>
      </c>
    </row>
    <row r="1758" spans="1:21" ht="15.5" x14ac:dyDescent="0.35">
      <c r="A1758" s="2" t="s">
        <v>1758</v>
      </c>
      <c r="B1758" s="2" t="s">
        <v>2862</v>
      </c>
      <c r="C1758">
        <v>37.380000000000003</v>
      </c>
      <c r="D1758">
        <v>6.05</v>
      </c>
      <c r="E1758" t="s">
        <v>2346</v>
      </c>
      <c r="F1758" t="s">
        <v>2344</v>
      </c>
      <c r="G1758" t="s">
        <v>2344</v>
      </c>
      <c r="H1758">
        <v>0</v>
      </c>
      <c r="I1758" t="s">
        <v>2344</v>
      </c>
      <c r="J1758" t="str">
        <f t="shared" si="109"/>
        <v>Obesity</v>
      </c>
      <c r="K1758" t="str">
        <f t="shared" si="112"/>
        <v>Prediabetes</v>
      </c>
      <c r="L1758">
        <v>22</v>
      </c>
      <c r="M1758" t="s">
        <v>2366</v>
      </c>
      <c r="N1758">
        <v>1971</v>
      </c>
      <c r="O1758" s="8">
        <f t="shared" si="110"/>
        <v>26167</v>
      </c>
      <c r="P1758" s="10">
        <v>17016.009999999998</v>
      </c>
      <c r="Q1758" t="s">
        <v>2357</v>
      </c>
      <c r="R1758" t="s">
        <v>2357</v>
      </c>
      <c r="S1758" t="s">
        <v>2375</v>
      </c>
      <c r="T1758">
        <f t="shared" ca="1" si="111"/>
        <v>55</v>
      </c>
      <c r="U1758">
        <f>VLOOKUP($A1758,'Medical Examination'!$A:$Z,2,FALSE)</f>
        <v>37.380000000000003</v>
      </c>
    </row>
    <row r="1759" spans="1:21" ht="15.5" x14ac:dyDescent="0.35">
      <c r="A1759" s="2" t="s">
        <v>1759</v>
      </c>
      <c r="B1759" s="2" t="s">
        <v>4813</v>
      </c>
      <c r="C1759">
        <v>31.12</v>
      </c>
      <c r="D1759">
        <v>4.76</v>
      </c>
      <c r="E1759" t="s">
        <v>2346</v>
      </c>
      <c r="F1759" t="s">
        <v>2344</v>
      </c>
      <c r="G1759" t="s">
        <v>2346</v>
      </c>
      <c r="H1759">
        <v>1</v>
      </c>
      <c r="I1759" t="s">
        <v>2344</v>
      </c>
      <c r="J1759" t="str">
        <f t="shared" si="109"/>
        <v>Obesity</v>
      </c>
      <c r="K1759" t="str">
        <f t="shared" si="112"/>
        <v>Normal</v>
      </c>
      <c r="L1759">
        <v>10</v>
      </c>
      <c r="M1759" t="s">
        <v>2362</v>
      </c>
      <c r="N1759">
        <v>1996</v>
      </c>
      <c r="O1759" s="8">
        <f t="shared" si="110"/>
        <v>35226</v>
      </c>
      <c r="P1759" s="10">
        <v>17043.34</v>
      </c>
      <c r="Q1759" t="s">
        <v>2357</v>
      </c>
      <c r="R1759" t="s">
        <v>2358</v>
      </c>
      <c r="S1759" t="s">
        <v>2359</v>
      </c>
      <c r="T1759">
        <f t="shared" ca="1" si="111"/>
        <v>30</v>
      </c>
      <c r="U1759">
        <f>VLOOKUP($A1759,'Medical Examination'!$A:$Z,2,FALSE)</f>
        <v>31.12</v>
      </c>
    </row>
    <row r="1760" spans="1:21" ht="15.5" x14ac:dyDescent="0.35">
      <c r="A1760" s="2" t="s">
        <v>1760</v>
      </c>
      <c r="B1760" s="2" t="s">
        <v>4816</v>
      </c>
      <c r="C1760">
        <v>22.01</v>
      </c>
      <c r="D1760">
        <v>6.72</v>
      </c>
      <c r="E1760" t="s">
        <v>2346</v>
      </c>
      <c r="F1760" t="s">
        <v>2344</v>
      </c>
      <c r="G1760" t="s">
        <v>2344</v>
      </c>
      <c r="H1760">
        <v>1</v>
      </c>
      <c r="I1760" t="s">
        <v>2344</v>
      </c>
      <c r="J1760" t="str">
        <f t="shared" si="109"/>
        <v>Normal Weight</v>
      </c>
      <c r="K1760" t="str">
        <f t="shared" si="112"/>
        <v>Diabetes</v>
      </c>
      <c r="L1760">
        <v>26</v>
      </c>
      <c r="M1760" t="s">
        <v>2365</v>
      </c>
      <c r="N1760">
        <v>2003</v>
      </c>
      <c r="O1760" s="8">
        <f t="shared" si="110"/>
        <v>37981</v>
      </c>
      <c r="P1760" s="10">
        <v>17081.080000000002</v>
      </c>
      <c r="Q1760" t="s">
        <v>2357</v>
      </c>
      <c r="R1760" t="s">
        <v>2357</v>
      </c>
      <c r="S1760" t="s">
        <v>2368</v>
      </c>
      <c r="T1760">
        <f t="shared" ca="1" si="111"/>
        <v>23</v>
      </c>
      <c r="U1760">
        <f>VLOOKUP($A1760,'Medical Examination'!$A:$Z,2,FALSE)</f>
        <v>22.01</v>
      </c>
    </row>
    <row r="1761" spans="1:21" ht="15.5" x14ac:dyDescent="0.35">
      <c r="A1761" s="2" t="s">
        <v>1761</v>
      </c>
      <c r="B1761" s="2" t="s">
        <v>4817</v>
      </c>
      <c r="C1761">
        <v>27.645</v>
      </c>
      <c r="D1761">
        <v>5.7</v>
      </c>
      <c r="E1761" t="s">
        <v>2344</v>
      </c>
      <c r="F1761" t="s">
        <v>2344</v>
      </c>
      <c r="G1761" t="s">
        <v>2344</v>
      </c>
      <c r="H1761">
        <v>0</v>
      </c>
      <c r="I1761" t="s">
        <v>2344</v>
      </c>
      <c r="J1761" t="str">
        <f t="shared" si="109"/>
        <v>Over weight</v>
      </c>
      <c r="K1761" t="str">
        <f t="shared" si="112"/>
        <v>Prediabetes</v>
      </c>
      <c r="L1761">
        <v>28</v>
      </c>
      <c r="M1761" t="s">
        <v>2362</v>
      </c>
      <c r="N1761">
        <v>2002</v>
      </c>
      <c r="O1761" s="8">
        <f t="shared" si="110"/>
        <v>37435</v>
      </c>
      <c r="P1761" s="10">
        <v>17085.27</v>
      </c>
      <c r="Q1761" t="s">
        <v>2357</v>
      </c>
      <c r="R1761" t="s">
        <v>2358</v>
      </c>
      <c r="S1761" t="s">
        <v>2359</v>
      </c>
      <c r="T1761">
        <f t="shared" ca="1" si="111"/>
        <v>24</v>
      </c>
      <c r="U1761">
        <f>VLOOKUP($A1761,'Medical Examination'!$A:$Z,2,FALSE)</f>
        <v>27.645</v>
      </c>
    </row>
    <row r="1762" spans="1:21" ht="15.5" x14ac:dyDescent="0.35">
      <c r="A1762" s="2" t="s">
        <v>1762</v>
      </c>
      <c r="B1762" s="2" t="s">
        <v>4819</v>
      </c>
      <c r="C1762">
        <v>29.64</v>
      </c>
      <c r="D1762">
        <v>5.31</v>
      </c>
      <c r="E1762" t="s">
        <v>2346</v>
      </c>
      <c r="F1762" t="s">
        <v>2344</v>
      </c>
      <c r="G1762" t="s">
        <v>2344</v>
      </c>
      <c r="H1762">
        <v>0</v>
      </c>
      <c r="I1762" t="s">
        <v>2344</v>
      </c>
      <c r="J1762" t="str">
        <f t="shared" si="109"/>
        <v>Over weight</v>
      </c>
      <c r="K1762" t="str">
        <f t="shared" si="112"/>
        <v>Normal</v>
      </c>
      <c r="L1762">
        <v>3</v>
      </c>
      <c r="M1762" t="s">
        <v>2362</v>
      </c>
      <c r="N1762">
        <v>1998</v>
      </c>
      <c r="O1762" s="8">
        <f t="shared" si="110"/>
        <v>35949</v>
      </c>
      <c r="P1762" s="10">
        <v>17128.43</v>
      </c>
      <c r="Q1762" t="s">
        <v>2357</v>
      </c>
      <c r="R1762" t="s">
        <v>2358</v>
      </c>
      <c r="S1762" t="s">
        <v>2371</v>
      </c>
      <c r="T1762">
        <f t="shared" ca="1" si="111"/>
        <v>28</v>
      </c>
      <c r="U1762">
        <f>VLOOKUP($A1762,'Medical Examination'!$A:$Z,2,FALSE)</f>
        <v>29.64</v>
      </c>
    </row>
    <row r="1763" spans="1:21" ht="15.5" x14ac:dyDescent="0.35">
      <c r="A1763" s="2" t="s">
        <v>1763</v>
      </c>
      <c r="B1763" s="2" t="s">
        <v>4820</v>
      </c>
      <c r="C1763">
        <v>33.700000000000003</v>
      </c>
      <c r="D1763">
        <v>4.32</v>
      </c>
      <c r="E1763" t="s">
        <v>2346</v>
      </c>
      <c r="F1763" t="s">
        <v>2344</v>
      </c>
      <c r="G1763" t="s">
        <v>2344</v>
      </c>
      <c r="H1763">
        <v>1</v>
      </c>
      <c r="I1763" t="s">
        <v>2344</v>
      </c>
      <c r="J1763" t="str">
        <f t="shared" si="109"/>
        <v>Obesity</v>
      </c>
      <c r="K1763" t="str">
        <f t="shared" si="112"/>
        <v>Normal</v>
      </c>
      <c r="L1763">
        <v>16</v>
      </c>
      <c r="M1763" t="s">
        <v>2363</v>
      </c>
      <c r="N1763">
        <v>1965</v>
      </c>
      <c r="O1763" s="8">
        <f t="shared" si="110"/>
        <v>24001</v>
      </c>
      <c r="P1763" s="10">
        <v>17172.27</v>
      </c>
      <c r="Q1763" t="s">
        <v>2357</v>
      </c>
      <c r="R1763" t="s">
        <v>2357</v>
      </c>
      <c r="S1763" t="s">
        <v>2380</v>
      </c>
      <c r="T1763">
        <f t="shared" ca="1" si="111"/>
        <v>61</v>
      </c>
      <c r="U1763">
        <f>VLOOKUP($A1763,'Medical Examination'!$A:$Z,2,FALSE)</f>
        <v>33.700000000000003</v>
      </c>
    </row>
    <row r="1764" spans="1:21" ht="15.5" x14ac:dyDescent="0.35">
      <c r="A1764" s="2" t="s">
        <v>1764</v>
      </c>
      <c r="B1764" s="2" t="s">
        <v>4821</v>
      </c>
      <c r="C1764">
        <v>27.5</v>
      </c>
      <c r="D1764">
        <v>4.2300000000000004</v>
      </c>
      <c r="E1764" t="s">
        <v>2346</v>
      </c>
      <c r="F1764" t="s">
        <v>2344</v>
      </c>
      <c r="G1764" t="s">
        <v>2344</v>
      </c>
      <c r="H1764">
        <v>1</v>
      </c>
      <c r="I1764" t="s">
        <v>2344</v>
      </c>
      <c r="J1764" t="str">
        <f t="shared" si="109"/>
        <v>Over weight</v>
      </c>
      <c r="K1764" t="str">
        <f t="shared" si="112"/>
        <v>Normal</v>
      </c>
      <c r="L1764">
        <v>7</v>
      </c>
      <c r="M1764" t="s">
        <v>2362</v>
      </c>
      <c r="N1764">
        <v>1964</v>
      </c>
      <c r="O1764" s="8">
        <f t="shared" si="110"/>
        <v>23535</v>
      </c>
      <c r="P1764" s="10">
        <v>17174.52</v>
      </c>
      <c r="Q1764" t="s">
        <v>2357</v>
      </c>
      <c r="R1764" t="s">
        <v>2357</v>
      </c>
      <c r="S1764" t="s">
        <v>2364</v>
      </c>
      <c r="T1764">
        <f t="shared" ca="1" si="111"/>
        <v>62</v>
      </c>
      <c r="U1764">
        <f>VLOOKUP($A1764,'Medical Examination'!$A:$Z,2,FALSE)</f>
        <v>27.5</v>
      </c>
    </row>
    <row r="1765" spans="1:21" ht="15.5" x14ac:dyDescent="0.35">
      <c r="A1765" s="2" t="s">
        <v>1765</v>
      </c>
      <c r="B1765" s="2" t="s">
        <v>2843</v>
      </c>
      <c r="C1765">
        <v>16.12</v>
      </c>
      <c r="D1765">
        <v>6.09</v>
      </c>
      <c r="E1765" t="s">
        <v>2344</v>
      </c>
      <c r="F1765" t="s">
        <v>2344</v>
      </c>
      <c r="G1765" t="s">
        <v>2344</v>
      </c>
      <c r="H1765">
        <v>0</v>
      </c>
      <c r="I1765" t="s">
        <v>2344</v>
      </c>
      <c r="J1765" t="str">
        <f t="shared" si="109"/>
        <v>Under Weight</v>
      </c>
      <c r="K1765" t="str">
        <f t="shared" si="112"/>
        <v>Prediabetes</v>
      </c>
      <c r="L1765">
        <v>18</v>
      </c>
      <c r="M1765" t="s">
        <v>2366</v>
      </c>
      <c r="N1765">
        <v>2004</v>
      </c>
      <c r="O1765" s="8">
        <f t="shared" si="110"/>
        <v>38217</v>
      </c>
      <c r="P1765" s="10">
        <v>17178.68</v>
      </c>
      <c r="Q1765" t="s">
        <v>2357</v>
      </c>
      <c r="R1765" t="s">
        <v>2357</v>
      </c>
      <c r="S1765" t="s">
        <v>2370</v>
      </c>
      <c r="T1765">
        <f t="shared" ca="1" si="111"/>
        <v>22</v>
      </c>
      <c r="U1765">
        <f>VLOOKUP($A1765,'Medical Examination'!$A:$Z,2,FALSE)</f>
        <v>16.12</v>
      </c>
    </row>
    <row r="1766" spans="1:21" ht="15.5" x14ac:dyDescent="0.35">
      <c r="A1766" s="2" t="s">
        <v>1766</v>
      </c>
      <c r="B1766" s="2" t="s">
        <v>4111</v>
      </c>
      <c r="C1766">
        <v>26.73</v>
      </c>
      <c r="D1766">
        <v>4.74</v>
      </c>
      <c r="E1766" t="s">
        <v>2346</v>
      </c>
      <c r="F1766" t="s">
        <v>2344</v>
      </c>
      <c r="G1766" t="s">
        <v>2344</v>
      </c>
      <c r="H1766">
        <v>1</v>
      </c>
      <c r="I1766" t="s">
        <v>2344</v>
      </c>
      <c r="J1766" t="str">
        <f t="shared" si="109"/>
        <v>Over weight</v>
      </c>
      <c r="K1766" t="str">
        <f t="shared" si="112"/>
        <v>Normal</v>
      </c>
      <c r="L1766">
        <v>22</v>
      </c>
      <c r="M1766" t="s">
        <v>2367</v>
      </c>
      <c r="N1766">
        <v>1982</v>
      </c>
      <c r="O1766" s="8">
        <f t="shared" si="110"/>
        <v>30246</v>
      </c>
      <c r="P1766" s="10">
        <v>17179.52</v>
      </c>
      <c r="Q1766" t="s">
        <v>2357</v>
      </c>
      <c r="R1766" t="s">
        <v>2361</v>
      </c>
      <c r="S1766" t="s">
        <v>2359</v>
      </c>
      <c r="T1766">
        <f t="shared" ca="1" si="111"/>
        <v>44</v>
      </c>
      <c r="U1766">
        <f>VLOOKUP($A1766,'Medical Examination'!$A:$Z,2,FALSE)</f>
        <v>26.73</v>
      </c>
    </row>
    <row r="1767" spans="1:21" ht="15.5" x14ac:dyDescent="0.35">
      <c r="A1767" s="2" t="s">
        <v>1767</v>
      </c>
      <c r="B1767" s="2" t="s">
        <v>4824</v>
      </c>
      <c r="C1767">
        <v>37.25</v>
      </c>
      <c r="D1767">
        <v>6.23</v>
      </c>
      <c r="E1767" t="s">
        <v>2346</v>
      </c>
      <c r="F1767" t="s">
        <v>2344</v>
      </c>
      <c r="G1767" t="s">
        <v>2344</v>
      </c>
      <c r="H1767">
        <v>0</v>
      </c>
      <c r="I1767" t="s">
        <v>2344</v>
      </c>
      <c r="J1767" t="str">
        <f t="shared" si="109"/>
        <v>Obesity</v>
      </c>
      <c r="K1767" t="str">
        <f t="shared" si="112"/>
        <v>Prediabetes</v>
      </c>
      <c r="L1767">
        <v>25</v>
      </c>
      <c r="M1767" t="s">
        <v>2366</v>
      </c>
      <c r="N1767">
        <v>1975</v>
      </c>
      <c r="O1767" s="8">
        <f t="shared" si="110"/>
        <v>27631</v>
      </c>
      <c r="P1767" s="10">
        <v>17253.43</v>
      </c>
      <c r="Q1767" t="s">
        <v>2357</v>
      </c>
      <c r="R1767" t="s">
        <v>2358</v>
      </c>
      <c r="S1767" t="s">
        <v>2380</v>
      </c>
      <c r="T1767">
        <f t="shared" ca="1" si="111"/>
        <v>51</v>
      </c>
      <c r="U1767">
        <f>VLOOKUP($A1767,'Medical Examination'!$A:$Z,2,FALSE)</f>
        <v>37.25</v>
      </c>
    </row>
    <row r="1768" spans="1:21" ht="15.5" x14ac:dyDescent="0.35">
      <c r="A1768" s="2" t="s">
        <v>1768</v>
      </c>
      <c r="B1768" s="2" t="s">
        <v>4825</v>
      </c>
      <c r="C1768">
        <v>23.56</v>
      </c>
      <c r="D1768">
        <v>5.45</v>
      </c>
      <c r="E1768" t="s">
        <v>2346</v>
      </c>
      <c r="F1768" t="s">
        <v>2344</v>
      </c>
      <c r="G1768" t="s">
        <v>2344</v>
      </c>
      <c r="H1768">
        <v>1</v>
      </c>
      <c r="I1768" t="s">
        <v>2344</v>
      </c>
      <c r="J1768" t="str">
        <f t="shared" si="109"/>
        <v>Normal Weight</v>
      </c>
      <c r="K1768" t="str">
        <f t="shared" si="112"/>
        <v>Normal</v>
      </c>
      <c r="L1768">
        <v>12</v>
      </c>
      <c r="M1768" t="s">
        <v>2356</v>
      </c>
      <c r="N1768">
        <v>1963</v>
      </c>
      <c r="O1768" s="8">
        <f t="shared" si="110"/>
        <v>23204</v>
      </c>
      <c r="P1768" s="10">
        <v>17337.580000000002</v>
      </c>
      <c r="Q1768" t="s">
        <v>2357</v>
      </c>
      <c r="R1768" t="s">
        <v>2358</v>
      </c>
      <c r="S1768" t="s">
        <v>2375</v>
      </c>
      <c r="T1768">
        <f t="shared" ca="1" si="111"/>
        <v>63</v>
      </c>
      <c r="U1768">
        <f>VLOOKUP($A1768,'Medical Examination'!$A:$Z,2,FALSE)</f>
        <v>23.56</v>
      </c>
    </row>
    <row r="1769" spans="1:21" ht="15.5" x14ac:dyDescent="0.35">
      <c r="A1769" s="2" t="s">
        <v>1769</v>
      </c>
      <c r="B1769" s="2" t="s">
        <v>4826</v>
      </c>
      <c r="C1769">
        <v>15.84</v>
      </c>
      <c r="D1769">
        <v>10.34</v>
      </c>
      <c r="E1769" t="s">
        <v>2344</v>
      </c>
      <c r="F1769" t="s">
        <v>2344</v>
      </c>
      <c r="G1769" t="s">
        <v>2344</v>
      </c>
      <c r="H1769">
        <v>1</v>
      </c>
      <c r="I1769" t="s">
        <v>2344</v>
      </c>
      <c r="J1769" t="str">
        <f t="shared" si="109"/>
        <v>Under Weight</v>
      </c>
      <c r="K1769" t="str">
        <f t="shared" si="112"/>
        <v>Diabetes</v>
      </c>
      <c r="L1769">
        <v>1</v>
      </c>
      <c r="M1769" t="s">
        <v>2360</v>
      </c>
      <c r="N1769">
        <v>2003</v>
      </c>
      <c r="O1769" s="8">
        <f t="shared" si="110"/>
        <v>37926</v>
      </c>
      <c r="P1769" s="10">
        <v>17352.68</v>
      </c>
      <c r="Q1769" t="s">
        <v>2357</v>
      </c>
      <c r="R1769" t="s">
        <v>2358</v>
      </c>
      <c r="S1769" t="s">
        <v>2364</v>
      </c>
      <c r="T1769">
        <f t="shared" ca="1" si="111"/>
        <v>23</v>
      </c>
      <c r="U1769">
        <f>VLOOKUP($A1769,'Medical Examination'!$A:$Z,2,FALSE)</f>
        <v>15.84</v>
      </c>
    </row>
    <row r="1770" spans="1:21" ht="15.5" x14ac:dyDescent="0.35">
      <c r="A1770" s="2" t="s">
        <v>1770</v>
      </c>
      <c r="B1770" s="2" t="s">
        <v>4827</v>
      </c>
      <c r="C1770">
        <v>36.630000000000003</v>
      </c>
      <c r="D1770">
        <v>5.15</v>
      </c>
      <c r="E1770" t="s">
        <v>2344</v>
      </c>
      <c r="F1770" t="s">
        <v>2344</v>
      </c>
      <c r="G1770" t="s">
        <v>2344</v>
      </c>
      <c r="H1770">
        <v>0</v>
      </c>
      <c r="I1770" t="s">
        <v>2344</v>
      </c>
      <c r="J1770" t="str">
        <f t="shared" si="109"/>
        <v>Obesity</v>
      </c>
      <c r="K1770" t="str">
        <f t="shared" si="112"/>
        <v>Normal</v>
      </c>
      <c r="L1770">
        <v>18</v>
      </c>
      <c r="M1770" t="s">
        <v>2367</v>
      </c>
      <c r="N1770">
        <v>1992</v>
      </c>
      <c r="O1770" s="8">
        <f t="shared" si="110"/>
        <v>33895</v>
      </c>
      <c r="P1770" s="10">
        <v>17361.77</v>
      </c>
      <c r="Q1770" t="s">
        <v>2357</v>
      </c>
      <c r="R1770" t="s">
        <v>2361</v>
      </c>
      <c r="S1770" t="s">
        <v>2364</v>
      </c>
      <c r="T1770">
        <f t="shared" ca="1" si="111"/>
        <v>34</v>
      </c>
      <c r="U1770">
        <f>VLOOKUP($A1770,'Medical Examination'!$A:$Z,2,FALSE)</f>
        <v>36.630000000000003</v>
      </c>
    </row>
    <row r="1771" spans="1:21" ht="15.5" x14ac:dyDescent="0.35">
      <c r="A1771" s="2" t="s">
        <v>1771</v>
      </c>
      <c r="B1771" s="2" t="s">
        <v>4828</v>
      </c>
      <c r="C1771">
        <v>16.47</v>
      </c>
      <c r="D1771">
        <v>11.72</v>
      </c>
      <c r="E1771" t="s">
        <v>2344</v>
      </c>
      <c r="F1771" t="s">
        <v>2344</v>
      </c>
      <c r="G1771" t="s">
        <v>2344</v>
      </c>
      <c r="H1771">
        <v>0</v>
      </c>
      <c r="I1771" t="s">
        <v>2344</v>
      </c>
      <c r="J1771" t="str">
        <f t="shared" si="109"/>
        <v>Under Weight</v>
      </c>
      <c r="K1771" t="str">
        <f t="shared" si="112"/>
        <v>Diabetes</v>
      </c>
      <c r="L1771">
        <v>2</v>
      </c>
      <c r="M1771" t="s">
        <v>2360</v>
      </c>
      <c r="N1771">
        <v>2003</v>
      </c>
      <c r="O1771" s="8">
        <f t="shared" si="110"/>
        <v>37927</v>
      </c>
      <c r="P1771" s="10">
        <v>17468.98</v>
      </c>
      <c r="Q1771" t="s">
        <v>2357</v>
      </c>
      <c r="R1771" t="s">
        <v>2361</v>
      </c>
      <c r="S1771" t="s">
        <v>2364</v>
      </c>
      <c r="T1771">
        <f t="shared" ca="1" si="111"/>
        <v>23</v>
      </c>
      <c r="U1771">
        <f>VLOOKUP($A1771,'Medical Examination'!$A:$Z,2,FALSE)</f>
        <v>16.47</v>
      </c>
    </row>
    <row r="1772" spans="1:21" ht="15.5" x14ac:dyDescent="0.35">
      <c r="A1772" s="2" t="s">
        <v>1772</v>
      </c>
      <c r="B1772" s="2" t="s">
        <v>4830</v>
      </c>
      <c r="C1772">
        <v>25.8</v>
      </c>
      <c r="D1772">
        <v>5.29</v>
      </c>
      <c r="E1772" t="s">
        <v>2344</v>
      </c>
      <c r="F1772" t="s">
        <v>2344</v>
      </c>
      <c r="G1772" t="s">
        <v>2344</v>
      </c>
      <c r="H1772">
        <v>0</v>
      </c>
      <c r="I1772" t="s">
        <v>2344</v>
      </c>
      <c r="J1772" t="str">
        <f t="shared" si="109"/>
        <v>Over weight</v>
      </c>
      <c r="K1772" t="str">
        <f t="shared" si="112"/>
        <v>Normal</v>
      </c>
      <c r="L1772">
        <v>8</v>
      </c>
      <c r="M1772" t="s">
        <v>2362</v>
      </c>
      <c r="N1772">
        <v>1971</v>
      </c>
      <c r="O1772" s="8">
        <f t="shared" si="110"/>
        <v>26092</v>
      </c>
      <c r="P1772" s="10">
        <v>17479.53</v>
      </c>
      <c r="Q1772" t="s">
        <v>2361</v>
      </c>
      <c r="R1772" t="s">
        <v>2361</v>
      </c>
      <c r="S1772" t="s">
        <v>2364</v>
      </c>
      <c r="T1772">
        <f t="shared" ca="1" si="111"/>
        <v>55</v>
      </c>
      <c r="U1772">
        <f>VLOOKUP($A1772,'Medical Examination'!$A:$Z,2,FALSE)</f>
        <v>25.8</v>
      </c>
    </row>
    <row r="1773" spans="1:21" ht="15.5" x14ac:dyDescent="0.35">
      <c r="A1773" s="2" t="s">
        <v>1773</v>
      </c>
      <c r="B1773" s="2" t="s">
        <v>4832</v>
      </c>
      <c r="C1773">
        <v>23.6</v>
      </c>
      <c r="D1773">
        <v>4.33</v>
      </c>
      <c r="E1773" t="s">
        <v>2344</v>
      </c>
      <c r="F1773" t="s">
        <v>2344</v>
      </c>
      <c r="G1773" t="s">
        <v>2344</v>
      </c>
      <c r="H1773">
        <v>0</v>
      </c>
      <c r="I1773" t="s">
        <v>2344</v>
      </c>
      <c r="J1773" t="str">
        <f t="shared" si="109"/>
        <v>Normal Weight</v>
      </c>
      <c r="K1773" t="str">
        <f t="shared" si="112"/>
        <v>Normal</v>
      </c>
      <c r="L1773">
        <v>29</v>
      </c>
      <c r="M1773" t="s">
        <v>2365</v>
      </c>
      <c r="N1773">
        <v>1990</v>
      </c>
      <c r="O1773" s="8">
        <f t="shared" si="110"/>
        <v>33236</v>
      </c>
      <c r="P1773" s="10">
        <v>17496.310000000001</v>
      </c>
      <c r="Q1773" t="s">
        <v>2361</v>
      </c>
      <c r="R1773" t="s">
        <v>2357</v>
      </c>
      <c r="S1773" t="s">
        <v>2368</v>
      </c>
      <c r="T1773">
        <f t="shared" ca="1" si="111"/>
        <v>36</v>
      </c>
      <c r="U1773">
        <f>VLOOKUP($A1773,'Medical Examination'!$A:$Z,2,FALSE)</f>
        <v>23.6</v>
      </c>
    </row>
    <row r="1774" spans="1:21" ht="15.5" x14ac:dyDescent="0.35">
      <c r="A1774" s="2" t="s">
        <v>1774</v>
      </c>
      <c r="B1774" s="2" t="s">
        <v>4833</v>
      </c>
      <c r="C1774">
        <v>32.11</v>
      </c>
      <c r="D1774">
        <v>6.24</v>
      </c>
      <c r="E1774" t="s">
        <v>2344</v>
      </c>
      <c r="F1774" t="s">
        <v>2344</v>
      </c>
      <c r="G1774" t="s">
        <v>2346</v>
      </c>
      <c r="H1774">
        <v>1</v>
      </c>
      <c r="I1774" t="s">
        <v>2344</v>
      </c>
      <c r="J1774" t="str">
        <f t="shared" si="109"/>
        <v>Obesity</v>
      </c>
      <c r="K1774" t="str">
        <f t="shared" si="112"/>
        <v>Prediabetes</v>
      </c>
      <c r="L1774">
        <v>16</v>
      </c>
      <c r="M1774" t="s">
        <v>2362</v>
      </c>
      <c r="N1774">
        <v>1965</v>
      </c>
      <c r="O1774" s="8">
        <f t="shared" si="110"/>
        <v>23909</v>
      </c>
      <c r="P1774" s="10">
        <v>17505.650000000001</v>
      </c>
      <c r="Q1774" t="s">
        <v>2361</v>
      </c>
      <c r="R1774" t="s">
        <v>2357</v>
      </c>
      <c r="S1774" t="s">
        <v>2375</v>
      </c>
      <c r="T1774">
        <f t="shared" ca="1" si="111"/>
        <v>61</v>
      </c>
      <c r="U1774">
        <f>VLOOKUP($A1774,'Medical Examination'!$A:$Z,2,FALSE)</f>
        <v>32.11</v>
      </c>
    </row>
    <row r="1775" spans="1:21" ht="15.5" x14ac:dyDescent="0.35">
      <c r="A1775" s="2" t="s">
        <v>1775</v>
      </c>
      <c r="B1775" s="2" t="s">
        <v>4835</v>
      </c>
      <c r="C1775">
        <v>30.114999999999998</v>
      </c>
      <c r="D1775">
        <v>11.61</v>
      </c>
      <c r="E1775" t="s">
        <v>2344</v>
      </c>
      <c r="F1775" t="s">
        <v>2344</v>
      </c>
      <c r="G1775" t="s">
        <v>2344</v>
      </c>
      <c r="H1775">
        <v>0</v>
      </c>
      <c r="I1775" t="s">
        <v>2344</v>
      </c>
      <c r="J1775" t="str">
        <f t="shared" si="109"/>
        <v>Obesity</v>
      </c>
      <c r="K1775" t="str">
        <f t="shared" si="112"/>
        <v>Diabetes</v>
      </c>
      <c r="L1775">
        <v>12</v>
      </c>
      <c r="M1775" t="s">
        <v>2356</v>
      </c>
      <c r="N1775">
        <v>1968</v>
      </c>
      <c r="O1775" s="8">
        <f t="shared" si="110"/>
        <v>25031</v>
      </c>
      <c r="P1775" s="10">
        <v>17507.47</v>
      </c>
      <c r="Q1775" t="s">
        <v>2361</v>
      </c>
      <c r="R1775" t="s">
        <v>2361</v>
      </c>
      <c r="S1775" t="s">
        <v>2380</v>
      </c>
      <c r="T1775">
        <f t="shared" ca="1" si="111"/>
        <v>58</v>
      </c>
      <c r="U1775">
        <f>VLOOKUP($A1775,'Medical Examination'!$A:$Z,2,FALSE)</f>
        <v>30.114999999999998</v>
      </c>
    </row>
    <row r="1776" spans="1:21" ht="15.5" x14ac:dyDescent="0.35">
      <c r="A1776" s="2" t="s">
        <v>1776</v>
      </c>
      <c r="B1776" s="2" t="s">
        <v>4836</v>
      </c>
      <c r="C1776">
        <v>20.28</v>
      </c>
      <c r="D1776">
        <v>11.07</v>
      </c>
      <c r="E1776" t="s">
        <v>2346</v>
      </c>
      <c r="F1776" t="s">
        <v>2344</v>
      </c>
      <c r="G1776" t="s">
        <v>2344</v>
      </c>
      <c r="H1776">
        <v>0</v>
      </c>
      <c r="I1776" t="s">
        <v>2344</v>
      </c>
      <c r="J1776" t="str">
        <f t="shared" si="109"/>
        <v>Normal Weight</v>
      </c>
      <c r="K1776" t="str">
        <f t="shared" si="112"/>
        <v>Diabetes</v>
      </c>
      <c r="L1776">
        <v>16</v>
      </c>
      <c r="M1776" t="s">
        <v>2360</v>
      </c>
      <c r="N1776">
        <v>1963</v>
      </c>
      <c r="O1776" s="8">
        <f t="shared" si="110"/>
        <v>23331</v>
      </c>
      <c r="P1776" s="10">
        <v>17556.88</v>
      </c>
      <c r="Q1776" t="s">
        <v>2361</v>
      </c>
      <c r="R1776" t="s">
        <v>2357</v>
      </c>
      <c r="S1776" t="s">
        <v>2364</v>
      </c>
      <c r="T1776">
        <f t="shared" ca="1" si="111"/>
        <v>63</v>
      </c>
      <c r="U1776">
        <f>VLOOKUP($A1776,'Medical Examination'!$A:$Z,2,FALSE)</f>
        <v>20.28</v>
      </c>
    </row>
    <row r="1777" spans="1:21" ht="15.5" x14ac:dyDescent="0.35">
      <c r="A1777" s="2" t="s">
        <v>1777</v>
      </c>
      <c r="B1777" s="2" t="s">
        <v>4837</v>
      </c>
      <c r="C1777">
        <v>20.234999999999999</v>
      </c>
      <c r="D1777">
        <v>5.19</v>
      </c>
      <c r="E1777" t="s">
        <v>2344</v>
      </c>
      <c r="F1777" t="s">
        <v>2344</v>
      </c>
      <c r="G1777" t="s">
        <v>2346</v>
      </c>
      <c r="H1777">
        <v>1</v>
      </c>
      <c r="I1777" t="s">
        <v>2344</v>
      </c>
      <c r="J1777" t="str">
        <f t="shared" si="109"/>
        <v>Normal Weight</v>
      </c>
      <c r="K1777" t="str">
        <f t="shared" si="112"/>
        <v>Normal</v>
      </c>
      <c r="L1777">
        <v>25</v>
      </c>
      <c r="M1777" t="s">
        <v>2366</v>
      </c>
      <c r="N1777">
        <v>2002</v>
      </c>
      <c r="O1777" s="8">
        <f t="shared" si="110"/>
        <v>37493</v>
      </c>
      <c r="P1777" s="10">
        <v>17560.38</v>
      </c>
      <c r="Q1777" t="s">
        <v>2361</v>
      </c>
      <c r="R1777" t="s">
        <v>2361</v>
      </c>
      <c r="S1777" t="s">
        <v>2364</v>
      </c>
      <c r="T1777">
        <f t="shared" ca="1" si="111"/>
        <v>24</v>
      </c>
      <c r="U1777">
        <f>VLOOKUP($A1777,'Medical Examination'!$A:$Z,2,FALSE)</f>
        <v>20.234999999999999</v>
      </c>
    </row>
    <row r="1778" spans="1:21" ht="15.5" x14ac:dyDescent="0.35">
      <c r="A1778" s="2" t="s">
        <v>1778</v>
      </c>
      <c r="B1778" s="2" t="s">
        <v>4838</v>
      </c>
      <c r="C1778">
        <v>25.27</v>
      </c>
      <c r="D1778">
        <v>5.7</v>
      </c>
      <c r="E1778" t="s">
        <v>2346</v>
      </c>
      <c r="F1778" t="s">
        <v>2344</v>
      </c>
      <c r="G1778" t="s">
        <v>2344</v>
      </c>
      <c r="H1778">
        <v>1</v>
      </c>
      <c r="I1778" t="s">
        <v>2344</v>
      </c>
      <c r="J1778" t="str">
        <f t="shared" si="109"/>
        <v>Over weight</v>
      </c>
      <c r="K1778" t="str">
        <f t="shared" si="112"/>
        <v>Prediabetes</v>
      </c>
      <c r="L1778">
        <v>26</v>
      </c>
      <c r="M1778" t="s">
        <v>2356</v>
      </c>
      <c r="N1778">
        <v>1970</v>
      </c>
      <c r="O1778" s="8">
        <f t="shared" si="110"/>
        <v>25775</v>
      </c>
      <c r="P1778" s="10">
        <v>17584.72</v>
      </c>
      <c r="Q1778" t="s">
        <v>2361</v>
      </c>
      <c r="R1778" t="s">
        <v>2358</v>
      </c>
      <c r="S1778" t="s">
        <v>2364</v>
      </c>
      <c r="T1778">
        <f t="shared" ca="1" si="111"/>
        <v>56</v>
      </c>
      <c r="U1778">
        <f>VLOOKUP($A1778,'Medical Examination'!$A:$Z,2,FALSE)</f>
        <v>25.27</v>
      </c>
    </row>
    <row r="1779" spans="1:21" ht="15.5" x14ac:dyDescent="0.35">
      <c r="A1779" s="2" t="s">
        <v>1779</v>
      </c>
      <c r="B1779" s="2" t="s">
        <v>4038</v>
      </c>
      <c r="C1779">
        <v>24.24</v>
      </c>
      <c r="D1779">
        <v>6.15</v>
      </c>
      <c r="E1779" t="s">
        <v>2344</v>
      </c>
      <c r="F1779" t="s">
        <v>2344</v>
      </c>
      <c r="G1779" t="s">
        <v>2344</v>
      </c>
      <c r="H1779">
        <v>0</v>
      </c>
      <c r="I1779" t="s">
        <v>2344</v>
      </c>
      <c r="J1779" t="str">
        <f t="shared" si="109"/>
        <v>Normal Weight</v>
      </c>
      <c r="K1779" t="str">
        <f t="shared" si="112"/>
        <v>Prediabetes</v>
      </c>
      <c r="L1779">
        <v>25</v>
      </c>
      <c r="M1779" t="s">
        <v>2367</v>
      </c>
      <c r="N1779">
        <v>1990</v>
      </c>
      <c r="O1779" s="8">
        <f t="shared" si="110"/>
        <v>33171</v>
      </c>
      <c r="P1779" s="10">
        <v>17626.240000000002</v>
      </c>
      <c r="Q1779" t="s">
        <v>2361</v>
      </c>
      <c r="R1779" t="s">
        <v>2358</v>
      </c>
      <c r="S1779" t="s">
        <v>2359</v>
      </c>
      <c r="T1779">
        <f t="shared" ca="1" si="111"/>
        <v>36</v>
      </c>
      <c r="U1779">
        <f>VLOOKUP($A1779,'Medical Examination'!$A:$Z,2,FALSE)</f>
        <v>24.24</v>
      </c>
    </row>
    <row r="1780" spans="1:21" ht="15.5" x14ac:dyDescent="0.35">
      <c r="A1780" s="2" t="s">
        <v>1780</v>
      </c>
      <c r="B1780" s="2" t="s">
        <v>4840</v>
      </c>
      <c r="C1780">
        <v>35.75</v>
      </c>
      <c r="D1780">
        <v>5.07</v>
      </c>
      <c r="E1780" t="s">
        <v>2344</v>
      </c>
      <c r="F1780" t="s">
        <v>2344</v>
      </c>
      <c r="G1780" t="s">
        <v>2344</v>
      </c>
      <c r="H1780">
        <v>0</v>
      </c>
      <c r="I1780" t="s">
        <v>2344</v>
      </c>
      <c r="J1780" t="str">
        <f t="shared" si="109"/>
        <v>Obesity</v>
      </c>
      <c r="K1780" t="str">
        <f t="shared" si="112"/>
        <v>Normal</v>
      </c>
      <c r="L1780">
        <v>1</v>
      </c>
      <c r="M1780" t="s">
        <v>2356</v>
      </c>
      <c r="N1780">
        <v>1994</v>
      </c>
      <c r="O1780" s="8">
        <f t="shared" si="110"/>
        <v>34516</v>
      </c>
      <c r="P1780" s="10">
        <v>17663.14</v>
      </c>
      <c r="Q1780" t="s">
        <v>2361</v>
      </c>
      <c r="R1780" t="s">
        <v>2358</v>
      </c>
      <c r="S1780" t="s">
        <v>2359</v>
      </c>
      <c r="T1780">
        <f t="shared" ca="1" si="111"/>
        <v>32</v>
      </c>
      <c r="U1780">
        <f>VLOOKUP($A1780,'Medical Examination'!$A:$Z,2,FALSE)</f>
        <v>35.75</v>
      </c>
    </row>
    <row r="1781" spans="1:21" ht="15.5" x14ac:dyDescent="0.35">
      <c r="A1781" s="2" t="s">
        <v>1781</v>
      </c>
      <c r="B1781" s="2" t="s">
        <v>4841</v>
      </c>
      <c r="C1781">
        <v>29.92</v>
      </c>
      <c r="D1781">
        <v>10.97</v>
      </c>
      <c r="E1781" t="s">
        <v>2346</v>
      </c>
      <c r="F1781" t="s">
        <v>2344</v>
      </c>
      <c r="G1781" t="s">
        <v>2344</v>
      </c>
      <c r="H1781">
        <v>1</v>
      </c>
      <c r="I1781" t="s">
        <v>2344</v>
      </c>
      <c r="J1781" t="str">
        <f t="shared" si="109"/>
        <v>Over weight</v>
      </c>
      <c r="K1781" t="str">
        <f t="shared" si="112"/>
        <v>Diabetes</v>
      </c>
      <c r="L1781">
        <v>14</v>
      </c>
      <c r="M1781" t="s">
        <v>2356</v>
      </c>
      <c r="N1781">
        <v>2003</v>
      </c>
      <c r="O1781" s="8">
        <f t="shared" si="110"/>
        <v>37816</v>
      </c>
      <c r="P1781" s="10">
        <v>17748.509999999998</v>
      </c>
      <c r="Q1781" t="s">
        <v>2361</v>
      </c>
      <c r="R1781" t="s">
        <v>2361</v>
      </c>
      <c r="S1781" t="s">
        <v>2364</v>
      </c>
      <c r="T1781">
        <f t="shared" ca="1" si="111"/>
        <v>23</v>
      </c>
      <c r="U1781">
        <f>VLOOKUP($A1781,'Medical Examination'!$A:$Z,2,FALSE)</f>
        <v>29.92</v>
      </c>
    </row>
    <row r="1782" spans="1:21" ht="15.5" x14ac:dyDescent="0.35">
      <c r="A1782" s="2" t="s">
        <v>1782</v>
      </c>
      <c r="B1782" s="2" t="s">
        <v>4842</v>
      </c>
      <c r="C1782">
        <v>26.2</v>
      </c>
      <c r="D1782">
        <v>10.93</v>
      </c>
      <c r="E1782" t="s">
        <v>2346</v>
      </c>
      <c r="F1782" t="s">
        <v>2344</v>
      </c>
      <c r="G1782" t="s">
        <v>2344</v>
      </c>
      <c r="H1782">
        <v>1</v>
      </c>
      <c r="I1782" t="s">
        <v>2344</v>
      </c>
      <c r="J1782" t="str">
        <f t="shared" si="109"/>
        <v>Over weight</v>
      </c>
      <c r="K1782" t="str">
        <f t="shared" si="112"/>
        <v>Diabetes</v>
      </c>
      <c r="L1782">
        <v>21</v>
      </c>
      <c r="M1782" t="s">
        <v>2362</v>
      </c>
      <c r="N1782">
        <v>1966</v>
      </c>
      <c r="O1782" s="8">
        <f t="shared" si="110"/>
        <v>24279</v>
      </c>
      <c r="P1782" s="10">
        <v>17777.73</v>
      </c>
      <c r="Q1782" t="s">
        <v>2361</v>
      </c>
      <c r="R1782" t="s">
        <v>2358</v>
      </c>
      <c r="S1782" t="s">
        <v>2364</v>
      </c>
      <c r="T1782">
        <f t="shared" ca="1" si="111"/>
        <v>60</v>
      </c>
      <c r="U1782">
        <f>VLOOKUP($A1782,'Medical Examination'!$A:$Z,2,FALSE)</f>
        <v>26.2</v>
      </c>
    </row>
    <row r="1783" spans="1:21" ht="15.5" x14ac:dyDescent="0.35">
      <c r="A1783" s="2" t="s">
        <v>1783</v>
      </c>
      <c r="B1783" s="2" t="s">
        <v>4649</v>
      </c>
      <c r="C1783">
        <v>26.695</v>
      </c>
      <c r="D1783">
        <v>4.21</v>
      </c>
      <c r="E1783" t="s">
        <v>2346</v>
      </c>
      <c r="F1783" t="s">
        <v>2344</v>
      </c>
      <c r="G1783" t="s">
        <v>2346</v>
      </c>
      <c r="H1783">
        <v>1</v>
      </c>
      <c r="I1783" t="s">
        <v>2344</v>
      </c>
      <c r="J1783" t="str">
        <f t="shared" si="109"/>
        <v>Over weight</v>
      </c>
      <c r="K1783" t="str">
        <f t="shared" si="112"/>
        <v>Normal</v>
      </c>
      <c r="L1783">
        <v>10</v>
      </c>
      <c r="M1783" t="s">
        <v>2367</v>
      </c>
      <c r="N1783">
        <v>1979</v>
      </c>
      <c r="O1783" s="8">
        <f t="shared" si="110"/>
        <v>29138</v>
      </c>
      <c r="P1783" s="10">
        <v>17779.939999999999</v>
      </c>
      <c r="Q1783" t="s">
        <v>2361</v>
      </c>
      <c r="R1783" t="s">
        <v>2357</v>
      </c>
      <c r="S1783" t="s">
        <v>2364</v>
      </c>
      <c r="T1783">
        <f t="shared" ca="1" si="111"/>
        <v>47</v>
      </c>
      <c r="U1783">
        <f>VLOOKUP($A1783,'Medical Examination'!$A:$Z,2,FALSE)</f>
        <v>26.695</v>
      </c>
    </row>
    <row r="1784" spans="1:21" ht="15.5" x14ac:dyDescent="0.35">
      <c r="A1784" s="2" t="s">
        <v>1784</v>
      </c>
      <c r="B1784" s="2" t="s">
        <v>2456</v>
      </c>
      <c r="C1784">
        <v>23.16</v>
      </c>
      <c r="D1784">
        <v>5.5</v>
      </c>
      <c r="E1784" t="s">
        <v>2344</v>
      </c>
      <c r="F1784" t="s">
        <v>2344</v>
      </c>
      <c r="G1784" t="s">
        <v>2344</v>
      </c>
      <c r="H1784">
        <v>0</v>
      </c>
      <c r="I1784" t="s">
        <v>2344</v>
      </c>
      <c r="J1784" t="str">
        <f t="shared" si="109"/>
        <v>Normal Weight</v>
      </c>
      <c r="K1784" t="str">
        <f t="shared" si="112"/>
        <v>Normal</v>
      </c>
      <c r="L1784">
        <v>8</v>
      </c>
      <c r="M1784" t="s">
        <v>2365</v>
      </c>
      <c r="N1784">
        <v>1963</v>
      </c>
      <c r="O1784" s="8">
        <f t="shared" si="110"/>
        <v>23353</v>
      </c>
      <c r="P1784" s="10">
        <v>17832.599999999999</v>
      </c>
      <c r="Q1784" t="s">
        <v>2361</v>
      </c>
      <c r="R1784" t="s">
        <v>2357</v>
      </c>
      <c r="S1784" t="s">
        <v>2364</v>
      </c>
      <c r="T1784">
        <f t="shared" ca="1" si="111"/>
        <v>63</v>
      </c>
      <c r="U1784">
        <f>VLOOKUP($A1784,'Medical Examination'!$A:$Z,2,FALSE)</f>
        <v>23.16</v>
      </c>
    </row>
    <row r="1785" spans="1:21" ht="15.5" x14ac:dyDescent="0.35">
      <c r="A1785" s="2" t="s">
        <v>1785</v>
      </c>
      <c r="B1785" s="2" t="s">
        <v>3373</v>
      </c>
      <c r="C1785">
        <v>32.585000000000001</v>
      </c>
      <c r="D1785">
        <v>4.93</v>
      </c>
      <c r="E1785" t="s">
        <v>2346</v>
      </c>
      <c r="F1785" t="s">
        <v>2344</v>
      </c>
      <c r="G1785" t="s">
        <v>2344</v>
      </c>
      <c r="H1785">
        <v>1</v>
      </c>
      <c r="I1785" t="s">
        <v>2344</v>
      </c>
      <c r="J1785" t="str">
        <f t="shared" si="109"/>
        <v>Obesity</v>
      </c>
      <c r="K1785" t="str">
        <f t="shared" si="112"/>
        <v>Normal</v>
      </c>
      <c r="L1785">
        <v>12</v>
      </c>
      <c r="M1785" t="s">
        <v>2365</v>
      </c>
      <c r="N1785">
        <v>1976</v>
      </c>
      <c r="O1785" s="8">
        <f t="shared" si="110"/>
        <v>28106</v>
      </c>
      <c r="P1785" s="10">
        <v>17862.919999999998</v>
      </c>
      <c r="Q1785" t="s">
        <v>2361</v>
      </c>
      <c r="R1785" t="s">
        <v>2357</v>
      </c>
      <c r="S1785" t="s">
        <v>2364</v>
      </c>
      <c r="T1785">
        <f t="shared" ca="1" si="111"/>
        <v>50</v>
      </c>
      <c r="U1785">
        <f>VLOOKUP($A1785,'Medical Examination'!$A:$Z,2,FALSE)</f>
        <v>32.585000000000001</v>
      </c>
    </row>
    <row r="1786" spans="1:21" ht="15.5" x14ac:dyDescent="0.35">
      <c r="A1786" s="2" t="s">
        <v>1786</v>
      </c>
      <c r="B1786" s="2" t="s">
        <v>4843</v>
      </c>
      <c r="C1786">
        <v>33.97</v>
      </c>
      <c r="D1786">
        <v>5.6</v>
      </c>
      <c r="E1786" t="s">
        <v>2346</v>
      </c>
      <c r="F1786" t="s">
        <v>2344</v>
      </c>
      <c r="G1786" t="s">
        <v>2344</v>
      </c>
      <c r="H1786">
        <v>0</v>
      </c>
      <c r="I1786" t="s">
        <v>2344</v>
      </c>
      <c r="J1786" t="str">
        <f t="shared" si="109"/>
        <v>Obesity</v>
      </c>
      <c r="K1786" t="str">
        <f t="shared" si="112"/>
        <v>Normal</v>
      </c>
      <c r="L1786">
        <v>26</v>
      </c>
      <c r="M1786" t="s">
        <v>2366</v>
      </c>
      <c r="N1786">
        <v>1997</v>
      </c>
      <c r="O1786" s="8">
        <f t="shared" si="110"/>
        <v>35668</v>
      </c>
      <c r="P1786" s="10">
        <v>17878.900000000001</v>
      </c>
      <c r="Q1786" t="s">
        <v>2361</v>
      </c>
      <c r="R1786" t="s">
        <v>2357</v>
      </c>
      <c r="S1786" t="s">
        <v>2374</v>
      </c>
      <c r="T1786">
        <f t="shared" ca="1" si="111"/>
        <v>29</v>
      </c>
      <c r="U1786">
        <f>VLOOKUP($A1786,'Medical Examination'!$A:$Z,2,FALSE)</f>
        <v>33.97</v>
      </c>
    </row>
    <row r="1787" spans="1:21" ht="15.5" x14ac:dyDescent="0.35">
      <c r="A1787" s="2" t="s">
        <v>1787</v>
      </c>
      <c r="B1787" s="2" t="s">
        <v>4845</v>
      </c>
      <c r="C1787">
        <v>16.57</v>
      </c>
      <c r="D1787">
        <v>9.99</v>
      </c>
      <c r="E1787" t="s">
        <v>2344</v>
      </c>
      <c r="F1787" t="s">
        <v>2344</v>
      </c>
      <c r="G1787" t="s">
        <v>2344</v>
      </c>
      <c r="H1787">
        <v>0</v>
      </c>
      <c r="I1787" t="s">
        <v>2344</v>
      </c>
      <c r="J1787" t="str">
        <f t="shared" si="109"/>
        <v>Under Weight</v>
      </c>
      <c r="K1787" t="str">
        <f t="shared" si="112"/>
        <v>Diabetes</v>
      </c>
      <c r="L1787">
        <v>12</v>
      </c>
      <c r="M1787" t="s">
        <v>2360</v>
      </c>
      <c r="N1787">
        <v>1979</v>
      </c>
      <c r="O1787" s="8">
        <f t="shared" si="110"/>
        <v>29171</v>
      </c>
      <c r="P1787" s="10">
        <v>17882.669999999998</v>
      </c>
      <c r="Q1787" t="s">
        <v>2361</v>
      </c>
      <c r="R1787" t="s">
        <v>2358</v>
      </c>
      <c r="S1787" t="s">
        <v>2364</v>
      </c>
      <c r="T1787">
        <f t="shared" ca="1" si="111"/>
        <v>47</v>
      </c>
      <c r="U1787">
        <f>VLOOKUP($A1787,'Medical Examination'!$A:$Z,2,FALSE)</f>
        <v>16.57</v>
      </c>
    </row>
    <row r="1788" spans="1:21" ht="15.5" x14ac:dyDescent="0.35">
      <c r="A1788" s="2" t="s">
        <v>1788</v>
      </c>
      <c r="B1788" s="2" t="s">
        <v>4846</v>
      </c>
      <c r="C1788">
        <v>17.55</v>
      </c>
      <c r="D1788">
        <v>5.93</v>
      </c>
      <c r="E1788" t="s">
        <v>2344</v>
      </c>
      <c r="F1788" t="s">
        <v>2344</v>
      </c>
      <c r="G1788" t="s">
        <v>2346</v>
      </c>
      <c r="H1788">
        <v>1</v>
      </c>
      <c r="I1788" t="s">
        <v>2344</v>
      </c>
      <c r="J1788" t="str">
        <f t="shared" si="109"/>
        <v>Under Weight</v>
      </c>
      <c r="K1788" t="str">
        <f t="shared" si="112"/>
        <v>Prediabetes</v>
      </c>
      <c r="L1788">
        <v>4</v>
      </c>
      <c r="M1788" t="s">
        <v>2365</v>
      </c>
      <c r="N1788">
        <v>1989</v>
      </c>
      <c r="O1788" s="8">
        <f t="shared" si="110"/>
        <v>32846</v>
      </c>
      <c r="P1788" s="10">
        <v>17904.53</v>
      </c>
      <c r="Q1788" t="s">
        <v>2361</v>
      </c>
      <c r="R1788" t="s">
        <v>2357</v>
      </c>
      <c r="S1788" t="s">
        <v>2378</v>
      </c>
      <c r="T1788">
        <f t="shared" ca="1" si="111"/>
        <v>37</v>
      </c>
      <c r="U1788">
        <f>VLOOKUP($A1788,'Medical Examination'!$A:$Z,2,FALSE)</f>
        <v>17.55</v>
      </c>
    </row>
    <row r="1789" spans="1:21" ht="15.5" x14ac:dyDescent="0.35">
      <c r="A1789" s="2" t="s">
        <v>1789</v>
      </c>
      <c r="B1789" s="2" t="s">
        <v>4064</v>
      </c>
      <c r="C1789">
        <v>29.41</v>
      </c>
      <c r="D1789">
        <v>6.29</v>
      </c>
      <c r="E1789" t="s">
        <v>2346</v>
      </c>
      <c r="F1789" t="s">
        <v>2344</v>
      </c>
      <c r="G1789" t="s">
        <v>2344</v>
      </c>
      <c r="H1789">
        <v>1</v>
      </c>
      <c r="I1789" t="s">
        <v>2344</v>
      </c>
      <c r="J1789" t="str">
        <f t="shared" si="109"/>
        <v>Over weight</v>
      </c>
      <c r="K1789" t="str">
        <f t="shared" si="112"/>
        <v>Prediabetes</v>
      </c>
      <c r="L1789">
        <v>17</v>
      </c>
      <c r="M1789" t="s">
        <v>2367</v>
      </c>
      <c r="N1789">
        <v>1977</v>
      </c>
      <c r="O1789" s="8">
        <f t="shared" si="110"/>
        <v>28415</v>
      </c>
      <c r="P1789" s="10">
        <v>17929.3</v>
      </c>
      <c r="Q1789" t="s">
        <v>2361</v>
      </c>
      <c r="R1789" t="s">
        <v>2357</v>
      </c>
      <c r="S1789" t="s">
        <v>2359</v>
      </c>
      <c r="T1789">
        <f t="shared" ca="1" si="111"/>
        <v>49</v>
      </c>
      <c r="U1789">
        <f>VLOOKUP($A1789,'Medical Examination'!$A:$Z,2,FALSE)</f>
        <v>29.41</v>
      </c>
    </row>
    <row r="1790" spans="1:21" ht="15.5" x14ac:dyDescent="0.35">
      <c r="A1790" s="2" t="s">
        <v>1790</v>
      </c>
      <c r="B1790" s="2" t="s">
        <v>4847</v>
      </c>
      <c r="C1790">
        <v>17.91</v>
      </c>
      <c r="D1790">
        <v>5.65</v>
      </c>
      <c r="E1790" t="s">
        <v>2344</v>
      </c>
      <c r="F1790" t="s">
        <v>2344</v>
      </c>
      <c r="G1790" t="s">
        <v>2344</v>
      </c>
      <c r="H1790">
        <v>1</v>
      </c>
      <c r="I1790" t="s">
        <v>2344</v>
      </c>
      <c r="J1790" t="str">
        <f t="shared" si="109"/>
        <v>Under Weight</v>
      </c>
      <c r="K1790" t="str">
        <f t="shared" si="112"/>
        <v>Normal</v>
      </c>
      <c r="L1790">
        <v>28</v>
      </c>
      <c r="M1790" t="s">
        <v>2363</v>
      </c>
      <c r="N1790">
        <v>2001</v>
      </c>
      <c r="O1790" s="8">
        <f t="shared" si="110"/>
        <v>37162</v>
      </c>
      <c r="P1790" s="10">
        <v>17942.11</v>
      </c>
      <c r="Q1790" t="s">
        <v>2361</v>
      </c>
      <c r="R1790" t="s">
        <v>2357</v>
      </c>
      <c r="S1790" t="s">
        <v>2368</v>
      </c>
      <c r="T1790">
        <f t="shared" ca="1" si="111"/>
        <v>25</v>
      </c>
      <c r="U1790">
        <f>VLOOKUP($A1790,'Medical Examination'!$A:$Z,2,FALSE)</f>
        <v>17.91</v>
      </c>
    </row>
    <row r="1791" spans="1:21" ht="15.5" x14ac:dyDescent="0.35">
      <c r="A1791" s="2" t="s">
        <v>1791</v>
      </c>
      <c r="B1791" s="2" t="s">
        <v>4848</v>
      </c>
      <c r="C1791">
        <v>31.57</v>
      </c>
      <c r="D1791">
        <v>6.15</v>
      </c>
      <c r="E1791" t="s">
        <v>2344</v>
      </c>
      <c r="F1791" t="s">
        <v>2344</v>
      </c>
      <c r="G1791" t="s">
        <v>2344</v>
      </c>
      <c r="H1791">
        <v>1</v>
      </c>
      <c r="I1791" t="s">
        <v>2344</v>
      </c>
      <c r="J1791" t="str">
        <f t="shared" si="109"/>
        <v>Obesity</v>
      </c>
      <c r="K1791" t="str">
        <f t="shared" si="112"/>
        <v>Prediabetes</v>
      </c>
      <c r="L1791">
        <v>27</v>
      </c>
      <c r="M1791" t="s">
        <v>2362</v>
      </c>
      <c r="N1791">
        <v>1975</v>
      </c>
      <c r="O1791" s="8">
        <f t="shared" si="110"/>
        <v>27572</v>
      </c>
      <c r="P1791" s="10">
        <v>18031.16</v>
      </c>
      <c r="Q1791" t="s">
        <v>2361</v>
      </c>
      <c r="R1791" t="s">
        <v>2358</v>
      </c>
      <c r="S1791" t="s">
        <v>2375</v>
      </c>
      <c r="T1791">
        <f t="shared" ca="1" si="111"/>
        <v>51</v>
      </c>
      <c r="U1791">
        <f>VLOOKUP($A1791,'Medical Examination'!$A:$Z,2,FALSE)</f>
        <v>31.57</v>
      </c>
    </row>
    <row r="1792" spans="1:21" ht="15.5" x14ac:dyDescent="0.35">
      <c r="A1792" s="2" t="s">
        <v>1792</v>
      </c>
      <c r="B1792" s="2" t="s">
        <v>3117</v>
      </c>
      <c r="C1792">
        <v>33.18</v>
      </c>
      <c r="D1792">
        <v>5.22</v>
      </c>
      <c r="E1792" t="s">
        <v>2344</v>
      </c>
      <c r="F1792" t="s">
        <v>2345</v>
      </c>
      <c r="G1792" t="s">
        <v>2344</v>
      </c>
      <c r="H1792">
        <v>1</v>
      </c>
      <c r="I1792" t="s">
        <v>2344</v>
      </c>
      <c r="J1792" t="str">
        <f t="shared" si="109"/>
        <v>Obesity</v>
      </c>
      <c r="K1792" t="str">
        <f t="shared" si="112"/>
        <v>Normal</v>
      </c>
      <c r="L1792">
        <v>17</v>
      </c>
      <c r="M1792" t="s">
        <v>2367</v>
      </c>
      <c r="N1792">
        <v>1965</v>
      </c>
      <c r="O1792" s="8">
        <f t="shared" si="110"/>
        <v>24032</v>
      </c>
      <c r="P1792" s="10">
        <v>18031.189999999999</v>
      </c>
      <c r="Q1792" t="s">
        <v>2361</v>
      </c>
      <c r="R1792" t="s">
        <v>2357</v>
      </c>
      <c r="S1792" t="s">
        <v>2364</v>
      </c>
      <c r="T1792">
        <f t="shared" ca="1" si="111"/>
        <v>61</v>
      </c>
      <c r="U1792">
        <f>VLOOKUP($A1792,'Medical Examination'!$A:$Z,2,FALSE)</f>
        <v>33.18</v>
      </c>
    </row>
    <row r="1793" spans="1:21" ht="15.5" x14ac:dyDescent="0.35">
      <c r="A1793" s="2" t="s">
        <v>1793</v>
      </c>
      <c r="B1793" s="2" t="s">
        <v>4850</v>
      </c>
      <c r="C1793">
        <v>37</v>
      </c>
      <c r="D1793">
        <v>11.66</v>
      </c>
      <c r="E1793" t="s">
        <v>2344</v>
      </c>
      <c r="F1793" t="s">
        <v>2344</v>
      </c>
      <c r="G1793" t="s">
        <v>2344</v>
      </c>
      <c r="H1793">
        <v>0</v>
      </c>
      <c r="I1793" t="s">
        <v>2344</v>
      </c>
      <c r="J1793" t="str">
        <f t="shared" si="109"/>
        <v>Obesity</v>
      </c>
      <c r="K1793" t="str">
        <f t="shared" si="112"/>
        <v>Diabetes</v>
      </c>
      <c r="L1793">
        <v>24</v>
      </c>
      <c r="M1793" t="s">
        <v>2367</v>
      </c>
      <c r="N1793">
        <v>1999</v>
      </c>
      <c r="O1793" s="8">
        <f t="shared" si="110"/>
        <v>36457</v>
      </c>
      <c r="P1793" s="10">
        <v>18033.97</v>
      </c>
      <c r="Q1793" t="s">
        <v>2361</v>
      </c>
      <c r="R1793" t="s">
        <v>2361</v>
      </c>
      <c r="S1793" t="s">
        <v>2364</v>
      </c>
      <c r="T1793">
        <f t="shared" ca="1" si="111"/>
        <v>27</v>
      </c>
      <c r="U1793">
        <f>VLOOKUP($A1793,'Medical Examination'!$A:$Z,2,FALSE)</f>
        <v>37</v>
      </c>
    </row>
    <row r="1794" spans="1:21" ht="15.5" x14ac:dyDescent="0.35">
      <c r="A1794" s="2" t="s">
        <v>1794</v>
      </c>
      <c r="B1794" s="2" t="s">
        <v>4851</v>
      </c>
      <c r="C1794">
        <v>18.905000000000001</v>
      </c>
      <c r="D1794">
        <v>4.91</v>
      </c>
      <c r="E1794" t="s">
        <v>2346</v>
      </c>
      <c r="F1794" t="s">
        <v>2344</v>
      </c>
      <c r="G1794" t="s">
        <v>2344</v>
      </c>
      <c r="H1794">
        <v>1</v>
      </c>
      <c r="I1794" t="s">
        <v>2344</v>
      </c>
      <c r="J1794" t="str">
        <f t="shared" si="109"/>
        <v>Normal Weight</v>
      </c>
      <c r="K1794" t="str">
        <f t="shared" si="112"/>
        <v>Normal</v>
      </c>
      <c r="L1794">
        <v>12</v>
      </c>
      <c r="M1794" t="s">
        <v>2356</v>
      </c>
      <c r="N1794">
        <v>1993</v>
      </c>
      <c r="O1794" s="8">
        <f t="shared" si="110"/>
        <v>34162</v>
      </c>
      <c r="P1794" s="10">
        <v>18157.88</v>
      </c>
      <c r="Q1794" t="s">
        <v>2361</v>
      </c>
      <c r="R1794" t="s">
        <v>2361</v>
      </c>
      <c r="S1794" t="s">
        <v>2364</v>
      </c>
      <c r="T1794">
        <f t="shared" ca="1" si="111"/>
        <v>33</v>
      </c>
      <c r="U1794">
        <f>VLOOKUP($A1794,'Medical Examination'!$A:$Z,2,FALSE)</f>
        <v>18.905000000000001</v>
      </c>
    </row>
    <row r="1795" spans="1:21" ht="15.5" x14ac:dyDescent="0.35">
      <c r="A1795" s="2" t="s">
        <v>1795</v>
      </c>
      <c r="B1795" s="2" t="s">
        <v>4852</v>
      </c>
      <c r="C1795">
        <v>20.03</v>
      </c>
      <c r="D1795">
        <v>9.25</v>
      </c>
      <c r="E1795" t="s">
        <v>2346</v>
      </c>
      <c r="F1795" t="s">
        <v>2344</v>
      </c>
      <c r="G1795" t="s">
        <v>2344</v>
      </c>
      <c r="H1795">
        <v>0</v>
      </c>
      <c r="I1795" t="s">
        <v>2344</v>
      </c>
      <c r="J1795" t="str">
        <f t="shared" ref="J1795:J1858" si="113">IF(C1795&lt;18.5,"Under Weight",IF(C1795&lt;25,"Normal Weight",IF(C1795&lt;30,"Over weight","Obesity")))</f>
        <v>Normal Weight</v>
      </c>
      <c r="K1795" t="str">
        <f t="shared" si="112"/>
        <v>Diabetes</v>
      </c>
      <c r="L1795">
        <v>4</v>
      </c>
      <c r="M1795" t="s">
        <v>2356</v>
      </c>
      <c r="N1795">
        <v>1963</v>
      </c>
      <c r="O1795" s="8">
        <f t="shared" ref="O1795:O1858" si="114">DATE(N1795,MONTH(1&amp;M1795),L1795)</f>
        <v>23196</v>
      </c>
      <c r="P1795" s="10">
        <v>18208.34</v>
      </c>
      <c r="Q1795" t="s">
        <v>2361</v>
      </c>
      <c r="R1795" t="s">
        <v>2357</v>
      </c>
      <c r="S1795" t="s">
        <v>2380</v>
      </c>
      <c r="T1795">
        <f t="shared" ref="T1795:T1858" ca="1" si="115">YEAR(TODAY())-YEAR(O1795)</f>
        <v>63</v>
      </c>
      <c r="U1795">
        <f>VLOOKUP($A1795,'Medical Examination'!$A:$Z,2,FALSE)</f>
        <v>20.03</v>
      </c>
    </row>
    <row r="1796" spans="1:21" ht="15.5" x14ac:dyDescent="0.35">
      <c r="A1796" s="2" t="s">
        <v>1796</v>
      </c>
      <c r="B1796" s="2" t="s">
        <v>4445</v>
      </c>
      <c r="C1796">
        <v>16.7</v>
      </c>
      <c r="D1796">
        <v>11.48</v>
      </c>
      <c r="E1796" t="s">
        <v>2344</v>
      </c>
      <c r="F1796" t="s">
        <v>2344</v>
      </c>
      <c r="G1796" t="s">
        <v>2344</v>
      </c>
      <c r="H1796">
        <v>0</v>
      </c>
      <c r="I1796" t="s">
        <v>2344</v>
      </c>
      <c r="J1796" t="str">
        <f t="shared" si="113"/>
        <v>Under Weight</v>
      </c>
      <c r="K1796" t="str">
        <f t="shared" si="112"/>
        <v>Diabetes</v>
      </c>
      <c r="L1796">
        <v>15</v>
      </c>
      <c r="M1796" t="s">
        <v>2362</v>
      </c>
      <c r="N1796">
        <v>1997</v>
      </c>
      <c r="O1796" s="8">
        <f t="shared" si="114"/>
        <v>35596</v>
      </c>
      <c r="P1796" s="10">
        <v>18218.16</v>
      </c>
      <c r="Q1796" t="s">
        <v>2361</v>
      </c>
      <c r="R1796" t="s">
        <v>2361</v>
      </c>
      <c r="S1796" t="s">
        <v>2359</v>
      </c>
      <c r="T1796">
        <f t="shared" ca="1" si="115"/>
        <v>29</v>
      </c>
      <c r="U1796">
        <f>VLOOKUP($A1796,'Medical Examination'!$A:$Z,2,FALSE)</f>
        <v>16.7</v>
      </c>
    </row>
    <row r="1797" spans="1:21" ht="15.5" x14ac:dyDescent="0.35">
      <c r="A1797" s="2" t="s">
        <v>1797</v>
      </c>
      <c r="B1797" s="2" t="s">
        <v>4853</v>
      </c>
      <c r="C1797">
        <v>39.82</v>
      </c>
      <c r="D1797">
        <v>6.06</v>
      </c>
      <c r="E1797" t="s">
        <v>2344</v>
      </c>
      <c r="F1797" t="s">
        <v>2344</v>
      </c>
      <c r="G1797" t="s">
        <v>2344</v>
      </c>
      <c r="H1797">
        <v>0</v>
      </c>
      <c r="I1797" t="s">
        <v>2344</v>
      </c>
      <c r="J1797" t="str">
        <f t="shared" si="113"/>
        <v>Obesity</v>
      </c>
      <c r="K1797" t="str">
        <f t="shared" si="112"/>
        <v>Prediabetes</v>
      </c>
      <c r="L1797">
        <v>10</v>
      </c>
      <c r="M1797" t="s">
        <v>2363</v>
      </c>
      <c r="N1797">
        <v>2004</v>
      </c>
      <c r="O1797" s="8">
        <f t="shared" si="114"/>
        <v>38240</v>
      </c>
      <c r="P1797" s="10">
        <v>18223.45</v>
      </c>
      <c r="Q1797" t="s">
        <v>2361</v>
      </c>
      <c r="R1797" t="s">
        <v>2358</v>
      </c>
      <c r="S1797" t="s">
        <v>2359</v>
      </c>
      <c r="T1797">
        <f t="shared" ca="1" si="115"/>
        <v>22</v>
      </c>
      <c r="U1797">
        <f>VLOOKUP($A1797,'Medical Examination'!$A:$Z,2,FALSE)</f>
        <v>39.82</v>
      </c>
    </row>
    <row r="1798" spans="1:21" ht="15.5" x14ac:dyDescent="0.35">
      <c r="A1798" s="2" t="s">
        <v>1798</v>
      </c>
      <c r="B1798" s="2" t="s">
        <v>4854</v>
      </c>
      <c r="C1798">
        <v>22.04</v>
      </c>
      <c r="D1798">
        <v>5.86</v>
      </c>
      <c r="E1798" t="s">
        <v>2344</v>
      </c>
      <c r="F1798" t="s">
        <v>2344</v>
      </c>
      <c r="G1798" t="s">
        <v>2344</v>
      </c>
      <c r="H1798">
        <v>1</v>
      </c>
      <c r="I1798" t="s">
        <v>2344</v>
      </c>
      <c r="J1798" t="str">
        <f t="shared" si="113"/>
        <v>Normal Weight</v>
      </c>
      <c r="K1798" t="str">
        <f t="shared" si="112"/>
        <v>Prediabetes</v>
      </c>
      <c r="L1798">
        <v>3</v>
      </c>
      <c r="M1798" t="s">
        <v>2366</v>
      </c>
      <c r="N1798">
        <v>1995</v>
      </c>
      <c r="O1798" s="8">
        <f t="shared" si="114"/>
        <v>34914</v>
      </c>
      <c r="P1798" s="10">
        <v>18246.5</v>
      </c>
      <c r="Q1798" t="s">
        <v>2361</v>
      </c>
      <c r="R1798" t="s">
        <v>2361</v>
      </c>
      <c r="S1798" t="s">
        <v>2359</v>
      </c>
      <c r="T1798">
        <f t="shared" ca="1" si="115"/>
        <v>31</v>
      </c>
      <c r="U1798">
        <f>VLOOKUP($A1798,'Medical Examination'!$A:$Z,2,FALSE)</f>
        <v>22.04</v>
      </c>
    </row>
    <row r="1799" spans="1:21" ht="15.5" x14ac:dyDescent="0.35">
      <c r="A1799" s="2" t="s">
        <v>1799</v>
      </c>
      <c r="B1799" s="2" t="s">
        <v>4856</v>
      </c>
      <c r="C1799">
        <v>28.27</v>
      </c>
      <c r="D1799">
        <v>5.33</v>
      </c>
      <c r="E1799" t="s">
        <v>2344</v>
      </c>
      <c r="F1799" t="s">
        <v>2344</v>
      </c>
      <c r="G1799" t="s">
        <v>2344</v>
      </c>
      <c r="H1799">
        <v>0</v>
      </c>
      <c r="I1799" t="s">
        <v>2344</v>
      </c>
      <c r="J1799" t="str">
        <f t="shared" si="113"/>
        <v>Over weight</v>
      </c>
      <c r="K1799" t="str">
        <f t="shared" si="112"/>
        <v>Normal</v>
      </c>
      <c r="L1799">
        <v>25</v>
      </c>
      <c r="M1799" t="s">
        <v>2365</v>
      </c>
      <c r="N1799">
        <v>1992</v>
      </c>
      <c r="O1799" s="8">
        <f t="shared" si="114"/>
        <v>33963</v>
      </c>
      <c r="P1799" s="10">
        <v>18259.22</v>
      </c>
      <c r="Q1799" t="s">
        <v>2361</v>
      </c>
      <c r="R1799" t="s">
        <v>2358</v>
      </c>
      <c r="S1799" t="s">
        <v>2368</v>
      </c>
      <c r="T1799">
        <f t="shared" ca="1" si="115"/>
        <v>34</v>
      </c>
      <c r="U1799">
        <f>VLOOKUP($A1799,'Medical Examination'!$A:$Z,2,FALSE)</f>
        <v>28.27</v>
      </c>
    </row>
    <row r="1800" spans="1:21" ht="15.5" x14ac:dyDescent="0.35">
      <c r="A1800" s="2" t="s">
        <v>1800</v>
      </c>
      <c r="B1800" s="2" t="s">
        <v>3335</v>
      </c>
      <c r="C1800">
        <v>18.5</v>
      </c>
      <c r="D1800">
        <v>5.33</v>
      </c>
      <c r="E1800" t="s">
        <v>2344</v>
      </c>
      <c r="F1800" t="s">
        <v>2344</v>
      </c>
      <c r="G1800" t="s">
        <v>2344</v>
      </c>
      <c r="H1800">
        <v>0</v>
      </c>
      <c r="I1800" t="s">
        <v>2344</v>
      </c>
      <c r="J1800" t="str">
        <f t="shared" si="113"/>
        <v>Normal Weight</v>
      </c>
      <c r="K1800" t="str">
        <f t="shared" si="112"/>
        <v>Normal</v>
      </c>
      <c r="L1800">
        <v>4</v>
      </c>
      <c r="M1800" t="s">
        <v>2356</v>
      </c>
      <c r="N1800">
        <v>1995</v>
      </c>
      <c r="O1800" s="8">
        <f t="shared" si="114"/>
        <v>34884</v>
      </c>
      <c r="P1800" s="10">
        <v>18310.740000000002</v>
      </c>
      <c r="Q1800" t="s">
        <v>2361</v>
      </c>
      <c r="R1800" t="s">
        <v>2358</v>
      </c>
      <c r="S1800" t="s">
        <v>2364</v>
      </c>
      <c r="T1800">
        <f t="shared" ca="1" si="115"/>
        <v>31</v>
      </c>
      <c r="U1800">
        <f>VLOOKUP($A1800,'Medical Examination'!$A:$Z,2,FALSE)</f>
        <v>18.5</v>
      </c>
    </row>
    <row r="1801" spans="1:21" ht="15.5" x14ac:dyDescent="0.35">
      <c r="A1801" s="2" t="s">
        <v>1801</v>
      </c>
      <c r="B1801" s="2" t="s">
        <v>4857</v>
      </c>
      <c r="C1801">
        <v>38.6</v>
      </c>
      <c r="D1801">
        <v>6.02</v>
      </c>
      <c r="E1801" t="s">
        <v>2344</v>
      </c>
      <c r="F1801" t="s">
        <v>2344</v>
      </c>
      <c r="G1801" t="s">
        <v>2344</v>
      </c>
      <c r="H1801">
        <v>1</v>
      </c>
      <c r="I1801" t="s">
        <v>2344</v>
      </c>
      <c r="J1801" t="str">
        <f t="shared" si="113"/>
        <v>Obesity</v>
      </c>
      <c r="K1801" t="str">
        <f t="shared" si="112"/>
        <v>Prediabetes</v>
      </c>
      <c r="L1801">
        <v>15</v>
      </c>
      <c r="M1801" t="s">
        <v>2365</v>
      </c>
      <c r="N1801">
        <v>1999</v>
      </c>
      <c r="O1801" s="8">
        <f t="shared" si="114"/>
        <v>36509</v>
      </c>
      <c r="P1801" s="10">
        <v>18328.240000000002</v>
      </c>
      <c r="Q1801" t="s">
        <v>2361</v>
      </c>
      <c r="R1801" t="s">
        <v>2357</v>
      </c>
      <c r="S1801" t="s">
        <v>2359</v>
      </c>
      <c r="T1801">
        <f t="shared" ca="1" si="115"/>
        <v>27</v>
      </c>
      <c r="U1801">
        <f>VLOOKUP($A1801,'Medical Examination'!$A:$Z,2,FALSE)</f>
        <v>38.6</v>
      </c>
    </row>
    <row r="1802" spans="1:21" ht="15.5" x14ac:dyDescent="0.35">
      <c r="A1802" s="2" t="s">
        <v>1802</v>
      </c>
      <c r="B1802" s="2" t="s">
        <v>4860</v>
      </c>
      <c r="C1802">
        <v>43.12</v>
      </c>
      <c r="D1802">
        <v>6.25</v>
      </c>
      <c r="E1802" t="s">
        <v>2344</v>
      </c>
      <c r="F1802" t="s">
        <v>2344</v>
      </c>
      <c r="G1802" t="s">
        <v>2344</v>
      </c>
      <c r="H1802">
        <v>1</v>
      </c>
      <c r="I1802" t="s">
        <v>2344</v>
      </c>
      <c r="J1802" t="str">
        <f t="shared" si="113"/>
        <v>Obesity</v>
      </c>
      <c r="K1802" t="str">
        <f t="shared" si="112"/>
        <v>Prediabetes</v>
      </c>
      <c r="L1802">
        <v>26</v>
      </c>
      <c r="M1802" t="s">
        <v>2363</v>
      </c>
      <c r="N1802">
        <v>1964</v>
      </c>
      <c r="O1802" s="8">
        <f t="shared" si="114"/>
        <v>23646</v>
      </c>
      <c r="P1802" s="10">
        <v>18443.11</v>
      </c>
      <c r="Q1802" t="s">
        <v>2361</v>
      </c>
      <c r="R1802" t="s">
        <v>2357</v>
      </c>
      <c r="S1802" t="s">
        <v>2364</v>
      </c>
      <c r="T1802">
        <f t="shared" ca="1" si="115"/>
        <v>62</v>
      </c>
      <c r="U1802">
        <f>VLOOKUP($A1802,'Medical Examination'!$A:$Z,2,FALSE)</f>
        <v>43.12</v>
      </c>
    </row>
    <row r="1803" spans="1:21" ht="15.5" x14ac:dyDescent="0.35">
      <c r="A1803" s="2" t="s">
        <v>1803</v>
      </c>
      <c r="B1803" s="2" t="s">
        <v>4861</v>
      </c>
      <c r="C1803">
        <v>30.5</v>
      </c>
      <c r="D1803">
        <v>4.8099999999999996</v>
      </c>
      <c r="E1803" t="s">
        <v>2344</v>
      </c>
      <c r="F1803" t="s">
        <v>2344</v>
      </c>
      <c r="G1803" t="s">
        <v>2344</v>
      </c>
      <c r="H1803">
        <v>1</v>
      </c>
      <c r="I1803" t="s">
        <v>2344</v>
      </c>
      <c r="J1803" t="str">
        <f t="shared" si="113"/>
        <v>Obesity</v>
      </c>
      <c r="K1803" t="str">
        <f t="shared" si="112"/>
        <v>Normal</v>
      </c>
      <c r="L1803">
        <v>12</v>
      </c>
      <c r="M1803" t="s">
        <v>2366</v>
      </c>
      <c r="N1803">
        <v>1986</v>
      </c>
      <c r="O1803" s="8">
        <f t="shared" si="114"/>
        <v>31636</v>
      </c>
      <c r="P1803" s="10">
        <v>18608.259999999998</v>
      </c>
      <c r="Q1803" t="s">
        <v>2361</v>
      </c>
      <c r="R1803" t="s">
        <v>2358</v>
      </c>
      <c r="S1803" t="s">
        <v>2368</v>
      </c>
      <c r="T1803">
        <f t="shared" ca="1" si="115"/>
        <v>40</v>
      </c>
      <c r="U1803">
        <f>VLOOKUP($A1803,'Medical Examination'!$A:$Z,2,FALSE)</f>
        <v>30.5</v>
      </c>
    </row>
    <row r="1804" spans="1:21" ht="15.5" x14ac:dyDescent="0.35">
      <c r="A1804" s="2" t="s">
        <v>1804</v>
      </c>
      <c r="B1804" s="2" t="s">
        <v>2800</v>
      </c>
      <c r="C1804">
        <v>27.61</v>
      </c>
      <c r="D1804">
        <v>4.5999999999999996</v>
      </c>
      <c r="E1804" t="s">
        <v>2344</v>
      </c>
      <c r="F1804" t="s">
        <v>2344</v>
      </c>
      <c r="G1804" t="s">
        <v>2344</v>
      </c>
      <c r="H1804">
        <v>1</v>
      </c>
      <c r="I1804" t="s">
        <v>2344</v>
      </c>
      <c r="J1804" t="str">
        <f t="shared" si="113"/>
        <v>Over weight</v>
      </c>
      <c r="K1804" t="str">
        <f t="shared" ref="K1804:K1867" si="116">IF(D1804&lt;5.7,"Normal",IF(D1804&lt;6.5,"Prediabetes","Diabetes"))</f>
        <v>Normal</v>
      </c>
      <c r="L1804">
        <v>23</v>
      </c>
      <c r="M1804" t="s">
        <v>2363</v>
      </c>
      <c r="N1804">
        <v>1998</v>
      </c>
      <c r="O1804" s="8">
        <f t="shared" si="114"/>
        <v>36061</v>
      </c>
      <c r="P1804" s="10">
        <v>18648.419999999998</v>
      </c>
      <c r="Q1804" t="s">
        <v>2361</v>
      </c>
      <c r="R1804" t="s">
        <v>2361</v>
      </c>
      <c r="S1804" t="s">
        <v>2370</v>
      </c>
      <c r="T1804">
        <f t="shared" ca="1" si="115"/>
        <v>28</v>
      </c>
      <c r="U1804">
        <f>VLOOKUP($A1804,'Medical Examination'!$A:$Z,2,FALSE)</f>
        <v>27.61</v>
      </c>
    </row>
    <row r="1805" spans="1:21" ht="15.5" x14ac:dyDescent="0.35">
      <c r="A1805" s="2" t="s">
        <v>1805</v>
      </c>
      <c r="B1805" s="2" t="s">
        <v>2463</v>
      </c>
      <c r="C1805">
        <v>27.1</v>
      </c>
      <c r="D1805">
        <v>5.08</v>
      </c>
      <c r="E1805" t="s">
        <v>2344</v>
      </c>
      <c r="F1805" t="s">
        <v>2344</v>
      </c>
      <c r="G1805" t="s">
        <v>2344</v>
      </c>
      <c r="H1805">
        <v>1</v>
      </c>
      <c r="I1805" t="s">
        <v>2344</v>
      </c>
      <c r="J1805" t="str">
        <f t="shared" si="113"/>
        <v>Over weight</v>
      </c>
      <c r="K1805" t="str">
        <f t="shared" si="116"/>
        <v>Normal</v>
      </c>
      <c r="L1805">
        <v>17</v>
      </c>
      <c r="M1805" t="s">
        <v>2367</v>
      </c>
      <c r="N1805">
        <v>1970</v>
      </c>
      <c r="O1805" s="8">
        <f t="shared" si="114"/>
        <v>25858</v>
      </c>
      <c r="P1805" s="10">
        <v>18682.740000000002</v>
      </c>
      <c r="Q1805" t="s">
        <v>2361</v>
      </c>
      <c r="R1805" t="s">
        <v>2358</v>
      </c>
      <c r="S1805" t="s">
        <v>2364</v>
      </c>
      <c r="T1805">
        <f t="shared" ca="1" si="115"/>
        <v>56</v>
      </c>
      <c r="U1805">
        <f>VLOOKUP($A1805,'Medical Examination'!$A:$Z,2,FALSE)</f>
        <v>27.1</v>
      </c>
    </row>
    <row r="1806" spans="1:21" ht="15.5" x14ac:dyDescent="0.35">
      <c r="A1806" s="2" t="s">
        <v>1806</v>
      </c>
      <c r="B1806" s="2" t="s">
        <v>4863</v>
      </c>
      <c r="C1806">
        <v>35.93</v>
      </c>
      <c r="D1806">
        <v>5.43</v>
      </c>
      <c r="E1806" t="s">
        <v>2344</v>
      </c>
      <c r="F1806" t="s">
        <v>2345</v>
      </c>
      <c r="G1806" t="s">
        <v>2344</v>
      </c>
      <c r="H1806">
        <v>1</v>
      </c>
      <c r="I1806" t="s">
        <v>2344</v>
      </c>
      <c r="J1806" t="str">
        <f t="shared" si="113"/>
        <v>Obesity</v>
      </c>
      <c r="K1806" t="str">
        <f t="shared" si="116"/>
        <v>Normal</v>
      </c>
      <c r="L1806">
        <v>30</v>
      </c>
      <c r="M1806" t="s">
        <v>2366</v>
      </c>
      <c r="N1806">
        <v>1967</v>
      </c>
      <c r="O1806" s="8">
        <f t="shared" si="114"/>
        <v>24714</v>
      </c>
      <c r="P1806" s="10">
        <v>18694.689999999999</v>
      </c>
      <c r="Q1806" t="s">
        <v>2361</v>
      </c>
      <c r="R1806" t="s">
        <v>2361</v>
      </c>
      <c r="S1806" t="s">
        <v>2375</v>
      </c>
      <c r="T1806">
        <f t="shared" ca="1" si="115"/>
        <v>59</v>
      </c>
      <c r="U1806">
        <f>VLOOKUP($A1806,'Medical Examination'!$A:$Z,2,FALSE)</f>
        <v>35.93</v>
      </c>
    </row>
    <row r="1807" spans="1:21" ht="15.5" x14ac:dyDescent="0.35">
      <c r="A1807" s="2" t="s">
        <v>1807</v>
      </c>
      <c r="B1807" s="2" t="s">
        <v>4864</v>
      </c>
      <c r="C1807">
        <v>32.68</v>
      </c>
      <c r="D1807">
        <v>5.44</v>
      </c>
      <c r="E1807" t="s">
        <v>2344</v>
      </c>
      <c r="F1807" t="s">
        <v>2344</v>
      </c>
      <c r="G1807" t="s">
        <v>2344</v>
      </c>
      <c r="H1807">
        <v>0</v>
      </c>
      <c r="I1807" t="s">
        <v>2344</v>
      </c>
      <c r="J1807" t="str">
        <f t="shared" si="113"/>
        <v>Obesity</v>
      </c>
      <c r="K1807" t="str">
        <f t="shared" si="116"/>
        <v>Normal</v>
      </c>
      <c r="L1807">
        <v>27</v>
      </c>
      <c r="M1807" t="s">
        <v>2365</v>
      </c>
      <c r="N1807">
        <v>1992</v>
      </c>
      <c r="O1807" s="8">
        <f t="shared" si="114"/>
        <v>33965</v>
      </c>
      <c r="P1807" s="10">
        <v>18765.88</v>
      </c>
      <c r="Q1807" t="s">
        <v>2361</v>
      </c>
      <c r="R1807" t="s">
        <v>2357</v>
      </c>
      <c r="S1807" t="s">
        <v>2364</v>
      </c>
      <c r="T1807">
        <f t="shared" ca="1" si="115"/>
        <v>34</v>
      </c>
      <c r="U1807">
        <f>VLOOKUP($A1807,'Medical Examination'!$A:$Z,2,FALSE)</f>
        <v>32.68</v>
      </c>
    </row>
    <row r="1808" spans="1:21" ht="15.5" x14ac:dyDescent="0.35">
      <c r="A1808" s="2" t="s">
        <v>1808</v>
      </c>
      <c r="B1808" s="2" t="s">
        <v>4865</v>
      </c>
      <c r="C1808">
        <v>20.74</v>
      </c>
      <c r="D1808">
        <v>11.69</v>
      </c>
      <c r="E1808" t="s">
        <v>2346</v>
      </c>
      <c r="F1808" t="s">
        <v>2344</v>
      </c>
      <c r="G1808" t="s">
        <v>2344</v>
      </c>
      <c r="H1808">
        <v>1</v>
      </c>
      <c r="I1808" t="s">
        <v>2344</v>
      </c>
      <c r="J1808" t="str">
        <f t="shared" si="113"/>
        <v>Normal Weight</v>
      </c>
      <c r="K1808" t="str">
        <f t="shared" si="116"/>
        <v>Diabetes</v>
      </c>
      <c r="L1808">
        <v>19</v>
      </c>
      <c r="M1808" t="s">
        <v>2360</v>
      </c>
      <c r="N1808">
        <v>1979</v>
      </c>
      <c r="O1808" s="8">
        <f t="shared" si="114"/>
        <v>29178</v>
      </c>
      <c r="P1808" s="10">
        <v>18767.740000000002</v>
      </c>
      <c r="Q1808" t="s">
        <v>2361</v>
      </c>
      <c r="R1808" t="s">
        <v>2361</v>
      </c>
      <c r="S1808" t="s">
        <v>2359</v>
      </c>
      <c r="T1808">
        <f t="shared" ca="1" si="115"/>
        <v>47</v>
      </c>
      <c r="U1808">
        <f>VLOOKUP($A1808,'Medical Examination'!$A:$Z,2,FALSE)</f>
        <v>20.74</v>
      </c>
    </row>
    <row r="1809" spans="1:21" ht="15.5" x14ac:dyDescent="0.35">
      <c r="A1809" s="2" t="s">
        <v>1809</v>
      </c>
      <c r="B1809" s="2" t="s">
        <v>4867</v>
      </c>
      <c r="C1809">
        <v>15.57</v>
      </c>
      <c r="D1809">
        <v>6.07</v>
      </c>
      <c r="E1809" t="s">
        <v>2344</v>
      </c>
      <c r="F1809" t="s">
        <v>2344</v>
      </c>
      <c r="G1809" t="s">
        <v>2344</v>
      </c>
      <c r="H1809">
        <v>0</v>
      </c>
      <c r="I1809" t="s">
        <v>2344</v>
      </c>
      <c r="J1809" t="str">
        <f t="shared" si="113"/>
        <v>Under Weight</v>
      </c>
      <c r="K1809" t="str">
        <f t="shared" si="116"/>
        <v>Prediabetes</v>
      </c>
      <c r="L1809">
        <v>28</v>
      </c>
      <c r="M1809" t="s">
        <v>2360</v>
      </c>
      <c r="N1809">
        <v>1995</v>
      </c>
      <c r="O1809" s="8">
        <f t="shared" si="114"/>
        <v>35031</v>
      </c>
      <c r="P1809" s="10">
        <v>18804.75</v>
      </c>
      <c r="Q1809" t="s">
        <v>2361</v>
      </c>
      <c r="R1809" t="s">
        <v>2361</v>
      </c>
      <c r="S1809" t="s">
        <v>2364</v>
      </c>
      <c r="T1809">
        <f t="shared" ca="1" si="115"/>
        <v>31</v>
      </c>
      <c r="U1809">
        <f>VLOOKUP($A1809,'Medical Examination'!$A:$Z,2,FALSE)</f>
        <v>15.57</v>
      </c>
    </row>
    <row r="1810" spans="1:21" ht="15.5" x14ac:dyDescent="0.35">
      <c r="A1810" s="2" t="s">
        <v>1810</v>
      </c>
      <c r="B1810" s="2" t="s">
        <v>4869</v>
      </c>
      <c r="C1810">
        <v>23.844999999999999</v>
      </c>
      <c r="D1810">
        <v>4.3600000000000003</v>
      </c>
      <c r="E1810" t="s">
        <v>2344</v>
      </c>
      <c r="F1810" t="s">
        <v>2344</v>
      </c>
      <c r="G1810" t="s">
        <v>2344</v>
      </c>
      <c r="H1810">
        <v>0</v>
      </c>
      <c r="I1810" t="s">
        <v>2344</v>
      </c>
      <c r="J1810" t="str">
        <f t="shared" si="113"/>
        <v>Normal Weight</v>
      </c>
      <c r="K1810" t="str">
        <f t="shared" si="116"/>
        <v>Normal</v>
      </c>
      <c r="L1810">
        <v>15</v>
      </c>
      <c r="M1810" t="s">
        <v>2367</v>
      </c>
      <c r="N1810">
        <v>1979</v>
      </c>
      <c r="O1810" s="8">
        <f t="shared" si="114"/>
        <v>29143</v>
      </c>
      <c r="P1810" s="10">
        <v>18806.150000000001</v>
      </c>
      <c r="Q1810" t="s">
        <v>2361</v>
      </c>
      <c r="R1810" t="s">
        <v>2357</v>
      </c>
      <c r="S1810" t="s">
        <v>2359</v>
      </c>
      <c r="T1810">
        <f t="shared" ca="1" si="115"/>
        <v>47</v>
      </c>
      <c r="U1810">
        <f>VLOOKUP($A1810,'Medical Examination'!$A:$Z,2,FALSE)</f>
        <v>23.844999999999999</v>
      </c>
    </row>
    <row r="1811" spans="1:21" ht="15.5" x14ac:dyDescent="0.35">
      <c r="A1811" s="2" t="s">
        <v>1811</v>
      </c>
      <c r="B1811" s="2" t="s">
        <v>4870</v>
      </c>
      <c r="C1811">
        <v>22.895</v>
      </c>
      <c r="D1811">
        <v>5.24</v>
      </c>
      <c r="E1811" t="s">
        <v>2344</v>
      </c>
      <c r="F1811" t="s">
        <v>2344</v>
      </c>
      <c r="G1811" t="s">
        <v>2344</v>
      </c>
      <c r="H1811">
        <v>1</v>
      </c>
      <c r="I1811" t="s">
        <v>2344</v>
      </c>
      <c r="J1811" t="str">
        <f t="shared" si="113"/>
        <v>Normal Weight</v>
      </c>
      <c r="K1811" t="str">
        <f t="shared" si="116"/>
        <v>Normal</v>
      </c>
      <c r="L1811">
        <v>18</v>
      </c>
      <c r="M1811" t="s">
        <v>2365</v>
      </c>
      <c r="N1811">
        <v>1962</v>
      </c>
      <c r="O1811" s="8">
        <f t="shared" si="114"/>
        <v>22998</v>
      </c>
      <c r="P1811" s="10">
        <v>18815.53</v>
      </c>
      <c r="Q1811" t="s">
        <v>2361</v>
      </c>
      <c r="R1811" t="s">
        <v>2361</v>
      </c>
      <c r="S1811" t="s">
        <v>2375</v>
      </c>
      <c r="T1811">
        <f t="shared" ca="1" si="115"/>
        <v>64</v>
      </c>
      <c r="U1811">
        <f>VLOOKUP($A1811,'Medical Examination'!$A:$Z,2,FALSE)</f>
        <v>22.895</v>
      </c>
    </row>
    <row r="1812" spans="1:21" ht="15.5" x14ac:dyDescent="0.35">
      <c r="A1812" s="2" t="s">
        <v>1812</v>
      </c>
      <c r="B1812" s="2" t="s">
        <v>4871</v>
      </c>
      <c r="C1812">
        <v>21.945</v>
      </c>
      <c r="D1812">
        <v>5.37</v>
      </c>
      <c r="E1812" t="s">
        <v>2344</v>
      </c>
      <c r="F1812" t="s">
        <v>2344</v>
      </c>
      <c r="G1812" t="s">
        <v>2344</v>
      </c>
      <c r="H1812">
        <v>1</v>
      </c>
      <c r="I1812" t="s">
        <v>2344</v>
      </c>
      <c r="J1812" t="str">
        <f t="shared" si="113"/>
        <v>Normal Weight</v>
      </c>
      <c r="K1812" t="str">
        <f t="shared" si="116"/>
        <v>Normal</v>
      </c>
      <c r="L1812">
        <v>24</v>
      </c>
      <c r="M1812" t="s">
        <v>2356</v>
      </c>
      <c r="N1812">
        <v>2003</v>
      </c>
      <c r="O1812" s="8">
        <f t="shared" si="114"/>
        <v>37826</v>
      </c>
      <c r="P1812" s="10">
        <v>18838.7</v>
      </c>
      <c r="Q1812" t="s">
        <v>2361</v>
      </c>
      <c r="R1812" t="s">
        <v>2358</v>
      </c>
      <c r="S1812" t="s">
        <v>2364</v>
      </c>
      <c r="T1812">
        <f t="shared" ca="1" si="115"/>
        <v>23</v>
      </c>
      <c r="U1812">
        <f>VLOOKUP($A1812,'Medical Examination'!$A:$Z,2,FALSE)</f>
        <v>21.945</v>
      </c>
    </row>
    <row r="1813" spans="1:21" ht="15.5" x14ac:dyDescent="0.35">
      <c r="A1813" s="2" t="s">
        <v>1813</v>
      </c>
      <c r="B1813" s="2" t="s">
        <v>4873</v>
      </c>
      <c r="C1813">
        <v>19.47</v>
      </c>
      <c r="D1813">
        <v>6.6</v>
      </c>
      <c r="E1813" t="s">
        <v>2346</v>
      </c>
      <c r="F1813" t="s">
        <v>2344</v>
      </c>
      <c r="G1813" t="s">
        <v>2344</v>
      </c>
      <c r="H1813">
        <v>0</v>
      </c>
      <c r="I1813" t="s">
        <v>2344</v>
      </c>
      <c r="J1813" t="str">
        <f t="shared" si="113"/>
        <v>Normal Weight</v>
      </c>
      <c r="K1813" t="str">
        <f t="shared" si="116"/>
        <v>Diabetes</v>
      </c>
      <c r="L1813">
        <v>6</v>
      </c>
      <c r="M1813" t="s">
        <v>2365</v>
      </c>
      <c r="N1813">
        <v>1963</v>
      </c>
      <c r="O1813" s="8">
        <f t="shared" si="114"/>
        <v>23351</v>
      </c>
      <c r="P1813" s="10">
        <v>18883.330000000002</v>
      </c>
      <c r="Q1813" t="s">
        <v>2361</v>
      </c>
      <c r="R1813" t="s">
        <v>2361</v>
      </c>
      <c r="S1813" t="s">
        <v>2380</v>
      </c>
      <c r="T1813">
        <f t="shared" ca="1" si="115"/>
        <v>63</v>
      </c>
      <c r="U1813">
        <f>VLOOKUP($A1813,'Medical Examination'!$A:$Z,2,FALSE)</f>
        <v>19.47</v>
      </c>
    </row>
    <row r="1814" spans="1:21" ht="15.5" x14ac:dyDescent="0.35">
      <c r="A1814" s="2" t="s">
        <v>1814</v>
      </c>
      <c r="B1814" s="2" t="s">
        <v>4874</v>
      </c>
      <c r="C1814">
        <v>15.61</v>
      </c>
      <c r="D1814">
        <v>5.77</v>
      </c>
      <c r="E1814" t="s">
        <v>2344</v>
      </c>
      <c r="F1814" t="s">
        <v>2344</v>
      </c>
      <c r="G1814" t="s">
        <v>2344</v>
      </c>
      <c r="H1814">
        <v>0</v>
      </c>
      <c r="I1814" t="s">
        <v>2344</v>
      </c>
      <c r="J1814" t="str">
        <f t="shared" si="113"/>
        <v>Under Weight</v>
      </c>
      <c r="K1814" t="str">
        <f t="shared" si="116"/>
        <v>Prediabetes</v>
      </c>
      <c r="L1814">
        <v>27</v>
      </c>
      <c r="M1814" t="s">
        <v>2363</v>
      </c>
      <c r="N1814">
        <v>1995</v>
      </c>
      <c r="O1814" s="8">
        <f t="shared" si="114"/>
        <v>34969</v>
      </c>
      <c r="P1814" s="10">
        <v>18903.490000000002</v>
      </c>
      <c r="Q1814" t="s">
        <v>2361</v>
      </c>
      <c r="R1814" t="s">
        <v>2357</v>
      </c>
      <c r="S1814" t="s">
        <v>2374</v>
      </c>
      <c r="T1814">
        <f t="shared" ca="1" si="115"/>
        <v>31</v>
      </c>
      <c r="U1814">
        <f>VLOOKUP($A1814,'Medical Examination'!$A:$Z,2,FALSE)</f>
        <v>15.61</v>
      </c>
    </row>
    <row r="1815" spans="1:21" ht="15.5" x14ac:dyDescent="0.35">
      <c r="A1815" s="2" t="s">
        <v>1815</v>
      </c>
      <c r="B1815" s="2" t="s">
        <v>4875</v>
      </c>
      <c r="C1815">
        <v>28.6</v>
      </c>
      <c r="D1815">
        <v>6.08</v>
      </c>
      <c r="E1815" t="s">
        <v>2344</v>
      </c>
      <c r="F1815" t="s">
        <v>2344</v>
      </c>
      <c r="G1815" t="s">
        <v>2346</v>
      </c>
      <c r="H1815">
        <v>1</v>
      </c>
      <c r="I1815" t="s">
        <v>2344</v>
      </c>
      <c r="J1815" t="str">
        <f t="shared" si="113"/>
        <v>Over weight</v>
      </c>
      <c r="K1815" t="str">
        <f t="shared" si="116"/>
        <v>Prediabetes</v>
      </c>
      <c r="L1815">
        <v>3</v>
      </c>
      <c r="M1815" t="s">
        <v>2366</v>
      </c>
      <c r="N1815">
        <v>1969</v>
      </c>
      <c r="O1815" s="8">
        <f t="shared" si="114"/>
        <v>25418</v>
      </c>
      <c r="P1815" s="10">
        <v>18932.810000000001</v>
      </c>
      <c r="Q1815" t="s">
        <v>2361</v>
      </c>
      <c r="R1815" t="s">
        <v>2358</v>
      </c>
      <c r="S1815" t="s">
        <v>2364</v>
      </c>
      <c r="T1815">
        <f t="shared" ca="1" si="115"/>
        <v>57</v>
      </c>
      <c r="U1815">
        <f>VLOOKUP($A1815,'Medical Examination'!$A:$Z,2,FALSE)</f>
        <v>28.6</v>
      </c>
    </row>
    <row r="1816" spans="1:21" ht="15.5" x14ac:dyDescent="0.35">
      <c r="A1816" s="2" t="s">
        <v>1816</v>
      </c>
      <c r="B1816" s="2" t="s">
        <v>4876</v>
      </c>
      <c r="C1816">
        <v>46.53</v>
      </c>
      <c r="D1816">
        <v>4.16</v>
      </c>
      <c r="E1816" t="s">
        <v>2344</v>
      </c>
      <c r="F1816" t="s">
        <v>2344</v>
      </c>
      <c r="G1816" t="s">
        <v>2344</v>
      </c>
      <c r="H1816">
        <v>0</v>
      </c>
      <c r="I1816" t="s">
        <v>2344</v>
      </c>
      <c r="J1816" t="str">
        <f t="shared" si="113"/>
        <v>Obesity</v>
      </c>
      <c r="K1816" t="str">
        <f t="shared" si="116"/>
        <v>Normal</v>
      </c>
      <c r="L1816">
        <v>20</v>
      </c>
      <c r="M1816" t="s">
        <v>2367</v>
      </c>
      <c r="N1816">
        <v>1963</v>
      </c>
      <c r="O1816" s="8">
        <f t="shared" si="114"/>
        <v>23304</v>
      </c>
      <c r="P1816" s="10">
        <v>18954.560000000001</v>
      </c>
      <c r="Q1816" t="s">
        <v>2361</v>
      </c>
      <c r="R1816" t="s">
        <v>2361</v>
      </c>
      <c r="S1816" t="s">
        <v>2380</v>
      </c>
      <c r="T1816">
        <f t="shared" ca="1" si="115"/>
        <v>63</v>
      </c>
      <c r="U1816">
        <f>VLOOKUP($A1816,'Medical Examination'!$A:$Z,2,FALSE)</f>
        <v>46.53</v>
      </c>
    </row>
    <row r="1817" spans="1:21" ht="15.5" x14ac:dyDescent="0.35">
      <c r="A1817" s="2" t="s">
        <v>1817</v>
      </c>
      <c r="B1817" s="2" t="s">
        <v>4877</v>
      </c>
      <c r="C1817">
        <v>34.99</v>
      </c>
      <c r="D1817">
        <v>5.0999999999999996</v>
      </c>
      <c r="E1817" t="s">
        <v>2344</v>
      </c>
      <c r="F1817" t="s">
        <v>2344</v>
      </c>
      <c r="G1817" t="s">
        <v>2346</v>
      </c>
      <c r="H1817">
        <v>1</v>
      </c>
      <c r="I1817" t="s">
        <v>2344</v>
      </c>
      <c r="J1817" t="str">
        <f t="shared" si="113"/>
        <v>Obesity</v>
      </c>
      <c r="K1817" t="str">
        <f t="shared" si="116"/>
        <v>Normal</v>
      </c>
      <c r="L1817">
        <v>6</v>
      </c>
      <c r="M1817" t="s">
        <v>2366</v>
      </c>
      <c r="N1817">
        <v>1998</v>
      </c>
      <c r="O1817" s="8">
        <f t="shared" si="114"/>
        <v>36013</v>
      </c>
      <c r="P1817" s="10">
        <v>18955.22</v>
      </c>
      <c r="Q1817" t="s">
        <v>2361</v>
      </c>
      <c r="R1817" t="s">
        <v>2358</v>
      </c>
      <c r="S1817" t="s">
        <v>2368</v>
      </c>
      <c r="T1817">
        <f t="shared" ca="1" si="115"/>
        <v>28</v>
      </c>
      <c r="U1817">
        <f>VLOOKUP($A1817,'Medical Examination'!$A:$Z,2,FALSE)</f>
        <v>34.99</v>
      </c>
    </row>
    <row r="1818" spans="1:21" ht="15.5" x14ac:dyDescent="0.35">
      <c r="A1818" s="2" t="s">
        <v>1818</v>
      </c>
      <c r="B1818" s="2" t="s">
        <v>4879</v>
      </c>
      <c r="C1818">
        <v>17.05</v>
      </c>
      <c r="D1818">
        <v>5.3</v>
      </c>
      <c r="E1818" t="s">
        <v>2344</v>
      </c>
      <c r="F1818" t="s">
        <v>2344</v>
      </c>
      <c r="G1818" t="s">
        <v>2346</v>
      </c>
      <c r="H1818">
        <v>1</v>
      </c>
      <c r="I1818" t="s">
        <v>2344</v>
      </c>
      <c r="J1818" t="str">
        <f t="shared" si="113"/>
        <v>Under Weight</v>
      </c>
      <c r="K1818" t="str">
        <f t="shared" si="116"/>
        <v>Normal</v>
      </c>
      <c r="L1818">
        <v>30</v>
      </c>
      <c r="M1818" t="s">
        <v>2360</v>
      </c>
      <c r="N1818">
        <v>1992</v>
      </c>
      <c r="O1818" s="8">
        <f t="shared" si="114"/>
        <v>33938</v>
      </c>
      <c r="P1818" s="10">
        <v>18963.169999999998</v>
      </c>
      <c r="Q1818" t="s">
        <v>2361</v>
      </c>
      <c r="R1818" t="s">
        <v>2361</v>
      </c>
      <c r="S1818" t="s">
        <v>2359</v>
      </c>
      <c r="T1818">
        <f t="shared" ca="1" si="115"/>
        <v>34</v>
      </c>
      <c r="U1818">
        <f>VLOOKUP($A1818,'Medical Examination'!$A:$Z,2,FALSE)</f>
        <v>17.05</v>
      </c>
    </row>
    <row r="1819" spans="1:21" ht="15.5" x14ac:dyDescent="0.35">
      <c r="A1819" s="2" t="s">
        <v>1819</v>
      </c>
      <c r="B1819" s="2" t="s">
        <v>4880</v>
      </c>
      <c r="C1819">
        <v>37.18</v>
      </c>
      <c r="D1819">
        <v>4.9000000000000004</v>
      </c>
      <c r="E1819" t="s">
        <v>2344</v>
      </c>
      <c r="F1819" t="s">
        <v>2344</v>
      </c>
      <c r="G1819" t="s">
        <v>2344</v>
      </c>
      <c r="H1819">
        <v>0</v>
      </c>
      <c r="I1819" t="s">
        <v>2344</v>
      </c>
      <c r="J1819" t="str">
        <f t="shared" si="113"/>
        <v>Obesity</v>
      </c>
      <c r="K1819" t="str">
        <f t="shared" si="116"/>
        <v>Normal</v>
      </c>
      <c r="L1819">
        <v>24</v>
      </c>
      <c r="M1819" t="s">
        <v>2367</v>
      </c>
      <c r="N1819">
        <v>1988</v>
      </c>
      <c r="O1819" s="8">
        <f t="shared" si="114"/>
        <v>32440</v>
      </c>
      <c r="P1819" s="10">
        <v>18972.5</v>
      </c>
      <c r="Q1819" t="s">
        <v>2361</v>
      </c>
      <c r="R1819" t="s">
        <v>2358</v>
      </c>
      <c r="S1819" t="s">
        <v>2359</v>
      </c>
      <c r="T1819">
        <f t="shared" ca="1" si="115"/>
        <v>38</v>
      </c>
      <c r="U1819">
        <f>VLOOKUP($A1819,'Medical Examination'!$A:$Z,2,FALSE)</f>
        <v>37.18</v>
      </c>
    </row>
    <row r="1820" spans="1:21" ht="15.5" x14ac:dyDescent="0.35">
      <c r="A1820" s="2" t="s">
        <v>1820</v>
      </c>
      <c r="B1820" s="2" t="s">
        <v>3949</v>
      </c>
      <c r="C1820">
        <v>35.200000000000003</v>
      </c>
      <c r="D1820">
        <v>5.55</v>
      </c>
      <c r="E1820" t="s">
        <v>2344</v>
      </c>
      <c r="F1820" t="s">
        <v>2344</v>
      </c>
      <c r="G1820" t="s">
        <v>2344</v>
      </c>
      <c r="H1820">
        <v>0</v>
      </c>
      <c r="I1820" t="s">
        <v>2344</v>
      </c>
      <c r="J1820" t="str">
        <f t="shared" si="113"/>
        <v>Obesity</v>
      </c>
      <c r="K1820" t="str">
        <f t="shared" si="116"/>
        <v>Normal</v>
      </c>
      <c r="L1820">
        <v>19</v>
      </c>
      <c r="M1820" t="s">
        <v>2365</v>
      </c>
      <c r="N1820">
        <v>1983</v>
      </c>
      <c r="O1820" s="8">
        <f t="shared" si="114"/>
        <v>30669</v>
      </c>
      <c r="P1820" s="10">
        <v>19023.259999999998</v>
      </c>
      <c r="Q1820" t="s">
        <v>2361</v>
      </c>
      <c r="R1820" t="s">
        <v>2358</v>
      </c>
      <c r="S1820" t="s">
        <v>2368</v>
      </c>
      <c r="T1820">
        <f t="shared" ca="1" si="115"/>
        <v>43</v>
      </c>
      <c r="U1820">
        <f>VLOOKUP($A1820,'Medical Examination'!$A:$Z,2,FALSE)</f>
        <v>35.200000000000003</v>
      </c>
    </row>
    <row r="1821" spans="1:21" ht="15.5" x14ac:dyDescent="0.35">
      <c r="A1821" s="2" t="s">
        <v>1821</v>
      </c>
      <c r="B1821" s="2" t="s">
        <v>4881</v>
      </c>
      <c r="C1821">
        <v>37.335000000000001</v>
      </c>
      <c r="D1821">
        <v>4.95</v>
      </c>
      <c r="E1821" t="s">
        <v>2344</v>
      </c>
      <c r="F1821" t="s">
        <v>2344</v>
      </c>
      <c r="G1821" t="s">
        <v>2344</v>
      </c>
      <c r="H1821">
        <v>0</v>
      </c>
      <c r="I1821" t="s">
        <v>2344</v>
      </c>
      <c r="J1821" t="str">
        <f t="shared" si="113"/>
        <v>Obesity</v>
      </c>
      <c r="K1821" t="str">
        <f t="shared" si="116"/>
        <v>Normal</v>
      </c>
      <c r="L1821">
        <v>5</v>
      </c>
      <c r="M1821" t="s">
        <v>2362</v>
      </c>
      <c r="N1821">
        <v>1989</v>
      </c>
      <c r="O1821" s="8">
        <f t="shared" si="114"/>
        <v>32664</v>
      </c>
      <c r="P1821" s="10">
        <v>19040.88</v>
      </c>
      <c r="Q1821" t="s">
        <v>2361</v>
      </c>
      <c r="R1821" t="s">
        <v>2358</v>
      </c>
      <c r="S1821" t="s">
        <v>2368</v>
      </c>
      <c r="T1821">
        <f t="shared" ca="1" si="115"/>
        <v>37</v>
      </c>
      <c r="U1821">
        <f>VLOOKUP($A1821,'Medical Examination'!$A:$Z,2,FALSE)</f>
        <v>37.335000000000001</v>
      </c>
    </row>
    <row r="1822" spans="1:21" ht="15.5" x14ac:dyDescent="0.35">
      <c r="A1822" s="2" t="s">
        <v>1822</v>
      </c>
      <c r="B1822" s="2" t="s">
        <v>4883</v>
      </c>
      <c r="C1822">
        <v>27.265000000000001</v>
      </c>
      <c r="D1822">
        <v>6.46</v>
      </c>
      <c r="E1822" t="s">
        <v>2346</v>
      </c>
      <c r="F1822" t="s">
        <v>2344</v>
      </c>
      <c r="G1822" t="s">
        <v>2344</v>
      </c>
      <c r="H1822">
        <v>0</v>
      </c>
      <c r="I1822" t="s">
        <v>2344</v>
      </c>
      <c r="J1822" t="str">
        <f t="shared" si="113"/>
        <v>Over weight</v>
      </c>
      <c r="K1822" t="str">
        <f t="shared" si="116"/>
        <v>Prediabetes</v>
      </c>
      <c r="L1822">
        <v>28</v>
      </c>
      <c r="M1822" t="s">
        <v>2363</v>
      </c>
      <c r="N1822">
        <v>1993</v>
      </c>
      <c r="O1822" s="8">
        <f t="shared" si="114"/>
        <v>34240</v>
      </c>
      <c r="P1822" s="10">
        <v>19107.78</v>
      </c>
      <c r="Q1822" t="s">
        <v>2361</v>
      </c>
      <c r="R1822" t="s">
        <v>2357</v>
      </c>
      <c r="S1822" t="s">
        <v>2359</v>
      </c>
      <c r="T1822">
        <f t="shared" ca="1" si="115"/>
        <v>33</v>
      </c>
      <c r="U1822">
        <f>VLOOKUP($A1822,'Medical Examination'!$A:$Z,2,FALSE)</f>
        <v>27.265000000000001</v>
      </c>
    </row>
    <row r="1823" spans="1:21" ht="15.5" x14ac:dyDescent="0.35">
      <c r="A1823" s="2" t="s">
        <v>1823</v>
      </c>
      <c r="B1823" s="2" t="s">
        <v>4884</v>
      </c>
      <c r="C1823">
        <v>30.8</v>
      </c>
      <c r="D1823">
        <v>4.9000000000000004</v>
      </c>
      <c r="E1823" t="s">
        <v>2346</v>
      </c>
      <c r="F1823" t="s">
        <v>2344</v>
      </c>
      <c r="G1823" t="s">
        <v>2344</v>
      </c>
      <c r="H1823">
        <v>0</v>
      </c>
      <c r="I1823" t="s">
        <v>2344</v>
      </c>
      <c r="J1823" t="str">
        <f t="shared" si="113"/>
        <v>Obesity</v>
      </c>
      <c r="K1823" t="str">
        <f t="shared" si="116"/>
        <v>Normal</v>
      </c>
      <c r="L1823">
        <v>2</v>
      </c>
      <c r="M1823" t="s">
        <v>2356</v>
      </c>
      <c r="N1823">
        <v>1979</v>
      </c>
      <c r="O1823" s="8">
        <f t="shared" si="114"/>
        <v>29038</v>
      </c>
      <c r="P1823" s="10">
        <v>19144.580000000002</v>
      </c>
      <c r="Q1823" t="s">
        <v>2361</v>
      </c>
      <c r="R1823" t="s">
        <v>2361</v>
      </c>
      <c r="S1823" t="s">
        <v>2374</v>
      </c>
      <c r="T1823">
        <f t="shared" ca="1" si="115"/>
        <v>47</v>
      </c>
      <c r="U1823">
        <f>VLOOKUP($A1823,'Medical Examination'!$A:$Z,2,FALSE)</f>
        <v>30.8</v>
      </c>
    </row>
    <row r="1824" spans="1:21" ht="15.5" x14ac:dyDescent="0.35">
      <c r="A1824" s="2" t="s">
        <v>1824</v>
      </c>
      <c r="B1824" s="2" t="s">
        <v>2600</v>
      </c>
      <c r="C1824">
        <v>30.21</v>
      </c>
      <c r="D1824">
        <v>5.21</v>
      </c>
      <c r="E1824" t="s">
        <v>2344</v>
      </c>
      <c r="F1824" t="s">
        <v>2344</v>
      </c>
      <c r="G1824" t="s">
        <v>2344</v>
      </c>
      <c r="H1824">
        <v>1</v>
      </c>
      <c r="I1824" t="s">
        <v>2344</v>
      </c>
      <c r="J1824" t="str">
        <f t="shared" si="113"/>
        <v>Obesity</v>
      </c>
      <c r="K1824" t="str">
        <f t="shared" si="116"/>
        <v>Normal</v>
      </c>
      <c r="L1824">
        <v>16</v>
      </c>
      <c r="M1824" t="s">
        <v>2363</v>
      </c>
      <c r="N1824">
        <v>1991</v>
      </c>
      <c r="O1824" s="8">
        <f t="shared" si="114"/>
        <v>33497</v>
      </c>
      <c r="P1824" s="10">
        <v>19199.939999999999</v>
      </c>
      <c r="Q1824" t="s">
        <v>2361</v>
      </c>
      <c r="R1824" t="s">
        <v>2358</v>
      </c>
      <c r="S1824" t="s">
        <v>2368</v>
      </c>
      <c r="T1824">
        <f t="shared" ca="1" si="115"/>
        <v>35</v>
      </c>
      <c r="U1824">
        <f>VLOOKUP($A1824,'Medical Examination'!$A:$Z,2,FALSE)</f>
        <v>30.21</v>
      </c>
    </row>
    <row r="1825" spans="1:21" ht="15.5" x14ac:dyDescent="0.35">
      <c r="A1825" s="2" t="s">
        <v>1825</v>
      </c>
      <c r="B1825" s="2" t="s">
        <v>3600</v>
      </c>
      <c r="C1825">
        <v>35.340000000000003</v>
      </c>
      <c r="D1825">
        <v>4.13</v>
      </c>
      <c r="E1825" t="s">
        <v>2344</v>
      </c>
      <c r="F1825" t="s">
        <v>2345</v>
      </c>
      <c r="G1825" t="s">
        <v>2344</v>
      </c>
      <c r="H1825">
        <v>1</v>
      </c>
      <c r="I1825" t="s">
        <v>2344</v>
      </c>
      <c r="J1825" t="str">
        <f t="shared" si="113"/>
        <v>Obesity</v>
      </c>
      <c r="K1825" t="str">
        <f t="shared" si="116"/>
        <v>Normal</v>
      </c>
      <c r="L1825">
        <v>28</v>
      </c>
      <c r="M1825" t="s">
        <v>2365</v>
      </c>
      <c r="N1825">
        <v>1985</v>
      </c>
      <c r="O1825" s="8">
        <f t="shared" si="114"/>
        <v>31409</v>
      </c>
      <c r="P1825" s="10">
        <v>19214.71</v>
      </c>
      <c r="Q1825" t="s">
        <v>2361</v>
      </c>
      <c r="R1825" t="s">
        <v>2358</v>
      </c>
      <c r="S1825" t="s">
        <v>2359</v>
      </c>
      <c r="T1825">
        <f t="shared" ca="1" si="115"/>
        <v>41</v>
      </c>
      <c r="U1825">
        <f>VLOOKUP($A1825,'Medical Examination'!$A:$Z,2,FALSE)</f>
        <v>35.340000000000003</v>
      </c>
    </row>
    <row r="1826" spans="1:21" ht="15.5" x14ac:dyDescent="0.35">
      <c r="A1826" s="2" t="s">
        <v>1826</v>
      </c>
      <c r="B1826" s="2" t="s">
        <v>4886</v>
      </c>
      <c r="C1826">
        <v>26.695</v>
      </c>
      <c r="D1826">
        <v>5.28</v>
      </c>
      <c r="E1826" t="s">
        <v>2344</v>
      </c>
      <c r="F1826" t="s">
        <v>2344</v>
      </c>
      <c r="G1826" t="s">
        <v>2344</v>
      </c>
      <c r="H1826">
        <v>0</v>
      </c>
      <c r="I1826" t="s">
        <v>2344</v>
      </c>
      <c r="J1826" t="str">
        <f t="shared" si="113"/>
        <v>Over weight</v>
      </c>
      <c r="K1826" t="str">
        <f t="shared" si="116"/>
        <v>Normal</v>
      </c>
      <c r="L1826">
        <v>29</v>
      </c>
      <c r="M1826" t="s">
        <v>2356</v>
      </c>
      <c r="N1826">
        <v>1967</v>
      </c>
      <c r="O1826" s="8">
        <f t="shared" si="114"/>
        <v>24682</v>
      </c>
      <c r="P1826" s="10">
        <v>19259.96</v>
      </c>
      <c r="Q1826" t="s">
        <v>2361</v>
      </c>
      <c r="R1826" t="s">
        <v>2361</v>
      </c>
      <c r="S1826" t="s">
        <v>2364</v>
      </c>
      <c r="T1826">
        <f t="shared" ca="1" si="115"/>
        <v>59</v>
      </c>
      <c r="U1826">
        <f>VLOOKUP($A1826,'Medical Examination'!$A:$Z,2,FALSE)</f>
        <v>26.695</v>
      </c>
    </row>
    <row r="1827" spans="1:21" ht="15.5" x14ac:dyDescent="0.35">
      <c r="A1827" s="2" t="s">
        <v>1827</v>
      </c>
      <c r="B1827" s="2" t="s">
        <v>4887</v>
      </c>
      <c r="C1827">
        <v>29.355</v>
      </c>
      <c r="D1827">
        <v>4.68</v>
      </c>
      <c r="E1827" t="s">
        <v>2346</v>
      </c>
      <c r="F1827" t="s">
        <v>2344</v>
      </c>
      <c r="G1827" t="s">
        <v>2344</v>
      </c>
      <c r="H1827">
        <v>0</v>
      </c>
      <c r="I1827" t="s">
        <v>2344</v>
      </c>
      <c r="J1827" t="str">
        <f t="shared" si="113"/>
        <v>Over weight</v>
      </c>
      <c r="K1827" t="str">
        <f t="shared" si="116"/>
        <v>Normal</v>
      </c>
      <c r="L1827">
        <v>15</v>
      </c>
      <c r="M1827" t="s">
        <v>2360</v>
      </c>
      <c r="N1827">
        <v>1966</v>
      </c>
      <c r="O1827" s="8">
        <f t="shared" si="114"/>
        <v>24426</v>
      </c>
      <c r="P1827" s="10">
        <v>19321.060000000001</v>
      </c>
      <c r="Q1827" t="s">
        <v>2361</v>
      </c>
      <c r="R1827" t="s">
        <v>2361</v>
      </c>
      <c r="S1827" t="s">
        <v>2364</v>
      </c>
      <c r="T1827">
        <f t="shared" ca="1" si="115"/>
        <v>60</v>
      </c>
      <c r="U1827">
        <f>VLOOKUP($A1827,'Medical Examination'!$A:$Z,2,FALSE)</f>
        <v>29.355</v>
      </c>
    </row>
    <row r="1828" spans="1:21" ht="15.5" x14ac:dyDescent="0.35">
      <c r="A1828" s="2" t="s">
        <v>1828</v>
      </c>
      <c r="B1828" s="2" t="s">
        <v>4889</v>
      </c>
      <c r="C1828">
        <v>29.59</v>
      </c>
      <c r="D1828">
        <v>4.0599999999999996</v>
      </c>
      <c r="E1828" t="s">
        <v>2344</v>
      </c>
      <c r="F1828" t="s">
        <v>2344</v>
      </c>
      <c r="G1828" t="s">
        <v>2344</v>
      </c>
      <c r="H1828">
        <v>0</v>
      </c>
      <c r="I1828" t="s">
        <v>2344</v>
      </c>
      <c r="J1828" t="str">
        <f t="shared" si="113"/>
        <v>Over weight</v>
      </c>
      <c r="K1828" t="str">
        <f t="shared" si="116"/>
        <v>Normal</v>
      </c>
      <c r="L1828">
        <v>24</v>
      </c>
      <c r="M1828" t="s">
        <v>2366</v>
      </c>
      <c r="N1828">
        <v>1991</v>
      </c>
      <c r="O1828" s="8">
        <f t="shared" si="114"/>
        <v>33474</v>
      </c>
      <c r="P1828" s="10">
        <v>19350.37</v>
      </c>
      <c r="Q1828" t="s">
        <v>2361</v>
      </c>
      <c r="R1828" t="s">
        <v>2358</v>
      </c>
      <c r="S1828" t="s">
        <v>2359</v>
      </c>
      <c r="T1828">
        <f t="shared" ca="1" si="115"/>
        <v>35</v>
      </c>
      <c r="U1828">
        <f>VLOOKUP($A1828,'Medical Examination'!$A:$Z,2,FALSE)</f>
        <v>29.59</v>
      </c>
    </row>
    <row r="1829" spans="1:21" ht="15.5" x14ac:dyDescent="0.35">
      <c r="A1829" s="2" t="s">
        <v>1829</v>
      </c>
      <c r="B1829" s="2" t="s">
        <v>4890</v>
      </c>
      <c r="C1829">
        <v>31.35</v>
      </c>
      <c r="D1829">
        <v>4.2</v>
      </c>
      <c r="E1829" t="s">
        <v>2344</v>
      </c>
      <c r="F1829" t="s">
        <v>2345</v>
      </c>
      <c r="G1829" t="s">
        <v>2344</v>
      </c>
      <c r="H1829">
        <v>1</v>
      </c>
      <c r="I1829" t="s">
        <v>2344</v>
      </c>
      <c r="J1829" t="str">
        <f t="shared" si="113"/>
        <v>Obesity</v>
      </c>
      <c r="K1829" t="str">
        <f t="shared" si="116"/>
        <v>Normal</v>
      </c>
      <c r="L1829">
        <v>30</v>
      </c>
      <c r="M1829" t="s">
        <v>2362</v>
      </c>
      <c r="N1829">
        <v>1987</v>
      </c>
      <c r="O1829" s="8">
        <f t="shared" si="114"/>
        <v>31958</v>
      </c>
      <c r="P1829" s="10">
        <v>19362</v>
      </c>
      <c r="Q1829" t="s">
        <v>2361</v>
      </c>
      <c r="R1829" t="s">
        <v>2358</v>
      </c>
      <c r="S1829" t="s">
        <v>2359</v>
      </c>
      <c r="T1829">
        <f t="shared" ca="1" si="115"/>
        <v>39</v>
      </c>
      <c r="U1829">
        <f>VLOOKUP($A1829,'Medical Examination'!$A:$Z,2,FALSE)</f>
        <v>31.35</v>
      </c>
    </row>
    <row r="1830" spans="1:21" ht="15.5" x14ac:dyDescent="0.35">
      <c r="A1830" s="2" t="s">
        <v>1830</v>
      </c>
      <c r="B1830" s="2" t="s">
        <v>4891</v>
      </c>
      <c r="C1830">
        <v>20.52</v>
      </c>
      <c r="D1830">
        <v>4.83</v>
      </c>
      <c r="E1830" t="s">
        <v>2344</v>
      </c>
      <c r="F1830" t="s">
        <v>2344</v>
      </c>
      <c r="G1830" t="s">
        <v>2344</v>
      </c>
      <c r="H1830">
        <v>0</v>
      </c>
      <c r="I1830" t="s">
        <v>2344</v>
      </c>
      <c r="J1830" t="str">
        <f t="shared" si="113"/>
        <v>Normal Weight</v>
      </c>
      <c r="K1830" t="str">
        <f t="shared" si="116"/>
        <v>Normal</v>
      </c>
      <c r="L1830">
        <v>6</v>
      </c>
      <c r="M1830" t="s">
        <v>2363</v>
      </c>
      <c r="N1830">
        <v>1993</v>
      </c>
      <c r="O1830" s="8">
        <f t="shared" si="114"/>
        <v>34218</v>
      </c>
      <c r="P1830" s="10">
        <v>19442.349999999999</v>
      </c>
      <c r="Q1830" t="s">
        <v>2361</v>
      </c>
      <c r="R1830" t="s">
        <v>2358</v>
      </c>
      <c r="S1830" t="s">
        <v>2364</v>
      </c>
      <c r="T1830">
        <f t="shared" ca="1" si="115"/>
        <v>33</v>
      </c>
      <c r="U1830">
        <f>VLOOKUP($A1830,'Medical Examination'!$A:$Z,2,FALSE)</f>
        <v>20.52</v>
      </c>
    </row>
    <row r="1831" spans="1:21" ht="15.5" x14ac:dyDescent="0.35">
      <c r="A1831" s="2" t="s">
        <v>1831</v>
      </c>
      <c r="B1831" s="2" t="s">
        <v>2775</v>
      </c>
      <c r="C1831">
        <v>42.9</v>
      </c>
      <c r="D1831">
        <v>4.87</v>
      </c>
      <c r="E1831" t="s">
        <v>2346</v>
      </c>
      <c r="F1831" t="s">
        <v>2344</v>
      </c>
      <c r="G1831" t="s">
        <v>2344</v>
      </c>
      <c r="H1831">
        <v>1</v>
      </c>
      <c r="I1831" t="s">
        <v>2344</v>
      </c>
      <c r="J1831" t="str">
        <f t="shared" si="113"/>
        <v>Obesity</v>
      </c>
      <c r="K1831" t="str">
        <f t="shared" si="116"/>
        <v>Normal</v>
      </c>
      <c r="L1831">
        <v>15</v>
      </c>
      <c r="M1831" t="s">
        <v>2365</v>
      </c>
      <c r="N1831">
        <v>1982</v>
      </c>
      <c r="O1831" s="8">
        <f t="shared" si="114"/>
        <v>30300</v>
      </c>
      <c r="P1831" s="10">
        <v>19444.27</v>
      </c>
      <c r="Q1831" t="s">
        <v>2361</v>
      </c>
      <c r="R1831" t="s">
        <v>2361</v>
      </c>
      <c r="S1831" t="s">
        <v>2359</v>
      </c>
      <c r="T1831">
        <f t="shared" ca="1" si="115"/>
        <v>44</v>
      </c>
      <c r="U1831">
        <f>VLOOKUP($A1831,'Medical Examination'!$A:$Z,2,FALSE)</f>
        <v>42.9</v>
      </c>
    </row>
    <row r="1832" spans="1:21" ht="15.5" x14ac:dyDescent="0.35">
      <c r="A1832" s="2" t="s">
        <v>1832</v>
      </c>
      <c r="B1832" s="2" t="s">
        <v>3950</v>
      </c>
      <c r="C1832">
        <v>24.6</v>
      </c>
      <c r="D1832">
        <v>5.86</v>
      </c>
      <c r="E1832" t="s">
        <v>2344</v>
      </c>
      <c r="F1832" t="s">
        <v>2344</v>
      </c>
      <c r="G1832" t="s">
        <v>2346</v>
      </c>
      <c r="H1832">
        <v>1</v>
      </c>
      <c r="I1832" t="s">
        <v>2344</v>
      </c>
      <c r="J1832" t="str">
        <f t="shared" si="113"/>
        <v>Normal Weight</v>
      </c>
      <c r="K1832" t="str">
        <f t="shared" si="116"/>
        <v>Prediabetes</v>
      </c>
      <c r="L1832">
        <v>30</v>
      </c>
      <c r="M1832" t="s">
        <v>2360</v>
      </c>
      <c r="N1832">
        <v>1987</v>
      </c>
      <c r="O1832" s="8">
        <f t="shared" si="114"/>
        <v>32111</v>
      </c>
      <c r="P1832" s="10">
        <v>19496.72</v>
      </c>
      <c r="Q1832" t="s">
        <v>2361</v>
      </c>
      <c r="R1832" t="s">
        <v>2358</v>
      </c>
      <c r="S1832" t="s">
        <v>2370</v>
      </c>
      <c r="T1832">
        <f t="shared" ca="1" si="115"/>
        <v>39</v>
      </c>
      <c r="U1832">
        <f>VLOOKUP($A1832,'Medical Examination'!$A:$Z,2,FALSE)</f>
        <v>24.6</v>
      </c>
    </row>
    <row r="1833" spans="1:21" ht="15.5" x14ac:dyDescent="0.35">
      <c r="A1833" s="2" t="s">
        <v>1833</v>
      </c>
      <c r="B1833" s="2" t="s">
        <v>3098</v>
      </c>
      <c r="C1833">
        <v>28.405000000000001</v>
      </c>
      <c r="D1833">
        <v>4.12</v>
      </c>
      <c r="E1833" t="s">
        <v>2344</v>
      </c>
      <c r="F1833" t="s">
        <v>2344</v>
      </c>
      <c r="G1833" t="s">
        <v>2344</v>
      </c>
      <c r="H1833">
        <v>1</v>
      </c>
      <c r="I1833" t="s">
        <v>2344</v>
      </c>
      <c r="J1833" t="str">
        <f t="shared" si="113"/>
        <v>Over weight</v>
      </c>
      <c r="K1833" t="str">
        <f t="shared" si="116"/>
        <v>Normal</v>
      </c>
      <c r="L1833">
        <v>8</v>
      </c>
      <c r="M1833" t="s">
        <v>2360</v>
      </c>
      <c r="N1833">
        <v>1980</v>
      </c>
      <c r="O1833" s="8">
        <f t="shared" si="114"/>
        <v>29533</v>
      </c>
      <c r="P1833" s="10">
        <v>19515.54</v>
      </c>
      <c r="Q1833" t="s">
        <v>2361</v>
      </c>
      <c r="R1833" t="s">
        <v>2361</v>
      </c>
      <c r="S1833" t="s">
        <v>2359</v>
      </c>
      <c r="T1833">
        <f t="shared" ca="1" si="115"/>
        <v>46</v>
      </c>
      <c r="U1833">
        <f>VLOOKUP($A1833,'Medical Examination'!$A:$Z,2,FALSE)</f>
        <v>28.405000000000001</v>
      </c>
    </row>
    <row r="1834" spans="1:21" ht="15.5" x14ac:dyDescent="0.35">
      <c r="A1834" s="2" t="s">
        <v>1834</v>
      </c>
      <c r="B1834" s="2" t="s">
        <v>4892</v>
      </c>
      <c r="C1834">
        <v>34.674999999999997</v>
      </c>
      <c r="D1834">
        <v>5.71</v>
      </c>
      <c r="E1834" t="s">
        <v>2346</v>
      </c>
      <c r="F1834" t="s">
        <v>2344</v>
      </c>
      <c r="G1834" t="s">
        <v>2344</v>
      </c>
      <c r="H1834">
        <v>1</v>
      </c>
      <c r="I1834" t="s">
        <v>2344</v>
      </c>
      <c r="J1834" t="str">
        <f t="shared" si="113"/>
        <v>Obesity</v>
      </c>
      <c r="K1834" t="str">
        <f t="shared" si="116"/>
        <v>Prediabetes</v>
      </c>
      <c r="L1834">
        <v>19</v>
      </c>
      <c r="M1834" t="s">
        <v>2366</v>
      </c>
      <c r="N1834">
        <v>1992</v>
      </c>
      <c r="O1834" s="8">
        <f t="shared" si="114"/>
        <v>33835</v>
      </c>
      <c r="P1834" s="10">
        <v>19521.97</v>
      </c>
      <c r="Q1834" t="s">
        <v>2361</v>
      </c>
      <c r="R1834" t="s">
        <v>2357</v>
      </c>
      <c r="S1834" t="s">
        <v>2359</v>
      </c>
      <c r="T1834">
        <f t="shared" ca="1" si="115"/>
        <v>34</v>
      </c>
      <c r="U1834">
        <f>VLOOKUP($A1834,'Medical Examination'!$A:$Z,2,FALSE)</f>
        <v>34.674999999999997</v>
      </c>
    </row>
    <row r="1835" spans="1:21" ht="15.5" x14ac:dyDescent="0.35">
      <c r="A1835" s="2" t="s">
        <v>1835</v>
      </c>
      <c r="B1835" s="2" t="s">
        <v>4894</v>
      </c>
      <c r="C1835">
        <v>18.850000000000001</v>
      </c>
      <c r="D1835">
        <v>6.03</v>
      </c>
      <c r="E1835" t="s">
        <v>2344</v>
      </c>
      <c r="F1835" t="s">
        <v>2344</v>
      </c>
      <c r="G1835" t="s">
        <v>2344</v>
      </c>
      <c r="H1835">
        <v>1</v>
      </c>
      <c r="I1835" t="s">
        <v>2344</v>
      </c>
      <c r="J1835" t="str">
        <f t="shared" si="113"/>
        <v>Normal Weight</v>
      </c>
      <c r="K1835" t="str">
        <f t="shared" si="116"/>
        <v>Prediabetes</v>
      </c>
      <c r="L1835">
        <v>17</v>
      </c>
      <c r="M1835" t="s">
        <v>2363</v>
      </c>
      <c r="N1835">
        <v>1985</v>
      </c>
      <c r="O1835" s="8">
        <f t="shared" si="114"/>
        <v>31307</v>
      </c>
      <c r="P1835" s="10">
        <v>19539.240000000002</v>
      </c>
      <c r="Q1835" t="s">
        <v>2361</v>
      </c>
      <c r="R1835" t="s">
        <v>2361</v>
      </c>
      <c r="S1835" t="s">
        <v>2359</v>
      </c>
      <c r="T1835">
        <f t="shared" ca="1" si="115"/>
        <v>41</v>
      </c>
      <c r="U1835">
        <f>VLOOKUP($A1835,'Medical Examination'!$A:$Z,2,FALSE)</f>
        <v>18.850000000000001</v>
      </c>
    </row>
    <row r="1836" spans="1:21" ht="15.5" x14ac:dyDescent="0.35">
      <c r="A1836" s="2" t="s">
        <v>1836</v>
      </c>
      <c r="B1836" s="2" t="s">
        <v>4895</v>
      </c>
      <c r="C1836">
        <v>34.130000000000003</v>
      </c>
      <c r="D1836">
        <v>5.65</v>
      </c>
      <c r="E1836" t="s">
        <v>2344</v>
      </c>
      <c r="F1836" t="s">
        <v>2344</v>
      </c>
      <c r="G1836" t="s">
        <v>2346</v>
      </c>
      <c r="H1836">
        <v>1</v>
      </c>
      <c r="I1836" t="s">
        <v>2344</v>
      </c>
      <c r="J1836" t="str">
        <f t="shared" si="113"/>
        <v>Obesity</v>
      </c>
      <c r="K1836" t="str">
        <f t="shared" si="116"/>
        <v>Normal</v>
      </c>
      <c r="L1836">
        <v>14</v>
      </c>
      <c r="M1836" t="s">
        <v>2356</v>
      </c>
      <c r="N1836">
        <v>1963</v>
      </c>
      <c r="O1836" s="8">
        <f t="shared" si="114"/>
        <v>23206</v>
      </c>
      <c r="P1836" s="10">
        <v>19551.34</v>
      </c>
      <c r="Q1836" t="s">
        <v>2361</v>
      </c>
      <c r="R1836" t="s">
        <v>2358</v>
      </c>
      <c r="S1836" t="s">
        <v>2364</v>
      </c>
      <c r="T1836">
        <f t="shared" ca="1" si="115"/>
        <v>63</v>
      </c>
      <c r="U1836">
        <f>VLOOKUP($A1836,'Medical Examination'!$A:$Z,2,FALSE)</f>
        <v>34.130000000000003</v>
      </c>
    </row>
    <row r="1837" spans="1:21" ht="15.5" x14ac:dyDescent="0.35">
      <c r="A1837" s="2" t="s">
        <v>1837</v>
      </c>
      <c r="B1837" s="2" t="s">
        <v>4896</v>
      </c>
      <c r="C1837">
        <v>17.34</v>
      </c>
      <c r="D1837">
        <v>5.05</v>
      </c>
      <c r="E1837" t="s">
        <v>2344</v>
      </c>
      <c r="F1837" t="s">
        <v>2344</v>
      </c>
      <c r="G1837" t="s">
        <v>2344</v>
      </c>
      <c r="H1837">
        <v>0</v>
      </c>
      <c r="I1837" t="s">
        <v>2344</v>
      </c>
      <c r="J1837" t="str">
        <f t="shared" si="113"/>
        <v>Under Weight</v>
      </c>
      <c r="K1837" t="str">
        <f t="shared" si="116"/>
        <v>Normal</v>
      </c>
      <c r="L1837">
        <v>24</v>
      </c>
      <c r="M1837" t="s">
        <v>2363</v>
      </c>
      <c r="N1837">
        <v>1978</v>
      </c>
      <c r="O1837" s="8">
        <f t="shared" si="114"/>
        <v>28757</v>
      </c>
      <c r="P1837" s="10">
        <v>19594.810000000001</v>
      </c>
      <c r="Q1837" t="s">
        <v>2361</v>
      </c>
      <c r="R1837" t="s">
        <v>2361</v>
      </c>
      <c r="S1837" t="s">
        <v>2374</v>
      </c>
      <c r="T1837">
        <f t="shared" ca="1" si="115"/>
        <v>48</v>
      </c>
      <c r="U1837">
        <f>VLOOKUP($A1837,'Medical Examination'!$A:$Z,2,FALSE)</f>
        <v>17.34</v>
      </c>
    </row>
    <row r="1838" spans="1:21" ht="15.5" x14ac:dyDescent="0.35">
      <c r="A1838" s="2" t="s">
        <v>1838</v>
      </c>
      <c r="B1838" s="2" t="s">
        <v>4897</v>
      </c>
      <c r="C1838">
        <v>17.440000000000001</v>
      </c>
      <c r="D1838">
        <v>6.26</v>
      </c>
      <c r="E1838" t="s">
        <v>2344</v>
      </c>
      <c r="F1838" t="s">
        <v>2344</v>
      </c>
      <c r="G1838" t="s">
        <v>2344</v>
      </c>
      <c r="H1838">
        <v>0</v>
      </c>
      <c r="I1838" t="s">
        <v>2344</v>
      </c>
      <c r="J1838" t="str">
        <f t="shared" si="113"/>
        <v>Under Weight</v>
      </c>
      <c r="K1838" t="str">
        <f t="shared" si="116"/>
        <v>Prediabetes</v>
      </c>
      <c r="L1838">
        <v>27</v>
      </c>
      <c r="M1838" t="s">
        <v>2366</v>
      </c>
      <c r="N1838">
        <v>1994</v>
      </c>
      <c r="O1838" s="8">
        <f t="shared" si="114"/>
        <v>34573</v>
      </c>
      <c r="P1838" s="10">
        <v>19673.34</v>
      </c>
      <c r="Q1838" t="s">
        <v>2361</v>
      </c>
      <c r="R1838" t="s">
        <v>2357</v>
      </c>
      <c r="S1838" t="s">
        <v>2364</v>
      </c>
      <c r="T1838">
        <f t="shared" ca="1" si="115"/>
        <v>32</v>
      </c>
      <c r="U1838">
        <f>VLOOKUP($A1838,'Medical Examination'!$A:$Z,2,FALSE)</f>
        <v>17.440000000000001</v>
      </c>
    </row>
    <row r="1839" spans="1:21" ht="15.5" x14ac:dyDescent="0.35">
      <c r="A1839" s="2" t="s">
        <v>1839</v>
      </c>
      <c r="B1839" s="2" t="s">
        <v>4899</v>
      </c>
      <c r="C1839">
        <v>33.659999999999997</v>
      </c>
      <c r="D1839">
        <v>4.08</v>
      </c>
      <c r="E1839" t="s">
        <v>2346</v>
      </c>
      <c r="F1839" t="s">
        <v>2344</v>
      </c>
      <c r="G1839" t="s">
        <v>2346</v>
      </c>
      <c r="H1839">
        <v>1</v>
      </c>
      <c r="I1839" t="s">
        <v>2344</v>
      </c>
      <c r="J1839" t="str">
        <f t="shared" si="113"/>
        <v>Obesity</v>
      </c>
      <c r="K1839" t="str">
        <f t="shared" si="116"/>
        <v>Normal</v>
      </c>
      <c r="L1839">
        <v>8</v>
      </c>
      <c r="M1839" t="s">
        <v>2366</v>
      </c>
      <c r="N1839">
        <v>1990</v>
      </c>
      <c r="O1839" s="8">
        <f t="shared" si="114"/>
        <v>33093</v>
      </c>
      <c r="P1839" s="10">
        <v>19719.689999999999</v>
      </c>
      <c r="Q1839" t="s">
        <v>2361</v>
      </c>
      <c r="R1839" t="s">
        <v>2357</v>
      </c>
      <c r="S1839" t="s">
        <v>2359</v>
      </c>
      <c r="T1839">
        <f t="shared" ca="1" si="115"/>
        <v>36</v>
      </c>
      <c r="U1839">
        <f>VLOOKUP($A1839,'Medical Examination'!$A:$Z,2,FALSE)</f>
        <v>33.659999999999997</v>
      </c>
    </row>
    <row r="1840" spans="1:21" ht="15.5" x14ac:dyDescent="0.35">
      <c r="A1840" s="2" t="s">
        <v>1840</v>
      </c>
      <c r="B1840" s="2" t="s">
        <v>4129</v>
      </c>
      <c r="C1840">
        <v>21.375</v>
      </c>
      <c r="D1840">
        <v>6.19</v>
      </c>
      <c r="E1840" t="s">
        <v>2346</v>
      </c>
      <c r="F1840" t="s">
        <v>2344</v>
      </c>
      <c r="G1840" t="s">
        <v>2344</v>
      </c>
      <c r="H1840">
        <v>1</v>
      </c>
      <c r="I1840" t="s">
        <v>2344</v>
      </c>
      <c r="J1840" t="str">
        <f t="shared" si="113"/>
        <v>Normal Weight</v>
      </c>
      <c r="K1840" t="str">
        <f t="shared" si="116"/>
        <v>Prediabetes</v>
      </c>
      <c r="L1840">
        <v>14</v>
      </c>
      <c r="M1840" t="s">
        <v>2362</v>
      </c>
      <c r="N1840">
        <v>1972</v>
      </c>
      <c r="O1840" s="8">
        <f t="shared" si="114"/>
        <v>26464</v>
      </c>
      <c r="P1840" s="10">
        <v>19749.38</v>
      </c>
      <c r="Q1840" t="s">
        <v>2361</v>
      </c>
      <c r="R1840" t="s">
        <v>2358</v>
      </c>
      <c r="S1840" t="s">
        <v>2359</v>
      </c>
      <c r="T1840">
        <f t="shared" ca="1" si="115"/>
        <v>54</v>
      </c>
      <c r="U1840">
        <f>VLOOKUP($A1840,'Medical Examination'!$A:$Z,2,FALSE)</f>
        <v>21.375</v>
      </c>
    </row>
    <row r="1841" spans="1:21" ht="15.5" x14ac:dyDescent="0.35">
      <c r="A1841" s="2" t="s">
        <v>1841</v>
      </c>
      <c r="B1841" s="2" t="s">
        <v>4197</v>
      </c>
      <c r="C1841">
        <v>27.14</v>
      </c>
      <c r="D1841">
        <v>6.01</v>
      </c>
      <c r="E1841" t="s">
        <v>2344</v>
      </c>
      <c r="F1841" t="s">
        <v>2344</v>
      </c>
      <c r="G1841" t="s">
        <v>2344</v>
      </c>
      <c r="H1841">
        <v>1</v>
      </c>
      <c r="I1841" t="s">
        <v>2344</v>
      </c>
      <c r="J1841" t="str">
        <f t="shared" si="113"/>
        <v>Over weight</v>
      </c>
      <c r="K1841" t="str">
        <f t="shared" si="116"/>
        <v>Prediabetes</v>
      </c>
      <c r="L1841">
        <v>30</v>
      </c>
      <c r="M1841" t="s">
        <v>2367</v>
      </c>
      <c r="N1841">
        <v>1979</v>
      </c>
      <c r="O1841" s="8">
        <f t="shared" si="114"/>
        <v>29158</v>
      </c>
      <c r="P1841" s="10">
        <v>19798.05</v>
      </c>
      <c r="Q1841" t="s">
        <v>2361</v>
      </c>
      <c r="R1841" t="s">
        <v>2361</v>
      </c>
      <c r="S1841" t="s">
        <v>2374</v>
      </c>
      <c r="T1841">
        <f t="shared" ca="1" si="115"/>
        <v>47</v>
      </c>
      <c r="U1841">
        <f>VLOOKUP($A1841,'Medical Examination'!$A:$Z,2,FALSE)</f>
        <v>27.14</v>
      </c>
    </row>
    <row r="1842" spans="1:21" ht="15.5" x14ac:dyDescent="0.35">
      <c r="A1842" s="2" t="s">
        <v>1842</v>
      </c>
      <c r="B1842" s="2" t="s">
        <v>4902</v>
      </c>
      <c r="C1842">
        <v>35.78</v>
      </c>
      <c r="D1842">
        <v>6.07</v>
      </c>
      <c r="E1842" t="s">
        <v>2344</v>
      </c>
      <c r="F1842" t="s">
        <v>2345</v>
      </c>
      <c r="G1842" t="s">
        <v>2344</v>
      </c>
      <c r="H1842">
        <v>1</v>
      </c>
      <c r="I1842" t="s">
        <v>2344</v>
      </c>
      <c r="J1842" t="str">
        <f t="shared" si="113"/>
        <v>Obesity</v>
      </c>
      <c r="K1842" t="str">
        <f t="shared" si="116"/>
        <v>Prediabetes</v>
      </c>
      <c r="L1842">
        <v>18</v>
      </c>
      <c r="M1842" t="s">
        <v>2367</v>
      </c>
      <c r="N1842">
        <v>1997</v>
      </c>
      <c r="O1842" s="8">
        <f t="shared" si="114"/>
        <v>35721</v>
      </c>
      <c r="P1842" s="10">
        <v>19933.46</v>
      </c>
      <c r="Q1842" t="s">
        <v>2361</v>
      </c>
      <c r="R1842" t="s">
        <v>2358</v>
      </c>
      <c r="S1842" t="s">
        <v>2368</v>
      </c>
      <c r="T1842">
        <f t="shared" ca="1" si="115"/>
        <v>29</v>
      </c>
      <c r="U1842">
        <f>VLOOKUP($A1842,'Medical Examination'!$A:$Z,2,FALSE)</f>
        <v>35.78</v>
      </c>
    </row>
    <row r="1843" spans="1:21" ht="15.5" x14ac:dyDescent="0.35">
      <c r="A1843" s="2" t="s">
        <v>1843</v>
      </c>
      <c r="B1843" s="2" t="s">
        <v>4903</v>
      </c>
      <c r="C1843">
        <v>34.96</v>
      </c>
      <c r="D1843">
        <v>5.63</v>
      </c>
      <c r="E1843" t="s">
        <v>2344</v>
      </c>
      <c r="F1843" t="s">
        <v>2344</v>
      </c>
      <c r="G1843" t="s">
        <v>2344</v>
      </c>
      <c r="H1843">
        <v>0</v>
      </c>
      <c r="I1843" t="s">
        <v>2344</v>
      </c>
      <c r="J1843" t="str">
        <f t="shared" si="113"/>
        <v>Obesity</v>
      </c>
      <c r="K1843" t="str">
        <f t="shared" si="116"/>
        <v>Normal</v>
      </c>
      <c r="L1843">
        <v>9</v>
      </c>
      <c r="M1843" t="s">
        <v>2367</v>
      </c>
      <c r="N1843">
        <v>1980</v>
      </c>
      <c r="O1843" s="8">
        <f t="shared" si="114"/>
        <v>29503</v>
      </c>
      <c r="P1843" s="10">
        <v>19964.75</v>
      </c>
      <c r="Q1843" t="s">
        <v>2361</v>
      </c>
      <c r="R1843" t="s">
        <v>2357</v>
      </c>
      <c r="S1843" t="s">
        <v>2374</v>
      </c>
      <c r="T1843">
        <f t="shared" ca="1" si="115"/>
        <v>46</v>
      </c>
      <c r="U1843">
        <f>VLOOKUP($A1843,'Medical Examination'!$A:$Z,2,FALSE)</f>
        <v>34.96</v>
      </c>
    </row>
    <row r="1844" spans="1:21" ht="15.5" x14ac:dyDescent="0.35">
      <c r="A1844" s="2" t="s">
        <v>1844</v>
      </c>
      <c r="B1844" s="2" t="s">
        <v>2545</v>
      </c>
      <c r="C1844">
        <v>38.39</v>
      </c>
      <c r="D1844">
        <v>6.05</v>
      </c>
      <c r="E1844" t="s">
        <v>2344</v>
      </c>
      <c r="F1844" t="s">
        <v>2344</v>
      </c>
      <c r="G1844" t="s">
        <v>2344</v>
      </c>
      <c r="H1844">
        <v>0</v>
      </c>
      <c r="I1844" t="s">
        <v>2344</v>
      </c>
      <c r="J1844" t="str">
        <f t="shared" si="113"/>
        <v>Obesity</v>
      </c>
      <c r="K1844" t="str">
        <f t="shared" si="116"/>
        <v>Prediabetes</v>
      </c>
      <c r="L1844">
        <v>10</v>
      </c>
      <c r="M1844" t="s">
        <v>2366</v>
      </c>
      <c r="N1844">
        <v>1966</v>
      </c>
      <c r="O1844" s="8">
        <f t="shared" si="114"/>
        <v>24329</v>
      </c>
      <c r="P1844" s="10">
        <v>19995.29</v>
      </c>
      <c r="Q1844" t="s">
        <v>2361</v>
      </c>
      <c r="R1844" t="s">
        <v>2358</v>
      </c>
      <c r="S1844" t="s">
        <v>2380</v>
      </c>
      <c r="T1844">
        <f t="shared" ca="1" si="115"/>
        <v>60</v>
      </c>
      <c r="U1844">
        <f>VLOOKUP($A1844,'Medical Examination'!$A:$Z,2,FALSE)</f>
        <v>38.39</v>
      </c>
    </row>
    <row r="1845" spans="1:21" ht="15.5" x14ac:dyDescent="0.35">
      <c r="A1845" s="2" t="s">
        <v>1845</v>
      </c>
      <c r="B1845" s="2" t="s">
        <v>4906</v>
      </c>
      <c r="C1845">
        <v>33.82</v>
      </c>
      <c r="D1845">
        <v>4.6500000000000004</v>
      </c>
      <c r="E1845" t="s">
        <v>2344</v>
      </c>
      <c r="F1845" t="s">
        <v>2344</v>
      </c>
      <c r="G1845" t="s">
        <v>2344</v>
      </c>
      <c r="H1845">
        <v>0</v>
      </c>
      <c r="I1845" t="s">
        <v>2344</v>
      </c>
      <c r="J1845" t="str">
        <f t="shared" si="113"/>
        <v>Obesity</v>
      </c>
      <c r="K1845" t="str">
        <f t="shared" si="116"/>
        <v>Normal</v>
      </c>
      <c r="L1845">
        <v>25</v>
      </c>
      <c r="M1845" t="s">
        <v>2356</v>
      </c>
      <c r="N1845">
        <v>1988</v>
      </c>
      <c r="O1845" s="8">
        <f t="shared" si="114"/>
        <v>32349</v>
      </c>
      <c r="P1845" s="10">
        <v>20009.63</v>
      </c>
      <c r="Q1845" t="s">
        <v>2357</v>
      </c>
      <c r="R1845" t="s">
        <v>2361</v>
      </c>
      <c r="S1845" t="s">
        <v>2364</v>
      </c>
      <c r="T1845">
        <f t="shared" ca="1" si="115"/>
        <v>38</v>
      </c>
      <c r="U1845">
        <f>VLOOKUP($A1845,'Medical Examination'!$A:$Z,2,FALSE)</f>
        <v>33.82</v>
      </c>
    </row>
    <row r="1846" spans="1:21" ht="15.5" x14ac:dyDescent="0.35">
      <c r="A1846" s="2" t="s">
        <v>1846</v>
      </c>
      <c r="B1846" s="2" t="s">
        <v>4907</v>
      </c>
      <c r="C1846">
        <v>27.835000000000001</v>
      </c>
      <c r="D1846">
        <v>5.37</v>
      </c>
      <c r="E1846" t="s">
        <v>2344</v>
      </c>
      <c r="F1846" t="s">
        <v>2344</v>
      </c>
      <c r="G1846" t="s">
        <v>2344</v>
      </c>
      <c r="H1846">
        <v>0</v>
      </c>
      <c r="I1846" t="s">
        <v>2344</v>
      </c>
      <c r="J1846" t="str">
        <f t="shared" si="113"/>
        <v>Over weight</v>
      </c>
      <c r="K1846" t="str">
        <f t="shared" si="116"/>
        <v>Normal</v>
      </c>
      <c r="L1846">
        <v>6</v>
      </c>
      <c r="M1846" t="s">
        <v>2367</v>
      </c>
      <c r="N1846">
        <v>1983</v>
      </c>
      <c r="O1846" s="8">
        <f t="shared" si="114"/>
        <v>30595</v>
      </c>
      <c r="P1846" s="10">
        <v>20149.32</v>
      </c>
      <c r="Q1846" t="s">
        <v>2357</v>
      </c>
      <c r="R1846" t="s">
        <v>2361</v>
      </c>
      <c r="S1846" t="s">
        <v>2371</v>
      </c>
      <c r="T1846">
        <f t="shared" ca="1" si="115"/>
        <v>43</v>
      </c>
      <c r="U1846">
        <f>VLOOKUP($A1846,'Medical Examination'!$A:$Z,2,FALSE)</f>
        <v>27.835000000000001</v>
      </c>
    </row>
    <row r="1847" spans="1:21" ht="15.5" x14ac:dyDescent="0.35">
      <c r="A1847" s="2" t="s">
        <v>1847</v>
      </c>
      <c r="B1847" s="2" t="s">
        <v>4908</v>
      </c>
      <c r="C1847">
        <v>33</v>
      </c>
      <c r="D1847">
        <v>5.39</v>
      </c>
      <c r="E1847" t="s">
        <v>2344</v>
      </c>
      <c r="F1847" t="s">
        <v>2344</v>
      </c>
      <c r="G1847" t="s">
        <v>2344</v>
      </c>
      <c r="H1847">
        <v>0</v>
      </c>
      <c r="I1847" t="s">
        <v>2344</v>
      </c>
      <c r="J1847" t="str">
        <f t="shared" si="113"/>
        <v>Obesity</v>
      </c>
      <c r="K1847" t="str">
        <f t="shared" si="116"/>
        <v>Normal</v>
      </c>
      <c r="L1847">
        <v>9</v>
      </c>
      <c r="M1847" t="s">
        <v>2356</v>
      </c>
      <c r="N1847">
        <v>2002</v>
      </c>
      <c r="O1847" s="8">
        <f t="shared" si="114"/>
        <v>37446</v>
      </c>
      <c r="P1847" s="10">
        <v>20167.34</v>
      </c>
      <c r="Q1847" t="s">
        <v>2358</v>
      </c>
      <c r="R1847" t="s">
        <v>2358</v>
      </c>
      <c r="S1847" t="s">
        <v>2368</v>
      </c>
      <c r="T1847">
        <f t="shared" ca="1" si="115"/>
        <v>24</v>
      </c>
      <c r="U1847">
        <f>VLOOKUP($A1847,'Medical Examination'!$A:$Z,2,FALSE)</f>
        <v>33</v>
      </c>
    </row>
    <row r="1848" spans="1:21" ht="15.5" x14ac:dyDescent="0.35">
      <c r="A1848" s="2" t="s">
        <v>1848</v>
      </c>
      <c r="B1848" s="2" t="s">
        <v>4911</v>
      </c>
      <c r="C1848">
        <v>26.885000000000002</v>
      </c>
      <c r="D1848">
        <v>5.86</v>
      </c>
      <c r="E1848" t="s">
        <v>2344</v>
      </c>
      <c r="F1848" t="s">
        <v>2344</v>
      </c>
      <c r="G1848" t="s">
        <v>2344</v>
      </c>
      <c r="H1848">
        <v>0</v>
      </c>
      <c r="I1848" t="s">
        <v>2344</v>
      </c>
      <c r="J1848" t="str">
        <f t="shared" si="113"/>
        <v>Over weight</v>
      </c>
      <c r="K1848" t="str">
        <f t="shared" si="116"/>
        <v>Prediabetes</v>
      </c>
      <c r="L1848">
        <v>8</v>
      </c>
      <c r="M1848" t="s">
        <v>2362</v>
      </c>
      <c r="N1848">
        <v>1994</v>
      </c>
      <c r="O1848" s="8">
        <f t="shared" si="114"/>
        <v>34493</v>
      </c>
      <c r="P1848" s="10">
        <v>20177.669999999998</v>
      </c>
      <c r="Q1848" t="s">
        <v>2357</v>
      </c>
      <c r="R1848" t="s">
        <v>2361</v>
      </c>
      <c r="S1848" t="s">
        <v>2368</v>
      </c>
      <c r="T1848">
        <f t="shared" ca="1" si="115"/>
        <v>32</v>
      </c>
      <c r="U1848">
        <f>VLOOKUP($A1848,'Medical Examination'!$A:$Z,2,FALSE)</f>
        <v>26.885000000000002</v>
      </c>
    </row>
    <row r="1849" spans="1:21" ht="15.5" x14ac:dyDescent="0.35">
      <c r="A1849" s="2" t="s">
        <v>1849</v>
      </c>
      <c r="B1849" s="2" t="s">
        <v>4912</v>
      </c>
      <c r="C1849">
        <v>29.26</v>
      </c>
      <c r="D1849">
        <v>4.4400000000000004</v>
      </c>
      <c r="E1849" t="s">
        <v>2344</v>
      </c>
      <c r="F1849" t="s">
        <v>2344</v>
      </c>
      <c r="G1849" t="s">
        <v>2344</v>
      </c>
      <c r="H1849">
        <v>0</v>
      </c>
      <c r="I1849" t="s">
        <v>2344</v>
      </c>
      <c r="J1849" t="str">
        <f t="shared" si="113"/>
        <v>Over weight</v>
      </c>
      <c r="K1849" t="str">
        <f t="shared" si="116"/>
        <v>Normal</v>
      </c>
      <c r="L1849">
        <v>17</v>
      </c>
      <c r="M1849" t="s">
        <v>2367</v>
      </c>
      <c r="N1849">
        <v>1987</v>
      </c>
      <c r="O1849" s="8">
        <f t="shared" si="114"/>
        <v>32067</v>
      </c>
      <c r="P1849" s="10">
        <v>20234.849999999999</v>
      </c>
      <c r="Q1849" t="s">
        <v>2357</v>
      </c>
      <c r="R1849" t="s">
        <v>2358</v>
      </c>
      <c r="S1849" t="s">
        <v>2364</v>
      </c>
      <c r="T1849">
        <f t="shared" ca="1" si="115"/>
        <v>39</v>
      </c>
      <c r="U1849">
        <f>VLOOKUP($A1849,'Medical Examination'!$A:$Z,2,FALSE)</f>
        <v>29.26</v>
      </c>
    </row>
    <row r="1850" spans="1:21" ht="15.5" x14ac:dyDescent="0.35">
      <c r="A1850" s="2" t="s">
        <v>1850</v>
      </c>
      <c r="B1850" s="2" t="s">
        <v>4914</v>
      </c>
      <c r="C1850">
        <v>26.98</v>
      </c>
      <c r="D1850">
        <v>4.41</v>
      </c>
      <c r="E1850" t="s">
        <v>2344</v>
      </c>
      <c r="F1850" t="s">
        <v>2344</v>
      </c>
      <c r="G1850" t="s">
        <v>2344</v>
      </c>
      <c r="H1850">
        <v>0</v>
      </c>
      <c r="I1850" t="s">
        <v>2344</v>
      </c>
      <c r="J1850" t="str">
        <f t="shared" si="113"/>
        <v>Over weight</v>
      </c>
      <c r="K1850" t="str">
        <f t="shared" si="116"/>
        <v>Normal</v>
      </c>
      <c r="L1850">
        <v>22</v>
      </c>
      <c r="M1850" t="s">
        <v>2366</v>
      </c>
      <c r="N1850">
        <v>1966</v>
      </c>
      <c r="O1850" s="8">
        <f t="shared" si="114"/>
        <v>24341</v>
      </c>
      <c r="P1850" s="10">
        <v>20253.84</v>
      </c>
      <c r="Q1850" t="s">
        <v>2357</v>
      </c>
      <c r="R1850" t="s">
        <v>2358</v>
      </c>
      <c r="S1850" t="s">
        <v>2364</v>
      </c>
      <c r="T1850">
        <f t="shared" ca="1" si="115"/>
        <v>60</v>
      </c>
      <c r="U1850">
        <f>VLOOKUP($A1850,'Medical Examination'!$A:$Z,2,FALSE)</f>
        <v>26.98</v>
      </c>
    </row>
    <row r="1851" spans="1:21" ht="15.5" x14ac:dyDescent="0.35">
      <c r="A1851" s="2" t="s">
        <v>1851</v>
      </c>
      <c r="B1851" s="2" t="s">
        <v>4915</v>
      </c>
      <c r="C1851">
        <v>32.11</v>
      </c>
      <c r="D1851">
        <v>5.19</v>
      </c>
      <c r="E1851" t="s">
        <v>2344</v>
      </c>
      <c r="F1851" t="s">
        <v>2344</v>
      </c>
      <c r="G1851" t="s">
        <v>2346</v>
      </c>
      <c r="H1851">
        <v>1</v>
      </c>
      <c r="I1851" t="s">
        <v>2344</v>
      </c>
      <c r="J1851" t="str">
        <f t="shared" si="113"/>
        <v>Obesity</v>
      </c>
      <c r="K1851" t="str">
        <f t="shared" si="116"/>
        <v>Normal</v>
      </c>
      <c r="L1851">
        <v>7</v>
      </c>
      <c r="M1851" t="s">
        <v>2363</v>
      </c>
      <c r="N1851">
        <v>1993</v>
      </c>
      <c r="O1851" s="8">
        <f t="shared" si="114"/>
        <v>34219</v>
      </c>
      <c r="P1851" s="10">
        <v>20277.810000000001</v>
      </c>
      <c r="Q1851" t="s">
        <v>2358</v>
      </c>
      <c r="R1851" t="s">
        <v>2358</v>
      </c>
      <c r="S1851" t="s">
        <v>2371</v>
      </c>
      <c r="T1851">
        <f t="shared" ca="1" si="115"/>
        <v>33</v>
      </c>
      <c r="U1851">
        <f>VLOOKUP($A1851,'Medical Examination'!$A:$Z,2,FALSE)</f>
        <v>32.11</v>
      </c>
    </row>
    <row r="1852" spans="1:21" ht="15.5" x14ac:dyDescent="0.35">
      <c r="A1852" s="2" t="s">
        <v>1852</v>
      </c>
      <c r="B1852" s="2" t="s">
        <v>4916</v>
      </c>
      <c r="C1852">
        <v>31.73</v>
      </c>
      <c r="D1852">
        <v>5.16</v>
      </c>
      <c r="E1852" t="s">
        <v>2344</v>
      </c>
      <c r="F1852" t="s">
        <v>2344</v>
      </c>
      <c r="G1852" t="s">
        <v>2346</v>
      </c>
      <c r="H1852">
        <v>1</v>
      </c>
      <c r="I1852" t="s">
        <v>2344</v>
      </c>
      <c r="J1852" t="str">
        <f t="shared" si="113"/>
        <v>Obesity</v>
      </c>
      <c r="K1852" t="str">
        <f t="shared" si="116"/>
        <v>Normal</v>
      </c>
      <c r="L1852">
        <v>17</v>
      </c>
      <c r="M1852" t="s">
        <v>2363</v>
      </c>
      <c r="N1852">
        <v>1985</v>
      </c>
      <c r="O1852" s="8">
        <f t="shared" si="114"/>
        <v>31307</v>
      </c>
      <c r="P1852" s="10">
        <v>20296.86</v>
      </c>
      <c r="Q1852" t="s">
        <v>2358</v>
      </c>
      <c r="R1852" t="s">
        <v>2361</v>
      </c>
      <c r="S1852" t="s">
        <v>2374</v>
      </c>
      <c r="T1852">
        <f t="shared" ca="1" si="115"/>
        <v>41</v>
      </c>
      <c r="U1852">
        <f>VLOOKUP($A1852,'Medical Examination'!$A:$Z,2,FALSE)</f>
        <v>31.73</v>
      </c>
    </row>
    <row r="1853" spans="1:21" ht="15.5" x14ac:dyDescent="0.35">
      <c r="A1853" s="2" t="s">
        <v>1853</v>
      </c>
      <c r="B1853" s="2" t="s">
        <v>4917</v>
      </c>
      <c r="C1853">
        <v>22.515000000000001</v>
      </c>
      <c r="D1853">
        <v>4.24</v>
      </c>
      <c r="E1853" t="s">
        <v>2344</v>
      </c>
      <c r="F1853" t="s">
        <v>2344</v>
      </c>
      <c r="G1853" t="s">
        <v>2344</v>
      </c>
      <c r="H1853">
        <v>0</v>
      </c>
      <c r="I1853" t="s">
        <v>2344</v>
      </c>
      <c r="J1853" t="str">
        <f t="shared" si="113"/>
        <v>Normal Weight</v>
      </c>
      <c r="K1853" t="str">
        <f t="shared" si="116"/>
        <v>Normal</v>
      </c>
      <c r="L1853">
        <v>2</v>
      </c>
      <c r="M1853" t="s">
        <v>2356</v>
      </c>
      <c r="N1853">
        <v>1962</v>
      </c>
      <c r="O1853" s="8">
        <f t="shared" si="114"/>
        <v>22829</v>
      </c>
      <c r="P1853" s="10">
        <v>20354.5</v>
      </c>
      <c r="Q1853" t="s">
        <v>2358</v>
      </c>
      <c r="R1853" t="s">
        <v>2357</v>
      </c>
      <c r="S1853" t="s">
        <v>2380</v>
      </c>
      <c r="T1853">
        <f t="shared" ca="1" si="115"/>
        <v>64</v>
      </c>
      <c r="U1853">
        <f>VLOOKUP($A1853,'Medical Examination'!$A:$Z,2,FALSE)</f>
        <v>22.515000000000001</v>
      </c>
    </row>
    <row r="1854" spans="1:21" ht="15.5" x14ac:dyDescent="0.35">
      <c r="A1854" s="2" t="s">
        <v>1854</v>
      </c>
      <c r="B1854" s="2" t="s">
        <v>4919</v>
      </c>
      <c r="C1854">
        <v>25.9</v>
      </c>
      <c r="D1854">
        <v>5.45</v>
      </c>
      <c r="E1854" t="s">
        <v>2344</v>
      </c>
      <c r="F1854" t="s">
        <v>2344</v>
      </c>
      <c r="G1854" t="s">
        <v>2344</v>
      </c>
      <c r="H1854">
        <v>1</v>
      </c>
      <c r="I1854" t="s">
        <v>2344</v>
      </c>
      <c r="J1854" t="str">
        <f t="shared" si="113"/>
        <v>Over weight</v>
      </c>
      <c r="K1854" t="str">
        <f t="shared" si="116"/>
        <v>Normal</v>
      </c>
      <c r="L1854">
        <v>12</v>
      </c>
      <c r="M1854" t="s">
        <v>2356</v>
      </c>
      <c r="N1854">
        <v>1985</v>
      </c>
      <c r="O1854" s="8">
        <f t="shared" si="114"/>
        <v>31240</v>
      </c>
      <c r="P1854" s="10">
        <v>20420.599999999999</v>
      </c>
      <c r="Q1854" t="s">
        <v>2358</v>
      </c>
      <c r="R1854" t="s">
        <v>2357</v>
      </c>
      <c r="S1854" t="s">
        <v>2368</v>
      </c>
      <c r="T1854">
        <f t="shared" ca="1" si="115"/>
        <v>41</v>
      </c>
      <c r="U1854">
        <f>VLOOKUP($A1854,'Medical Examination'!$A:$Z,2,FALSE)</f>
        <v>25.9</v>
      </c>
    </row>
    <row r="1855" spans="1:21" ht="15.5" x14ac:dyDescent="0.35">
      <c r="A1855" s="2" t="s">
        <v>1855</v>
      </c>
      <c r="B1855" s="2" t="s">
        <v>4685</v>
      </c>
      <c r="C1855">
        <v>27.72</v>
      </c>
      <c r="D1855">
        <v>5.03</v>
      </c>
      <c r="E1855" t="s">
        <v>2346</v>
      </c>
      <c r="F1855" t="s">
        <v>2344</v>
      </c>
      <c r="G1855" t="s">
        <v>2344</v>
      </c>
      <c r="H1855">
        <v>1</v>
      </c>
      <c r="I1855" t="s">
        <v>2344</v>
      </c>
      <c r="J1855" t="str">
        <f t="shared" si="113"/>
        <v>Over weight</v>
      </c>
      <c r="K1855" t="str">
        <f t="shared" si="116"/>
        <v>Normal</v>
      </c>
      <c r="L1855">
        <v>18</v>
      </c>
      <c r="M1855" t="s">
        <v>2367</v>
      </c>
      <c r="N1855">
        <v>1962</v>
      </c>
      <c r="O1855" s="8">
        <f t="shared" si="114"/>
        <v>22937</v>
      </c>
      <c r="P1855" s="10">
        <v>20446.849999999999</v>
      </c>
      <c r="Q1855" t="s">
        <v>2357</v>
      </c>
      <c r="R1855" t="s">
        <v>2361</v>
      </c>
      <c r="S1855" t="s">
        <v>2364</v>
      </c>
      <c r="T1855">
        <f t="shared" ca="1" si="115"/>
        <v>64</v>
      </c>
      <c r="U1855">
        <f>VLOOKUP($A1855,'Medical Examination'!$A:$Z,2,FALSE)</f>
        <v>27.72</v>
      </c>
    </row>
    <row r="1856" spans="1:21" ht="15.5" x14ac:dyDescent="0.35">
      <c r="A1856" s="2" t="s">
        <v>1856</v>
      </c>
      <c r="B1856" s="2" t="s">
        <v>3509</v>
      </c>
      <c r="C1856">
        <v>31.5</v>
      </c>
      <c r="D1856">
        <v>9.6199999999999992</v>
      </c>
      <c r="E1856" t="s">
        <v>2346</v>
      </c>
      <c r="F1856" t="s">
        <v>2344</v>
      </c>
      <c r="G1856" t="s">
        <v>2344</v>
      </c>
      <c r="H1856">
        <v>1</v>
      </c>
      <c r="I1856" t="s">
        <v>2344</v>
      </c>
      <c r="J1856" t="str">
        <f t="shared" si="113"/>
        <v>Obesity</v>
      </c>
      <c r="K1856" t="str">
        <f t="shared" si="116"/>
        <v>Diabetes</v>
      </c>
      <c r="L1856">
        <v>13</v>
      </c>
      <c r="M1856" t="s">
        <v>2367</v>
      </c>
      <c r="N1856">
        <v>1969</v>
      </c>
      <c r="O1856" s="8">
        <f t="shared" si="114"/>
        <v>25489</v>
      </c>
      <c r="P1856" s="10">
        <v>20463</v>
      </c>
      <c r="Q1856" t="s">
        <v>2357</v>
      </c>
      <c r="R1856" t="s">
        <v>2357</v>
      </c>
      <c r="S1856" t="s">
        <v>2359</v>
      </c>
      <c r="T1856">
        <f t="shared" ca="1" si="115"/>
        <v>57</v>
      </c>
      <c r="U1856">
        <f>VLOOKUP($A1856,'Medical Examination'!$A:$Z,2,FALSE)</f>
        <v>31.5</v>
      </c>
    </row>
    <row r="1857" spans="1:21" ht="15.5" x14ac:dyDescent="0.35">
      <c r="A1857" s="2" t="s">
        <v>1857</v>
      </c>
      <c r="B1857" s="2" t="s">
        <v>4921</v>
      </c>
      <c r="C1857">
        <v>29.7</v>
      </c>
      <c r="D1857">
        <v>6.77</v>
      </c>
      <c r="E1857" t="s">
        <v>2346</v>
      </c>
      <c r="F1857" t="s">
        <v>2344</v>
      </c>
      <c r="G1857" t="s">
        <v>2344</v>
      </c>
      <c r="H1857">
        <v>1</v>
      </c>
      <c r="I1857" t="s">
        <v>2344</v>
      </c>
      <c r="J1857" t="str">
        <f t="shared" si="113"/>
        <v>Over weight</v>
      </c>
      <c r="K1857" t="str">
        <f t="shared" si="116"/>
        <v>Diabetes</v>
      </c>
      <c r="L1857">
        <v>9</v>
      </c>
      <c r="M1857" t="s">
        <v>2356</v>
      </c>
      <c r="N1857">
        <v>1966</v>
      </c>
      <c r="O1857" s="8">
        <f t="shared" si="114"/>
        <v>24297</v>
      </c>
      <c r="P1857" s="10">
        <v>20568.32</v>
      </c>
      <c r="Q1857" t="s">
        <v>2358</v>
      </c>
      <c r="R1857" t="s">
        <v>2357</v>
      </c>
      <c r="S1857" t="s">
        <v>2364</v>
      </c>
      <c r="T1857">
        <f t="shared" ca="1" si="115"/>
        <v>60</v>
      </c>
      <c r="U1857">
        <f>VLOOKUP($A1857,'Medical Examination'!$A:$Z,2,FALSE)</f>
        <v>29.7</v>
      </c>
    </row>
    <row r="1858" spans="1:21" ht="15.5" x14ac:dyDescent="0.35">
      <c r="A1858" s="2" t="s">
        <v>1858</v>
      </c>
      <c r="B1858" s="2" t="s">
        <v>4922</v>
      </c>
      <c r="C1858">
        <v>21.26</v>
      </c>
      <c r="D1858">
        <v>5.36</v>
      </c>
      <c r="E1858" t="s">
        <v>2346</v>
      </c>
      <c r="F1858" t="s">
        <v>2344</v>
      </c>
      <c r="G1858" t="s">
        <v>2344</v>
      </c>
      <c r="H1858">
        <v>1</v>
      </c>
      <c r="I1858" t="s">
        <v>2344</v>
      </c>
      <c r="J1858" t="str">
        <f t="shared" si="113"/>
        <v>Normal Weight</v>
      </c>
      <c r="K1858" t="str">
        <f t="shared" si="116"/>
        <v>Normal</v>
      </c>
      <c r="L1858">
        <v>17</v>
      </c>
      <c r="M1858" t="s">
        <v>2365</v>
      </c>
      <c r="N1858">
        <v>1967</v>
      </c>
      <c r="O1858" s="8">
        <f t="shared" si="114"/>
        <v>24823</v>
      </c>
      <c r="P1858" s="10">
        <v>20630.28</v>
      </c>
      <c r="Q1858" t="s">
        <v>2357</v>
      </c>
      <c r="R1858" t="s">
        <v>2358</v>
      </c>
      <c r="S1858" t="s">
        <v>2368</v>
      </c>
      <c r="T1858">
        <f t="shared" ca="1" si="115"/>
        <v>59</v>
      </c>
      <c r="U1858">
        <f>VLOOKUP($A1858,'Medical Examination'!$A:$Z,2,FALSE)</f>
        <v>21.26</v>
      </c>
    </row>
    <row r="1859" spans="1:21" ht="15.5" x14ac:dyDescent="0.35">
      <c r="A1859" s="2" t="s">
        <v>1859</v>
      </c>
      <c r="B1859" s="2" t="s">
        <v>4924</v>
      </c>
      <c r="C1859">
        <v>17.09</v>
      </c>
      <c r="D1859">
        <v>5.69</v>
      </c>
      <c r="E1859" t="s">
        <v>2344</v>
      </c>
      <c r="F1859" t="s">
        <v>2344</v>
      </c>
      <c r="G1859" t="s">
        <v>2344</v>
      </c>
      <c r="H1859">
        <v>0</v>
      </c>
      <c r="I1859" t="s">
        <v>2344</v>
      </c>
      <c r="J1859" t="str">
        <f t="shared" ref="J1859:J1922" si="117">IF(C1859&lt;18.5,"Under Weight",IF(C1859&lt;25,"Normal Weight",IF(C1859&lt;30,"Over weight","Obesity")))</f>
        <v>Under Weight</v>
      </c>
      <c r="K1859" t="str">
        <f t="shared" si="116"/>
        <v>Normal</v>
      </c>
      <c r="L1859">
        <v>1</v>
      </c>
      <c r="M1859" t="s">
        <v>2366</v>
      </c>
      <c r="N1859">
        <v>1965</v>
      </c>
      <c r="O1859" s="8">
        <f t="shared" ref="O1859:O1922" si="118">DATE(N1859,MONTH(1&amp;M1859),L1859)</f>
        <v>23955</v>
      </c>
      <c r="P1859" s="10">
        <v>20709.02</v>
      </c>
      <c r="Q1859" t="s">
        <v>2358</v>
      </c>
      <c r="R1859" t="s">
        <v>2357</v>
      </c>
      <c r="S1859" t="s">
        <v>2370</v>
      </c>
      <c r="T1859">
        <f t="shared" ref="T1859:T1922" ca="1" si="119">YEAR(TODAY())-YEAR(O1859)</f>
        <v>61</v>
      </c>
      <c r="U1859">
        <f>VLOOKUP($A1859,'Medical Examination'!$A:$Z,2,FALSE)</f>
        <v>17.09</v>
      </c>
    </row>
    <row r="1860" spans="1:21" ht="15.5" x14ac:dyDescent="0.35">
      <c r="A1860" s="2" t="s">
        <v>1860</v>
      </c>
      <c r="B1860" s="2" t="s">
        <v>4020</v>
      </c>
      <c r="C1860">
        <v>24.3</v>
      </c>
      <c r="D1860">
        <v>4.9000000000000004</v>
      </c>
      <c r="E1860" t="s">
        <v>2346</v>
      </c>
      <c r="F1860" t="s">
        <v>2344</v>
      </c>
      <c r="G1860" t="s">
        <v>2346</v>
      </c>
      <c r="H1860">
        <v>1</v>
      </c>
      <c r="I1860" t="s">
        <v>2344</v>
      </c>
      <c r="J1860" t="str">
        <f t="shared" si="117"/>
        <v>Normal Weight</v>
      </c>
      <c r="K1860" t="str">
        <f t="shared" si="116"/>
        <v>Normal</v>
      </c>
      <c r="L1860">
        <v>14</v>
      </c>
      <c r="M1860" t="s">
        <v>2363</v>
      </c>
      <c r="N1860">
        <v>1992</v>
      </c>
      <c r="O1860" s="8">
        <f t="shared" si="118"/>
        <v>33861</v>
      </c>
      <c r="P1860" s="10">
        <v>20745.990000000002</v>
      </c>
      <c r="Q1860" t="s">
        <v>2358</v>
      </c>
      <c r="R1860" t="s">
        <v>2361</v>
      </c>
      <c r="S1860" t="s">
        <v>2364</v>
      </c>
      <c r="T1860">
        <f t="shared" ca="1" si="119"/>
        <v>34</v>
      </c>
      <c r="U1860">
        <f>VLOOKUP($A1860,'Medical Examination'!$A:$Z,2,FALSE)</f>
        <v>24.3</v>
      </c>
    </row>
    <row r="1861" spans="1:21" ht="15.5" x14ac:dyDescent="0.35">
      <c r="A1861" s="2" t="s">
        <v>1861</v>
      </c>
      <c r="B1861" s="2" t="s">
        <v>3793</v>
      </c>
      <c r="C1861">
        <v>29.734999999999999</v>
      </c>
      <c r="D1861">
        <v>5.78</v>
      </c>
      <c r="E1861" t="s">
        <v>2344</v>
      </c>
      <c r="F1861" t="s">
        <v>2344</v>
      </c>
      <c r="G1861" t="s">
        <v>2344</v>
      </c>
      <c r="H1861">
        <v>0</v>
      </c>
      <c r="I1861" t="s">
        <v>2344</v>
      </c>
      <c r="J1861" t="str">
        <f t="shared" si="117"/>
        <v>Over weight</v>
      </c>
      <c r="K1861" t="str">
        <f t="shared" si="116"/>
        <v>Prediabetes</v>
      </c>
      <c r="L1861">
        <v>4</v>
      </c>
      <c r="M1861" t="s">
        <v>2366</v>
      </c>
      <c r="N1861">
        <v>1986</v>
      </c>
      <c r="O1861" s="8">
        <f t="shared" si="118"/>
        <v>31628</v>
      </c>
      <c r="P1861" s="10">
        <v>20773.63</v>
      </c>
      <c r="Q1861" t="s">
        <v>2357</v>
      </c>
      <c r="R1861" t="s">
        <v>2358</v>
      </c>
      <c r="S1861" t="s">
        <v>2378</v>
      </c>
      <c r="T1861">
        <f t="shared" ca="1" si="119"/>
        <v>40</v>
      </c>
      <c r="U1861">
        <f>VLOOKUP($A1861,'Medical Examination'!$A:$Z,2,FALSE)</f>
        <v>29.734999999999999</v>
      </c>
    </row>
    <row r="1862" spans="1:21" ht="15.5" x14ac:dyDescent="0.35">
      <c r="A1862" s="2" t="s">
        <v>1862</v>
      </c>
      <c r="B1862" s="2" t="s">
        <v>4926</v>
      </c>
      <c r="C1862">
        <v>29.26</v>
      </c>
      <c r="D1862">
        <v>4.7</v>
      </c>
      <c r="E1862" t="s">
        <v>2344</v>
      </c>
      <c r="F1862" t="s">
        <v>2344</v>
      </c>
      <c r="G1862" t="s">
        <v>2344</v>
      </c>
      <c r="H1862">
        <v>0</v>
      </c>
      <c r="I1862" t="s">
        <v>2344</v>
      </c>
      <c r="J1862" t="str">
        <f t="shared" si="117"/>
        <v>Over weight</v>
      </c>
      <c r="K1862" t="str">
        <f t="shared" si="116"/>
        <v>Normal</v>
      </c>
      <c r="L1862">
        <v>8</v>
      </c>
      <c r="M1862" t="s">
        <v>2363</v>
      </c>
      <c r="N1862">
        <v>1967</v>
      </c>
      <c r="O1862" s="8">
        <f t="shared" si="118"/>
        <v>24723</v>
      </c>
      <c r="P1862" s="10">
        <v>20781.490000000002</v>
      </c>
      <c r="Q1862" t="s">
        <v>2357</v>
      </c>
      <c r="R1862" t="s">
        <v>2358</v>
      </c>
      <c r="S1862" t="s">
        <v>2359</v>
      </c>
      <c r="T1862">
        <f t="shared" ca="1" si="119"/>
        <v>59</v>
      </c>
      <c r="U1862">
        <f>VLOOKUP($A1862,'Medical Examination'!$A:$Z,2,FALSE)</f>
        <v>29.26</v>
      </c>
    </row>
    <row r="1863" spans="1:21" ht="15.5" x14ac:dyDescent="0.35">
      <c r="A1863" s="2" t="s">
        <v>1863</v>
      </c>
      <c r="B1863" s="2" t="s">
        <v>3103</v>
      </c>
      <c r="C1863">
        <v>33</v>
      </c>
      <c r="D1863">
        <v>6.28</v>
      </c>
      <c r="E1863" t="s">
        <v>2344</v>
      </c>
      <c r="F1863" t="s">
        <v>2344</v>
      </c>
      <c r="G1863" t="s">
        <v>2344</v>
      </c>
      <c r="H1863">
        <v>0</v>
      </c>
      <c r="I1863" t="s">
        <v>2344</v>
      </c>
      <c r="J1863" t="str">
        <f t="shared" si="117"/>
        <v>Obesity</v>
      </c>
      <c r="K1863" t="str">
        <f t="shared" si="116"/>
        <v>Prediabetes</v>
      </c>
      <c r="L1863">
        <v>8</v>
      </c>
      <c r="M1863" t="s">
        <v>2365</v>
      </c>
      <c r="N1863">
        <v>1975</v>
      </c>
      <c r="O1863" s="8">
        <f t="shared" si="118"/>
        <v>27736</v>
      </c>
      <c r="P1863" s="10">
        <v>20878.78</v>
      </c>
      <c r="Q1863" t="s">
        <v>2357</v>
      </c>
      <c r="R1863" t="s">
        <v>2361</v>
      </c>
      <c r="S1863" t="s">
        <v>2374</v>
      </c>
      <c r="T1863">
        <f t="shared" ca="1" si="119"/>
        <v>51</v>
      </c>
      <c r="U1863">
        <f>VLOOKUP($A1863,'Medical Examination'!$A:$Z,2,FALSE)</f>
        <v>33</v>
      </c>
    </row>
    <row r="1864" spans="1:21" ht="15.5" x14ac:dyDescent="0.35">
      <c r="A1864" s="2" t="s">
        <v>1864</v>
      </c>
      <c r="B1864" s="2" t="s">
        <v>4927</v>
      </c>
      <c r="C1864">
        <v>31.065000000000001</v>
      </c>
      <c r="D1864">
        <v>4.2300000000000004</v>
      </c>
      <c r="E1864" t="s">
        <v>2344</v>
      </c>
      <c r="F1864" t="s">
        <v>2344</v>
      </c>
      <c r="G1864" t="s">
        <v>2344</v>
      </c>
      <c r="H1864">
        <v>0</v>
      </c>
      <c r="I1864" t="s">
        <v>2344</v>
      </c>
      <c r="J1864" t="str">
        <f t="shared" si="117"/>
        <v>Obesity</v>
      </c>
      <c r="K1864" t="str">
        <f t="shared" si="116"/>
        <v>Normal</v>
      </c>
      <c r="L1864">
        <v>19</v>
      </c>
      <c r="M1864" t="s">
        <v>2360</v>
      </c>
      <c r="N1864">
        <v>1964</v>
      </c>
      <c r="O1864" s="8">
        <f t="shared" si="118"/>
        <v>23700</v>
      </c>
      <c r="P1864" s="10">
        <v>20893.060000000001</v>
      </c>
      <c r="Q1864" t="s">
        <v>2357</v>
      </c>
      <c r="R1864" t="s">
        <v>2358</v>
      </c>
      <c r="S1864" t="s">
        <v>2364</v>
      </c>
      <c r="T1864">
        <f t="shared" ca="1" si="119"/>
        <v>62</v>
      </c>
      <c r="U1864">
        <f>VLOOKUP($A1864,'Medical Examination'!$A:$Z,2,FALSE)</f>
        <v>31.065000000000001</v>
      </c>
    </row>
    <row r="1865" spans="1:21" ht="15.5" x14ac:dyDescent="0.35">
      <c r="A1865" s="2" t="s">
        <v>1865</v>
      </c>
      <c r="B1865" s="2" t="s">
        <v>4929</v>
      </c>
      <c r="C1865">
        <v>26.51</v>
      </c>
      <c r="D1865">
        <v>6.17</v>
      </c>
      <c r="E1865" t="s">
        <v>2344</v>
      </c>
      <c r="F1865" t="s">
        <v>2344</v>
      </c>
      <c r="G1865" t="s">
        <v>2344</v>
      </c>
      <c r="H1865">
        <v>0</v>
      </c>
      <c r="I1865" t="s">
        <v>2344</v>
      </c>
      <c r="J1865" t="str">
        <f t="shared" si="117"/>
        <v>Over weight</v>
      </c>
      <c r="K1865" t="str">
        <f t="shared" si="116"/>
        <v>Prediabetes</v>
      </c>
      <c r="L1865">
        <v>27</v>
      </c>
      <c r="M1865" t="s">
        <v>2360</v>
      </c>
      <c r="N1865">
        <v>1987</v>
      </c>
      <c r="O1865" s="8">
        <f t="shared" si="118"/>
        <v>32108</v>
      </c>
      <c r="P1865" s="10">
        <v>20984.09</v>
      </c>
      <c r="Q1865" t="s">
        <v>2357</v>
      </c>
      <c r="R1865" t="s">
        <v>2357</v>
      </c>
      <c r="S1865" t="s">
        <v>2369</v>
      </c>
      <c r="T1865">
        <f t="shared" ca="1" si="119"/>
        <v>39</v>
      </c>
      <c r="U1865">
        <f>VLOOKUP($A1865,'Medical Examination'!$A:$Z,2,FALSE)</f>
        <v>26.51</v>
      </c>
    </row>
    <row r="1866" spans="1:21" ht="15.5" x14ac:dyDescent="0.35">
      <c r="A1866" s="2" t="s">
        <v>1866</v>
      </c>
      <c r="B1866" s="2" t="s">
        <v>3179</v>
      </c>
      <c r="C1866">
        <v>28.88</v>
      </c>
      <c r="D1866">
        <v>4.96</v>
      </c>
      <c r="E1866" t="s">
        <v>2344</v>
      </c>
      <c r="F1866" t="s">
        <v>2344</v>
      </c>
      <c r="G1866" t="s">
        <v>2344</v>
      </c>
      <c r="H1866">
        <v>0</v>
      </c>
      <c r="I1866" t="s">
        <v>2344</v>
      </c>
      <c r="J1866" t="str">
        <f t="shared" si="117"/>
        <v>Over weight</v>
      </c>
      <c r="K1866" t="str">
        <f t="shared" si="116"/>
        <v>Normal</v>
      </c>
      <c r="L1866">
        <v>2</v>
      </c>
      <c r="M1866" t="s">
        <v>2356</v>
      </c>
      <c r="N1866">
        <v>1983</v>
      </c>
      <c r="O1866" s="8">
        <f t="shared" si="118"/>
        <v>30499</v>
      </c>
      <c r="P1866" s="10">
        <v>21082.16</v>
      </c>
      <c r="Q1866" t="s">
        <v>2358</v>
      </c>
      <c r="R1866" t="s">
        <v>2357</v>
      </c>
      <c r="S1866" t="s">
        <v>2368</v>
      </c>
      <c r="T1866">
        <f t="shared" ca="1" si="119"/>
        <v>43</v>
      </c>
      <c r="U1866">
        <f>VLOOKUP($A1866,'Medical Examination'!$A:$Z,2,FALSE)</f>
        <v>28.88</v>
      </c>
    </row>
    <row r="1867" spans="1:21" ht="15.5" x14ac:dyDescent="0.35">
      <c r="A1867" s="2" t="s">
        <v>1867</v>
      </c>
      <c r="B1867" s="2" t="s">
        <v>4930</v>
      </c>
      <c r="C1867">
        <v>35.814999999999998</v>
      </c>
      <c r="D1867">
        <v>5.1100000000000003</v>
      </c>
      <c r="E1867" t="s">
        <v>2346</v>
      </c>
      <c r="F1867" t="s">
        <v>2344</v>
      </c>
      <c r="G1867" t="s">
        <v>2344</v>
      </c>
      <c r="H1867">
        <v>1</v>
      </c>
      <c r="I1867" t="s">
        <v>2344</v>
      </c>
      <c r="J1867" t="str">
        <f t="shared" si="117"/>
        <v>Obesity</v>
      </c>
      <c r="K1867" t="str">
        <f t="shared" si="116"/>
        <v>Normal</v>
      </c>
      <c r="L1867">
        <v>23</v>
      </c>
      <c r="M1867" t="s">
        <v>2360</v>
      </c>
      <c r="N1867">
        <v>1977</v>
      </c>
      <c r="O1867" s="8">
        <f t="shared" si="118"/>
        <v>28452</v>
      </c>
      <c r="P1867" s="10">
        <v>21098.55</v>
      </c>
      <c r="Q1867" t="s">
        <v>2358</v>
      </c>
      <c r="R1867" t="s">
        <v>2358</v>
      </c>
      <c r="S1867" t="s">
        <v>2364</v>
      </c>
      <c r="T1867">
        <f t="shared" ca="1" si="119"/>
        <v>49</v>
      </c>
      <c r="U1867">
        <f>VLOOKUP($A1867,'Medical Examination'!$A:$Z,2,FALSE)</f>
        <v>35.814999999999998</v>
      </c>
    </row>
    <row r="1868" spans="1:21" ht="15.5" x14ac:dyDescent="0.35">
      <c r="A1868" s="2" t="s">
        <v>1868</v>
      </c>
      <c r="B1868" s="2" t="s">
        <v>3679</v>
      </c>
      <c r="C1868">
        <v>21.28</v>
      </c>
      <c r="D1868">
        <v>4.05</v>
      </c>
      <c r="E1868" t="s">
        <v>2344</v>
      </c>
      <c r="F1868" t="s">
        <v>2345</v>
      </c>
      <c r="G1868" t="s">
        <v>2344</v>
      </c>
      <c r="H1868">
        <v>1</v>
      </c>
      <c r="I1868" t="s">
        <v>2344</v>
      </c>
      <c r="J1868" t="str">
        <f t="shared" si="117"/>
        <v>Normal Weight</v>
      </c>
      <c r="K1868" t="str">
        <f t="shared" ref="K1868:K1931" si="120">IF(D1868&lt;5.7,"Normal",IF(D1868&lt;6.5,"Prediabetes","Diabetes"))</f>
        <v>Normal</v>
      </c>
      <c r="L1868">
        <v>26</v>
      </c>
      <c r="M1868" t="s">
        <v>2366</v>
      </c>
      <c r="N1868">
        <v>1969</v>
      </c>
      <c r="O1868" s="8">
        <f t="shared" si="118"/>
        <v>25441</v>
      </c>
      <c r="P1868" s="10">
        <v>21195.82</v>
      </c>
      <c r="Q1868" t="s">
        <v>2358</v>
      </c>
      <c r="R1868" t="s">
        <v>2361</v>
      </c>
      <c r="S1868" t="s">
        <v>2359</v>
      </c>
      <c r="T1868">
        <f t="shared" ca="1" si="119"/>
        <v>57</v>
      </c>
      <c r="U1868">
        <f>VLOOKUP($A1868,'Medical Examination'!$A:$Z,2,FALSE)</f>
        <v>21.28</v>
      </c>
    </row>
    <row r="1869" spans="1:21" ht="15.5" x14ac:dyDescent="0.35">
      <c r="A1869" s="2" t="s">
        <v>1869</v>
      </c>
      <c r="B1869" s="2" t="s">
        <v>3546</v>
      </c>
      <c r="C1869">
        <v>33.81</v>
      </c>
      <c r="D1869">
        <v>6.49</v>
      </c>
      <c r="E1869" t="s">
        <v>2344</v>
      </c>
      <c r="F1869" t="s">
        <v>2344</v>
      </c>
      <c r="G1869" t="s">
        <v>2346</v>
      </c>
      <c r="H1869">
        <v>1</v>
      </c>
      <c r="I1869" t="s">
        <v>2344</v>
      </c>
      <c r="J1869" t="str">
        <f t="shared" si="117"/>
        <v>Obesity</v>
      </c>
      <c r="K1869" t="str">
        <f t="shared" si="120"/>
        <v>Prediabetes</v>
      </c>
      <c r="L1869">
        <v>14</v>
      </c>
      <c r="M1869" t="s">
        <v>2367</v>
      </c>
      <c r="N1869">
        <v>1974</v>
      </c>
      <c r="O1869" s="8">
        <f t="shared" si="118"/>
        <v>27316</v>
      </c>
      <c r="P1869" s="10">
        <v>21223.68</v>
      </c>
      <c r="Q1869" t="s">
        <v>2358</v>
      </c>
      <c r="R1869" t="s">
        <v>2357</v>
      </c>
      <c r="S1869" t="s">
        <v>2359</v>
      </c>
      <c r="T1869">
        <f t="shared" ca="1" si="119"/>
        <v>52</v>
      </c>
      <c r="U1869">
        <f>VLOOKUP($A1869,'Medical Examination'!$A:$Z,2,FALSE)</f>
        <v>33.81</v>
      </c>
    </row>
    <row r="1870" spans="1:21" ht="15.5" x14ac:dyDescent="0.35">
      <c r="A1870" s="2" t="s">
        <v>1870</v>
      </c>
      <c r="B1870" s="2" t="s">
        <v>4931</v>
      </c>
      <c r="C1870">
        <v>44.22</v>
      </c>
      <c r="D1870">
        <v>4.1900000000000004</v>
      </c>
      <c r="E1870" t="s">
        <v>2344</v>
      </c>
      <c r="F1870" t="s">
        <v>2344</v>
      </c>
      <c r="G1870" t="s">
        <v>2344</v>
      </c>
      <c r="H1870">
        <v>1</v>
      </c>
      <c r="I1870" t="s">
        <v>2344</v>
      </c>
      <c r="J1870" t="str">
        <f t="shared" si="117"/>
        <v>Obesity</v>
      </c>
      <c r="K1870" t="str">
        <f t="shared" si="120"/>
        <v>Normal</v>
      </c>
      <c r="L1870">
        <v>3</v>
      </c>
      <c r="M1870" t="s">
        <v>2363</v>
      </c>
      <c r="N1870">
        <v>1974</v>
      </c>
      <c r="O1870" s="8">
        <f t="shared" si="118"/>
        <v>27275</v>
      </c>
      <c r="P1870" s="10">
        <v>21232.18</v>
      </c>
      <c r="Q1870" t="s">
        <v>2358</v>
      </c>
      <c r="R1870" t="s">
        <v>2357</v>
      </c>
      <c r="S1870" t="s">
        <v>2368</v>
      </c>
      <c r="T1870">
        <f t="shared" ca="1" si="119"/>
        <v>52</v>
      </c>
      <c r="U1870">
        <f>VLOOKUP($A1870,'Medical Examination'!$A:$Z,2,FALSE)</f>
        <v>44.22</v>
      </c>
    </row>
    <row r="1871" spans="1:21" ht="15.5" x14ac:dyDescent="0.35">
      <c r="A1871" s="2" t="s">
        <v>1871</v>
      </c>
      <c r="B1871" s="2" t="s">
        <v>2807</v>
      </c>
      <c r="C1871">
        <v>15.46</v>
      </c>
      <c r="D1871">
        <v>4.99</v>
      </c>
      <c r="E1871" t="s">
        <v>2346</v>
      </c>
      <c r="F1871" t="s">
        <v>2344</v>
      </c>
      <c r="G1871" t="s">
        <v>2346</v>
      </c>
      <c r="H1871">
        <v>1</v>
      </c>
      <c r="I1871" t="s">
        <v>2344</v>
      </c>
      <c r="J1871" t="str">
        <f t="shared" si="117"/>
        <v>Under Weight</v>
      </c>
      <c r="K1871" t="str">
        <f t="shared" si="120"/>
        <v>Normal</v>
      </c>
      <c r="L1871">
        <v>10</v>
      </c>
      <c r="M1871" t="s">
        <v>2365</v>
      </c>
      <c r="N1871">
        <v>1980</v>
      </c>
      <c r="O1871" s="8">
        <f t="shared" si="118"/>
        <v>29565</v>
      </c>
      <c r="P1871" s="10">
        <v>21259.38</v>
      </c>
      <c r="Q1871" t="s">
        <v>2358</v>
      </c>
      <c r="R1871" t="s">
        <v>2358</v>
      </c>
      <c r="S1871" t="s">
        <v>2370</v>
      </c>
      <c r="T1871">
        <f t="shared" ca="1" si="119"/>
        <v>46</v>
      </c>
      <c r="U1871">
        <f>VLOOKUP($A1871,'Medical Examination'!$A:$Z,2,FALSE)</f>
        <v>15.46</v>
      </c>
    </row>
    <row r="1872" spans="1:21" ht="15.5" x14ac:dyDescent="0.35">
      <c r="A1872" s="2" t="s">
        <v>1872</v>
      </c>
      <c r="B1872" s="2" t="s">
        <v>4932</v>
      </c>
      <c r="C1872">
        <v>30.3</v>
      </c>
      <c r="D1872">
        <v>4.7699999999999996</v>
      </c>
      <c r="E1872" t="s">
        <v>2346</v>
      </c>
      <c r="F1872" t="s">
        <v>2344</v>
      </c>
      <c r="G1872" t="s">
        <v>2344</v>
      </c>
      <c r="H1872">
        <v>1</v>
      </c>
      <c r="I1872" t="s">
        <v>2344</v>
      </c>
      <c r="J1872" t="str">
        <f t="shared" si="117"/>
        <v>Obesity</v>
      </c>
      <c r="K1872" t="str">
        <f t="shared" si="120"/>
        <v>Normal</v>
      </c>
      <c r="L1872">
        <v>4</v>
      </c>
      <c r="M1872" t="s">
        <v>2366</v>
      </c>
      <c r="N1872">
        <v>2004</v>
      </c>
      <c r="O1872" s="8">
        <f t="shared" si="118"/>
        <v>38203</v>
      </c>
      <c r="P1872" s="10">
        <v>21344.85</v>
      </c>
      <c r="Q1872" t="s">
        <v>2358</v>
      </c>
      <c r="R1872" t="s">
        <v>2361</v>
      </c>
      <c r="S1872" t="s">
        <v>2374</v>
      </c>
      <c r="T1872">
        <f t="shared" ca="1" si="119"/>
        <v>22</v>
      </c>
      <c r="U1872">
        <f>VLOOKUP($A1872,'Medical Examination'!$A:$Z,2,FALSE)</f>
        <v>30.3</v>
      </c>
    </row>
    <row r="1873" spans="1:21" ht="15.5" x14ac:dyDescent="0.35">
      <c r="A1873" s="2" t="s">
        <v>1873</v>
      </c>
      <c r="B1873" s="2" t="s">
        <v>4934</v>
      </c>
      <c r="C1873">
        <v>16.670000000000002</v>
      </c>
      <c r="D1873">
        <v>5.46</v>
      </c>
      <c r="E1873" t="s">
        <v>2344</v>
      </c>
      <c r="F1873" t="s">
        <v>2344</v>
      </c>
      <c r="G1873" t="s">
        <v>2344</v>
      </c>
      <c r="H1873">
        <v>0</v>
      </c>
      <c r="I1873" t="s">
        <v>2344</v>
      </c>
      <c r="J1873" t="str">
        <f t="shared" si="117"/>
        <v>Under Weight</v>
      </c>
      <c r="K1873" t="str">
        <f t="shared" si="120"/>
        <v>Normal</v>
      </c>
      <c r="L1873">
        <v>4</v>
      </c>
      <c r="M1873" t="s">
        <v>2363</v>
      </c>
      <c r="N1873">
        <v>1980</v>
      </c>
      <c r="O1873" s="8">
        <f t="shared" si="118"/>
        <v>29468</v>
      </c>
      <c r="P1873" s="10">
        <v>21348.71</v>
      </c>
      <c r="Q1873" t="s">
        <v>2357</v>
      </c>
      <c r="R1873" t="s">
        <v>2361</v>
      </c>
      <c r="S1873" t="s">
        <v>2364</v>
      </c>
      <c r="T1873">
        <f t="shared" ca="1" si="119"/>
        <v>46</v>
      </c>
      <c r="U1873">
        <f>VLOOKUP($A1873,'Medical Examination'!$A:$Z,2,FALSE)</f>
        <v>16.670000000000002</v>
      </c>
    </row>
    <row r="1874" spans="1:21" ht="15.5" x14ac:dyDescent="0.35">
      <c r="A1874" s="2" t="s">
        <v>1874</v>
      </c>
      <c r="B1874" s="2" t="s">
        <v>4936</v>
      </c>
      <c r="C1874">
        <v>28.594999999999999</v>
      </c>
      <c r="D1874">
        <v>5.43</v>
      </c>
      <c r="E1874" t="s">
        <v>2344</v>
      </c>
      <c r="F1874" t="s">
        <v>2344</v>
      </c>
      <c r="G1874" t="s">
        <v>2344</v>
      </c>
      <c r="H1874">
        <v>0</v>
      </c>
      <c r="I1874" t="s">
        <v>2344</v>
      </c>
      <c r="J1874" t="str">
        <f t="shared" si="117"/>
        <v>Over weight</v>
      </c>
      <c r="K1874" t="str">
        <f t="shared" si="120"/>
        <v>Normal</v>
      </c>
      <c r="L1874">
        <v>21</v>
      </c>
      <c r="M1874" t="s">
        <v>2360</v>
      </c>
      <c r="N1874">
        <v>1990</v>
      </c>
      <c r="O1874" s="8">
        <f t="shared" si="118"/>
        <v>33198</v>
      </c>
      <c r="P1874" s="10">
        <v>21472.48</v>
      </c>
      <c r="Q1874" t="s">
        <v>2357</v>
      </c>
      <c r="R1874" t="s">
        <v>2357</v>
      </c>
      <c r="S1874" t="s">
        <v>2364</v>
      </c>
      <c r="T1874">
        <f t="shared" ca="1" si="119"/>
        <v>36</v>
      </c>
      <c r="U1874">
        <f>VLOOKUP($A1874,'Medical Examination'!$A:$Z,2,FALSE)</f>
        <v>28.594999999999999</v>
      </c>
    </row>
    <row r="1875" spans="1:21" ht="15.5" x14ac:dyDescent="0.35">
      <c r="A1875" s="2" t="s">
        <v>1875</v>
      </c>
      <c r="B1875" s="2" t="s">
        <v>4937</v>
      </c>
      <c r="C1875">
        <v>25.934999999999999</v>
      </c>
      <c r="D1875">
        <v>4.29</v>
      </c>
      <c r="E1875" t="s">
        <v>2344</v>
      </c>
      <c r="F1875" t="s">
        <v>2344</v>
      </c>
      <c r="G1875" t="s">
        <v>2344</v>
      </c>
      <c r="H1875">
        <v>0</v>
      </c>
      <c r="I1875" t="s">
        <v>2344</v>
      </c>
      <c r="J1875" t="str">
        <f t="shared" si="117"/>
        <v>Over weight</v>
      </c>
      <c r="K1875" t="str">
        <f t="shared" si="120"/>
        <v>Normal</v>
      </c>
      <c r="L1875">
        <v>12</v>
      </c>
      <c r="M1875" t="s">
        <v>2362</v>
      </c>
      <c r="N1875">
        <v>1999</v>
      </c>
      <c r="O1875" s="8">
        <f t="shared" si="118"/>
        <v>36323</v>
      </c>
      <c r="P1875" s="10">
        <v>21595.38</v>
      </c>
      <c r="Q1875" t="s">
        <v>2357</v>
      </c>
      <c r="R1875" t="s">
        <v>2358</v>
      </c>
      <c r="S1875" t="s">
        <v>2364</v>
      </c>
      <c r="T1875">
        <f t="shared" ca="1" si="119"/>
        <v>27</v>
      </c>
      <c r="U1875">
        <f>VLOOKUP($A1875,'Medical Examination'!$A:$Z,2,FALSE)</f>
        <v>25.934999999999999</v>
      </c>
    </row>
    <row r="1876" spans="1:21" ht="15.5" x14ac:dyDescent="0.35">
      <c r="A1876" s="2" t="s">
        <v>1876</v>
      </c>
      <c r="B1876" s="2" t="s">
        <v>4939</v>
      </c>
      <c r="C1876">
        <v>27.645</v>
      </c>
      <c r="D1876">
        <v>5.25</v>
      </c>
      <c r="E1876" t="s">
        <v>2344</v>
      </c>
      <c r="F1876" t="s">
        <v>2344</v>
      </c>
      <c r="G1876" t="s">
        <v>2344</v>
      </c>
      <c r="H1876">
        <v>1</v>
      </c>
      <c r="I1876" t="s">
        <v>2344</v>
      </c>
      <c r="J1876" t="str">
        <f t="shared" si="117"/>
        <v>Over weight</v>
      </c>
      <c r="K1876" t="str">
        <f t="shared" si="120"/>
        <v>Normal</v>
      </c>
      <c r="L1876">
        <v>25</v>
      </c>
      <c r="M1876" t="s">
        <v>2365</v>
      </c>
      <c r="N1876">
        <v>1983</v>
      </c>
      <c r="O1876" s="8">
        <f t="shared" si="118"/>
        <v>30675</v>
      </c>
      <c r="P1876" s="10">
        <v>21659.93</v>
      </c>
      <c r="Q1876" t="s">
        <v>2358</v>
      </c>
      <c r="R1876" t="s">
        <v>2358</v>
      </c>
      <c r="S1876" t="s">
        <v>2374</v>
      </c>
      <c r="T1876">
        <f t="shared" ca="1" si="119"/>
        <v>43</v>
      </c>
      <c r="U1876">
        <f>VLOOKUP($A1876,'Medical Examination'!$A:$Z,2,FALSE)</f>
        <v>27.645</v>
      </c>
    </row>
    <row r="1877" spans="1:21" ht="15.5" x14ac:dyDescent="0.35">
      <c r="A1877" s="2" t="s">
        <v>1877</v>
      </c>
      <c r="B1877" s="2" t="s">
        <v>4064</v>
      </c>
      <c r="C1877">
        <v>30.1</v>
      </c>
      <c r="D1877">
        <v>4.04</v>
      </c>
      <c r="E1877" t="s">
        <v>2344</v>
      </c>
      <c r="F1877" t="s">
        <v>2344</v>
      </c>
      <c r="G1877" t="s">
        <v>2344</v>
      </c>
      <c r="H1877">
        <v>1</v>
      </c>
      <c r="I1877" t="s">
        <v>2344</v>
      </c>
      <c r="J1877" t="str">
        <f t="shared" si="117"/>
        <v>Obesity</v>
      </c>
      <c r="K1877" t="str">
        <f t="shared" si="120"/>
        <v>Normal</v>
      </c>
      <c r="L1877">
        <v>16</v>
      </c>
      <c r="M1877" t="s">
        <v>2360</v>
      </c>
      <c r="N1877">
        <v>1962</v>
      </c>
      <c r="O1877" s="8">
        <f t="shared" si="118"/>
        <v>22966</v>
      </c>
      <c r="P1877" s="10">
        <v>21661.16</v>
      </c>
      <c r="Q1877" t="s">
        <v>2357</v>
      </c>
      <c r="R1877" t="s">
        <v>2357</v>
      </c>
      <c r="S1877" t="s">
        <v>2364</v>
      </c>
      <c r="T1877">
        <f t="shared" ca="1" si="119"/>
        <v>64</v>
      </c>
      <c r="U1877">
        <f>VLOOKUP($A1877,'Medical Examination'!$A:$Z,2,FALSE)</f>
        <v>30.1</v>
      </c>
    </row>
    <row r="1878" spans="1:21" ht="15.5" x14ac:dyDescent="0.35">
      <c r="A1878" s="2" t="s">
        <v>1878</v>
      </c>
      <c r="B1878" s="2" t="s">
        <v>4941</v>
      </c>
      <c r="C1878">
        <v>26.79</v>
      </c>
      <c r="D1878" t="s">
        <v>2346</v>
      </c>
      <c r="E1878" t="s">
        <v>2346</v>
      </c>
      <c r="F1878" t="s">
        <v>2344</v>
      </c>
      <c r="G1878" t="s">
        <v>2346</v>
      </c>
      <c r="H1878">
        <v>1</v>
      </c>
      <c r="I1878" t="s">
        <v>2344</v>
      </c>
      <c r="J1878" t="str">
        <f t="shared" si="117"/>
        <v>Over weight</v>
      </c>
      <c r="K1878" t="str">
        <f t="shared" si="120"/>
        <v>Diabetes</v>
      </c>
      <c r="L1878">
        <v>18</v>
      </c>
      <c r="M1878" t="s">
        <v>2356</v>
      </c>
      <c r="N1878">
        <v>1976</v>
      </c>
      <c r="O1878" s="8">
        <f t="shared" si="118"/>
        <v>27959</v>
      </c>
      <c r="P1878" s="10">
        <v>21677.279999999999</v>
      </c>
      <c r="Q1878" t="s">
        <v>2358</v>
      </c>
      <c r="R1878" t="s">
        <v>2361</v>
      </c>
      <c r="S1878" t="s">
        <v>2364</v>
      </c>
      <c r="T1878">
        <f t="shared" ca="1" si="119"/>
        <v>50</v>
      </c>
      <c r="U1878">
        <f>VLOOKUP($A1878,'Medical Examination'!$A:$Z,2,FALSE)</f>
        <v>26.79</v>
      </c>
    </row>
    <row r="1879" spans="1:21" ht="15.5" x14ac:dyDescent="0.35">
      <c r="A1879" s="2" t="s">
        <v>1879</v>
      </c>
      <c r="B1879" s="2" t="s">
        <v>4942</v>
      </c>
      <c r="C1879">
        <v>27.1</v>
      </c>
      <c r="D1879">
        <v>4.01</v>
      </c>
      <c r="E1879" t="s">
        <v>2346</v>
      </c>
      <c r="F1879" t="s">
        <v>2344</v>
      </c>
      <c r="G1879" t="s">
        <v>2344</v>
      </c>
      <c r="H1879">
        <v>1</v>
      </c>
      <c r="I1879" t="s">
        <v>2344</v>
      </c>
      <c r="J1879" t="str">
        <f t="shared" si="117"/>
        <v>Over weight</v>
      </c>
      <c r="K1879" t="str">
        <f t="shared" si="120"/>
        <v>Normal</v>
      </c>
      <c r="L1879">
        <v>20</v>
      </c>
      <c r="M1879" t="s">
        <v>2363</v>
      </c>
      <c r="N1879">
        <v>1979</v>
      </c>
      <c r="O1879" s="8">
        <f t="shared" si="118"/>
        <v>29118</v>
      </c>
      <c r="P1879" s="10">
        <v>21771.34</v>
      </c>
      <c r="Q1879" t="s">
        <v>2358</v>
      </c>
      <c r="R1879" t="s">
        <v>2361</v>
      </c>
      <c r="S1879" t="s">
        <v>2374</v>
      </c>
      <c r="T1879">
        <f t="shared" ca="1" si="119"/>
        <v>47</v>
      </c>
      <c r="U1879">
        <f>VLOOKUP($A1879,'Medical Examination'!$A:$Z,2,FALSE)</f>
        <v>27.1</v>
      </c>
    </row>
    <row r="1880" spans="1:21" ht="15.5" x14ac:dyDescent="0.35">
      <c r="A1880" s="2" t="s">
        <v>1880</v>
      </c>
      <c r="B1880" s="2" t="s">
        <v>4943</v>
      </c>
      <c r="C1880">
        <v>24.31</v>
      </c>
      <c r="D1880">
        <v>5.4</v>
      </c>
      <c r="E1880" t="s">
        <v>2344</v>
      </c>
      <c r="F1880" t="s">
        <v>2344</v>
      </c>
      <c r="G1880" t="s">
        <v>2344</v>
      </c>
      <c r="H1880">
        <v>0</v>
      </c>
      <c r="I1880" t="s">
        <v>2344</v>
      </c>
      <c r="J1880" t="str">
        <f t="shared" si="117"/>
        <v>Normal Weight</v>
      </c>
      <c r="K1880" t="str">
        <f t="shared" si="120"/>
        <v>Normal</v>
      </c>
      <c r="L1880">
        <v>28</v>
      </c>
      <c r="M1880" t="s">
        <v>2363</v>
      </c>
      <c r="N1880">
        <v>1979</v>
      </c>
      <c r="O1880" s="8">
        <f t="shared" si="118"/>
        <v>29126</v>
      </c>
      <c r="P1880" s="10">
        <v>21774.32</v>
      </c>
      <c r="Q1880" t="s">
        <v>2358</v>
      </c>
      <c r="R1880" t="s">
        <v>2357</v>
      </c>
      <c r="S1880" t="s">
        <v>2364</v>
      </c>
      <c r="T1880">
        <f t="shared" ca="1" si="119"/>
        <v>47</v>
      </c>
      <c r="U1880">
        <f>VLOOKUP($A1880,'Medical Examination'!$A:$Z,2,FALSE)</f>
        <v>24.31</v>
      </c>
    </row>
    <row r="1881" spans="1:21" ht="15.5" x14ac:dyDescent="0.35">
      <c r="A1881" s="2" t="s">
        <v>1881</v>
      </c>
      <c r="B1881" s="2" t="s">
        <v>4944</v>
      </c>
      <c r="C1881">
        <v>15.53</v>
      </c>
      <c r="D1881">
        <v>5.81</v>
      </c>
      <c r="E1881" t="s">
        <v>2344</v>
      </c>
      <c r="F1881" t="s">
        <v>2344</v>
      </c>
      <c r="G1881" t="s">
        <v>2344</v>
      </c>
      <c r="H1881">
        <v>1</v>
      </c>
      <c r="I1881" t="s">
        <v>2344</v>
      </c>
      <c r="J1881" t="str">
        <f t="shared" si="117"/>
        <v>Under Weight</v>
      </c>
      <c r="K1881" t="str">
        <f t="shared" si="120"/>
        <v>Prediabetes</v>
      </c>
      <c r="L1881">
        <v>27</v>
      </c>
      <c r="M1881" t="s">
        <v>2366</v>
      </c>
      <c r="N1881">
        <v>1963</v>
      </c>
      <c r="O1881" s="8">
        <f t="shared" si="118"/>
        <v>23250</v>
      </c>
      <c r="P1881" s="10">
        <v>21797</v>
      </c>
      <c r="Q1881" t="s">
        <v>2358</v>
      </c>
      <c r="R1881" t="s">
        <v>2361</v>
      </c>
      <c r="S1881" t="s">
        <v>2368</v>
      </c>
      <c r="T1881">
        <f t="shared" ca="1" si="119"/>
        <v>63</v>
      </c>
      <c r="U1881">
        <f>VLOOKUP($A1881,'Medical Examination'!$A:$Z,2,FALSE)</f>
        <v>15.53</v>
      </c>
    </row>
    <row r="1882" spans="1:21" ht="15.5" x14ac:dyDescent="0.35">
      <c r="A1882" s="2" t="s">
        <v>1882</v>
      </c>
      <c r="B1882" s="2" t="s">
        <v>3346</v>
      </c>
      <c r="C1882">
        <v>30.7</v>
      </c>
      <c r="D1882">
        <v>5.82</v>
      </c>
      <c r="E1882" t="s">
        <v>2344</v>
      </c>
      <c r="F1882" t="s">
        <v>2344</v>
      </c>
      <c r="G1882" t="s">
        <v>2344</v>
      </c>
      <c r="H1882">
        <v>1</v>
      </c>
      <c r="I1882" t="s">
        <v>2344</v>
      </c>
      <c r="J1882" t="str">
        <f t="shared" si="117"/>
        <v>Obesity</v>
      </c>
      <c r="K1882" t="str">
        <f t="shared" si="120"/>
        <v>Prediabetes</v>
      </c>
      <c r="L1882">
        <v>17</v>
      </c>
      <c r="M1882" t="s">
        <v>2366</v>
      </c>
      <c r="N1882">
        <v>1979</v>
      </c>
      <c r="O1882" s="8">
        <f t="shared" si="118"/>
        <v>29084</v>
      </c>
      <c r="P1882" s="10">
        <v>21880.82</v>
      </c>
      <c r="Q1882" t="s">
        <v>2358</v>
      </c>
      <c r="R1882" t="s">
        <v>2361</v>
      </c>
      <c r="S1882" t="s">
        <v>2364</v>
      </c>
      <c r="T1882">
        <f t="shared" ca="1" si="119"/>
        <v>47</v>
      </c>
      <c r="U1882">
        <f>VLOOKUP($A1882,'Medical Examination'!$A:$Z,2,FALSE)</f>
        <v>30.7</v>
      </c>
    </row>
    <row r="1883" spans="1:21" ht="15.5" x14ac:dyDescent="0.35">
      <c r="A1883" s="2" t="s">
        <v>1883</v>
      </c>
      <c r="B1883" s="2" t="s">
        <v>4946</v>
      </c>
      <c r="C1883">
        <v>33.33</v>
      </c>
      <c r="D1883">
        <v>4.82</v>
      </c>
      <c r="E1883" t="s">
        <v>2344</v>
      </c>
      <c r="F1883" t="s">
        <v>2344</v>
      </c>
      <c r="G1883" t="s">
        <v>2344</v>
      </c>
      <c r="H1883">
        <v>1</v>
      </c>
      <c r="I1883" t="s">
        <v>2344</v>
      </c>
      <c r="J1883" t="str">
        <f t="shared" si="117"/>
        <v>Obesity</v>
      </c>
      <c r="K1883" t="str">
        <f t="shared" si="120"/>
        <v>Normal</v>
      </c>
      <c r="L1883">
        <v>28</v>
      </c>
      <c r="M1883" t="s">
        <v>2363</v>
      </c>
      <c r="N1883">
        <v>2003</v>
      </c>
      <c r="O1883" s="8">
        <f t="shared" si="118"/>
        <v>37892</v>
      </c>
      <c r="P1883" s="10">
        <v>21882.400000000001</v>
      </c>
      <c r="Q1883" t="s">
        <v>2357</v>
      </c>
      <c r="R1883" t="s">
        <v>2361</v>
      </c>
      <c r="S1883" t="s">
        <v>2368</v>
      </c>
      <c r="T1883">
        <f t="shared" ca="1" si="119"/>
        <v>23</v>
      </c>
      <c r="U1883">
        <f>VLOOKUP($A1883,'Medical Examination'!$A:$Z,2,FALSE)</f>
        <v>33.33</v>
      </c>
    </row>
    <row r="1884" spans="1:21" ht="15.5" x14ac:dyDescent="0.35">
      <c r="A1884" s="2" t="s">
        <v>1884</v>
      </c>
      <c r="B1884" s="2" t="s">
        <v>4947</v>
      </c>
      <c r="C1884">
        <v>32.4</v>
      </c>
      <c r="D1884">
        <v>5.08</v>
      </c>
      <c r="E1884" t="s">
        <v>2344</v>
      </c>
      <c r="F1884" t="s">
        <v>2344</v>
      </c>
      <c r="G1884" t="s">
        <v>2344</v>
      </c>
      <c r="H1884">
        <v>1</v>
      </c>
      <c r="I1884" t="s">
        <v>2344</v>
      </c>
      <c r="J1884" t="str">
        <f t="shared" si="117"/>
        <v>Obesity</v>
      </c>
      <c r="K1884" t="str">
        <f t="shared" si="120"/>
        <v>Normal</v>
      </c>
      <c r="L1884">
        <v>19</v>
      </c>
      <c r="M1884" t="s">
        <v>2365</v>
      </c>
      <c r="N1884">
        <v>1975</v>
      </c>
      <c r="O1884" s="8">
        <f t="shared" si="118"/>
        <v>27747</v>
      </c>
      <c r="P1884" s="10">
        <v>21978.68</v>
      </c>
      <c r="Q1884" t="s">
        <v>2358</v>
      </c>
      <c r="R1884" t="s">
        <v>2358</v>
      </c>
      <c r="S1884" t="s">
        <v>2359</v>
      </c>
      <c r="T1884">
        <f t="shared" ca="1" si="119"/>
        <v>51</v>
      </c>
      <c r="U1884">
        <f>VLOOKUP($A1884,'Medical Examination'!$A:$Z,2,FALSE)</f>
        <v>32.4</v>
      </c>
    </row>
    <row r="1885" spans="1:21" ht="15.5" x14ac:dyDescent="0.35">
      <c r="A1885" s="2" t="s">
        <v>1885</v>
      </c>
      <c r="B1885" s="2" t="s">
        <v>4948</v>
      </c>
      <c r="C1885">
        <v>27.93</v>
      </c>
      <c r="D1885">
        <v>5.59</v>
      </c>
      <c r="E1885" t="s">
        <v>2344</v>
      </c>
      <c r="F1885" t="s">
        <v>2344</v>
      </c>
      <c r="G1885" t="s">
        <v>2344</v>
      </c>
      <c r="H1885">
        <v>1</v>
      </c>
      <c r="I1885" t="s">
        <v>2344</v>
      </c>
      <c r="J1885" t="str">
        <f t="shared" si="117"/>
        <v>Over weight</v>
      </c>
      <c r="K1885" t="str">
        <f t="shared" si="120"/>
        <v>Normal</v>
      </c>
      <c r="L1885">
        <v>14</v>
      </c>
      <c r="M1885" t="s">
        <v>2367</v>
      </c>
      <c r="N1885">
        <v>1989</v>
      </c>
      <c r="O1885" s="8">
        <f t="shared" si="118"/>
        <v>32795</v>
      </c>
      <c r="P1885" s="10">
        <v>21984.47</v>
      </c>
      <c r="Q1885" t="s">
        <v>2358</v>
      </c>
      <c r="R1885" t="s">
        <v>2361</v>
      </c>
      <c r="S1885" t="s">
        <v>2364</v>
      </c>
      <c r="T1885">
        <f t="shared" ca="1" si="119"/>
        <v>37</v>
      </c>
      <c r="U1885">
        <f>VLOOKUP($A1885,'Medical Examination'!$A:$Z,2,FALSE)</f>
        <v>27.93</v>
      </c>
    </row>
    <row r="1886" spans="1:21" ht="15.5" x14ac:dyDescent="0.35">
      <c r="A1886" s="2" t="s">
        <v>1886</v>
      </c>
      <c r="B1886" s="2" t="s">
        <v>4949</v>
      </c>
      <c r="C1886">
        <v>21.754999999999999</v>
      </c>
      <c r="D1886">
        <v>5.12</v>
      </c>
      <c r="E1886" t="s">
        <v>2344</v>
      </c>
      <c r="F1886" t="s">
        <v>2344</v>
      </c>
      <c r="G1886" t="s">
        <v>2344</v>
      </c>
      <c r="H1886">
        <v>0</v>
      </c>
      <c r="I1886" t="s">
        <v>2344</v>
      </c>
      <c r="J1886" t="str">
        <f t="shared" si="117"/>
        <v>Normal Weight</v>
      </c>
      <c r="K1886" t="str">
        <f t="shared" si="120"/>
        <v>Normal</v>
      </c>
      <c r="L1886">
        <v>28</v>
      </c>
      <c r="M1886" t="s">
        <v>2366</v>
      </c>
      <c r="N1886">
        <v>2001</v>
      </c>
      <c r="O1886" s="8">
        <f t="shared" si="118"/>
        <v>37131</v>
      </c>
      <c r="P1886" s="10">
        <v>22097.62</v>
      </c>
      <c r="Q1886" t="s">
        <v>2358</v>
      </c>
      <c r="R1886" t="s">
        <v>2361</v>
      </c>
      <c r="S1886" t="s">
        <v>2368</v>
      </c>
      <c r="T1886">
        <f t="shared" ca="1" si="119"/>
        <v>25</v>
      </c>
      <c r="U1886">
        <f>VLOOKUP($A1886,'Medical Examination'!$A:$Z,2,FALSE)</f>
        <v>21.754999999999999</v>
      </c>
    </row>
    <row r="1887" spans="1:21" ht="15.5" x14ac:dyDescent="0.35">
      <c r="A1887" s="2" t="s">
        <v>1887</v>
      </c>
      <c r="B1887" s="2" t="s">
        <v>4951</v>
      </c>
      <c r="C1887">
        <v>25.934999999999999</v>
      </c>
      <c r="D1887">
        <v>4.95</v>
      </c>
      <c r="E1887" t="s">
        <v>2344</v>
      </c>
      <c r="F1887" t="s">
        <v>2344</v>
      </c>
      <c r="G1887" t="s">
        <v>2344</v>
      </c>
      <c r="H1887">
        <v>0</v>
      </c>
      <c r="I1887" t="s">
        <v>2344</v>
      </c>
      <c r="J1887" t="str">
        <f t="shared" si="117"/>
        <v>Over weight</v>
      </c>
      <c r="K1887" t="str">
        <f t="shared" si="120"/>
        <v>Normal</v>
      </c>
      <c r="L1887">
        <v>12</v>
      </c>
      <c r="M1887" t="s">
        <v>2363</v>
      </c>
      <c r="N1887">
        <v>1980</v>
      </c>
      <c r="O1887" s="8">
        <f t="shared" si="118"/>
        <v>29476</v>
      </c>
      <c r="P1887" s="10">
        <v>22144.03</v>
      </c>
      <c r="Q1887" t="s">
        <v>2357</v>
      </c>
      <c r="R1887" t="s">
        <v>2357</v>
      </c>
      <c r="S1887" t="s">
        <v>2368</v>
      </c>
      <c r="T1887">
        <f t="shared" ca="1" si="119"/>
        <v>46</v>
      </c>
      <c r="U1887">
        <f>VLOOKUP($A1887,'Medical Examination'!$A:$Z,2,FALSE)</f>
        <v>25.934999999999999</v>
      </c>
    </row>
    <row r="1888" spans="1:21" ht="15.5" x14ac:dyDescent="0.35">
      <c r="A1888" s="2" t="s">
        <v>1888</v>
      </c>
      <c r="B1888" s="2" t="s">
        <v>4953</v>
      </c>
      <c r="C1888">
        <v>31.5</v>
      </c>
      <c r="D1888">
        <v>6.16</v>
      </c>
      <c r="E1888" t="s">
        <v>2344</v>
      </c>
      <c r="F1888" t="s">
        <v>2344</v>
      </c>
      <c r="G1888" t="s">
        <v>2344</v>
      </c>
      <c r="H1888">
        <v>0</v>
      </c>
      <c r="I1888" t="s">
        <v>2344</v>
      </c>
      <c r="J1888" t="str">
        <f t="shared" si="117"/>
        <v>Obesity</v>
      </c>
      <c r="K1888" t="str">
        <f t="shared" si="120"/>
        <v>Prediabetes</v>
      </c>
      <c r="L1888">
        <v>24</v>
      </c>
      <c r="M1888" t="s">
        <v>2366</v>
      </c>
      <c r="N1888">
        <v>1965</v>
      </c>
      <c r="O1888" s="8">
        <f t="shared" si="118"/>
        <v>23978</v>
      </c>
      <c r="P1888" s="10">
        <v>22192.44</v>
      </c>
      <c r="Q1888" t="s">
        <v>2358</v>
      </c>
      <c r="R1888" t="s">
        <v>2361</v>
      </c>
      <c r="S1888" t="s">
        <v>2359</v>
      </c>
      <c r="T1888">
        <f t="shared" ca="1" si="119"/>
        <v>61</v>
      </c>
      <c r="U1888">
        <f>VLOOKUP($A1888,'Medical Examination'!$A:$Z,2,FALSE)</f>
        <v>31.5</v>
      </c>
    </row>
    <row r="1889" spans="1:21" ht="15.5" x14ac:dyDescent="0.35">
      <c r="A1889" s="2" t="s">
        <v>1889</v>
      </c>
      <c r="B1889" s="2" t="s">
        <v>4955</v>
      </c>
      <c r="C1889">
        <v>30.03</v>
      </c>
      <c r="D1889">
        <v>6.41</v>
      </c>
      <c r="E1889" t="s">
        <v>2344</v>
      </c>
      <c r="F1889" t="s">
        <v>2344</v>
      </c>
      <c r="G1889" t="s">
        <v>2344</v>
      </c>
      <c r="H1889">
        <v>0</v>
      </c>
      <c r="I1889" t="s">
        <v>2344</v>
      </c>
      <c r="J1889" t="str">
        <f t="shared" si="117"/>
        <v>Obesity</v>
      </c>
      <c r="K1889" t="str">
        <f t="shared" si="120"/>
        <v>Prediabetes</v>
      </c>
      <c r="L1889">
        <v>16</v>
      </c>
      <c r="M1889" t="s">
        <v>2362</v>
      </c>
      <c r="N1889">
        <v>1971</v>
      </c>
      <c r="O1889" s="8">
        <f t="shared" si="118"/>
        <v>26100</v>
      </c>
      <c r="P1889" s="10">
        <v>22218.11</v>
      </c>
      <c r="Q1889" t="s">
        <v>2357</v>
      </c>
      <c r="R1889" t="s">
        <v>2358</v>
      </c>
      <c r="S1889" t="s">
        <v>2359</v>
      </c>
      <c r="T1889">
        <f t="shared" ca="1" si="119"/>
        <v>55</v>
      </c>
      <c r="U1889">
        <f>VLOOKUP($A1889,'Medical Examination'!$A:$Z,2,FALSE)</f>
        <v>30.03</v>
      </c>
    </row>
    <row r="1890" spans="1:21" ht="15.5" x14ac:dyDescent="0.35">
      <c r="A1890" s="2" t="s">
        <v>1890</v>
      </c>
      <c r="B1890" s="2" t="s">
        <v>3368</v>
      </c>
      <c r="C1890">
        <v>33.479999999999997</v>
      </c>
      <c r="D1890">
        <v>8.94</v>
      </c>
      <c r="E1890" t="s">
        <v>2344</v>
      </c>
      <c r="F1890" t="s">
        <v>2344</v>
      </c>
      <c r="G1890" t="s">
        <v>2344</v>
      </c>
      <c r="H1890">
        <v>0</v>
      </c>
      <c r="I1890" t="s">
        <v>2344</v>
      </c>
      <c r="J1890" t="str">
        <f t="shared" si="117"/>
        <v>Obesity</v>
      </c>
      <c r="K1890" t="str">
        <f t="shared" si="120"/>
        <v>Diabetes</v>
      </c>
      <c r="L1890">
        <v>27</v>
      </c>
      <c r="M1890" t="s">
        <v>2365</v>
      </c>
      <c r="N1890">
        <v>1982</v>
      </c>
      <c r="O1890" s="8">
        <f t="shared" si="118"/>
        <v>30312</v>
      </c>
      <c r="P1890" s="10">
        <v>22331.57</v>
      </c>
      <c r="Q1890" t="s">
        <v>2357</v>
      </c>
      <c r="R1890" t="s">
        <v>2358</v>
      </c>
      <c r="S1890" t="s">
        <v>2374</v>
      </c>
      <c r="T1890">
        <f t="shared" ca="1" si="119"/>
        <v>44</v>
      </c>
      <c r="U1890">
        <f>VLOOKUP($A1890,'Medical Examination'!$A:$Z,2,FALSE)</f>
        <v>33.479999999999997</v>
      </c>
    </row>
    <row r="1891" spans="1:21" ht="15.5" x14ac:dyDescent="0.35">
      <c r="A1891" s="2" t="s">
        <v>1891</v>
      </c>
      <c r="B1891" s="2" t="s">
        <v>4957</v>
      </c>
      <c r="C1891">
        <v>16.510000000000002</v>
      </c>
      <c r="D1891">
        <v>4.42</v>
      </c>
      <c r="E1891" t="s">
        <v>2346</v>
      </c>
      <c r="F1891" t="s">
        <v>2344</v>
      </c>
      <c r="G1891" t="s">
        <v>2346</v>
      </c>
      <c r="H1891">
        <v>1</v>
      </c>
      <c r="I1891" t="s">
        <v>2344</v>
      </c>
      <c r="J1891" t="str">
        <f t="shared" si="117"/>
        <v>Under Weight</v>
      </c>
      <c r="K1891" t="str">
        <f t="shared" si="120"/>
        <v>Normal</v>
      </c>
      <c r="L1891">
        <v>26</v>
      </c>
      <c r="M1891" t="s">
        <v>2366</v>
      </c>
      <c r="N1891">
        <v>1999</v>
      </c>
      <c r="O1891" s="8">
        <f t="shared" si="118"/>
        <v>36398</v>
      </c>
      <c r="P1891" s="10">
        <v>22395.74</v>
      </c>
      <c r="Q1891" t="s">
        <v>2358</v>
      </c>
      <c r="R1891" t="s">
        <v>2357</v>
      </c>
      <c r="S1891" t="s">
        <v>2374</v>
      </c>
      <c r="T1891">
        <f t="shared" ca="1" si="119"/>
        <v>27</v>
      </c>
      <c r="U1891">
        <f>VLOOKUP($A1891,'Medical Examination'!$A:$Z,2,FALSE)</f>
        <v>16.510000000000002</v>
      </c>
    </row>
    <row r="1892" spans="1:21" ht="15.5" x14ac:dyDescent="0.35">
      <c r="A1892" s="2" t="s">
        <v>1892</v>
      </c>
      <c r="B1892" s="2" t="s">
        <v>4958</v>
      </c>
      <c r="C1892">
        <v>33.155000000000001</v>
      </c>
      <c r="D1892">
        <v>5.3</v>
      </c>
      <c r="E1892" t="s">
        <v>2346</v>
      </c>
      <c r="F1892" t="s">
        <v>2344</v>
      </c>
      <c r="G1892" t="s">
        <v>2344</v>
      </c>
      <c r="H1892">
        <v>1</v>
      </c>
      <c r="I1892" t="s">
        <v>2344</v>
      </c>
      <c r="J1892" t="str">
        <f t="shared" si="117"/>
        <v>Obesity</v>
      </c>
      <c r="K1892" t="str">
        <f t="shared" si="120"/>
        <v>Normal</v>
      </c>
      <c r="L1892">
        <v>18</v>
      </c>
      <c r="M1892" t="s">
        <v>2366</v>
      </c>
      <c r="N1892">
        <v>1966</v>
      </c>
      <c r="O1892" s="8">
        <f t="shared" si="118"/>
        <v>24337</v>
      </c>
      <c r="P1892" s="10">
        <v>22412.65</v>
      </c>
      <c r="Q1892" t="s">
        <v>2358</v>
      </c>
      <c r="R1892" t="s">
        <v>2358</v>
      </c>
      <c r="S1892" t="s">
        <v>2376</v>
      </c>
      <c r="T1892">
        <f t="shared" ca="1" si="119"/>
        <v>60</v>
      </c>
      <c r="U1892">
        <f>VLOOKUP($A1892,'Medical Examination'!$A:$Z,2,FALSE)</f>
        <v>33.155000000000001</v>
      </c>
    </row>
    <row r="1893" spans="1:21" ht="15.5" x14ac:dyDescent="0.35">
      <c r="A1893" s="2" t="s">
        <v>1893</v>
      </c>
      <c r="B1893" s="2" t="s">
        <v>4959</v>
      </c>
      <c r="C1893">
        <v>37.29</v>
      </c>
      <c r="D1893">
        <v>4.6399999999999997</v>
      </c>
      <c r="E1893" t="s">
        <v>2344</v>
      </c>
      <c r="F1893" t="s">
        <v>2344</v>
      </c>
      <c r="G1893" t="s">
        <v>2346</v>
      </c>
      <c r="H1893">
        <v>1</v>
      </c>
      <c r="I1893" t="s">
        <v>2344</v>
      </c>
      <c r="J1893" t="str">
        <f t="shared" si="117"/>
        <v>Obesity</v>
      </c>
      <c r="K1893" t="str">
        <f t="shared" si="120"/>
        <v>Normal</v>
      </c>
      <c r="L1893">
        <v>21</v>
      </c>
      <c r="M1893" t="s">
        <v>2365</v>
      </c>
      <c r="N1893">
        <v>1983</v>
      </c>
      <c r="O1893" s="8">
        <f t="shared" si="118"/>
        <v>30671</v>
      </c>
      <c r="P1893" s="10">
        <v>22462.04</v>
      </c>
      <c r="Q1893" t="s">
        <v>2358</v>
      </c>
      <c r="R1893" t="s">
        <v>2361</v>
      </c>
      <c r="S1893" t="s">
        <v>2370</v>
      </c>
      <c r="T1893">
        <f t="shared" ca="1" si="119"/>
        <v>43</v>
      </c>
      <c r="U1893">
        <f>VLOOKUP($A1893,'Medical Examination'!$A:$Z,2,FALSE)</f>
        <v>37.29</v>
      </c>
    </row>
    <row r="1894" spans="1:21" ht="15.5" x14ac:dyDescent="0.35">
      <c r="A1894" s="2" t="s">
        <v>1894</v>
      </c>
      <c r="B1894" s="2" t="s">
        <v>4961</v>
      </c>
      <c r="C1894">
        <v>20.23</v>
      </c>
      <c r="D1894">
        <v>6.16</v>
      </c>
      <c r="E1894" t="s">
        <v>2346</v>
      </c>
      <c r="F1894" t="s">
        <v>2344</v>
      </c>
      <c r="G1894" t="s">
        <v>2344</v>
      </c>
      <c r="H1894">
        <v>1</v>
      </c>
      <c r="I1894" t="s">
        <v>2344</v>
      </c>
      <c r="J1894" t="str">
        <f t="shared" si="117"/>
        <v>Normal Weight</v>
      </c>
      <c r="K1894" t="str">
        <f t="shared" si="120"/>
        <v>Prediabetes</v>
      </c>
      <c r="L1894">
        <v>14</v>
      </c>
      <c r="M1894" t="s">
        <v>2360</v>
      </c>
      <c r="N1894">
        <v>1979</v>
      </c>
      <c r="O1894" s="8">
        <f t="shared" si="118"/>
        <v>29173</v>
      </c>
      <c r="P1894" s="10">
        <v>22478.6</v>
      </c>
      <c r="Q1894" t="s">
        <v>2358</v>
      </c>
      <c r="R1894" t="s">
        <v>2357</v>
      </c>
      <c r="S1894" t="s">
        <v>2368</v>
      </c>
      <c r="T1894">
        <f t="shared" ca="1" si="119"/>
        <v>47</v>
      </c>
      <c r="U1894">
        <f>VLOOKUP($A1894,'Medical Examination'!$A:$Z,2,FALSE)</f>
        <v>20.23</v>
      </c>
    </row>
    <row r="1895" spans="1:21" ht="15.5" x14ac:dyDescent="0.35">
      <c r="A1895" s="2" t="s">
        <v>1895</v>
      </c>
      <c r="B1895" s="2" t="s">
        <v>4962</v>
      </c>
      <c r="C1895">
        <v>28.975000000000001</v>
      </c>
      <c r="D1895">
        <v>4.12</v>
      </c>
      <c r="E1895" t="s">
        <v>2344</v>
      </c>
      <c r="F1895" t="s">
        <v>2344</v>
      </c>
      <c r="G1895" t="s">
        <v>2346</v>
      </c>
      <c r="H1895">
        <v>1</v>
      </c>
      <c r="I1895" t="s">
        <v>2344</v>
      </c>
      <c r="J1895" t="str">
        <f t="shared" si="117"/>
        <v>Over weight</v>
      </c>
      <c r="K1895" t="str">
        <f t="shared" si="120"/>
        <v>Normal</v>
      </c>
      <c r="L1895">
        <v>25</v>
      </c>
      <c r="M1895" t="s">
        <v>2356</v>
      </c>
      <c r="N1895">
        <v>2003</v>
      </c>
      <c r="O1895" s="8">
        <f t="shared" si="118"/>
        <v>37827</v>
      </c>
      <c r="P1895" s="10">
        <v>22493.66</v>
      </c>
      <c r="Q1895" t="s">
        <v>2357</v>
      </c>
      <c r="R1895" t="s">
        <v>2361</v>
      </c>
      <c r="S1895" t="s">
        <v>2364</v>
      </c>
      <c r="T1895">
        <f t="shared" ca="1" si="119"/>
        <v>23</v>
      </c>
      <c r="U1895">
        <f>VLOOKUP($A1895,'Medical Examination'!$A:$Z,2,FALSE)</f>
        <v>28.975000000000001</v>
      </c>
    </row>
    <row r="1896" spans="1:21" ht="15.5" x14ac:dyDescent="0.35">
      <c r="A1896" s="2" t="s">
        <v>1896</v>
      </c>
      <c r="B1896" s="2" t="s">
        <v>4963</v>
      </c>
      <c r="C1896">
        <v>16.420000000000002</v>
      </c>
      <c r="D1896">
        <v>5.77</v>
      </c>
      <c r="E1896" t="s">
        <v>2346</v>
      </c>
      <c r="F1896" t="s">
        <v>2344</v>
      </c>
      <c r="G1896" t="s">
        <v>2346</v>
      </c>
      <c r="H1896">
        <v>1</v>
      </c>
      <c r="I1896" t="s">
        <v>2344</v>
      </c>
      <c r="J1896" t="str">
        <f t="shared" si="117"/>
        <v>Under Weight</v>
      </c>
      <c r="K1896" t="str">
        <f t="shared" si="120"/>
        <v>Prediabetes</v>
      </c>
      <c r="L1896">
        <v>9</v>
      </c>
      <c r="M1896" t="s">
        <v>2360</v>
      </c>
      <c r="N1896">
        <v>1970</v>
      </c>
      <c r="O1896" s="8">
        <f t="shared" si="118"/>
        <v>25881</v>
      </c>
      <c r="P1896" s="10">
        <v>23045.57</v>
      </c>
      <c r="Q1896" t="s">
        <v>2357</v>
      </c>
      <c r="R1896" t="s">
        <v>2357</v>
      </c>
      <c r="S1896" t="s">
        <v>2374</v>
      </c>
      <c r="T1896">
        <f t="shared" ca="1" si="119"/>
        <v>56</v>
      </c>
      <c r="U1896">
        <f>VLOOKUP($A1896,'Medical Examination'!$A:$Z,2,FALSE)</f>
        <v>16.420000000000002</v>
      </c>
    </row>
    <row r="1897" spans="1:21" ht="15.5" x14ac:dyDescent="0.35">
      <c r="A1897" s="2" t="s">
        <v>1897</v>
      </c>
      <c r="B1897" s="2" t="s">
        <v>2860</v>
      </c>
      <c r="C1897">
        <v>17.559999999999999</v>
      </c>
      <c r="D1897">
        <v>6.2</v>
      </c>
      <c r="E1897" t="s">
        <v>2344</v>
      </c>
      <c r="F1897" t="s">
        <v>2344</v>
      </c>
      <c r="G1897" t="s">
        <v>2344</v>
      </c>
      <c r="H1897">
        <v>1</v>
      </c>
      <c r="I1897" t="s">
        <v>2344</v>
      </c>
      <c r="J1897" t="str">
        <f t="shared" si="117"/>
        <v>Under Weight</v>
      </c>
      <c r="K1897" t="str">
        <f t="shared" si="120"/>
        <v>Prediabetes</v>
      </c>
      <c r="L1897">
        <v>9</v>
      </c>
      <c r="M1897" t="s">
        <v>2363</v>
      </c>
      <c r="N1897">
        <v>1975</v>
      </c>
      <c r="O1897" s="8">
        <f t="shared" si="118"/>
        <v>27646</v>
      </c>
      <c r="P1897" s="10">
        <v>23065.42</v>
      </c>
      <c r="Q1897" t="s">
        <v>2357</v>
      </c>
      <c r="R1897" t="s">
        <v>2357</v>
      </c>
      <c r="S1897" t="s">
        <v>2359</v>
      </c>
      <c r="T1897">
        <f t="shared" ca="1" si="119"/>
        <v>51</v>
      </c>
      <c r="U1897">
        <f>VLOOKUP($A1897,'Medical Examination'!$A:$Z,2,FALSE)</f>
        <v>17.559999999999999</v>
      </c>
    </row>
    <row r="1898" spans="1:21" ht="15.5" x14ac:dyDescent="0.35">
      <c r="A1898" s="2" t="s">
        <v>1898</v>
      </c>
      <c r="B1898" s="2" t="s">
        <v>4964</v>
      </c>
      <c r="C1898">
        <v>24.13</v>
      </c>
      <c r="D1898">
        <v>4.3899999999999997</v>
      </c>
      <c r="E1898" t="s">
        <v>2344</v>
      </c>
      <c r="F1898" t="s">
        <v>2344</v>
      </c>
      <c r="G1898" t="s">
        <v>2344</v>
      </c>
      <c r="H1898">
        <v>1</v>
      </c>
      <c r="I1898" t="s">
        <v>2344</v>
      </c>
      <c r="J1898" t="str">
        <f t="shared" si="117"/>
        <v>Normal Weight</v>
      </c>
      <c r="K1898" t="str">
        <f t="shared" si="120"/>
        <v>Normal</v>
      </c>
      <c r="L1898">
        <v>14</v>
      </c>
      <c r="M1898" t="s">
        <v>2365</v>
      </c>
      <c r="N1898">
        <v>2003</v>
      </c>
      <c r="O1898" s="8">
        <f t="shared" si="118"/>
        <v>37969</v>
      </c>
      <c r="P1898" s="10">
        <v>23082.959999999999</v>
      </c>
      <c r="Q1898" t="s">
        <v>2357</v>
      </c>
      <c r="R1898" t="s">
        <v>2357</v>
      </c>
      <c r="S1898" t="s">
        <v>2368</v>
      </c>
      <c r="T1898">
        <f t="shared" ca="1" si="119"/>
        <v>23</v>
      </c>
      <c r="U1898">
        <f>VLOOKUP($A1898,'Medical Examination'!$A:$Z,2,FALSE)</f>
        <v>24.13</v>
      </c>
    </row>
    <row r="1899" spans="1:21" ht="15.5" x14ac:dyDescent="0.35">
      <c r="A1899" s="2" t="s">
        <v>1899</v>
      </c>
      <c r="B1899" s="2" t="s">
        <v>2551</v>
      </c>
      <c r="C1899">
        <v>19.95</v>
      </c>
      <c r="D1899">
        <v>5.13</v>
      </c>
      <c r="E1899" t="s">
        <v>2344</v>
      </c>
      <c r="F1899" t="s">
        <v>2345</v>
      </c>
      <c r="G1899" t="s">
        <v>2344</v>
      </c>
      <c r="H1899">
        <v>1</v>
      </c>
      <c r="I1899" t="s">
        <v>2344</v>
      </c>
      <c r="J1899" t="str">
        <f t="shared" si="117"/>
        <v>Normal Weight</v>
      </c>
      <c r="K1899" t="str">
        <f t="shared" si="120"/>
        <v>Normal</v>
      </c>
      <c r="L1899">
        <v>7</v>
      </c>
      <c r="M1899" t="s">
        <v>2366</v>
      </c>
      <c r="N1899">
        <v>1997</v>
      </c>
      <c r="O1899" s="8">
        <f t="shared" si="118"/>
        <v>35649</v>
      </c>
      <c r="P1899" s="10">
        <v>23241.47</v>
      </c>
      <c r="Q1899" t="s">
        <v>2357</v>
      </c>
      <c r="R1899" t="s">
        <v>2358</v>
      </c>
      <c r="S1899" t="s">
        <v>2372</v>
      </c>
      <c r="T1899">
        <f t="shared" ca="1" si="119"/>
        <v>29</v>
      </c>
      <c r="U1899">
        <f>VLOOKUP($A1899,'Medical Examination'!$A:$Z,2,FALSE)</f>
        <v>19.95</v>
      </c>
    </row>
    <row r="1900" spans="1:21" ht="15.5" x14ac:dyDescent="0.35">
      <c r="A1900" s="2" t="s">
        <v>1900</v>
      </c>
      <c r="B1900" s="2" t="s">
        <v>2609</v>
      </c>
      <c r="C1900">
        <v>21.24</v>
      </c>
      <c r="D1900">
        <v>4.49</v>
      </c>
      <c r="E1900" t="s">
        <v>2344</v>
      </c>
      <c r="F1900" t="s">
        <v>2344</v>
      </c>
      <c r="G1900" t="s">
        <v>2344</v>
      </c>
      <c r="H1900">
        <v>0</v>
      </c>
      <c r="I1900" t="s">
        <v>2344</v>
      </c>
      <c r="J1900" t="str">
        <f t="shared" si="117"/>
        <v>Normal Weight</v>
      </c>
      <c r="K1900" t="str">
        <f t="shared" si="120"/>
        <v>Normal</v>
      </c>
      <c r="L1900">
        <v>14</v>
      </c>
      <c r="M1900" t="s">
        <v>2360</v>
      </c>
      <c r="N1900">
        <v>1969</v>
      </c>
      <c r="O1900" s="8">
        <f t="shared" si="118"/>
        <v>25521</v>
      </c>
      <c r="P1900" s="10">
        <v>23244.79</v>
      </c>
      <c r="Q1900" t="s">
        <v>2357</v>
      </c>
      <c r="R1900" t="s">
        <v>2358</v>
      </c>
      <c r="S1900" t="s">
        <v>2359</v>
      </c>
      <c r="T1900">
        <f t="shared" ca="1" si="119"/>
        <v>57</v>
      </c>
      <c r="U1900">
        <f>VLOOKUP($A1900,'Medical Examination'!$A:$Z,2,FALSE)</f>
        <v>21.24</v>
      </c>
    </row>
    <row r="1901" spans="1:21" ht="15.5" x14ac:dyDescent="0.35">
      <c r="A1901" s="2" t="s">
        <v>1901</v>
      </c>
      <c r="B1901" s="2" t="s">
        <v>4965</v>
      </c>
      <c r="C1901">
        <v>44.22</v>
      </c>
      <c r="D1901">
        <v>6.35</v>
      </c>
      <c r="E1901" t="s">
        <v>2344</v>
      </c>
      <c r="F1901" t="s">
        <v>2344</v>
      </c>
      <c r="G1901" t="s">
        <v>2344</v>
      </c>
      <c r="H1901">
        <v>0</v>
      </c>
      <c r="I1901" t="s">
        <v>2344</v>
      </c>
      <c r="J1901" t="str">
        <f t="shared" si="117"/>
        <v>Obesity</v>
      </c>
      <c r="K1901" t="str">
        <f t="shared" si="120"/>
        <v>Prediabetes</v>
      </c>
      <c r="L1901">
        <v>3</v>
      </c>
      <c r="M1901" t="s">
        <v>2367</v>
      </c>
      <c r="N1901">
        <v>1994</v>
      </c>
      <c r="O1901" s="8">
        <f t="shared" si="118"/>
        <v>34610</v>
      </c>
      <c r="P1901" s="10">
        <v>23288.93</v>
      </c>
      <c r="Q1901" t="s">
        <v>2357</v>
      </c>
      <c r="R1901" t="s">
        <v>2358</v>
      </c>
      <c r="S1901" t="s">
        <v>2374</v>
      </c>
      <c r="T1901">
        <f t="shared" ca="1" si="119"/>
        <v>32</v>
      </c>
      <c r="U1901">
        <f>VLOOKUP($A1901,'Medical Examination'!$A:$Z,2,FALSE)</f>
        <v>44.22</v>
      </c>
    </row>
    <row r="1902" spans="1:21" ht="15.5" x14ac:dyDescent="0.35">
      <c r="A1902" s="2" t="s">
        <v>1902</v>
      </c>
      <c r="B1902" s="2" t="s">
        <v>4838</v>
      </c>
      <c r="C1902">
        <v>41.1</v>
      </c>
      <c r="D1902">
        <v>5.79</v>
      </c>
      <c r="E1902" t="s">
        <v>2344</v>
      </c>
      <c r="F1902" t="s">
        <v>2344</v>
      </c>
      <c r="G1902" t="s">
        <v>2344</v>
      </c>
      <c r="H1902">
        <v>0</v>
      </c>
      <c r="I1902" t="s">
        <v>2344</v>
      </c>
      <c r="J1902" t="str">
        <f t="shared" si="117"/>
        <v>Obesity</v>
      </c>
      <c r="K1902" t="str">
        <f t="shared" si="120"/>
        <v>Prediabetes</v>
      </c>
      <c r="L1902">
        <v>22</v>
      </c>
      <c r="M1902" t="s">
        <v>2367</v>
      </c>
      <c r="N1902">
        <v>1973</v>
      </c>
      <c r="O1902" s="8">
        <f t="shared" si="118"/>
        <v>26959</v>
      </c>
      <c r="P1902" s="10">
        <v>23306.55</v>
      </c>
      <c r="Q1902" t="s">
        <v>2357</v>
      </c>
      <c r="R1902" t="s">
        <v>2357</v>
      </c>
      <c r="S1902" t="s">
        <v>2368</v>
      </c>
      <c r="T1902">
        <f t="shared" ca="1" si="119"/>
        <v>53</v>
      </c>
      <c r="U1902">
        <f>VLOOKUP($A1902,'Medical Examination'!$A:$Z,2,FALSE)</f>
        <v>41.1</v>
      </c>
    </row>
    <row r="1903" spans="1:21" ht="15.5" x14ac:dyDescent="0.35">
      <c r="A1903" s="2" t="s">
        <v>1903</v>
      </c>
      <c r="B1903" s="2" t="s">
        <v>4967</v>
      </c>
      <c r="C1903">
        <v>34.200000000000003</v>
      </c>
      <c r="D1903">
        <v>4.78</v>
      </c>
      <c r="E1903" t="s">
        <v>2346</v>
      </c>
      <c r="F1903" t="s">
        <v>2344</v>
      </c>
      <c r="G1903" t="s">
        <v>2344</v>
      </c>
      <c r="H1903">
        <v>0</v>
      </c>
      <c r="I1903" t="s">
        <v>2344</v>
      </c>
      <c r="J1903" t="str">
        <f t="shared" si="117"/>
        <v>Obesity</v>
      </c>
      <c r="K1903" t="str">
        <f t="shared" si="120"/>
        <v>Normal</v>
      </c>
      <c r="L1903">
        <v>13</v>
      </c>
      <c r="M1903" t="s">
        <v>2360</v>
      </c>
      <c r="N1903">
        <v>1975</v>
      </c>
      <c r="O1903" s="8">
        <f t="shared" si="118"/>
        <v>27711</v>
      </c>
      <c r="P1903" s="10">
        <v>23401.31</v>
      </c>
      <c r="Q1903" t="s">
        <v>2357</v>
      </c>
      <c r="R1903" t="s">
        <v>2358</v>
      </c>
      <c r="S1903" t="s">
        <v>2374</v>
      </c>
      <c r="T1903">
        <f t="shared" ca="1" si="119"/>
        <v>51</v>
      </c>
      <c r="U1903">
        <f>VLOOKUP($A1903,'Medical Examination'!$A:$Z,2,FALSE)</f>
        <v>34.200000000000003</v>
      </c>
    </row>
    <row r="1904" spans="1:21" ht="15.5" x14ac:dyDescent="0.35">
      <c r="A1904" s="2" t="s">
        <v>1904</v>
      </c>
      <c r="B1904" s="2" t="s">
        <v>4968</v>
      </c>
      <c r="C1904">
        <v>29.92</v>
      </c>
      <c r="D1904">
        <v>6.02</v>
      </c>
      <c r="E1904" t="s">
        <v>2346</v>
      </c>
      <c r="F1904" t="s">
        <v>2344</v>
      </c>
      <c r="G1904" t="s">
        <v>2344</v>
      </c>
      <c r="H1904">
        <v>0</v>
      </c>
      <c r="I1904" t="s">
        <v>2344</v>
      </c>
      <c r="J1904" t="str">
        <f t="shared" si="117"/>
        <v>Over weight</v>
      </c>
      <c r="K1904" t="str">
        <f t="shared" si="120"/>
        <v>Prediabetes</v>
      </c>
      <c r="L1904">
        <v>26</v>
      </c>
      <c r="M1904" t="s">
        <v>2366</v>
      </c>
      <c r="N1904">
        <v>1983</v>
      </c>
      <c r="O1904" s="8">
        <f t="shared" si="118"/>
        <v>30554</v>
      </c>
      <c r="P1904" s="10">
        <v>23563.02</v>
      </c>
      <c r="Q1904" t="s">
        <v>2357</v>
      </c>
      <c r="R1904" t="s">
        <v>2357</v>
      </c>
      <c r="S1904" t="s">
        <v>2359</v>
      </c>
      <c r="T1904">
        <f t="shared" ca="1" si="119"/>
        <v>43</v>
      </c>
      <c r="U1904">
        <f>VLOOKUP($A1904,'Medical Examination'!$A:$Z,2,FALSE)</f>
        <v>29.92</v>
      </c>
    </row>
    <row r="1905" spans="1:21" ht="15.5" x14ac:dyDescent="0.35">
      <c r="A1905" s="2" t="s">
        <v>1905</v>
      </c>
      <c r="B1905" s="2" t="s">
        <v>4969</v>
      </c>
      <c r="C1905">
        <v>28.93</v>
      </c>
      <c r="D1905">
        <v>4.4400000000000004</v>
      </c>
      <c r="E1905" t="s">
        <v>2344</v>
      </c>
      <c r="F1905" t="s">
        <v>2344</v>
      </c>
      <c r="G1905" t="s">
        <v>2344</v>
      </c>
      <c r="H1905">
        <v>0</v>
      </c>
      <c r="I1905" t="s">
        <v>2344</v>
      </c>
      <c r="J1905" t="str">
        <f t="shared" si="117"/>
        <v>Over weight</v>
      </c>
      <c r="K1905" t="str">
        <f t="shared" si="120"/>
        <v>Normal</v>
      </c>
      <c r="L1905">
        <v>2</v>
      </c>
      <c r="M1905" t="s">
        <v>2362</v>
      </c>
      <c r="N1905">
        <v>1974</v>
      </c>
      <c r="O1905" s="8">
        <f t="shared" si="118"/>
        <v>27182</v>
      </c>
      <c r="P1905" s="10">
        <v>23568.27</v>
      </c>
      <c r="Q1905" t="s">
        <v>2357</v>
      </c>
      <c r="R1905" t="s">
        <v>2357</v>
      </c>
      <c r="S1905" t="s">
        <v>2368</v>
      </c>
      <c r="T1905">
        <f t="shared" ca="1" si="119"/>
        <v>52</v>
      </c>
      <c r="U1905">
        <f>VLOOKUP($A1905,'Medical Examination'!$A:$Z,2,FALSE)</f>
        <v>28.93</v>
      </c>
    </row>
    <row r="1906" spans="1:21" ht="15.5" x14ac:dyDescent="0.35">
      <c r="A1906" s="2" t="s">
        <v>1906</v>
      </c>
      <c r="B1906" s="2" t="s">
        <v>4970</v>
      </c>
      <c r="C1906">
        <v>31.254999999999999</v>
      </c>
      <c r="D1906">
        <v>5.84</v>
      </c>
      <c r="E1906" t="s">
        <v>2346</v>
      </c>
      <c r="F1906" t="s">
        <v>2344</v>
      </c>
      <c r="G1906" t="s">
        <v>2344</v>
      </c>
      <c r="H1906">
        <v>1</v>
      </c>
      <c r="I1906" t="s">
        <v>2344</v>
      </c>
      <c r="J1906" t="str">
        <f t="shared" si="117"/>
        <v>Obesity</v>
      </c>
      <c r="K1906" t="str">
        <f t="shared" si="120"/>
        <v>Prediabetes</v>
      </c>
      <c r="L1906">
        <v>27</v>
      </c>
      <c r="M1906" t="s">
        <v>2362</v>
      </c>
      <c r="N1906">
        <v>1973</v>
      </c>
      <c r="O1906" s="8">
        <f t="shared" si="118"/>
        <v>26842</v>
      </c>
      <c r="P1906" s="10">
        <v>23807.24</v>
      </c>
      <c r="Q1906" t="s">
        <v>2357</v>
      </c>
      <c r="R1906" t="s">
        <v>2358</v>
      </c>
      <c r="S1906" t="s">
        <v>2364</v>
      </c>
      <c r="T1906">
        <f t="shared" ca="1" si="119"/>
        <v>53</v>
      </c>
      <c r="U1906">
        <f>VLOOKUP($A1906,'Medical Examination'!$A:$Z,2,FALSE)</f>
        <v>31.254999999999999</v>
      </c>
    </row>
    <row r="1907" spans="1:21" ht="15.5" x14ac:dyDescent="0.35">
      <c r="A1907" s="2" t="s">
        <v>1907</v>
      </c>
      <c r="B1907" s="2" t="s">
        <v>4971</v>
      </c>
      <c r="C1907">
        <v>29.83</v>
      </c>
      <c r="D1907">
        <v>5.39</v>
      </c>
      <c r="E1907" t="s">
        <v>2344</v>
      </c>
      <c r="F1907" t="s">
        <v>2344</v>
      </c>
      <c r="G1907" t="s">
        <v>2344</v>
      </c>
      <c r="H1907">
        <v>0</v>
      </c>
      <c r="I1907" t="s">
        <v>2344</v>
      </c>
      <c r="J1907" t="str">
        <f t="shared" si="117"/>
        <v>Over weight</v>
      </c>
      <c r="K1907" t="str">
        <f t="shared" si="120"/>
        <v>Normal</v>
      </c>
      <c r="L1907">
        <v>8</v>
      </c>
      <c r="M1907" t="s">
        <v>2366</v>
      </c>
      <c r="N1907">
        <v>1970</v>
      </c>
      <c r="O1907" s="8">
        <f t="shared" si="118"/>
        <v>25788</v>
      </c>
      <c r="P1907" s="10">
        <v>23887.66</v>
      </c>
      <c r="Q1907" t="s">
        <v>2357</v>
      </c>
      <c r="R1907" t="s">
        <v>2358</v>
      </c>
      <c r="S1907" t="s">
        <v>2364</v>
      </c>
      <c r="T1907">
        <f t="shared" ca="1" si="119"/>
        <v>56</v>
      </c>
      <c r="U1907">
        <f>VLOOKUP($A1907,'Medical Examination'!$A:$Z,2,FALSE)</f>
        <v>29.83</v>
      </c>
    </row>
    <row r="1908" spans="1:21" ht="15.5" x14ac:dyDescent="0.35">
      <c r="A1908" s="2" t="s">
        <v>1908</v>
      </c>
      <c r="B1908" s="2" t="s">
        <v>2938</v>
      </c>
      <c r="C1908">
        <v>29.59</v>
      </c>
      <c r="D1908">
        <v>6.16</v>
      </c>
      <c r="E1908" t="s">
        <v>2344</v>
      </c>
      <c r="F1908" t="s">
        <v>2344</v>
      </c>
      <c r="G1908" t="s">
        <v>2346</v>
      </c>
      <c r="H1908">
        <v>1</v>
      </c>
      <c r="I1908" t="s">
        <v>2344</v>
      </c>
      <c r="J1908" t="str">
        <f t="shared" si="117"/>
        <v>Over weight</v>
      </c>
      <c r="K1908" t="str">
        <f t="shared" si="120"/>
        <v>Prediabetes</v>
      </c>
      <c r="L1908">
        <v>10</v>
      </c>
      <c r="M1908" t="s">
        <v>2356</v>
      </c>
      <c r="N1908">
        <v>1971</v>
      </c>
      <c r="O1908" s="8">
        <f t="shared" si="118"/>
        <v>26124</v>
      </c>
      <c r="P1908" s="10">
        <v>23967.38</v>
      </c>
      <c r="Q1908" t="s">
        <v>2357</v>
      </c>
      <c r="R1908" t="s">
        <v>2357</v>
      </c>
      <c r="S1908" t="s">
        <v>2364</v>
      </c>
      <c r="T1908">
        <f t="shared" ca="1" si="119"/>
        <v>55</v>
      </c>
      <c r="U1908">
        <f>VLOOKUP($A1908,'Medical Examination'!$A:$Z,2,FALSE)</f>
        <v>29.59</v>
      </c>
    </row>
    <row r="1909" spans="1:21" ht="15.5" x14ac:dyDescent="0.35">
      <c r="A1909" s="2" t="s">
        <v>1909</v>
      </c>
      <c r="B1909" s="2" t="s">
        <v>4972</v>
      </c>
      <c r="C1909">
        <v>31.16</v>
      </c>
      <c r="D1909">
        <v>4.49</v>
      </c>
      <c r="E1909" t="s">
        <v>2344</v>
      </c>
      <c r="F1909" t="s">
        <v>2344</v>
      </c>
      <c r="G1909" t="s">
        <v>2346</v>
      </c>
      <c r="H1909">
        <v>1</v>
      </c>
      <c r="I1909" t="s">
        <v>2344</v>
      </c>
      <c r="J1909" t="str">
        <f t="shared" si="117"/>
        <v>Obesity</v>
      </c>
      <c r="K1909" t="str">
        <f t="shared" si="120"/>
        <v>Normal</v>
      </c>
      <c r="L1909">
        <v>30</v>
      </c>
      <c r="M1909" t="s">
        <v>2365</v>
      </c>
      <c r="N1909">
        <v>2003</v>
      </c>
      <c r="O1909" s="8">
        <f t="shared" si="118"/>
        <v>37985</v>
      </c>
      <c r="P1909" s="10">
        <v>24059.68</v>
      </c>
      <c r="Q1909" t="s">
        <v>2357</v>
      </c>
      <c r="R1909" t="s">
        <v>2357</v>
      </c>
      <c r="S1909" t="s">
        <v>2364</v>
      </c>
      <c r="T1909">
        <f t="shared" ca="1" si="119"/>
        <v>23</v>
      </c>
      <c r="U1909">
        <f>VLOOKUP($A1909,'Medical Examination'!$A:$Z,2,FALSE)</f>
        <v>31.16</v>
      </c>
    </row>
    <row r="1910" spans="1:21" ht="15.5" x14ac:dyDescent="0.35">
      <c r="A1910" s="2" t="s">
        <v>1910</v>
      </c>
      <c r="B1910" s="2" t="s">
        <v>4974</v>
      </c>
      <c r="C1910">
        <v>34.21</v>
      </c>
      <c r="D1910">
        <v>4.4800000000000004</v>
      </c>
      <c r="E1910" t="s">
        <v>2346</v>
      </c>
      <c r="F1910" t="s">
        <v>2344</v>
      </c>
      <c r="G1910" t="s">
        <v>2344</v>
      </c>
      <c r="H1910">
        <v>1</v>
      </c>
      <c r="I1910" t="s">
        <v>2344</v>
      </c>
      <c r="J1910" t="str">
        <f t="shared" si="117"/>
        <v>Obesity</v>
      </c>
      <c r="K1910" t="str">
        <f t="shared" si="120"/>
        <v>Normal</v>
      </c>
      <c r="L1910">
        <v>13</v>
      </c>
      <c r="M1910" t="s">
        <v>2362</v>
      </c>
      <c r="N1910">
        <v>1973</v>
      </c>
      <c r="O1910" s="8">
        <f t="shared" si="118"/>
        <v>26828</v>
      </c>
      <c r="P1910" s="10">
        <v>24106.91</v>
      </c>
      <c r="Q1910" t="s">
        <v>2357</v>
      </c>
      <c r="R1910" t="s">
        <v>2357</v>
      </c>
      <c r="S1910" t="s">
        <v>2374</v>
      </c>
      <c r="T1910">
        <f t="shared" ca="1" si="119"/>
        <v>53</v>
      </c>
      <c r="U1910">
        <f>VLOOKUP($A1910,'Medical Examination'!$A:$Z,2,FALSE)</f>
        <v>34.21</v>
      </c>
    </row>
    <row r="1911" spans="1:21" ht="15.5" x14ac:dyDescent="0.35">
      <c r="A1911" s="2" t="s">
        <v>1911</v>
      </c>
      <c r="B1911" s="2" t="s">
        <v>3179</v>
      </c>
      <c r="C1911">
        <v>34.86</v>
      </c>
      <c r="D1911">
        <v>10.97</v>
      </c>
      <c r="E1911" t="s">
        <v>2344</v>
      </c>
      <c r="F1911" t="s">
        <v>2344</v>
      </c>
      <c r="G1911" t="s">
        <v>2344</v>
      </c>
      <c r="H1911">
        <v>0</v>
      </c>
      <c r="I1911" t="s">
        <v>2344</v>
      </c>
      <c r="J1911" t="str">
        <f t="shared" si="117"/>
        <v>Obesity</v>
      </c>
      <c r="K1911" t="str">
        <f t="shared" si="120"/>
        <v>Diabetes</v>
      </c>
      <c r="L1911">
        <v>10</v>
      </c>
      <c r="M1911" t="s">
        <v>2363</v>
      </c>
      <c r="N1911">
        <v>1974</v>
      </c>
      <c r="O1911" s="8">
        <f t="shared" si="118"/>
        <v>27282</v>
      </c>
      <c r="P1911" s="10">
        <v>24180.93</v>
      </c>
      <c r="Q1911" t="s">
        <v>2357</v>
      </c>
      <c r="R1911" t="s">
        <v>2361</v>
      </c>
      <c r="S1911" t="s">
        <v>2359</v>
      </c>
      <c r="T1911">
        <f t="shared" ca="1" si="119"/>
        <v>52</v>
      </c>
      <c r="U1911">
        <f>VLOOKUP($A1911,'Medical Examination'!$A:$Z,2,FALSE)</f>
        <v>34.86</v>
      </c>
    </row>
    <row r="1912" spans="1:21" ht="15.5" x14ac:dyDescent="0.35">
      <c r="A1912" s="2" t="s">
        <v>1912</v>
      </c>
      <c r="B1912" s="2" t="s">
        <v>4976</v>
      </c>
      <c r="C1912">
        <v>34.58</v>
      </c>
      <c r="D1912">
        <v>5.14</v>
      </c>
      <c r="E1912" t="s">
        <v>2344</v>
      </c>
      <c r="F1912" t="s">
        <v>2345</v>
      </c>
      <c r="G1912" t="s">
        <v>2344</v>
      </c>
      <c r="H1912">
        <v>1</v>
      </c>
      <c r="I1912" t="s">
        <v>2344</v>
      </c>
      <c r="J1912" t="str">
        <f t="shared" si="117"/>
        <v>Obesity</v>
      </c>
      <c r="K1912" t="str">
        <f t="shared" si="120"/>
        <v>Normal</v>
      </c>
      <c r="L1912">
        <v>16</v>
      </c>
      <c r="M1912" t="s">
        <v>2365</v>
      </c>
      <c r="N1912">
        <v>1964</v>
      </c>
      <c r="O1912" s="8">
        <f t="shared" si="118"/>
        <v>23727</v>
      </c>
      <c r="P1912" s="10">
        <v>24227.34</v>
      </c>
      <c r="Q1912" t="s">
        <v>2357</v>
      </c>
      <c r="R1912" t="s">
        <v>2361</v>
      </c>
      <c r="S1912" t="s">
        <v>2359</v>
      </c>
      <c r="T1912">
        <f t="shared" ca="1" si="119"/>
        <v>62</v>
      </c>
      <c r="U1912">
        <f>VLOOKUP($A1912,'Medical Examination'!$A:$Z,2,FALSE)</f>
        <v>34.58</v>
      </c>
    </row>
    <row r="1913" spans="1:21" ht="15.5" x14ac:dyDescent="0.35">
      <c r="A1913" s="2" t="s">
        <v>1913</v>
      </c>
      <c r="B1913" s="2" t="s">
        <v>3086</v>
      </c>
      <c r="C1913">
        <v>17.940000000000001</v>
      </c>
      <c r="D1913">
        <v>5.17</v>
      </c>
      <c r="E1913" t="s">
        <v>2346</v>
      </c>
      <c r="F1913" t="s">
        <v>2344</v>
      </c>
      <c r="G1913" t="s">
        <v>2344</v>
      </c>
      <c r="H1913">
        <v>0</v>
      </c>
      <c r="I1913" t="s">
        <v>2344</v>
      </c>
      <c r="J1913" t="str">
        <f t="shared" si="117"/>
        <v>Under Weight</v>
      </c>
      <c r="K1913" t="str">
        <f t="shared" si="120"/>
        <v>Normal</v>
      </c>
      <c r="L1913">
        <v>3</v>
      </c>
      <c r="M1913" t="s">
        <v>2366</v>
      </c>
      <c r="N1913">
        <v>2004</v>
      </c>
      <c r="O1913" s="8">
        <f t="shared" si="118"/>
        <v>38202</v>
      </c>
      <c r="P1913" s="10">
        <v>24294.02</v>
      </c>
      <c r="Q1913" t="s">
        <v>2357</v>
      </c>
      <c r="R1913" t="s">
        <v>2361</v>
      </c>
      <c r="S1913" t="s">
        <v>2368</v>
      </c>
      <c r="T1913">
        <f t="shared" ca="1" si="119"/>
        <v>22</v>
      </c>
      <c r="U1913">
        <f>VLOOKUP($A1913,'Medical Examination'!$A:$Z,2,FALSE)</f>
        <v>17.940000000000001</v>
      </c>
    </row>
    <row r="1914" spans="1:21" ht="15.5" x14ac:dyDescent="0.35">
      <c r="A1914" s="2" t="s">
        <v>1914</v>
      </c>
      <c r="B1914" s="2" t="s">
        <v>4979</v>
      </c>
      <c r="C1914">
        <v>26.8</v>
      </c>
      <c r="D1914">
        <v>6.18</v>
      </c>
      <c r="E1914" t="s">
        <v>2346</v>
      </c>
      <c r="F1914" t="s">
        <v>2344</v>
      </c>
      <c r="G1914" t="s">
        <v>2346</v>
      </c>
      <c r="H1914">
        <v>1</v>
      </c>
      <c r="I1914" t="s">
        <v>2344</v>
      </c>
      <c r="J1914" t="str">
        <f t="shared" si="117"/>
        <v>Over weight</v>
      </c>
      <c r="K1914" t="str">
        <f t="shared" si="120"/>
        <v>Prediabetes</v>
      </c>
      <c r="L1914">
        <v>7</v>
      </c>
      <c r="M1914" t="s">
        <v>2367</v>
      </c>
      <c r="N1914">
        <v>1999</v>
      </c>
      <c r="O1914" s="8">
        <f t="shared" si="118"/>
        <v>36440</v>
      </c>
      <c r="P1914" s="10">
        <v>24387.74</v>
      </c>
      <c r="Q1914" t="s">
        <v>2357</v>
      </c>
      <c r="R1914" t="s">
        <v>2361</v>
      </c>
      <c r="S1914" t="s">
        <v>2368</v>
      </c>
      <c r="T1914">
        <f t="shared" ca="1" si="119"/>
        <v>27</v>
      </c>
      <c r="U1914">
        <f>VLOOKUP($A1914,'Medical Examination'!$A:$Z,2,FALSE)</f>
        <v>26.8</v>
      </c>
    </row>
    <row r="1915" spans="1:21" ht="15.5" x14ac:dyDescent="0.35">
      <c r="A1915" s="2" t="s">
        <v>1915</v>
      </c>
      <c r="B1915" s="2" t="s">
        <v>3378</v>
      </c>
      <c r="C1915">
        <v>17.690000000000001</v>
      </c>
      <c r="D1915">
        <v>9.07</v>
      </c>
      <c r="E1915" t="s">
        <v>2346</v>
      </c>
      <c r="F1915" t="s">
        <v>2344</v>
      </c>
      <c r="G1915" t="s">
        <v>2344</v>
      </c>
      <c r="H1915">
        <v>0</v>
      </c>
      <c r="I1915" t="s">
        <v>2344</v>
      </c>
      <c r="J1915" t="str">
        <f t="shared" si="117"/>
        <v>Under Weight</v>
      </c>
      <c r="K1915" t="str">
        <f t="shared" si="120"/>
        <v>Diabetes</v>
      </c>
      <c r="L1915">
        <v>30</v>
      </c>
      <c r="M1915" t="s">
        <v>2360</v>
      </c>
      <c r="N1915">
        <v>1970</v>
      </c>
      <c r="O1915" s="8">
        <f t="shared" si="118"/>
        <v>25902</v>
      </c>
      <c r="P1915" s="10">
        <v>24393.62</v>
      </c>
      <c r="Q1915" t="s">
        <v>2357</v>
      </c>
      <c r="R1915" t="s">
        <v>2358</v>
      </c>
      <c r="S1915" t="s">
        <v>2364</v>
      </c>
      <c r="T1915">
        <f t="shared" ca="1" si="119"/>
        <v>56</v>
      </c>
      <c r="U1915">
        <f>VLOOKUP($A1915,'Medical Examination'!$A:$Z,2,FALSE)</f>
        <v>17.690000000000001</v>
      </c>
    </row>
    <row r="1916" spans="1:21" ht="15.5" x14ac:dyDescent="0.35">
      <c r="A1916" s="2" t="s">
        <v>1916</v>
      </c>
      <c r="B1916" s="2" t="s">
        <v>4980</v>
      </c>
      <c r="C1916">
        <v>25.77</v>
      </c>
      <c r="D1916">
        <v>4.43</v>
      </c>
      <c r="E1916" t="s">
        <v>2344</v>
      </c>
      <c r="F1916" t="s">
        <v>2344</v>
      </c>
      <c r="G1916" t="s">
        <v>2346</v>
      </c>
      <c r="H1916">
        <v>1</v>
      </c>
      <c r="I1916" t="s">
        <v>2344</v>
      </c>
      <c r="J1916" t="str">
        <f t="shared" si="117"/>
        <v>Over weight</v>
      </c>
      <c r="K1916" t="str">
        <f t="shared" si="120"/>
        <v>Normal</v>
      </c>
      <c r="L1916">
        <v>6</v>
      </c>
      <c r="M1916" t="s">
        <v>2356</v>
      </c>
      <c r="N1916">
        <v>1968</v>
      </c>
      <c r="O1916" s="8">
        <f t="shared" si="118"/>
        <v>25025</v>
      </c>
      <c r="P1916" s="10">
        <v>24476.48</v>
      </c>
      <c r="Q1916" t="s">
        <v>2357</v>
      </c>
      <c r="R1916" t="s">
        <v>2357</v>
      </c>
      <c r="S1916" t="s">
        <v>2364</v>
      </c>
      <c r="T1916">
        <f t="shared" ca="1" si="119"/>
        <v>58</v>
      </c>
      <c r="U1916">
        <f>VLOOKUP($A1916,'Medical Examination'!$A:$Z,2,FALSE)</f>
        <v>25.77</v>
      </c>
    </row>
    <row r="1917" spans="1:21" ht="15.5" x14ac:dyDescent="0.35">
      <c r="A1917" s="2" t="s">
        <v>1917</v>
      </c>
      <c r="B1917" s="2" t="s">
        <v>4981</v>
      </c>
      <c r="C1917">
        <v>34.46</v>
      </c>
      <c r="D1917">
        <v>4.17</v>
      </c>
      <c r="E1917" t="s">
        <v>2344</v>
      </c>
      <c r="F1917" t="s">
        <v>2345</v>
      </c>
      <c r="G1917" t="s">
        <v>2344</v>
      </c>
      <c r="H1917">
        <v>1</v>
      </c>
      <c r="I1917" t="s">
        <v>2344</v>
      </c>
      <c r="J1917" t="str">
        <f t="shared" si="117"/>
        <v>Obesity</v>
      </c>
      <c r="K1917" t="str">
        <f t="shared" si="120"/>
        <v>Normal</v>
      </c>
      <c r="L1917">
        <v>21</v>
      </c>
      <c r="M1917" t="s">
        <v>2367</v>
      </c>
      <c r="N1917">
        <v>1961</v>
      </c>
      <c r="O1917" s="8">
        <f t="shared" si="118"/>
        <v>22575</v>
      </c>
      <c r="P1917" s="10">
        <v>24513.09</v>
      </c>
      <c r="Q1917" t="s">
        <v>2357</v>
      </c>
      <c r="R1917" t="s">
        <v>2357</v>
      </c>
      <c r="S1917" t="s">
        <v>2359</v>
      </c>
      <c r="T1917">
        <f t="shared" ca="1" si="119"/>
        <v>65</v>
      </c>
      <c r="U1917">
        <f>VLOOKUP($A1917,'Medical Examination'!$A:$Z,2,FALSE)</f>
        <v>34.46</v>
      </c>
    </row>
    <row r="1918" spans="1:21" ht="15.5" x14ac:dyDescent="0.35">
      <c r="A1918" s="2" t="s">
        <v>1918</v>
      </c>
      <c r="B1918" s="2" t="s">
        <v>4982</v>
      </c>
      <c r="C1918">
        <v>30.875</v>
      </c>
      <c r="D1918">
        <v>4.95</v>
      </c>
      <c r="E1918" t="s">
        <v>2346</v>
      </c>
      <c r="F1918" t="s">
        <v>2344</v>
      </c>
      <c r="G1918" t="s">
        <v>2344</v>
      </c>
      <c r="H1918">
        <v>0</v>
      </c>
      <c r="I1918" t="s">
        <v>2344</v>
      </c>
      <c r="J1918" t="str">
        <f t="shared" si="117"/>
        <v>Obesity</v>
      </c>
      <c r="K1918" t="str">
        <f t="shared" si="120"/>
        <v>Normal</v>
      </c>
      <c r="L1918">
        <v>14</v>
      </c>
      <c r="M1918" t="s">
        <v>2363</v>
      </c>
      <c r="N1918">
        <v>1972</v>
      </c>
      <c r="O1918" s="8">
        <f t="shared" si="118"/>
        <v>26556</v>
      </c>
      <c r="P1918" s="10">
        <v>24520.26</v>
      </c>
      <c r="Q1918" t="s">
        <v>2357</v>
      </c>
      <c r="R1918" t="s">
        <v>2358</v>
      </c>
      <c r="S1918" t="s">
        <v>2368</v>
      </c>
      <c r="T1918">
        <f t="shared" ca="1" si="119"/>
        <v>54</v>
      </c>
      <c r="U1918">
        <f>VLOOKUP($A1918,'Medical Examination'!$A:$Z,2,FALSE)</f>
        <v>30.875</v>
      </c>
    </row>
    <row r="1919" spans="1:21" ht="15.5" x14ac:dyDescent="0.35">
      <c r="A1919" s="2" t="s">
        <v>1919</v>
      </c>
      <c r="B1919" s="2" t="s">
        <v>4983</v>
      </c>
      <c r="C1919">
        <v>39.49</v>
      </c>
      <c r="D1919">
        <v>5.13</v>
      </c>
      <c r="E1919" t="s">
        <v>2344</v>
      </c>
      <c r="F1919" t="s">
        <v>2344</v>
      </c>
      <c r="G1919" t="s">
        <v>2344</v>
      </c>
      <c r="H1919">
        <v>0</v>
      </c>
      <c r="I1919" t="s">
        <v>2344</v>
      </c>
      <c r="J1919" t="str">
        <f t="shared" si="117"/>
        <v>Obesity</v>
      </c>
      <c r="K1919" t="str">
        <f t="shared" si="120"/>
        <v>Normal</v>
      </c>
      <c r="L1919">
        <v>13</v>
      </c>
      <c r="M1919" t="s">
        <v>2362</v>
      </c>
      <c r="N1919">
        <v>1975</v>
      </c>
      <c r="O1919" s="8">
        <f t="shared" si="118"/>
        <v>27558</v>
      </c>
      <c r="P1919" s="10">
        <v>24535.7</v>
      </c>
      <c r="Q1919" t="s">
        <v>2357</v>
      </c>
      <c r="R1919" t="s">
        <v>2357</v>
      </c>
      <c r="S1919" t="s">
        <v>2364</v>
      </c>
      <c r="T1919">
        <f t="shared" ca="1" si="119"/>
        <v>51</v>
      </c>
      <c r="U1919">
        <f>VLOOKUP($A1919,'Medical Examination'!$A:$Z,2,FALSE)</f>
        <v>39.49</v>
      </c>
    </row>
    <row r="1920" spans="1:21" ht="15.5" x14ac:dyDescent="0.35">
      <c r="A1920" s="2" t="s">
        <v>1920</v>
      </c>
      <c r="B1920" s="2" t="s">
        <v>4984</v>
      </c>
      <c r="C1920">
        <v>28.88</v>
      </c>
      <c r="D1920">
        <v>4.0999999999999996</v>
      </c>
      <c r="E1920" t="s">
        <v>2344</v>
      </c>
      <c r="F1920" t="s">
        <v>2344</v>
      </c>
      <c r="G1920" t="s">
        <v>2344</v>
      </c>
      <c r="H1920">
        <v>0</v>
      </c>
      <c r="I1920" t="s">
        <v>2344</v>
      </c>
      <c r="J1920" t="str">
        <f t="shared" si="117"/>
        <v>Over weight</v>
      </c>
      <c r="K1920" t="str">
        <f t="shared" si="120"/>
        <v>Normal</v>
      </c>
      <c r="L1920">
        <v>12</v>
      </c>
      <c r="M1920" t="s">
        <v>2367</v>
      </c>
      <c r="N1920">
        <v>1976</v>
      </c>
      <c r="O1920" s="8">
        <f t="shared" si="118"/>
        <v>28045</v>
      </c>
      <c r="P1920" s="10">
        <v>24603.05</v>
      </c>
      <c r="Q1920" t="s">
        <v>2357</v>
      </c>
      <c r="R1920" t="s">
        <v>2357</v>
      </c>
      <c r="S1920" t="s">
        <v>2368</v>
      </c>
      <c r="T1920">
        <f t="shared" ca="1" si="119"/>
        <v>50</v>
      </c>
      <c r="U1920">
        <f>VLOOKUP($A1920,'Medical Examination'!$A:$Z,2,FALSE)</f>
        <v>28.88</v>
      </c>
    </row>
    <row r="1921" spans="1:21" ht="15.5" x14ac:dyDescent="0.35">
      <c r="A1921" s="2" t="s">
        <v>1921</v>
      </c>
      <c r="B1921" s="2" t="s">
        <v>4986</v>
      </c>
      <c r="C1921">
        <v>20.234999999999999</v>
      </c>
      <c r="D1921">
        <v>5.01</v>
      </c>
      <c r="E1921" t="s">
        <v>2346</v>
      </c>
      <c r="F1921" t="s">
        <v>2344</v>
      </c>
      <c r="G1921" t="s">
        <v>2344</v>
      </c>
      <c r="H1921">
        <v>0</v>
      </c>
      <c r="I1921" t="s">
        <v>2344</v>
      </c>
      <c r="J1921" t="str">
        <f t="shared" si="117"/>
        <v>Normal Weight</v>
      </c>
      <c r="K1921" t="str">
        <f t="shared" si="120"/>
        <v>Normal</v>
      </c>
      <c r="L1921">
        <v>12</v>
      </c>
      <c r="M1921" t="s">
        <v>2362</v>
      </c>
      <c r="N1921">
        <v>1970</v>
      </c>
      <c r="O1921" s="8">
        <f t="shared" si="118"/>
        <v>25731</v>
      </c>
      <c r="P1921" s="10">
        <v>24667.42</v>
      </c>
      <c r="Q1921" t="s">
        <v>2357</v>
      </c>
      <c r="R1921" t="s">
        <v>2358</v>
      </c>
      <c r="S1921" t="s">
        <v>2359</v>
      </c>
      <c r="T1921">
        <f t="shared" ca="1" si="119"/>
        <v>56</v>
      </c>
      <c r="U1921">
        <f>VLOOKUP($A1921,'Medical Examination'!$A:$Z,2,FALSE)</f>
        <v>20.234999999999999</v>
      </c>
    </row>
    <row r="1922" spans="1:21" ht="15.5" x14ac:dyDescent="0.35">
      <c r="A1922" s="2" t="s">
        <v>1922</v>
      </c>
      <c r="B1922" s="2" t="s">
        <v>4987</v>
      </c>
      <c r="C1922">
        <v>30.67</v>
      </c>
      <c r="D1922">
        <v>5.09</v>
      </c>
      <c r="E1922" t="s">
        <v>2346</v>
      </c>
      <c r="F1922" t="s">
        <v>2344</v>
      </c>
      <c r="G1922" t="s">
        <v>2344</v>
      </c>
      <c r="H1922">
        <v>0</v>
      </c>
      <c r="I1922" t="s">
        <v>2344</v>
      </c>
      <c r="J1922" t="str">
        <f t="shared" si="117"/>
        <v>Obesity</v>
      </c>
      <c r="K1922" t="str">
        <f t="shared" si="120"/>
        <v>Normal</v>
      </c>
      <c r="L1922">
        <v>28</v>
      </c>
      <c r="M1922" t="s">
        <v>2366</v>
      </c>
      <c r="N1922">
        <v>1996</v>
      </c>
      <c r="O1922" s="8">
        <f t="shared" si="118"/>
        <v>35305</v>
      </c>
      <c r="P1922" s="10">
        <v>24671.66</v>
      </c>
      <c r="Q1922" t="s">
        <v>2357</v>
      </c>
      <c r="R1922" t="s">
        <v>2361</v>
      </c>
      <c r="S1922" t="s">
        <v>2374</v>
      </c>
      <c r="T1922">
        <f t="shared" ca="1" si="119"/>
        <v>30</v>
      </c>
      <c r="U1922">
        <f>VLOOKUP($A1922,'Medical Examination'!$A:$Z,2,FALSE)</f>
        <v>30.67</v>
      </c>
    </row>
    <row r="1923" spans="1:21" ht="15.5" x14ac:dyDescent="0.35">
      <c r="A1923" s="2" t="s">
        <v>1923</v>
      </c>
      <c r="B1923" s="2" t="s">
        <v>4989</v>
      </c>
      <c r="C1923">
        <v>30.875</v>
      </c>
      <c r="D1923">
        <v>6.49</v>
      </c>
      <c r="E1923" t="s">
        <v>2344</v>
      </c>
      <c r="F1923" t="s">
        <v>2344</v>
      </c>
      <c r="G1923" t="s">
        <v>2344</v>
      </c>
      <c r="H1923">
        <v>0</v>
      </c>
      <c r="I1923" t="s">
        <v>2344</v>
      </c>
      <c r="J1923" t="str">
        <f t="shared" ref="J1923:J1986" si="121">IF(C1923&lt;18.5,"Under Weight",IF(C1923&lt;25,"Normal Weight",IF(C1923&lt;30,"Over weight","Obesity")))</f>
        <v>Obesity</v>
      </c>
      <c r="K1923" t="str">
        <f t="shared" si="120"/>
        <v>Prediabetes</v>
      </c>
      <c r="L1923">
        <v>11</v>
      </c>
      <c r="M1923" t="s">
        <v>2367</v>
      </c>
      <c r="N1923">
        <v>1992</v>
      </c>
      <c r="O1923" s="8">
        <f t="shared" ref="O1923:O1986" si="122">DATE(N1923,MONTH(1&amp;M1923),L1923)</f>
        <v>33888</v>
      </c>
      <c r="P1923" s="10">
        <v>24795.040000000001</v>
      </c>
      <c r="Q1923" t="s">
        <v>2357</v>
      </c>
      <c r="R1923" t="s">
        <v>2358</v>
      </c>
      <c r="S1923" t="s">
        <v>2368</v>
      </c>
      <c r="T1923">
        <f t="shared" ref="T1923:T1986" ca="1" si="123">YEAR(TODAY())-YEAR(O1923)</f>
        <v>34</v>
      </c>
      <c r="U1923">
        <f>VLOOKUP($A1923,'Medical Examination'!$A:$Z,2,FALSE)</f>
        <v>30.875</v>
      </c>
    </row>
    <row r="1924" spans="1:21" ht="15.5" x14ac:dyDescent="0.35">
      <c r="A1924" s="2" t="s">
        <v>1924</v>
      </c>
      <c r="B1924" s="2" t="s">
        <v>4990</v>
      </c>
      <c r="C1924">
        <v>23.8</v>
      </c>
      <c r="D1924">
        <v>4.08</v>
      </c>
      <c r="E1924" t="s">
        <v>2344</v>
      </c>
      <c r="F1924" t="s">
        <v>2344</v>
      </c>
      <c r="G1924" t="s">
        <v>2344</v>
      </c>
      <c r="H1924">
        <v>0</v>
      </c>
      <c r="I1924" t="s">
        <v>2344</v>
      </c>
      <c r="J1924" t="str">
        <f t="shared" si="121"/>
        <v>Normal Weight</v>
      </c>
      <c r="K1924" t="str">
        <f t="shared" si="120"/>
        <v>Normal</v>
      </c>
      <c r="L1924">
        <v>9</v>
      </c>
      <c r="M1924" t="s">
        <v>2363</v>
      </c>
      <c r="N1924">
        <v>1994</v>
      </c>
      <c r="O1924" s="8">
        <f t="shared" si="122"/>
        <v>34586</v>
      </c>
      <c r="P1924" s="10">
        <v>24817.25</v>
      </c>
      <c r="Q1924" t="s">
        <v>2357</v>
      </c>
      <c r="R1924" t="s">
        <v>2357</v>
      </c>
      <c r="S1924" t="s">
        <v>2368</v>
      </c>
      <c r="T1924">
        <f t="shared" ca="1" si="123"/>
        <v>32</v>
      </c>
      <c r="U1924">
        <f>VLOOKUP($A1924,'Medical Examination'!$A:$Z,2,FALSE)</f>
        <v>23.8</v>
      </c>
    </row>
    <row r="1925" spans="1:21" ht="15.5" x14ac:dyDescent="0.35">
      <c r="A1925" s="2" t="s">
        <v>1925</v>
      </c>
      <c r="B1925" s="2" t="s">
        <v>4991</v>
      </c>
      <c r="C1925">
        <v>15.37</v>
      </c>
      <c r="D1925">
        <v>8.6300000000000008</v>
      </c>
      <c r="E1925" t="s">
        <v>2346</v>
      </c>
      <c r="F1925" t="s">
        <v>2344</v>
      </c>
      <c r="G1925" t="s">
        <v>2344</v>
      </c>
      <c r="H1925">
        <v>0</v>
      </c>
      <c r="I1925" t="s">
        <v>2344</v>
      </c>
      <c r="J1925" t="str">
        <f t="shared" si="121"/>
        <v>Under Weight</v>
      </c>
      <c r="K1925" t="str">
        <f t="shared" si="120"/>
        <v>Diabetes</v>
      </c>
      <c r="L1925">
        <v>10</v>
      </c>
      <c r="M1925" t="s">
        <v>2362</v>
      </c>
      <c r="N1925">
        <v>1995</v>
      </c>
      <c r="O1925" s="8">
        <f t="shared" si="122"/>
        <v>34860</v>
      </c>
      <c r="P1925" s="10">
        <v>24863.25</v>
      </c>
      <c r="Q1925" t="s">
        <v>2357</v>
      </c>
      <c r="R1925" t="s">
        <v>2358</v>
      </c>
      <c r="S1925" t="s">
        <v>2368</v>
      </c>
      <c r="T1925">
        <f t="shared" ca="1" si="123"/>
        <v>31</v>
      </c>
      <c r="U1925">
        <f>VLOOKUP($A1925,'Medical Examination'!$A:$Z,2,FALSE)</f>
        <v>15.37</v>
      </c>
    </row>
    <row r="1926" spans="1:21" ht="15.5" x14ac:dyDescent="0.35">
      <c r="A1926" s="2" t="s">
        <v>1926</v>
      </c>
      <c r="B1926" s="2" t="s">
        <v>4992</v>
      </c>
      <c r="C1926">
        <v>30.4</v>
      </c>
      <c r="D1926">
        <v>5.28</v>
      </c>
      <c r="E1926" t="s">
        <v>2344</v>
      </c>
      <c r="F1926" t="s">
        <v>2344</v>
      </c>
      <c r="G1926" t="s">
        <v>2344</v>
      </c>
      <c r="H1926">
        <v>0</v>
      </c>
      <c r="I1926" t="s">
        <v>2344</v>
      </c>
      <c r="J1926" t="str">
        <f t="shared" si="121"/>
        <v>Obesity</v>
      </c>
      <c r="K1926" t="str">
        <f t="shared" si="120"/>
        <v>Normal</v>
      </c>
      <c r="L1926">
        <v>26</v>
      </c>
      <c r="M1926" t="s">
        <v>2360</v>
      </c>
      <c r="N1926">
        <v>1970</v>
      </c>
      <c r="O1926" s="8">
        <f t="shared" si="122"/>
        <v>25898</v>
      </c>
      <c r="P1926" s="10">
        <v>24869.84</v>
      </c>
      <c r="Q1926" t="s">
        <v>2357</v>
      </c>
      <c r="R1926" t="s">
        <v>2357</v>
      </c>
      <c r="S1926" t="s">
        <v>2371</v>
      </c>
      <c r="T1926">
        <f t="shared" ca="1" si="123"/>
        <v>56</v>
      </c>
      <c r="U1926">
        <f>VLOOKUP($A1926,'Medical Examination'!$A:$Z,2,FALSE)</f>
        <v>30.4</v>
      </c>
    </row>
    <row r="1927" spans="1:21" ht="15.5" x14ac:dyDescent="0.35">
      <c r="A1927" s="2" t="s">
        <v>1927</v>
      </c>
      <c r="B1927" s="2" t="s">
        <v>3734</v>
      </c>
      <c r="C1927">
        <v>19.48</v>
      </c>
      <c r="D1927">
        <v>5.63</v>
      </c>
      <c r="E1927" t="s">
        <v>2346</v>
      </c>
      <c r="F1927" t="s">
        <v>2344</v>
      </c>
      <c r="G1927" t="s">
        <v>2344</v>
      </c>
      <c r="H1927">
        <v>1</v>
      </c>
      <c r="I1927" t="s">
        <v>2344</v>
      </c>
      <c r="J1927" t="str">
        <f t="shared" si="121"/>
        <v>Normal Weight</v>
      </c>
      <c r="K1927" t="str">
        <f t="shared" si="120"/>
        <v>Normal</v>
      </c>
      <c r="L1927">
        <v>23</v>
      </c>
      <c r="M1927" t="s">
        <v>2356</v>
      </c>
      <c r="N1927">
        <v>1969</v>
      </c>
      <c r="O1927" s="8">
        <f t="shared" si="122"/>
        <v>25407</v>
      </c>
      <c r="P1927" s="10">
        <v>24873.38</v>
      </c>
      <c r="Q1927" t="s">
        <v>2357</v>
      </c>
      <c r="R1927" t="s">
        <v>2361</v>
      </c>
      <c r="S1927" t="s">
        <v>2374</v>
      </c>
      <c r="T1927">
        <f t="shared" ca="1" si="123"/>
        <v>57</v>
      </c>
      <c r="U1927">
        <f>VLOOKUP($A1927,'Medical Examination'!$A:$Z,2,FALSE)</f>
        <v>19.48</v>
      </c>
    </row>
    <row r="1928" spans="1:21" ht="15.5" x14ac:dyDescent="0.35">
      <c r="A1928" s="2" t="s">
        <v>1928</v>
      </c>
      <c r="B1928" s="2" t="s">
        <v>4994</v>
      </c>
      <c r="C1928">
        <v>16.96</v>
      </c>
      <c r="D1928">
        <v>11.47</v>
      </c>
      <c r="E1928" t="s">
        <v>2346</v>
      </c>
      <c r="F1928" t="s">
        <v>2344</v>
      </c>
      <c r="G1928" t="s">
        <v>2344</v>
      </c>
      <c r="H1928">
        <v>0</v>
      </c>
      <c r="I1928" t="s">
        <v>2344</v>
      </c>
      <c r="J1928" t="str">
        <f t="shared" si="121"/>
        <v>Under Weight</v>
      </c>
      <c r="K1928" t="str">
        <f t="shared" si="120"/>
        <v>Diabetes</v>
      </c>
      <c r="L1928">
        <v>14</v>
      </c>
      <c r="M1928" t="s">
        <v>2362</v>
      </c>
      <c r="N1928">
        <v>1987</v>
      </c>
      <c r="O1928" s="8">
        <f t="shared" si="122"/>
        <v>31942</v>
      </c>
      <c r="P1928" s="10">
        <v>24915.05</v>
      </c>
      <c r="Q1928" t="s">
        <v>2357</v>
      </c>
      <c r="R1928" t="s">
        <v>2361</v>
      </c>
      <c r="S1928" t="s">
        <v>2374</v>
      </c>
      <c r="T1928">
        <f t="shared" ca="1" si="123"/>
        <v>39</v>
      </c>
      <c r="U1928">
        <f>VLOOKUP($A1928,'Medical Examination'!$A:$Z,2,FALSE)</f>
        <v>16.96</v>
      </c>
    </row>
    <row r="1929" spans="1:21" ht="15.5" x14ac:dyDescent="0.35">
      <c r="A1929" s="2" t="s">
        <v>1929</v>
      </c>
      <c r="B1929" s="2" t="s">
        <v>4996</v>
      </c>
      <c r="C1929">
        <v>19.05</v>
      </c>
      <c r="D1929">
        <v>4.92</v>
      </c>
      <c r="E1929" t="s">
        <v>2344</v>
      </c>
      <c r="F1929" t="s">
        <v>2344</v>
      </c>
      <c r="G1929" t="s">
        <v>2344</v>
      </c>
      <c r="H1929">
        <v>1</v>
      </c>
      <c r="I1929" t="s">
        <v>2344</v>
      </c>
      <c r="J1929" t="str">
        <f t="shared" si="121"/>
        <v>Normal Weight</v>
      </c>
      <c r="K1929" t="str">
        <f t="shared" si="120"/>
        <v>Normal</v>
      </c>
      <c r="L1929">
        <v>14</v>
      </c>
      <c r="M1929" t="s">
        <v>2360</v>
      </c>
      <c r="N1929">
        <v>1975</v>
      </c>
      <c r="O1929" s="8">
        <f t="shared" si="122"/>
        <v>27712</v>
      </c>
      <c r="P1929" s="10">
        <v>24915.22</v>
      </c>
      <c r="Q1929" t="s">
        <v>2357</v>
      </c>
      <c r="R1929" t="s">
        <v>2358</v>
      </c>
      <c r="S1929" t="s">
        <v>2364</v>
      </c>
      <c r="T1929">
        <f t="shared" ca="1" si="123"/>
        <v>51</v>
      </c>
      <c r="U1929">
        <f>VLOOKUP($A1929,'Medical Examination'!$A:$Z,2,FALSE)</f>
        <v>19.05</v>
      </c>
    </row>
    <row r="1930" spans="1:21" ht="15.5" x14ac:dyDescent="0.35">
      <c r="A1930" s="2" t="s">
        <v>1930</v>
      </c>
      <c r="B1930" s="2" t="s">
        <v>4028</v>
      </c>
      <c r="C1930">
        <v>37.619999999999997</v>
      </c>
      <c r="D1930">
        <v>4.18</v>
      </c>
      <c r="E1930" t="s">
        <v>2344</v>
      </c>
      <c r="F1930" t="s">
        <v>2344</v>
      </c>
      <c r="G1930" t="s">
        <v>2344</v>
      </c>
      <c r="H1930">
        <v>0</v>
      </c>
      <c r="I1930" t="s">
        <v>2344</v>
      </c>
      <c r="J1930" t="str">
        <f t="shared" si="121"/>
        <v>Obesity</v>
      </c>
      <c r="K1930" t="str">
        <f t="shared" si="120"/>
        <v>Normal</v>
      </c>
      <c r="L1930">
        <v>4</v>
      </c>
      <c r="M1930" t="s">
        <v>2365</v>
      </c>
      <c r="N1930">
        <v>1995</v>
      </c>
      <c r="O1930" s="8">
        <f t="shared" si="122"/>
        <v>35037</v>
      </c>
      <c r="P1930" s="10">
        <v>25075.97</v>
      </c>
      <c r="Q1930" t="s">
        <v>2357</v>
      </c>
      <c r="R1930" t="s">
        <v>2357</v>
      </c>
      <c r="S1930" t="s">
        <v>2368</v>
      </c>
      <c r="T1930">
        <f t="shared" ca="1" si="123"/>
        <v>31</v>
      </c>
      <c r="U1930">
        <f>VLOOKUP($A1930,'Medical Examination'!$A:$Z,2,FALSE)</f>
        <v>37.619999999999997</v>
      </c>
    </row>
    <row r="1931" spans="1:21" ht="15.5" x14ac:dyDescent="0.35">
      <c r="A1931" s="2" t="s">
        <v>1931</v>
      </c>
      <c r="B1931" s="2" t="s">
        <v>3239</v>
      </c>
      <c r="C1931">
        <v>29.1</v>
      </c>
      <c r="D1931">
        <v>4.67</v>
      </c>
      <c r="E1931" t="s">
        <v>2344</v>
      </c>
      <c r="F1931" t="s">
        <v>2344</v>
      </c>
      <c r="G1931" t="s">
        <v>2344</v>
      </c>
      <c r="H1931">
        <v>0</v>
      </c>
      <c r="I1931" t="s">
        <v>2344</v>
      </c>
      <c r="J1931" t="str">
        <f t="shared" si="121"/>
        <v>Over weight</v>
      </c>
      <c r="K1931" t="str">
        <f t="shared" si="120"/>
        <v>Normal</v>
      </c>
      <c r="L1931">
        <v>14</v>
      </c>
      <c r="M1931" t="s">
        <v>2362</v>
      </c>
      <c r="N1931">
        <v>1998</v>
      </c>
      <c r="O1931" s="8">
        <f t="shared" si="122"/>
        <v>35960</v>
      </c>
      <c r="P1931" s="10">
        <v>25081.77</v>
      </c>
      <c r="Q1931" t="s">
        <v>2357</v>
      </c>
      <c r="R1931" t="s">
        <v>2357</v>
      </c>
      <c r="S1931" t="s">
        <v>2359</v>
      </c>
      <c r="T1931">
        <f t="shared" ca="1" si="123"/>
        <v>28</v>
      </c>
      <c r="U1931">
        <f>VLOOKUP($A1931,'Medical Examination'!$A:$Z,2,FALSE)</f>
        <v>29.1</v>
      </c>
    </row>
    <row r="1932" spans="1:21" ht="15.5" x14ac:dyDescent="0.35">
      <c r="A1932" s="2" t="s">
        <v>1932</v>
      </c>
      <c r="B1932" s="2" t="s">
        <v>4998</v>
      </c>
      <c r="C1932">
        <v>26.62</v>
      </c>
      <c r="D1932">
        <v>6.24</v>
      </c>
      <c r="E1932" t="s">
        <v>2344</v>
      </c>
      <c r="F1932" t="s">
        <v>2344</v>
      </c>
      <c r="G1932" t="s">
        <v>2344</v>
      </c>
      <c r="H1932">
        <v>0</v>
      </c>
      <c r="I1932" t="s">
        <v>2344</v>
      </c>
      <c r="J1932" t="str">
        <f t="shared" si="121"/>
        <v>Over weight</v>
      </c>
      <c r="K1932" t="str">
        <f t="shared" ref="K1932:K1995" si="124">IF(D1932&lt;5.7,"Normal",IF(D1932&lt;6.5,"Prediabetes","Diabetes"))</f>
        <v>Prediabetes</v>
      </c>
      <c r="L1932">
        <v>24</v>
      </c>
      <c r="M1932" t="s">
        <v>2360</v>
      </c>
      <c r="N1932">
        <v>1998</v>
      </c>
      <c r="O1932" s="8">
        <f t="shared" si="122"/>
        <v>36123</v>
      </c>
      <c r="P1932" s="10">
        <v>25127.22</v>
      </c>
      <c r="Q1932" t="s">
        <v>2357</v>
      </c>
      <c r="R1932" t="s">
        <v>2358</v>
      </c>
      <c r="S1932" t="s">
        <v>2368</v>
      </c>
      <c r="T1932">
        <f t="shared" ca="1" si="123"/>
        <v>28</v>
      </c>
      <c r="U1932">
        <f>VLOOKUP($A1932,'Medical Examination'!$A:$Z,2,FALSE)</f>
        <v>26.62</v>
      </c>
    </row>
    <row r="1933" spans="1:21" ht="15.5" x14ac:dyDescent="0.35">
      <c r="A1933" s="2" t="s">
        <v>1933</v>
      </c>
      <c r="B1933" s="2" t="s">
        <v>5000</v>
      </c>
      <c r="C1933">
        <v>25.74</v>
      </c>
      <c r="D1933">
        <v>5.99</v>
      </c>
      <c r="E1933" t="s">
        <v>2344</v>
      </c>
      <c r="F1933" t="s">
        <v>2344</v>
      </c>
      <c r="G1933" t="s">
        <v>2344</v>
      </c>
      <c r="H1933">
        <v>0</v>
      </c>
      <c r="I1933" t="s">
        <v>2344</v>
      </c>
      <c r="J1933" t="str">
        <f t="shared" si="121"/>
        <v>Over weight</v>
      </c>
      <c r="K1933" t="str">
        <f t="shared" si="124"/>
        <v>Prediabetes</v>
      </c>
      <c r="L1933">
        <v>14</v>
      </c>
      <c r="M1933" t="s">
        <v>2365</v>
      </c>
      <c r="N1933">
        <v>1975</v>
      </c>
      <c r="O1933" s="8">
        <f t="shared" si="122"/>
        <v>27742</v>
      </c>
      <c r="P1933" s="10">
        <v>25309.49</v>
      </c>
      <c r="Q1933" t="s">
        <v>2357</v>
      </c>
      <c r="R1933" t="s">
        <v>2361</v>
      </c>
      <c r="S1933" t="s">
        <v>2368</v>
      </c>
      <c r="T1933">
        <f t="shared" ca="1" si="123"/>
        <v>51</v>
      </c>
      <c r="U1933">
        <f>VLOOKUP($A1933,'Medical Examination'!$A:$Z,2,FALSE)</f>
        <v>25.74</v>
      </c>
    </row>
    <row r="1934" spans="1:21" ht="15.5" x14ac:dyDescent="0.35">
      <c r="A1934" s="2" t="s">
        <v>1934</v>
      </c>
      <c r="B1934" s="2" t="s">
        <v>5002</v>
      </c>
      <c r="C1934">
        <v>18.22</v>
      </c>
      <c r="D1934">
        <v>10.27</v>
      </c>
      <c r="E1934" t="s">
        <v>2346</v>
      </c>
      <c r="F1934" t="s">
        <v>2344</v>
      </c>
      <c r="G1934" t="s">
        <v>2344</v>
      </c>
      <c r="H1934">
        <v>1</v>
      </c>
      <c r="I1934" t="s">
        <v>2344</v>
      </c>
      <c r="J1934" t="str">
        <f t="shared" si="121"/>
        <v>Under Weight</v>
      </c>
      <c r="K1934" t="str">
        <f t="shared" si="124"/>
        <v>Diabetes</v>
      </c>
      <c r="L1934">
        <v>26</v>
      </c>
      <c r="M1934" t="s">
        <v>2363</v>
      </c>
      <c r="N1934">
        <v>1972</v>
      </c>
      <c r="O1934" s="8">
        <f t="shared" si="122"/>
        <v>26568</v>
      </c>
      <c r="P1934" s="10">
        <v>25333.33</v>
      </c>
      <c r="Q1934" t="s">
        <v>2357</v>
      </c>
      <c r="R1934" t="s">
        <v>2357</v>
      </c>
      <c r="S1934" t="s">
        <v>2378</v>
      </c>
      <c r="T1934">
        <f t="shared" ca="1" si="123"/>
        <v>54</v>
      </c>
      <c r="U1934">
        <f>VLOOKUP($A1934,'Medical Examination'!$A:$Z,2,FALSE)</f>
        <v>18.22</v>
      </c>
    </row>
    <row r="1935" spans="1:21" ht="15.5" x14ac:dyDescent="0.35">
      <c r="A1935" s="2" t="s">
        <v>1935</v>
      </c>
      <c r="B1935" s="2" t="s">
        <v>5003</v>
      </c>
      <c r="C1935">
        <v>26.03</v>
      </c>
      <c r="D1935">
        <v>5.97</v>
      </c>
      <c r="E1935" t="s">
        <v>2344</v>
      </c>
      <c r="F1935" t="s">
        <v>2344</v>
      </c>
      <c r="G1935" t="s">
        <v>2346</v>
      </c>
      <c r="H1935">
        <v>1</v>
      </c>
      <c r="I1935" t="s">
        <v>2344</v>
      </c>
      <c r="J1935" t="str">
        <f t="shared" si="121"/>
        <v>Over weight</v>
      </c>
      <c r="K1935" t="str">
        <f t="shared" si="124"/>
        <v>Prediabetes</v>
      </c>
      <c r="L1935">
        <v>22</v>
      </c>
      <c r="M1935" t="s">
        <v>2366</v>
      </c>
      <c r="N1935">
        <v>1968</v>
      </c>
      <c r="O1935" s="8">
        <f t="shared" si="122"/>
        <v>25072</v>
      </c>
      <c r="P1935" s="10">
        <v>25382.3</v>
      </c>
      <c r="Q1935" t="s">
        <v>2357</v>
      </c>
      <c r="R1935" t="s">
        <v>2357</v>
      </c>
      <c r="S1935" t="s">
        <v>2368</v>
      </c>
      <c r="T1935">
        <f t="shared" ca="1" si="123"/>
        <v>58</v>
      </c>
      <c r="U1935">
        <f>VLOOKUP($A1935,'Medical Examination'!$A:$Z,2,FALSE)</f>
        <v>26.03</v>
      </c>
    </row>
    <row r="1936" spans="1:21" ht="15.5" x14ac:dyDescent="0.35">
      <c r="A1936" s="2" t="s">
        <v>1936</v>
      </c>
      <c r="B1936" s="2" t="s">
        <v>5004</v>
      </c>
      <c r="C1936">
        <v>17.29</v>
      </c>
      <c r="D1936">
        <v>4.9800000000000004</v>
      </c>
      <c r="E1936" t="s">
        <v>2344</v>
      </c>
      <c r="F1936" t="s">
        <v>2344</v>
      </c>
      <c r="G1936" t="s">
        <v>2344</v>
      </c>
      <c r="H1936">
        <v>0</v>
      </c>
      <c r="I1936" t="s">
        <v>2344</v>
      </c>
      <c r="J1936" t="str">
        <f t="shared" si="121"/>
        <v>Under Weight</v>
      </c>
      <c r="K1936" t="str">
        <f t="shared" si="124"/>
        <v>Normal</v>
      </c>
      <c r="L1936">
        <v>11</v>
      </c>
      <c r="M1936" t="s">
        <v>2365</v>
      </c>
      <c r="N1936">
        <v>1968</v>
      </c>
      <c r="O1936" s="8">
        <f t="shared" si="122"/>
        <v>25183</v>
      </c>
      <c r="P1936" s="10">
        <v>25517.11</v>
      </c>
      <c r="Q1936" t="s">
        <v>2357</v>
      </c>
      <c r="R1936" t="s">
        <v>2358</v>
      </c>
      <c r="S1936" t="s">
        <v>2378</v>
      </c>
      <c r="T1936">
        <f t="shared" ca="1" si="123"/>
        <v>58</v>
      </c>
      <c r="U1936">
        <f>VLOOKUP($A1936,'Medical Examination'!$A:$Z,2,FALSE)</f>
        <v>17.29</v>
      </c>
    </row>
    <row r="1937" spans="1:21" ht="15.5" x14ac:dyDescent="0.35">
      <c r="A1937" s="2" t="s">
        <v>1937</v>
      </c>
      <c r="B1937" s="2" t="s">
        <v>5005</v>
      </c>
      <c r="C1937">
        <v>18.170000000000002</v>
      </c>
      <c r="D1937">
        <v>6.91</v>
      </c>
      <c r="E1937" t="s">
        <v>2346</v>
      </c>
      <c r="F1937" t="s">
        <v>2344</v>
      </c>
      <c r="G1937" t="s">
        <v>2344</v>
      </c>
      <c r="H1937">
        <v>1</v>
      </c>
      <c r="I1937" t="s">
        <v>2344</v>
      </c>
      <c r="J1937" t="str">
        <f t="shared" si="121"/>
        <v>Under Weight</v>
      </c>
      <c r="K1937" t="str">
        <f t="shared" si="124"/>
        <v>Diabetes</v>
      </c>
      <c r="L1937">
        <v>2</v>
      </c>
      <c r="M1937" t="s">
        <v>2366</v>
      </c>
      <c r="N1937">
        <v>2001</v>
      </c>
      <c r="O1937" s="8">
        <f t="shared" si="122"/>
        <v>37105</v>
      </c>
      <c r="P1937" s="10">
        <v>25648.98</v>
      </c>
      <c r="Q1937" t="s">
        <v>2357</v>
      </c>
      <c r="R1937" t="s">
        <v>2361</v>
      </c>
      <c r="S1937" t="s">
        <v>2368</v>
      </c>
      <c r="T1937">
        <f t="shared" ca="1" si="123"/>
        <v>25</v>
      </c>
      <c r="U1937">
        <f>VLOOKUP($A1937,'Medical Examination'!$A:$Z,2,FALSE)</f>
        <v>18.170000000000002</v>
      </c>
    </row>
    <row r="1938" spans="1:21" ht="15.5" x14ac:dyDescent="0.35">
      <c r="A1938" s="2" t="s">
        <v>1938</v>
      </c>
      <c r="B1938" s="2" t="s">
        <v>5007</v>
      </c>
      <c r="C1938">
        <v>32.54</v>
      </c>
      <c r="D1938">
        <v>6.38</v>
      </c>
      <c r="E1938" t="s">
        <v>2344</v>
      </c>
      <c r="F1938" t="s">
        <v>2345</v>
      </c>
      <c r="G1938" t="s">
        <v>2344</v>
      </c>
      <c r="H1938">
        <v>1</v>
      </c>
      <c r="I1938" t="s">
        <v>2344</v>
      </c>
      <c r="J1938" t="str">
        <f t="shared" si="121"/>
        <v>Obesity</v>
      </c>
      <c r="K1938" t="str">
        <f t="shared" si="124"/>
        <v>Prediabetes</v>
      </c>
      <c r="L1938">
        <v>17</v>
      </c>
      <c r="M1938" t="s">
        <v>2356</v>
      </c>
      <c r="N1938">
        <v>1972</v>
      </c>
      <c r="O1938" s="8">
        <f t="shared" si="122"/>
        <v>26497</v>
      </c>
      <c r="P1938" s="10">
        <v>25656.58</v>
      </c>
      <c r="Q1938" t="s">
        <v>2357</v>
      </c>
      <c r="R1938" t="s">
        <v>2358</v>
      </c>
      <c r="S1938" t="s">
        <v>2374</v>
      </c>
      <c r="T1938">
        <f t="shared" ca="1" si="123"/>
        <v>54</v>
      </c>
      <c r="U1938">
        <f>VLOOKUP($A1938,'Medical Examination'!$A:$Z,2,FALSE)</f>
        <v>32.54</v>
      </c>
    </row>
    <row r="1939" spans="1:21" ht="15.5" x14ac:dyDescent="0.35">
      <c r="A1939" s="2" t="s">
        <v>1939</v>
      </c>
      <c r="B1939" s="2" t="s">
        <v>4756</v>
      </c>
      <c r="C1939">
        <v>30.25</v>
      </c>
      <c r="D1939">
        <v>4.7699999999999996</v>
      </c>
      <c r="E1939" t="s">
        <v>2344</v>
      </c>
      <c r="F1939" t="s">
        <v>2344</v>
      </c>
      <c r="G1939" t="s">
        <v>2344</v>
      </c>
      <c r="H1939">
        <v>0</v>
      </c>
      <c r="I1939" t="s">
        <v>2344</v>
      </c>
      <c r="J1939" t="str">
        <f t="shared" si="121"/>
        <v>Obesity</v>
      </c>
      <c r="K1939" t="str">
        <f t="shared" si="124"/>
        <v>Normal</v>
      </c>
      <c r="L1939">
        <v>21</v>
      </c>
      <c r="M1939" t="s">
        <v>2366</v>
      </c>
      <c r="N1939">
        <v>1963</v>
      </c>
      <c r="O1939" s="8">
        <f t="shared" si="122"/>
        <v>23244</v>
      </c>
      <c r="P1939" s="10">
        <v>25678.78</v>
      </c>
      <c r="Q1939" t="s">
        <v>2357</v>
      </c>
      <c r="R1939" t="s">
        <v>2358</v>
      </c>
      <c r="S1939" t="s">
        <v>2364</v>
      </c>
      <c r="T1939">
        <f t="shared" ca="1" si="123"/>
        <v>63</v>
      </c>
      <c r="U1939">
        <f>VLOOKUP($A1939,'Medical Examination'!$A:$Z,2,FALSE)</f>
        <v>30.25</v>
      </c>
    </row>
    <row r="1940" spans="1:21" ht="15.5" x14ac:dyDescent="0.35">
      <c r="A1940" s="2" t="s">
        <v>1940</v>
      </c>
      <c r="B1940" s="2" t="s">
        <v>5008</v>
      </c>
      <c r="C1940">
        <v>19.59</v>
      </c>
      <c r="D1940">
        <v>6.04</v>
      </c>
      <c r="E1940" t="s">
        <v>2346</v>
      </c>
      <c r="F1940" t="s">
        <v>2344</v>
      </c>
      <c r="G1940" t="s">
        <v>2344</v>
      </c>
      <c r="H1940">
        <v>1</v>
      </c>
      <c r="I1940" t="s">
        <v>2344</v>
      </c>
      <c r="J1940" t="str">
        <f t="shared" si="121"/>
        <v>Normal Weight</v>
      </c>
      <c r="K1940" t="str">
        <f t="shared" si="124"/>
        <v>Prediabetes</v>
      </c>
      <c r="L1940">
        <v>3</v>
      </c>
      <c r="M1940" t="s">
        <v>2365</v>
      </c>
      <c r="N1940">
        <v>1970</v>
      </c>
      <c r="O1940" s="8">
        <f t="shared" si="122"/>
        <v>25905</v>
      </c>
      <c r="P1940" s="10">
        <v>25992.82</v>
      </c>
      <c r="Q1940" t="s">
        <v>2357</v>
      </c>
      <c r="R1940" t="s">
        <v>2357</v>
      </c>
      <c r="S1940" t="s">
        <v>2359</v>
      </c>
      <c r="T1940">
        <f t="shared" ca="1" si="123"/>
        <v>56</v>
      </c>
      <c r="U1940">
        <f>VLOOKUP($A1940,'Medical Examination'!$A:$Z,2,FALSE)</f>
        <v>19.59</v>
      </c>
    </row>
    <row r="1941" spans="1:21" ht="15.5" x14ac:dyDescent="0.35">
      <c r="A1941" s="2" t="s">
        <v>1941</v>
      </c>
      <c r="B1941" s="2" t="s">
        <v>5010</v>
      </c>
      <c r="C1941">
        <v>45.9</v>
      </c>
      <c r="D1941">
        <v>4.3</v>
      </c>
      <c r="E1941" t="s">
        <v>2346</v>
      </c>
      <c r="F1941" t="s">
        <v>2344</v>
      </c>
      <c r="G1941" t="s">
        <v>2344</v>
      </c>
      <c r="H1941">
        <v>1</v>
      </c>
      <c r="I1941" t="s">
        <v>2344</v>
      </c>
      <c r="J1941" t="str">
        <f t="shared" si="121"/>
        <v>Obesity</v>
      </c>
      <c r="K1941" t="str">
        <f t="shared" si="124"/>
        <v>Normal</v>
      </c>
      <c r="L1941">
        <v>5</v>
      </c>
      <c r="M1941" t="s">
        <v>2362</v>
      </c>
      <c r="N1941">
        <v>2001</v>
      </c>
      <c r="O1941" s="8">
        <f t="shared" si="122"/>
        <v>37047</v>
      </c>
      <c r="P1941" s="10">
        <v>26018.95</v>
      </c>
      <c r="Q1941" t="s">
        <v>2357</v>
      </c>
      <c r="R1941" t="s">
        <v>2357</v>
      </c>
      <c r="S1941" t="s">
        <v>2364</v>
      </c>
      <c r="T1941">
        <f t="shared" ca="1" si="123"/>
        <v>25</v>
      </c>
      <c r="U1941">
        <f>VLOOKUP($A1941,'Medical Examination'!$A:$Z,2,FALSE)</f>
        <v>45.9</v>
      </c>
    </row>
    <row r="1942" spans="1:21" ht="15.5" x14ac:dyDescent="0.35">
      <c r="A1942" s="2" t="s">
        <v>1942</v>
      </c>
      <c r="B1942" s="2" t="s">
        <v>3685</v>
      </c>
      <c r="C1942">
        <v>17.059999999999999</v>
      </c>
      <c r="D1942">
        <v>8.75</v>
      </c>
      <c r="E1942" t="s">
        <v>2346</v>
      </c>
      <c r="F1942" t="s">
        <v>2344</v>
      </c>
      <c r="G1942" t="s">
        <v>2344</v>
      </c>
      <c r="H1942">
        <v>0</v>
      </c>
      <c r="I1942" t="s">
        <v>2344</v>
      </c>
      <c r="J1942" t="str">
        <f t="shared" si="121"/>
        <v>Under Weight</v>
      </c>
      <c r="K1942" t="str">
        <f t="shared" si="124"/>
        <v>Diabetes</v>
      </c>
      <c r="L1942">
        <v>26</v>
      </c>
      <c r="M1942" t="s">
        <v>2365</v>
      </c>
      <c r="N1942">
        <v>2000</v>
      </c>
      <c r="O1942" s="8">
        <f t="shared" si="122"/>
        <v>36886</v>
      </c>
      <c r="P1942" s="10">
        <v>26026.97</v>
      </c>
      <c r="Q1942" t="s">
        <v>2357</v>
      </c>
      <c r="R1942" t="s">
        <v>2358</v>
      </c>
      <c r="S1942" t="s">
        <v>2368</v>
      </c>
      <c r="T1942">
        <f t="shared" ca="1" si="123"/>
        <v>26</v>
      </c>
      <c r="U1942">
        <f>VLOOKUP($A1942,'Medical Examination'!$A:$Z,2,FALSE)</f>
        <v>17.059999999999999</v>
      </c>
    </row>
    <row r="1943" spans="1:21" ht="15.5" x14ac:dyDescent="0.35">
      <c r="A1943" s="2" t="s">
        <v>1943</v>
      </c>
      <c r="B1943" s="2" t="s">
        <v>5011</v>
      </c>
      <c r="C1943">
        <v>32.07</v>
      </c>
      <c r="D1943">
        <v>5.25</v>
      </c>
      <c r="E1943" t="s">
        <v>2344</v>
      </c>
      <c r="F1943" t="s">
        <v>2344</v>
      </c>
      <c r="G1943" t="s">
        <v>2346</v>
      </c>
      <c r="H1943">
        <v>1</v>
      </c>
      <c r="I1943" t="s">
        <v>2344</v>
      </c>
      <c r="J1943" t="str">
        <f t="shared" si="121"/>
        <v>Obesity</v>
      </c>
      <c r="K1943" t="str">
        <f t="shared" si="124"/>
        <v>Normal</v>
      </c>
      <c r="L1943">
        <v>9</v>
      </c>
      <c r="M1943" t="s">
        <v>2356</v>
      </c>
      <c r="N1943">
        <v>1966</v>
      </c>
      <c r="O1943" s="8">
        <f t="shared" si="122"/>
        <v>24297</v>
      </c>
      <c r="P1943" s="10">
        <v>26109.33</v>
      </c>
      <c r="Q1943" t="s">
        <v>2357</v>
      </c>
      <c r="R1943" t="s">
        <v>2358</v>
      </c>
      <c r="S1943" t="s">
        <v>2364</v>
      </c>
      <c r="T1943">
        <f t="shared" ca="1" si="123"/>
        <v>60</v>
      </c>
      <c r="U1943">
        <f>VLOOKUP($A1943,'Medical Examination'!$A:$Z,2,FALSE)</f>
        <v>32.07</v>
      </c>
    </row>
    <row r="1944" spans="1:21" ht="15.5" x14ac:dyDescent="0.35">
      <c r="A1944" s="2" t="s">
        <v>1944</v>
      </c>
      <c r="B1944" s="2" t="s">
        <v>5012</v>
      </c>
      <c r="C1944">
        <v>16.5</v>
      </c>
      <c r="D1944">
        <v>5.03</v>
      </c>
      <c r="E1944" t="s">
        <v>2344</v>
      </c>
      <c r="F1944" t="s">
        <v>2344</v>
      </c>
      <c r="G1944" t="s">
        <v>2344</v>
      </c>
      <c r="H1944">
        <v>1</v>
      </c>
      <c r="I1944" t="s">
        <v>2344</v>
      </c>
      <c r="J1944" t="str">
        <f t="shared" si="121"/>
        <v>Under Weight</v>
      </c>
      <c r="K1944" t="str">
        <f t="shared" si="124"/>
        <v>Normal</v>
      </c>
      <c r="L1944">
        <v>11</v>
      </c>
      <c r="M1944" t="s">
        <v>2367</v>
      </c>
      <c r="N1944">
        <v>2002</v>
      </c>
      <c r="O1944" s="8">
        <f t="shared" si="122"/>
        <v>37540</v>
      </c>
      <c r="P1944" s="10">
        <v>26125.67</v>
      </c>
      <c r="Q1944" t="s">
        <v>2357</v>
      </c>
      <c r="R1944" t="s">
        <v>2361</v>
      </c>
      <c r="S1944" t="s">
        <v>2359</v>
      </c>
      <c r="T1944">
        <f t="shared" ca="1" si="123"/>
        <v>24</v>
      </c>
      <c r="U1944">
        <f>VLOOKUP($A1944,'Medical Examination'!$A:$Z,2,FALSE)</f>
        <v>16.5</v>
      </c>
    </row>
    <row r="1945" spans="1:21" ht="15.5" x14ac:dyDescent="0.35">
      <c r="A1945" s="2" t="s">
        <v>1945</v>
      </c>
      <c r="B1945" s="2" t="s">
        <v>3576</v>
      </c>
      <c r="C1945">
        <v>31.4</v>
      </c>
      <c r="D1945">
        <v>5.88</v>
      </c>
      <c r="E1945" t="s">
        <v>2344</v>
      </c>
      <c r="F1945" t="s">
        <v>2344</v>
      </c>
      <c r="G1945" t="s">
        <v>2344</v>
      </c>
      <c r="H1945">
        <v>1</v>
      </c>
      <c r="I1945" t="s">
        <v>2344</v>
      </c>
      <c r="J1945" t="str">
        <f t="shared" si="121"/>
        <v>Obesity</v>
      </c>
      <c r="K1945" t="str">
        <f t="shared" si="124"/>
        <v>Prediabetes</v>
      </c>
      <c r="L1945">
        <v>7</v>
      </c>
      <c r="M1945" t="s">
        <v>2356</v>
      </c>
      <c r="N1945">
        <v>1973</v>
      </c>
      <c r="O1945" s="8">
        <f t="shared" si="122"/>
        <v>26852</v>
      </c>
      <c r="P1945" s="10">
        <v>26140.36</v>
      </c>
      <c r="Q1945" t="s">
        <v>2357</v>
      </c>
      <c r="R1945" t="s">
        <v>2358</v>
      </c>
      <c r="S1945" t="s">
        <v>2368</v>
      </c>
      <c r="T1945">
        <f t="shared" ca="1" si="123"/>
        <v>53</v>
      </c>
      <c r="U1945">
        <f>VLOOKUP($A1945,'Medical Examination'!$A:$Z,2,FALSE)</f>
        <v>31.4</v>
      </c>
    </row>
    <row r="1946" spans="1:21" ht="15.5" x14ac:dyDescent="0.35">
      <c r="A1946" s="2" t="s">
        <v>1946</v>
      </c>
      <c r="B1946" s="2" t="s">
        <v>5013</v>
      </c>
      <c r="C1946">
        <v>20.36</v>
      </c>
      <c r="D1946">
        <v>4.49</v>
      </c>
      <c r="E1946" t="s">
        <v>2344</v>
      </c>
      <c r="F1946" t="s">
        <v>2344</v>
      </c>
      <c r="G1946" t="s">
        <v>2344</v>
      </c>
      <c r="H1946">
        <v>0</v>
      </c>
      <c r="I1946" t="s">
        <v>2344</v>
      </c>
      <c r="J1946" t="str">
        <f t="shared" si="121"/>
        <v>Normal Weight</v>
      </c>
      <c r="K1946" t="str">
        <f t="shared" si="124"/>
        <v>Normal</v>
      </c>
      <c r="L1946">
        <v>4</v>
      </c>
      <c r="M1946" t="s">
        <v>2362</v>
      </c>
      <c r="N1946">
        <v>1975</v>
      </c>
      <c r="O1946" s="8">
        <f t="shared" si="122"/>
        <v>27549</v>
      </c>
      <c r="P1946" s="10">
        <v>26236.58</v>
      </c>
      <c r="Q1946" t="s">
        <v>2357</v>
      </c>
      <c r="R1946" t="s">
        <v>2361</v>
      </c>
      <c r="S1946" t="s">
        <v>2368</v>
      </c>
      <c r="T1946">
        <f t="shared" ca="1" si="123"/>
        <v>51</v>
      </c>
      <c r="U1946">
        <f>VLOOKUP($A1946,'Medical Examination'!$A:$Z,2,FALSE)</f>
        <v>20.36</v>
      </c>
    </row>
    <row r="1947" spans="1:21" ht="15.5" x14ac:dyDescent="0.35">
      <c r="A1947" s="2" t="s">
        <v>1947</v>
      </c>
      <c r="B1947" s="2" t="s">
        <v>5014</v>
      </c>
      <c r="C1947">
        <v>25.46</v>
      </c>
      <c r="D1947">
        <v>4.1399999999999997</v>
      </c>
      <c r="E1947" t="s">
        <v>2344</v>
      </c>
      <c r="F1947" t="s">
        <v>2344</v>
      </c>
      <c r="G1947" t="s">
        <v>2344</v>
      </c>
      <c r="H1947">
        <v>1</v>
      </c>
      <c r="I1947" t="s">
        <v>2344</v>
      </c>
      <c r="J1947" t="str">
        <f t="shared" si="121"/>
        <v>Over weight</v>
      </c>
      <c r="K1947" t="str">
        <f t="shared" si="124"/>
        <v>Normal</v>
      </c>
      <c r="L1947">
        <v>5</v>
      </c>
      <c r="M1947" t="s">
        <v>2365</v>
      </c>
      <c r="N1947">
        <v>2004</v>
      </c>
      <c r="O1947" s="8">
        <f t="shared" si="122"/>
        <v>38326</v>
      </c>
      <c r="P1947" s="10">
        <v>26316.59</v>
      </c>
      <c r="Q1947" t="s">
        <v>2357</v>
      </c>
      <c r="R1947" t="s">
        <v>2358</v>
      </c>
      <c r="S1947" t="s">
        <v>2368</v>
      </c>
      <c r="T1947">
        <f t="shared" ca="1" si="123"/>
        <v>22</v>
      </c>
      <c r="U1947">
        <f>VLOOKUP($A1947,'Medical Examination'!$A:$Z,2,FALSE)</f>
        <v>25.46</v>
      </c>
    </row>
    <row r="1948" spans="1:21" ht="15.5" x14ac:dyDescent="0.35">
      <c r="A1948" s="2" t="s">
        <v>1948</v>
      </c>
      <c r="B1948" s="2" t="s">
        <v>5015</v>
      </c>
      <c r="C1948">
        <v>17.09</v>
      </c>
      <c r="D1948">
        <v>5.8</v>
      </c>
      <c r="E1948" t="s">
        <v>2346</v>
      </c>
      <c r="F1948" t="s">
        <v>2344</v>
      </c>
      <c r="G1948" t="s">
        <v>2344</v>
      </c>
      <c r="H1948">
        <v>0</v>
      </c>
      <c r="I1948" t="s">
        <v>2344</v>
      </c>
      <c r="J1948" t="str">
        <f t="shared" si="121"/>
        <v>Under Weight</v>
      </c>
      <c r="K1948" t="str">
        <f t="shared" si="124"/>
        <v>Prediabetes</v>
      </c>
      <c r="L1948">
        <v>21</v>
      </c>
      <c r="M1948" t="s">
        <v>2363</v>
      </c>
      <c r="N1948">
        <v>1974</v>
      </c>
      <c r="O1948" s="8">
        <f t="shared" si="122"/>
        <v>27293</v>
      </c>
      <c r="P1948" s="10">
        <v>26392.26</v>
      </c>
      <c r="Q1948" t="s">
        <v>2357</v>
      </c>
      <c r="R1948" t="s">
        <v>2357</v>
      </c>
      <c r="S1948" t="s">
        <v>2374</v>
      </c>
      <c r="T1948">
        <f t="shared" ca="1" si="123"/>
        <v>52</v>
      </c>
      <c r="U1948">
        <f>VLOOKUP($A1948,'Medical Examination'!$A:$Z,2,FALSE)</f>
        <v>17.09</v>
      </c>
    </row>
    <row r="1949" spans="1:21" ht="15.5" x14ac:dyDescent="0.35">
      <c r="A1949" s="2" t="s">
        <v>1949</v>
      </c>
      <c r="B1949" s="2" t="s">
        <v>5017</v>
      </c>
      <c r="C1949">
        <v>20.83</v>
      </c>
      <c r="D1949">
        <v>5.12</v>
      </c>
      <c r="E1949" t="s">
        <v>2344</v>
      </c>
      <c r="F1949" t="s">
        <v>2344</v>
      </c>
      <c r="G1949" t="s">
        <v>2344</v>
      </c>
      <c r="H1949">
        <v>0</v>
      </c>
      <c r="I1949" t="s">
        <v>2344</v>
      </c>
      <c r="J1949" t="str">
        <f t="shared" si="121"/>
        <v>Normal Weight</v>
      </c>
      <c r="K1949" t="str">
        <f t="shared" si="124"/>
        <v>Normal</v>
      </c>
      <c r="L1949">
        <v>27</v>
      </c>
      <c r="M1949" t="s">
        <v>2366</v>
      </c>
      <c r="N1949">
        <v>1970</v>
      </c>
      <c r="O1949" s="8">
        <f t="shared" si="122"/>
        <v>25807</v>
      </c>
      <c r="P1949" s="10">
        <v>26467.1</v>
      </c>
      <c r="Q1949" t="s">
        <v>2357</v>
      </c>
      <c r="R1949" t="s">
        <v>2358</v>
      </c>
      <c r="S1949" t="s">
        <v>2364</v>
      </c>
      <c r="T1949">
        <f t="shared" ca="1" si="123"/>
        <v>56</v>
      </c>
      <c r="U1949">
        <f>VLOOKUP($A1949,'Medical Examination'!$A:$Z,2,FALSE)</f>
        <v>20.83</v>
      </c>
    </row>
    <row r="1950" spans="1:21" ht="15.5" x14ac:dyDescent="0.35">
      <c r="A1950" s="2" t="s">
        <v>1950</v>
      </c>
      <c r="B1950" s="2" t="s">
        <v>5018</v>
      </c>
      <c r="C1950">
        <v>18.920000000000002</v>
      </c>
      <c r="D1950">
        <v>5.98</v>
      </c>
      <c r="E1950" t="s">
        <v>2346</v>
      </c>
      <c r="F1950" t="s">
        <v>2344</v>
      </c>
      <c r="G1950" t="s">
        <v>2344</v>
      </c>
      <c r="H1950">
        <v>1</v>
      </c>
      <c r="I1950" t="s">
        <v>2344</v>
      </c>
      <c r="J1950" t="str">
        <f t="shared" si="121"/>
        <v>Normal Weight</v>
      </c>
      <c r="K1950" t="str">
        <f t="shared" si="124"/>
        <v>Prediabetes</v>
      </c>
      <c r="L1950">
        <v>5</v>
      </c>
      <c r="M1950" t="s">
        <v>2363</v>
      </c>
      <c r="N1950">
        <v>2004</v>
      </c>
      <c r="O1950" s="8">
        <f t="shared" si="122"/>
        <v>38235</v>
      </c>
      <c r="P1950" s="10">
        <v>26479.4</v>
      </c>
      <c r="Q1950" t="s">
        <v>2357</v>
      </c>
      <c r="R1950" t="s">
        <v>2357</v>
      </c>
      <c r="S1950" t="s">
        <v>2368</v>
      </c>
      <c r="T1950">
        <f t="shared" ca="1" si="123"/>
        <v>22</v>
      </c>
      <c r="U1950">
        <f>VLOOKUP($A1950,'Medical Examination'!$A:$Z,2,FALSE)</f>
        <v>18.920000000000002</v>
      </c>
    </row>
    <row r="1951" spans="1:21" ht="15.5" x14ac:dyDescent="0.35">
      <c r="A1951" s="2" t="s">
        <v>1951</v>
      </c>
      <c r="B1951" s="2" t="s">
        <v>3389</v>
      </c>
      <c r="C1951">
        <v>37.1</v>
      </c>
      <c r="D1951">
        <v>5.46</v>
      </c>
      <c r="E1951" t="s">
        <v>2344</v>
      </c>
      <c r="F1951" t="s">
        <v>2344</v>
      </c>
      <c r="G1951" t="s">
        <v>2344</v>
      </c>
      <c r="H1951">
        <v>0</v>
      </c>
      <c r="I1951" t="s">
        <v>2344</v>
      </c>
      <c r="J1951" t="str">
        <f t="shared" si="121"/>
        <v>Obesity</v>
      </c>
      <c r="K1951" t="str">
        <f t="shared" si="124"/>
        <v>Normal</v>
      </c>
      <c r="L1951">
        <v>22</v>
      </c>
      <c r="M1951" t="s">
        <v>2356</v>
      </c>
      <c r="N1951">
        <v>1988</v>
      </c>
      <c r="O1951" s="8">
        <f t="shared" si="122"/>
        <v>32346</v>
      </c>
      <c r="P1951" s="10">
        <v>26607.89</v>
      </c>
      <c r="Q1951" t="s">
        <v>2357</v>
      </c>
      <c r="R1951" t="s">
        <v>2361</v>
      </c>
      <c r="S1951" t="s">
        <v>2368</v>
      </c>
      <c r="T1951">
        <f t="shared" ca="1" si="123"/>
        <v>38</v>
      </c>
      <c r="U1951">
        <f>VLOOKUP($A1951,'Medical Examination'!$A:$Z,2,FALSE)</f>
        <v>37.1</v>
      </c>
    </row>
    <row r="1952" spans="1:21" ht="15.5" x14ac:dyDescent="0.35">
      <c r="A1952" s="2" t="s">
        <v>1952</v>
      </c>
      <c r="B1952" s="2" t="s">
        <v>5020</v>
      </c>
      <c r="C1952">
        <v>22.515000000000001</v>
      </c>
      <c r="D1952">
        <v>4.91</v>
      </c>
      <c r="E1952" t="s">
        <v>2346</v>
      </c>
      <c r="F1952" t="s">
        <v>2344</v>
      </c>
      <c r="G1952" t="s">
        <v>2346</v>
      </c>
      <c r="H1952">
        <v>1</v>
      </c>
      <c r="I1952" t="s">
        <v>2344</v>
      </c>
      <c r="J1952" t="str">
        <f t="shared" si="121"/>
        <v>Normal Weight</v>
      </c>
      <c r="K1952" t="str">
        <f t="shared" si="124"/>
        <v>Normal</v>
      </c>
      <c r="L1952">
        <v>22</v>
      </c>
      <c r="M1952" t="s">
        <v>2366</v>
      </c>
      <c r="N1952">
        <v>1991</v>
      </c>
      <c r="O1952" s="8">
        <f t="shared" si="122"/>
        <v>33472</v>
      </c>
      <c r="P1952" s="10">
        <v>26912.560000000001</v>
      </c>
      <c r="Q1952" t="s">
        <v>2357</v>
      </c>
      <c r="R1952" t="s">
        <v>2357</v>
      </c>
      <c r="S1952" t="s">
        <v>2368</v>
      </c>
      <c r="T1952">
        <f t="shared" ca="1" si="123"/>
        <v>35</v>
      </c>
      <c r="U1952">
        <f>VLOOKUP($A1952,'Medical Examination'!$A:$Z,2,FALSE)</f>
        <v>22.515000000000001</v>
      </c>
    </row>
    <row r="1953" spans="1:21" ht="15.5" x14ac:dyDescent="0.35">
      <c r="A1953" s="2" t="s">
        <v>1953</v>
      </c>
      <c r="B1953" s="2" t="s">
        <v>5021</v>
      </c>
      <c r="C1953">
        <v>32.700000000000003</v>
      </c>
      <c r="D1953">
        <v>4.66</v>
      </c>
      <c r="E1953" t="s">
        <v>2344</v>
      </c>
      <c r="F1953" t="s">
        <v>2344</v>
      </c>
      <c r="G1953" t="s">
        <v>2344</v>
      </c>
      <c r="H1953">
        <v>0</v>
      </c>
      <c r="I1953" t="s">
        <v>2344</v>
      </c>
      <c r="J1953" t="str">
        <f t="shared" si="121"/>
        <v>Obesity</v>
      </c>
      <c r="K1953" t="str">
        <f t="shared" si="124"/>
        <v>Normal</v>
      </c>
      <c r="L1953">
        <v>25</v>
      </c>
      <c r="M1953" t="s">
        <v>2365</v>
      </c>
      <c r="N1953">
        <v>1958</v>
      </c>
      <c r="O1953" s="8">
        <f t="shared" si="122"/>
        <v>21544</v>
      </c>
      <c r="P1953" s="10">
        <v>26926.51</v>
      </c>
      <c r="Q1953" t="s">
        <v>2357</v>
      </c>
      <c r="R1953" t="s">
        <v>2361</v>
      </c>
      <c r="S1953" t="s">
        <v>2359</v>
      </c>
      <c r="T1953">
        <f t="shared" ca="1" si="123"/>
        <v>68</v>
      </c>
      <c r="U1953">
        <f>VLOOKUP($A1953,'Medical Examination'!$A:$Z,2,FALSE)</f>
        <v>32.700000000000003</v>
      </c>
    </row>
    <row r="1954" spans="1:21" ht="15.5" x14ac:dyDescent="0.35">
      <c r="A1954" s="2" t="s">
        <v>1954</v>
      </c>
      <c r="B1954" s="2" t="s">
        <v>5024</v>
      </c>
      <c r="C1954">
        <v>17.75</v>
      </c>
      <c r="D1954">
        <v>6.8</v>
      </c>
      <c r="E1954" t="s">
        <v>2346</v>
      </c>
      <c r="F1954" t="s">
        <v>2344</v>
      </c>
      <c r="G1954" t="s">
        <v>2344</v>
      </c>
      <c r="H1954">
        <v>1</v>
      </c>
      <c r="I1954" t="s">
        <v>2344</v>
      </c>
      <c r="J1954" t="str">
        <f t="shared" si="121"/>
        <v>Under Weight</v>
      </c>
      <c r="K1954" t="str">
        <f t="shared" si="124"/>
        <v>Diabetes</v>
      </c>
      <c r="L1954">
        <v>17</v>
      </c>
      <c r="M1954" t="s">
        <v>2362</v>
      </c>
      <c r="N1954">
        <v>2002</v>
      </c>
      <c r="O1954" s="8">
        <f t="shared" si="122"/>
        <v>37424</v>
      </c>
      <c r="P1954" s="10">
        <v>26927.69</v>
      </c>
      <c r="Q1954" t="s">
        <v>2357</v>
      </c>
      <c r="R1954" t="s">
        <v>2357</v>
      </c>
      <c r="S1954" t="s">
        <v>2368</v>
      </c>
      <c r="T1954">
        <f t="shared" ca="1" si="123"/>
        <v>24</v>
      </c>
      <c r="U1954">
        <f>VLOOKUP($A1954,'Medical Examination'!$A:$Z,2,FALSE)</f>
        <v>17.75</v>
      </c>
    </row>
    <row r="1955" spans="1:21" ht="15.5" x14ac:dyDescent="0.35">
      <c r="A1955" s="2" t="s">
        <v>1955</v>
      </c>
      <c r="B1955" s="2" t="s">
        <v>5026</v>
      </c>
      <c r="C1955">
        <v>33.630000000000003</v>
      </c>
      <c r="D1955">
        <v>4.47</v>
      </c>
      <c r="E1955" t="s">
        <v>2346</v>
      </c>
      <c r="F1955" t="s">
        <v>2344</v>
      </c>
      <c r="G1955" t="s">
        <v>2344</v>
      </c>
      <c r="H1955">
        <v>0</v>
      </c>
      <c r="I1955" t="s">
        <v>2344</v>
      </c>
      <c r="J1955" t="str">
        <f t="shared" si="121"/>
        <v>Obesity</v>
      </c>
      <c r="K1955" t="str">
        <f t="shared" si="124"/>
        <v>Normal</v>
      </c>
      <c r="L1955">
        <v>9</v>
      </c>
      <c r="M1955" t="s">
        <v>2360</v>
      </c>
      <c r="N1955">
        <v>2000</v>
      </c>
      <c r="O1955" s="8">
        <f t="shared" si="122"/>
        <v>36839</v>
      </c>
      <c r="P1955" s="10">
        <v>26936.98</v>
      </c>
      <c r="Q1955" t="s">
        <v>2357</v>
      </c>
      <c r="R1955" t="s">
        <v>2358</v>
      </c>
      <c r="S1955" t="s">
        <v>2368</v>
      </c>
      <c r="T1955">
        <f t="shared" ca="1" si="123"/>
        <v>26</v>
      </c>
      <c r="U1955">
        <f>VLOOKUP($A1955,'Medical Examination'!$A:$Z,2,FALSE)</f>
        <v>33.630000000000003</v>
      </c>
    </row>
    <row r="1956" spans="1:21" ht="15.5" x14ac:dyDescent="0.35">
      <c r="A1956" s="2" t="s">
        <v>1956</v>
      </c>
      <c r="B1956" s="2" t="s">
        <v>5027</v>
      </c>
      <c r="C1956">
        <v>34.799999999999997</v>
      </c>
      <c r="D1956">
        <v>4.08</v>
      </c>
      <c r="E1956" t="s">
        <v>2346</v>
      </c>
      <c r="F1956" t="s">
        <v>2344</v>
      </c>
      <c r="G1956" t="s">
        <v>2344</v>
      </c>
      <c r="H1956">
        <v>1</v>
      </c>
      <c r="I1956" t="s">
        <v>2344</v>
      </c>
      <c r="J1956" t="str">
        <f t="shared" si="121"/>
        <v>Obesity</v>
      </c>
      <c r="K1956" t="str">
        <f t="shared" si="124"/>
        <v>Normal</v>
      </c>
      <c r="L1956">
        <v>9</v>
      </c>
      <c r="M1956" t="s">
        <v>2356</v>
      </c>
      <c r="N1956">
        <v>1960</v>
      </c>
      <c r="O1956" s="8">
        <f t="shared" si="122"/>
        <v>22106</v>
      </c>
      <c r="P1956" s="10">
        <v>27000.98</v>
      </c>
      <c r="Q1956" t="s">
        <v>2357</v>
      </c>
      <c r="R1956" t="s">
        <v>2357</v>
      </c>
      <c r="S1956" t="s">
        <v>2359</v>
      </c>
      <c r="T1956">
        <f t="shared" ca="1" si="123"/>
        <v>66</v>
      </c>
      <c r="U1956">
        <f>VLOOKUP($A1956,'Medical Examination'!$A:$Z,2,FALSE)</f>
        <v>34.799999999999997</v>
      </c>
    </row>
    <row r="1957" spans="1:21" ht="15.5" x14ac:dyDescent="0.35">
      <c r="A1957" s="2" t="s">
        <v>1957</v>
      </c>
      <c r="B1957" s="2" t="s">
        <v>5028</v>
      </c>
      <c r="C1957">
        <v>16.809999999999999</v>
      </c>
      <c r="D1957">
        <v>5.51</v>
      </c>
      <c r="E1957" t="s">
        <v>2346</v>
      </c>
      <c r="F1957" t="s">
        <v>2344</v>
      </c>
      <c r="G1957" t="s">
        <v>2344</v>
      </c>
      <c r="H1957">
        <v>1</v>
      </c>
      <c r="I1957" t="s">
        <v>2344</v>
      </c>
      <c r="J1957" t="str">
        <f t="shared" si="121"/>
        <v>Under Weight</v>
      </c>
      <c r="K1957" t="str">
        <f t="shared" si="124"/>
        <v>Normal</v>
      </c>
      <c r="L1957">
        <v>30</v>
      </c>
      <c r="M1957" t="s">
        <v>2362</v>
      </c>
      <c r="N1957">
        <v>1958</v>
      </c>
      <c r="O1957" s="8">
        <f t="shared" si="122"/>
        <v>21366</v>
      </c>
      <c r="P1957" s="10">
        <v>27037.91</v>
      </c>
      <c r="Q1957" t="s">
        <v>2357</v>
      </c>
      <c r="R1957" t="s">
        <v>2357</v>
      </c>
      <c r="S1957" t="s">
        <v>2359</v>
      </c>
      <c r="T1957">
        <f t="shared" ca="1" si="123"/>
        <v>68</v>
      </c>
      <c r="U1957">
        <f>VLOOKUP($A1957,'Medical Examination'!$A:$Z,2,FALSE)</f>
        <v>16.809999999999999</v>
      </c>
    </row>
    <row r="1958" spans="1:21" ht="15.5" x14ac:dyDescent="0.35">
      <c r="A1958" s="2" t="s">
        <v>1958</v>
      </c>
      <c r="B1958" s="2" t="s">
        <v>5030</v>
      </c>
      <c r="C1958">
        <v>16.690000000000001</v>
      </c>
      <c r="D1958">
        <v>8.4</v>
      </c>
      <c r="E1958" t="s">
        <v>2346</v>
      </c>
      <c r="F1958" t="s">
        <v>2344</v>
      </c>
      <c r="G1958" t="s">
        <v>2344</v>
      </c>
      <c r="H1958">
        <v>0</v>
      </c>
      <c r="I1958" t="s">
        <v>2344</v>
      </c>
      <c r="J1958" t="str">
        <f t="shared" si="121"/>
        <v>Under Weight</v>
      </c>
      <c r="K1958" t="str">
        <f t="shared" si="124"/>
        <v>Diabetes</v>
      </c>
      <c r="L1958">
        <v>2</v>
      </c>
      <c r="M1958" t="s">
        <v>2356</v>
      </c>
      <c r="N1958">
        <v>1994</v>
      </c>
      <c r="O1958" s="8">
        <f t="shared" si="122"/>
        <v>34517</v>
      </c>
      <c r="P1958" s="10">
        <v>27080.639999999999</v>
      </c>
      <c r="Q1958" t="s">
        <v>2357</v>
      </c>
      <c r="R1958" t="s">
        <v>2357</v>
      </c>
      <c r="S1958" t="s">
        <v>2368</v>
      </c>
      <c r="T1958">
        <f t="shared" ca="1" si="123"/>
        <v>32</v>
      </c>
      <c r="U1958">
        <f>VLOOKUP($A1958,'Medical Examination'!$A:$Z,2,FALSE)</f>
        <v>16.690000000000001</v>
      </c>
    </row>
    <row r="1959" spans="1:21" ht="15.5" x14ac:dyDescent="0.35">
      <c r="A1959" s="2" t="s">
        <v>1959</v>
      </c>
      <c r="B1959" s="2" t="s">
        <v>3011</v>
      </c>
      <c r="C1959">
        <v>23.21</v>
      </c>
      <c r="D1959">
        <v>5.14</v>
      </c>
      <c r="E1959" t="s">
        <v>2346</v>
      </c>
      <c r="F1959" t="s">
        <v>2344</v>
      </c>
      <c r="G1959" t="s">
        <v>2344</v>
      </c>
      <c r="H1959">
        <v>1</v>
      </c>
      <c r="I1959" t="s">
        <v>2344</v>
      </c>
      <c r="J1959" t="str">
        <f t="shared" si="121"/>
        <v>Normal Weight</v>
      </c>
      <c r="K1959" t="str">
        <f t="shared" si="124"/>
        <v>Normal</v>
      </c>
      <c r="L1959">
        <v>13</v>
      </c>
      <c r="M1959" t="s">
        <v>2365</v>
      </c>
      <c r="N1959">
        <v>1990</v>
      </c>
      <c r="O1959" s="8">
        <f t="shared" si="122"/>
        <v>33220</v>
      </c>
      <c r="P1959" s="10">
        <v>27092.38</v>
      </c>
      <c r="Q1959" t="s">
        <v>2357</v>
      </c>
      <c r="R1959" t="s">
        <v>2358</v>
      </c>
      <c r="S1959" t="s">
        <v>2368</v>
      </c>
      <c r="T1959">
        <f t="shared" ca="1" si="123"/>
        <v>36</v>
      </c>
      <c r="U1959">
        <f>VLOOKUP($A1959,'Medical Examination'!$A:$Z,2,FALSE)</f>
        <v>23.21</v>
      </c>
    </row>
    <row r="1960" spans="1:21" ht="15.5" x14ac:dyDescent="0.35">
      <c r="A1960" s="2" t="s">
        <v>1960</v>
      </c>
      <c r="B1960" s="2" t="s">
        <v>5032</v>
      </c>
      <c r="C1960">
        <v>25.175000000000001</v>
      </c>
      <c r="D1960">
        <v>5.21</v>
      </c>
      <c r="E1960" t="s">
        <v>2346</v>
      </c>
      <c r="F1960" t="s">
        <v>2344</v>
      </c>
      <c r="G1960" t="s">
        <v>2344</v>
      </c>
      <c r="H1960">
        <v>1</v>
      </c>
      <c r="I1960" t="s">
        <v>2344</v>
      </c>
      <c r="J1960" t="str">
        <f t="shared" si="121"/>
        <v>Over weight</v>
      </c>
      <c r="K1960" t="str">
        <f t="shared" si="124"/>
        <v>Normal</v>
      </c>
      <c r="L1960">
        <v>2</v>
      </c>
      <c r="M1960" t="s">
        <v>2367</v>
      </c>
      <c r="N1960">
        <v>1970</v>
      </c>
      <c r="O1960" s="8">
        <f t="shared" si="122"/>
        <v>25843</v>
      </c>
      <c r="P1960" s="10">
        <v>27117.99</v>
      </c>
      <c r="Q1960" t="s">
        <v>2357</v>
      </c>
      <c r="R1960" t="s">
        <v>2357</v>
      </c>
      <c r="S1960" t="s">
        <v>2359</v>
      </c>
      <c r="T1960">
        <f t="shared" ca="1" si="123"/>
        <v>56</v>
      </c>
      <c r="U1960">
        <f>VLOOKUP($A1960,'Medical Examination'!$A:$Z,2,FALSE)</f>
        <v>25.175000000000001</v>
      </c>
    </row>
    <row r="1961" spans="1:21" ht="15.5" x14ac:dyDescent="0.35">
      <c r="A1961" s="2" t="s">
        <v>1961</v>
      </c>
      <c r="B1961" s="2" t="s">
        <v>3239</v>
      </c>
      <c r="C1961">
        <v>34.770000000000003</v>
      </c>
      <c r="D1961">
        <v>6.23</v>
      </c>
      <c r="E1961" t="s">
        <v>2344</v>
      </c>
      <c r="F1961" t="s">
        <v>2344</v>
      </c>
      <c r="G1961" t="s">
        <v>2344</v>
      </c>
      <c r="H1961">
        <v>0</v>
      </c>
      <c r="I1961" t="s">
        <v>2344</v>
      </c>
      <c r="J1961" t="str">
        <f t="shared" si="121"/>
        <v>Obesity</v>
      </c>
      <c r="K1961" t="str">
        <f t="shared" si="124"/>
        <v>Prediabetes</v>
      </c>
      <c r="L1961">
        <v>21</v>
      </c>
      <c r="M1961" t="s">
        <v>2365</v>
      </c>
      <c r="N1961">
        <v>1965</v>
      </c>
      <c r="O1961" s="8">
        <f t="shared" si="122"/>
        <v>24097</v>
      </c>
      <c r="P1961" s="10">
        <v>27218.44</v>
      </c>
      <c r="Q1961" t="s">
        <v>2357</v>
      </c>
      <c r="R1961" t="s">
        <v>2361</v>
      </c>
      <c r="S1961" t="s">
        <v>2378</v>
      </c>
      <c r="T1961">
        <f t="shared" ca="1" si="123"/>
        <v>61</v>
      </c>
      <c r="U1961">
        <f>VLOOKUP($A1961,'Medical Examination'!$A:$Z,2,FALSE)</f>
        <v>34.770000000000003</v>
      </c>
    </row>
    <row r="1962" spans="1:21" ht="15.5" x14ac:dyDescent="0.35">
      <c r="A1962" s="2" t="s">
        <v>1962</v>
      </c>
      <c r="B1962" s="2" t="s">
        <v>5033</v>
      </c>
      <c r="C1962">
        <v>27.7</v>
      </c>
      <c r="D1962">
        <v>5.6</v>
      </c>
      <c r="E1962" t="s">
        <v>2344</v>
      </c>
      <c r="F1962" t="s">
        <v>2344</v>
      </c>
      <c r="G1962" t="s">
        <v>2344</v>
      </c>
      <c r="H1962">
        <v>1</v>
      </c>
      <c r="I1962" t="s">
        <v>2344</v>
      </c>
      <c r="J1962" t="str">
        <f t="shared" si="121"/>
        <v>Over weight</v>
      </c>
      <c r="K1962" t="str">
        <f t="shared" si="124"/>
        <v>Normal</v>
      </c>
      <c r="L1962">
        <v>2</v>
      </c>
      <c r="M1962" t="s">
        <v>2365</v>
      </c>
      <c r="N1962">
        <v>1999</v>
      </c>
      <c r="O1962" s="8">
        <f t="shared" si="122"/>
        <v>36496</v>
      </c>
      <c r="P1962" s="10">
        <v>27236.959999999999</v>
      </c>
      <c r="Q1962" t="s">
        <v>2357</v>
      </c>
      <c r="R1962" t="s">
        <v>2361</v>
      </c>
      <c r="S1962" t="s">
        <v>2368</v>
      </c>
      <c r="T1962">
        <f t="shared" ca="1" si="123"/>
        <v>27</v>
      </c>
      <c r="U1962">
        <f>VLOOKUP($A1962,'Medical Examination'!$A:$Z,2,FALSE)</f>
        <v>27.7</v>
      </c>
    </row>
    <row r="1963" spans="1:21" ht="15.5" x14ac:dyDescent="0.35">
      <c r="A1963" s="2" t="s">
        <v>1963</v>
      </c>
      <c r="B1963" s="2" t="s">
        <v>4838</v>
      </c>
      <c r="C1963">
        <v>19.12</v>
      </c>
      <c r="D1963">
        <v>4.72</v>
      </c>
      <c r="E1963" t="s">
        <v>2346</v>
      </c>
      <c r="F1963" t="s">
        <v>2344</v>
      </c>
      <c r="G1963" t="s">
        <v>2344</v>
      </c>
      <c r="H1963">
        <v>1</v>
      </c>
      <c r="I1963" t="s">
        <v>2344</v>
      </c>
      <c r="J1963" t="str">
        <f t="shared" si="121"/>
        <v>Normal Weight</v>
      </c>
      <c r="K1963" t="str">
        <f t="shared" si="124"/>
        <v>Normal</v>
      </c>
      <c r="L1963">
        <v>6</v>
      </c>
      <c r="M1963" t="s">
        <v>2362</v>
      </c>
      <c r="N1963">
        <v>1968</v>
      </c>
      <c r="O1963" s="8">
        <f t="shared" si="122"/>
        <v>24995</v>
      </c>
      <c r="P1963" s="10">
        <v>27322.73</v>
      </c>
      <c r="Q1963" t="s">
        <v>2357</v>
      </c>
      <c r="R1963" t="s">
        <v>2357</v>
      </c>
      <c r="S1963" t="s">
        <v>2359</v>
      </c>
      <c r="T1963">
        <f t="shared" ca="1" si="123"/>
        <v>58</v>
      </c>
      <c r="U1963">
        <f>VLOOKUP($A1963,'Medical Examination'!$A:$Z,2,FALSE)</f>
        <v>19.12</v>
      </c>
    </row>
    <row r="1964" spans="1:21" ht="15.5" x14ac:dyDescent="0.35">
      <c r="A1964" s="2" t="s">
        <v>1964</v>
      </c>
      <c r="B1964" s="2" t="s">
        <v>5035</v>
      </c>
      <c r="C1964">
        <v>32.67</v>
      </c>
      <c r="D1964">
        <v>4.67</v>
      </c>
      <c r="E1964" t="s">
        <v>2344</v>
      </c>
      <c r="F1964" t="s">
        <v>2344</v>
      </c>
      <c r="G1964" t="s">
        <v>2346</v>
      </c>
      <c r="H1964">
        <v>1</v>
      </c>
      <c r="I1964" t="s">
        <v>2344</v>
      </c>
      <c r="J1964" t="str">
        <f t="shared" si="121"/>
        <v>Obesity</v>
      </c>
      <c r="K1964" t="str">
        <f t="shared" si="124"/>
        <v>Normal</v>
      </c>
      <c r="L1964">
        <v>16</v>
      </c>
      <c r="M1964" t="s">
        <v>2367</v>
      </c>
      <c r="N1964">
        <v>1969</v>
      </c>
      <c r="O1964" s="8">
        <f t="shared" si="122"/>
        <v>25492</v>
      </c>
      <c r="P1964" s="10">
        <v>27346.04</v>
      </c>
      <c r="Q1964" t="s">
        <v>2357</v>
      </c>
      <c r="R1964" t="s">
        <v>2357</v>
      </c>
      <c r="S1964" t="s">
        <v>2359</v>
      </c>
      <c r="T1964">
        <f t="shared" ca="1" si="123"/>
        <v>57</v>
      </c>
      <c r="U1964">
        <f>VLOOKUP($A1964,'Medical Examination'!$A:$Z,2,FALSE)</f>
        <v>32.67</v>
      </c>
    </row>
    <row r="1965" spans="1:21" ht="15.5" x14ac:dyDescent="0.35">
      <c r="A1965" s="2" t="s">
        <v>1965</v>
      </c>
      <c r="B1965" s="2" t="s">
        <v>2960</v>
      </c>
      <c r="C1965">
        <v>28.5</v>
      </c>
      <c r="D1965">
        <v>6.11</v>
      </c>
      <c r="E1965" t="s">
        <v>2344</v>
      </c>
      <c r="F1965" t="s">
        <v>2344</v>
      </c>
      <c r="G1965" t="s">
        <v>2344</v>
      </c>
      <c r="H1965">
        <v>1</v>
      </c>
      <c r="I1965" t="s">
        <v>2344</v>
      </c>
      <c r="J1965" t="str">
        <f t="shared" si="121"/>
        <v>Over weight</v>
      </c>
      <c r="K1965" t="str">
        <f t="shared" si="124"/>
        <v>Prediabetes</v>
      </c>
      <c r="L1965">
        <v>15</v>
      </c>
      <c r="M1965" t="s">
        <v>2363</v>
      </c>
      <c r="N1965">
        <v>1988</v>
      </c>
      <c r="O1965" s="8">
        <f t="shared" si="122"/>
        <v>32401</v>
      </c>
      <c r="P1965" s="10">
        <v>27375.9</v>
      </c>
      <c r="Q1965" t="s">
        <v>2357</v>
      </c>
      <c r="R1965" t="s">
        <v>2358</v>
      </c>
      <c r="S1965" t="s">
        <v>2369</v>
      </c>
      <c r="T1965">
        <f t="shared" ca="1" si="123"/>
        <v>38</v>
      </c>
      <c r="U1965">
        <f>VLOOKUP($A1965,'Medical Examination'!$A:$Z,2,FALSE)</f>
        <v>28.5</v>
      </c>
    </row>
    <row r="1966" spans="1:21" ht="15.5" x14ac:dyDescent="0.35">
      <c r="A1966" s="2" t="s">
        <v>1966</v>
      </c>
      <c r="B1966" s="2" t="s">
        <v>5037</v>
      </c>
      <c r="C1966">
        <v>39.270000000000003</v>
      </c>
      <c r="D1966">
        <v>6.25</v>
      </c>
      <c r="E1966" t="s">
        <v>2344</v>
      </c>
      <c r="F1966" t="s">
        <v>2344</v>
      </c>
      <c r="G1966" t="s">
        <v>2344</v>
      </c>
      <c r="H1966">
        <v>0</v>
      </c>
      <c r="I1966" t="s">
        <v>2344</v>
      </c>
      <c r="J1966" t="str">
        <f t="shared" si="121"/>
        <v>Obesity</v>
      </c>
      <c r="K1966" t="str">
        <f t="shared" si="124"/>
        <v>Prediabetes</v>
      </c>
      <c r="L1966">
        <v>5</v>
      </c>
      <c r="M1966" t="s">
        <v>2365</v>
      </c>
      <c r="N1966">
        <v>1985</v>
      </c>
      <c r="O1966" s="8">
        <f t="shared" si="122"/>
        <v>31386</v>
      </c>
      <c r="P1966" s="10">
        <v>27432.73</v>
      </c>
      <c r="Q1966" t="s">
        <v>2357</v>
      </c>
      <c r="R1966" t="s">
        <v>2361</v>
      </c>
      <c r="S1966" t="s">
        <v>2368</v>
      </c>
      <c r="T1966">
        <f t="shared" ca="1" si="123"/>
        <v>41</v>
      </c>
      <c r="U1966">
        <f>VLOOKUP($A1966,'Medical Examination'!$A:$Z,2,FALSE)</f>
        <v>39.270000000000003</v>
      </c>
    </row>
    <row r="1967" spans="1:21" ht="15.5" x14ac:dyDescent="0.35">
      <c r="A1967" s="2" t="s">
        <v>1967</v>
      </c>
      <c r="B1967" s="2" t="s">
        <v>2514</v>
      </c>
      <c r="C1967">
        <v>32.49</v>
      </c>
      <c r="D1967" t="s">
        <v>2346</v>
      </c>
      <c r="E1967" t="s">
        <v>2346</v>
      </c>
      <c r="F1967" t="s">
        <v>2344</v>
      </c>
      <c r="G1967" t="s">
        <v>2344</v>
      </c>
      <c r="H1967">
        <v>0</v>
      </c>
      <c r="I1967" t="s">
        <v>2344</v>
      </c>
      <c r="J1967" t="str">
        <f t="shared" si="121"/>
        <v>Obesity</v>
      </c>
      <c r="K1967" t="str">
        <f t="shared" si="124"/>
        <v>Diabetes</v>
      </c>
      <c r="L1967">
        <v>3</v>
      </c>
      <c r="M1967" t="s">
        <v>2367</v>
      </c>
      <c r="N1967">
        <v>1981</v>
      </c>
      <c r="O1967" s="8">
        <f t="shared" si="122"/>
        <v>29862</v>
      </c>
      <c r="P1967" s="10">
        <v>27495.59</v>
      </c>
      <c r="Q1967" t="s">
        <v>2357</v>
      </c>
      <c r="R1967" t="s">
        <v>2361</v>
      </c>
      <c r="S1967" t="s">
        <v>2368</v>
      </c>
      <c r="T1967">
        <f t="shared" ca="1" si="123"/>
        <v>45</v>
      </c>
      <c r="U1967">
        <f>VLOOKUP($A1967,'Medical Examination'!$A:$Z,2,FALSE)</f>
        <v>32.49</v>
      </c>
    </row>
    <row r="1968" spans="1:21" ht="15.5" x14ac:dyDescent="0.35">
      <c r="A1968" s="2" t="s">
        <v>1968</v>
      </c>
      <c r="B1968" s="2" t="s">
        <v>5039</v>
      </c>
      <c r="C1968">
        <v>23.7</v>
      </c>
      <c r="D1968">
        <v>5.55</v>
      </c>
      <c r="E1968" t="s">
        <v>2346</v>
      </c>
      <c r="F1968" t="s">
        <v>2344</v>
      </c>
      <c r="G1968" t="s">
        <v>2344</v>
      </c>
      <c r="H1968">
        <v>0</v>
      </c>
      <c r="I1968" t="s">
        <v>2344</v>
      </c>
      <c r="J1968" t="str">
        <f t="shared" si="121"/>
        <v>Normal Weight</v>
      </c>
      <c r="K1968" t="str">
        <f t="shared" si="124"/>
        <v>Normal</v>
      </c>
      <c r="L1968">
        <v>19</v>
      </c>
      <c r="M1968" t="s">
        <v>2367</v>
      </c>
      <c r="N1968">
        <v>1965</v>
      </c>
      <c r="O1968" s="8">
        <f t="shared" si="122"/>
        <v>24034</v>
      </c>
      <c r="P1968" s="10">
        <v>27533.91</v>
      </c>
      <c r="Q1968" t="s">
        <v>2357</v>
      </c>
      <c r="R1968" t="s">
        <v>2358</v>
      </c>
      <c r="S1968" t="s">
        <v>2359</v>
      </c>
      <c r="T1968">
        <f t="shared" ca="1" si="123"/>
        <v>61</v>
      </c>
      <c r="U1968">
        <f>VLOOKUP($A1968,'Medical Examination'!$A:$Z,2,FALSE)</f>
        <v>23.7</v>
      </c>
    </row>
    <row r="1969" spans="1:21" ht="15.5" x14ac:dyDescent="0.35">
      <c r="A1969" s="2" t="s">
        <v>1969</v>
      </c>
      <c r="B1969" s="2" t="s">
        <v>4367</v>
      </c>
      <c r="C1969">
        <v>30.4</v>
      </c>
      <c r="D1969">
        <v>5.95</v>
      </c>
      <c r="E1969" t="s">
        <v>2344</v>
      </c>
      <c r="F1969" t="s">
        <v>2345</v>
      </c>
      <c r="G1969" t="s">
        <v>2344</v>
      </c>
      <c r="H1969">
        <v>1</v>
      </c>
      <c r="I1969" t="s">
        <v>2344</v>
      </c>
      <c r="J1969" t="str">
        <f t="shared" si="121"/>
        <v>Obesity</v>
      </c>
      <c r="K1969" t="str">
        <f t="shared" si="124"/>
        <v>Prediabetes</v>
      </c>
      <c r="L1969">
        <v>22</v>
      </c>
      <c r="M1969" t="s">
        <v>2356</v>
      </c>
      <c r="N1969">
        <v>1984</v>
      </c>
      <c r="O1969" s="8">
        <f t="shared" si="122"/>
        <v>30885</v>
      </c>
      <c r="P1969" s="10">
        <v>27534.53</v>
      </c>
      <c r="Q1969" t="s">
        <v>2357</v>
      </c>
      <c r="R1969" t="s">
        <v>2357</v>
      </c>
      <c r="S1969" t="s">
        <v>2368</v>
      </c>
      <c r="T1969">
        <f t="shared" ca="1" si="123"/>
        <v>42</v>
      </c>
      <c r="U1969">
        <f>VLOOKUP($A1969,'Medical Examination'!$A:$Z,2,FALSE)</f>
        <v>30.4</v>
      </c>
    </row>
    <row r="1970" spans="1:21" ht="15.5" x14ac:dyDescent="0.35">
      <c r="A1970" s="2" t="s">
        <v>1970</v>
      </c>
      <c r="B1970" s="2" t="s">
        <v>4060</v>
      </c>
      <c r="C1970">
        <v>38.94</v>
      </c>
      <c r="D1970">
        <v>4.3600000000000003</v>
      </c>
      <c r="E1970" t="s">
        <v>2344</v>
      </c>
      <c r="F1970" t="s">
        <v>2344</v>
      </c>
      <c r="G1970" t="s">
        <v>2346</v>
      </c>
      <c r="H1970">
        <v>1</v>
      </c>
      <c r="I1970" t="s">
        <v>2344</v>
      </c>
      <c r="J1970" t="str">
        <f t="shared" si="121"/>
        <v>Obesity</v>
      </c>
      <c r="K1970" t="str">
        <f t="shared" si="124"/>
        <v>Normal</v>
      </c>
      <c r="L1970">
        <v>6</v>
      </c>
      <c r="M1970" t="s">
        <v>2360</v>
      </c>
      <c r="N1970">
        <v>1985</v>
      </c>
      <c r="O1970" s="8">
        <f t="shared" si="122"/>
        <v>31357</v>
      </c>
      <c r="P1970" s="10">
        <v>27598.93</v>
      </c>
      <c r="Q1970" t="s">
        <v>2357</v>
      </c>
      <c r="R1970" t="s">
        <v>2361</v>
      </c>
      <c r="S1970" t="s">
        <v>2368</v>
      </c>
      <c r="T1970">
        <f t="shared" ca="1" si="123"/>
        <v>41</v>
      </c>
      <c r="U1970">
        <f>VLOOKUP($A1970,'Medical Examination'!$A:$Z,2,FALSE)</f>
        <v>38.94</v>
      </c>
    </row>
    <row r="1971" spans="1:21" ht="15.5" x14ac:dyDescent="0.35">
      <c r="A1971" s="2" t="s">
        <v>1971</v>
      </c>
      <c r="B1971" s="2" t="s">
        <v>5040</v>
      </c>
      <c r="C1971">
        <v>31.02</v>
      </c>
      <c r="D1971">
        <v>4.84</v>
      </c>
      <c r="E1971" t="s">
        <v>2344</v>
      </c>
      <c r="F1971" t="s">
        <v>2344</v>
      </c>
      <c r="G1971" t="s">
        <v>2346</v>
      </c>
      <c r="H1971">
        <v>1</v>
      </c>
      <c r="I1971" t="s">
        <v>2344</v>
      </c>
      <c r="J1971" t="str">
        <f t="shared" si="121"/>
        <v>Obesity</v>
      </c>
      <c r="K1971" t="str">
        <f t="shared" si="124"/>
        <v>Normal</v>
      </c>
      <c r="L1971">
        <v>11</v>
      </c>
      <c r="M1971" t="s">
        <v>2362</v>
      </c>
      <c r="N1971">
        <v>1992</v>
      </c>
      <c r="O1971" s="8">
        <f t="shared" si="122"/>
        <v>33766</v>
      </c>
      <c r="P1971" s="10">
        <v>27614.71</v>
      </c>
      <c r="Q1971" t="s">
        <v>2357</v>
      </c>
      <c r="R1971" t="s">
        <v>2358</v>
      </c>
      <c r="S1971" t="s">
        <v>2368</v>
      </c>
      <c r="T1971">
        <f t="shared" ca="1" si="123"/>
        <v>34</v>
      </c>
      <c r="U1971">
        <f>VLOOKUP($A1971,'Medical Examination'!$A:$Z,2,FALSE)</f>
        <v>31.02</v>
      </c>
    </row>
    <row r="1972" spans="1:21" ht="15.5" x14ac:dyDescent="0.35">
      <c r="A1972" s="2" t="s">
        <v>1972</v>
      </c>
      <c r="B1972" s="2" t="s">
        <v>5042</v>
      </c>
      <c r="C1972">
        <v>17.5</v>
      </c>
      <c r="D1972">
        <v>4.5599999999999996</v>
      </c>
      <c r="E1972" t="s">
        <v>2344</v>
      </c>
      <c r="F1972" t="s">
        <v>2344</v>
      </c>
      <c r="G1972" t="s">
        <v>2344</v>
      </c>
      <c r="H1972">
        <v>1</v>
      </c>
      <c r="I1972" t="s">
        <v>2344</v>
      </c>
      <c r="J1972" t="str">
        <f t="shared" si="121"/>
        <v>Under Weight</v>
      </c>
      <c r="K1972" t="str">
        <f t="shared" si="124"/>
        <v>Normal</v>
      </c>
      <c r="L1972">
        <v>9</v>
      </c>
      <c r="M1972" t="s">
        <v>2363</v>
      </c>
      <c r="N1972">
        <v>1997</v>
      </c>
      <c r="O1972" s="8">
        <f t="shared" si="122"/>
        <v>35682</v>
      </c>
      <c r="P1972" s="10">
        <v>27619.360000000001</v>
      </c>
      <c r="Q1972" t="s">
        <v>2357</v>
      </c>
      <c r="R1972" t="s">
        <v>2358</v>
      </c>
      <c r="S1972" t="s">
        <v>2368</v>
      </c>
      <c r="T1972">
        <f t="shared" ca="1" si="123"/>
        <v>29</v>
      </c>
      <c r="U1972">
        <f>VLOOKUP($A1972,'Medical Examination'!$A:$Z,2,FALSE)</f>
        <v>17.5</v>
      </c>
    </row>
    <row r="1973" spans="1:21" ht="15.5" x14ac:dyDescent="0.35">
      <c r="A1973" s="2" t="s">
        <v>1973</v>
      </c>
      <c r="B1973" s="2" t="s">
        <v>5044</v>
      </c>
      <c r="C1973">
        <v>34.799999999999997</v>
      </c>
      <c r="D1973">
        <v>4.42</v>
      </c>
      <c r="E1973" t="s">
        <v>2346</v>
      </c>
      <c r="F1973" t="s">
        <v>2345</v>
      </c>
      <c r="G1973" t="s">
        <v>2344</v>
      </c>
      <c r="H1973">
        <v>1</v>
      </c>
      <c r="I1973" t="s">
        <v>2344</v>
      </c>
      <c r="J1973" t="str">
        <f t="shared" si="121"/>
        <v>Obesity</v>
      </c>
      <c r="K1973" t="str">
        <f t="shared" si="124"/>
        <v>Normal</v>
      </c>
      <c r="L1973">
        <v>7</v>
      </c>
      <c r="M1973" t="s">
        <v>2367</v>
      </c>
      <c r="N1973">
        <v>1997</v>
      </c>
      <c r="O1973" s="8">
        <f t="shared" si="122"/>
        <v>35710</v>
      </c>
      <c r="P1973" s="10">
        <v>27625.17</v>
      </c>
      <c r="Q1973" t="s">
        <v>2361</v>
      </c>
      <c r="R1973" t="s">
        <v>2361</v>
      </c>
      <c r="S1973" t="s">
        <v>2368</v>
      </c>
      <c r="T1973">
        <f t="shared" ca="1" si="123"/>
        <v>29</v>
      </c>
      <c r="U1973">
        <f>VLOOKUP($A1973,'Medical Examination'!$A:$Z,2,FALSE)</f>
        <v>34.799999999999997</v>
      </c>
    </row>
    <row r="1974" spans="1:21" ht="15.5" x14ac:dyDescent="0.35">
      <c r="A1974" s="2" t="s">
        <v>1974</v>
      </c>
      <c r="B1974" s="2" t="s">
        <v>5045</v>
      </c>
      <c r="C1974">
        <v>17.3</v>
      </c>
      <c r="D1974">
        <v>7.66</v>
      </c>
      <c r="E1974" t="s">
        <v>2346</v>
      </c>
      <c r="F1974" t="s">
        <v>2344</v>
      </c>
      <c r="G1974" t="s">
        <v>2344</v>
      </c>
      <c r="H1974">
        <v>1</v>
      </c>
      <c r="I1974" t="s">
        <v>2344</v>
      </c>
      <c r="J1974" t="str">
        <f t="shared" si="121"/>
        <v>Under Weight</v>
      </c>
      <c r="K1974" t="str">
        <f t="shared" si="124"/>
        <v>Diabetes</v>
      </c>
      <c r="L1974">
        <v>3</v>
      </c>
      <c r="M1974" t="s">
        <v>2356</v>
      </c>
      <c r="N1974">
        <v>1992</v>
      </c>
      <c r="O1974" s="8">
        <f t="shared" si="122"/>
        <v>33788</v>
      </c>
      <c r="P1974" s="10">
        <v>27696.11</v>
      </c>
      <c r="Q1974" t="s">
        <v>2361</v>
      </c>
      <c r="R1974" t="s">
        <v>2357</v>
      </c>
      <c r="S1974" t="s">
        <v>2368</v>
      </c>
      <c r="T1974">
        <f t="shared" ca="1" si="123"/>
        <v>34</v>
      </c>
      <c r="U1974">
        <f>VLOOKUP($A1974,'Medical Examination'!$A:$Z,2,FALSE)</f>
        <v>17.3</v>
      </c>
    </row>
    <row r="1975" spans="1:21" ht="15.5" x14ac:dyDescent="0.35">
      <c r="A1975" s="2" t="s">
        <v>1975</v>
      </c>
      <c r="B1975" s="2" t="s">
        <v>5047</v>
      </c>
      <c r="C1975">
        <v>32.25</v>
      </c>
      <c r="D1975">
        <v>5.2</v>
      </c>
      <c r="E1975" t="s">
        <v>2346</v>
      </c>
      <c r="F1975" t="s">
        <v>2344</v>
      </c>
      <c r="G1975" t="s">
        <v>2344</v>
      </c>
      <c r="H1975">
        <v>0</v>
      </c>
      <c r="I1975" t="s">
        <v>2344</v>
      </c>
      <c r="J1975" t="str">
        <f t="shared" si="121"/>
        <v>Obesity</v>
      </c>
      <c r="K1975" t="str">
        <f t="shared" si="124"/>
        <v>Normal</v>
      </c>
      <c r="L1975">
        <v>6</v>
      </c>
      <c r="M1975" t="s">
        <v>2365</v>
      </c>
      <c r="N1975">
        <v>2002</v>
      </c>
      <c r="O1975" s="8">
        <f t="shared" si="122"/>
        <v>37596</v>
      </c>
      <c r="P1975" s="10">
        <v>27724.29</v>
      </c>
      <c r="Q1975" t="s">
        <v>2361</v>
      </c>
      <c r="R1975" t="s">
        <v>2358</v>
      </c>
      <c r="S1975" t="s">
        <v>2359</v>
      </c>
      <c r="T1975">
        <f t="shared" ca="1" si="123"/>
        <v>24</v>
      </c>
      <c r="U1975">
        <f>VLOOKUP($A1975,'Medical Examination'!$A:$Z,2,FALSE)</f>
        <v>32.25</v>
      </c>
    </row>
    <row r="1976" spans="1:21" ht="15.5" x14ac:dyDescent="0.35">
      <c r="A1976" s="2" t="s">
        <v>1976</v>
      </c>
      <c r="B1976" s="2" t="s">
        <v>5048</v>
      </c>
      <c r="C1976">
        <v>42.4</v>
      </c>
      <c r="D1976">
        <v>5.53</v>
      </c>
      <c r="E1976" t="s">
        <v>2346</v>
      </c>
      <c r="F1976" t="s">
        <v>2344</v>
      </c>
      <c r="G1976" t="s">
        <v>2344</v>
      </c>
      <c r="H1976">
        <v>0</v>
      </c>
      <c r="I1976" t="s">
        <v>2344</v>
      </c>
      <c r="J1976" t="str">
        <f t="shared" si="121"/>
        <v>Obesity</v>
      </c>
      <c r="K1976" t="str">
        <f t="shared" si="124"/>
        <v>Normal</v>
      </c>
      <c r="L1976">
        <v>6</v>
      </c>
      <c r="M1976" t="s">
        <v>2356</v>
      </c>
      <c r="N1976">
        <v>1960</v>
      </c>
      <c r="O1976" s="8">
        <f t="shared" si="122"/>
        <v>22103</v>
      </c>
      <c r="P1976" s="10">
        <v>27808.73</v>
      </c>
      <c r="Q1976" t="s">
        <v>2361</v>
      </c>
      <c r="R1976" t="s">
        <v>2361</v>
      </c>
      <c r="S1976" t="s">
        <v>2359</v>
      </c>
      <c r="T1976">
        <f t="shared" ca="1" si="123"/>
        <v>66</v>
      </c>
      <c r="U1976">
        <f>VLOOKUP($A1976,'Medical Examination'!$A:$Z,2,FALSE)</f>
        <v>42.4</v>
      </c>
    </row>
    <row r="1977" spans="1:21" ht="15.5" x14ac:dyDescent="0.35">
      <c r="A1977" s="2" t="s">
        <v>1977</v>
      </c>
      <c r="B1977" s="2" t="s">
        <v>5049</v>
      </c>
      <c r="C1977">
        <v>38.664999999999999</v>
      </c>
      <c r="D1977">
        <v>4.8600000000000003</v>
      </c>
      <c r="E1977" t="s">
        <v>2344</v>
      </c>
      <c r="F1977" t="s">
        <v>2345</v>
      </c>
      <c r="G1977" t="s">
        <v>2344</v>
      </c>
      <c r="H1977">
        <v>1</v>
      </c>
      <c r="I1977" t="s">
        <v>2344</v>
      </c>
      <c r="J1977" t="str">
        <f t="shared" si="121"/>
        <v>Obesity</v>
      </c>
      <c r="K1977" t="str">
        <f t="shared" si="124"/>
        <v>Normal</v>
      </c>
      <c r="L1977">
        <v>4</v>
      </c>
      <c r="M1977" t="s">
        <v>2365</v>
      </c>
      <c r="N1977">
        <v>1985</v>
      </c>
      <c r="O1977" s="8">
        <f t="shared" si="122"/>
        <v>31385</v>
      </c>
      <c r="P1977" s="10">
        <v>27849.94</v>
      </c>
      <c r="Q1977" t="s">
        <v>2361</v>
      </c>
      <c r="R1977" t="s">
        <v>2361</v>
      </c>
      <c r="S1977" t="s">
        <v>2368</v>
      </c>
      <c r="T1977">
        <f t="shared" ca="1" si="123"/>
        <v>41</v>
      </c>
      <c r="U1977">
        <f>VLOOKUP($A1977,'Medical Examination'!$A:$Z,2,FALSE)</f>
        <v>38.664999999999999</v>
      </c>
    </row>
    <row r="1978" spans="1:21" ht="15.5" x14ac:dyDescent="0.35">
      <c r="A1978" s="2" t="s">
        <v>1978</v>
      </c>
      <c r="B1978" s="2" t="s">
        <v>5050</v>
      </c>
      <c r="C1978">
        <v>29.92</v>
      </c>
      <c r="D1978">
        <v>5.49</v>
      </c>
      <c r="E1978" t="s">
        <v>2346</v>
      </c>
      <c r="F1978" t="s">
        <v>2344</v>
      </c>
      <c r="G1978" t="s">
        <v>2344</v>
      </c>
      <c r="H1978">
        <v>0</v>
      </c>
      <c r="I1978" t="s">
        <v>2344</v>
      </c>
      <c r="J1978" t="str">
        <f t="shared" si="121"/>
        <v>Over weight</v>
      </c>
      <c r="K1978" t="str">
        <f t="shared" si="124"/>
        <v>Normal</v>
      </c>
      <c r="L1978">
        <v>21</v>
      </c>
      <c r="M1978" t="s">
        <v>2360</v>
      </c>
      <c r="N1978">
        <v>1989</v>
      </c>
      <c r="O1978" s="8">
        <f t="shared" si="122"/>
        <v>32833</v>
      </c>
      <c r="P1978" s="10">
        <v>27925.86</v>
      </c>
      <c r="Q1978" t="s">
        <v>2361</v>
      </c>
      <c r="R1978" t="s">
        <v>2357</v>
      </c>
      <c r="S1978" t="s">
        <v>2368</v>
      </c>
      <c r="T1978">
        <f t="shared" ca="1" si="123"/>
        <v>37</v>
      </c>
      <c r="U1978">
        <f>VLOOKUP($A1978,'Medical Examination'!$A:$Z,2,FALSE)</f>
        <v>29.92</v>
      </c>
    </row>
    <row r="1979" spans="1:21" ht="15.5" x14ac:dyDescent="0.35">
      <c r="A1979" s="2" t="s">
        <v>1979</v>
      </c>
      <c r="B1979" s="2" t="s">
        <v>2822</v>
      </c>
      <c r="C1979">
        <v>29.48</v>
      </c>
      <c r="D1979">
        <v>4.09</v>
      </c>
      <c r="E1979" t="s">
        <v>2346</v>
      </c>
      <c r="F1979" t="s">
        <v>2344</v>
      </c>
      <c r="G1979" t="s">
        <v>2344</v>
      </c>
      <c r="H1979">
        <v>0</v>
      </c>
      <c r="I1979" t="s">
        <v>2344</v>
      </c>
      <c r="J1979" t="str">
        <f t="shared" si="121"/>
        <v>Over weight</v>
      </c>
      <c r="K1979" t="str">
        <f t="shared" si="124"/>
        <v>Normal</v>
      </c>
      <c r="L1979">
        <v>4</v>
      </c>
      <c r="M1979" t="s">
        <v>2362</v>
      </c>
      <c r="N1979">
        <v>1991</v>
      </c>
      <c r="O1979" s="8">
        <f t="shared" si="122"/>
        <v>33393</v>
      </c>
      <c r="P1979" s="10">
        <v>27931.11</v>
      </c>
      <c r="Q1979" t="s">
        <v>2361</v>
      </c>
      <c r="R1979" t="s">
        <v>2358</v>
      </c>
      <c r="S1979" t="s">
        <v>2368</v>
      </c>
      <c r="T1979">
        <f t="shared" ca="1" si="123"/>
        <v>35</v>
      </c>
      <c r="U1979">
        <f>VLOOKUP($A1979,'Medical Examination'!$A:$Z,2,FALSE)</f>
        <v>29.48</v>
      </c>
    </row>
    <row r="1980" spans="1:21" ht="15.5" x14ac:dyDescent="0.35">
      <c r="A1980" s="2" t="s">
        <v>1980</v>
      </c>
      <c r="B1980" s="2" t="s">
        <v>5051</v>
      </c>
      <c r="C1980">
        <v>28.785</v>
      </c>
      <c r="D1980">
        <v>4.3099999999999996</v>
      </c>
      <c r="E1980" t="s">
        <v>2346</v>
      </c>
      <c r="F1980" t="s">
        <v>2344</v>
      </c>
      <c r="G1980" t="s">
        <v>2344</v>
      </c>
      <c r="H1980">
        <v>0</v>
      </c>
      <c r="I1980" t="s">
        <v>2344</v>
      </c>
      <c r="J1980" t="str">
        <f t="shared" si="121"/>
        <v>Over weight</v>
      </c>
      <c r="K1980" t="str">
        <f t="shared" si="124"/>
        <v>Normal</v>
      </c>
      <c r="L1980">
        <v>28</v>
      </c>
      <c r="M1980" t="s">
        <v>2356</v>
      </c>
      <c r="N1980">
        <v>1961</v>
      </c>
      <c r="O1980" s="8">
        <f t="shared" si="122"/>
        <v>22490</v>
      </c>
      <c r="P1980" s="10">
        <v>27941.29</v>
      </c>
      <c r="Q1980" t="s">
        <v>2361</v>
      </c>
      <c r="R1980" t="s">
        <v>2358</v>
      </c>
      <c r="S1980" t="s">
        <v>2368</v>
      </c>
      <c r="T1980">
        <f t="shared" ca="1" si="123"/>
        <v>65</v>
      </c>
      <c r="U1980">
        <f>VLOOKUP($A1980,'Medical Examination'!$A:$Z,2,FALSE)</f>
        <v>28.785</v>
      </c>
    </row>
    <row r="1981" spans="1:21" ht="15.5" x14ac:dyDescent="0.35">
      <c r="A1981" s="2" t="s">
        <v>1981</v>
      </c>
      <c r="B1981" s="2" t="s">
        <v>5052</v>
      </c>
      <c r="C1981">
        <v>19.8</v>
      </c>
      <c r="D1981" t="s">
        <v>2346</v>
      </c>
      <c r="E1981" t="s">
        <v>2346</v>
      </c>
      <c r="F1981" t="s">
        <v>2344</v>
      </c>
      <c r="G1981" t="s">
        <v>2344</v>
      </c>
      <c r="H1981">
        <v>0</v>
      </c>
      <c r="I1981" t="s">
        <v>2344</v>
      </c>
      <c r="J1981" t="str">
        <f t="shared" si="121"/>
        <v>Normal Weight</v>
      </c>
      <c r="K1981" t="str">
        <f t="shared" si="124"/>
        <v>Diabetes</v>
      </c>
      <c r="L1981">
        <v>21</v>
      </c>
      <c r="M1981" t="s">
        <v>2365</v>
      </c>
      <c r="N1981">
        <v>1999</v>
      </c>
      <c r="O1981" s="8">
        <f t="shared" si="122"/>
        <v>36515</v>
      </c>
      <c r="P1981" s="10">
        <v>27980.77</v>
      </c>
      <c r="Q1981" t="s">
        <v>2361</v>
      </c>
      <c r="R1981" t="s">
        <v>2361</v>
      </c>
      <c r="S1981" t="s">
        <v>2368</v>
      </c>
      <c r="T1981">
        <f t="shared" ca="1" si="123"/>
        <v>27</v>
      </c>
      <c r="U1981">
        <f>VLOOKUP($A1981,'Medical Examination'!$A:$Z,2,FALSE)</f>
        <v>19.8</v>
      </c>
    </row>
    <row r="1982" spans="1:21" ht="15.5" x14ac:dyDescent="0.35">
      <c r="A1982" s="2" t="s">
        <v>1982</v>
      </c>
      <c r="B1982" s="2" t="s">
        <v>5054</v>
      </c>
      <c r="C1982">
        <v>35.53</v>
      </c>
      <c r="D1982">
        <v>4.68</v>
      </c>
      <c r="E1982" t="s">
        <v>2344</v>
      </c>
      <c r="F1982" t="s">
        <v>2344</v>
      </c>
      <c r="G1982" t="s">
        <v>2346</v>
      </c>
      <c r="H1982">
        <v>1</v>
      </c>
      <c r="I1982" t="s">
        <v>2344</v>
      </c>
      <c r="J1982" t="str">
        <f t="shared" si="121"/>
        <v>Obesity</v>
      </c>
      <c r="K1982" t="str">
        <f t="shared" si="124"/>
        <v>Normal</v>
      </c>
      <c r="L1982">
        <v>29</v>
      </c>
      <c r="M1982" t="s">
        <v>2360</v>
      </c>
      <c r="N1982">
        <v>1985</v>
      </c>
      <c r="O1982" s="8">
        <f t="shared" si="122"/>
        <v>31380</v>
      </c>
      <c r="P1982" s="10">
        <v>28006.94</v>
      </c>
      <c r="Q1982" t="s">
        <v>2361</v>
      </c>
      <c r="R1982" t="s">
        <v>2357</v>
      </c>
      <c r="S1982" t="s">
        <v>2368</v>
      </c>
      <c r="T1982">
        <f t="shared" ca="1" si="123"/>
        <v>41</v>
      </c>
      <c r="U1982">
        <f>VLOOKUP($A1982,'Medical Examination'!$A:$Z,2,FALSE)</f>
        <v>35.53</v>
      </c>
    </row>
    <row r="1983" spans="1:21" ht="15.5" x14ac:dyDescent="0.35">
      <c r="A1983" s="2" t="s">
        <v>1983</v>
      </c>
      <c r="B1983" s="2" t="s">
        <v>5055</v>
      </c>
      <c r="C1983">
        <v>21.47</v>
      </c>
      <c r="D1983">
        <v>4.0199999999999996</v>
      </c>
      <c r="E1983" t="s">
        <v>2346</v>
      </c>
      <c r="F1983" t="s">
        <v>2344</v>
      </c>
      <c r="G1983" t="s">
        <v>2344</v>
      </c>
      <c r="H1983">
        <v>1</v>
      </c>
      <c r="I1983" t="s">
        <v>2344</v>
      </c>
      <c r="J1983" t="str">
        <f t="shared" si="121"/>
        <v>Normal Weight</v>
      </c>
      <c r="K1983" t="str">
        <f t="shared" si="124"/>
        <v>Normal</v>
      </c>
      <c r="L1983">
        <v>22</v>
      </c>
      <c r="M1983" t="s">
        <v>2360</v>
      </c>
      <c r="N1983">
        <v>1960</v>
      </c>
      <c r="O1983" s="8">
        <f t="shared" si="122"/>
        <v>22242</v>
      </c>
      <c r="P1983" s="10">
        <v>28101.33</v>
      </c>
      <c r="Q1983" t="s">
        <v>2361</v>
      </c>
      <c r="R1983" t="s">
        <v>2357</v>
      </c>
      <c r="S1983" t="s">
        <v>2370</v>
      </c>
      <c r="T1983">
        <f t="shared" ca="1" si="123"/>
        <v>66</v>
      </c>
      <c r="U1983">
        <f>VLOOKUP($A1983,'Medical Examination'!$A:$Z,2,FALSE)</f>
        <v>21.47</v>
      </c>
    </row>
    <row r="1984" spans="1:21" ht="15.5" x14ac:dyDescent="0.35">
      <c r="A1984" s="2" t="s">
        <v>1984</v>
      </c>
      <c r="B1984" s="2" t="s">
        <v>5056</v>
      </c>
      <c r="C1984">
        <v>25.9</v>
      </c>
      <c r="D1984">
        <v>5.12</v>
      </c>
      <c r="E1984" t="s">
        <v>2344</v>
      </c>
      <c r="F1984" t="s">
        <v>2344</v>
      </c>
      <c r="G1984" t="s">
        <v>2346</v>
      </c>
      <c r="H1984">
        <v>1</v>
      </c>
      <c r="I1984" t="s">
        <v>2344</v>
      </c>
      <c r="J1984" t="str">
        <f t="shared" si="121"/>
        <v>Over weight</v>
      </c>
      <c r="K1984" t="str">
        <f t="shared" si="124"/>
        <v>Normal</v>
      </c>
      <c r="L1984">
        <v>6</v>
      </c>
      <c r="M1984" t="s">
        <v>2363</v>
      </c>
      <c r="N1984">
        <v>1999</v>
      </c>
      <c r="O1984" s="8">
        <f t="shared" si="122"/>
        <v>36409</v>
      </c>
      <c r="P1984" s="10">
        <v>28245.34</v>
      </c>
      <c r="Q1984" t="s">
        <v>2361</v>
      </c>
      <c r="R1984" t="s">
        <v>2358</v>
      </c>
      <c r="S1984" t="s">
        <v>2368</v>
      </c>
      <c r="T1984">
        <f t="shared" ca="1" si="123"/>
        <v>27</v>
      </c>
      <c r="U1984">
        <f>VLOOKUP($A1984,'Medical Examination'!$A:$Z,2,FALSE)</f>
        <v>25.9</v>
      </c>
    </row>
    <row r="1985" spans="1:21" ht="15.5" x14ac:dyDescent="0.35">
      <c r="A1985" s="2" t="s">
        <v>1985</v>
      </c>
      <c r="B1985" s="2" t="s">
        <v>5057</v>
      </c>
      <c r="C1985">
        <v>20.81</v>
      </c>
      <c r="D1985">
        <v>5.52</v>
      </c>
      <c r="E1985" t="s">
        <v>2344</v>
      </c>
      <c r="F1985" t="s">
        <v>2344</v>
      </c>
      <c r="G1985" t="s">
        <v>2344</v>
      </c>
      <c r="H1985">
        <v>0</v>
      </c>
      <c r="I1985" t="s">
        <v>2344</v>
      </c>
      <c r="J1985" t="str">
        <f t="shared" si="121"/>
        <v>Normal Weight</v>
      </c>
      <c r="K1985" t="str">
        <f t="shared" si="124"/>
        <v>Normal</v>
      </c>
      <c r="L1985">
        <v>25</v>
      </c>
      <c r="M1985" t="s">
        <v>2360</v>
      </c>
      <c r="N1985">
        <v>1963</v>
      </c>
      <c r="O1985" s="8">
        <f t="shared" si="122"/>
        <v>23340</v>
      </c>
      <c r="P1985" s="10">
        <v>28287.9</v>
      </c>
      <c r="Q1985" t="s">
        <v>2361</v>
      </c>
      <c r="R1985" t="s">
        <v>2361</v>
      </c>
      <c r="S1985" t="s">
        <v>2359</v>
      </c>
      <c r="T1985">
        <f t="shared" ca="1" si="123"/>
        <v>63</v>
      </c>
      <c r="U1985">
        <f>VLOOKUP($A1985,'Medical Examination'!$A:$Z,2,FALSE)</f>
        <v>20.81</v>
      </c>
    </row>
    <row r="1986" spans="1:21" ht="15.5" x14ac:dyDescent="0.35">
      <c r="A1986" s="2" t="s">
        <v>1986</v>
      </c>
      <c r="B1986" s="2" t="s">
        <v>5059</v>
      </c>
      <c r="C1986">
        <v>25.84</v>
      </c>
      <c r="D1986">
        <v>5.81</v>
      </c>
      <c r="E1986" t="s">
        <v>2346</v>
      </c>
      <c r="F1986" t="s">
        <v>2344</v>
      </c>
      <c r="G1986" t="s">
        <v>2346</v>
      </c>
      <c r="H1986">
        <v>1</v>
      </c>
      <c r="I1986" t="s">
        <v>2344</v>
      </c>
      <c r="J1986" t="str">
        <f t="shared" si="121"/>
        <v>Over weight</v>
      </c>
      <c r="K1986" t="str">
        <f t="shared" si="124"/>
        <v>Prediabetes</v>
      </c>
      <c r="L1986">
        <v>24</v>
      </c>
      <c r="M1986" t="s">
        <v>2365</v>
      </c>
      <c r="N1986">
        <v>1990</v>
      </c>
      <c r="O1986" s="8">
        <f t="shared" si="122"/>
        <v>33231</v>
      </c>
      <c r="P1986" s="10">
        <v>28302.33</v>
      </c>
      <c r="Q1986" t="s">
        <v>2361</v>
      </c>
      <c r="R1986" t="s">
        <v>2357</v>
      </c>
      <c r="S1986" t="s">
        <v>2368</v>
      </c>
      <c r="T1986">
        <f t="shared" ca="1" si="123"/>
        <v>36</v>
      </c>
      <c r="U1986">
        <f>VLOOKUP($A1986,'Medical Examination'!$A:$Z,2,FALSE)</f>
        <v>25.84</v>
      </c>
    </row>
    <row r="1987" spans="1:21" ht="15.5" x14ac:dyDescent="0.35">
      <c r="A1987" s="2" t="s">
        <v>1987</v>
      </c>
      <c r="B1987" s="2" t="s">
        <v>5060</v>
      </c>
      <c r="C1987">
        <v>30.95</v>
      </c>
      <c r="D1987">
        <v>5.16</v>
      </c>
      <c r="E1987" t="s">
        <v>2344</v>
      </c>
      <c r="F1987" t="s">
        <v>2344</v>
      </c>
      <c r="G1987" t="s">
        <v>2346</v>
      </c>
      <c r="H1987">
        <v>1</v>
      </c>
      <c r="I1987" t="s">
        <v>2344</v>
      </c>
      <c r="J1987" t="str">
        <f t="shared" ref="J1987:J2050" si="125">IF(C1987&lt;18.5,"Under Weight",IF(C1987&lt;25,"Normal Weight",IF(C1987&lt;30,"Over weight","Obesity")))</f>
        <v>Obesity</v>
      </c>
      <c r="K1987" t="str">
        <f t="shared" si="124"/>
        <v>Normal</v>
      </c>
      <c r="L1987">
        <v>2</v>
      </c>
      <c r="M1987" t="s">
        <v>2365</v>
      </c>
      <c r="N1987">
        <v>1977</v>
      </c>
      <c r="O1987" s="8">
        <f t="shared" ref="O1987:O2050" si="126">DATE(N1987,MONTH(1&amp;M1987),L1987)</f>
        <v>28461</v>
      </c>
      <c r="P1987" s="10">
        <v>28340.19</v>
      </c>
      <c r="Q1987" t="s">
        <v>2361</v>
      </c>
      <c r="R1987" t="s">
        <v>2357</v>
      </c>
      <c r="S1987" t="s">
        <v>2364</v>
      </c>
      <c r="T1987">
        <f t="shared" ref="T1987:T2050" ca="1" si="127">YEAR(TODAY())-YEAR(O1987)</f>
        <v>49</v>
      </c>
      <c r="U1987">
        <f>VLOOKUP($A1987,'Medical Examination'!$A:$Z,2,FALSE)</f>
        <v>30.95</v>
      </c>
    </row>
    <row r="1988" spans="1:21" ht="15.5" x14ac:dyDescent="0.35">
      <c r="A1988" s="2" t="s">
        <v>1988</v>
      </c>
      <c r="B1988" s="2" t="s">
        <v>5061</v>
      </c>
      <c r="C1988">
        <v>30.54</v>
      </c>
      <c r="D1988" t="s">
        <v>2346</v>
      </c>
      <c r="E1988" t="s">
        <v>2344</v>
      </c>
      <c r="F1988" t="s">
        <v>2344</v>
      </c>
      <c r="G1988" t="s">
        <v>2346</v>
      </c>
      <c r="H1988">
        <v>1</v>
      </c>
      <c r="I1988" t="s">
        <v>2344</v>
      </c>
      <c r="J1988" t="str">
        <f t="shared" si="125"/>
        <v>Obesity</v>
      </c>
      <c r="K1988" t="str">
        <f t="shared" si="124"/>
        <v>Diabetes</v>
      </c>
      <c r="L1988">
        <v>16</v>
      </c>
      <c r="M1988" t="s">
        <v>2363</v>
      </c>
      <c r="N1988">
        <v>1974</v>
      </c>
      <c r="O1988" s="8">
        <f t="shared" si="126"/>
        <v>27288</v>
      </c>
      <c r="P1988" s="10">
        <v>28468.92</v>
      </c>
      <c r="Q1988" t="s">
        <v>2361</v>
      </c>
      <c r="R1988" t="s">
        <v>2361</v>
      </c>
      <c r="S1988" t="s">
        <v>2364</v>
      </c>
      <c r="T1988">
        <f t="shared" ca="1" si="127"/>
        <v>52</v>
      </c>
      <c r="U1988">
        <f>VLOOKUP($A1988,'Medical Examination'!$A:$Z,2,FALSE)</f>
        <v>30.54</v>
      </c>
    </row>
    <row r="1989" spans="1:21" ht="15.5" x14ac:dyDescent="0.35">
      <c r="A1989" s="2" t="s">
        <v>1989</v>
      </c>
      <c r="B1989" s="2" t="s">
        <v>5062</v>
      </c>
      <c r="C1989">
        <v>33.914999999999999</v>
      </c>
      <c r="D1989">
        <v>5.84</v>
      </c>
      <c r="E1989" t="s">
        <v>2346</v>
      </c>
      <c r="F1989" t="s">
        <v>2344</v>
      </c>
      <c r="G1989" t="s">
        <v>2344</v>
      </c>
      <c r="H1989">
        <v>0</v>
      </c>
      <c r="I1989" t="s">
        <v>2344</v>
      </c>
      <c r="J1989" t="str">
        <f t="shared" si="125"/>
        <v>Obesity</v>
      </c>
      <c r="K1989" t="str">
        <f t="shared" si="124"/>
        <v>Prediabetes</v>
      </c>
      <c r="L1989">
        <v>11</v>
      </c>
      <c r="M1989" t="s">
        <v>2365</v>
      </c>
      <c r="N1989">
        <v>1982</v>
      </c>
      <c r="O1989" s="8">
        <f t="shared" si="126"/>
        <v>30296</v>
      </c>
      <c r="P1989" s="10">
        <v>28476.73</v>
      </c>
      <c r="Q1989" t="s">
        <v>2361</v>
      </c>
      <c r="R1989" t="s">
        <v>2357</v>
      </c>
      <c r="S1989" t="s">
        <v>2364</v>
      </c>
      <c r="T1989">
        <f t="shared" ca="1" si="127"/>
        <v>44</v>
      </c>
      <c r="U1989">
        <f>VLOOKUP($A1989,'Medical Examination'!$A:$Z,2,FALSE)</f>
        <v>33.914999999999999</v>
      </c>
    </row>
    <row r="1990" spans="1:21" ht="15.5" x14ac:dyDescent="0.35">
      <c r="A1990" s="2" t="s">
        <v>1990</v>
      </c>
      <c r="B1990" s="2" t="s">
        <v>5064</v>
      </c>
      <c r="C1990">
        <v>33.31</v>
      </c>
      <c r="D1990">
        <v>4.1900000000000004</v>
      </c>
      <c r="E1990" t="s">
        <v>2344</v>
      </c>
      <c r="F1990" t="s">
        <v>2344</v>
      </c>
      <c r="G1990" t="s">
        <v>2346</v>
      </c>
      <c r="H1990">
        <v>1</v>
      </c>
      <c r="I1990" t="s">
        <v>2344</v>
      </c>
      <c r="J1990" t="str">
        <f t="shared" si="125"/>
        <v>Obesity</v>
      </c>
      <c r="K1990" t="str">
        <f t="shared" si="124"/>
        <v>Normal</v>
      </c>
      <c r="L1990">
        <v>27</v>
      </c>
      <c r="M1990" t="s">
        <v>2363</v>
      </c>
      <c r="N1990">
        <v>1985</v>
      </c>
      <c r="O1990" s="8">
        <f t="shared" si="126"/>
        <v>31317</v>
      </c>
      <c r="P1990" s="10">
        <v>28542.86</v>
      </c>
      <c r="Q1990" t="s">
        <v>2361</v>
      </c>
      <c r="R1990" t="s">
        <v>2358</v>
      </c>
      <c r="S1990" t="s">
        <v>2368</v>
      </c>
      <c r="T1990">
        <f t="shared" ca="1" si="127"/>
        <v>41</v>
      </c>
      <c r="U1990">
        <f>VLOOKUP($A1990,'Medical Examination'!$A:$Z,2,FALSE)</f>
        <v>33.31</v>
      </c>
    </row>
    <row r="1991" spans="1:21" ht="15.5" x14ac:dyDescent="0.35">
      <c r="A1991" s="2" t="s">
        <v>1991</v>
      </c>
      <c r="B1991" s="2" t="s">
        <v>5065</v>
      </c>
      <c r="C1991">
        <v>25.745000000000001</v>
      </c>
      <c r="D1991">
        <v>4.62</v>
      </c>
      <c r="E1991" t="s">
        <v>2346</v>
      </c>
      <c r="F1991" t="s">
        <v>2344</v>
      </c>
      <c r="G1991" t="s">
        <v>2344</v>
      </c>
      <c r="H1991">
        <v>0</v>
      </c>
      <c r="I1991" t="s">
        <v>2344</v>
      </c>
      <c r="J1991" t="str">
        <f t="shared" si="125"/>
        <v>Over weight</v>
      </c>
      <c r="K1991" t="str">
        <f t="shared" si="124"/>
        <v>Normal</v>
      </c>
      <c r="L1991">
        <v>5</v>
      </c>
      <c r="M1991" t="s">
        <v>2365</v>
      </c>
      <c r="N1991">
        <v>1990</v>
      </c>
      <c r="O1991" s="8">
        <f t="shared" si="126"/>
        <v>33212</v>
      </c>
      <c r="P1991" s="10">
        <v>28716.14</v>
      </c>
      <c r="Q1991" t="s">
        <v>2361</v>
      </c>
      <c r="R1991" t="s">
        <v>2358</v>
      </c>
      <c r="S1991" t="s">
        <v>2368</v>
      </c>
      <c r="T1991">
        <f t="shared" ca="1" si="127"/>
        <v>36</v>
      </c>
      <c r="U1991">
        <f>VLOOKUP($A1991,'Medical Examination'!$A:$Z,2,FALSE)</f>
        <v>25.745000000000001</v>
      </c>
    </row>
    <row r="1992" spans="1:21" ht="15.5" x14ac:dyDescent="0.35">
      <c r="A1992" s="2" t="s">
        <v>1992</v>
      </c>
      <c r="B1992" s="2" t="s">
        <v>5066</v>
      </c>
      <c r="C1992">
        <v>37.1</v>
      </c>
      <c r="D1992">
        <v>6.24</v>
      </c>
      <c r="E1992" t="s">
        <v>2344</v>
      </c>
      <c r="F1992" t="s">
        <v>2344</v>
      </c>
      <c r="G1992" t="s">
        <v>2344</v>
      </c>
      <c r="H1992">
        <v>0</v>
      </c>
      <c r="I1992" t="s">
        <v>2344</v>
      </c>
      <c r="J1992" t="str">
        <f t="shared" si="125"/>
        <v>Obesity</v>
      </c>
      <c r="K1992" t="str">
        <f t="shared" si="124"/>
        <v>Prediabetes</v>
      </c>
      <c r="L1992">
        <v>3</v>
      </c>
      <c r="M1992" t="s">
        <v>2366</v>
      </c>
      <c r="N1992">
        <v>1961</v>
      </c>
      <c r="O1992" s="8">
        <f t="shared" si="126"/>
        <v>22496</v>
      </c>
      <c r="P1992" s="10">
        <v>28868.66</v>
      </c>
      <c r="Q1992" t="s">
        <v>2361</v>
      </c>
      <c r="R1992" t="s">
        <v>2357</v>
      </c>
      <c r="S1992" t="s">
        <v>2364</v>
      </c>
      <c r="T1992">
        <f t="shared" ca="1" si="127"/>
        <v>65</v>
      </c>
      <c r="U1992">
        <f>VLOOKUP($A1992,'Medical Examination'!$A:$Z,2,FALSE)</f>
        <v>37.1</v>
      </c>
    </row>
    <row r="1993" spans="1:21" ht="15.5" x14ac:dyDescent="0.35">
      <c r="A1993" s="2" t="s">
        <v>1993</v>
      </c>
      <c r="B1993" s="2" t="s">
        <v>5067</v>
      </c>
      <c r="C1993">
        <v>35.435000000000002</v>
      </c>
      <c r="D1993">
        <v>5.81</v>
      </c>
      <c r="E1993" t="s">
        <v>2344</v>
      </c>
      <c r="F1993" t="s">
        <v>2344</v>
      </c>
      <c r="G1993" t="s">
        <v>2344</v>
      </c>
      <c r="H1993">
        <v>0</v>
      </c>
      <c r="I1993" t="s">
        <v>2344</v>
      </c>
      <c r="J1993" t="str">
        <f t="shared" si="125"/>
        <v>Obesity</v>
      </c>
      <c r="K1993" t="str">
        <f t="shared" si="124"/>
        <v>Prediabetes</v>
      </c>
      <c r="L1993">
        <v>25</v>
      </c>
      <c r="M1993" t="s">
        <v>2356</v>
      </c>
      <c r="N1993">
        <v>1962</v>
      </c>
      <c r="O1993" s="8">
        <f t="shared" si="126"/>
        <v>22852</v>
      </c>
      <c r="P1993" s="10">
        <v>28923.14</v>
      </c>
      <c r="Q1993" t="s">
        <v>2361</v>
      </c>
      <c r="R1993" t="s">
        <v>2361</v>
      </c>
      <c r="S1993" t="s">
        <v>2364</v>
      </c>
      <c r="T1993">
        <f t="shared" ca="1" si="127"/>
        <v>64</v>
      </c>
      <c r="U1993">
        <f>VLOOKUP($A1993,'Medical Examination'!$A:$Z,2,FALSE)</f>
        <v>35.435000000000002</v>
      </c>
    </row>
    <row r="1994" spans="1:21" ht="15.5" x14ac:dyDescent="0.35">
      <c r="A1994" s="2" t="s">
        <v>1994</v>
      </c>
      <c r="B1994" s="2" t="s">
        <v>5068</v>
      </c>
      <c r="C1994">
        <v>20.399999999999999</v>
      </c>
      <c r="D1994">
        <v>4.83</v>
      </c>
      <c r="E1994" t="s">
        <v>2344</v>
      </c>
      <c r="F1994" t="s">
        <v>2344</v>
      </c>
      <c r="G1994" t="s">
        <v>2344</v>
      </c>
      <c r="H1994">
        <v>0</v>
      </c>
      <c r="I1994" t="s">
        <v>2344</v>
      </c>
      <c r="J1994" t="str">
        <f t="shared" si="125"/>
        <v>Normal Weight</v>
      </c>
      <c r="K1994" t="str">
        <f t="shared" si="124"/>
        <v>Normal</v>
      </c>
      <c r="L1994">
        <v>5</v>
      </c>
      <c r="M1994" t="s">
        <v>2365</v>
      </c>
      <c r="N1994">
        <v>1959</v>
      </c>
      <c r="O1994" s="8">
        <f t="shared" si="126"/>
        <v>21889</v>
      </c>
      <c r="P1994" s="10">
        <v>28950.47</v>
      </c>
      <c r="Q1994" t="s">
        <v>2361</v>
      </c>
      <c r="R1994" t="s">
        <v>2361</v>
      </c>
      <c r="S1994" t="s">
        <v>2364</v>
      </c>
      <c r="T1994">
        <f t="shared" ca="1" si="127"/>
        <v>67</v>
      </c>
      <c r="U1994">
        <f>VLOOKUP($A1994,'Medical Examination'!$A:$Z,2,FALSE)</f>
        <v>20.399999999999999</v>
      </c>
    </row>
    <row r="1995" spans="1:21" ht="15.5" x14ac:dyDescent="0.35">
      <c r="A1995" s="2" t="s">
        <v>1995</v>
      </c>
      <c r="B1995" s="2" t="s">
        <v>5070</v>
      </c>
      <c r="C1995">
        <v>42.13</v>
      </c>
      <c r="D1995">
        <v>5.72</v>
      </c>
      <c r="E1995" t="s">
        <v>2346</v>
      </c>
      <c r="F1995" t="s">
        <v>2344</v>
      </c>
      <c r="G1995" t="s">
        <v>2346</v>
      </c>
      <c r="H1995">
        <v>1</v>
      </c>
      <c r="I1995" t="s">
        <v>2344</v>
      </c>
      <c r="J1995" t="str">
        <f t="shared" si="125"/>
        <v>Obesity</v>
      </c>
      <c r="K1995" t="str">
        <f t="shared" si="124"/>
        <v>Prediabetes</v>
      </c>
      <c r="L1995">
        <v>1</v>
      </c>
      <c r="M1995" t="s">
        <v>2363</v>
      </c>
      <c r="N1995">
        <v>2003</v>
      </c>
      <c r="O1995" s="8">
        <f t="shared" si="126"/>
        <v>37865</v>
      </c>
      <c r="P1995" s="10">
        <v>28998.68</v>
      </c>
      <c r="Q1995" t="s">
        <v>2361</v>
      </c>
      <c r="R1995" t="s">
        <v>2358</v>
      </c>
      <c r="S1995" t="s">
        <v>2368</v>
      </c>
      <c r="T1995">
        <f t="shared" ca="1" si="127"/>
        <v>23</v>
      </c>
      <c r="U1995">
        <f>VLOOKUP($A1995,'Medical Examination'!$A:$Z,2,FALSE)</f>
        <v>42.13</v>
      </c>
    </row>
    <row r="1996" spans="1:21" ht="15.5" x14ac:dyDescent="0.35">
      <c r="A1996" s="2" t="s">
        <v>1996</v>
      </c>
      <c r="B1996" s="2" t="s">
        <v>5071</v>
      </c>
      <c r="C1996">
        <v>33.99</v>
      </c>
      <c r="D1996">
        <v>4.83</v>
      </c>
      <c r="E1996" t="s">
        <v>2346</v>
      </c>
      <c r="F1996" t="s">
        <v>2344</v>
      </c>
      <c r="G1996" t="s">
        <v>2346</v>
      </c>
      <c r="H1996">
        <v>1</v>
      </c>
      <c r="I1996" t="s">
        <v>2344</v>
      </c>
      <c r="J1996" t="str">
        <f t="shared" si="125"/>
        <v>Obesity</v>
      </c>
      <c r="K1996" t="str">
        <f t="shared" ref="K1996:K2059" si="128">IF(D1996&lt;5.7,"Normal",IF(D1996&lt;6.5,"Prediabetes","Diabetes"))</f>
        <v>Normal</v>
      </c>
      <c r="L1996">
        <v>7</v>
      </c>
      <c r="M1996" t="s">
        <v>2356</v>
      </c>
      <c r="N1996">
        <v>1992</v>
      </c>
      <c r="O1996" s="8">
        <f t="shared" si="126"/>
        <v>33792</v>
      </c>
      <c r="P1996" s="10">
        <v>29007.82</v>
      </c>
      <c r="Q1996" t="s">
        <v>2361</v>
      </c>
      <c r="R1996" t="s">
        <v>2358</v>
      </c>
      <c r="S1996" t="s">
        <v>2368</v>
      </c>
      <c r="T1996">
        <f t="shared" ca="1" si="127"/>
        <v>34</v>
      </c>
      <c r="U1996">
        <f>VLOOKUP($A1996,'Medical Examination'!$A:$Z,2,FALSE)</f>
        <v>33.99</v>
      </c>
    </row>
    <row r="1997" spans="1:21" ht="15.5" x14ac:dyDescent="0.35">
      <c r="A1997" s="2" t="s">
        <v>1997</v>
      </c>
      <c r="B1997" s="2" t="s">
        <v>3080</v>
      </c>
      <c r="C1997">
        <v>28.594999999999999</v>
      </c>
      <c r="D1997">
        <v>4.1399999999999997</v>
      </c>
      <c r="E1997" t="s">
        <v>2346</v>
      </c>
      <c r="F1997" t="s">
        <v>2344</v>
      </c>
      <c r="G1997" t="s">
        <v>2346</v>
      </c>
      <c r="H1997">
        <v>1</v>
      </c>
      <c r="I1997" t="s">
        <v>2344</v>
      </c>
      <c r="J1997" t="str">
        <f t="shared" si="125"/>
        <v>Over weight</v>
      </c>
      <c r="K1997" t="str">
        <f t="shared" si="128"/>
        <v>Normal</v>
      </c>
      <c r="L1997">
        <v>14</v>
      </c>
      <c r="M1997" t="s">
        <v>2356</v>
      </c>
      <c r="N1997">
        <v>1980</v>
      </c>
      <c r="O1997" s="8">
        <f t="shared" si="126"/>
        <v>29416</v>
      </c>
      <c r="P1997" s="10">
        <v>29114.21</v>
      </c>
      <c r="Q1997" t="s">
        <v>2361</v>
      </c>
      <c r="R1997" t="s">
        <v>2358</v>
      </c>
      <c r="S1997" t="s">
        <v>2368</v>
      </c>
      <c r="T1997">
        <f t="shared" ca="1" si="127"/>
        <v>46</v>
      </c>
      <c r="U1997">
        <f>VLOOKUP($A1997,'Medical Examination'!$A:$Z,2,FALSE)</f>
        <v>28.594999999999999</v>
      </c>
    </row>
    <row r="1998" spans="1:21" ht="15.5" x14ac:dyDescent="0.35">
      <c r="A1998" s="2" t="s">
        <v>1998</v>
      </c>
      <c r="B1998" s="2" t="s">
        <v>2599</v>
      </c>
      <c r="C1998">
        <v>20.8</v>
      </c>
      <c r="D1998">
        <v>4.07</v>
      </c>
      <c r="E1998" t="s">
        <v>2346</v>
      </c>
      <c r="F1998" t="s">
        <v>2344</v>
      </c>
      <c r="G1998" t="s">
        <v>2346</v>
      </c>
      <c r="H1998">
        <v>1</v>
      </c>
      <c r="I1998" t="s">
        <v>2344</v>
      </c>
      <c r="J1998" t="str">
        <f t="shared" si="125"/>
        <v>Normal Weight</v>
      </c>
      <c r="K1998" t="str">
        <f t="shared" si="128"/>
        <v>Normal</v>
      </c>
      <c r="L1998">
        <v>29</v>
      </c>
      <c r="M1998" t="s">
        <v>2360</v>
      </c>
      <c r="N1998">
        <v>1978</v>
      </c>
      <c r="O1998" s="8">
        <f t="shared" si="126"/>
        <v>28823</v>
      </c>
      <c r="P1998" s="10">
        <v>29114.77</v>
      </c>
      <c r="Q1998" t="s">
        <v>2361</v>
      </c>
      <c r="R1998" t="s">
        <v>2361</v>
      </c>
      <c r="S1998" t="s">
        <v>2368</v>
      </c>
      <c r="T1998">
        <f t="shared" ca="1" si="127"/>
        <v>48</v>
      </c>
      <c r="U1998">
        <f>VLOOKUP($A1998,'Medical Examination'!$A:$Z,2,FALSE)</f>
        <v>20.8</v>
      </c>
    </row>
    <row r="1999" spans="1:21" ht="15.5" x14ac:dyDescent="0.35">
      <c r="A1999" s="2" t="s">
        <v>1999</v>
      </c>
      <c r="B1999" s="2" t="s">
        <v>5074</v>
      </c>
      <c r="C1999">
        <v>23.465</v>
      </c>
      <c r="D1999">
        <v>6.26</v>
      </c>
      <c r="E1999" t="s">
        <v>2346</v>
      </c>
      <c r="F1999" t="s">
        <v>2344</v>
      </c>
      <c r="G1999" t="s">
        <v>2346</v>
      </c>
      <c r="H1999">
        <v>1</v>
      </c>
      <c r="I1999" t="s">
        <v>2344</v>
      </c>
      <c r="J1999" t="str">
        <f t="shared" si="125"/>
        <v>Normal Weight</v>
      </c>
      <c r="K1999" t="str">
        <f t="shared" si="128"/>
        <v>Prediabetes</v>
      </c>
      <c r="L1999">
        <v>24</v>
      </c>
      <c r="M1999" t="s">
        <v>2365</v>
      </c>
      <c r="N1999">
        <v>1961</v>
      </c>
      <c r="O1999" s="8">
        <f t="shared" si="126"/>
        <v>22639</v>
      </c>
      <c r="P1999" s="10">
        <v>29141.360000000001</v>
      </c>
      <c r="Q1999" t="s">
        <v>2361</v>
      </c>
      <c r="R1999" t="s">
        <v>2358</v>
      </c>
      <c r="S1999" t="s">
        <v>2364</v>
      </c>
      <c r="T1999">
        <f t="shared" ca="1" si="127"/>
        <v>65</v>
      </c>
      <c r="U1999">
        <f>VLOOKUP($A1999,'Medical Examination'!$A:$Z,2,FALSE)</f>
        <v>23.465</v>
      </c>
    </row>
    <row r="2000" spans="1:21" ht="15.5" x14ac:dyDescent="0.35">
      <c r="A2000" s="2" t="s">
        <v>2000</v>
      </c>
      <c r="B2000" s="2" t="s">
        <v>2938</v>
      </c>
      <c r="C2000">
        <v>40.185000000000002</v>
      </c>
      <c r="D2000">
        <v>5.88</v>
      </c>
      <c r="E2000" t="s">
        <v>2346</v>
      </c>
      <c r="F2000" t="s">
        <v>2344</v>
      </c>
      <c r="G2000" t="s">
        <v>2344</v>
      </c>
      <c r="H2000">
        <v>0</v>
      </c>
      <c r="I2000" t="s">
        <v>2344</v>
      </c>
      <c r="J2000" t="str">
        <f t="shared" si="125"/>
        <v>Obesity</v>
      </c>
      <c r="K2000" t="str">
        <f t="shared" si="128"/>
        <v>Prediabetes</v>
      </c>
      <c r="L2000">
        <v>8</v>
      </c>
      <c r="M2000" t="s">
        <v>2360</v>
      </c>
      <c r="N2000">
        <v>1976</v>
      </c>
      <c r="O2000" s="8">
        <f t="shared" si="126"/>
        <v>28072</v>
      </c>
      <c r="P2000" s="10">
        <v>29160.39</v>
      </c>
      <c r="Q2000" t="s">
        <v>2361</v>
      </c>
      <c r="R2000" t="s">
        <v>2357</v>
      </c>
      <c r="S2000" t="s">
        <v>2368</v>
      </c>
      <c r="T2000">
        <f t="shared" ca="1" si="127"/>
        <v>50</v>
      </c>
      <c r="U2000">
        <f>VLOOKUP($A2000,'Medical Examination'!$A:$Z,2,FALSE)</f>
        <v>40.185000000000002</v>
      </c>
    </row>
    <row r="2001" spans="1:21" ht="15.5" x14ac:dyDescent="0.35">
      <c r="A2001" s="2" t="s">
        <v>2001</v>
      </c>
      <c r="B2001" s="2" t="s">
        <v>5076</v>
      </c>
      <c r="C2001">
        <v>21.89</v>
      </c>
      <c r="D2001">
        <v>5.72</v>
      </c>
      <c r="E2001" t="s">
        <v>2346</v>
      </c>
      <c r="F2001" t="s">
        <v>2344</v>
      </c>
      <c r="G2001" t="s">
        <v>2344</v>
      </c>
      <c r="H2001">
        <v>0</v>
      </c>
      <c r="I2001" t="s">
        <v>2344</v>
      </c>
      <c r="J2001" t="str">
        <f t="shared" si="125"/>
        <v>Normal Weight</v>
      </c>
      <c r="K2001" t="str">
        <f t="shared" si="128"/>
        <v>Prediabetes</v>
      </c>
      <c r="L2001">
        <v>9</v>
      </c>
      <c r="M2001" t="s">
        <v>2356</v>
      </c>
      <c r="N2001">
        <v>1969</v>
      </c>
      <c r="O2001" s="8">
        <f t="shared" si="126"/>
        <v>25393</v>
      </c>
      <c r="P2001" s="10">
        <v>29186.48</v>
      </c>
      <c r="Q2001" t="s">
        <v>2361</v>
      </c>
      <c r="R2001" t="s">
        <v>2358</v>
      </c>
      <c r="S2001" t="s">
        <v>2374</v>
      </c>
      <c r="T2001">
        <f t="shared" ca="1" si="127"/>
        <v>57</v>
      </c>
      <c r="U2001">
        <f>VLOOKUP($A2001,'Medical Examination'!$A:$Z,2,FALSE)</f>
        <v>21.89</v>
      </c>
    </row>
    <row r="2002" spans="1:21" ht="15.5" x14ac:dyDescent="0.35">
      <c r="A2002" s="2" t="s">
        <v>2002</v>
      </c>
      <c r="B2002" s="2" t="s">
        <v>5077</v>
      </c>
      <c r="C2002">
        <v>29.34</v>
      </c>
      <c r="D2002">
        <v>6.09</v>
      </c>
      <c r="E2002" t="s">
        <v>2346</v>
      </c>
      <c r="F2002" t="s">
        <v>2345</v>
      </c>
      <c r="G2002" t="s">
        <v>2344</v>
      </c>
      <c r="H2002">
        <v>1</v>
      </c>
      <c r="I2002" t="s">
        <v>2344</v>
      </c>
      <c r="J2002" t="str">
        <f t="shared" si="125"/>
        <v>Over weight</v>
      </c>
      <c r="K2002" t="str">
        <f t="shared" si="128"/>
        <v>Prediabetes</v>
      </c>
      <c r="L2002">
        <v>21</v>
      </c>
      <c r="M2002" t="s">
        <v>2356</v>
      </c>
      <c r="N2002">
        <v>1978</v>
      </c>
      <c r="O2002" s="8">
        <f t="shared" si="126"/>
        <v>28692</v>
      </c>
      <c r="P2002" s="10">
        <v>29227.599999999999</v>
      </c>
      <c r="Q2002" t="s">
        <v>2361</v>
      </c>
      <c r="R2002" t="s">
        <v>2358</v>
      </c>
      <c r="S2002" t="s">
        <v>2364</v>
      </c>
      <c r="T2002">
        <f t="shared" ca="1" si="127"/>
        <v>48</v>
      </c>
      <c r="U2002">
        <f>VLOOKUP($A2002,'Medical Examination'!$A:$Z,2,FALSE)</f>
        <v>29.34</v>
      </c>
    </row>
    <row r="2003" spans="1:21" ht="15.5" x14ac:dyDescent="0.35">
      <c r="A2003" s="2" t="s">
        <v>2003</v>
      </c>
      <c r="B2003" s="2" t="s">
        <v>5079</v>
      </c>
      <c r="C2003">
        <v>22.61</v>
      </c>
      <c r="D2003">
        <v>4.25</v>
      </c>
      <c r="E2003" t="s">
        <v>2346</v>
      </c>
      <c r="F2003" t="s">
        <v>2344</v>
      </c>
      <c r="G2003" t="s">
        <v>2344</v>
      </c>
      <c r="H2003">
        <v>0</v>
      </c>
      <c r="I2003" t="s">
        <v>2344</v>
      </c>
      <c r="J2003" t="str">
        <f t="shared" si="125"/>
        <v>Normal Weight</v>
      </c>
      <c r="K2003" t="str">
        <f t="shared" si="128"/>
        <v>Normal</v>
      </c>
      <c r="L2003">
        <v>5</v>
      </c>
      <c r="M2003" t="s">
        <v>2362</v>
      </c>
      <c r="N2003">
        <v>1958</v>
      </c>
      <c r="O2003" s="8">
        <f t="shared" si="126"/>
        <v>21341</v>
      </c>
      <c r="P2003" s="10">
        <v>29330.98</v>
      </c>
      <c r="Q2003" t="s">
        <v>2361</v>
      </c>
      <c r="R2003" t="s">
        <v>2357</v>
      </c>
      <c r="S2003" t="s">
        <v>2364</v>
      </c>
      <c r="T2003">
        <f t="shared" ca="1" si="127"/>
        <v>68</v>
      </c>
      <c r="U2003">
        <f>VLOOKUP($A2003,'Medical Examination'!$A:$Z,2,FALSE)</f>
        <v>22.61</v>
      </c>
    </row>
    <row r="2004" spans="1:21" ht="15.5" x14ac:dyDescent="0.35">
      <c r="A2004" s="2" t="s">
        <v>2004</v>
      </c>
      <c r="B2004" s="2" t="s">
        <v>5081</v>
      </c>
      <c r="C2004">
        <v>22.23</v>
      </c>
      <c r="D2004">
        <v>6.09</v>
      </c>
      <c r="E2004" t="s">
        <v>2346</v>
      </c>
      <c r="F2004" t="s">
        <v>2344</v>
      </c>
      <c r="G2004" t="s">
        <v>2344</v>
      </c>
      <c r="H2004">
        <v>0</v>
      </c>
      <c r="I2004" t="s">
        <v>2344</v>
      </c>
      <c r="J2004" t="str">
        <f t="shared" si="125"/>
        <v>Normal Weight</v>
      </c>
      <c r="K2004" t="str">
        <f t="shared" si="128"/>
        <v>Prediabetes</v>
      </c>
      <c r="L2004">
        <v>7</v>
      </c>
      <c r="M2004" t="s">
        <v>2360</v>
      </c>
      <c r="N2004">
        <v>1985</v>
      </c>
      <c r="O2004" s="8">
        <f t="shared" si="126"/>
        <v>31358</v>
      </c>
      <c r="P2004" s="10">
        <v>29352.560000000001</v>
      </c>
      <c r="Q2004" t="s">
        <v>2361</v>
      </c>
      <c r="R2004" t="s">
        <v>2361</v>
      </c>
      <c r="S2004" t="s">
        <v>2368</v>
      </c>
      <c r="T2004">
        <f t="shared" ca="1" si="127"/>
        <v>41</v>
      </c>
      <c r="U2004">
        <f>VLOOKUP($A2004,'Medical Examination'!$A:$Z,2,FALSE)</f>
        <v>22.23</v>
      </c>
    </row>
    <row r="2005" spans="1:21" ht="15.5" x14ac:dyDescent="0.35">
      <c r="A2005" s="2" t="s">
        <v>2005</v>
      </c>
      <c r="B2005" s="2" t="s">
        <v>5082</v>
      </c>
      <c r="C2005">
        <v>33.4</v>
      </c>
      <c r="D2005">
        <v>5.51</v>
      </c>
      <c r="E2005" t="s">
        <v>2344</v>
      </c>
      <c r="F2005" t="s">
        <v>2344</v>
      </c>
      <c r="G2005" t="s">
        <v>2344</v>
      </c>
      <c r="H2005">
        <v>0</v>
      </c>
      <c r="I2005" t="s">
        <v>2344</v>
      </c>
      <c r="J2005" t="str">
        <f t="shared" si="125"/>
        <v>Obesity</v>
      </c>
      <c r="K2005" t="str">
        <f t="shared" si="128"/>
        <v>Normal</v>
      </c>
      <c r="L2005">
        <v>16</v>
      </c>
      <c r="M2005" t="s">
        <v>2356</v>
      </c>
      <c r="N2005">
        <v>1987</v>
      </c>
      <c r="O2005" s="8">
        <f t="shared" si="126"/>
        <v>31974</v>
      </c>
      <c r="P2005" s="10">
        <v>29443.59</v>
      </c>
      <c r="Q2005" t="s">
        <v>2361</v>
      </c>
      <c r="R2005" t="s">
        <v>2361</v>
      </c>
      <c r="S2005" t="s">
        <v>2368</v>
      </c>
      <c r="T2005">
        <f t="shared" ca="1" si="127"/>
        <v>39</v>
      </c>
      <c r="U2005">
        <f>VLOOKUP($A2005,'Medical Examination'!$A:$Z,2,FALSE)</f>
        <v>33.4</v>
      </c>
    </row>
    <row r="2006" spans="1:21" ht="15.5" x14ac:dyDescent="0.35">
      <c r="A2006" s="2" t="s">
        <v>2006</v>
      </c>
      <c r="B2006" s="2" t="s">
        <v>4273</v>
      </c>
      <c r="C2006">
        <v>33.11</v>
      </c>
      <c r="D2006">
        <v>5.63</v>
      </c>
      <c r="E2006" t="s">
        <v>2344</v>
      </c>
      <c r="F2006" t="s">
        <v>2344</v>
      </c>
      <c r="G2006" t="s">
        <v>2344</v>
      </c>
      <c r="H2006">
        <v>0</v>
      </c>
      <c r="I2006" t="s">
        <v>2344</v>
      </c>
      <c r="J2006" t="str">
        <f t="shared" si="125"/>
        <v>Obesity</v>
      </c>
      <c r="K2006" t="str">
        <f t="shared" si="128"/>
        <v>Normal</v>
      </c>
      <c r="L2006">
        <v>20</v>
      </c>
      <c r="M2006" t="s">
        <v>2367</v>
      </c>
      <c r="N2006">
        <v>1959</v>
      </c>
      <c r="O2006" s="8">
        <f t="shared" si="126"/>
        <v>21843</v>
      </c>
      <c r="P2006" s="10">
        <v>29523.17</v>
      </c>
      <c r="Q2006" t="s">
        <v>2361</v>
      </c>
      <c r="R2006" t="s">
        <v>2357</v>
      </c>
      <c r="S2006" t="s">
        <v>2374</v>
      </c>
      <c r="T2006">
        <f t="shared" ca="1" si="127"/>
        <v>67</v>
      </c>
      <c r="U2006">
        <f>VLOOKUP($A2006,'Medical Examination'!$A:$Z,2,FALSE)</f>
        <v>33.11</v>
      </c>
    </row>
    <row r="2007" spans="1:21" ht="15.5" x14ac:dyDescent="0.35">
      <c r="A2007" s="2" t="s">
        <v>2007</v>
      </c>
      <c r="B2007" s="2" t="s">
        <v>5084</v>
      </c>
      <c r="C2007">
        <v>16.815000000000001</v>
      </c>
      <c r="D2007">
        <v>5.29</v>
      </c>
      <c r="E2007" t="s">
        <v>2346</v>
      </c>
      <c r="F2007" t="s">
        <v>2344</v>
      </c>
      <c r="G2007" t="s">
        <v>2344</v>
      </c>
      <c r="H2007">
        <v>0</v>
      </c>
      <c r="I2007" t="s">
        <v>2344</v>
      </c>
      <c r="J2007" t="str">
        <f t="shared" si="125"/>
        <v>Under Weight</v>
      </c>
      <c r="K2007" t="str">
        <f t="shared" si="128"/>
        <v>Normal</v>
      </c>
      <c r="L2007">
        <v>3</v>
      </c>
      <c r="M2007" t="s">
        <v>2360</v>
      </c>
      <c r="N2007">
        <v>1975</v>
      </c>
      <c r="O2007" s="8">
        <f t="shared" si="126"/>
        <v>27701</v>
      </c>
      <c r="P2007" s="10">
        <v>29583.8</v>
      </c>
      <c r="Q2007" t="s">
        <v>2361</v>
      </c>
      <c r="R2007" t="s">
        <v>2361</v>
      </c>
      <c r="S2007" t="s">
        <v>2368</v>
      </c>
      <c r="T2007">
        <f t="shared" ca="1" si="127"/>
        <v>51</v>
      </c>
      <c r="U2007">
        <f>VLOOKUP($A2007,'Medical Examination'!$A:$Z,2,FALSE)</f>
        <v>16.815000000000001</v>
      </c>
    </row>
    <row r="2008" spans="1:21" ht="15.5" x14ac:dyDescent="0.35">
      <c r="A2008" s="2" t="s">
        <v>2008</v>
      </c>
      <c r="B2008" s="2" t="s">
        <v>3117</v>
      </c>
      <c r="C2008">
        <v>25.61</v>
      </c>
      <c r="D2008" t="s">
        <v>2346</v>
      </c>
      <c r="E2008" t="s">
        <v>2344</v>
      </c>
      <c r="F2008" t="s">
        <v>2344</v>
      </c>
      <c r="G2008" t="s">
        <v>2346</v>
      </c>
      <c r="H2008">
        <v>1</v>
      </c>
      <c r="I2008" t="s">
        <v>2344</v>
      </c>
      <c r="J2008" t="str">
        <f t="shared" si="125"/>
        <v>Over weight</v>
      </c>
      <c r="K2008" t="str">
        <f t="shared" si="128"/>
        <v>Diabetes</v>
      </c>
      <c r="L2008">
        <v>27</v>
      </c>
      <c r="M2008" t="s">
        <v>2356</v>
      </c>
      <c r="N2008">
        <v>1993</v>
      </c>
      <c r="O2008" s="8">
        <f t="shared" si="126"/>
        <v>34177</v>
      </c>
      <c r="P2008" s="10">
        <v>29622.69</v>
      </c>
      <c r="Q2008" t="s">
        <v>2361</v>
      </c>
      <c r="R2008" t="s">
        <v>2361</v>
      </c>
      <c r="S2008" t="s">
        <v>2368</v>
      </c>
      <c r="T2008">
        <f t="shared" ca="1" si="127"/>
        <v>33</v>
      </c>
      <c r="U2008">
        <f>VLOOKUP($A2008,'Medical Examination'!$A:$Z,2,FALSE)</f>
        <v>25.61</v>
      </c>
    </row>
    <row r="2009" spans="1:21" ht="15.5" x14ac:dyDescent="0.35">
      <c r="A2009" s="2" t="s">
        <v>2009</v>
      </c>
      <c r="B2009" s="2" t="s">
        <v>5085</v>
      </c>
      <c r="C2009">
        <v>25.8</v>
      </c>
      <c r="D2009">
        <v>5.49</v>
      </c>
      <c r="E2009" t="s">
        <v>2344</v>
      </c>
      <c r="F2009" t="s">
        <v>2344</v>
      </c>
      <c r="G2009" t="s">
        <v>2344</v>
      </c>
      <c r="H2009">
        <v>0</v>
      </c>
      <c r="I2009" t="s">
        <v>2344</v>
      </c>
      <c r="J2009" t="str">
        <f t="shared" si="125"/>
        <v>Over weight</v>
      </c>
      <c r="K2009" t="str">
        <f t="shared" si="128"/>
        <v>Normal</v>
      </c>
      <c r="L2009">
        <v>23</v>
      </c>
      <c r="M2009" t="s">
        <v>2366</v>
      </c>
      <c r="N2009">
        <v>1973</v>
      </c>
      <c r="O2009" s="8">
        <f t="shared" si="126"/>
        <v>26899</v>
      </c>
      <c r="P2009" s="10">
        <v>29757.69</v>
      </c>
      <c r="Q2009" t="s">
        <v>2361</v>
      </c>
      <c r="R2009" t="s">
        <v>2358</v>
      </c>
      <c r="S2009" t="s">
        <v>2368</v>
      </c>
      <c r="T2009">
        <f t="shared" ca="1" si="127"/>
        <v>53</v>
      </c>
      <c r="U2009">
        <f>VLOOKUP($A2009,'Medical Examination'!$A:$Z,2,FALSE)</f>
        <v>25.8</v>
      </c>
    </row>
    <row r="2010" spans="1:21" ht="15.5" x14ac:dyDescent="0.35">
      <c r="A2010" s="2" t="s">
        <v>2010</v>
      </c>
      <c r="B2010" s="2" t="s">
        <v>5087</v>
      </c>
      <c r="C2010">
        <v>27.39</v>
      </c>
      <c r="D2010">
        <v>5.34</v>
      </c>
      <c r="E2010" t="s">
        <v>2344</v>
      </c>
      <c r="F2010" t="s">
        <v>2344</v>
      </c>
      <c r="G2010" t="s">
        <v>2344</v>
      </c>
      <c r="H2010">
        <v>0</v>
      </c>
      <c r="I2010" t="s">
        <v>2344</v>
      </c>
      <c r="J2010" t="str">
        <f t="shared" si="125"/>
        <v>Over weight</v>
      </c>
      <c r="K2010" t="str">
        <f t="shared" si="128"/>
        <v>Normal</v>
      </c>
      <c r="L2010">
        <v>20</v>
      </c>
      <c r="M2010" t="s">
        <v>2362</v>
      </c>
      <c r="N2010">
        <v>1998</v>
      </c>
      <c r="O2010" s="8">
        <f t="shared" si="126"/>
        <v>35966</v>
      </c>
      <c r="P2010" s="10">
        <v>29760.6</v>
      </c>
      <c r="Q2010" t="s">
        <v>2361</v>
      </c>
      <c r="R2010" t="s">
        <v>2357</v>
      </c>
      <c r="S2010" t="s">
        <v>2368</v>
      </c>
      <c r="T2010">
        <f t="shared" ca="1" si="127"/>
        <v>28</v>
      </c>
      <c r="U2010">
        <f>VLOOKUP($A2010,'Medical Examination'!$A:$Z,2,FALSE)</f>
        <v>27.39</v>
      </c>
    </row>
    <row r="2011" spans="1:21" ht="15.5" x14ac:dyDescent="0.35">
      <c r="A2011" s="2" t="s">
        <v>2011</v>
      </c>
      <c r="B2011" s="2" t="s">
        <v>5089</v>
      </c>
      <c r="C2011">
        <v>17.03</v>
      </c>
      <c r="D2011">
        <v>4.12</v>
      </c>
      <c r="E2011" t="s">
        <v>2344</v>
      </c>
      <c r="F2011" t="s">
        <v>2344</v>
      </c>
      <c r="G2011" t="s">
        <v>2344</v>
      </c>
      <c r="H2011">
        <v>1</v>
      </c>
      <c r="I2011" t="s">
        <v>2344</v>
      </c>
      <c r="J2011" t="str">
        <f t="shared" si="125"/>
        <v>Under Weight</v>
      </c>
      <c r="K2011" t="str">
        <f t="shared" si="128"/>
        <v>Normal</v>
      </c>
      <c r="L2011">
        <v>13</v>
      </c>
      <c r="M2011" t="s">
        <v>2366</v>
      </c>
      <c r="N2011">
        <v>1981</v>
      </c>
      <c r="O2011" s="8">
        <f t="shared" si="126"/>
        <v>29811</v>
      </c>
      <c r="P2011" s="10">
        <v>29816.639999999999</v>
      </c>
      <c r="Q2011" t="s">
        <v>2361</v>
      </c>
      <c r="R2011" t="s">
        <v>2357</v>
      </c>
      <c r="S2011" t="s">
        <v>2368</v>
      </c>
      <c r="T2011">
        <f t="shared" ca="1" si="127"/>
        <v>45</v>
      </c>
      <c r="U2011">
        <f>VLOOKUP($A2011,'Medical Examination'!$A:$Z,2,FALSE)</f>
        <v>17.03</v>
      </c>
    </row>
    <row r="2012" spans="1:21" ht="15.5" x14ac:dyDescent="0.35">
      <c r="A2012" s="2" t="s">
        <v>2012</v>
      </c>
      <c r="B2012" s="2" t="s">
        <v>5090</v>
      </c>
      <c r="C2012">
        <v>23.75</v>
      </c>
      <c r="D2012">
        <v>5.49</v>
      </c>
      <c r="E2012" t="s">
        <v>2346</v>
      </c>
      <c r="F2012" t="s">
        <v>2344</v>
      </c>
      <c r="G2012" t="s">
        <v>2344</v>
      </c>
      <c r="H2012">
        <v>0</v>
      </c>
      <c r="I2012" t="s">
        <v>2344</v>
      </c>
      <c r="J2012" t="str">
        <f t="shared" si="125"/>
        <v>Normal Weight</v>
      </c>
      <c r="K2012" t="str">
        <f t="shared" si="128"/>
        <v>Normal</v>
      </c>
      <c r="L2012">
        <v>29</v>
      </c>
      <c r="M2012" t="s">
        <v>2367</v>
      </c>
      <c r="N2012">
        <v>1982</v>
      </c>
      <c r="O2012" s="8">
        <f t="shared" si="126"/>
        <v>30253</v>
      </c>
      <c r="P2012" s="10">
        <v>29818.76</v>
      </c>
      <c r="Q2012" t="s">
        <v>2361</v>
      </c>
      <c r="R2012" t="s">
        <v>2361</v>
      </c>
      <c r="S2012" t="s">
        <v>2364</v>
      </c>
      <c r="T2012">
        <f t="shared" ca="1" si="127"/>
        <v>44</v>
      </c>
      <c r="U2012">
        <f>VLOOKUP($A2012,'Medical Examination'!$A:$Z,2,FALSE)</f>
        <v>23.75</v>
      </c>
    </row>
    <row r="2013" spans="1:21" ht="15.5" x14ac:dyDescent="0.35">
      <c r="A2013" s="2" t="s">
        <v>2013</v>
      </c>
      <c r="B2013" s="2" t="s">
        <v>5091</v>
      </c>
      <c r="C2013">
        <v>26.03</v>
      </c>
      <c r="D2013">
        <v>5.1100000000000003</v>
      </c>
      <c r="E2013" t="s">
        <v>2346</v>
      </c>
      <c r="F2013" t="s">
        <v>2344</v>
      </c>
      <c r="G2013" t="s">
        <v>2344</v>
      </c>
      <c r="H2013">
        <v>1</v>
      </c>
      <c r="I2013" t="s">
        <v>2344</v>
      </c>
      <c r="J2013" t="str">
        <f t="shared" si="125"/>
        <v>Over weight</v>
      </c>
      <c r="K2013" t="str">
        <f t="shared" si="128"/>
        <v>Normal</v>
      </c>
      <c r="L2013">
        <v>30</v>
      </c>
      <c r="M2013" t="s">
        <v>2365</v>
      </c>
      <c r="N2013">
        <v>1989</v>
      </c>
      <c r="O2013" s="8">
        <f t="shared" si="126"/>
        <v>32872</v>
      </c>
      <c r="P2013" s="10">
        <v>29852.48</v>
      </c>
      <c r="Q2013" t="s">
        <v>2361</v>
      </c>
      <c r="R2013" t="s">
        <v>2358</v>
      </c>
      <c r="S2013" t="s">
        <v>2368</v>
      </c>
      <c r="T2013">
        <f t="shared" ca="1" si="127"/>
        <v>37</v>
      </c>
      <c r="U2013">
        <f>VLOOKUP($A2013,'Medical Examination'!$A:$Z,2,FALSE)</f>
        <v>26.03</v>
      </c>
    </row>
    <row r="2014" spans="1:21" ht="15.5" x14ac:dyDescent="0.35">
      <c r="A2014" s="2" t="s">
        <v>2014</v>
      </c>
      <c r="B2014" s="2" t="s">
        <v>3949</v>
      </c>
      <c r="C2014">
        <v>16.079999999999998</v>
      </c>
      <c r="D2014">
        <v>5.94</v>
      </c>
      <c r="E2014" t="s">
        <v>2344</v>
      </c>
      <c r="F2014" t="s">
        <v>2344</v>
      </c>
      <c r="G2014" t="s">
        <v>2344</v>
      </c>
      <c r="H2014">
        <v>0</v>
      </c>
      <c r="I2014" t="s">
        <v>2344</v>
      </c>
      <c r="J2014" t="str">
        <f t="shared" si="125"/>
        <v>Under Weight</v>
      </c>
      <c r="K2014" t="str">
        <f t="shared" si="128"/>
        <v>Prediabetes</v>
      </c>
      <c r="L2014">
        <v>19</v>
      </c>
      <c r="M2014" t="s">
        <v>2366</v>
      </c>
      <c r="N2014">
        <v>1975</v>
      </c>
      <c r="O2014" s="8">
        <f t="shared" si="126"/>
        <v>27625</v>
      </c>
      <c r="P2014" s="10">
        <v>29899.25</v>
      </c>
      <c r="Q2014" t="s">
        <v>2361</v>
      </c>
      <c r="R2014" t="s">
        <v>2358</v>
      </c>
      <c r="S2014" t="s">
        <v>2368</v>
      </c>
      <c r="T2014">
        <f t="shared" ca="1" si="127"/>
        <v>51</v>
      </c>
      <c r="U2014">
        <f>VLOOKUP($A2014,'Medical Examination'!$A:$Z,2,FALSE)</f>
        <v>16.079999999999998</v>
      </c>
    </row>
    <row r="2015" spans="1:21" ht="15.5" x14ac:dyDescent="0.35">
      <c r="A2015" s="2" t="s">
        <v>2015</v>
      </c>
      <c r="B2015" s="2" t="s">
        <v>5092</v>
      </c>
      <c r="C2015">
        <v>30.875</v>
      </c>
      <c r="D2015">
        <v>5.54</v>
      </c>
      <c r="E2015" t="s">
        <v>2344</v>
      </c>
      <c r="F2015" t="s">
        <v>2344</v>
      </c>
      <c r="G2015" t="s">
        <v>2344</v>
      </c>
      <c r="H2015">
        <v>0</v>
      </c>
      <c r="I2015" t="s">
        <v>2344</v>
      </c>
      <c r="J2015" t="str">
        <f t="shared" si="125"/>
        <v>Obesity</v>
      </c>
      <c r="K2015" t="str">
        <f t="shared" si="128"/>
        <v>Normal</v>
      </c>
      <c r="L2015">
        <v>30</v>
      </c>
      <c r="M2015" t="s">
        <v>2365</v>
      </c>
      <c r="N2015">
        <v>1988</v>
      </c>
      <c r="O2015" s="8">
        <f t="shared" si="126"/>
        <v>32507</v>
      </c>
      <c r="P2015" s="10">
        <v>29929.56</v>
      </c>
      <c r="Q2015" t="s">
        <v>2361</v>
      </c>
      <c r="R2015" t="s">
        <v>2361</v>
      </c>
      <c r="S2015" t="s">
        <v>2368</v>
      </c>
      <c r="T2015">
        <f t="shared" ca="1" si="127"/>
        <v>38</v>
      </c>
      <c r="U2015">
        <f>VLOOKUP($A2015,'Medical Examination'!$A:$Z,2,FALSE)</f>
        <v>30.875</v>
      </c>
    </row>
    <row r="2016" spans="1:21" ht="15.5" x14ac:dyDescent="0.35">
      <c r="A2016" s="2" t="s">
        <v>2016</v>
      </c>
      <c r="B2016" s="2" t="s">
        <v>5094</v>
      </c>
      <c r="C2016">
        <v>31.79</v>
      </c>
      <c r="D2016">
        <v>7.09</v>
      </c>
      <c r="E2016" t="s">
        <v>2344</v>
      </c>
      <c r="F2016" t="s">
        <v>2344</v>
      </c>
      <c r="G2016" t="s">
        <v>2344</v>
      </c>
      <c r="H2016">
        <v>0</v>
      </c>
      <c r="I2016" t="s">
        <v>2344</v>
      </c>
      <c r="J2016" t="str">
        <f t="shared" si="125"/>
        <v>Obesity</v>
      </c>
      <c r="K2016" t="str">
        <f t="shared" si="128"/>
        <v>Diabetes</v>
      </c>
      <c r="L2016">
        <v>12</v>
      </c>
      <c r="M2016" t="s">
        <v>2362</v>
      </c>
      <c r="N2016">
        <v>1976</v>
      </c>
      <c r="O2016" s="8">
        <f t="shared" si="126"/>
        <v>27923</v>
      </c>
      <c r="P2016" s="10">
        <v>29933.75</v>
      </c>
      <c r="Q2016" t="s">
        <v>2361</v>
      </c>
      <c r="R2016" t="s">
        <v>2361</v>
      </c>
      <c r="S2016" t="s">
        <v>2368</v>
      </c>
      <c r="T2016">
        <f t="shared" ca="1" si="127"/>
        <v>50</v>
      </c>
      <c r="U2016">
        <f>VLOOKUP($A2016,'Medical Examination'!$A:$Z,2,FALSE)</f>
        <v>31.79</v>
      </c>
    </row>
    <row r="2017" spans="1:21" ht="15.5" x14ac:dyDescent="0.35">
      <c r="A2017" s="2" t="s">
        <v>2017</v>
      </c>
      <c r="B2017" s="2" t="s">
        <v>5095</v>
      </c>
      <c r="C2017">
        <v>28.48</v>
      </c>
      <c r="D2017">
        <v>6.22</v>
      </c>
      <c r="E2017" t="s">
        <v>2346</v>
      </c>
      <c r="F2017" t="s">
        <v>2344</v>
      </c>
      <c r="G2017" t="s">
        <v>2346</v>
      </c>
      <c r="H2017">
        <v>1</v>
      </c>
      <c r="I2017" t="s">
        <v>2344</v>
      </c>
      <c r="J2017" t="str">
        <f t="shared" si="125"/>
        <v>Over weight</v>
      </c>
      <c r="K2017" t="str">
        <f t="shared" si="128"/>
        <v>Prediabetes</v>
      </c>
      <c r="L2017">
        <v>5</v>
      </c>
      <c r="M2017" t="s">
        <v>2367</v>
      </c>
      <c r="N2017">
        <v>1991</v>
      </c>
      <c r="O2017" s="8">
        <f t="shared" si="126"/>
        <v>33516</v>
      </c>
      <c r="P2017" s="10">
        <v>29969.67</v>
      </c>
      <c r="Q2017" t="s">
        <v>2361</v>
      </c>
      <c r="R2017" t="s">
        <v>2361</v>
      </c>
      <c r="S2017" t="s">
        <v>2368</v>
      </c>
      <c r="T2017">
        <f t="shared" ca="1" si="127"/>
        <v>35</v>
      </c>
      <c r="U2017">
        <f>VLOOKUP($A2017,'Medical Examination'!$A:$Z,2,FALSE)</f>
        <v>28.48</v>
      </c>
    </row>
    <row r="2018" spans="1:21" ht="15.5" x14ac:dyDescent="0.35">
      <c r="A2018" s="2" t="s">
        <v>2018</v>
      </c>
      <c r="B2018" s="2" t="s">
        <v>5096</v>
      </c>
      <c r="C2018">
        <v>26.6</v>
      </c>
      <c r="D2018">
        <v>4.33</v>
      </c>
      <c r="E2018" t="s">
        <v>2344</v>
      </c>
      <c r="F2018" t="s">
        <v>2344</v>
      </c>
      <c r="G2018" t="s">
        <v>2344</v>
      </c>
      <c r="H2018">
        <v>1</v>
      </c>
      <c r="I2018" t="s">
        <v>2344</v>
      </c>
      <c r="J2018" t="str">
        <f t="shared" si="125"/>
        <v>Over weight</v>
      </c>
      <c r="K2018" t="str">
        <f t="shared" si="128"/>
        <v>Normal</v>
      </c>
      <c r="L2018">
        <v>4</v>
      </c>
      <c r="M2018" t="s">
        <v>2366</v>
      </c>
      <c r="N2018">
        <v>1981</v>
      </c>
      <c r="O2018" s="8">
        <f t="shared" si="126"/>
        <v>29802</v>
      </c>
      <c r="P2018" s="10">
        <v>30026.87</v>
      </c>
      <c r="Q2018" t="s">
        <v>2357</v>
      </c>
      <c r="R2018" t="s">
        <v>2358</v>
      </c>
      <c r="S2018" t="s">
        <v>2364</v>
      </c>
      <c r="T2018">
        <f t="shared" ca="1" si="127"/>
        <v>45</v>
      </c>
      <c r="U2018">
        <f>VLOOKUP($A2018,'Medical Examination'!$A:$Z,2,FALSE)</f>
        <v>26.6</v>
      </c>
    </row>
    <row r="2019" spans="1:21" ht="15.5" x14ac:dyDescent="0.35">
      <c r="A2019" s="2" t="s">
        <v>2019</v>
      </c>
      <c r="B2019" s="2" t="s">
        <v>5098</v>
      </c>
      <c r="C2019">
        <v>25.27</v>
      </c>
      <c r="D2019">
        <v>5.83</v>
      </c>
      <c r="E2019" t="s">
        <v>2344</v>
      </c>
      <c r="F2019" t="s">
        <v>2344</v>
      </c>
      <c r="G2019" t="s">
        <v>2344</v>
      </c>
      <c r="H2019">
        <v>1</v>
      </c>
      <c r="I2019" t="s">
        <v>2344</v>
      </c>
      <c r="J2019" t="str">
        <f t="shared" si="125"/>
        <v>Over weight</v>
      </c>
      <c r="K2019" t="str">
        <f t="shared" si="128"/>
        <v>Prediabetes</v>
      </c>
      <c r="L2019">
        <v>16</v>
      </c>
      <c r="M2019" t="s">
        <v>2362</v>
      </c>
      <c r="N2019">
        <v>1967</v>
      </c>
      <c r="O2019" s="8">
        <f t="shared" si="126"/>
        <v>24639</v>
      </c>
      <c r="P2019" s="10">
        <v>30063.58</v>
      </c>
      <c r="Q2019" t="s">
        <v>2361</v>
      </c>
      <c r="R2019" t="s">
        <v>2361</v>
      </c>
      <c r="S2019" t="s">
        <v>2364</v>
      </c>
      <c r="T2019">
        <f t="shared" ca="1" si="127"/>
        <v>59</v>
      </c>
      <c r="U2019">
        <f>VLOOKUP($A2019,'Medical Examination'!$A:$Z,2,FALSE)</f>
        <v>25.27</v>
      </c>
    </row>
    <row r="2020" spans="1:21" ht="15.5" x14ac:dyDescent="0.35">
      <c r="A2020" s="2" t="s">
        <v>2020</v>
      </c>
      <c r="B2020" s="2" t="s">
        <v>2535</v>
      </c>
      <c r="C2020">
        <v>34.484999999999999</v>
      </c>
      <c r="D2020">
        <v>4.7</v>
      </c>
      <c r="E2020" t="s">
        <v>2346</v>
      </c>
      <c r="F2020" t="s">
        <v>2344</v>
      </c>
      <c r="G2020" t="s">
        <v>2346</v>
      </c>
      <c r="H2020">
        <v>1</v>
      </c>
      <c r="I2020" t="s">
        <v>2344</v>
      </c>
      <c r="J2020" t="str">
        <f t="shared" si="125"/>
        <v>Obesity</v>
      </c>
      <c r="K2020" t="str">
        <f t="shared" si="128"/>
        <v>Normal</v>
      </c>
      <c r="L2020">
        <v>2</v>
      </c>
      <c r="M2020" t="s">
        <v>2363</v>
      </c>
      <c r="N2020">
        <v>1979</v>
      </c>
      <c r="O2020" s="8">
        <f t="shared" si="126"/>
        <v>29100</v>
      </c>
      <c r="P2020" s="10">
        <v>30095.97</v>
      </c>
      <c r="Q2020" t="s">
        <v>2357</v>
      </c>
      <c r="R2020" t="s">
        <v>2358</v>
      </c>
      <c r="S2020" t="s">
        <v>2368</v>
      </c>
      <c r="T2020">
        <f t="shared" ca="1" si="127"/>
        <v>47</v>
      </c>
      <c r="U2020">
        <f>VLOOKUP($A2020,'Medical Examination'!$A:$Z,2,FALSE)</f>
        <v>34.484999999999999</v>
      </c>
    </row>
    <row r="2021" spans="1:21" ht="15.5" x14ac:dyDescent="0.35">
      <c r="A2021" s="2" t="s">
        <v>2021</v>
      </c>
      <c r="B2021" s="2" t="s">
        <v>5100</v>
      </c>
      <c r="C2021">
        <v>15.57</v>
      </c>
      <c r="D2021">
        <v>4.07</v>
      </c>
      <c r="E2021" t="s">
        <v>2346</v>
      </c>
      <c r="F2021" t="s">
        <v>2344</v>
      </c>
      <c r="G2021" t="s">
        <v>2344</v>
      </c>
      <c r="H2021">
        <v>1</v>
      </c>
      <c r="I2021" t="s">
        <v>2344</v>
      </c>
      <c r="J2021" t="str">
        <f t="shared" si="125"/>
        <v>Under Weight</v>
      </c>
      <c r="K2021" t="str">
        <f t="shared" si="128"/>
        <v>Normal</v>
      </c>
      <c r="L2021">
        <v>25</v>
      </c>
      <c r="M2021" t="s">
        <v>2365</v>
      </c>
      <c r="N2021">
        <v>1971</v>
      </c>
      <c r="O2021" s="8">
        <f t="shared" si="126"/>
        <v>26292</v>
      </c>
      <c r="P2021" s="10">
        <v>30134.75</v>
      </c>
      <c r="Q2021" t="s">
        <v>2357</v>
      </c>
      <c r="R2021" t="s">
        <v>2358</v>
      </c>
      <c r="S2021" t="s">
        <v>2368</v>
      </c>
      <c r="T2021">
        <f t="shared" ca="1" si="127"/>
        <v>55</v>
      </c>
      <c r="U2021">
        <f>VLOOKUP($A2021,'Medical Examination'!$A:$Z,2,FALSE)</f>
        <v>15.57</v>
      </c>
    </row>
    <row r="2022" spans="1:21" ht="15.5" x14ac:dyDescent="0.35">
      <c r="A2022" s="2" t="s">
        <v>2022</v>
      </c>
      <c r="B2022" s="2" t="s">
        <v>2835</v>
      </c>
      <c r="C2022">
        <v>30.36</v>
      </c>
      <c r="D2022">
        <v>9.39</v>
      </c>
      <c r="E2022" t="s">
        <v>2344</v>
      </c>
      <c r="F2022" t="s">
        <v>2344</v>
      </c>
      <c r="G2022" t="s">
        <v>2344</v>
      </c>
      <c r="H2022">
        <v>0</v>
      </c>
      <c r="I2022" t="s">
        <v>2344</v>
      </c>
      <c r="J2022" t="str">
        <f t="shared" si="125"/>
        <v>Obesity</v>
      </c>
      <c r="K2022" t="str">
        <f t="shared" si="128"/>
        <v>Diabetes</v>
      </c>
      <c r="L2022">
        <v>11</v>
      </c>
      <c r="M2022" t="s">
        <v>2366</v>
      </c>
      <c r="N2022">
        <v>1958</v>
      </c>
      <c r="O2022" s="8">
        <f t="shared" si="126"/>
        <v>21408</v>
      </c>
      <c r="P2022" s="10">
        <v>30166.62</v>
      </c>
      <c r="Q2022" t="s">
        <v>2361</v>
      </c>
      <c r="R2022" t="s">
        <v>2358</v>
      </c>
      <c r="S2022" t="s">
        <v>2364</v>
      </c>
      <c r="T2022">
        <f t="shared" ca="1" si="127"/>
        <v>68</v>
      </c>
      <c r="U2022">
        <f>VLOOKUP($A2022,'Medical Examination'!$A:$Z,2,FALSE)</f>
        <v>30.36</v>
      </c>
    </row>
    <row r="2023" spans="1:21" ht="15.5" x14ac:dyDescent="0.35">
      <c r="A2023" s="2" t="s">
        <v>2023</v>
      </c>
      <c r="B2023" s="2" t="s">
        <v>5102</v>
      </c>
      <c r="C2023">
        <v>19.37</v>
      </c>
      <c r="D2023">
        <v>4.18</v>
      </c>
      <c r="E2023" t="s">
        <v>2344</v>
      </c>
      <c r="F2023" t="s">
        <v>2344</v>
      </c>
      <c r="G2023" t="s">
        <v>2344</v>
      </c>
      <c r="H2023">
        <v>0</v>
      </c>
      <c r="I2023" t="s">
        <v>2344</v>
      </c>
      <c r="J2023" t="str">
        <f t="shared" si="125"/>
        <v>Normal Weight</v>
      </c>
      <c r="K2023" t="str">
        <f t="shared" si="128"/>
        <v>Normal</v>
      </c>
      <c r="L2023">
        <v>13</v>
      </c>
      <c r="M2023" t="s">
        <v>2363</v>
      </c>
      <c r="N2023">
        <v>1963</v>
      </c>
      <c r="O2023" s="8">
        <f t="shared" si="126"/>
        <v>23267</v>
      </c>
      <c r="P2023" s="10">
        <v>30184.94</v>
      </c>
      <c r="Q2023" t="s">
        <v>2361</v>
      </c>
      <c r="R2023" t="s">
        <v>2361</v>
      </c>
      <c r="S2023" t="s">
        <v>2376</v>
      </c>
      <c r="T2023">
        <f t="shared" ca="1" si="127"/>
        <v>63</v>
      </c>
      <c r="U2023">
        <f>VLOOKUP($A2023,'Medical Examination'!$A:$Z,2,FALSE)</f>
        <v>19.37</v>
      </c>
    </row>
    <row r="2024" spans="1:21" ht="15.5" x14ac:dyDescent="0.35">
      <c r="A2024" s="2" t="s">
        <v>2024</v>
      </c>
      <c r="B2024" s="2" t="s">
        <v>5104</v>
      </c>
      <c r="C2024">
        <v>16.71</v>
      </c>
      <c r="D2024">
        <v>4.18</v>
      </c>
      <c r="E2024" t="s">
        <v>2344</v>
      </c>
      <c r="F2024" t="s">
        <v>2344</v>
      </c>
      <c r="G2024" t="s">
        <v>2344</v>
      </c>
      <c r="H2024">
        <v>1</v>
      </c>
      <c r="I2024" t="s">
        <v>2344</v>
      </c>
      <c r="J2024" t="str">
        <f t="shared" si="125"/>
        <v>Under Weight</v>
      </c>
      <c r="K2024" t="str">
        <f t="shared" si="128"/>
        <v>Normal</v>
      </c>
      <c r="L2024">
        <v>15</v>
      </c>
      <c r="M2024" t="s">
        <v>2363</v>
      </c>
      <c r="N2024">
        <v>1962</v>
      </c>
      <c r="O2024" s="8">
        <f t="shared" si="126"/>
        <v>22904</v>
      </c>
      <c r="P2024" s="10">
        <v>30260</v>
      </c>
      <c r="Q2024" t="s">
        <v>2361</v>
      </c>
      <c r="R2024" t="s">
        <v>2361</v>
      </c>
      <c r="S2024" t="s">
        <v>2376</v>
      </c>
      <c r="T2024">
        <f t="shared" ca="1" si="127"/>
        <v>64</v>
      </c>
      <c r="U2024">
        <f>VLOOKUP($A2024,'Medical Examination'!$A:$Z,2,FALSE)</f>
        <v>16.71</v>
      </c>
    </row>
    <row r="2025" spans="1:21" ht="15.5" x14ac:dyDescent="0.35">
      <c r="A2025" s="2" t="s">
        <v>2025</v>
      </c>
      <c r="B2025" s="2" t="s">
        <v>5106</v>
      </c>
      <c r="C2025">
        <v>24.1</v>
      </c>
      <c r="D2025">
        <v>4.4000000000000004</v>
      </c>
      <c r="E2025" t="s">
        <v>2346</v>
      </c>
      <c r="F2025" t="s">
        <v>2344</v>
      </c>
      <c r="G2025" t="s">
        <v>2344</v>
      </c>
      <c r="H2025">
        <v>1</v>
      </c>
      <c r="I2025" t="s">
        <v>2344</v>
      </c>
      <c r="J2025" t="str">
        <f t="shared" si="125"/>
        <v>Normal Weight</v>
      </c>
      <c r="K2025" t="str">
        <f t="shared" si="128"/>
        <v>Normal</v>
      </c>
      <c r="L2025">
        <v>24</v>
      </c>
      <c r="M2025" t="s">
        <v>2356</v>
      </c>
      <c r="N2025">
        <v>1972</v>
      </c>
      <c r="O2025" s="8">
        <f t="shared" si="126"/>
        <v>26504</v>
      </c>
      <c r="P2025" s="10">
        <v>30284.639999999999</v>
      </c>
      <c r="Q2025" t="s">
        <v>2361</v>
      </c>
      <c r="R2025" t="s">
        <v>2361</v>
      </c>
      <c r="S2025" t="s">
        <v>2364</v>
      </c>
      <c r="T2025">
        <f t="shared" ca="1" si="127"/>
        <v>54</v>
      </c>
      <c r="U2025">
        <f>VLOOKUP($A2025,'Medical Examination'!$A:$Z,2,FALSE)</f>
        <v>24.1</v>
      </c>
    </row>
    <row r="2026" spans="1:21" ht="15.5" x14ac:dyDescent="0.35">
      <c r="A2026" s="2" t="s">
        <v>2026</v>
      </c>
      <c r="B2026" s="2" t="s">
        <v>5107</v>
      </c>
      <c r="C2026">
        <v>29.77</v>
      </c>
      <c r="D2026">
        <v>9.9</v>
      </c>
      <c r="E2026" t="s">
        <v>2344</v>
      </c>
      <c r="F2026" t="s">
        <v>2344</v>
      </c>
      <c r="G2026" t="s">
        <v>2344</v>
      </c>
      <c r="H2026">
        <v>0</v>
      </c>
      <c r="I2026" t="s">
        <v>2344</v>
      </c>
      <c r="J2026" t="str">
        <f t="shared" si="125"/>
        <v>Over weight</v>
      </c>
      <c r="K2026" t="str">
        <f t="shared" si="128"/>
        <v>Diabetes</v>
      </c>
      <c r="L2026">
        <v>1</v>
      </c>
      <c r="M2026" t="s">
        <v>2362</v>
      </c>
      <c r="N2026">
        <v>2004</v>
      </c>
      <c r="O2026" s="8">
        <f t="shared" si="126"/>
        <v>38139</v>
      </c>
      <c r="P2026" s="10">
        <v>30328.27</v>
      </c>
      <c r="Q2026" t="s">
        <v>2357</v>
      </c>
      <c r="R2026" t="s">
        <v>2357</v>
      </c>
      <c r="S2026" t="s">
        <v>2368</v>
      </c>
      <c r="T2026">
        <f t="shared" ca="1" si="127"/>
        <v>22</v>
      </c>
      <c r="U2026">
        <f>VLOOKUP($A2026,'Medical Examination'!$A:$Z,2,FALSE)</f>
        <v>29.77</v>
      </c>
    </row>
    <row r="2027" spans="1:21" ht="15.5" x14ac:dyDescent="0.35">
      <c r="A2027" s="2" t="s">
        <v>2027</v>
      </c>
      <c r="B2027" s="2" t="s">
        <v>5108</v>
      </c>
      <c r="C2027">
        <v>46.53</v>
      </c>
      <c r="D2027">
        <v>4.84</v>
      </c>
      <c r="E2027" t="s">
        <v>2346</v>
      </c>
      <c r="F2027" t="s">
        <v>2344</v>
      </c>
      <c r="G2027" t="s">
        <v>2344</v>
      </c>
      <c r="H2027">
        <v>0</v>
      </c>
      <c r="I2027" t="s">
        <v>2344</v>
      </c>
      <c r="J2027" t="str">
        <f t="shared" si="125"/>
        <v>Obesity</v>
      </c>
      <c r="K2027" t="str">
        <f t="shared" si="128"/>
        <v>Normal</v>
      </c>
      <c r="L2027">
        <v>30</v>
      </c>
      <c r="M2027" t="s">
        <v>2356</v>
      </c>
      <c r="N2027">
        <v>1969</v>
      </c>
      <c r="O2027" s="8">
        <f t="shared" si="126"/>
        <v>25414</v>
      </c>
      <c r="P2027" s="10">
        <v>30366.93</v>
      </c>
      <c r="Q2027" t="s">
        <v>2357</v>
      </c>
      <c r="R2027" t="s">
        <v>2357</v>
      </c>
      <c r="S2027" t="s">
        <v>2368</v>
      </c>
      <c r="T2027">
        <f t="shared" ca="1" si="127"/>
        <v>57</v>
      </c>
      <c r="U2027">
        <f>VLOOKUP($A2027,'Medical Examination'!$A:$Z,2,FALSE)</f>
        <v>46.53</v>
      </c>
    </row>
    <row r="2028" spans="1:21" ht="15.5" x14ac:dyDescent="0.35">
      <c r="A2028" s="2" t="s">
        <v>2028</v>
      </c>
      <c r="B2028" s="2" t="s">
        <v>4608</v>
      </c>
      <c r="C2028">
        <v>23.4</v>
      </c>
      <c r="D2028">
        <v>5.53</v>
      </c>
      <c r="E2028" t="s">
        <v>2344</v>
      </c>
      <c r="F2028" t="s">
        <v>2344</v>
      </c>
      <c r="G2028" t="s">
        <v>2346</v>
      </c>
      <c r="H2028">
        <v>1</v>
      </c>
      <c r="I2028" t="s">
        <v>2344</v>
      </c>
      <c r="J2028" t="str">
        <f t="shared" si="125"/>
        <v>Normal Weight</v>
      </c>
      <c r="K2028" t="str">
        <f t="shared" si="128"/>
        <v>Normal</v>
      </c>
      <c r="L2028">
        <v>3</v>
      </c>
      <c r="M2028" t="s">
        <v>2363</v>
      </c>
      <c r="N2028">
        <v>1976</v>
      </c>
      <c r="O2028" s="8">
        <f t="shared" si="126"/>
        <v>28006</v>
      </c>
      <c r="P2028" s="10">
        <v>30409.53</v>
      </c>
      <c r="Q2028" t="s">
        <v>2357</v>
      </c>
      <c r="R2028" t="s">
        <v>2358</v>
      </c>
      <c r="S2028" t="s">
        <v>2364</v>
      </c>
      <c r="T2028">
        <f t="shared" ca="1" si="127"/>
        <v>50</v>
      </c>
      <c r="U2028">
        <f>VLOOKUP($A2028,'Medical Examination'!$A:$Z,2,FALSE)</f>
        <v>23.4</v>
      </c>
    </row>
    <row r="2029" spans="1:21" ht="15.5" x14ac:dyDescent="0.35">
      <c r="A2029" s="2" t="s">
        <v>2029</v>
      </c>
      <c r="B2029" s="2" t="s">
        <v>5110</v>
      </c>
      <c r="C2029">
        <v>30</v>
      </c>
      <c r="D2029">
        <v>4.33</v>
      </c>
      <c r="E2029" t="s">
        <v>2346</v>
      </c>
      <c r="F2029" t="s">
        <v>2344</v>
      </c>
      <c r="G2029" t="s">
        <v>2344</v>
      </c>
      <c r="H2029">
        <v>0</v>
      </c>
      <c r="I2029" t="s">
        <v>2344</v>
      </c>
      <c r="J2029" t="str">
        <f t="shared" si="125"/>
        <v>Obesity</v>
      </c>
      <c r="K2029" t="str">
        <f t="shared" si="128"/>
        <v>Normal</v>
      </c>
      <c r="L2029">
        <v>28</v>
      </c>
      <c r="M2029" t="s">
        <v>2367</v>
      </c>
      <c r="N2029">
        <v>1998</v>
      </c>
      <c r="O2029" s="8">
        <f t="shared" si="126"/>
        <v>36096</v>
      </c>
      <c r="P2029" s="10">
        <v>30422.03</v>
      </c>
      <c r="Q2029" t="s">
        <v>2357</v>
      </c>
      <c r="R2029" t="s">
        <v>2358</v>
      </c>
      <c r="S2029" t="s">
        <v>2368</v>
      </c>
      <c r="T2029">
        <f t="shared" ca="1" si="127"/>
        <v>28</v>
      </c>
      <c r="U2029">
        <f>VLOOKUP($A2029,'Medical Examination'!$A:$Z,2,FALSE)</f>
        <v>30</v>
      </c>
    </row>
    <row r="2030" spans="1:21" ht="15.5" x14ac:dyDescent="0.35">
      <c r="A2030" s="2" t="s">
        <v>2030</v>
      </c>
      <c r="B2030" s="2" t="s">
        <v>5112</v>
      </c>
      <c r="C2030">
        <v>29.15</v>
      </c>
      <c r="D2030">
        <v>4.91</v>
      </c>
      <c r="E2030" t="s">
        <v>2346</v>
      </c>
      <c r="F2030" t="s">
        <v>2344</v>
      </c>
      <c r="G2030" t="s">
        <v>2344</v>
      </c>
      <c r="H2030">
        <v>0</v>
      </c>
      <c r="I2030" t="s">
        <v>2344</v>
      </c>
      <c r="J2030" t="str">
        <f t="shared" si="125"/>
        <v>Over weight</v>
      </c>
      <c r="K2030" t="str">
        <f t="shared" si="128"/>
        <v>Normal</v>
      </c>
      <c r="L2030">
        <v>3</v>
      </c>
      <c r="M2030" t="s">
        <v>2363</v>
      </c>
      <c r="N2030">
        <v>1983</v>
      </c>
      <c r="O2030" s="8">
        <f t="shared" si="126"/>
        <v>30562</v>
      </c>
      <c r="P2030" s="10">
        <v>30457.37</v>
      </c>
      <c r="Q2030" t="s">
        <v>2357</v>
      </c>
      <c r="R2030" t="s">
        <v>2361</v>
      </c>
      <c r="S2030" t="s">
        <v>2364</v>
      </c>
      <c r="T2030">
        <f t="shared" ca="1" si="127"/>
        <v>43</v>
      </c>
      <c r="U2030">
        <f>VLOOKUP($A2030,'Medical Examination'!$A:$Z,2,FALSE)</f>
        <v>29.15</v>
      </c>
    </row>
    <row r="2031" spans="1:21" ht="15.5" x14ac:dyDescent="0.35">
      <c r="A2031" s="2" t="s">
        <v>2031</v>
      </c>
      <c r="B2031" s="2" t="s">
        <v>5113</v>
      </c>
      <c r="C2031">
        <v>34.865000000000002</v>
      </c>
      <c r="D2031">
        <v>4.8</v>
      </c>
      <c r="E2031" t="s">
        <v>2344</v>
      </c>
      <c r="F2031" t="s">
        <v>2344</v>
      </c>
      <c r="G2031" t="s">
        <v>2344</v>
      </c>
      <c r="H2031">
        <v>0</v>
      </c>
      <c r="I2031" t="s">
        <v>2344</v>
      </c>
      <c r="J2031" t="str">
        <f t="shared" si="125"/>
        <v>Obesity</v>
      </c>
      <c r="K2031" t="str">
        <f t="shared" si="128"/>
        <v>Normal</v>
      </c>
      <c r="L2031">
        <v>10</v>
      </c>
      <c r="M2031" t="s">
        <v>2366</v>
      </c>
      <c r="N2031">
        <v>1986</v>
      </c>
      <c r="O2031" s="8">
        <f t="shared" si="126"/>
        <v>31634</v>
      </c>
      <c r="P2031" s="10">
        <v>30530.5</v>
      </c>
      <c r="Q2031" t="s">
        <v>2357</v>
      </c>
      <c r="R2031" t="s">
        <v>2361</v>
      </c>
      <c r="S2031" t="s">
        <v>2368</v>
      </c>
      <c r="T2031">
        <f t="shared" ca="1" si="127"/>
        <v>40</v>
      </c>
      <c r="U2031">
        <f>VLOOKUP($A2031,'Medical Examination'!$A:$Z,2,FALSE)</f>
        <v>34.865000000000002</v>
      </c>
    </row>
    <row r="2032" spans="1:21" ht="15.5" x14ac:dyDescent="0.35">
      <c r="A2032" s="2" t="s">
        <v>2032</v>
      </c>
      <c r="B2032" s="2" t="s">
        <v>5115</v>
      </c>
      <c r="C2032">
        <v>28.12</v>
      </c>
      <c r="D2032">
        <v>5.55</v>
      </c>
      <c r="E2032" t="s">
        <v>2346</v>
      </c>
      <c r="F2032" t="s">
        <v>2345</v>
      </c>
      <c r="G2032" t="s">
        <v>2344</v>
      </c>
      <c r="H2032">
        <v>1</v>
      </c>
      <c r="I2032" t="s">
        <v>2344</v>
      </c>
      <c r="J2032" t="str">
        <f t="shared" si="125"/>
        <v>Over weight</v>
      </c>
      <c r="K2032" t="str">
        <f t="shared" si="128"/>
        <v>Normal</v>
      </c>
      <c r="L2032">
        <v>11</v>
      </c>
      <c r="M2032" t="s">
        <v>2360</v>
      </c>
      <c r="N2032">
        <v>1970</v>
      </c>
      <c r="O2032" s="8">
        <f t="shared" si="126"/>
        <v>25883</v>
      </c>
      <c r="P2032" s="10">
        <v>30625.65</v>
      </c>
      <c r="Q2032" t="s">
        <v>2357</v>
      </c>
      <c r="R2032" t="s">
        <v>2358</v>
      </c>
      <c r="S2032" t="s">
        <v>2368</v>
      </c>
      <c r="T2032">
        <f t="shared" ca="1" si="127"/>
        <v>56</v>
      </c>
      <c r="U2032">
        <f>VLOOKUP($A2032,'Medical Examination'!$A:$Z,2,FALSE)</f>
        <v>28.12</v>
      </c>
    </row>
    <row r="2033" spans="1:21" ht="15.5" x14ac:dyDescent="0.35">
      <c r="A2033" s="2" t="s">
        <v>2033</v>
      </c>
      <c r="B2033" s="2" t="s">
        <v>3561</v>
      </c>
      <c r="C2033">
        <v>29.45</v>
      </c>
      <c r="D2033">
        <v>5.24</v>
      </c>
      <c r="E2033" t="s">
        <v>2346</v>
      </c>
      <c r="F2033" t="s">
        <v>2344</v>
      </c>
      <c r="G2033" t="s">
        <v>2344</v>
      </c>
      <c r="H2033">
        <v>0</v>
      </c>
      <c r="I2033" t="s">
        <v>2344</v>
      </c>
      <c r="J2033" t="str">
        <f t="shared" si="125"/>
        <v>Over weight</v>
      </c>
      <c r="K2033" t="str">
        <f t="shared" si="128"/>
        <v>Normal</v>
      </c>
      <c r="L2033">
        <v>21</v>
      </c>
      <c r="M2033" t="s">
        <v>2363</v>
      </c>
      <c r="N2033">
        <v>1999</v>
      </c>
      <c r="O2033" s="8">
        <f t="shared" si="126"/>
        <v>36424</v>
      </c>
      <c r="P2033" s="10">
        <v>30697.71</v>
      </c>
      <c r="Q2033" t="s">
        <v>2361</v>
      </c>
      <c r="R2033" t="s">
        <v>2357</v>
      </c>
      <c r="S2033" t="s">
        <v>2368</v>
      </c>
      <c r="T2033">
        <f t="shared" ca="1" si="127"/>
        <v>27</v>
      </c>
      <c r="U2033">
        <f>VLOOKUP($A2033,'Medical Examination'!$A:$Z,2,FALSE)</f>
        <v>29.45</v>
      </c>
    </row>
    <row r="2034" spans="1:21" ht="15.5" x14ac:dyDescent="0.35">
      <c r="A2034" s="2" t="s">
        <v>2034</v>
      </c>
      <c r="B2034" s="2" t="s">
        <v>5118</v>
      </c>
      <c r="C2034">
        <v>27.94</v>
      </c>
      <c r="D2034">
        <v>6.08</v>
      </c>
      <c r="E2034" t="s">
        <v>2344</v>
      </c>
      <c r="F2034" t="s">
        <v>2344</v>
      </c>
      <c r="G2034" t="s">
        <v>2346</v>
      </c>
      <c r="H2034">
        <v>1</v>
      </c>
      <c r="I2034" t="s">
        <v>2344</v>
      </c>
      <c r="J2034" t="str">
        <f t="shared" si="125"/>
        <v>Over weight</v>
      </c>
      <c r="K2034" t="str">
        <f t="shared" si="128"/>
        <v>Prediabetes</v>
      </c>
      <c r="L2034">
        <v>21</v>
      </c>
      <c r="M2034" t="s">
        <v>2365</v>
      </c>
      <c r="N2034">
        <v>1983</v>
      </c>
      <c r="O2034" s="8">
        <f t="shared" si="126"/>
        <v>30671</v>
      </c>
      <c r="P2034" s="10">
        <v>30724.44</v>
      </c>
      <c r="Q2034" t="s">
        <v>2357</v>
      </c>
      <c r="R2034" t="s">
        <v>2358</v>
      </c>
      <c r="S2034" t="s">
        <v>2368</v>
      </c>
      <c r="T2034">
        <f t="shared" ca="1" si="127"/>
        <v>43</v>
      </c>
      <c r="U2034">
        <f>VLOOKUP($A2034,'Medical Examination'!$A:$Z,2,FALSE)</f>
        <v>27.94</v>
      </c>
    </row>
    <row r="2035" spans="1:21" ht="15.5" x14ac:dyDescent="0.35">
      <c r="A2035" s="2" t="s">
        <v>2035</v>
      </c>
      <c r="B2035" s="2" t="s">
        <v>5119</v>
      </c>
      <c r="C2035">
        <v>27.2</v>
      </c>
      <c r="D2035">
        <v>5.83</v>
      </c>
      <c r="E2035" t="s">
        <v>2344</v>
      </c>
      <c r="F2035" t="s">
        <v>2344</v>
      </c>
      <c r="G2035" t="s">
        <v>2346</v>
      </c>
      <c r="H2035">
        <v>1</v>
      </c>
      <c r="I2035" t="s">
        <v>2344</v>
      </c>
      <c r="J2035" t="str">
        <f t="shared" si="125"/>
        <v>Over weight</v>
      </c>
      <c r="K2035" t="str">
        <f t="shared" si="128"/>
        <v>Prediabetes</v>
      </c>
      <c r="L2035">
        <v>5</v>
      </c>
      <c r="M2035" t="s">
        <v>2363</v>
      </c>
      <c r="N2035">
        <v>1988</v>
      </c>
      <c r="O2035" s="8">
        <f t="shared" si="126"/>
        <v>32391</v>
      </c>
      <c r="P2035" s="10">
        <v>30763.01</v>
      </c>
      <c r="Q2035" t="s">
        <v>2357</v>
      </c>
      <c r="R2035" t="s">
        <v>2361</v>
      </c>
      <c r="S2035" t="s">
        <v>2368</v>
      </c>
      <c r="T2035">
        <f t="shared" ca="1" si="127"/>
        <v>38</v>
      </c>
      <c r="U2035">
        <f>VLOOKUP($A2035,'Medical Examination'!$A:$Z,2,FALSE)</f>
        <v>27.2</v>
      </c>
    </row>
    <row r="2036" spans="1:21" ht="15.5" x14ac:dyDescent="0.35">
      <c r="A2036" s="2" t="s">
        <v>2036</v>
      </c>
      <c r="B2036" s="2" t="s">
        <v>5120</v>
      </c>
      <c r="C2036">
        <v>33.344999999999999</v>
      </c>
      <c r="D2036">
        <v>4.29</v>
      </c>
      <c r="E2036" t="s">
        <v>2344</v>
      </c>
      <c r="F2036" t="s">
        <v>2344</v>
      </c>
      <c r="G2036" t="s">
        <v>2344</v>
      </c>
      <c r="H2036">
        <v>1</v>
      </c>
      <c r="I2036" t="s">
        <v>2344</v>
      </c>
      <c r="J2036" t="str">
        <f t="shared" si="125"/>
        <v>Obesity</v>
      </c>
      <c r="K2036" t="str">
        <f t="shared" si="128"/>
        <v>Normal</v>
      </c>
      <c r="L2036">
        <v>9</v>
      </c>
      <c r="M2036" t="s">
        <v>2363</v>
      </c>
      <c r="N2036">
        <v>1961</v>
      </c>
      <c r="O2036" s="8">
        <f t="shared" si="126"/>
        <v>22533</v>
      </c>
      <c r="P2036" s="10">
        <v>30942.19</v>
      </c>
      <c r="Q2036" t="s">
        <v>2357</v>
      </c>
      <c r="R2036" t="s">
        <v>2357</v>
      </c>
      <c r="S2036" t="s">
        <v>2359</v>
      </c>
      <c r="T2036">
        <f t="shared" ca="1" si="127"/>
        <v>65</v>
      </c>
      <c r="U2036">
        <f>VLOOKUP($A2036,'Medical Examination'!$A:$Z,2,FALSE)</f>
        <v>33.344999999999999</v>
      </c>
    </row>
    <row r="2037" spans="1:21" ht="15.5" x14ac:dyDescent="0.35">
      <c r="A2037" s="2" t="s">
        <v>2037</v>
      </c>
      <c r="B2037" s="2" t="s">
        <v>5122</v>
      </c>
      <c r="C2037">
        <v>29.925000000000001</v>
      </c>
      <c r="D2037">
        <v>5.3</v>
      </c>
      <c r="E2037" t="s">
        <v>2344</v>
      </c>
      <c r="F2037" t="s">
        <v>2344</v>
      </c>
      <c r="G2037" t="s">
        <v>2344</v>
      </c>
      <c r="H2037">
        <v>1</v>
      </c>
      <c r="I2037" t="s">
        <v>2344</v>
      </c>
      <c r="J2037" t="str">
        <f t="shared" si="125"/>
        <v>Over weight</v>
      </c>
      <c r="K2037" t="str">
        <f t="shared" si="128"/>
        <v>Normal</v>
      </c>
      <c r="L2037">
        <v>9</v>
      </c>
      <c r="M2037" t="s">
        <v>2360</v>
      </c>
      <c r="N2037">
        <v>2004</v>
      </c>
      <c r="O2037" s="8">
        <f t="shared" si="126"/>
        <v>38300</v>
      </c>
      <c r="P2037" s="10">
        <v>31196.61</v>
      </c>
      <c r="Q2037" t="s">
        <v>2357</v>
      </c>
      <c r="R2037" t="s">
        <v>2361</v>
      </c>
      <c r="S2037" t="s">
        <v>2368</v>
      </c>
      <c r="T2037">
        <f t="shared" ca="1" si="127"/>
        <v>22</v>
      </c>
      <c r="U2037">
        <f>VLOOKUP($A2037,'Medical Examination'!$A:$Z,2,FALSE)</f>
        <v>29.925000000000001</v>
      </c>
    </row>
    <row r="2038" spans="1:21" ht="15.5" x14ac:dyDescent="0.35">
      <c r="A2038" s="2" t="s">
        <v>2038</v>
      </c>
      <c r="B2038" s="2" t="s">
        <v>5124</v>
      </c>
      <c r="C2038">
        <v>24.225000000000001</v>
      </c>
      <c r="D2038">
        <v>4.42</v>
      </c>
      <c r="E2038" t="s">
        <v>2344</v>
      </c>
      <c r="F2038" t="s">
        <v>2344</v>
      </c>
      <c r="G2038" t="s">
        <v>2344</v>
      </c>
      <c r="H2038">
        <v>1</v>
      </c>
      <c r="I2038" t="s">
        <v>2344</v>
      </c>
      <c r="J2038" t="str">
        <f t="shared" si="125"/>
        <v>Normal Weight</v>
      </c>
      <c r="K2038" t="str">
        <f t="shared" si="128"/>
        <v>Normal</v>
      </c>
      <c r="L2038">
        <v>22</v>
      </c>
      <c r="M2038" t="s">
        <v>2356</v>
      </c>
      <c r="N2038">
        <v>2000</v>
      </c>
      <c r="O2038" s="8">
        <f t="shared" si="126"/>
        <v>36729</v>
      </c>
      <c r="P2038" s="10">
        <v>31234.560000000001</v>
      </c>
      <c r="Q2038" t="s">
        <v>2361</v>
      </c>
      <c r="R2038" t="s">
        <v>2361</v>
      </c>
      <c r="S2038" t="s">
        <v>2368</v>
      </c>
      <c r="T2038">
        <f t="shared" ca="1" si="127"/>
        <v>26</v>
      </c>
      <c r="U2038">
        <f>VLOOKUP($A2038,'Medical Examination'!$A:$Z,2,FALSE)</f>
        <v>24.225000000000001</v>
      </c>
    </row>
    <row r="2039" spans="1:21" ht="15.5" x14ac:dyDescent="0.35">
      <c r="A2039" s="2" t="s">
        <v>2039</v>
      </c>
      <c r="B2039" s="2" t="s">
        <v>5125</v>
      </c>
      <c r="C2039">
        <v>29.68</v>
      </c>
      <c r="D2039">
        <v>5.68</v>
      </c>
      <c r="E2039" t="s">
        <v>2344</v>
      </c>
      <c r="F2039" t="s">
        <v>2345</v>
      </c>
      <c r="G2039" t="s">
        <v>2344</v>
      </c>
      <c r="H2039">
        <v>1</v>
      </c>
      <c r="I2039" t="s">
        <v>2344</v>
      </c>
      <c r="J2039" t="str">
        <f t="shared" si="125"/>
        <v>Over weight</v>
      </c>
      <c r="K2039" t="str">
        <f t="shared" si="128"/>
        <v>Normal</v>
      </c>
      <c r="L2039">
        <v>9</v>
      </c>
      <c r="M2039" t="s">
        <v>2356</v>
      </c>
      <c r="N2039">
        <v>1968</v>
      </c>
      <c r="O2039" s="8">
        <f t="shared" si="126"/>
        <v>25028</v>
      </c>
      <c r="P2039" s="10">
        <v>31322.53</v>
      </c>
      <c r="Q2039" t="s">
        <v>2357</v>
      </c>
      <c r="R2039" t="s">
        <v>2361</v>
      </c>
      <c r="S2039" t="s">
        <v>2368</v>
      </c>
      <c r="T2039">
        <f t="shared" ca="1" si="127"/>
        <v>58</v>
      </c>
      <c r="U2039">
        <f>VLOOKUP($A2039,'Medical Examination'!$A:$Z,2,FALSE)</f>
        <v>29.68</v>
      </c>
    </row>
    <row r="2040" spans="1:21" ht="15.5" x14ac:dyDescent="0.35">
      <c r="A2040" s="2" t="s">
        <v>2040</v>
      </c>
      <c r="B2040" s="2" t="s">
        <v>2541</v>
      </c>
      <c r="C2040">
        <v>20.614999999999998</v>
      </c>
      <c r="D2040">
        <v>6.05</v>
      </c>
      <c r="E2040" t="s">
        <v>2344</v>
      </c>
      <c r="F2040" t="s">
        <v>2344</v>
      </c>
      <c r="G2040" t="s">
        <v>2346</v>
      </c>
      <c r="H2040">
        <v>1</v>
      </c>
      <c r="I2040" t="s">
        <v>2344</v>
      </c>
      <c r="J2040" t="str">
        <f t="shared" si="125"/>
        <v>Normal Weight</v>
      </c>
      <c r="K2040" t="str">
        <f t="shared" si="128"/>
        <v>Prediabetes</v>
      </c>
      <c r="L2040">
        <v>27</v>
      </c>
      <c r="M2040" t="s">
        <v>2363</v>
      </c>
      <c r="N2040">
        <v>1995</v>
      </c>
      <c r="O2040" s="8">
        <f t="shared" si="126"/>
        <v>34969</v>
      </c>
      <c r="P2040" s="10">
        <v>31328.27</v>
      </c>
      <c r="Q2040" t="s">
        <v>2357</v>
      </c>
      <c r="R2040" t="s">
        <v>2357</v>
      </c>
      <c r="S2040" t="s">
        <v>2368</v>
      </c>
      <c r="T2040">
        <f t="shared" ca="1" si="127"/>
        <v>31</v>
      </c>
      <c r="U2040">
        <f>VLOOKUP($A2040,'Medical Examination'!$A:$Z,2,FALSE)</f>
        <v>20.614999999999998</v>
      </c>
    </row>
    <row r="2041" spans="1:21" ht="15.5" x14ac:dyDescent="0.35">
      <c r="A2041" s="2" t="s">
        <v>2041</v>
      </c>
      <c r="B2041" s="2" t="s">
        <v>5126</v>
      </c>
      <c r="C2041">
        <v>32.119999999999997</v>
      </c>
      <c r="D2041">
        <v>5.33</v>
      </c>
      <c r="E2041" t="s">
        <v>2344</v>
      </c>
      <c r="F2041" t="s">
        <v>2345</v>
      </c>
      <c r="G2041" t="s">
        <v>2344</v>
      </c>
      <c r="H2041">
        <v>1</v>
      </c>
      <c r="I2041" t="s">
        <v>2344</v>
      </c>
      <c r="J2041" t="str">
        <f t="shared" si="125"/>
        <v>Obesity</v>
      </c>
      <c r="K2041" t="str">
        <f t="shared" si="128"/>
        <v>Normal</v>
      </c>
      <c r="L2041">
        <v>8</v>
      </c>
      <c r="M2041" t="s">
        <v>2367</v>
      </c>
      <c r="N2041">
        <v>1974</v>
      </c>
      <c r="O2041" s="8">
        <f t="shared" si="126"/>
        <v>27310</v>
      </c>
      <c r="P2041" s="10">
        <v>31368.81</v>
      </c>
      <c r="Q2041" t="s">
        <v>2357</v>
      </c>
      <c r="R2041" t="s">
        <v>2358</v>
      </c>
      <c r="S2041" t="s">
        <v>2368</v>
      </c>
      <c r="T2041">
        <f t="shared" ca="1" si="127"/>
        <v>52</v>
      </c>
      <c r="U2041">
        <f>VLOOKUP($A2041,'Medical Examination'!$A:$Z,2,FALSE)</f>
        <v>32.119999999999997</v>
      </c>
    </row>
    <row r="2042" spans="1:21" ht="15.5" x14ac:dyDescent="0.35">
      <c r="A2042" s="2" t="s">
        <v>2042</v>
      </c>
      <c r="B2042" s="2" t="s">
        <v>3793</v>
      </c>
      <c r="C2042">
        <v>27.36</v>
      </c>
      <c r="D2042">
        <v>6.22</v>
      </c>
      <c r="E2042" t="s">
        <v>2344</v>
      </c>
      <c r="F2042" t="s">
        <v>2344</v>
      </c>
      <c r="G2042" t="s">
        <v>2344</v>
      </c>
      <c r="H2042">
        <v>0</v>
      </c>
      <c r="I2042" t="s">
        <v>2344</v>
      </c>
      <c r="J2042" t="str">
        <f t="shared" si="125"/>
        <v>Over weight</v>
      </c>
      <c r="K2042" t="str">
        <f t="shared" si="128"/>
        <v>Prediabetes</v>
      </c>
      <c r="L2042">
        <v>29</v>
      </c>
      <c r="M2042" t="s">
        <v>2367</v>
      </c>
      <c r="N2042">
        <v>1975</v>
      </c>
      <c r="O2042" s="8">
        <f t="shared" si="126"/>
        <v>27696</v>
      </c>
      <c r="P2042" s="10">
        <v>31591.82</v>
      </c>
      <c r="Q2042" t="s">
        <v>2357</v>
      </c>
      <c r="R2042" t="s">
        <v>2361</v>
      </c>
      <c r="S2042" t="s">
        <v>2368</v>
      </c>
      <c r="T2042">
        <f t="shared" ca="1" si="127"/>
        <v>51</v>
      </c>
      <c r="U2042">
        <f>VLOOKUP($A2042,'Medical Examination'!$A:$Z,2,FALSE)</f>
        <v>27.36</v>
      </c>
    </row>
    <row r="2043" spans="1:21" ht="15.5" x14ac:dyDescent="0.35">
      <c r="A2043" s="2" t="s">
        <v>2043</v>
      </c>
      <c r="B2043" s="2" t="s">
        <v>5127</v>
      </c>
      <c r="C2043">
        <v>17.385000000000002</v>
      </c>
      <c r="D2043">
        <v>5.84</v>
      </c>
      <c r="E2043" t="s">
        <v>2344</v>
      </c>
      <c r="F2043" t="s">
        <v>2344</v>
      </c>
      <c r="G2043" t="s">
        <v>2344</v>
      </c>
      <c r="H2043">
        <v>0</v>
      </c>
      <c r="I2043" t="s">
        <v>2344</v>
      </c>
      <c r="J2043" t="str">
        <f t="shared" si="125"/>
        <v>Under Weight</v>
      </c>
      <c r="K2043" t="str">
        <f t="shared" si="128"/>
        <v>Prediabetes</v>
      </c>
      <c r="L2043">
        <v>13</v>
      </c>
      <c r="M2043" t="s">
        <v>2365</v>
      </c>
      <c r="N2043">
        <v>1960</v>
      </c>
      <c r="O2043" s="8">
        <f t="shared" si="126"/>
        <v>22263</v>
      </c>
      <c r="P2043" s="10">
        <v>31620</v>
      </c>
      <c r="Q2043" t="s">
        <v>2357</v>
      </c>
      <c r="R2043" t="s">
        <v>2361</v>
      </c>
      <c r="S2043" t="s">
        <v>2374</v>
      </c>
      <c r="T2043">
        <f t="shared" ca="1" si="127"/>
        <v>66</v>
      </c>
      <c r="U2043">
        <f>VLOOKUP($A2043,'Medical Examination'!$A:$Z,2,FALSE)</f>
        <v>17.385000000000002</v>
      </c>
    </row>
    <row r="2044" spans="1:21" ht="15.5" x14ac:dyDescent="0.35">
      <c r="A2044" s="2" t="s">
        <v>2044</v>
      </c>
      <c r="B2044" s="2" t="s">
        <v>5129</v>
      </c>
      <c r="C2044">
        <v>30.13</v>
      </c>
      <c r="D2044">
        <v>5.71</v>
      </c>
      <c r="E2044" t="s">
        <v>2344</v>
      </c>
      <c r="F2044" t="s">
        <v>2345</v>
      </c>
      <c r="G2044" t="s">
        <v>2344</v>
      </c>
      <c r="H2044">
        <v>1</v>
      </c>
      <c r="I2044" t="s">
        <v>2344</v>
      </c>
      <c r="J2044" t="str">
        <f t="shared" si="125"/>
        <v>Obesity</v>
      </c>
      <c r="K2044" t="str">
        <f t="shared" si="128"/>
        <v>Prediabetes</v>
      </c>
      <c r="L2044">
        <v>14</v>
      </c>
      <c r="M2044" t="s">
        <v>2367</v>
      </c>
      <c r="N2044">
        <v>1977</v>
      </c>
      <c r="O2044" s="8">
        <f t="shared" si="126"/>
        <v>28412</v>
      </c>
      <c r="P2044" s="10">
        <v>31736.7</v>
      </c>
      <c r="Q2044" t="s">
        <v>2357</v>
      </c>
      <c r="R2044" t="s">
        <v>2357</v>
      </c>
      <c r="S2044" t="s">
        <v>2364</v>
      </c>
      <c r="T2044">
        <f t="shared" ca="1" si="127"/>
        <v>49</v>
      </c>
      <c r="U2044">
        <f>VLOOKUP($A2044,'Medical Examination'!$A:$Z,2,FALSE)</f>
        <v>30.13</v>
      </c>
    </row>
    <row r="2045" spans="1:21" ht="15.5" x14ac:dyDescent="0.35">
      <c r="A2045" s="2" t="s">
        <v>2045</v>
      </c>
      <c r="B2045" s="2" t="s">
        <v>5131</v>
      </c>
      <c r="C2045">
        <v>25.44</v>
      </c>
      <c r="D2045">
        <v>6.04</v>
      </c>
      <c r="E2045" t="s">
        <v>2346</v>
      </c>
      <c r="F2045" t="s">
        <v>2344</v>
      </c>
      <c r="G2045" t="s">
        <v>2346</v>
      </c>
      <c r="H2045">
        <v>1</v>
      </c>
      <c r="I2045" t="s">
        <v>2344</v>
      </c>
      <c r="J2045" t="str">
        <f t="shared" si="125"/>
        <v>Over weight</v>
      </c>
      <c r="K2045" t="str">
        <f t="shared" si="128"/>
        <v>Prediabetes</v>
      </c>
      <c r="L2045">
        <v>10</v>
      </c>
      <c r="M2045" t="s">
        <v>2363</v>
      </c>
      <c r="N2045">
        <v>1984</v>
      </c>
      <c r="O2045" s="8">
        <f t="shared" si="126"/>
        <v>30935</v>
      </c>
      <c r="P2045" s="10">
        <v>31743.919999999998</v>
      </c>
      <c r="Q2045" t="s">
        <v>2357</v>
      </c>
      <c r="R2045" t="s">
        <v>2361</v>
      </c>
      <c r="S2045" t="s">
        <v>2368</v>
      </c>
      <c r="T2045">
        <f t="shared" ca="1" si="127"/>
        <v>42</v>
      </c>
      <c r="U2045">
        <f>VLOOKUP($A2045,'Medical Examination'!$A:$Z,2,FALSE)</f>
        <v>25.44</v>
      </c>
    </row>
    <row r="2046" spans="1:21" ht="15.5" x14ac:dyDescent="0.35">
      <c r="A2046" s="2" t="s">
        <v>2046</v>
      </c>
      <c r="B2046" s="2" t="s">
        <v>5132</v>
      </c>
      <c r="C2046">
        <v>39.805</v>
      </c>
      <c r="D2046">
        <v>4.38</v>
      </c>
      <c r="E2046" t="s">
        <v>2344</v>
      </c>
      <c r="F2046" t="s">
        <v>2345</v>
      </c>
      <c r="G2046" t="s">
        <v>2344</v>
      </c>
      <c r="H2046">
        <v>1</v>
      </c>
      <c r="I2046" t="s">
        <v>2344</v>
      </c>
      <c r="J2046" t="str">
        <f t="shared" si="125"/>
        <v>Obesity</v>
      </c>
      <c r="K2046" t="str">
        <f t="shared" si="128"/>
        <v>Normal</v>
      </c>
      <c r="L2046">
        <v>25</v>
      </c>
      <c r="M2046" t="s">
        <v>2363</v>
      </c>
      <c r="N2046">
        <v>1975</v>
      </c>
      <c r="O2046" s="8">
        <f t="shared" si="126"/>
        <v>27662</v>
      </c>
      <c r="P2046" s="10">
        <v>31897.1</v>
      </c>
      <c r="Q2046" t="s">
        <v>2357</v>
      </c>
      <c r="R2046" t="s">
        <v>2358</v>
      </c>
      <c r="S2046" t="s">
        <v>2368</v>
      </c>
      <c r="T2046">
        <f t="shared" ca="1" si="127"/>
        <v>51</v>
      </c>
      <c r="U2046">
        <f>VLOOKUP($A2046,'Medical Examination'!$A:$Z,2,FALSE)</f>
        <v>39.805</v>
      </c>
    </row>
    <row r="2047" spans="1:21" ht="15.5" x14ac:dyDescent="0.35">
      <c r="A2047" s="2" t="s">
        <v>2047</v>
      </c>
      <c r="B2047" s="2" t="s">
        <v>5134</v>
      </c>
      <c r="C2047">
        <v>30.4</v>
      </c>
      <c r="D2047">
        <v>5.56</v>
      </c>
      <c r="E2047" t="s">
        <v>2346</v>
      </c>
      <c r="F2047" t="s">
        <v>2345</v>
      </c>
      <c r="G2047" t="s">
        <v>2344</v>
      </c>
      <c r="H2047">
        <v>1</v>
      </c>
      <c r="I2047" t="s">
        <v>2344</v>
      </c>
      <c r="J2047" t="str">
        <f t="shared" si="125"/>
        <v>Obesity</v>
      </c>
      <c r="K2047" t="str">
        <f t="shared" si="128"/>
        <v>Normal</v>
      </c>
      <c r="L2047">
        <v>21</v>
      </c>
      <c r="M2047" t="s">
        <v>2363</v>
      </c>
      <c r="N2047">
        <v>1972</v>
      </c>
      <c r="O2047" s="8">
        <f t="shared" si="126"/>
        <v>26563</v>
      </c>
      <c r="P2047" s="10">
        <v>31980.89</v>
      </c>
      <c r="Q2047" t="s">
        <v>2357</v>
      </c>
      <c r="R2047" t="s">
        <v>2361</v>
      </c>
      <c r="S2047" t="s">
        <v>2368</v>
      </c>
      <c r="T2047">
        <f t="shared" ca="1" si="127"/>
        <v>54</v>
      </c>
      <c r="U2047">
        <f>VLOOKUP($A2047,'Medical Examination'!$A:$Z,2,FALSE)</f>
        <v>30.4</v>
      </c>
    </row>
    <row r="2048" spans="1:21" ht="15.5" x14ac:dyDescent="0.35">
      <c r="A2048" s="2" t="s">
        <v>2048</v>
      </c>
      <c r="B2048" s="2" t="s">
        <v>2549</v>
      </c>
      <c r="C2048">
        <v>23.18</v>
      </c>
      <c r="D2048">
        <v>4.24</v>
      </c>
      <c r="E2048" t="s">
        <v>2344</v>
      </c>
      <c r="F2048" t="s">
        <v>2345</v>
      </c>
      <c r="G2048" t="s">
        <v>2344</v>
      </c>
      <c r="H2048">
        <v>1</v>
      </c>
      <c r="I2048" t="s">
        <v>2344</v>
      </c>
      <c r="J2048" t="str">
        <f t="shared" si="125"/>
        <v>Normal Weight</v>
      </c>
      <c r="K2048" t="str">
        <f t="shared" si="128"/>
        <v>Normal</v>
      </c>
      <c r="L2048">
        <v>13</v>
      </c>
      <c r="M2048" t="s">
        <v>2363</v>
      </c>
      <c r="N2048">
        <v>1993</v>
      </c>
      <c r="O2048" s="8">
        <f t="shared" si="126"/>
        <v>34225</v>
      </c>
      <c r="P2048" s="10">
        <v>32086.21</v>
      </c>
      <c r="Q2048" t="s">
        <v>2361</v>
      </c>
      <c r="R2048" t="s">
        <v>2358</v>
      </c>
      <c r="S2048" t="s">
        <v>2368</v>
      </c>
      <c r="T2048">
        <f t="shared" ca="1" si="127"/>
        <v>33</v>
      </c>
      <c r="U2048">
        <f>VLOOKUP($A2048,'Medical Examination'!$A:$Z,2,FALSE)</f>
        <v>23.18</v>
      </c>
    </row>
    <row r="2049" spans="1:21" ht="15.5" x14ac:dyDescent="0.35">
      <c r="A2049" s="2" t="s">
        <v>2049</v>
      </c>
      <c r="B2049" s="2" t="s">
        <v>5136</v>
      </c>
      <c r="C2049">
        <v>39.615000000000002</v>
      </c>
      <c r="D2049">
        <v>6.32</v>
      </c>
      <c r="E2049" t="s">
        <v>2344</v>
      </c>
      <c r="F2049" t="s">
        <v>2344</v>
      </c>
      <c r="G2049" t="s">
        <v>2346</v>
      </c>
      <c r="H2049">
        <v>1</v>
      </c>
      <c r="I2049" t="s">
        <v>2344</v>
      </c>
      <c r="J2049" t="str">
        <f t="shared" si="125"/>
        <v>Obesity</v>
      </c>
      <c r="K2049" t="str">
        <f t="shared" si="128"/>
        <v>Prediabetes</v>
      </c>
      <c r="L2049">
        <v>10</v>
      </c>
      <c r="M2049" t="s">
        <v>2360</v>
      </c>
      <c r="N2049">
        <v>1978</v>
      </c>
      <c r="O2049" s="8">
        <f t="shared" si="126"/>
        <v>28804</v>
      </c>
      <c r="P2049" s="10">
        <v>32108.66</v>
      </c>
      <c r="Q2049" t="s">
        <v>2361</v>
      </c>
      <c r="R2049" t="s">
        <v>2358</v>
      </c>
      <c r="S2049" t="s">
        <v>2378</v>
      </c>
      <c r="T2049">
        <f t="shared" ca="1" si="127"/>
        <v>48</v>
      </c>
      <c r="U2049">
        <f>VLOOKUP($A2049,'Medical Examination'!$A:$Z,2,FALSE)</f>
        <v>39.615000000000002</v>
      </c>
    </row>
    <row r="2050" spans="1:21" ht="15.5" x14ac:dyDescent="0.35">
      <c r="A2050" s="2" t="s">
        <v>2050</v>
      </c>
      <c r="B2050" s="2" t="s">
        <v>4064</v>
      </c>
      <c r="C2050">
        <v>30.59</v>
      </c>
      <c r="D2050">
        <v>6.3</v>
      </c>
      <c r="E2050" t="s">
        <v>2346</v>
      </c>
      <c r="F2050" t="s">
        <v>2344</v>
      </c>
      <c r="G2050" t="s">
        <v>2346</v>
      </c>
      <c r="H2050">
        <v>1</v>
      </c>
      <c r="I2050" t="s">
        <v>2344</v>
      </c>
      <c r="J2050" t="str">
        <f t="shared" si="125"/>
        <v>Obesity</v>
      </c>
      <c r="K2050" t="str">
        <f t="shared" si="128"/>
        <v>Prediabetes</v>
      </c>
      <c r="L2050">
        <v>11</v>
      </c>
      <c r="M2050" t="s">
        <v>2363</v>
      </c>
      <c r="N2050">
        <v>1969</v>
      </c>
      <c r="O2050" s="8">
        <f t="shared" si="126"/>
        <v>25457</v>
      </c>
      <c r="P2050" s="10">
        <v>32192.76</v>
      </c>
      <c r="Q2050" t="s">
        <v>2361</v>
      </c>
      <c r="R2050" t="s">
        <v>2357</v>
      </c>
      <c r="S2050" t="s">
        <v>2368</v>
      </c>
      <c r="T2050">
        <f t="shared" ca="1" si="127"/>
        <v>57</v>
      </c>
      <c r="U2050">
        <f>VLOOKUP($A2050,'Medical Examination'!$A:$Z,2,FALSE)</f>
        <v>30.59</v>
      </c>
    </row>
    <row r="2051" spans="1:21" ht="15.5" x14ac:dyDescent="0.35">
      <c r="A2051" s="2" t="s">
        <v>2051</v>
      </c>
      <c r="B2051" s="2" t="s">
        <v>4514</v>
      </c>
      <c r="C2051">
        <v>16.72</v>
      </c>
      <c r="D2051">
        <v>4.38</v>
      </c>
      <c r="E2051" t="s">
        <v>2346</v>
      </c>
      <c r="F2051" t="s">
        <v>2344</v>
      </c>
      <c r="G2051" t="s">
        <v>2344</v>
      </c>
      <c r="H2051">
        <v>1</v>
      </c>
      <c r="I2051" t="s">
        <v>2344</v>
      </c>
      <c r="J2051" t="str">
        <f t="shared" ref="J2051:J2114" si="129">IF(C2051&lt;18.5,"Under Weight",IF(C2051&lt;25,"Normal Weight",IF(C2051&lt;30,"Over weight","Obesity")))</f>
        <v>Under Weight</v>
      </c>
      <c r="K2051" t="str">
        <f t="shared" si="128"/>
        <v>Normal</v>
      </c>
      <c r="L2051">
        <v>8</v>
      </c>
      <c r="M2051" t="s">
        <v>2363</v>
      </c>
      <c r="N2051">
        <v>1994</v>
      </c>
      <c r="O2051" s="8">
        <f t="shared" ref="O2051:O2114" si="130">DATE(N2051,MONTH(1&amp;M2051),L2051)</f>
        <v>34585</v>
      </c>
      <c r="P2051" s="10">
        <v>32222.81</v>
      </c>
      <c r="Q2051" t="s">
        <v>2357</v>
      </c>
      <c r="R2051" t="s">
        <v>2361</v>
      </c>
      <c r="S2051" t="s">
        <v>2368</v>
      </c>
      <c r="T2051">
        <f t="shared" ref="T2051:T2114" ca="1" si="131">YEAR(TODAY())-YEAR(O2051)</f>
        <v>32</v>
      </c>
      <c r="U2051">
        <f>VLOOKUP($A2051,'Medical Examination'!$A:$Z,2,FALSE)</f>
        <v>16.72</v>
      </c>
    </row>
    <row r="2052" spans="1:21" ht="15.5" x14ac:dyDescent="0.35">
      <c r="A2052" s="2" t="s">
        <v>2052</v>
      </c>
      <c r="B2052" s="2" t="s">
        <v>5138</v>
      </c>
      <c r="C2052">
        <v>26.22</v>
      </c>
      <c r="D2052">
        <v>4.6500000000000004</v>
      </c>
      <c r="E2052" t="s">
        <v>2346</v>
      </c>
      <c r="F2052" t="s">
        <v>2344</v>
      </c>
      <c r="G2052" t="s">
        <v>2346</v>
      </c>
      <c r="H2052">
        <v>1</v>
      </c>
      <c r="I2052" t="s">
        <v>2344</v>
      </c>
      <c r="J2052" t="str">
        <f t="shared" si="129"/>
        <v>Over weight</v>
      </c>
      <c r="K2052" t="str">
        <f t="shared" si="128"/>
        <v>Normal</v>
      </c>
      <c r="L2052">
        <v>17</v>
      </c>
      <c r="M2052" t="s">
        <v>2365</v>
      </c>
      <c r="N2052">
        <v>1975</v>
      </c>
      <c r="O2052" s="8">
        <f t="shared" si="130"/>
        <v>27745</v>
      </c>
      <c r="P2052" s="10">
        <v>32259.96</v>
      </c>
      <c r="Q2052" t="s">
        <v>2357</v>
      </c>
      <c r="R2052" t="s">
        <v>2358</v>
      </c>
      <c r="S2052" t="s">
        <v>2364</v>
      </c>
      <c r="T2052">
        <f t="shared" ca="1" si="131"/>
        <v>51</v>
      </c>
      <c r="U2052">
        <f>VLOOKUP($A2052,'Medical Examination'!$A:$Z,2,FALSE)</f>
        <v>26.22</v>
      </c>
    </row>
    <row r="2053" spans="1:21" ht="15.5" x14ac:dyDescent="0.35">
      <c r="A2053" s="2" t="s">
        <v>2053</v>
      </c>
      <c r="B2053" s="2" t="s">
        <v>3491</v>
      </c>
      <c r="C2053">
        <v>31.824999999999999</v>
      </c>
      <c r="D2053">
        <v>4.7</v>
      </c>
      <c r="E2053" t="s">
        <v>2344</v>
      </c>
      <c r="F2053" t="s">
        <v>2344</v>
      </c>
      <c r="G2053" t="s">
        <v>2346</v>
      </c>
      <c r="H2053">
        <v>1</v>
      </c>
      <c r="I2053" t="s">
        <v>2344</v>
      </c>
      <c r="J2053" t="str">
        <f t="shared" si="129"/>
        <v>Obesity</v>
      </c>
      <c r="K2053" t="str">
        <f t="shared" si="128"/>
        <v>Normal</v>
      </c>
      <c r="L2053">
        <v>2</v>
      </c>
      <c r="M2053" t="s">
        <v>2365</v>
      </c>
      <c r="N2053">
        <v>1986</v>
      </c>
      <c r="O2053" s="8">
        <f t="shared" si="130"/>
        <v>31748</v>
      </c>
      <c r="P2053" s="10">
        <v>32288.49</v>
      </c>
      <c r="Q2053" t="s">
        <v>2357</v>
      </c>
      <c r="R2053" t="s">
        <v>2357</v>
      </c>
      <c r="S2053" t="s">
        <v>2368</v>
      </c>
      <c r="T2053">
        <f t="shared" ca="1" si="131"/>
        <v>40</v>
      </c>
      <c r="U2053">
        <f>VLOOKUP($A2053,'Medical Examination'!$A:$Z,2,FALSE)</f>
        <v>31.824999999999999</v>
      </c>
    </row>
    <row r="2054" spans="1:21" ht="15.5" x14ac:dyDescent="0.35">
      <c r="A2054" s="2" t="s">
        <v>2054</v>
      </c>
      <c r="B2054" s="2" t="s">
        <v>5140</v>
      </c>
      <c r="C2054">
        <v>25.745000000000001</v>
      </c>
      <c r="D2054">
        <v>4.34</v>
      </c>
      <c r="E2054" t="s">
        <v>2344</v>
      </c>
      <c r="F2054" t="s">
        <v>2344</v>
      </c>
      <c r="G2054" t="s">
        <v>2346</v>
      </c>
      <c r="H2054">
        <v>1</v>
      </c>
      <c r="I2054" t="s">
        <v>2344</v>
      </c>
      <c r="J2054" t="str">
        <f t="shared" si="129"/>
        <v>Over weight</v>
      </c>
      <c r="K2054" t="str">
        <f t="shared" si="128"/>
        <v>Normal</v>
      </c>
      <c r="L2054">
        <v>19</v>
      </c>
      <c r="M2054" t="s">
        <v>2367</v>
      </c>
      <c r="N2054">
        <v>1972</v>
      </c>
      <c r="O2054" s="8">
        <f t="shared" si="130"/>
        <v>26591</v>
      </c>
      <c r="P2054" s="10">
        <v>32428.63</v>
      </c>
      <c r="Q2054" t="s">
        <v>2357</v>
      </c>
      <c r="R2054" t="s">
        <v>2357</v>
      </c>
      <c r="S2054" t="s">
        <v>2368</v>
      </c>
      <c r="T2054">
        <f t="shared" ca="1" si="131"/>
        <v>54</v>
      </c>
      <c r="U2054">
        <f>VLOOKUP($A2054,'Medical Examination'!$A:$Z,2,FALSE)</f>
        <v>25.745000000000001</v>
      </c>
    </row>
    <row r="2055" spans="1:21" ht="15.5" x14ac:dyDescent="0.35">
      <c r="A2055" s="2" t="s">
        <v>2055</v>
      </c>
      <c r="B2055" s="2" t="s">
        <v>5142</v>
      </c>
      <c r="C2055">
        <v>24.605</v>
      </c>
      <c r="D2055">
        <v>5.62</v>
      </c>
      <c r="E2055" t="s">
        <v>2344</v>
      </c>
      <c r="F2055" t="s">
        <v>2344</v>
      </c>
      <c r="G2055" t="s">
        <v>2346</v>
      </c>
      <c r="H2055">
        <v>1</v>
      </c>
      <c r="I2055" t="s">
        <v>2344</v>
      </c>
      <c r="J2055" t="str">
        <f t="shared" si="129"/>
        <v>Normal Weight</v>
      </c>
      <c r="K2055" t="str">
        <f t="shared" si="128"/>
        <v>Normal</v>
      </c>
      <c r="L2055">
        <v>9</v>
      </c>
      <c r="M2055" t="s">
        <v>2366</v>
      </c>
      <c r="N2055">
        <v>1976</v>
      </c>
      <c r="O2055" s="8">
        <f t="shared" si="130"/>
        <v>27981</v>
      </c>
      <c r="P2055" s="10">
        <v>32430.22</v>
      </c>
      <c r="Q2055" t="s">
        <v>2357</v>
      </c>
      <c r="R2055" t="s">
        <v>2358</v>
      </c>
      <c r="S2055" t="s">
        <v>2368</v>
      </c>
      <c r="T2055">
        <f t="shared" ca="1" si="131"/>
        <v>50</v>
      </c>
      <c r="U2055">
        <f>VLOOKUP($A2055,'Medical Examination'!$A:$Z,2,FALSE)</f>
        <v>24.605</v>
      </c>
    </row>
    <row r="2056" spans="1:21" ht="15.5" x14ac:dyDescent="0.35">
      <c r="A2056" s="2" t="s">
        <v>2056</v>
      </c>
      <c r="B2056" s="2" t="s">
        <v>3236</v>
      </c>
      <c r="C2056">
        <v>24.51</v>
      </c>
      <c r="D2056">
        <v>4.24</v>
      </c>
      <c r="E2056" t="s">
        <v>2344</v>
      </c>
      <c r="F2056" t="s">
        <v>2344</v>
      </c>
      <c r="G2056" t="s">
        <v>2346</v>
      </c>
      <c r="H2056">
        <v>1</v>
      </c>
      <c r="I2056" t="s">
        <v>2344</v>
      </c>
      <c r="J2056" t="str">
        <f t="shared" si="129"/>
        <v>Normal Weight</v>
      </c>
      <c r="K2056" t="str">
        <f t="shared" si="128"/>
        <v>Normal</v>
      </c>
      <c r="L2056">
        <v>27</v>
      </c>
      <c r="M2056" t="s">
        <v>2363</v>
      </c>
      <c r="N2056">
        <v>1981</v>
      </c>
      <c r="O2056" s="8">
        <f t="shared" si="130"/>
        <v>29856</v>
      </c>
      <c r="P2056" s="10">
        <v>32462.35</v>
      </c>
      <c r="Q2056" t="s">
        <v>2357</v>
      </c>
      <c r="R2056" t="s">
        <v>2357</v>
      </c>
      <c r="S2056" t="s">
        <v>2368</v>
      </c>
      <c r="T2056">
        <f t="shared" ca="1" si="131"/>
        <v>45</v>
      </c>
      <c r="U2056">
        <f>VLOOKUP($A2056,'Medical Examination'!$A:$Z,2,FALSE)</f>
        <v>24.51</v>
      </c>
    </row>
    <row r="2057" spans="1:21" ht="15.5" x14ac:dyDescent="0.35">
      <c r="A2057" s="2" t="s">
        <v>2057</v>
      </c>
      <c r="B2057" s="2" t="s">
        <v>5143</v>
      </c>
      <c r="C2057">
        <v>31.065000000000001</v>
      </c>
      <c r="D2057">
        <v>4.57</v>
      </c>
      <c r="E2057" t="s">
        <v>2346</v>
      </c>
      <c r="F2057" t="s">
        <v>2344</v>
      </c>
      <c r="G2057" t="s">
        <v>2344</v>
      </c>
      <c r="H2057">
        <v>0</v>
      </c>
      <c r="I2057" t="s">
        <v>2344</v>
      </c>
      <c r="J2057" t="str">
        <f t="shared" si="129"/>
        <v>Obesity</v>
      </c>
      <c r="K2057" t="str">
        <f t="shared" si="128"/>
        <v>Normal</v>
      </c>
      <c r="L2057">
        <v>19</v>
      </c>
      <c r="M2057" t="s">
        <v>2363</v>
      </c>
      <c r="N2057">
        <v>1976</v>
      </c>
      <c r="O2057" s="8">
        <f t="shared" si="130"/>
        <v>28022</v>
      </c>
      <c r="P2057" s="10">
        <v>32485.46</v>
      </c>
      <c r="Q2057" t="s">
        <v>2357</v>
      </c>
      <c r="R2057" t="s">
        <v>2361</v>
      </c>
      <c r="S2057" t="s">
        <v>2368</v>
      </c>
      <c r="T2057">
        <f t="shared" ca="1" si="131"/>
        <v>50</v>
      </c>
      <c r="U2057">
        <f>VLOOKUP($A2057,'Medical Examination'!$A:$Z,2,FALSE)</f>
        <v>31.065000000000001</v>
      </c>
    </row>
    <row r="2058" spans="1:21" ht="15.5" x14ac:dyDescent="0.35">
      <c r="A2058" s="2" t="s">
        <v>2058</v>
      </c>
      <c r="B2058" s="2" t="s">
        <v>5144</v>
      </c>
      <c r="C2058">
        <v>28.12</v>
      </c>
      <c r="D2058">
        <v>5.05</v>
      </c>
      <c r="E2058" t="s">
        <v>2344</v>
      </c>
      <c r="F2058" t="s">
        <v>2344</v>
      </c>
      <c r="G2058" t="s">
        <v>2344</v>
      </c>
      <c r="H2058">
        <v>0</v>
      </c>
      <c r="I2058" t="s">
        <v>2344</v>
      </c>
      <c r="J2058" t="str">
        <f t="shared" si="129"/>
        <v>Over weight</v>
      </c>
      <c r="K2058" t="str">
        <f t="shared" si="128"/>
        <v>Normal</v>
      </c>
      <c r="L2058">
        <v>8</v>
      </c>
      <c r="M2058" t="s">
        <v>2367</v>
      </c>
      <c r="N2058">
        <v>2003</v>
      </c>
      <c r="O2058" s="8">
        <f t="shared" si="130"/>
        <v>37902</v>
      </c>
      <c r="P2058" s="10">
        <v>32548.34</v>
      </c>
      <c r="Q2058" t="s">
        <v>2361</v>
      </c>
      <c r="R2058" t="s">
        <v>2357</v>
      </c>
      <c r="S2058" t="s">
        <v>2359</v>
      </c>
      <c r="T2058">
        <f t="shared" ca="1" si="131"/>
        <v>23</v>
      </c>
      <c r="U2058">
        <f>VLOOKUP($A2058,'Medical Examination'!$A:$Z,2,FALSE)</f>
        <v>28.12</v>
      </c>
    </row>
    <row r="2059" spans="1:21" ht="15.5" x14ac:dyDescent="0.35">
      <c r="A2059" s="2" t="s">
        <v>2059</v>
      </c>
      <c r="B2059" s="2" t="s">
        <v>5145</v>
      </c>
      <c r="C2059">
        <v>38.06</v>
      </c>
      <c r="D2059">
        <v>6.16</v>
      </c>
      <c r="E2059" t="s">
        <v>2344</v>
      </c>
      <c r="F2059" t="s">
        <v>2344</v>
      </c>
      <c r="G2059" t="s">
        <v>2344</v>
      </c>
      <c r="H2059">
        <v>0</v>
      </c>
      <c r="I2059" t="s">
        <v>2344</v>
      </c>
      <c r="J2059" t="str">
        <f t="shared" si="129"/>
        <v>Obesity</v>
      </c>
      <c r="K2059" t="str">
        <f t="shared" si="128"/>
        <v>Prediabetes</v>
      </c>
      <c r="L2059">
        <v>13</v>
      </c>
      <c r="M2059" t="s">
        <v>2356</v>
      </c>
      <c r="N2059">
        <v>1990</v>
      </c>
      <c r="O2059" s="8">
        <f t="shared" si="130"/>
        <v>33067</v>
      </c>
      <c r="P2059" s="10">
        <v>32672.11</v>
      </c>
      <c r="Q2059" t="s">
        <v>2361</v>
      </c>
      <c r="R2059" t="s">
        <v>2361</v>
      </c>
      <c r="S2059" t="s">
        <v>2368</v>
      </c>
      <c r="T2059">
        <f t="shared" ca="1" si="131"/>
        <v>36</v>
      </c>
      <c r="U2059">
        <f>VLOOKUP($A2059,'Medical Examination'!$A:$Z,2,FALSE)</f>
        <v>38.06</v>
      </c>
    </row>
    <row r="2060" spans="1:21" ht="15.5" x14ac:dyDescent="0.35">
      <c r="A2060" s="2" t="s">
        <v>2060</v>
      </c>
      <c r="B2060" s="2" t="s">
        <v>5146</v>
      </c>
      <c r="C2060">
        <v>24.96</v>
      </c>
      <c r="D2060">
        <v>4.57</v>
      </c>
      <c r="E2060" t="s">
        <v>2344</v>
      </c>
      <c r="F2060" t="s">
        <v>2344</v>
      </c>
      <c r="G2060" t="s">
        <v>2344</v>
      </c>
      <c r="H2060">
        <v>0</v>
      </c>
      <c r="I2060" t="s">
        <v>2344</v>
      </c>
      <c r="J2060" t="str">
        <f t="shared" si="129"/>
        <v>Normal Weight</v>
      </c>
      <c r="K2060" t="str">
        <f t="shared" ref="K2060:K2123" si="132">IF(D2060&lt;5.7,"Normal",IF(D2060&lt;6.5,"Prediabetes","Diabetes"))</f>
        <v>Normal</v>
      </c>
      <c r="L2060">
        <v>1</v>
      </c>
      <c r="M2060" t="s">
        <v>2360</v>
      </c>
      <c r="N2060">
        <v>1968</v>
      </c>
      <c r="O2060" s="8">
        <f t="shared" si="130"/>
        <v>25143</v>
      </c>
      <c r="P2060" s="10">
        <v>32686.080000000002</v>
      </c>
      <c r="Q2060" t="s">
        <v>2357</v>
      </c>
      <c r="R2060" t="s">
        <v>2358</v>
      </c>
      <c r="S2060" t="s">
        <v>2368</v>
      </c>
      <c r="T2060">
        <f t="shared" ca="1" si="131"/>
        <v>58</v>
      </c>
      <c r="U2060">
        <f>VLOOKUP($A2060,'Medical Examination'!$A:$Z,2,FALSE)</f>
        <v>24.96</v>
      </c>
    </row>
    <row r="2061" spans="1:21" ht="15.5" x14ac:dyDescent="0.35">
      <c r="A2061" s="2" t="s">
        <v>2061</v>
      </c>
      <c r="B2061" s="2" t="s">
        <v>5148</v>
      </c>
      <c r="C2061">
        <v>17.670000000000002</v>
      </c>
      <c r="D2061">
        <v>5.53</v>
      </c>
      <c r="E2061" t="s">
        <v>2346</v>
      </c>
      <c r="F2061" t="s">
        <v>2344</v>
      </c>
      <c r="G2061" t="s">
        <v>2344</v>
      </c>
      <c r="H2061">
        <v>0</v>
      </c>
      <c r="I2061" t="s">
        <v>2344</v>
      </c>
      <c r="J2061" t="str">
        <f t="shared" si="129"/>
        <v>Under Weight</v>
      </c>
      <c r="K2061" t="str">
        <f t="shared" si="132"/>
        <v>Normal</v>
      </c>
      <c r="L2061">
        <v>30</v>
      </c>
      <c r="M2061" t="s">
        <v>2363</v>
      </c>
      <c r="N2061">
        <v>1990</v>
      </c>
      <c r="O2061" s="8">
        <f t="shared" si="130"/>
        <v>33146</v>
      </c>
      <c r="P2061" s="10">
        <v>32716.2</v>
      </c>
      <c r="Q2061" t="s">
        <v>2361</v>
      </c>
      <c r="R2061" t="s">
        <v>2357</v>
      </c>
      <c r="S2061" t="s">
        <v>2368</v>
      </c>
      <c r="T2061">
        <f t="shared" ca="1" si="131"/>
        <v>36</v>
      </c>
      <c r="U2061">
        <f>VLOOKUP($A2061,'Medical Examination'!$A:$Z,2,FALSE)</f>
        <v>17.670000000000002</v>
      </c>
    </row>
    <row r="2062" spans="1:21" ht="15.5" x14ac:dyDescent="0.35">
      <c r="A2062" s="2" t="s">
        <v>2062</v>
      </c>
      <c r="B2062" s="2" t="s">
        <v>5149</v>
      </c>
      <c r="C2062">
        <v>31.35</v>
      </c>
      <c r="D2062">
        <v>5.84</v>
      </c>
      <c r="E2062" t="s">
        <v>2344</v>
      </c>
      <c r="F2062" t="s">
        <v>2345</v>
      </c>
      <c r="G2062" t="s">
        <v>2344</v>
      </c>
      <c r="H2062">
        <v>1</v>
      </c>
      <c r="I2062" t="s">
        <v>2344</v>
      </c>
      <c r="J2062" t="str">
        <f t="shared" si="129"/>
        <v>Obesity</v>
      </c>
      <c r="K2062" t="str">
        <f t="shared" si="132"/>
        <v>Prediabetes</v>
      </c>
      <c r="L2062">
        <v>9</v>
      </c>
      <c r="M2062" t="s">
        <v>2356</v>
      </c>
      <c r="N2062">
        <v>1990</v>
      </c>
      <c r="O2062" s="8">
        <f t="shared" si="130"/>
        <v>33063</v>
      </c>
      <c r="P2062" s="10">
        <v>32734.19</v>
      </c>
      <c r="Q2062" t="s">
        <v>2357</v>
      </c>
      <c r="R2062" t="s">
        <v>2361</v>
      </c>
      <c r="S2062" t="s">
        <v>2364</v>
      </c>
      <c r="T2062">
        <f t="shared" ca="1" si="131"/>
        <v>36</v>
      </c>
      <c r="U2062">
        <f>VLOOKUP($A2062,'Medical Examination'!$A:$Z,2,FALSE)</f>
        <v>31.35</v>
      </c>
    </row>
    <row r="2063" spans="1:21" ht="15.5" x14ac:dyDescent="0.35">
      <c r="A2063" s="2" t="s">
        <v>2063</v>
      </c>
      <c r="B2063" s="2" t="s">
        <v>5150</v>
      </c>
      <c r="C2063">
        <v>28.31</v>
      </c>
      <c r="D2063">
        <v>6.41</v>
      </c>
      <c r="E2063" t="s">
        <v>2344</v>
      </c>
      <c r="F2063" t="s">
        <v>2345</v>
      </c>
      <c r="G2063" t="s">
        <v>2344</v>
      </c>
      <c r="H2063">
        <v>1</v>
      </c>
      <c r="I2063" t="s">
        <v>2344</v>
      </c>
      <c r="J2063" t="str">
        <f t="shared" si="129"/>
        <v>Over weight</v>
      </c>
      <c r="K2063" t="str">
        <f t="shared" si="132"/>
        <v>Prediabetes</v>
      </c>
      <c r="L2063">
        <v>6</v>
      </c>
      <c r="M2063" t="s">
        <v>2365</v>
      </c>
      <c r="N2063">
        <v>1974</v>
      </c>
      <c r="O2063" s="8">
        <f t="shared" si="130"/>
        <v>27369</v>
      </c>
      <c r="P2063" s="10">
        <v>32760.48</v>
      </c>
      <c r="Q2063" t="s">
        <v>2361</v>
      </c>
      <c r="R2063" t="s">
        <v>2361</v>
      </c>
      <c r="S2063" t="s">
        <v>2368</v>
      </c>
      <c r="T2063">
        <f t="shared" ca="1" si="131"/>
        <v>52</v>
      </c>
      <c r="U2063">
        <f>VLOOKUP($A2063,'Medical Examination'!$A:$Z,2,FALSE)</f>
        <v>28.31</v>
      </c>
    </row>
    <row r="2064" spans="1:21" ht="15.5" x14ac:dyDescent="0.35">
      <c r="A2064" s="2" t="s">
        <v>2064</v>
      </c>
      <c r="B2064" s="2" t="s">
        <v>4355</v>
      </c>
      <c r="C2064">
        <v>30.3</v>
      </c>
      <c r="D2064">
        <v>4.7300000000000004</v>
      </c>
      <c r="E2064" t="s">
        <v>2346</v>
      </c>
      <c r="F2064" t="s">
        <v>2344</v>
      </c>
      <c r="G2064" t="s">
        <v>2346</v>
      </c>
      <c r="H2064">
        <v>1</v>
      </c>
      <c r="I2064" t="s">
        <v>2344</v>
      </c>
      <c r="J2064" t="str">
        <f t="shared" si="129"/>
        <v>Obesity</v>
      </c>
      <c r="K2064" t="str">
        <f t="shared" si="132"/>
        <v>Normal</v>
      </c>
      <c r="L2064">
        <v>7</v>
      </c>
      <c r="M2064" t="s">
        <v>2360</v>
      </c>
      <c r="N2064">
        <v>1972</v>
      </c>
      <c r="O2064" s="8">
        <f t="shared" si="130"/>
        <v>26610</v>
      </c>
      <c r="P2064" s="10">
        <v>32765.33</v>
      </c>
      <c r="Q2064" t="s">
        <v>2357</v>
      </c>
      <c r="R2064" t="s">
        <v>2357</v>
      </c>
      <c r="S2064" t="s">
        <v>2364</v>
      </c>
      <c r="T2064">
        <f t="shared" ca="1" si="131"/>
        <v>54</v>
      </c>
      <c r="U2064">
        <f>VLOOKUP($A2064,'Medical Examination'!$A:$Z,2,FALSE)</f>
        <v>30.3</v>
      </c>
    </row>
    <row r="2065" spans="1:21" ht="15.5" x14ac:dyDescent="0.35">
      <c r="A2065" s="2" t="s">
        <v>2065</v>
      </c>
      <c r="B2065" s="2" t="s">
        <v>3290</v>
      </c>
      <c r="C2065">
        <v>26.4</v>
      </c>
      <c r="D2065">
        <v>6.22</v>
      </c>
      <c r="E2065" t="s">
        <v>2346</v>
      </c>
      <c r="F2065" t="s">
        <v>2344</v>
      </c>
      <c r="G2065" t="s">
        <v>2344</v>
      </c>
      <c r="H2065">
        <v>0</v>
      </c>
      <c r="I2065" t="s">
        <v>2344</v>
      </c>
      <c r="J2065" t="str">
        <f t="shared" si="129"/>
        <v>Over weight</v>
      </c>
      <c r="K2065" t="str">
        <f t="shared" si="132"/>
        <v>Prediabetes</v>
      </c>
      <c r="L2065">
        <v>12</v>
      </c>
      <c r="M2065" t="s">
        <v>2365</v>
      </c>
      <c r="N2065">
        <v>1980</v>
      </c>
      <c r="O2065" s="8">
        <f t="shared" si="130"/>
        <v>29567</v>
      </c>
      <c r="P2065" s="10">
        <v>32787.46</v>
      </c>
      <c r="Q2065" t="s">
        <v>2361</v>
      </c>
      <c r="R2065" t="s">
        <v>2358</v>
      </c>
      <c r="S2065" t="s">
        <v>2364</v>
      </c>
      <c r="T2065">
        <f t="shared" ca="1" si="131"/>
        <v>46</v>
      </c>
      <c r="U2065">
        <f>VLOOKUP($A2065,'Medical Examination'!$A:$Z,2,FALSE)</f>
        <v>26.4</v>
      </c>
    </row>
    <row r="2066" spans="1:21" ht="15.5" x14ac:dyDescent="0.35">
      <c r="A2066" s="2" t="s">
        <v>2066</v>
      </c>
      <c r="B2066" s="2" t="s">
        <v>5151</v>
      </c>
      <c r="C2066">
        <v>22.135000000000002</v>
      </c>
      <c r="D2066">
        <v>4.46</v>
      </c>
      <c r="E2066" t="s">
        <v>2346</v>
      </c>
      <c r="F2066" t="s">
        <v>2344</v>
      </c>
      <c r="G2066" t="s">
        <v>2344</v>
      </c>
      <c r="H2066">
        <v>0</v>
      </c>
      <c r="I2066" t="s">
        <v>2344</v>
      </c>
      <c r="J2066" t="str">
        <f t="shared" si="129"/>
        <v>Normal Weight</v>
      </c>
      <c r="K2066" t="str">
        <f t="shared" si="132"/>
        <v>Normal</v>
      </c>
      <c r="L2066">
        <v>4</v>
      </c>
      <c r="M2066" t="s">
        <v>2365</v>
      </c>
      <c r="N2066">
        <v>1995</v>
      </c>
      <c r="O2066" s="8">
        <f t="shared" si="130"/>
        <v>35037</v>
      </c>
      <c r="P2066" s="10">
        <v>32827.51</v>
      </c>
      <c r="Q2066" t="s">
        <v>2361</v>
      </c>
      <c r="R2066" t="s">
        <v>2357</v>
      </c>
      <c r="S2066" t="s">
        <v>2368</v>
      </c>
      <c r="T2066">
        <f t="shared" ca="1" si="131"/>
        <v>31</v>
      </c>
      <c r="U2066">
        <f>VLOOKUP($A2066,'Medical Examination'!$A:$Z,2,FALSE)</f>
        <v>22.135000000000002</v>
      </c>
    </row>
    <row r="2067" spans="1:21" ht="15.5" x14ac:dyDescent="0.35">
      <c r="A2067" s="2" t="s">
        <v>2067</v>
      </c>
      <c r="B2067" s="2" t="s">
        <v>3793</v>
      </c>
      <c r="C2067">
        <v>17.399999999999999</v>
      </c>
      <c r="D2067">
        <v>4.5</v>
      </c>
      <c r="E2067" t="s">
        <v>2346</v>
      </c>
      <c r="F2067" t="s">
        <v>2344</v>
      </c>
      <c r="G2067" t="s">
        <v>2344</v>
      </c>
      <c r="H2067">
        <v>0</v>
      </c>
      <c r="I2067" t="s">
        <v>2344</v>
      </c>
      <c r="J2067" t="str">
        <f t="shared" si="129"/>
        <v>Under Weight</v>
      </c>
      <c r="K2067" t="str">
        <f t="shared" si="132"/>
        <v>Normal</v>
      </c>
      <c r="L2067">
        <v>17</v>
      </c>
      <c r="M2067" t="s">
        <v>2360</v>
      </c>
      <c r="N2067">
        <v>1981</v>
      </c>
      <c r="O2067" s="8">
        <f t="shared" si="130"/>
        <v>29907</v>
      </c>
      <c r="P2067" s="10">
        <v>32906.69</v>
      </c>
      <c r="Q2067" t="s">
        <v>2357</v>
      </c>
      <c r="R2067" t="s">
        <v>2358</v>
      </c>
      <c r="S2067" t="s">
        <v>2368</v>
      </c>
      <c r="T2067">
        <f t="shared" ca="1" si="131"/>
        <v>45</v>
      </c>
      <c r="U2067">
        <f>VLOOKUP($A2067,'Medical Examination'!$A:$Z,2,FALSE)</f>
        <v>17.399999999999999</v>
      </c>
    </row>
    <row r="2068" spans="1:21" ht="15.5" x14ac:dyDescent="0.35">
      <c r="A2068" s="2" t="s">
        <v>2068</v>
      </c>
      <c r="B2068" s="2" t="s">
        <v>5152</v>
      </c>
      <c r="C2068">
        <v>28.06</v>
      </c>
      <c r="D2068">
        <v>8.93</v>
      </c>
      <c r="E2068" t="s">
        <v>2344</v>
      </c>
      <c r="F2068" t="s">
        <v>2344</v>
      </c>
      <c r="G2068" t="s">
        <v>2344</v>
      </c>
      <c r="H2068">
        <v>0</v>
      </c>
      <c r="I2068" t="s">
        <v>2344</v>
      </c>
      <c r="J2068" t="str">
        <f t="shared" si="129"/>
        <v>Over weight</v>
      </c>
      <c r="K2068" t="str">
        <f t="shared" si="132"/>
        <v>Diabetes</v>
      </c>
      <c r="L2068">
        <v>24</v>
      </c>
      <c r="M2068" t="s">
        <v>2366</v>
      </c>
      <c r="N2068">
        <v>1971</v>
      </c>
      <c r="O2068" s="8">
        <f t="shared" si="130"/>
        <v>26169</v>
      </c>
      <c r="P2068" s="10">
        <v>32947.629999999997</v>
      </c>
      <c r="Q2068" t="s">
        <v>2357</v>
      </c>
      <c r="R2068" t="s">
        <v>2361</v>
      </c>
      <c r="S2068" t="s">
        <v>2368</v>
      </c>
      <c r="T2068">
        <f t="shared" ca="1" si="131"/>
        <v>55</v>
      </c>
      <c r="U2068">
        <f>VLOOKUP($A2068,'Medical Examination'!$A:$Z,2,FALSE)</f>
        <v>28.06</v>
      </c>
    </row>
    <row r="2069" spans="1:21" ht="15.5" x14ac:dyDescent="0.35">
      <c r="A2069" s="2" t="s">
        <v>2069</v>
      </c>
      <c r="B2069" s="2" t="s">
        <v>5153</v>
      </c>
      <c r="C2069">
        <v>31.13</v>
      </c>
      <c r="D2069">
        <v>11.02</v>
      </c>
      <c r="E2069" t="s">
        <v>2344</v>
      </c>
      <c r="F2069" t="s">
        <v>2344</v>
      </c>
      <c r="G2069" t="s">
        <v>2344</v>
      </c>
      <c r="H2069">
        <v>0</v>
      </c>
      <c r="I2069" t="s">
        <v>2344</v>
      </c>
      <c r="J2069" t="str">
        <f t="shared" si="129"/>
        <v>Obesity</v>
      </c>
      <c r="K2069" t="str">
        <f t="shared" si="132"/>
        <v>Diabetes</v>
      </c>
      <c r="L2069">
        <v>8</v>
      </c>
      <c r="M2069" t="s">
        <v>2356</v>
      </c>
      <c r="N2069">
        <v>1995</v>
      </c>
      <c r="O2069" s="8">
        <f t="shared" si="130"/>
        <v>34888</v>
      </c>
      <c r="P2069" s="10">
        <v>33017.46</v>
      </c>
      <c r="Q2069" t="s">
        <v>2361</v>
      </c>
      <c r="R2069" t="s">
        <v>2361</v>
      </c>
      <c r="S2069" t="s">
        <v>2368</v>
      </c>
      <c r="T2069">
        <f t="shared" ca="1" si="131"/>
        <v>31</v>
      </c>
      <c r="U2069">
        <f>VLOOKUP($A2069,'Medical Examination'!$A:$Z,2,FALSE)</f>
        <v>31.13</v>
      </c>
    </row>
    <row r="2070" spans="1:21" ht="15.5" x14ac:dyDescent="0.35">
      <c r="A2070" s="2" t="s">
        <v>2070</v>
      </c>
      <c r="B2070" s="2" t="s">
        <v>5155</v>
      </c>
      <c r="C2070">
        <v>18.46</v>
      </c>
      <c r="D2070">
        <v>5.25</v>
      </c>
      <c r="E2070" t="s">
        <v>2344</v>
      </c>
      <c r="F2070" t="s">
        <v>2344</v>
      </c>
      <c r="G2070" t="s">
        <v>2344</v>
      </c>
      <c r="H2070">
        <v>0</v>
      </c>
      <c r="I2070" t="s">
        <v>2344</v>
      </c>
      <c r="J2070" t="str">
        <f t="shared" si="129"/>
        <v>Under Weight</v>
      </c>
      <c r="K2070" t="str">
        <f t="shared" si="132"/>
        <v>Normal</v>
      </c>
      <c r="L2070">
        <v>10</v>
      </c>
      <c r="M2070" t="s">
        <v>2356</v>
      </c>
      <c r="N2070">
        <v>1967</v>
      </c>
      <c r="O2070" s="8">
        <f t="shared" si="130"/>
        <v>24663</v>
      </c>
      <c r="P2070" s="10">
        <v>33025.32</v>
      </c>
      <c r="Q2070" t="s">
        <v>2357</v>
      </c>
      <c r="R2070" t="s">
        <v>2358</v>
      </c>
      <c r="S2070" t="s">
        <v>2368</v>
      </c>
      <c r="T2070">
        <f t="shared" ca="1" si="131"/>
        <v>59</v>
      </c>
      <c r="U2070">
        <f>VLOOKUP($A2070,'Medical Examination'!$A:$Z,2,FALSE)</f>
        <v>18.46</v>
      </c>
    </row>
    <row r="2071" spans="1:21" ht="15.5" x14ac:dyDescent="0.35">
      <c r="A2071" s="2" t="s">
        <v>2071</v>
      </c>
      <c r="B2071" s="2" t="s">
        <v>5157</v>
      </c>
      <c r="C2071">
        <v>17.3</v>
      </c>
      <c r="D2071">
        <v>4.75</v>
      </c>
      <c r="E2071" t="s">
        <v>2344</v>
      </c>
      <c r="F2071" t="s">
        <v>2344</v>
      </c>
      <c r="G2071" t="s">
        <v>2344</v>
      </c>
      <c r="H2071">
        <v>0</v>
      </c>
      <c r="I2071" t="s">
        <v>2344</v>
      </c>
      <c r="J2071" t="str">
        <f t="shared" si="129"/>
        <v>Under Weight</v>
      </c>
      <c r="K2071" t="str">
        <f t="shared" si="132"/>
        <v>Normal</v>
      </c>
      <c r="L2071">
        <v>28</v>
      </c>
      <c r="M2071" t="s">
        <v>2356</v>
      </c>
      <c r="N2071">
        <v>1994</v>
      </c>
      <c r="O2071" s="8">
        <f t="shared" si="130"/>
        <v>34543</v>
      </c>
      <c r="P2071" s="10">
        <v>33057.230000000003</v>
      </c>
      <c r="Q2071" t="s">
        <v>2361</v>
      </c>
      <c r="R2071" t="s">
        <v>2357</v>
      </c>
      <c r="S2071" t="s">
        <v>2368</v>
      </c>
      <c r="T2071">
        <f t="shared" ca="1" si="131"/>
        <v>32</v>
      </c>
      <c r="U2071">
        <f>VLOOKUP($A2071,'Medical Examination'!$A:$Z,2,FALSE)</f>
        <v>17.3</v>
      </c>
    </row>
    <row r="2072" spans="1:21" ht="15.5" x14ac:dyDescent="0.35">
      <c r="A2072" s="2" t="s">
        <v>2072</v>
      </c>
      <c r="B2072" s="2" t="s">
        <v>2794</v>
      </c>
      <c r="C2072">
        <v>35.625</v>
      </c>
      <c r="D2072">
        <v>4.68</v>
      </c>
      <c r="E2072" t="s">
        <v>2346</v>
      </c>
      <c r="F2072" t="s">
        <v>2344</v>
      </c>
      <c r="G2072" t="s">
        <v>2346</v>
      </c>
      <c r="H2072">
        <v>1</v>
      </c>
      <c r="I2072" t="s">
        <v>2344</v>
      </c>
      <c r="J2072" t="str">
        <f t="shared" si="129"/>
        <v>Obesity</v>
      </c>
      <c r="K2072" t="str">
        <f t="shared" si="132"/>
        <v>Normal</v>
      </c>
      <c r="L2072">
        <v>1</v>
      </c>
      <c r="M2072" t="s">
        <v>2356</v>
      </c>
      <c r="N2072">
        <v>1962</v>
      </c>
      <c r="O2072" s="8">
        <f t="shared" si="130"/>
        <v>22828</v>
      </c>
      <c r="P2072" s="10">
        <v>33074.94</v>
      </c>
      <c r="Q2072" t="s">
        <v>2361</v>
      </c>
      <c r="R2072" t="s">
        <v>2357</v>
      </c>
      <c r="S2072" t="s">
        <v>2368</v>
      </c>
      <c r="T2072">
        <f t="shared" ca="1" si="131"/>
        <v>64</v>
      </c>
      <c r="U2072">
        <f>VLOOKUP($A2072,'Medical Examination'!$A:$Z,2,FALSE)</f>
        <v>35.625</v>
      </c>
    </row>
    <row r="2073" spans="1:21" ht="15.5" x14ac:dyDescent="0.35">
      <c r="A2073" s="2" t="s">
        <v>2073</v>
      </c>
      <c r="B2073" s="2" t="s">
        <v>5158</v>
      </c>
      <c r="C2073">
        <v>20.234999999999999</v>
      </c>
      <c r="D2073">
        <v>6.17</v>
      </c>
      <c r="E2073" t="s">
        <v>2346</v>
      </c>
      <c r="F2073" t="s">
        <v>2345</v>
      </c>
      <c r="G2073" t="s">
        <v>2344</v>
      </c>
      <c r="H2073">
        <v>1</v>
      </c>
      <c r="I2073" t="s">
        <v>2344</v>
      </c>
      <c r="J2073" t="str">
        <f t="shared" si="129"/>
        <v>Normal Weight</v>
      </c>
      <c r="K2073" t="str">
        <f t="shared" si="132"/>
        <v>Prediabetes</v>
      </c>
      <c r="L2073">
        <v>30</v>
      </c>
      <c r="M2073" t="s">
        <v>2367</v>
      </c>
      <c r="N2073">
        <v>1969</v>
      </c>
      <c r="O2073" s="8">
        <f t="shared" si="130"/>
        <v>25506</v>
      </c>
      <c r="P2073" s="10">
        <v>33090.660000000003</v>
      </c>
      <c r="Q2073" t="s">
        <v>2357</v>
      </c>
      <c r="R2073" t="s">
        <v>2357</v>
      </c>
      <c r="S2073" t="s">
        <v>2368</v>
      </c>
      <c r="T2073">
        <f t="shared" ca="1" si="131"/>
        <v>57</v>
      </c>
      <c r="U2073">
        <f>VLOOKUP($A2073,'Medical Examination'!$A:$Z,2,FALSE)</f>
        <v>20.234999999999999</v>
      </c>
    </row>
    <row r="2074" spans="1:21" ht="15.5" x14ac:dyDescent="0.35">
      <c r="A2074" s="2" t="s">
        <v>2074</v>
      </c>
      <c r="B2074" s="2" t="s">
        <v>5160</v>
      </c>
      <c r="C2074">
        <v>27.55</v>
      </c>
      <c r="D2074">
        <v>4.5599999999999996</v>
      </c>
      <c r="E2074" t="s">
        <v>2346</v>
      </c>
      <c r="F2074" t="s">
        <v>2344</v>
      </c>
      <c r="G2074" t="s">
        <v>2346</v>
      </c>
      <c r="H2074">
        <v>1</v>
      </c>
      <c r="I2074" t="s">
        <v>2344</v>
      </c>
      <c r="J2074" t="str">
        <f t="shared" si="129"/>
        <v>Over weight</v>
      </c>
      <c r="K2074" t="str">
        <f t="shared" si="132"/>
        <v>Normal</v>
      </c>
      <c r="L2074">
        <v>15</v>
      </c>
      <c r="M2074" t="s">
        <v>2356</v>
      </c>
      <c r="N2074">
        <v>1985</v>
      </c>
      <c r="O2074" s="8">
        <f t="shared" si="130"/>
        <v>31243</v>
      </c>
      <c r="P2074" s="10">
        <v>33121</v>
      </c>
      <c r="Q2074" t="s">
        <v>2357</v>
      </c>
      <c r="R2074" t="s">
        <v>2361</v>
      </c>
      <c r="S2074" t="s">
        <v>2368</v>
      </c>
      <c r="T2074">
        <f t="shared" ca="1" si="131"/>
        <v>41</v>
      </c>
      <c r="U2074">
        <f>VLOOKUP($A2074,'Medical Examination'!$A:$Z,2,FALSE)</f>
        <v>27.55</v>
      </c>
    </row>
    <row r="2075" spans="1:21" ht="15.5" x14ac:dyDescent="0.35">
      <c r="A2075" s="2" t="s">
        <v>2075</v>
      </c>
      <c r="B2075" s="2" t="s">
        <v>5162</v>
      </c>
      <c r="C2075">
        <v>17.97</v>
      </c>
      <c r="D2075">
        <v>6.3</v>
      </c>
      <c r="E2075" t="s">
        <v>2344</v>
      </c>
      <c r="F2075" t="s">
        <v>2344</v>
      </c>
      <c r="G2075" t="s">
        <v>2344</v>
      </c>
      <c r="H2075">
        <v>0</v>
      </c>
      <c r="I2075" t="s">
        <v>2344</v>
      </c>
      <c r="J2075" t="str">
        <f t="shared" si="129"/>
        <v>Under Weight</v>
      </c>
      <c r="K2075" t="str">
        <f t="shared" si="132"/>
        <v>Prediabetes</v>
      </c>
      <c r="L2075">
        <v>12</v>
      </c>
      <c r="M2075" t="s">
        <v>2367</v>
      </c>
      <c r="N2075">
        <v>1990</v>
      </c>
      <c r="O2075" s="8">
        <f t="shared" si="130"/>
        <v>33158</v>
      </c>
      <c r="P2075" s="10">
        <v>33292.83</v>
      </c>
      <c r="Q2075" t="s">
        <v>2357</v>
      </c>
      <c r="R2075" t="s">
        <v>2361</v>
      </c>
      <c r="S2075" t="s">
        <v>2368</v>
      </c>
      <c r="T2075">
        <f t="shared" ca="1" si="131"/>
        <v>36</v>
      </c>
      <c r="U2075">
        <f>VLOOKUP($A2075,'Medical Examination'!$A:$Z,2,FALSE)</f>
        <v>17.97</v>
      </c>
    </row>
    <row r="2076" spans="1:21" ht="15.5" x14ac:dyDescent="0.35">
      <c r="A2076" s="2" t="s">
        <v>2076</v>
      </c>
      <c r="B2076" s="2" t="s">
        <v>5007</v>
      </c>
      <c r="C2076">
        <v>29.98</v>
      </c>
      <c r="D2076">
        <v>6.03</v>
      </c>
      <c r="E2076" t="s">
        <v>2344</v>
      </c>
      <c r="F2076" t="s">
        <v>2345</v>
      </c>
      <c r="G2076" t="s">
        <v>2344</v>
      </c>
      <c r="H2076">
        <v>1</v>
      </c>
      <c r="I2076" t="s">
        <v>2344</v>
      </c>
      <c r="J2076" t="str">
        <f t="shared" si="129"/>
        <v>Over weight</v>
      </c>
      <c r="K2076" t="str">
        <f t="shared" si="132"/>
        <v>Prediabetes</v>
      </c>
      <c r="L2076">
        <v>28</v>
      </c>
      <c r="M2076" t="s">
        <v>2360</v>
      </c>
      <c r="N2076">
        <v>2003</v>
      </c>
      <c r="O2076" s="8">
        <f t="shared" si="130"/>
        <v>37953</v>
      </c>
      <c r="P2076" s="10">
        <v>33307.550000000003</v>
      </c>
      <c r="Q2076" t="s">
        <v>2357</v>
      </c>
      <c r="R2076" t="s">
        <v>2358</v>
      </c>
      <c r="S2076" t="s">
        <v>2364</v>
      </c>
      <c r="T2076">
        <f t="shared" ca="1" si="131"/>
        <v>23</v>
      </c>
      <c r="U2076">
        <f>VLOOKUP($A2076,'Medical Examination'!$A:$Z,2,FALSE)</f>
        <v>29.98</v>
      </c>
    </row>
    <row r="2077" spans="1:21" ht="15.5" x14ac:dyDescent="0.35">
      <c r="A2077" s="2" t="s">
        <v>2077</v>
      </c>
      <c r="B2077" s="2" t="s">
        <v>5163</v>
      </c>
      <c r="C2077">
        <v>33.659999999999997</v>
      </c>
      <c r="D2077">
        <v>4.2</v>
      </c>
      <c r="E2077" t="s">
        <v>2346</v>
      </c>
      <c r="F2077" t="s">
        <v>2344</v>
      </c>
      <c r="G2077" t="s">
        <v>2344</v>
      </c>
      <c r="H2077">
        <v>1</v>
      </c>
      <c r="I2077" t="s">
        <v>2344</v>
      </c>
      <c r="J2077" t="str">
        <f t="shared" si="129"/>
        <v>Obesity</v>
      </c>
      <c r="K2077" t="str">
        <f t="shared" si="132"/>
        <v>Normal</v>
      </c>
      <c r="L2077">
        <v>5</v>
      </c>
      <c r="M2077" t="s">
        <v>2363</v>
      </c>
      <c r="N2077">
        <v>1972</v>
      </c>
      <c r="O2077" s="8">
        <f t="shared" si="130"/>
        <v>26547</v>
      </c>
      <c r="P2077" s="10">
        <v>33344.449999999997</v>
      </c>
      <c r="Q2077" t="s">
        <v>2357</v>
      </c>
      <c r="R2077" t="s">
        <v>2358</v>
      </c>
      <c r="S2077" t="s">
        <v>2368</v>
      </c>
      <c r="T2077">
        <f t="shared" ca="1" si="131"/>
        <v>54</v>
      </c>
      <c r="U2077">
        <f>VLOOKUP($A2077,'Medical Examination'!$A:$Z,2,FALSE)</f>
        <v>33.659999999999997</v>
      </c>
    </row>
    <row r="2078" spans="1:21" ht="15.5" x14ac:dyDescent="0.35">
      <c r="A2078" s="2" t="s">
        <v>2078</v>
      </c>
      <c r="B2078" s="2" t="s">
        <v>5164</v>
      </c>
      <c r="C2078">
        <v>32.67</v>
      </c>
      <c r="D2078">
        <v>5.61</v>
      </c>
      <c r="E2078" t="s">
        <v>2346</v>
      </c>
      <c r="F2078" t="s">
        <v>2344</v>
      </c>
      <c r="G2078" t="s">
        <v>2344</v>
      </c>
      <c r="H2078">
        <v>1</v>
      </c>
      <c r="I2078" t="s">
        <v>2344</v>
      </c>
      <c r="J2078" t="str">
        <f t="shared" si="129"/>
        <v>Obesity</v>
      </c>
      <c r="K2078" t="str">
        <f t="shared" si="132"/>
        <v>Normal</v>
      </c>
      <c r="L2078">
        <v>7</v>
      </c>
      <c r="M2078" t="s">
        <v>2365</v>
      </c>
      <c r="N2078">
        <v>1985</v>
      </c>
      <c r="O2078" s="8">
        <f t="shared" si="130"/>
        <v>31388</v>
      </c>
      <c r="P2078" s="10">
        <v>33450.99</v>
      </c>
      <c r="Q2078" t="s">
        <v>2357</v>
      </c>
      <c r="R2078" t="s">
        <v>2357</v>
      </c>
      <c r="S2078" t="s">
        <v>2368</v>
      </c>
      <c r="T2078">
        <f t="shared" ca="1" si="131"/>
        <v>41</v>
      </c>
      <c r="U2078">
        <f>VLOOKUP($A2078,'Medical Examination'!$A:$Z,2,FALSE)</f>
        <v>32.67</v>
      </c>
    </row>
    <row r="2079" spans="1:21" ht="15.5" x14ac:dyDescent="0.35">
      <c r="A2079" s="2" t="s">
        <v>2079</v>
      </c>
      <c r="B2079" s="2" t="s">
        <v>5165</v>
      </c>
      <c r="C2079">
        <v>30.5</v>
      </c>
      <c r="D2079">
        <v>5.88</v>
      </c>
      <c r="E2079" t="s">
        <v>2346</v>
      </c>
      <c r="F2079" t="s">
        <v>2344</v>
      </c>
      <c r="G2079" t="s">
        <v>2344</v>
      </c>
      <c r="H2079">
        <v>1</v>
      </c>
      <c r="I2079" t="s">
        <v>2344</v>
      </c>
      <c r="J2079" t="str">
        <f t="shared" si="129"/>
        <v>Obesity</v>
      </c>
      <c r="K2079" t="str">
        <f t="shared" si="132"/>
        <v>Prediabetes</v>
      </c>
      <c r="L2079">
        <v>18</v>
      </c>
      <c r="M2079" t="s">
        <v>2362</v>
      </c>
      <c r="N2079">
        <v>1970</v>
      </c>
      <c r="O2079" s="8">
        <f t="shared" si="130"/>
        <v>25737</v>
      </c>
      <c r="P2079" s="10">
        <v>33471.97</v>
      </c>
      <c r="Q2079" t="s">
        <v>2357</v>
      </c>
      <c r="R2079" t="s">
        <v>2357</v>
      </c>
      <c r="S2079" t="s">
        <v>2364</v>
      </c>
      <c r="T2079">
        <f t="shared" ca="1" si="131"/>
        <v>56</v>
      </c>
      <c r="U2079">
        <f>VLOOKUP($A2079,'Medical Examination'!$A:$Z,2,FALSE)</f>
        <v>30.5</v>
      </c>
    </row>
    <row r="2080" spans="1:21" ht="15.5" x14ac:dyDescent="0.35">
      <c r="A2080" s="2" t="s">
        <v>2080</v>
      </c>
      <c r="B2080" s="2" t="s">
        <v>5166</v>
      </c>
      <c r="C2080">
        <v>23.1</v>
      </c>
      <c r="D2080">
        <v>5.92</v>
      </c>
      <c r="E2080" t="s">
        <v>2346</v>
      </c>
      <c r="F2080" t="s">
        <v>2344</v>
      </c>
      <c r="G2080" t="s">
        <v>2344</v>
      </c>
      <c r="H2080">
        <v>1</v>
      </c>
      <c r="I2080" t="s">
        <v>2344</v>
      </c>
      <c r="J2080" t="str">
        <f t="shared" si="129"/>
        <v>Normal Weight</v>
      </c>
      <c r="K2080" t="str">
        <f t="shared" si="132"/>
        <v>Prediabetes</v>
      </c>
      <c r="L2080">
        <v>25</v>
      </c>
      <c r="M2080" t="s">
        <v>2366</v>
      </c>
      <c r="N2080">
        <v>2002</v>
      </c>
      <c r="O2080" s="8">
        <f t="shared" si="130"/>
        <v>37493</v>
      </c>
      <c r="P2080" s="10">
        <v>33475.82</v>
      </c>
      <c r="Q2080" t="s">
        <v>2361</v>
      </c>
      <c r="R2080" t="s">
        <v>2361</v>
      </c>
      <c r="S2080" t="s">
        <v>2372</v>
      </c>
      <c r="T2080">
        <f t="shared" ca="1" si="131"/>
        <v>24</v>
      </c>
      <c r="U2080">
        <f>VLOOKUP($A2080,'Medical Examination'!$A:$Z,2,FALSE)</f>
        <v>23.1</v>
      </c>
    </row>
    <row r="2081" spans="1:21" ht="15.5" x14ac:dyDescent="0.35">
      <c r="A2081" s="2" t="s">
        <v>2081</v>
      </c>
      <c r="B2081" s="2" t="s">
        <v>3735</v>
      </c>
      <c r="C2081">
        <v>39.49</v>
      </c>
      <c r="D2081">
        <v>4.8099999999999996</v>
      </c>
      <c r="E2081" t="s">
        <v>2344</v>
      </c>
      <c r="F2081" t="s">
        <v>2344</v>
      </c>
      <c r="G2081" t="s">
        <v>2344</v>
      </c>
      <c r="H2081">
        <v>1</v>
      </c>
      <c r="I2081" t="s">
        <v>2344</v>
      </c>
      <c r="J2081" t="str">
        <f t="shared" si="129"/>
        <v>Obesity</v>
      </c>
      <c r="K2081" t="str">
        <f t="shared" si="132"/>
        <v>Normal</v>
      </c>
      <c r="L2081">
        <v>22</v>
      </c>
      <c r="M2081" t="s">
        <v>2356</v>
      </c>
      <c r="N2081">
        <v>1984</v>
      </c>
      <c r="O2081" s="8">
        <f t="shared" si="130"/>
        <v>30885</v>
      </c>
      <c r="P2081" s="10">
        <v>33527.1</v>
      </c>
      <c r="Q2081" t="s">
        <v>2357</v>
      </c>
      <c r="R2081" t="s">
        <v>2358</v>
      </c>
      <c r="S2081" t="s">
        <v>2368</v>
      </c>
      <c r="T2081">
        <f t="shared" ca="1" si="131"/>
        <v>42</v>
      </c>
      <c r="U2081">
        <f>VLOOKUP($A2081,'Medical Examination'!$A:$Z,2,FALSE)</f>
        <v>39.49</v>
      </c>
    </row>
    <row r="2082" spans="1:21" ht="15.5" x14ac:dyDescent="0.35">
      <c r="A2082" s="2" t="s">
        <v>2082</v>
      </c>
      <c r="B2082" s="2" t="s">
        <v>5168</v>
      </c>
      <c r="C2082">
        <v>33.99</v>
      </c>
      <c r="D2082">
        <v>4.55</v>
      </c>
      <c r="E2082" t="s">
        <v>2344</v>
      </c>
      <c r="F2082" t="s">
        <v>2344</v>
      </c>
      <c r="G2082" t="s">
        <v>2344</v>
      </c>
      <c r="H2082">
        <v>1</v>
      </c>
      <c r="I2082" t="s">
        <v>2344</v>
      </c>
      <c r="J2082" t="str">
        <f t="shared" si="129"/>
        <v>Obesity</v>
      </c>
      <c r="K2082" t="str">
        <f t="shared" si="132"/>
        <v>Normal</v>
      </c>
      <c r="L2082">
        <v>9</v>
      </c>
      <c r="M2082" t="s">
        <v>2363</v>
      </c>
      <c r="N2082">
        <v>2003</v>
      </c>
      <c r="O2082" s="8">
        <f t="shared" si="130"/>
        <v>37873</v>
      </c>
      <c r="P2082" s="10">
        <v>33611.71</v>
      </c>
      <c r="Q2082" t="s">
        <v>2361</v>
      </c>
      <c r="R2082" t="s">
        <v>2357</v>
      </c>
      <c r="S2082" t="s">
        <v>2368</v>
      </c>
      <c r="T2082">
        <f t="shared" ca="1" si="131"/>
        <v>23</v>
      </c>
      <c r="U2082">
        <f>VLOOKUP($A2082,'Medical Examination'!$A:$Z,2,FALSE)</f>
        <v>33.99</v>
      </c>
    </row>
    <row r="2083" spans="1:21" ht="15.5" x14ac:dyDescent="0.35">
      <c r="A2083" s="2" t="s">
        <v>2083</v>
      </c>
      <c r="B2083" s="2" t="s">
        <v>5169</v>
      </c>
      <c r="C2083">
        <v>27.72</v>
      </c>
      <c r="D2083">
        <v>6.43</v>
      </c>
      <c r="E2083" t="s">
        <v>2344</v>
      </c>
      <c r="F2083" t="s">
        <v>2344</v>
      </c>
      <c r="G2083" t="s">
        <v>2344</v>
      </c>
      <c r="H2083">
        <v>1</v>
      </c>
      <c r="I2083" t="s">
        <v>2344</v>
      </c>
      <c r="J2083" t="str">
        <f t="shared" si="129"/>
        <v>Over weight</v>
      </c>
      <c r="K2083" t="str">
        <f t="shared" si="132"/>
        <v>Prediabetes</v>
      </c>
      <c r="L2083">
        <v>28</v>
      </c>
      <c r="M2083" t="s">
        <v>2360</v>
      </c>
      <c r="N2083">
        <v>1993</v>
      </c>
      <c r="O2083" s="8">
        <f t="shared" si="130"/>
        <v>34301</v>
      </c>
      <c r="P2083" s="10">
        <v>33707.550000000003</v>
      </c>
      <c r="Q2083" t="s">
        <v>2357</v>
      </c>
      <c r="R2083" t="s">
        <v>2357</v>
      </c>
      <c r="S2083" t="s">
        <v>2368</v>
      </c>
      <c r="T2083">
        <f t="shared" ca="1" si="131"/>
        <v>33</v>
      </c>
      <c r="U2083">
        <f>VLOOKUP($A2083,'Medical Examination'!$A:$Z,2,FALSE)</f>
        <v>27.72</v>
      </c>
    </row>
    <row r="2084" spans="1:21" ht="15.5" x14ac:dyDescent="0.35">
      <c r="A2084" s="2" t="s">
        <v>2084</v>
      </c>
      <c r="B2084" s="2" t="s">
        <v>5170</v>
      </c>
      <c r="C2084">
        <v>30.59</v>
      </c>
      <c r="D2084">
        <v>11.62</v>
      </c>
      <c r="E2084" t="s">
        <v>2344</v>
      </c>
      <c r="F2084" t="s">
        <v>2344</v>
      </c>
      <c r="G2084" t="s">
        <v>2344</v>
      </c>
      <c r="H2084">
        <v>0</v>
      </c>
      <c r="I2084" t="s">
        <v>2344</v>
      </c>
      <c r="J2084" t="str">
        <f t="shared" si="129"/>
        <v>Obesity</v>
      </c>
      <c r="K2084" t="str">
        <f t="shared" si="132"/>
        <v>Diabetes</v>
      </c>
      <c r="L2084">
        <v>1</v>
      </c>
      <c r="M2084" t="s">
        <v>2360</v>
      </c>
      <c r="N2084">
        <v>2004</v>
      </c>
      <c r="O2084" s="8">
        <f t="shared" si="130"/>
        <v>38292</v>
      </c>
      <c r="P2084" s="10">
        <v>33732.69</v>
      </c>
      <c r="Q2084" t="s">
        <v>2361</v>
      </c>
      <c r="R2084" t="s">
        <v>2361</v>
      </c>
      <c r="S2084" t="s">
        <v>2378</v>
      </c>
      <c r="T2084">
        <f t="shared" ca="1" si="131"/>
        <v>22</v>
      </c>
      <c r="U2084">
        <f>VLOOKUP($A2084,'Medical Examination'!$A:$Z,2,FALSE)</f>
        <v>30.59</v>
      </c>
    </row>
    <row r="2085" spans="1:21" ht="15.5" x14ac:dyDescent="0.35">
      <c r="A2085" s="2" t="s">
        <v>2085</v>
      </c>
      <c r="B2085" s="2" t="s">
        <v>5171</v>
      </c>
      <c r="C2085">
        <v>22.6</v>
      </c>
      <c r="D2085">
        <v>6.04</v>
      </c>
      <c r="E2085" t="s">
        <v>2344</v>
      </c>
      <c r="F2085" t="s">
        <v>2344</v>
      </c>
      <c r="G2085" t="s">
        <v>2344</v>
      </c>
      <c r="H2085">
        <v>1</v>
      </c>
      <c r="I2085" t="s">
        <v>2344</v>
      </c>
      <c r="J2085" t="str">
        <f t="shared" si="129"/>
        <v>Normal Weight</v>
      </c>
      <c r="K2085" t="str">
        <f t="shared" si="132"/>
        <v>Prediabetes</v>
      </c>
      <c r="L2085">
        <v>12</v>
      </c>
      <c r="M2085" t="s">
        <v>2363</v>
      </c>
      <c r="N2085">
        <v>2003</v>
      </c>
      <c r="O2085" s="8">
        <f t="shared" si="130"/>
        <v>37876</v>
      </c>
      <c r="P2085" s="10">
        <v>33750.29</v>
      </c>
      <c r="Q2085" t="s">
        <v>2361</v>
      </c>
      <c r="R2085" t="s">
        <v>2358</v>
      </c>
      <c r="S2085" t="s">
        <v>2364</v>
      </c>
      <c r="T2085">
        <f t="shared" ca="1" si="131"/>
        <v>23</v>
      </c>
      <c r="U2085">
        <f>VLOOKUP($A2085,'Medical Examination'!$A:$Z,2,FALSE)</f>
        <v>22.6</v>
      </c>
    </row>
    <row r="2086" spans="1:21" ht="15.5" x14ac:dyDescent="0.35">
      <c r="A2086" s="2" t="s">
        <v>2086</v>
      </c>
      <c r="B2086" s="2" t="s">
        <v>5172</v>
      </c>
      <c r="C2086">
        <v>28.785</v>
      </c>
      <c r="D2086">
        <v>8.82</v>
      </c>
      <c r="E2086" t="s">
        <v>2344</v>
      </c>
      <c r="F2086" t="s">
        <v>2344</v>
      </c>
      <c r="G2086" t="s">
        <v>2344</v>
      </c>
      <c r="H2086">
        <v>0</v>
      </c>
      <c r="I2086" t="s">
        <v>2344</v>
      </c>
      <c r="J2086" t="str">
        <f t="shared" si="129"/>
        <v>Over weight</v>
      </c>
      <c r="K2086" t="str">
        <f t="shared" si="132"/>
        <v>Diabetes</v>
      </c>
      <c r="L2086">
        <v>11</v>
      </c>
      <c r="M2086" t="s">
        <v>2365</v>
      </c>
      <c r="N2086">
        <v>1962</v>
      </c>
      <c r="O2086" s="8">
        <f t="shared" si="130"/>
        <v>22991</v>
      </c>
      <c r="P2086" s="10">
        <v>33753.32</v>
      </c>
      <c r="Q2086" t="s">
        <v>2361</v>
      </c>
      <c r="R2086" t="s">
        <v>2358</v>
      </c>
      <c r="S2086" t="s">
        <v>2368</v>
      </c>
      <c r="T2086">
        <f t="shared" ca="1" si="131"/>
        <v>64</v>
      </c>
      <c r="U2086">
        <f>VLOOKUP($A2086,'Medical Examination'!$A:$Z,2,FALSE)</f>
        <v>28.785</v>
      </c>
    </row>
    <row r="2087" spans="1:21" ht="15.5" x14ac:dyDescent="0.35">
      <c r="A2087" s="2" t="s">
        <v>2087</v>
      </c>
      <c r="B2087" s="2" t="s">
        <v>5173</v>
      </c>
      <c r="C2087">
        <v>50.38</v>
      </c>
      <c r="D2087">
        <v>5.8</v>
      </c>
      <c r="E2087" t="s">
        <v>2344</v>
      </c>
      <c r="F2087" t="s">
        <v>2344</v>
      </c>
      <c r="G2087" t="s">
        <v>2344</v>
      </c>
      <c r="H2087">
        <v>0</v>
      </c>
      <c r="I2087" t="s">
        <v>2344</v>
      </c>
      <c r="J2087" t="str">
        <f t="shared" si="129"/>
        <v>Obesity</v>
      </c>
      <c r="K2087" t="str">
        <f t="shared" si="132"/>
        <v>Prediabetes</v>
      </c>
      <c r="L2087">
        <v>26</v>
      </c>
      <c r="M2087" t="s">
        <v>2367</v>
      </c>
      <c r="N2087">
        <v>2000</v>
      </c>
      <c r="O2087" s="8">
        <f t="shared" si="130"/>
        <v>36825</v>
      </c>
      <c r="P2087" s="10">
        <v>33829.39</v>
      </c>
      <c r="Q2087" t="s">
        <v>2357</v>
      </c>
      <c r="R2087" t="s">
        <v>2358</v>
      </c>
      <c r="S2087" t="s">
        <v>2368</v>
      </c>
      <c r="T2087">
        <f t="shared" ca="1" si="131"/>
        <v>26</v>
      </c>
      <c r="U2087">
        <f>VLOOKUP($A2087,'Medical Examination'!$A:$Z,2,FALSE)</f>
        <v>50.38</v>
      </c>
    </row>
    <row r="2088" spans="1:21" ht="15.5" x14ac:dyDescent="0.35">
      <c r="A2088" s="2" t="s">
        <v>2088</v>
      </c>
      <c r="B2088" s="2" t="s">
        <v>2794</v>
      </c>
      <c r="C2088">
        <v>35.200000000000003</v>
      </c>
      <c r="D2088">
        <v>4.28</v>
      </c>
      <c r="E2088" t="s">
        <v>2344</v>
      </c>
      <c r="F2088" t="s">
        <v>2344</v>
      </c>
      <c r="G2088" t="s">
        <v>2344</v>
      </c>
      <c r="H2088">
        <v>0</v>
      </c>
      <c r="I2088" t="s">
        <v>2344</v>
      </c>
      <c r="J2088" t="str">
        <f t="shared" si="129"/>
        <v>Obesity</v>
      </c>
      <c r="K2088" t="str">
        <f t="shared" si="132"/>
        <v>Normal</v>
      </c>
      <c r="L2088">
        <v>9</v>
      </c>
      <c r="M2088" t="s">
        <v>2366</v>
      </c>
      <c r="N2088">
        <v>1997</v>
      </c>
      <c r="O2088" s="8">
        <f t="shared" si="130"/>
        <v>35651</v>
      </c>
      <c r="P2088" s="10">
        <v>33900.65</v>
      </c>
      <c r="Q2088" t="s">
        <v>2357</v>
      </c>
      <c r="R2088" t="s">
        <v>2358</v>
      </c>
      <c r="S2088" t="s">
        <v>2368</v>
      </c>
      <c r="T2088">
        <f t="shared" ca="1" si="131"/>
        <v>29</v>
      </c>
      <c r="U2088">
        <f>VLOOKUP($A2088,'Medical Examination'!$A:$Z,2,FALSE)</f>
        <v>35.200000000000003</v>
      </c>
    </row>
    <row r="2089" spans="1:21" ht="15.5" x14ac:dyDescent="0.35">
      <c r="A2089" s="2" t="s">
        <v>2089</v>
      </c>
      <c r="B2089" s="2" t="s">
        <v>5174</v>
      </c>
      <c r="C2089">
        <v>35.72</v>
      </c>
      <c r="D2089">
        <v>5.5</v>
      </c>
      <c r="E2089" t="s">
        <v>2346</v>
      </c>
      <c r="F2089" t="s">
        <v>2344</v>
      </c>
      <c r="G2089" t="s">
        <v>2344</v>
      </c>
      <c r="H2089">
        <v>0</v>
      </c>
      <c r="I2089" t="s">
        <v>2344</v>
      </c>
      <c r="J2089" t="str">
        <f t="shared" si="129"/>
        <v>Obesity</v>
      </c>
      <c r="K2089" t="str">
        <f t="shared" si="132"/>
        <v>Normal</v>
      </c>
      <c r="L2089">
        <v>27</v>
      </c>
      <c r="M2089" t="s">
        <v>2365</v>
      </c>
      <c r="N2089">
        <v>2000</v>
      </c>
      <c r="O2089" s="8">
        <f t="shared" si="130"/>
        <v>36887</v>
      </c>
      <c r="P2089" s="10">
        <v>33907.550000000003</v>
      </c>
      <c r="Q2089" t="s">
        <v>2357</v>
      </c>
      <c r="R2089" t="s">
        <v>2357</v>
      </c>
      <c r="S2089" t="s">
        <v>2364</v>
      </c>
      <c r="T2089">
        <f t="shared" ca="1" si="131"/>
        <v>26</v>
      </c>
      <c r="U2089">
        <f>VLOOKUP($A2089,'Medical Examination'!$A:$Z,2,FALSE)</f>
        <v>35.72</v>
      </c>
    </row>
    <row r="2090" spans="1:21" ht="15.5" x14ac:dyDescent="0.35">
      <c r="A2090" s="2" t="s">
        <v>2090</v>
      </c>
      <c r="B2090" s="2" t="s">
        <v>5176</v>
      </c>
      <c r="C2090">
        <v>24.51</v>
      </c>
      <c r="D2090">
        <v>4.6900000000000004</v>
      </c>
      <c r="E2090" t="s">
        <v>2344</v>
      </c>
      <c r="F2090" t="s">
        <v>2344</v>
      </c>
      <c r="G2090" t="s">
        <v>2344</v>
      </c>
      <c r="H2090">
        <v>0</v>
      </c>
      <c r="I2090" t="s">
        <v>2344</v>
      </c>
      <c r="J2090" t="str">
        <f t="shared" si="129"/>
        <v>Normal Weight</v>
      </c>
      <c r="K2090" t="str">
        <f t="shared" si="132"/>
        <v>Normal</v>
      </c>
      <c r="L2090">
        <v>25</v>
      </c>
      <c r="M2090" t="s">
        <v>2363</v>
      </c>
      <c r="N2090">
        <v>1994</v>
      </c>
      <c r="O2090" s="8">
        <f t="shared" si="130"/>
        <v>34602</v>
      </c>
      <c r="P2090" s="10">
        <v>33975.47</v>
      </c>
      <c r="Q2090" t="s">
        <v>2357</v>
      </c>
      <c r="R2090" t="s">
        <v>2357</v>
      </c>
      <c r="S2090" t="s">
        <v>2368</v>
      </c>
      <c r="T2090">
        <f t="shared" ca="1" si="131"/>
        <v>32</v>
      </c>
      <c r="U2090">
        <f>VLOOKUP($A2090,'Medical Examination'!$A:$Z,2,FALSE)</f>
        <v>24.51</v>
      </c>
    </row>
    <row r="2091" spans="1:21" ht="15.5" x14ac:dyDescent="0.35">
      <c r="A2091" s="2" t="s">
        <v>2091</v>
      </c>
      <c r="B2091" s="2" t="s">
        <v>5177</v>
      </c>
      <c r="C2091">
        <v>23.844999999999999</v>
      </c>
      <c r="D2091">
        <v>4.43</v>
      </c>
      <c r="E2091" t="s">
        <v>2344</v>
      </c>
      <c r="F2091" t="s">
        <v>2344</v>
      </c>
      <c r="G2091" t="s">
        <v>2344</v>
      </c>
      <c r="H2091">
        <v>0</v>
      </c>
      <c r="I2091" t="s">
        <v>2344</v>
      </c>
      <c r="J2091" t="str">
        <f t="shared" si="129"/>
        <v>Normal Weight</v>
      </c>
      <c r="K2091" t="str">
        <f t="shared" si="132"/>
        <v>Normal</v>
      </c>
      <c r="L2091">
        <v>26</v>
      </c>
      <c r="M2091" t="s">
        <v>2356</v>
      </c>
      <c r="N2091">
        <v>1972</v>
      </c>
      <c r="O2091" s="8">
        <f t="shared" si="130"/>
        <v>26506</v>
      </c>
      <c r="P2091" s="10">
        <v>34053.360000000001</v>
      </c>
      <c r="Q2091" t="s">
        <v>2357</v>
      </c>
      <c r="R2091" t="s">
        <v>2357</v>
      </c>
      <c r="S2091" t="s">
        <v>2368</v>
      </c>
      <c r="T2091">
        <f t="shared" ca="1" si="131"/>
        <v>54</v>
      </c>
      <c r="U2091">
        <f>VLOOKUP($A2091,'Medical Examination'!$A:$Z,2,FALSE)</f>
        <v>23.844999999999999</v>
      </c>
    </row>
    <row r="2092" spans="1:21" ht="15.5" x14ac:dyDescent="0.35">
      <c r="A2092" s="2" t="s">
        <v>2092</v>
      </c>
      <c r="B2092" s="2" t="s">
        <v>5179</v>
      </c>
      <c r="C2092">
        <v>15.68</v>
      </c>
      <c r="D2092">
        <v>6.16</v>
      </c>
      <c r="E2092" t="s">
        <v>2346</v>
      </c>
      <c r="F2092" t="s">
        <v>2344</v>
      </c>
      <c r="G2092" t="s">
        <v>2344</v>
      </c>
      <c r="H2092">
        <v>1</v>
      </c>
      <c r="I2092" t="s">
        <v>2344</v>
      </c>
      <c r="J2092" t="str">
        <f t="shared" si="129"/>
        <v>Under Weight</v>
      </c>
      <c r="K2092" t="str">
        <f t="shared" si="132"/>
        <v>Prediabetes</v>
      </c>
      <c r="L2092">
        <v>26</v>
      </c>
      <c r="M2092" t="s">
        <v>2365</v>
      </c>
      <c r="N2092">
        <v>2002</v>
      </c>
      <c r="O2092" s="8">
        <f t="shared" si="130"/>
        <v>37616</v>
      </c>
      <c r="P2092" s="10">
        <v>34084.68</v>
      </c>
      <c r="Q2092" t="s">
        <v>2357</v>
      </c>
      <c r="R2092" t="s">
        <v>2358</v>
      </c>
      <c r="S2092" t="s">
        <v>2368</v>
      </c>
      <c r="T2092">
        <f t="shared" ca="1" si="131"/>
        <v>24</v>
      </c>
      <c r="U2092">
        <f>VLOOKUP($A2092,'Medical Examination'!$A:$Z,2,FALSE)</f>
        <v>15.68</v>
      </c>
    </row>
    <row r="2093" spans="1:21" ht="15.5" x14ac:dyDescent="0.35">
      <c r="A2093" s="2" t="s">
        <v>2093</v>
      </c>
      <c r="B2093" s="2" t="s">
        <v>5180</v>
      </c>
      <c r="C2093">
        <v>32.395000000000003</v>
      </c>
      <c r="D2093">
        <v>6.66</v>
      </c>
      <c r="E2093" t="s">
        <v>2344</v>
      </c>
      <c r="F2093" t="s">
        <v>2344</v>
      </c>
      <c r="G2093" t="s">
        <v>2344</v>
      </c>
      <c r="H2093">
        <v>0</v>
      </c>
      <c r="I2093" t="s">
        <v>2344</v>
      </c>
      <c r="J2093" t="str">
        <f t="shared" si="129"/>
        <v>Obesity</v>
      </c>
      <c r="K2093" t="str">
        <f t="shared" si="132"/>
        <v>Diabetes</v>
      </c>
      <c r="L2093">
        <v>6</v>
      </c>
      <c r="M2093" t="s">
        <v>2360</v>
      </c>
      <c r="N2093">
        <v>1999</v>
      </c>
      <c r="O2093" s="8">
        <f t="shared" si="130"/>
        <v>36470</v>
      </c>
      <c r="P2093" s="10">
        <v>34166.269999999997</v>
      </c>
      <c r="Q2093" t="s">
        <v>2357</v>
      </c>
      <c r="R2093" t="s">
        <v>2358</v>
      </c>
      <c r="S2093" t="s">
        <v>2368</v>
      </c>
      <c r="T2093">
        <f t="shared" ca="1" si="131"/>
        <v>27</v>
      </c>
      <c r="U2093">
        <f>VLOOKUP($A2093,'Medical Examination'!$A:$Z,2,FALSE)</f>
        <v>32.395000000000003</v>
      </c>
    </row>
    <row r="2094" spans="1:21" ht="15.5" x14ac:dyDescent="0.35">
      <c r="A2094" s="2" t="s">
        <v>2094</v>
      </c>
      <c r="B2094" s="2" t="s">
        <v>5181</v>
      </c>
      <c r="C2094">
        <v>23.655000000000001</v>
      </c>
      <c r="D2094">
        <v>5.92</v>
      </c>
      <c r="E2094" t="s">
        <v>2344</v>
      </c>
      <c r="F2094" t="s">
        <v>2344</v>
      </c>
      <c r="G2094" t="s">
        <v>2344</v>
      </c>
      <c r="H2094">
        <v>1</v>
      </c>
      <c r="I2094" t="s">
        <v>2344</v>
      </c>
      <c r="J2094" t="str">
        <f t="shared" si="129"/>
        <v>Normal Weight</v>
      </c>
      <c r="K2094" t="str">
        <f t="shared" si="132"/>
        <v>Prediabetes</v>
      </c>
      <c r="L2094">
        <v>25</v>
      </c>
      <c r="M2094" t="s">
        <v>2366</v>
      </c>
      <c r="N2094">
        <v>1971</v>
      </c>
      <c r="O2094" s="8">
        <f t="shared" si="130"/>
        <v>26170</v>
      </c>
      <c r="P2094" s="10">
        <v>34205.07</v>
      </c>
      <c r="Q2094" t="s">
        <v>2357</v>
      </c>
      <c r="R2094" t="s">
        <v>2357</v>
      </c>
      <c r="S2094" t="s">
        <v>2368</v>
      </c>
      <c r="T2094">
        <f t="shared" ca="1" si="131"/>
        <v>55</v>
      </c>
      <c r="U2094">
        <f>VLOOKUP($A2094,'Medical Examination'!$A:$Z,2,FALSE)</f>
        <v>23.655000000000001</v>
      </c>
    </row>
    <row r="2095" spans="1:21" ht="15.5" x14ac:dyDescent="0.35">
      <c r="A2095" s="2" t="s">
        <v>2095</v>
      </c>
      <c r="B2095" s="2" t="s">
        <v>5182</v>
      </c>
      <c r="C2095">
        <v>28.4</v>
      </c>
      <c r="D2095">
        <v>5.97</v>
      </c>
      <c r="E2095" t="s">
        <v>2344</v>
      </c>
      <c r="F2095" t="s">
        <v>2344</v>
      </c>
      <c r="G2095" t="s">
        <v>2346</v>
      </c>
      <c r="H2095">
        <v>1</v>
      </c>
      <c r="I2095" t="s">
        <v>2344</v>
      </c>
      <c r="J2095" t="str">
        <f t="shared" si="129"/>
        <v>Over weight</v>
      </c>
      <c r="K2095" t="str">
        <f t="shared" si="132"/>
        <v>Prediabetes</v>
      </c>
      <c r="L2095">
        <v>21</v>
      </c>
      <c r="M2095" t="s">
        <v>2356</v>
      </c>
      <c r="N2095">
        <v>1975</v>
      </c>
      <c r="O2095" s="8">
        <f t="shared" si="130"/>
        <v>27596</v>
      </c>
      <c r="P2095" s="10">
        <v>34210.33</v>
      </c>
      <c r="Q2095" t="s">
        <v>2357</v>
      </c>
      <c r="R2095" t="s">
        <v>2361</v>
      </c>
      <c r="S2095" t="s">
        <v>2364</v>
      </c>
      <c r="T2095">
        <f t="shared" ca="1" si="131"/>
        <v>51</v>
      </c>
      <c r="U2095">
        <f>VLOOKUP($A2095,'Medical Examination'!$A:$Z,2,FALSE)</f>
        <v>28.4</v>
      </c>
    </row>
    <row r="2096" spans="1:21" ht="15.5" x14ac:dyDescent="0.35">
      <c r="A2096" s="2" t="s">
        <v>2096</v>
      </c>
      <c r="B2096" s="2" t="s">
        <v>5183</v>
      </c>
      <c r="C2096">
        <v>35.42</v>
      </c>
      <c r="D2096">
        <v>4.6399999999999997</v>
      </c>
      <c r="E2096" t="s">
        <v>2346</v>
      </c>
      <c r="F2096" t="s">
        <v>2344</v>
      </c>
      <c r="G2096" t="s">
        <v>2344</v>
      </c>
      <c r="H2096">
        <v>0</v>
      </c>
      <c r="I2096" t="s">
        <v>2344</v>
      </c>
      <c r="J2096" t="str">
        <f t="shared" si="129"/>
        <v>Obesity</v>
      </c>
      <c r="K2096" t="str">
        <f t="shared" si="132"/>
        <v>Normal</v>
      </c>
      <c r="L2096">
        <v>5</v>
      </c>
      <c r="M2096" t="s">
        <v>2356</v>
      </c>
      <c r="N2096">
        <v>1962</v>
      </c>
      <c r="O2096" s="8">
        <f t="shared" si="130"/>
        <v>22832</v>
      </c>
      <c r="P2096" s="10">
        <v>34218.019999999997</v>
      </c>
      <c r="Q2096" t="s">
        <v>2361</v>
      </c>
      <c r="R2096" t="s">
        <v>2361</v>
      </c>
      <c r="S2096" t="s">
        <v>2368</v>
      </c>
      <c r="T2096">
        <f t="shared" ca="1" si="131"/>
        <v>64</v>
      </c>
      <c r="U2096">
        <f>VLOOKUP($A2096,'Medical Examination'!$A:$Z,2,FALSE)</f>
        <v>35.42</v>
      </c>
    </row>
    <row r="2097" spans="1:21" ht="15.5" x14ac:dyDescent="0.35">
      <c r="A2097" s="2" t="s">
        <v>2097</v>
      </c>
      <c r="B2097" s="2" t="s">
        <v>5184</v>
      </c>
      <c r="C2097">
        <v>26.18</v>
      </c>
      <c r="D2097">
        <v>6.12</v>
      </c>
      <c r="E2097" t="s">
        <v>2344</v>
      </c>
      <c r="F2097" t="s">
        <v>2345</v>
      </c>
      <c r="G2097" t="s">
        <v>2344</v>
      </c>
      <c r="H2097">
        <v>1</v>
      </c>
      <c r="I2097" t="s">
        <v>2344</v>
      </c>
      <c r="J2097" t="str">
        <f t="shared" si="129"/>
        <v>Over weight</v>
      </c>
      <c r="K2097" t="str">
        <f t="shared" si="132"/>
        <v>Prediabetes</v>
      </c>
      <c r="L2097">
        <v>11</v>
      </c>
      <c r="M2097" t="s">
        <v>2362</v>
      </c>
      <c r="N2097">
        <v>1998</v>
      </c>
      <c r="O2097" s="8">
        <f t="shared" si="130"/>
        <v>35957</v>
      </c>
      <c r="P2097" s="10">
        <v>34254.050000000003</v>
      </c>
      <c r="Q2097" t="s">
        <v>2361</v>
      </c>
      <c r="R2097" t="s">
        <v>2358</v>
      </c>
      <c r="S2097" t="s">
        <v>2370</v>
      </c>
      <c r="T2097">
        <f t="shared" ca="1" si="131"/>
        <v>28</v>
      </c>
      <c r="U2097">
        <f>VLOOKUP($A2097,'Medical Examination'!$A:$Z,2,FALSE)</f>
        <v>26.18</v>
      </c>
    </row>
    <row r="2098" spans="1:21" ht="15.5" x14ac:dyDescent="0.35">
      <c r="A2098" s="2" t="s">
        <v>2098</v>
      </c>
      <c r="B2098" s="2" t="s">
        <v>5185</v>
      </c>
      <c r="C2098">
        <v>20.8</v>
      </c>
      <c r="D2098">
        <v>4.87</v>
      </c>
      <c r="E2098" t="s">
        <v>2346</v>
      </c>
      <c r="F2098" t="s">
        <v>2344</v>
      </c>
      <c r="G2098" t="s">
        <v>2344</v>
      </c>
      <c r="H2098">
        <v>0</v>
      </c>
      <c r="I2098" t="s">
        <v>2344</v>
      </c>
      <c r="J2098" t="str">
        <f t="shared" si="129"/>
        <v>Normal Weight</v>
      </c>
      <c r="K2098" t="str">
        <f t="shared" si="132"/>
        <v>Normal</v>
      </c>
      <c r="L2098">
        <v>30</v>
      </c>
      <c r="M2098" t="s">
        <v>2367</v>
      </c>
      <c r="N2098">
        <v>1995</v>
      </c>
      <c r="O2098" s="8">
        <f t="shared" si="130"/>
        <v>35002</v>
      </c>
      <c r="P2098" s="10">
        <v>34289.43</v>
      </c>
      <c r="Q2098" t="s">
        <v>2361</v>
      </c>
      <c r="R2098" t="s">
        <v>2361</v>
      </c>
      <c r="S2098" t="s">
        <v>2368</v>
      </c>
      <c r="T2098">
        <f t="shared" ca="1" si="131"/>
        <v>31</v>
      </c>
      <c r="U2098">
        <f>VLOOKUP($A2098,'Medical Examination'!$A:$Z,2,FALSE)</f>
        <v>20.8</v>
      </c>
    </row>
    <row r="2099" spans="1:21" ht="15.5" x14ac:dyDescent="0.35">
      <c r="A2099" s="2" t="s">
        <v>2099</v>
      </c>
      <c r="B2099" s="2" t="s">
        <v>5187</v>
      </c>
      <c r="C2099">
        <v>15.82</v>
      </c>
      <c r="D2099">
        <v>4.5999999999999996</v>
      </c>
      <c r="E2099" t="s">
        <v>2344</v>
      </c>
      <c r="F2099" t="s">
        <v>2344</v>
      </c>
      <c r="G2099" t="s">
        <v>2344</v>
      </c>
      <c r="H2099">
        <v>0</v>
      </c>
      <c r="I2099" t="s">
        <v>2344</v>
      </c>
      <c r="J2099" t="str">
        <f t="shared" si="129"/>
        <v>Under Weight</v>
      </c>
      <c r="K2099" t="str">
        <f t="shared" si="132"/>
        <v>Normal</v>
      </c>
      <c r="L2099">
        <v>11</v>
      </c>
      <c r="M2099" t="s">
        <v>2367</v>
      </c>
      <c r="N2099">
        <v>1986</v>
      </c>
      <c r="O2099" s="8">
        <f t="shared" si="130"/>
        <v>31696</v>
      </c>
      <c r="P2099" s="10">
        <v>34293.120000000003</v>
      </c>
      <c r="Q2099" t="s">
        <v>2361</v>
      </c>
      <c r="R2099" t="s">
        <v>2357</v>
      </c>
      <c r="S2099" t="s">
        <v>2368</v>
      </c>
      <c r="T2099">
        <f t="shared" ca="1" si="131"/>
        <v>40</v>
      </c>
      <c r="U2099">
        <f>VLOOKUP($A2099,'Medical Examination'!$A:$Z,2,FALSE)</f>
        <v>15.82</v>
      </c>
    </row>
    <row r="2100" spans="1:21" ht="15.5" x14ac:dyDescent="0.35">
      <c r="A2100" s="2" t="s">
        <v>2100</v>
      </c>
      <c r="B2100" s="2" t="s">
        <v>5188</v>
      </c>
      <c r="C2100">
        <v>17.670000000000002</v>
      </c>
      <c r="D2100">
        <v>4.78</v>
      </c>
      <c r="E2100" t="s">
        <v>2344</v>
      </c>
      <c r="F2100" t="s">
        <v>2344</v>
      </c>
      <c r="G2100" t="s">
        <v>2344</v>
      </c>
      <c r="H2100">
        <v>0</v>
      </c>
      <c r="I2100" t="s">
        <v>2344</v>
      </c>
      <c r="J2100" t="str">
        <f t="shared" si="129"/>
        <v>Under Weight</v>
      </c>
      <c r="K2100" t="str">
        <f t="shared" si="132"/>
        <v>Normal</v>
      </c>
      <c r="L2100">
        <v>1</v>
      </c>
      <c r="M2100" t="s">
        <v>2360</v>
      </c>
      <c r="N2100">
        <v>2004</v>
      </c>
      <c r="O2100" s="8">
        <f t="shared" si="130"/>
        <v>38292</v>
      </c>
      <c r="P2100" s="10">
        <v>34303.17</v>
      </c>
      <c r="Q2100" t="s">
        <v>2361</v>
      </c>
      <c r="R2100" t="s">
        <v>2358</v>
      </c>
      <c r="S2100" t="s">
        <v>2359</v>
      </c>
      <c r="T2100">
        <f t="shared" ca="1" si="131"/>
        <v>22</v>
      </c>
      <c r="U2100">
        <f>VLOOKUP($A2100,'Medical Examination'!$A:$Z,2,FALSE)</f>
        <v>17.670000000000002</v>
      </c>
    </row>
    <row r="2101" spans="1:21" ht="15.5" x14ac:dyDescent="0.35">
      <c r="A2101" s="2" t="s">
        <v>2101</v>
      </c>
      <c r="B2101" s="2" t="s">
        <v>5189</v>
      </c>
      <c r="C2101">
        <v>31.92</v>
      </c>
      <c r="D2101">
        <v>11.05</v>
      </c>
      <c r="E2101" t="s">
        <v>2344</v>
      </c>
      <c r="F2101" t="s">
        <v>2344</v>
      </c>
      <c r="G2101" t="s">
        <v>2344</v>
      </c>
      <c r="H2101">
        <v>0</v>
      </c>
      <c r="I2101" t="s">
        <v>2344</v>
      </c>
      <c r="J2101" t="str">
        <f t="shared" si="129"/>
        <v>Obesity</v>
      </c>
      <c r="K2101" t="str">
        <f t="shared" si="132"/>
        <v>Diabetes</v>
      </c>
      <c r="L2101">
        <v>2</v>
      </c>
      <c r="M2101" t="s">
        <v>2367</v>
      </c>
      <c r="N2101">
        <v>1983</v>
      </c>
      <c r="O2101" s="8">
        <f t="shared" si="130"/>
        <v>30591</v>
      </c>
      <c r="P2101" s="10">
        <v>34307.22</v>
      </c>
      <c r="Q2101" t="s">
        <v>2357</v>
      </c>
      <c r="R2101" t="s">
        <v>2357</v>
      </c>
      <c r="S2101" t="s">
        <v>2364</v>
      </c>
      <c r="T2101">
        <f t="shared" ca="1" si="131"/>
        <v>43</v>
      </c>
      <c r="U2101">
        <f>VLOOKUP($A2101,'Medical Examination'!$A:$Z,2,FALSE)</f>
        <v>31.92</v>
      </c>
    </row>
    <row r="2102" spans="1:21" ht="15.5" x14ac:dyDescent="0.35">
      <c r="A2102" s="2" t="s">
        <v>2102</v>
      </c>
      <c r="B2102" s="2" t="s">
        <v>5190</v>
      </c>
      <c r="C2102">
        <v>28.975000000000001</v>
      </c>
      <c r="D2102">
        <v>7.62</v>
      </c>
      <c r="E2102" t="s">
        <v>2344</v>
      </c>
      <c r="F2102" t="s">
        <v>2344</v>
      </c>
      <c r="G2102" t="s">
        <v>2344</v>
      </c>
      <c r="H2102">
        <v>0</v>
      </c>
      <c r="I2102" t="s">
        <v>2344</v>
      </c>
      <c r="J2102" t="str">
        <f t="shared" si="129"/>
        <v>Over weight</v>
      </c>
      <c r="K2102" t="str">
        <f t="shared" si="132"/>
        <v>Diabetes</v>
      </c>
      <c r="L2102">
        <v>1</v>
      </c>
      <c r="M2102" t="s">
        <v>2367</v>
      </c>
      <c r="N2102">
        <v>1984</v>
      </c>
      <c r="O2102" s="8">
        <f t="shared" si="130"/>
        <v>30956</v>
      </c>
      <c r="P2102" s="10">
        <v>34402.22</v>
      </c>
      <c r="Q2102" t="s">
        <v>2357</v>
      </c>
      <c r="R2102" t="s">
        <v>2358</v>
      </c>
      <c r="S2102" t="s">
        <v>2368</v>
      </c>
      <c r="T2102">
        <f t="shared" ca="1" si="131"/>
        <v>42</v>
      </c>
      <c r="U2102">
        <f>VLOOKUP($A2102,'Medical Examination'!$A:$Z,2,FALSE)</f>
        <v>28.975000000000001</v>
      </c>
    </row>
    <row r="2103" spans="1:21" ht="15.5" x14ac:dyDescent="0.35">
      <c r="A2103" s="2" t="s">
        <v>2103</v>
      </c>
      <c r="B2103" s="2" t="s">
        <v>4704</v>
      </c>
      <c r="C2103">
        <v>31.73</v>
      </c>
      <c r="D2103">
        <v>4.78</v>
      </c>
      <c r="E2103" t="s">
        <v>2346</v>
      </c>
      <c r="F2103" t="s">
        <v>2345</v>
      </c>
      <c r="G2103" t="s">
        <v>2344</v>
      </c>
      <c r="H2103">
        <v>1</v>
      </c>
      <c r="I2103" t="s">
        <v>2344</v>
      </c>
      <c r="J2103" t="str">
        <f t="shared" si="129"/>
        <v>Obesity</v>
      </c>
      <c r="K2103" t="str">
        <f t="shared" si="132"/>
        <v>Normal</v>
      </c>
      <c r="L2103">
        <v>5</v>
      </c>
      <c r="M2103" t="s">
        <v>2367</v>
      </c>
      <c r="N2103">
        <v>2003</v>
      </c>
      <c r="O2103" s="8">
        <f t="shared" si="130"/>
        <v>37899</v>
      </c>
      <c r="P2103" s="10">
        <v>34439.86</v>
      </c>
      <c r="Q2103" t="s">
        <v>2357</v>
      </c>
      <c r="R2103" t="s">
        <v>2361</v>
      </c>
      <c r="S2103" t="s">
        <v>2359</v>
      </c>
      <c r="T2103">
        <f t="shared" ca="1" si="131"/>
        <v>23</v>
      </c>
      <c r="U2103">
        <f>VLOOKUP($A2103,'Medical Examination'!$A:$Z,2,FALSE)</f>
        <v>31.73</v>
      </c>
    </row>
    <row r="2104" spans="1:21" ht="15.5" x14ac:dyDescent="0.35">
      <c r="A2104" s="2" t="s">
        <v>2104</v>
      </c>
      <c r="B2104" s="2" t="s">
        <v>5192</v>
      </c>
      <c r="C2104">
        <v>28.88</v>
      </c>
      <c r="D2104">
        <v>6.09</v>
      </c>
      <c r="E2104" t="s">
        <v>2346</v>
      </c>
      <c r="F2104" t="s">
        <v>2345</v>
      </c>
      <c r="G2104" t="s">
        <v>2344</v>
      </c>
      <c r="H2104">
        <v>1</v>
      </c>
      <c r="I2104" t="s">
        <v>2344</v>
      </c>
      <c r="J2104" t="str">
        <f t="shared" si="129"/>
        <v>Over weight</v>
      </c>
      <c r="K2104" t="str">
        <f t="shared" si="132"/>
        <v>Prediabetes</v>
      </c>
      <c r="L2104">
        <v>24</v>
      </c>
      <c r="M2104" t="s">
        <v>2363</v>
      </c>
      <c r="N2104">
        <v>1990</v>
      </c>
      <c r="O2104" s="8">
        <f t="shared" si="130"/>
        <v>33140</v>
      </c>
      <c r="P2104" s="10">
        <v>34456.269999999997</v>
      </c>
      <c r="Q2104" t="s">
        <v>2361</v>
      </c>
      <c r="R2104" t="s">
        <v>2357</v>
      </c>
      <c r="S2104" t="s">
        <v>2368</v>
      </c>
      <c r="T2104">
        <f t="shared" ca="1" si="131"/>
        <v>36</v>
      </c>
      <c r="U2104">
        <f>VLOOKUP($A2104,'Medical Examination'!$A:$Z,2,FALSE)</f>
        <v>28.88</v>
      </c>
    </row>
    <row r="2105" spans="1:21" ht="15.5" x14ac:dyDescent="0.35">
      <c r="A2105" s="2" t="s">
        <v>2105</v>
      </c>
      <c r="B2105" s="2" t="s">
        <v>2413</v>
      </c>
      <c r="C2105">
        <v>25.555</v>
      </c>
      <c r="D2105">
        <v>5.1100000000000003</v>
      </c>
      <c r="E2105" t="s">
        <v>2344</v>
      </c>
      <c r="F2105" t="s">
        <v>2344</v>
      </c>
      <c r="G2105" t="s">
        <v>2346</v>
      </c>
      <c r="H2105">
        <v>1</v>
      </c>
      <c r="I2105" t="s">
        <v>2344</v>
      </c>
      <c r="J2105" t="str">
        <f t="shared" si="129"/>
        <v>Over weight</v>
      </c>
      <c r="K2105" t="str">
        <f t="shared" si="132"/>
        <v>Normal</v>
      </c>
      <c r="L2105">
        <v>24</v>
      </c>
      <c r="M2105" t="s">
        <v>2362</v>
      </c>
      <c r="N2105">
        <v>1998</v>
      </c>
      <c r="O2105" s="8">
        <f t="shared" si="130"/>
        <v>35970</v>
      </c>
      <c r="P2105" s="10">
        <v>34472.839999999997</v>
      </c>
      <c r="Q2105" t="s">
        <v>2361</v>
      </c>
      <c r="R2105" t="s">
        <v>2358</v>
      </c>
      <c r="S2105" t="s">
        <v>2368</v>
      </c>
      <c r="T2105">
        <f t="shared" ca="1" si="131"/>
        <v>28</v>
      </c>
      <c r="U2105">
        <f>VLOOKUP($A2105,'Medical Examination'!$A:$Z,2,FALSE)</f>
        <v>25.555</v>
      </c>
    </row>
    <row r="2106" spans="1:21" ht="15.5" x14ac:dyDescent="0.35">
      <c r="A2106" s="2" t="s">
        <v>2106</v>
      </c>
      <c r="B2106" s="2" t="s">
        <v>5194</v>
      </c>
      <c r="C2106">
        <v>37.29</v>
      </c>
      <c r="D2106">
        <v>4.46</v>
      </c>
      <c r="E2106" t="s">
        <v>2344</v>
      </c>
      <c r="F2106" t="s">
        <v>2345</v>
      </c>
      <c r="G2106" t="s">
        <v>2344</v>
      </c>
      <c r="H2106">
        <v>1</v>
      </c>
      <c r="I2106" t="s">
        <v>2344</v>
      </c>
      <c r="J2106" t="str">
        <f t="shared" si="129"/>
        <v>Obesity</v>
      </c>
      <c r="K2106" t="str">
        <f t="shared" si="132"/>
        <v>Normal</v>
      </c>
      <c r="L2106">
        <v>25</v>
      </c>
      <c r="M2106" t="s">
        <v>2360</v>
      </c>
      <c r="N2106">
        <v>1976</v>
      </c>
      <c r="O2106" s="8">
        <f t="shared" si="130"/>
        <v>28089</v>
      </c>
      <c r="P2106" s="10">
        <v>34543.39</v>
      </c>
      <c r="Q2106" t="s">
        <v>2357</v>
      </c>
      <c r="R2106" t="s">
        <v>2358</v>
      </c>
      <c r="S2106" t="s">
        <v>2368</v>
      </c>
      <c r="T2106">
        <f t="shared" ca="1" si="131"/>
        <v>50</v>
      </c>
      <c r="U2106">
        <f>VLOOKUP($A2106,'Medical Examination'!$A:$Z,2,FALSE)</f>
        <v>37.29</v>
      </c>
    </row>
    <row r="2107" spans="1:21" ht="15.5" x14ac:dyDescent="0.35">
      <c r="A2107" s="2" t="s">
        <v>2107</v>
      </c>
      <c r="B2107" s="2" t="s">
        <v>2506</v>
      </c>
      <c r="C2107">
        <v>40.28</v>
      </c>
      <c r="D2107">
        <v>6.11</v>
      </c>
      <c r="E2107" t="s">
        <v>2344</v>
      </c>
      <c r="F2107" t="s">
        <v>2345</v>
      </c>
      <c r="G2107" t="s">
        <v>2344</v>
      </c>
      <c r="H2107">
        <v>1</v>
      </c>
      <c r="I2107" t="s">
        <v>2344</v>
      </c>
      <c r="J2107" t="str">
        <f t="shared" si="129"/>
        <v>Obesity</v>
      </c>
      <c r="K2107" t="str">
        <f t="shared" si="132"/>
        <v>Prediabetes</v>
      </c>
      <c r="L2107">
        <v>9</v>
      </c>
      <c r="M2107" t="s">
        <v>2367</v>
      </c>
      <c r="N2107">
        <v>2004</v>
      </c>
      <c r="O2107" s="8">
        <f t="shared" si="130"/>
        <v>38269</v>
      </c>
      <c r="P2107" s="10">
        <v>34617.839999999997</v>
      </c>
      <c r="Q2107" t="s">
        <v>2361</v>
      </c>
      <c r="R2107" t="s">
        <v>2358</v>
      </c>
      <c r="S2107" t="s">
        <v>2371</v>
      </c>
      <c r="T2107">
        <f t="shared" ca="1" si="131"/>
        <v>22</v>
      </c>
      <c r="U2107">
        <f>VLOOKUP($A2107,'Medical Examination'!$A:$Z,2,FALSE)</f>
        <v>40.28</v>
      </c>
    </row>
    <row r="2108" spans="1:21" ht="15.5" x14ac:dyDescent="0.35">
      <c r="A2108" s="2" t="s">
        <v>2108</v>
      </c>
      <c r="B2108" s="2" t="s">
        <v>5195</v>
      </c>
      <c r="C2108">
        <v>40.185000000000002</v>
      </c>
      <c r="D2108">
        <v>4.66</v>
      </c>
      <c r="E2108" t="s">
        <v>2344</v>
      </c>
      <c r="F2108" t="s">
        <v>2345</v>
      </c>
      <c r="G2108" t="s">
        <v>2344</v>
      </c>
      <c r="H2108">
        <v>1</v>
      </c>
      <c r="I2108" t="s">
        <v>2344</v>
      </c>
      <c r="J2108" t="str">
        <f t="shared" si="129"/>
        <v>Obesity</v>
      </c>
      <c r="K2108" t="str">
        <f t="shared" si="132"/>
        <v>Normal</v>
      </c>
      <c r="L2108">
        <v>7</v>
      </c>
      <c r="M2108" t="s">
        <v>2356</v>
      </c>
      <c r="N2108">
        <v>1994</v>
      </c>
      <c r="O2108" s="8">
        <f t="shared" si="130"/>
        <v>34522</v>
      </c>
      <c r="P2108" s="10">
        <v>34672.15</v>
      </c>
      <c r="Q2108" t="s">
        <v>2361</v>
      </c>
      <c r="R2108" t="s">
        <v>2358</v>
      </c>
      <c r="S2108" t="s">
        <v>2359</v>
      </c>
      <c r="T2108">
        <f t="shared" ca="1" si="131"/>
        <v>32</v>
      </c>
      <c r="U2108">
        <f>VLOOKUP($A2108,'Medical Examination'!$A:$Z,2,FALSE)</f>
        <v>40.185000000000002</v>
      </c>
    </row>
    <row r="2109" spans="1:21" ht="15.5" x14ac:dyDescent="0.35">
      <c r="A2109" s="2" t="s">
        <v>2109</v>
      </c>
      <c r="B2109" s="2" t="s">
        <v>5198</v>
      </c>
      <c r="C2109">
        <v>23.57</v>
      </c>
      <c r="D2109">
        <v>6.14</v>
      </c>
      <c r="E2109" t="s">
        <v>2344</v>
      </c>
      <c r="F2109" t="s">
        <v>2344</v>
      </c>
      <c r="G2109" t="s">
        <v>2344</v>
      </c>
      <c r="H2109">
        <v>0</v>
      </c>
      <c r="I2109" t="s">
        <v>2344</v>
      </c>
      <c r="J2109" t="str">
        <f t="shared" si="129"/>
        <v>Normal Weight</v>
      </c>
      <c r="K2109" t="str">
        <f t="shared" si="132"/>
        <v>Prediabetes</v>
      </c>
      <c r="L2109">
        <v>3</v>
      </c>
      <c r="M2109" t="s">
        <v>2356</v>
      </c>
      <c r="N2109">
        <v>2003</v>
      </c>
      <c r="O2109" s="8">
        <f t="shared" si="130"/>
        <v>37805</v>
      </c>
      <c r="P2109" s="10">
        <v>34779.620000000003</v>
      </c>
      <c r="Q2109" t="s">
        <v>2361</v>
      </c>
      <c r="R2109" t="s">
        <v>2357</v>
      </c>
      <c r="S2109" t="s">
        <v>2368</v>
      </c>
      <c r="T2109">
        <f t="shared" ca="1" si="131"/>
        <v>23</v>
      </c>
      <c r="U2109">
        <f>VLOOKUP($A2109,'Medical Examination'!$A:$Z,2,FALSE)</f>
        <v>23.57</v>
      </c>
    </row>
    <row r="2110" spans="1:21" ht="15.5" x14ac:dyDescent="0.35">
      <c r="A2110" s="2" t="s">
        <v>2110</v>
      </c>
      <c r="B2110" s="2" t="s">
        <v>3208</v>
      </c>
      <c r="C2110">
        <v>35.625</v>
      </c>
      <c r="D2110">
        <v>6.21</v>
      </c>
      <c r="E2110" t="s">
        <v>2344</v>
      </c>
      <c r="F2110" t="s">
        <v>2345</v>
      </c>
      <c r="G2110" t="s">
        <v>2344</v>
      </c>
      <c r="H2110">
        <v>1</v>
      </c>
      <c r="I2110" t="s">
        <v>2344</v>
      </c>
      <c r="J2110" t="str">
        <f t="shared" si="129"/>
        <v>Obesity</v>
      </c>
      <c r="K2110" t="str">
        <f t="shared" si="132"/>
        <v>Prediabetes</v>
      </c>
      <c r="L2110">
        <v>27</v>
      </c>
      <c r="M2110" t="s">
        <v>2365</v>
      </c>
      <c r="N2110">
        <v>1995</v>
      </c>
      <c r="O2110" s="8">
        <f t="shared" si="130"/>
        <v>35060</v>
      </c>
      <c r="P2110" s="10">
        <v>34806.47</v>
      </c>
      <c r="Q2110" t="s">
        <v>2361</v>
      </c>
      <c r="R2110" t="s">
        <v>2357</v>
      </c>
      <c r="S2110" t="s">
        <v>2359</v>
      </c>
      <c r="T2110">
        <f t="shared" ca="1" si="131"/>
        <v>31</v>
      </c>
      <c r="U2110">
        <f>VLOOKUP($A2110,'Medical Examination'!$A:$Z,2,FALSE)</f>
        <v>35.625</v>
      </c>
    </row>
    <row r="2111" spans="1:21" ht="15.5" x14ac:dyDescent="0.35">
      <c r="A2111" s="2" t="s">
        <v>2111</v>
      </c>
      <c r="B2111" s="2" t="s">
        <v>5200</v>
      </c>
      <c r="C2111">
        <v>33.155000000000001</v>
      </c>
      <c r="D2111">
        <v>4.5999999999999996</v>
      </c>
      <c r="E2111" t="s">
        <v>2344</v>
      </c>
      <c r="F2111" t="s">
        <v>2345</v>
      </c>
      <c r="G2111" t="s">
        <v>2344</v>
      </c>
      <c r="H2111">
        <v>1</v>
      </c>
      <c r="I2111" t="s">
        <v>2344</v>
      </c>
      <c r="J2111" t="str">
        <f t="shared" si="129"/>
        <v>Obesity</v>
      </c>
      <c r="K2111" t="str">
        <f t="shared" si="132"/>
        <v>Normal</v>
      </c>
      <c r="L2111">
        <v>17</v>
      </c>
      <c r="M2111" t="s">
        <v>2363</v>
      </c>
      <c r="N2111">
        <v>2003</v>
      </c>
      <c r="O2111" s="8">
        <f t="shared" si="130"/>
        <v>37881</v>
      </c>
      <c r="P2111" s="10">
        <v>34828.65</v>
      </c>
      <c r="Q2111" t="s">
        <v>2361</v>
      </c>
      <c r="R2111" t="s">
        <v>2358</v>
      </c>
      <c r="S2111" t="s">
        <v>2368</v>
      </c>
      <c r="T2111">
        <f t="shared" ca="1" si="131"/>
        <v>23</v>
      </c>
      <c r="U2111">
        <f>VLOOKUP($A2111,'Medical Examination'!$A:$Z,2,FALSE)</f>
        <v>33.155000000000001</v>
      </c>
    </row>
    <row r="2112" spans="1:21" ht="15.5" x14ac:dyDescent="0.35">
      <c r="A2112" s="2" t="s">
        <v>2112</v>
      </c>
      <c r="B2112" s="2" t="s">
        <v>5202</v>
      </c>
      <c r="C2112">
        <v>31.92</v>
      </c>
      <c r="D2112">
        <v>5.04</v>
      </c>
      <c r="E2112" t="s">
        <v>2344</v>
      </c>
      <c r="F2112" t="s">
        <v>2345</v>
      </c>
      <c r="G2112" t="s">
        <v>2344</v>
      </c>
      <c r="H2112">
        <v>1</v>
      </c>
      <c r="I2112" t="s">
        <v>2344</v>
      </c>
      <c r="J2112" t="str">
        <f t="shared" si="129"/>
        <v>Obesity</v>
      </c>
      <c r="K2112" t="str">
        <f t="shared" si="132"/>
        <v>Normal</v>
      </c>
      <c r="L2112">
        <v>17</v>
      </c>
      <c r="M2112" t="s">
        <v>2367</v>
      </c>
      <c r="N2112">
        <v>1995</v>
      </c>
      <c r="O2112" s="8">
        <f t="shared" si="130"/>
        <v>34989</v>
      </c>
      <c r="P2112" s="10">
        <v>34838.870000000003</v>
      </c>
      <c r="Q2112" t="s">
        <v>2357</v>
      </c>
      <c r="R2112" t="s">
        <v>2358</v>
      </c>
      <c r="S2112" t="s">
        <v>2368</v>
      </c>
      <c r="T2112">
        <f t="shared" ca="1" si="131"/>
        <v>31</v>
      </c>
      <c r="U2112">
        <f>VLOOKUP($A2112,'Medical Examination'!$A:$Z,2,FALSE)</f>
        <v>31.92</v>
      </c>
    </row>
    <row r="2113" spans="1:21" ht="15.5" x14ac:dyDescent="0.35">
      <c r="A2113" s="2" t="s">
        <v>2113</v>
      </c>
      <c r="B2113" s="2" t="s">
        <v>5204</v>
      </c>
      <c r="C2113">
        <v>30.305</v>
      </c>
      <c r="D2113">
        <v>5.08</v>
      </c>
      <c r="E2113" t="s">
        <v>2344</v>
      </c>
      <c r="F2113" t="s">
        <v>2345</v>
      </c>
      <c r="G2113" t="s">
        <v>2344</v>
      </c>
      <c r="H2113">
        <v>1</v>
      </c>
      <c r="I2113" t="s">
        <v>2344</v>
      </c>
      <c r="J2113" t="str">
        <f t="shared" si="129"/>
        <v>Obesity</v>
      </c>
      <c r="K2113" t="str">
        <f t="shared" si="132"/>
        <v>Normal</v>
      </c>
      <c r="L2113">
        <v>29</v>
      </c>
      <c r="M2113" t="s">
        <v>2356</v>
      </c>
      <c r="N2113">
        <v>1983</v>
      </c>
      <c r="O2113" s="8">
        <f t="shared" si="130"/>
        <v>30526</v>
      </c>
      <c r="P2113" s="10">
        <v>34940.61</v>
      </c>
      <c r="Q2113" t="s">
        <v>2357</v>
      </c>
      <c r="R2113" t="s">
        <v>2358</v>
      </c>
      <c r="S2113" t="s">
        <v>2368</v>
      </c>
      <c r="T2113">
        <f t="shared" ca="1" si="131"/>
        <v>43</v>
      </c>
      <c r="U2113">
        <f>VLOOKUP($A2113,'Medical Examination'!$A:$Z,2,FALSE)</f>
        <v>30.305</v>
      </c>
    </row>
    <row r="2114" spans="1:21" ht="15.5" x14ac:dyDescent="0.35">
      <c r="A2114" s="2" t="s">
        <v>2114</v>
      </c>
      <c r="B2114" s="2" t="s">
        <v>5205</v>
      </c>
      <c r="C2114">
        <v>30.114999999999998</v>
      </c>
      <c r="D2114">
        <v>4.38</v>
      </c>
      <c r="E2114" t="s">
        <v>2344</v>
      </c>
      <c r="F2114" t="s">
        <v>2345</v>
      </c>
      <c r="G2114" t="s">
        <v>2344</v>
      </c>
      <c r="H2114">
        <v>1</v>
      </c>
      <c r="I2114" t="s">
        <v>2344</v>
      </c>
      <c r="J2114" t="str">
        <f t="shared" si="129"/>
        <v>Obesity</v>
      </c>
      <c r="K2114" t="str">
        <f t="shared" si="132"/>
        <v>Normal</v>
      </c>
      <c r="L2114">
        <v>7</v>
      </c>
      <c r="M2114" t="s">
        <v>2367</v>
      </c>
      <c r="N2114">
        <v>1967</v>
      </c>
      <c r="O2114" s="8">
        <f t="shared" si="130"/>
        <v>24752</v>
      </c>
      <c r="P2114" s="10">
        <v>34975.68</v>
      </c>
      <c r="Q2114" t="s">
        <v>2357</v>
      </c>
      <c r="R2114" t="s">
        <v>2357</v>
      </c>
      <c r="S2114" t="s">
        <v>2368</v>
      </c>
      <c r="T2114">
        <f t="shared" ca="1" si="131"/>
        <v>59</v>
      </c>
      <c r="U2114">
        <f>VLOOKUP($A2114,'Medical Examination'!$A:$Z,2,FALSE)</f>
        <v>30.114999999999998</v>
      </c>
    </row>
    <row r="2115" spans="1:21" ht="15.5" x14ac:dyDescent="0.35">
      <c r="A2115" s="2" t="s">
        <v>2115</v>
      </c>
      <c r="B2115" s="2" t="s">
        <v>5206</v>
      </c>
      <c r="C2115">
        <v>24.09</v>
      </c>
      <c r="D2115">
        <v>4.79</v>
      </c>
      <c r="E2115" t="s">
        <v>2344</v>
      </c>
      <c r="F2115" t="s">
        <v>2345</v>
      </c>
      <c r="G2115" t="s">
        <v>2344</v>
      </c>
      <c r="H2115">
        <v>1</v>
      </c>
      <c r="I2115" t="s">
        <v>2344</v>
      </c>
      <c r="J2115" t="str">
        <f t="shared" ref="J2115:J2178" si="133">IF(C2115&lt;18.5,"Under Weight",IF(C2115&lt;25,"Normal Weight",IF(C2115&lt;30,"Over weight","Obesity")))</f>
        <v>Normal Weight</v>
      </c>
      <c r="K2115" t="str">
        <f t="shared" si="132"/>
        <v>Normal</v>
      </c>
      <c r="L2115">
        <v>22</v>
      </c>
      <c r="M2115" t="s">
        <v>2366</v>
      </c>
      <c r="N2115">
        <v>1998</v>
      </c>
      <c r="O2115" s="8">
        <f t="shared" ref="O2115:O2178" si="134">DATE(N2115,MONTH(1&amp;M2115),L2115)</f>
        <v>36029</v>
      </c>
      <c r="P2115" s="10">
        <v>34976.42</v>
      </c>
      <c r="Q2115" t="s">
        <v>2357</v>
      </c>
      <c r="R2115" t="s">
        <v>2361</v>
      </c>
      <c r="S2115" t="s">
        <v>2368</v>
      </c>
      <c r="T2115">
        <f t="shared" ref="T2115:T2178" ca="1" si="135">YEAR(TODAY())-YEAR(O2115)</f>
        <v>28</v>
      </c>
      <c r="U2115">
        <f>VLOOKUP($A2115,'Medical Examination'!$A:$Z,2,FALSE)</f>
        <v>24.09</v>
      </c>
    </row>
    <row r="2116" spans="1:21" ht="15.5" x14ac:dyDescent="0.35">
      <c r="A2116" s="2" t="s">
        <v>2116</v>
      </c>
      <c r="B2116" s="2" t="s">
        <v>5207</v>
      </c>
      <c r="C2116">
        <v>28.215</v>
      </c>
      <c r="D2116">
        <v>4.21</v>
      </c>
      <c r="E2116" t="s">
        <v>2344</v>
      </c>
      <c r="F2116" t="s">
        <v>2345</v>
      </c>
      <c r="G2116" t="s">
        <v>2344</v>
      </c>
      <c r="H2116">
        <v>1</v>
      </c>
      <c r="I2116" t="s">
        <v>2344</v>
      </c>
      <c r="J2116" t="str">
        <f t="shared" si="133"/>
        <v>Over weight</v>
      </c>
      <c r="K2116" t="str">
        <f t="shared" si="132"/>
        <v>Normal</v>
      </c>
      <c r="L2116">
        <v>22</v>
      </c>
      <c r="M2116" t="s">
        <v>2366</v>
      </c>
      <c r="N2116">
        <v>1997</v>
      </c>
      <c r="O2116" s="8">
        <f t="shared" si="134"/>
        <v>35664</v>
      </c>
      <c r="P2116" s="10">
        <v>34979.86</v>
      </c>
      <c r="Q2116" t="s">
        <v>2357</v>
      </c>
      <c r="R2116" t="s">
        <v>2357</v>
      </c>
      <c r="S2116" t="s">
        <v>2368</v>
      </c>
      <c r="T2116">
        <f t="shared" ca="1" si="135"/>
        <v>29</v>
      </c>
      <c r="U2116">
        <f>VLOOKUP($A2116,'Medical Examination'!$A:$Z,2,FALSE)</f>
        <v>28.215</v>
      </c>
    </row>
    <row r="2117" spans="1:21" ht="15.5" x14ac:dyDescent="0.35">
      <c r="A2117" s="2" t="s">
        <v>2117</v>
      </c>
      <c r="B2117" s="2" t="s">
        <v>5208</v>
      </c>
      <c r="C2117">
        <v>26.315000000000001</v>
      </c>
      <c r="D2117">
        <v>5.47</v>
      </c>
      <c r="E2117" t="s">
        <v>2344</v>
      </c>
      <c r="F2117" t="s">
        <v>2345</v>
      </c>
      <c r="G2117" t="s">
        <v>2344</v>
      </c>
      <c r="H2117">
        <v>1</v>
      </c>
      <c r="I2117" t="s">
        <v>2344</v>
      </c>
      <c r="J2117" t="str">
        <f t="shared" si="133"/>
        <v>Over weight</v>
      </c>
      <c r="K2117" t="str">
        <f t="shared" si="132"/>
        <v>Normal</v>
      </c>
      <c r="L2117">
        <v>5</v>
      </c>
      <c r="M2117" t="s">
        <v>2356</v>
      </c>
      <c r="N2117">
        <v>1982</v>
      </c>
      <c r="O2117" s="8">
        <f t="shared" si="134"/>
        <v>30137</v>
      </c>
      <c r="P2117" s="10">
        <v>35000.730000000003</v>
      </c>
      <c r="Q2117" t="s">
        <v>2357</v>
      </c>
      <c r="R2117" t="s">
        <v>2358</v>
      </c>
      <c r="S2117" t="s">
        <v>2368</v>
      </c>
      <c r="T2117">
        <f t="shared" ca="1" si="135"/>
        <v>44</v>
      </c>
      <c r="U2117">
        <f>VLOOKUP($A2117,'Medical Examination'!$A:$Z,2,FALSE)</f>
        <v>26.315000000000001</v>
      </c>
    </row>
    <row r="2118" spans="1:21" ht="15.5" x14ac:dyDescent="0.35">
      <c r="A2118" s="2" t="s">
        <v>2118</v>
      </c>
      <c r="B2118" s="2" t="s">
        <v>5210</v>
      </c>
      <c r="C2118">
        <v>25.08</v>
      </c>
      <c r="D2118">
        <v>5.09</v>
      </c>
      <c r="E2118" t="s">
        <v>2344</v>
      </c>
      <c r="F2118" t="s">
        <v>2345</v>
      </c>
      <c r="G2118" t="s">
        <v>2344</v>
      </c>
      <c r="H2118">
        <v>1</v>
      </c>
      <c r="I2118" t="s">
        <v>2344</v>
      </c>
      <c r="J2118" t="str">
        <f t="shared" si="133"/>
        <v>Over weight</v>
      </c>
      <c r="K2118" t="str">
        <f t="shared" si="132"/>
        <v>Normal</v>
      </c>
      <c r="L2118">
        <v>29</v>
      </c>
      <c r="M2118" t="s">
        <v>2366</v>
      </c>
      <c r="N2118">
        <v>1975</v>
      </c>
      <c r="O2118" s="8">
        <f t="shared" si="134"/>
        <v>27635</v>
      </c>
      <c r="P2118" s="10">
        <v>35050.620000000003</v>
      </c>
      <c r="Q2118" t="s">
        <v>2357</v>
      </c>
      <c r="R2118" t="s">
        <v>2361</v>
      </c>
      <c r="S2118" t="s">
        <v>2368</v>
      </c>
      <c r="T2118">
        <f t="shared" ca="1" si="135"/>
        <v>51</v>
      </c>
      <c r="U2118">
        <f>VLOOKUP($A2118,'Medical Examination'!$A:$Z,2,FALSE)</f>
        <v>25.08</v>
      </c>
    </row>
    <row r="2119" spans="1:21" ht="15.5" x14ac:dyDescent="0.35">
      <c r="A2119" s="2" t="s">
        <v>2119</v>
      </c>
      <c r="B2119" s="2" t="s">
        <v>5212</v>
      </c>
      <c r="C2119">
        <v>15.41</v>
      </c>
      <c r="D2119">
        <v>5.08</v>
      </c>
      <c r="E2119" t="s">
        <v>2344</v>
      </c>
      <c r="F2119" t="s">
        <v>2344</v>
      </c>
      <c r="G2119" t="s">
        <v>2344</v>
      </c>
      <c r="H2119">
        <v>0</v>
      </c>
      <c r="I2119" t="s">
        <v>2344</v>
      </c>
      <c r="J2119" t="str">
        <f t="shared" si="133"/>
        <v>Under Weight</v>
      </c>
      <c r="K2119" t="str">
        <f t="shared" si="132"/>
        <v>Normal</v>
      </c>
      <c r="L2119">
        <v>29</v>
      </c>
      <c r="M2119" t="s">
        <v>2362</v>
      </c>
      <c r="N2119">
        <v>1977</v>
      </c>
      <c r="O2119" s="8">
        <f t="shared" si="134"/>
        <v>28305</v>
      </c>
      <c r="P2119" s="10">
        <v>35069.370000000003</v>
      </c>
      <c r="Q2119" t="s">
        <v>2361</v>
      </c>
      <c r="R2119" t="s">
        <v>2361</v>
      </c>
      <c r="S2119" t="s">
        <v>2378</v>
      </c>
      <c r="T2119">
        <f t="shared" ca="1" si="135"/>
        <v>49</v>
      </c>
      <c r="U2119">
        <f>VLOOKUP($A2119,'Medical Examination'!$A:$Z,2,FALSE)</f>
        <v>15.41</v>
      </c>
    </row>
    <row r="2120" spans="1:21" ht="15.5" x14ac:dyDescent="0.35">
      <c r="A2120" s="2" t="s">
        <v>2120</v>
      </c>
      <c r="B2120" s="2" t="s">
        <v>5214</v>
      </c>
      <c r="C2120">
        <v>23.83</v>
      </c>
      <c r="D2120">
        <v>5.68</v>
      </c>
      <c r="E2120" t="s">
        <v>2344</v>
      </c>
      <c r="F2120" t="s">
        <v>2344</v>
      </c>
      <c r="G2120" t="s">
        <v>2344</v>
      </c>
      <c r="H2120">
        <v>0</v>
      </c>
      <c r="I2120" t="s">
        <v>2344</v>
      </c>
      <c r="J2120" t="str">
        <f t="shared" si="133"/>
        <v>Normal Weight</v>
      </c>
      <c r="K2120" t="str">
        <f t="shared" si="132"/>
        <v>Normal</v>
      </c>
      <c r="L2120">
        <v>22</v>
      </c>
      <c r="M2120" t="s">
        <v>2365</v>
      </c>
      <c r="N2120">
        <v>1998</v>
      </c>
      <c r="O2120" s="8">
        <f t="shared" si="134"/>
        <v>36151</v>
      </c>
      <c r="P2120" s="10">
        <v>35147.53</v>
      </c>
      <c r="Q2120" t="s">
        <v>2361</v>
      </c>
      <c r="R2120" t="s">
        <v>2361</v>
      </c>
      <c r="S2120" t="s">
        <v>2371</v>
      </c>
      <c r="T2120">
        <f t="shared" ca="1" si="135"/>
        <v>28</v>
      </c>
      <c r="U2120">
        <f>VLOOKUP($A2120,'Medical Examination'!$A:$Z,2,FALSE)</f>
        <v>23.83</v>
      </c>
    </row>
    <row r="2121" spans="1:21" ht="15.5" x14ac:dyDescent="0.35">
      <c r="A2121" s="2" t="s">
        <v>2121</v>
      </c>
      <c r="B2121" s="2" t="s">
        <v>5215</v>
      </c>
      <c r="C2121">
        <v>36</v>
      </c>
      <c r="D2121">
        <v>4.66</v>
      </c>
      <c r="E2121" t="s">
        <v>2344</v>
      </c>
      <c r="F2121" t="s">
        <v>2345</v>
      </c>
      <c r="G2121" t="s">
        <v>2344</v>
      </c>
      <c r="H2121">
        <v>1</v>
      </c>
      <c r="I2121" t="s">
        <v>2344</v>
      </c>
      <c r="J2121" t="str">
        <f t="shared" si="133"/>
        <v>Obesity</v>
      </c>
      <c r="K2121" t="str">
        <f t="shared" si="132"/>
        <v>Normal</v>
      </c>
      <c r="L2121">
        <v>30</v>
      </c>
      <c r="M2121" t="s">
        <v>2365</v>
      </c>
      <c r="N2121">
        <v>1967</v>
      </c>
      <c r="O2121" s="8">
        <f t="shared" si="134"/>
        <v>24836</v>
      </c>
      <c r="P2121" s="10">
        <v>35160.129999999997</v>
      </c>
      <c r="Q2121" t="s">
        <v>2357</v>
      </c>
      <c r="R2121" t="s">
        <v>2357</v>
      </c>
      <c r="S2121" t="s">
        <v>2368</v>
      </c>
      <c r="T2121">
        <f t="shared" ca="1" si="135"/>
        <v>59</v>
      </c>
      <c r="U2121">
        <f>VLOOKUP($A2121,'Medical Examination'!$A:$Z,2,FALSE)</f>
        <v>36</v>
      </c>
    </row>
    <row r="2122" spans="1:21" ht="15.5" x14ac:dyDescent="0.35">
      <c r="A2122" s="2" t="s">
        <v>2122</v>
      </c>
      <c r="B2122" s="2" t="s">
        <v>5216</v>
      </c>
      <c r="C2122">
        <v>28.82</v>
      </c>
      <c r="D2122">
        <v>5.59</v>
      </c>
      <c r="E2122" t="s">
        <v>2344</v>
      </c>
      <c r="F2122" t="s">
        <v>2345</v>
      </c>
      <c r="G2122" t="s">
        <v>2344</v>
      </c>
      <c r="H2122">
        <v>1</v>
      </c>
      <c r="I2122" t="s">
        <v>2344</v>
      </c>
      <c r="J2122" t="str">
        <f t="shared" si="133"/>
        <v>Over weight</v>
      </c>
      <c r="K2122" t="str">
        <f t="shared" si="132"/>
        <v>Normal</v>
      </c>
      <c r="L2122">
        <v>9</v>
      </c>
      <c r="M2122" t="s">
        <v>2356</v>
      </c>
      <c r="N2122">
        <v>1997</v>
      </c>
      <c r="O2122" s="8">
        <f t="shared" si="134"/>
        <v>35620</v>
      </c>
      <c r="P2122" s="10">
        <v>35302.089999999997</v>
      </c>
      <c r="Q2122" t="s">
        <v>2361</v>
      </c>
      <c r="R2122" t="s">
        <v>2357</v>
      </c>
      <c r="S2122" t="s">
        <v>2368</v>
      </c>
      <c r="T2122">
        <f t="shared" ca="1" si="135"/>
        <v>29</v>
      </c>
      <c r="U2122">
        <f>VLOOKUP($A2122,'Medical Examination'!$A:$Z,2,FALSE)</f>
        <v>28.82</v>
      </c>
    </row>
    <row r="2123" spans="1:21" ht="15.5" x14ac:dyDescent="0.35">
      <c r="A2123" s="2" t="s">
        <v>2123</v>
      </c>
      <c r="B2123" s="2" t="s">
        <v>5217</v>
      </c>
      <c r="C2123">
        <v>28.05</v>
      </c>
      <c r="D2123">
        <v>6.2</v>
      </c>
      <c r="E2123" t="s">
        <v>2344</v>
      </c>
      <c r="F2123" t="s">
        <v>2345</v>
      </c>
      <c r="G2123" t="s">
        <v>2344</v>
      </c>
      <c r="H2123">
        <v>1</v>
      </c>
      <c r="I2123" t="s">
        <v>2344</v>
      </c>
      <c r="J2123" t="str">
        <f t="shared" si="133"/>
        <v>Over weight</v>
      </c>
      <c r="K2123" t="str">
        <f t="shared" si="132"/>
        <v>Prediabetes</v>
      </c>
      <c r="L2123">
        <v>19</v>
      </c>
      <c r="M2123" t="s">
        <v>2363</v>
      </c>
      <c r="N2123">
        <v>1988</v>
      </c>
      <c r="O2123" s="8">
        <f t="shared" si="134"/>
        <v>32405</v>
      </c>
      <c r="P2123" s="10">
        <v>35315.96</v>
      </c>
      <c r="Q2123" t="s">
        <v>2357</v>
      </c>
      <c r="R2123" t="s">
        <v>2361</v>
      </c>
      <c r="S2123" t="s">
        <v>2368</v>
      </c>
      <c r="T2123">
        <f t="shared" ca="1" si="135"/>
        <v>38</v>
      </c>
      <c r="U2123">
        <f>VLOOKUP($A2123,'Medical Examination'!$A:$Z,2,FALSE)</f>
        <v>28.05</v>
      </c>
    </row>
    <row r="2124" spans="1:21" ht="15.5" x14ac:dyDescent="0.35">
      <c r="A2124" s="2" t="s">
        <v>2124</v>
      </c>
      <c r="B2124" s="2" t="s">
        <v>5218</v>
      </c>
      <c r="C2124">
        <v>27.1</v>
      </c>
      <c r="D2124">
        <v>4.45</v>
      </c>
      <c r="E2124" t="s">
        <v>2344</v>
      </c>
      <c r="F2124" t="s">
        <v>2345</v>
      </c>
      <c r="G2124" t="s">
        <v>2344</v>
      </c>
      <c r="H2124">
        <v>1</v>
      </c>
      <c r="I2124" t="s">
        <v>2344</v>
      </c>
      <c r="J2124" t="str">
        <f t="shared" si="133"/>
        <v>Over weight</v>
      </c>
      <c r="K2124" t="str">
        <f t="shared" ref="K2124:K2187" si="136">IF(D2124&lt;5.7,"Normal",IF(D2124&lt;6.5,"Prediabetes","Diabetes"))</f>
        <v>Normal</v>
      </c>
      <c r="L2124">
        <v>22</v>
      </c>
      <c r="M2124" t="s">
        <v>2363</v>
      </c>
      <c r="N2124">
        <v>1971</v>
      </c>
      <c r="O2124" s="8">
        <f t="shared" si="134"/>
        <v>26198</v>
      </c>
      <c r="P2124" s="10">
        <v>35345.730000000003</v>
      </c>
      <c r="Q2124" t="s">
        <v>2357</v>
      </c>
      <c r="R2124" t="s">
        <v>2358</v>
      </c>
      <c r="S2124" t="s">
        <v>2368</v>
      </c>
      <c r="T2124">
        <f t="shared" ca="1" si="135"/>
        <v>55</v>
      </c>
      <c r="U2124">
        <f>VLOOKUP($A2124,'Medical Examination'!$A:$Z,2,FALSE)</f>
        <v>27.1</v>
      </c>
    </row>
    <row r="2125" spans="1:21" ht="15.5" x14ac:dyDescent="0.35">
      <c r="A2125" s="2" t="s">
        <v>2125</v>
      </c>
      <c r="B2125" s="2" t="s">
        <v>3584</v>
      </c>
      <c r="C2125">
        <v>24.3</v>
      </c>
      <c r="D2125">
        <v>6.1</v>
      </c>
      <c r="E2125" t="s">
        <v>2346</v>
      </c>
      <c r="F2125" t="s">
        <v>2345</v>
      </c>
      <c r="G2125" t="s">
        <v>2344</v>
      </c>
      <c r="H2125">
        <v>1</v>
      </c>
      <c r="I2125" t="s">
        <v>2344</v>
      </c>
      <c r="J2125" t="str">
        <f t="shared" si="133"/>
        <v>Normal Weight</v>
      </c>
      <c r="K2125" t="str">
        <f t="shared" si="136"/>
        <v>Prediabetes</v>
      </c>
      <c r="L2125">
        <v>20</v>
      </c>
      <c r="M2125" t="s">
        <v>2360</v>
      </c>
      <c r="N2125">
        <v>1988</v>
      </c>
      <c r="O2125" s="8">
        <f t="shared" si="134"/>
        <v>32467</v>
      </c>
      <c r="P2125" s="10">
        <v>35491.64</v>
      </c>
      <c r="Q2125" t="s">
        <v>2361</v>
      </c>
      <c r="R2125" t="s">
        <v>2357</v>
      </c>
      <c r="S2125" t="s">
        <v>2368</v>
      </c>
      <c r="T2125">
        <f t="shared" ca="1" si="135"/>
        <v>38</v>
      </c>
      <c r="U2125">
        <f>VLOOKUP($A2125,'Medical Examination'!$A:$Z,2,FALSE)</f>
        <v>24.3</v>
      </c>
    </row>
    <row r="2126" spans="1:21" ht="15.5" x14ac:dyDescent="0.35">
      <c r="A2126" s="2" t="s">
        <v>2126</v>
      </c>
      <c r="B2126" s="2" t="s">
        <v>5220</v>
      </c>
      <c r="C2126">
        <v>30.72</v>
      </c>
      <c r="D2126">
        <v>6.06</v>
      </c>
      <c r="E2126" t="s">
        <v>2344</v>
      </c>
      <c r="F2126" t="s">
        <v>2345</v>
      </c>
      <c r="G2126" t="s">
        <v>2344</v>
      </c>
      <c r="H2126">
        <v>1</v>
      </c>
      <c r="I2126" t="s">
        <v>2344</v>
      </c>
      <c r="J2126" t="str">
        <f t="shared" si="133"/>
        <v>Obesity</v>
      </c>
      <c r="K2126" t="str">
        <f t="shared" si="136"/>
        <v>Prediabetes</v>
      </c>
      <c r="L2126">
        <v>16</v>
      </c>
      <c r="M2126" t="s">
        <v>2365</v>
      </c>
      <c r="N2126">
        <v>1973</v>
      </c>
      <c r="O2126" s="8">
        <f t="shared" si="134"/>
        <v>27014</v>
      </c>
      <c r="P2126" s="10">
        <v>35517.19</v>
      </c>
      <c r="Q2126" t="s">
        <v>2357</v>
      </c>
      <c r="R2126" t="s">
        <v>2357</v>
      </c>
      <c r="S2126" t="s">
        <v>2368</v>
      </c>
      <c r="T2126">
        <f t="shared" ca="1" si="135"/>
        <v>53</v>
      </c>
      <c r="U2126">
        <f>VLOOKUP($A2126,'Medical Examination'!$A:$Z,2,FALSE)</f>
        <v>30.72</v>
      </c>
    </row>
    <row r="2127" spans="1:21" ht="15.5" x14ac:dyDescent="0.35">
      <c r="A2127" s="2" t="s">
        <v>2127</v>
      </c>
      <c r="B2127" s="2" t="s">
        <v>5222</v>
      </c>
      <c r="C2127">
        <v>37.43</v>
      </c>
      <c r="D2127">
        <v>4.5599999999999996</v>
      </c>
      <c r="E2127" t="s">
        <v>2344</v>
      </c>
      <c r="F2127" t="s">
        <v>2344</v>
      </c>
      <c r="G2127" t="s">
        <v>2346</v>
      </c>
      <c r="H2127">
        <v>1</v>
      </c>
      <c r="I2127" t="s">
        <v>2344</v>
      </c>
      <c r="J2127" t="str">
        <f t="shared" si="133"/>
        <v>Obesity</v>
      </c>
      <c r="K2127" t="str">
        <f t="shared" si="136"/>
        <v>Normal</v>
      </c>
      <c r="L2127">
        <v>13</v>
      </c>
      <c r="M2127" t="s">
        <v>2363</v>
      </c>
      <c r="N2127">
        <v>1992</v>
      </c>
      <c r="O2127" s="8">
        <f t="shared" si="134"/>
        <v>33860</v>
      </c>
      <c r="P2127" s="10">
        <v>35547.47</v>
      </c>
      <c r="Q2127" t="s">
        <v>2357</v>
      </c>
      <c r="R2127" t="s">
        <v>2358</v>
      </c>
      <c r="S2127" t="s">
        <v>2368</v>
      </c>
      <c r="T2127">
        <f t="shared" ca="1" si="135"/>
        <v>34</v>
      </c>
      <c r="U2127">
        <f>VLOOKUP($A2127,'Medical Examination'!$A:$Z,2,FALSE)</f>
        <v>37.43</v>
      </c>
    </row>
    <row r="2128" spans="1:21" ht="15.5" x14ac:dyDescent="0.35">
      <c r="A2128" s="2" t="s">
        <v>2128</v>
      </c>
      <c r="B2128" s="2" t="s">
        <v>5223</v>
      </c>
      <c r="C2128">
        <v>25.74</v>
      </c>
      <c r="D2128">
        <v>6.41</v>
      </c>
      <c r="E2128" t="s">
        <v>2346</v>
      </c>
      <c r="F2128" t="s">
        <v>2344</v>
      </c>
      <c r="G2128" t="s">
        <v>2346</v>
      </c>
      <c r="H2128">
        <v>1</v>
      </c>
      <c r="I2128" t="s">
        <v>2344</v>
      </c>
      <c r="J2128" t="str">
        <f t="shared" si="133"/>
        <v>Over weight</v>
      </c>
      <c r="K2128" t="str">
        <f t="shared" si="136"/>
        <v>Prediabetes</v>
      </c>
      <c r="L2128">
        <v>27</v>
      </c>
      <c r="M2128" t="s">
        <v>2367</v>
      </c>
      <c r="N2128">
        <v>1973</v>
      </c>
      <c r="O2128" s="8">
        <f t="shared" si="134"/>
        <v>26964</v>
      </c>
      <c r="P2128" s="10">
        <v>35547.72</v>
      </c>
      <c r="Q2128" t="s">
        <v>2361</v>
      </c>
      <c r="R2128" t="s">
        <v>2361</v>
      </c>
      <c r="S2128" t="s">
        <v>2368</v>
      </c>
      <c r="T2128">
        <f t="shared" ca="1" si="135"/>
        <v>53</v>
      </c>
      <c r="U2128">
        <f>VLOOKUP($A2128,'Medical Examination'!$A:$Z,2,FALSE)</f>
        <v>25.74</v>
      </c>
    </row>
    <row r="2129" spans="1:21" ht="15.5" x14ac:dyDescent="0.35">
      <c r="A2129" s="2" t="s">
        <v>2129</v>
      </c>
      <c r="B2129" s="2" t="s">
        <v>5225</v>
      </c>
      <c r="C2129">
        <v>36.575000000000003</v>
      </c>
      <c r="D2129">
        <v>5.57</v>
      </c>
      <c r="E2129" t="s">
        <v>2344</v>
      </c>
      <c r="F2129" t="s">
        <v>2344</v>
      </c>
      <c r="G2129" t="s">
        <v>2346</v>
      </c>
      <c r="H2129">
        <v>1</v>
      </c>
      <c r="I2129" t="s">
        <v>2344</v>
      </c>
      <c r="J2129" t="str">
        <f t="shared" si="133"/>
        <v>Obesity</v>
      </c>
      <c r="K2129" t="str">
        <f t="shared" si="136"/>
        <v>Normal</v>
      </c>
      <c r="L2129">
        <v>29</v>
      </c>
      <c r="M2129" t="s">
        <v>2366</v>
      </c>
      <c r="N2129">
        <v>1964</v>
      </c>
      <c r="O2129" s="8">
        <f t="shared" si="134"/>
        <v>23618</v>
      </c>
      <c r="P2129" s="10">
        <v>35573.26</v>
      </c>
      <c r="Q2129" t="s">
        <v>2357</v>
      </c>
      <c r="R2129" t="s">
        <v>2361</v>
      </c>
      <c r="S2129" t="s">
        <v>2368</v>
      </c>
      <c r="T2129">
        <f t="shared" ca="1" si="135"/>
        <v>62</v>
      </c>
      <c r="U2129">
        <f>VLOOKUP($A2129,'Medical Examination'!$A:$Z,2,FALSE)</f>
        <v>36.575000000000003</v>
      </c>
    </row>
    <row r="2130" spans="1:21" ht="15.5" x14ac:dyDescent="0.35">
      <c r="A2130" s="2" t="s">
        <v>2130</v>
      </c>
      <c r="B2130" s="2" t="s">
        <v>5226</v>
      </c>
      <c r="C2130">
        <v>35.15</v>
      </c>
      <c r="D2130">
        <v>5.47</v>
      </c>
      <c r="E2130" t="s">
        <v>2344</v>
      </c>
      <c r="F2130" t="s">
        <v>2344</v>
      </c>
      <c r="G2130" t="s">
        <v>2346</v>
      </c>
      <c r="H2130">
        <v>1</v>
      </c>
      <c r="I2130" t="s">
        <v>2344</v>
      </c>
      <c r="J2130" t="str">
        <f t="shared" si="133"/>
        <v>Obesity</v>
      </c>
      <c r="K2130" t="str">
        <f t="shared" si="136"/>
        <v>Normal</v>
      </c>
      <c r="L2130">
        <v>10</v>
      </c>
      <c r="M2130" t="s">
        <v>2366</v>
      </c>
      <c r="N2130">
        <v>1971</v>
      </c>
      <c r="O2130" s="8">
        <f t="shared" si="134"/>
        <v>26155</v>
      </c>
      <c r="P2130" s="10">
        <v>35583.17</v>
      </c>
      <c r="Q2130" t="s">
        <v>2361</v>
      </c>
      <c r="R2130" t="s">
        <v>2358</v>
      </c>
      <c r="S2130" t="s">
        <v>2368</v>
      </c>
      <c r="T2130">
        <f t="shared" ca="1" si="135"/>
        <v>55</v>
      </c>
      <c r="U2130">
        <f>VLOOKUP($A2130,'Medical Examination'!$A:$Z,2,FALSE)</f>
        <v>35.15</v>
      </c>
    </row>
    <row r="2131" spans="1:21" ht="15.5" x14ac:dyDescent="0.35">
      <c r="A2131" s="2" t="s">
        <v>2131</v>
      </c>
      <c r="B2131" s="2" t="s">
        <v>3672</v>
      </c>
      <c r="C2131">
        <v>32.11</v>
      </c>
      <c r="D2131">
        <v>4.43</v>
      </c>
      <c r="E2131" t="s">
        <v>2344</v>
      </c>
      <c r="F2131" t="s">
        <v>2344</v>
      </c>
      <c r="G2131" t="s">
        <v>2346</v>
      </c>
      <c r="H2131">
        <v>1</v>
      </c>
      <c r="I2131" t="s">
        <v>2344</v>
      </c>
      <c r="J2131" t="str">
        <f t="shared" si="133"/>
        <v>Obesity</v>
      </c>
      <c r="K2131" t="str">
        <f t="shared" si="136"/>
        <v>Normal</v>
      </c>
      <c r="L2131">
        <v>13</v>
      </c>
      <c r="M2131" t="s">
        <v>2367</v>
      </c>
      <c r="N2131">
        <v>2000</v>
      </c>
      <c r="O2131" s="8">
        <f t="shared" si="134"/>
        <v>36812</v>
      </c>
      <c r="P2131" s="10">
        <v>35585.58</v>
      </c>
      <c r="Q2131" t="s">
        <v>2361</v>
      </c>
      <c r="R2131" t="s">
        <v>2357</v>
      </c>
      <c r="S2131" t="s">
        <v>2368</v>
      </c>
      <c r="T2131">
        <f t="shared" ca="1" si="135"/>
        <v>26</v>
      </c>
      <c r="U2131">
        <f>VLOOKUP($A2131,'Medical Examination'!$A:$Z,2,FALSE)</f>
        <v>32.11</v>
      </c>
    </row>
    <row r="2132" spans="1:21" ht="15.5" x14ac:dyDescent="0.35">
      <c r="A2132" s="2" t="s">
        <v>2132</v>
      </c>
      <c r="B2132" s="2" t="s">
        <v>2488</v>
      </c>
      <c r="C2132">
        <v>30.495000000000001</v>
      </c>
      <c r="D2132">
        <v>4.95</v>
      </c>
      <c r="E2132" t="s">
        <v>2344</v>
      </c>
      <c r="F2132" t="s">
        <v>2344</v>
      </c>
      <c r="G2132" t="s">
        <v>2346</v>
      </c>
      <c r="H2132">
        <v>1</v>
      </c>
      <c r="I2132" t="s">
        <v>2344</v>
      </c>
      <c r="J2132" t="str">
        <f t="shared" si="133"/>
        <v>Obesity</v>
      </c>
      <c r="K2132" t="str">
        <f t="shared" si="136"/>
        <v>Normal</v>
      </c>
      <c r="L2132">
        <v>19</v>
      </c>
      <c r="M2132" t="s">
        <v>2360</v>
      </c>
      <c r="N2132">
        <v>2000</v>
      </c>
      <c r="O2132" s="8">
        <f t="shared" si="134"/>
        <v>36849</v>
      </c>
      <c r="P2132" s="10">
        <v>35585.58</v>
      </c>
      <c r="Q2132" t="s">
        <v>2357</v>
      </c>
      <c r="R2132" t="s">
        <v>2358</v>
      </c>
      <c r="S2132" t="s">
        <v>2368</v>
      </c>
      <c r="T2132">
        <f t="shared" ca="1" si="135"/>
        <v>26</v>
      </c>
      <c r="U2132">
        <f>VLOOKUP($A2132,'Medical Examination'!$A:$Z,2,FALSE)</f>
        <v>30.495000000000001</v>
      </c>
    </row>
    <row r="2133" spans="1:21" ht="15.5" x14ac:dyDescent="0.35">
      <c r="A2133" s="2" t="s">
        <v>2133</v>
      </c>
      <c r="B2133" s="2" t="s">
        <v>5227</v>
      </c>
      <c r="C2133">
        <v>29.24</v>
      </c>
      <c r="D2133">
        <v>4.04</v>
      </c>
      <c r="E2133" t="s">
        <v>2344</v>
      </c>
      <c r="F2133" t="s">
        <v>2345</v>
      </c>
      <c r="G2133" t="s">
        <v>2344</v>
      </c>
      <c r="H2133">
        <v>1</v>
      </c>
      <c r="I2133" t="s">
        <v>2344</v>
      </c>
      <c r="J2133" t="str">
        <f t="shared" si="133"/>
        <v>Over weight</v>
      </c>
      <c r="K2133" t="str">
        <f t="shared" si="136"/>
        <v>Normal</v>
      </c>
      <c r="L2133">
        <v>17</v>
      </c>
      <c r="M2133" t="s">
        <v>2365</v>
      </c>
      <c r="N2133">
        <v>2000</v>
      </c>
      <c r="O2133" s="8">
        <f t="shared" si="134"/>
        <v>36877</v>
      </c>
      <c r="P2133" s="10">
        <v>35595.589999999997</v>
      </c>
      <c r="Q2133" t="s">
        <v>2357</v>
      </c>
      <c r="R2133" t="s">
        <v>2358</v>
      </c>
      <c r="S2133" t="s">
        <v>2359</v>
      </c>
      <c r="T2133">
        <f t="shared" ca="1" si="135"/>
        <v>26</v>
      </c>
      <c r="U2133">
        <f>VLOOKUP($A2133,'Medical Examination'!$A:$Z,2,FALSE)</f>
        <v>29.24</v>
      </c>
    </row>
    <row r="2134" spans="1:21" ht="15.5" x14ac:dyDescent="0.35">
      <c r="A2134" s="2" t="s">
        <v>2134</v>
      </c>
      <c r="B2134" s="2" t="s">
        <v>5228</v>
      </c>
      <c r="C2134">
        <v>22.515000000000001</v>
      </c>
      <c r="D2134">
        <v>5.93</v>
      </c>
      <c r="E2134" t="s">
        <v>2344</v>
      </c>
      <c r="F2134" t="s">
        <v>2344</v>
      </c>
      <c r="G2134" t="s">
        <v>2346</v>
      </c>
      <c r="H2134">
        <v>1</v>
      </c>
      <c r="I2134" t="s">
        <v>2344</v>
      </c>
      <c r="J2134" t="str">
        <f t="shared" si="133"/>
        <v>Normal Weight</v>
      </c>
      <c r="K2134" t="str">
        <f t="shared" si="136"/>
        <v>Prediabetes</v>
      </c>
      <c r="L2134">
        <v>19</v>
      </c>
      <c r="M2134" t="s">
        <v>2365</v>
      </c>
      <c r="N2134">
        <v>1978</v>
      </c>
      <c r="O2134" s="8">
        <f t="shared" si="134"/>
        <v>28843</v>
      </c>
      <c r="P2134" s="10">
        <v>35701.9</v>
      </c>
      <c r="Q2134" t="s">
        <v>2357</v>
      </c>
      <c r="R2134" t="s">
        <v>2361</v>
      </c>
      <c r="S2134" t="s">
        <v>2368</v>
      </c>
      <c r="T2134">
        <f t="shared" ca="1" si="135"/>
        <v>48</v>
      </c>
      <c r="U2134">
        <f>VLOOKUP($A2134,'Medical Examination'!$A:$Z,2,FALSE)</f>
        <v>22.515000000000001</v>
      </c>
    </row>
    <row r="2135" spans="1:21" ht="15.5" x14ac:dyDescent="0.35">
      <c r="A2135" s="2" t="s">
        <v>2135</v>
      </c>
      <c r="B2135" s="2" t="s">
        <v>5229</v>
      </c>
      <c r="C2135">
        <v>15.65</v>
      </c>
      <c r="D2135">
        <v>4.2300000000000004</v>
      </c>
      <c r="E2135" t="s">
        <v>2344</v>
      </c>
      <c r="F2135" t="s">
        <v>2344</v>
      </c>
      <c r="G2135" t="s">
        <v>2344</v>
      </c>
      <c r="H2135">
        <v>0</v>
      </c>
      <c r="I2135" t="s">
        <v>2344</v>
      </c>
      <c r="J2135" t="str">
        <f t="shared" si="133"/>
        <v>Under Weight</v>
      </c>
      <c r="K2135" t="str">
        <f t="shared" si="136"/>
        <v>Normal</v>
      </c>
      <c r="L2135">
        <v>15</v>
      </c>
      <c r="M2135" t="s">
        <v>2356</v>
      </c>
      <c r="N2135">
        <v>1974</v>
      </c>
      <c r="O2135" s="8">
        <f t="shared" si="134"/>
        <v>27225</v>
      </c>
      <c r="P2135" s="10">
        <v>35711.39</v>
      </c>
      <c r="Q2135" t="s">
        <v>2357</v>
      </c>
      <c r="R2135" t="s">
        <v>2358</v>
      </c>
      <c r="S2135" t="s">
        <v>2364</v>
      </c>
      <c r="T2135">
        <f t="shared" ca="1" si="135"/>
        <v>52</v>
      </c>
      <c r="U2135">
        <f>VLOOKUP($A2135,'Medical Examination'!$A:$Z,2,FALSE)</f>
        <v>15.65</v>
      </c>
    </row>
    <row r="2136" spans="1:21" ht="15.5" x14ac:dyDescent="0.35">
      <c r="A2136" s="2" t="s">
        <v>2136</v>
      </c>
      <c r="B2136" s="2" t="s">
        <v>5230</v>
      </c>
      <c r="C2136">
        <v>27.36</v>
      </c>
      <c r="D2136">
        <v>5.59</v>
      </c>
      <c r="E2136" t="s">
        <v>2346</v>
      </c>
      <c r="F2136" t="s">
        <v>2344</v>
      </c>
      <c r="G2136" t="s">
        <v>2344</v>
      </c>
      <c r="H2136">
        <v>0</v>
      </c>
      <c r="I2136" t="s">
        <v>2344</v>
      </c>
      <c r="J2136" t="str">
        <f t="shared" si="133"/>
        <v>Over weight</v>
      </c>
      <c r="K2136" t="str">
        <f t="shared" si="136"/>
        <v>Normal</v>
      </c>
      <c r="L2136">
        <v>4</v>
      </c>
      <c r="M2136" t="s">
        <v>2367</v>
      </c>
      <c r="N2136">
        <v>1976</v>
      </c>
      <c r="O2136" s="8">
        <f t="shared" si="134"/>
        <v>28037</v>
      </c>
      <c r="P2136" s="10">
        <v>35733.96</v>
      </c>
      <c r="Q2136" t="s">
        <v>2357</v>
      </c>
      <c r="R2136" t="s">
        <v>2357</v>
      </c>
      <c r="S2136" t="s">
        <v>2368</v>
      </c>
      <c r="T2136">
        <f t="shared" ca="1" si="135"/>
        <v>50</v>
      </c>
      <c r="U2136">
        <f>VLOOKUP($A2136,'Medical Examination'!$A:$Z,2,FALSE)</f>
        <v>27.36</v>
      </c>
    </row>
    <row r="2137" spans="1:21" ht="15.5" x14ac:dyDescent="0.35">
      <c r="A2137" s="2" t="s">
        <v>2137</v>
      </c>
      <c r="B2137" s="2" t="s">
        <v>5095</v>
      </c>
      <c r="C2137">
        <v>22.3</v>
      </c>
      <c r="D2137">
        <v>4.8899999999999997</v>
      </c>
      <c r="E2137" t="s">
        <v>2346</v>
      </c>
      <c r="F2137" t="s">
        <v>2344</v>
      </c>
      <c r="G2137" t="s">
        <v>2344</v>
      </c>
      <c r="H2137">
        <v>0</v>
      </c>
      <c r="I2137" t="s">
        <v>2344</v>
      </c>
      <c r="J2137" t="str">
        <f t="shared" si="133"/>
        <v>Normal Weight</v>
      </c>
      <c r="K2137" t="str">
        <f t="shared" si="136"/>
        <v>Normal</v>
      </c>
      <c r="L2137">
        <v>18</v>
      </c>
      <c r="M2137" t="s">
        <v>2362</v>
      </c>
      <c r="N2137">
        <v>1992</v>
      </c>
      <c r="O2137" s="8">
        <f t="shared" si="134"/>
        <v>33773</v>
      </c>
      <c r="P2137" s="10">
        <v>35883.269999999997</v>
      </c>
      <c r="Q2137" t="s">
        <v>2357</v>
      </c>
      <c r="R2137" t="s">
        <v>2361</v>
      </c>
      <c r="S2137" t="s">
        <v>2368</v>
      </c>
      <c r="T2137">
        <f t="shared" ca="1" si="135"/>
        <v>34</v>
      </c>
      <c r="U2137">
        <f>VLOOKUP($A2137,'Medical Examination'!$A:$Z,2,FALSE)</f>
        <v>22.3</v>
      </c>
    </row>
    <row r="2138" spans="1:21" ht="15.5" x14ac:dyDescent="0.35">
      <c r="A2138" s="2" t="s">
        <v>2138</v>
      </c>
      <c r="B2138" s="2" t="s">
        <v>4622</v>
      </c>
      <c r="C2138">
        <v>26.03</v>
      </c>
      <c r="D2138">
        <v>5.81</v>
      </c>
      <c r="E2138" t="s">
        <v>2346</v>
      </c>
      <c r="F2138" t="s">
        <v>2344</v>
      </c>
      <c r="G2138" t="s">
        <v>2344</v>
      </c>
      <c r="H2138">
        <v>0</v>
      </c>
      <c r="I2138" t="s">
        <v>2344</v>
      </c>
      <c r="J2138" t="str">
        <f t="shared" si="133"/>
        <v>Over weight</v>
      </c>
      <c r="K2138" t="str">
        <f t="shared" si="136"/>
        <v>Prediabetes</v>
      </c>
      <c r="L2138">
        <v>22</v>
      </c>
      <c r="M2138" t="s">
        <v>2360</v>
      </c>
      <c r="N2138">
        <v>1981</v>
      </c>
      <c r="O2138" s="8">
        <f t="shared" si="134"/>
        <v>29912</v>
      </c>
      <c r="P2138" s="10">
        <v>35952.65</v>
      </c>
      <c r="Q2138" t="s">
        <v>2361</v>
      </c>
      <c r="R2138" t="s">
        <v>2358</v>
      </c>
      <c r="S2138" t="s">
        <v>2368</v>
      </c>
      <c r="T2138">
        <f t="shared" ca="1" si="135"/>
        <v>45</v>
      </c>
      <c r="U2138">
        <f>VLOOKUP($A2138,'Medical Examination'!$A:$Z,2,FALSE)</f>
        <v>26.03</v>
      </c>
    </row>
    <row r="2139" spans="1:21" ht="15.5" x14ac:dyDescent="0.35">
      <c r="A2139" s="2" t="s">
        <v>2139</v>
      </c>
      <c r="B2139" s="2" t="s">
        <v>5233</v>
      </c>
      <c r="C2139">
        <v>27.74</v>
      </c>
      <c r="D2139">
        <v>4.29</v>
      </c>
      <c r="E2139" t="s">
        <v>2344</v>
      </c>
      <c r="F2139" t="s">
        <v>2345</v>
      </c>
      <c r="G2139" t="s">
        <v>2344</v>
      </c>
      <c r="H2139">
        <v>1</v>
      </c>
      <c r="I2139" t="s">
        <v>2344</v>
      </c>
      <c r="J2139" t="str">
        <f t="shared" si="133"/>
        <v>Over weight</v>
      </c>
      <c r="K2139" t="str">
        <f t="shared" si="136"/>
        <v>Normal</v>
      </c>
      <c r="L2139">
        <v>4</v>
      </c>
      <c r="M2139" t="s">
        <v>2363</v>
      </c>
      <c r="N2139">
        <v>1999</v>
      </c>
      <c r="O2139" s="8">
        <f t="shared" si="134"/>
        <v>36407</v>
      </c>
      <c r="P2139" s="10">
        <v>36021.01</v>
      </c>
      <c r="Q2139" t="s">
        <v>2357</v>
      </c>
      <c r="R2139" t="s">
        <v>2358</v>
      </c>
      <c r="S2139" t="s">
        <v>2359</v>
      </c>
      <c r="T2139">
        <f t="shared" ca="1" si="135"/>
        <v>27</v>
      </c>
      <c r="U2139">
        <f>VLOOKUP($A2139,'Medical Examination'!$A:$Z,2,FALSE)</f>
        <v>27.74</v>
      </c>
    </row>
    <row r="2140" spans="1:21" ht="15.5" x14ac:dyDescent="0.35">
      <c r="A2140" s="2" t="s">
        <v>2140</v>
      </c>
      <c r="B2140" s="2" t="s">
        <v>5234</v>
      </c>
      <c r="C2140">
        <v>32.11</v>
      </c>
      <c r="D2140">
        <v>4.03</v>
      </c>
      <c r="E2140" t="s">
        <v>2346</v>
      </c>
      <c r="F2140" t="s">
        <v>2345</v>
      </c>
      <c r="G2140" t="s">
        <v>2344</v>
      </c>
      <c r="H2140">
        <v>1</v>
      </c>
      <c r="I2140" t="s">
        <v>2344</v>
      </c>
      <c r="J2140" t="str">
        <f t="shared" si="133"/>
        <v>Obesity</v>
      </c>
      <c r="K2140" t="str">
        <f t="shared" si="136"/>
        <v>Normal</v>
      </c>
      <c r="L2140">
        <v>22</v>
      </c>
      <c r="M2140" t="s">
        <v>2356</v>
      </c>
      <c r="N2140">
        <v>1963</v>
      </c>
      <c r="O2140" s="8">
        <f t="shared" si="134"/>
        <v>23214</v>
      </c>
      <c r="P2140" s="10">
        <v>36074.339999999997</v>
      </c>
      <c r="Q2140" t="s">
        <v>2357</v>
      </c>
      <c r="R2140" t="s">
        <v>2361</v>
      </c>
      <c r="S2140" t="s">
        <v>2368</v>
      </c>
      <c r="T2140">
        <f t="shared" ca="1" si="135"/>
        <v>63</v>
      </c>
      <c r="U2140">
        <f>VLOOKUP($A2140,'Medical Examination'!$A:$Z,2,FALSE)</f>
        <v>32.11</v>
      </c>
    </row>
    <row r="2141" spans="1:21" ht="15.5" x14ac:dyDescent="0.35">
      <c r="A2141" s="2" t="s">
        <v>2141</v>
      </c>
      <c r="B2141" s="2" t="s">
        <v>5235</v>
      </c>
      <c r="C2141">
        <v>25.175000000000001</v>
      </c>
      <c r="D2141">
        <v>6.29</v>
      </c>
      <c r="E2141" t="s">
        <v>2346</v>
      </c>
      <c r="F2141" t="s">
        <v>2345</v>
      </c>
      <c r="G2141" t="s">
        <v>2344</v>
      </c>
      <c r="H2141">
        <v>1</v>
      </c>
      <c r="I2141" t="s">
        <v>2344</v>
      </c>
      <c r="J2141" t="str">
        <f t="shared" si="133"/>
        <v>Over weight</v>
      </c>
      <c r="K2141" t="str">
        <f t="shared" si="136"/>
        <v>Prediabetes</v>
      </c>
      <c r="L2141">
        <v>20</v>
      </c>
      <c r="M2141" t="s">
        <v>2366</v>
      </c>
      <c r="N2141">
        <v>1996</v>
      </c>
      <c r="O2141" s="8">
        <f t="shared" si="134"/>
        <v>35297</v>
      </c>
      <c r="P2141" s="10">
        <v>36085.22</v>
      </c>
      <c r="Q2141" t="s">
        <v>2361</v>
      </c>
      <c r="R2141" t="s">
        <v>2361</v>
      </c>
      <c r="S2141" t="s">
        <v>2368</v>
      </c>
      <c r="T2141">
        <f t="shared" ca="1" si="135"/>
        <v>30</v>
      </c>
      <c r="U2141">
        <f>VLOOKUP($A2141,'Medical Examination'!$A:$Z,2,FALSE)</f>
        <v>25.175000000000001</v>
      </c>
    </row>
    <row r="2142" spans="1:21" ht="15.5" x14ac:dyDescent="0.35">
      <c r="A2142" s="2" t="s">
        <v>2142</v>
      </c>
      <c r="B2142" s="2" t="s">
        <v>2505</v>
      </c>
      <c r="C2142">
        <v>39.49</v>
      </c>
      <c r="D2142">
        <v>4.4800000000000004</v>
      </c>
      <c r="E2142" t="s">
        <v>2346</v>
      </c>
      <c r="F2142" t="s">
        <v>2344</v>
      </c>
      <c r="G2142" t="s">
        <v>2344</v>
      </c>
      <c r="H2142">
        <v>0</v>
      </c>
      <c r="I2142" t="s">
        <v>2344</v>
      </c>
      <c r="J2142" t="str">
        <f t="shared" si="133"/>
        <v>Obesity</v>
      </c>
      <c r="K2142" t="str">
        <f t="shared" si="136"/>
        <v>Normal</v>
      </c>
      <c r="L2142">
        <v>4</v>
      </c>
      <c r="M2142" t="s">
        <v>2360</v>
      </c>
      <c r="N2142">
        <v>1979</v>
      </c>
      <c r="O2142" s="8">
        <f t="shared" si="134"/>
        <v>29163</v>
      </c>
      <c r="P2142" s="10">
        <v>36090.49</v>
      </c>
      <c r="Q2142" t="s">
        <v>2357</v>
      </c>
      <c r="R2142" t="s">
        <v>2357</v>
      </c>
      <c r="S2142" t="s">
        <v>2368</v>
      </c>
      <c r="T2142">
        <f t="shared" ca="1" si="135"/>
        <v>47</v>
      </c>
      <c r="U2142">
        <f>VLOOKUP($A2142,'Medical Examination'!$A:$Z,2,FALSE)</f>
        <v>39.49</v>
      </c>
    </row>
    <row r="2143" spans="1:21" ht="15.5" x14ac:dyDescent="0.35">
      <c r="A2143" s="2" t="s">
        <v>2143</v>
      </c>
      <c r="B2143" s="2" t="s">
        <v>5237</v>
      </c>
      <c r="C2143">
        <v>34.869999999999997</v>
      </c>
      <c r="D2143">
        <v>5.51</v>
      </c>
      <c r="E2143" t="s">
        <v>2346</v>
      </c>
      <c r="F2143" t="s">
        <v>2344</v>
      </c>
      <c r="G2143" t="s">
        <v>2344</v>
      </c>
      <c r="H2143">
        <v>0</v>
      </c>
      <c r="I2143" t="s">
        <v>2344</v>
      </c>
      <c r="J2143" t="str">
        <f t="shared" si="133"/>
        <v>Obesity</v>
      </c>
      <c r="K2143" t="str">
        <f t="shared" si="136"/>
        <v>Normal</v>
      </c>
      <c r="L2143">
        <v>12</v>
      </c>
      <c r="M2143" t="s">
        <v>2362</v>
      </c>
      <c r="N2143">
        <v>1997</v>
      </c>
      <c r="O2143" s="8">
        <f t="shared" si="134"/>
        <v>35593</v>
      </c>
      <c r="P2143" s="10">
        <v>36124.57</v>
      </c>
      <c r="Q2143" t="s">
        <v>2361</v>
      </c>
      <c r="R2143" t="s">
        <v>2358</v>
      </c>
      <c r="S2143" t="s">
        <v>2359</v>
      </c>
      <c r="T2143">
        <f t="shared" ca="1" si="135"/>
        <v>29</v>
      </c>
      <c r="U2143">
        <f>VLOOKUP($A2143,'Medical Examination'!$A:$Z,2,FALSE)</f>
        <v>34.869999999999997</v>
      </c>
    </row>
    <row r="2144" spans="1:21" ht="15.5" x14ac:dyDescent="0.35">
      <c r="A2144" s="2" t="s">
        <v>2144</v>
      </c>
      <c r="B2144" s="2" t="s">
        <v>5239</v>
      </c>
      <c r="C2144">
        <v>34.6</v>
      </c>
      <c r="D2144">
        <v>4.5</v>
      </c>
      <c r="E2144" t="s">
        <v>2346</v>
      </c>
      <c r="F2144" t="s">
        <v>2344</v>
      </c>
      <c r="G2144" t="s">
        <v>2344</v>
      </c>
      <c r="H2144">
        <v>0</v>
      </c>
      <c r="I2144" t="s">
        <v>2344</v>
      </c>
      <c r="J2144" t="str">
        <f t="shared" si="133"/>
        <v>Obesity</v>
      </c>
      <c r="K2144" t="str">
        <f t="shared" si="136"/>
        <v>Normal</v>
      </c>
      <c r="L2144">
        <v>30</v>
      </c>
      <c r="M2144" t="s">
        <v>2366</v>
      </c>
      <c r="N2144">
        <v>2004</v>
      </c>
      <c r="O2144" s="8">
        <f t="shared" si="134"/>
        <v>38229</v>
      </c>
      <c r="P2144" s="10">
        <v>36149.480000000003</v>
      </c>
      <c r="Q2144" t="s">
        <v>2357</v>
      </c>
      <c r="R2144" t="s">
        <v>2357</v>
      </c>
      <c r="S2144" t="s">
        <v>2359</v>
      </c>
      <c r="T2144">
        <f t="shared" ca="1" si="135"/>
        <v>22</v>
      </c>
      <c r="U2144">
        <f>VLOOKUP($A2144,'Medical Examination'!$A:$Z,2,FALSE)</f>
        <v>34.6</v>
      </c>
    </row>
    <row r="2145" spans="1:21" ht="15.5" x14ac:dyDescent="0.35">
      <c r="A2145" s="2" t="s">
        <v>2145</v>
      </c>
      <c r="B2145" s="2" t="s">
        <v>5241</v>
      </c>
      <c r="C2145">
        <v>25.8</v>
      </c>
      <c r="D2145">
        <v>6.29</v>
      </c>
      <c r="E2145" t="s">
        <v>2346</v>
      </c>
      <c r="F2145" t="s">
        <v>2344</v>
      </c>
      <c r="G2145" t="s">
        <v>2344</v>
      </c>
      <c r="H2145">
        <v>0</v>
      </c>
      <c r="I2145" t="s">
        <v>2344</v>
      </c>
      <c r="J2145" t="str">
        <f t="shared" si="133"/>
        <v>Over weight</v>
      </c>
      <c r="K2145" t="str">
        <f t="shared" si="136"/>
        <v>Prediabetes</v>
      </c>
      <c r="L2145">
        <v>6</v>
      </c>
      <c r="M2145" t="s">
        <v>2365</v>
      </c>
      <c r="N2145">
        <v>1974</v>
      </c>
      <c r="O2145" s="8">
        <f t="shared" si="134"/>
        <v>27369</v>
      </c>
      <c r="P2145" s="10">
        <v>36182.870000000003</v>
      </c>
      <c r="Q2145" t="s">
        <v>2357</v>
      </c>
      <c r="R2145" t="s">
        <v>2358</v>
      </c>
      <c r="S2145" t="s">
        <v>2364</v>
      </c>
      <c r="T2145">
        <f t="shared" ca="1" si="135"/>
        <v>52</v>
      </c>
      <c r="U2145">
        <f>VLOOKUP($A2145,'Medical Examination'!$A:$Z,2,FALSE)</f>
        <v>25.8</v>
      </c>
    </row>
    <row r="2146" spans="1:21" ht="15.5" x14ac:dyDescent="0.35">
      <c r="A2146" s="2" t="s">
        <v>2146</v>
      </c>
      <c r="B2146" s="2" t="s">
        <v>5243</v>
      </c>
      <c r="C2146">
        <v>35.86</v>
      </c>
      <c r="D2146">
        <v>4.33</v>
      </c>
      <c r="E2146" t="s">
        <v>2344</v>
      </c>
      <c r="F2146" t="s">
        <v>2344</v>
      </c>
      <c r="G2146" t="s">
        <v>2344</v>
      </c>
      <c r="H2146">
        <v>1</v>
      </c>
      <c r="I2146" t="s">
        <v>2344</v>
      </c>
      <c r="J2146" t="str">
        <f t="shared" si="133"/>
        <v>Obesity</v>
      </c>
      <c r="K2146" t="str">
        <f t="shared" si="136"/>
        <v>Normal</v>
      </c>
      <c r="L2146">
        <v>1</v>
      </c>
      <c r="M2146" t="s">
        <v>2367</v>
      </c>
      <c r="N2146">
        <v>1999</v>
      </c>
      <c r="O2146" s="8">
        <f t="shared" si="134"/>
        <v>36434</v>
      </c>
      <c r="P2146" s="10">
        <v>36189.1</v>
      </c>
      <c r="Q2146" t="s">
        <v>2361</v>
      </c>
      <c r="R2146" t="s">
        <v>2358</v>
      </c>
      <c r="S2146" t="s">
        <v>2371</v>
      </c>
      <c r="T2146">
        <f t="shared" ca="1" si="135"/>
        <v>27</v>
      </c>
      <c r="U2146">
        <f>VLOOKUP($A2146,'Medical Examination'!$A:$Z,2,FALSE)</f>
        <v>35.86</v>
      </c>
    </row>
    <row r="2147" spans="1:21" ht="15.5" x14ac:dyDescent="0.35">
      <c r="A2147" s="2" t="s">
        <v>2147</v>
      </c>
      <c r="B2147" s="2" t="s">
        <v>5244</v>
      </c>
      <c r="C2147">
        <v>40.47</v>
      </c>
      <c r="D2147">
        <v>11.15</v>
      </c>
      <c r="E2147" t="s">
        <v>2344</v>
      </c>
      <c r="F2147" t="s">
        <v>2344</v>
      </c>
      <c r="G2147" t="s">
        <v>2344</v>
      </c>
      <c r="H2147">
        <v>0</v>
      </c>
      <c r="I2147" t="s">
        <v>2344</v>
      </c>
      <c r="J2147" t="str">
        <f t="shared" si="133"/>
        <v>Obesity</v>
      </c>
      <c r="K2147" t="str">
        <f t="shared" si="136"/>
        <v>Diabetes</v>
      </c>
      <c r="L2147">
        <v>28</v>
      </c>
      <c r="M2147" t="s">
        <v>2365</v>
      </c>
      <c r="N2147">
        <v>1993</v>
      </c>
      <c r="O2147" s="8">
        <f t="shared" si="134"/>
        <v>34331</v>
      </c>
      <c r="P2147" s="10">
        <v>36197.699999999997</v>
      </c>
      <c r="Q2147" t="s">
        <v>2361</v>
      </c>
      <c r="R2147" t="s">
        <v>2358</v>
      </c>
      <c r="S2147" t="s">
        <v>2368</v>
      </c>
      <c r="T2147">
        <f t="shared" ca="1" si="135"/>
        <v>33</v>
      </c>
      <c r="U2147">
        <f>VLOOKUP($A2147,'Medical Examination'!$A:$Z,2,FALSE)</f>
        <v>40.47</v>
      </c>
    </row>
    <row r="2148" spans="1:21" ht="15.5" x14ac:dyDescent="0.35">
      <c r="A2148" s="2" t="s">
        <v>2148</v>
      </c>
      <c r="B2148" s="2" t="s">
        <v>5245</v>
      </c>
      <c r="C2148">
        <v>32.01</v>
      </c>
      <c r="D2148">
        <v>6.45</v>
      </c>
      <c r="E2148" t="s">
        <v>2344</v>
      </c>
      <c r="F2148" t="s">
        <v>2344</v>
      </c>
      <c r="G2148" t="s">
        <v>2344</v>
      </c>
      <c r="H2148">
        <v>1</v>
      </c>
      <c r="I2148" t="s">
        <v>2344</v>
      </c>
      <c r="J2148" t="str">
        <f t="shared" si="133"/>
        <v>Obesity</v>
      </c>
      <c r="K2148" t="str">
        <f t="shared" si="136"/>
        <v>Prediabetes</v>
      </c>
      <c r="L2148">
        <v>5</v>
      </c>
      <c r="M2148" t="s">
        <v>2363</v>
      </c>
      <c r="N2148">
        <v>2003</v>
      </c>
      <c r="O2148" s="8">
        <f t="shared" si="134"/>
        <v>37869</v>
      </c>
      <c r="P2148" s="10">
        <v>36219.410000000003</v>
      </c>
      <c r="Q2148" t="s">
        <v>2361</v>
      </c>
      <c r="R2148" t="s">
        <v>2361</v>
      </c>
      <c r="S2148" t="s">
        <v>2364</v>
      </c>
      <c r="T2148">
        <f t="shared" ca="1" si="135"/>
        <v>23</v>
      </c>
      <c r="U2148">
        <f>VLOOKUP($A2148,'Medical Examination'!$A:$Z,2,FALSE)</f>
        <v>32.01</v>
      </c>
    </row>
    <row r="2149" spans="1:21" ht="15.5" x14ac:dyDescent="0.35">
      <c r="A2149" s="2" t="s">
        <v>2149</v>
      </c>
      <c r="B2149" s="2" t="s">
        <v>5246</v>
      </c>
      <c r="C2149">
        <v>33</v>
      </c>
      <c r="D2149">
        <v>9.27</v>
      </c>
      <c r="E2149" t="s">
        <v>2344</v>
      </c>
      <c r="F2149" t="s">
        <v>2344</v>
      </c>
      <c r="G2149" t="s">
        <v>2344</v>
      </c>
      <c r="H2149">
        <v>0</v>
      </c>
      <c r="I2149" t="s">
        <v>2344</v>
      </c>
      <c r="J2149" t="str">
        <f t="shared" si="133"/>
        <v>Obesity</v>
      </c>
      <c r="K2149" t="str">
        <f t="shared" si="136"/>
        <v>Diabetes</v>
      </c>
      <c r="L2149">
        <v>25</v>
      </c>
      <c r="M2149" t="s">
        <v>2365</v>
      </c>
      <c r="N2149">
        <v>2004</v>
      </c>
      <c r="O2149" s="8">
        <f t="shared" si="134"/>
        <v>38346</v>
      </c>
      <c r="P2149" s="10">
        <v>36307.800000000003</v>
      </c>
      <c r="Q2149" t="s">
        <v>2361</v>
      </c>
      <c r="R2149" t="s">
        <v>2357</v>
      </c>
      <c r="S2149" t="s">
        <v>2359</v>
      </c>
      <c r="T2149">
        <f t="shared" ca="1" si="135"/>
        <v>22</v>
      </c>
      <c r="U2149">
        <f>VLOOKUP($A2149,'Medical Examination'!$A:$Z,2,FALSE)</f>
        <v>33</v>
      </c>
    </row>
    <row r="2150" spans="1:21" ht="15.5" x14ac:dyDescent="0.35">
      <c r="A2150" s="2" t="s">
        <v>2150</v>
      </c>
      <c r="B2150" s="2" t="s">
        <v>5247</v>
      </c>
      <c r="C2150">
        <v>29.3</v>
      </c>
      <c r="D2150">
        <v>6.15</v>
      </c>
      <c r="E2150" t="s">
        <v>2344</v>
      </c>
      <c r="F2150" t="s">
        <v>2344</v>
      </c>
      <c r="G2150" t="s">
        <v>2344</v>
      </c>
      <c r="H2150">
        <v>1</v>
      </c>
      <c r="I2150" t="s">
        <v>2344</v>
      </c>
      <c r="J2150" t="str">
        <f t="shared" si="133"/>
        <v>Over weight</v>
      </c>
      <c r="K2150" t="str">
        <f t="shared" si="136"/>
        <v>Prediabetes</v>
      </c>
      <c r="L2150">
        <v>16</v>
      </c>
      <c r="M2150" t="s">
        <v>2362</v>
      </c>
      <c r="N2150">
        <v>1992</v>
      </c>
      <c r="O2150" s="8">
        <f t="shared" si="134"/>
        <v>33771</v>
      </c>
      <c r="P2150" s="10">
        <v>36314.050000000003</v>
      </c>
      <c r="Q2150" t="s">
        <v>2357</v>
      </c>
      <c r="R2150" t="s">
        <v>2357</v>
      </c>
      <c r="S2150" t="s">
        <v>2368</v>
      </c>
      <c r="T2150">
        <f t="shared" ca="1" si="135"/>
        <v>34</v>
      </c>
      <c r="U2150">
        <f>VLOOKUP($A2150,'Medical Examination'!$A:$Z,2,FALSE)</f>
        <v>29.3</v>
      </c>
    </row>
    <row r="2151" spans="1:21" ht="15.5" x14ac:dyDescent="0.35">
      <c r="A2151" s="2" t="s">
        <v>2151</v>
      </c>
      <c r="B2151" s="2" t="s">
        <v>4426</v>
      </c>
      <c r="C2151">
        <v>25.8</v>
      </c>
      <c r="D2151">
        <v>4.13</v>
      </c>
      <c r="E2151" t="s">
        <v>2344</v>
      </c>
      <c r="F2151" t="s">
        <v>2344</v>
      </c>
      <c r="G2151" t="s">
        <v>2344</v>
      </c>
      <c r="H2151">
        <v>1</v>
      </c>
      <c r="I2151" t="s">
        <v>2344</v>
      </c>
      <c r="J2151" t="str">
        <f t="shared" si="133"/>
        <v>Over weight</v>
      </c>
      <c r="K2151" t="str">
        <f t="shared" si="136"/>
        <v>Normal</v>
      </c>
      <c r="L2151">
        <v>18</v>
      </c>
      <c r="M2151" t="s">
        <v>2367</v>
      </c>
      <c r="N2151">
        <v>1967</v>
      </c>
      <c r="O2151" s="8">
        <f t="shared" si="134"/>
        <v>24763</v>
      </c>
      <c r="P2151" s="10">
        <v>36332.449999999997</v>
      </c>
      <c r="Q2151" t="s">
        <v>2361</v>
      </c>
      <c r="R2151" t="s">
        <v>2358</v>
      </c>
      <c r="S2151" t="s">
        <v>2368</v>
      </c>
      <c r="T2151">
        <f t="shared" ca="1" si="135"/>
        <v>59</v>
      </c>
      <c r="U2151">
        <f>VLOOKUP($A2151,'Medical Examination'!$A:$Z,2,FALSE)</f>
        <v>25.8</v>
      </c>
    </row>
    <row r="2152" spans="1:21" ht="15.5" x14ac:dyDescent="0.35">
      <c r="A2152" s="2" t="s">
        <v>2152</v>
      </c>
      <c r="B2152" s="2" t="s">
        <v>5248</v>
      </c>
      <c r="C2152">
        <v>23.4</v>
      </c>
      <c r="D2152">
        <v>4.24</v>
      </c>
      <c r="E2152" t="s">
        <v>2344</v>
      </c>
      <c r="F2152" t="s">
        <v>2344</v>
      </c>
      <c r="G2152" t="s">
        <v>2344</v>
      </c>
      <c r="H2152">
        <v>1</v>
      </c>
      <c r="I2152" t="s">
        <v>2344</v>
      </c>
      <c r="J2152" t="str">
        <f t="shared" si="133"/>
        <v>Normal Weight</v>
      </c>
      <c r="K2152" t="str">
        <f t="shared" si="136"/>
        <v>Normal</v>
      </c>
      <c r="L2152">
        <v>5</v>
      </c>
      <c r="M2152" t="s">
        <v>2362</v>
      </c>
      <c r="N2152">
        <v>1975</v>
      </c>
      <c r="O2152" s="8">
        <f t="shared" si="134"/>
        <v>27550</v>
      </c>
      <c r="P2152" s="10">
        <v>36350.71</v>
      </c>
      <c r="Q2152" t="s">
        <v>2361</v>
      </c>
      <c r="R2152" t="s">
        <v>2357</v>
      </c>
      <c r="S2152" t="s">
        <v>2368</v>
      </c>
      <c r="T2152">
        <f t="shared" ca="1" si="135"/>
        <v>51</v>
      </c>
      <c r="U2152">
        <f>VLOOKUP($A2152,'Medical Examination'!$A:$Z,2,FALSE)</f>
        <v>23.4</v>
      </c>
    </row>
    <row r="2153" spans="1:21" ht="15.5" x14ac:dyDescent="0.35">
      <c r="A2153" s="2" t="s">
        <v>2153</v>
      </c>
      <c r="B2153" s="2" t="s">
        <v>5249</v>
      </c>
      <c r="C2153">
        <v>27.93</v>
      </c>
      <c r="D2153">
        <v>9.8800000000000008</v>
      </c>
      <c r="E2153" t="s">
        <v>2344</v>
      </c>
      <c r="F2153" t="s">
        <v>2344</v>
      </c>
      <c r="G2153" t="s">
        <v>2344</v>
      </c>
      <c r="H2153">
        <v>0</v>
      </c>
      <c r="I2153" t="s">
        <v>2344</v>
      </c>
      <c r="J2153" t="str">
        <f t="shared" si="133"/>
        <v>Over weight</v>
      </c>
      <c r="K2153" t="str">
        <f t="shared" si="136"/>
        <v>Diabetes</v>
      </c>
      <c r="L2153">
        <v>9</v>
      </c>
      <c r="M2153" t="s">
        <v>2365</v>
      </c>
      <c r="N2153">
        <v>2003</v>
      </c>
      <c r="O2153" s="8">
        <f t="shared" si="134"/>
        <v>37964</v>
      </c>
      <c r="P2153" s="10">
        <v>36397.58</v>
      </c>
      <c r="Q2153" t="s">
        <v>2357</v>
      </c>
      <c r="R2153" t="s">
        <v>2358</v>
      </c>
      <c r="S2153" t="s">
        <v>2368</v>
      </c>
      <c r="T2153">
        <f t="shared" ca="1" si="135"/>
        <v>23</v>
      </c>
      <c r="U2153">
        <f>VLOOKUP($A2153,'Medical Examination'!$A:$Z,2,FALSE)</f>
        <v>27.93</v>
      </c>
    </row>
    <row r="2154" spans="1:21" ht="15.5" x14ac:dyDescent="0.35">
      <c r="A2154" s="2" t="s">
        <v>2154</v>
      </c>
      <c r="B2154" s="2" t="s">
        <v>5251</v>
      </c>
      <c r="C2154">
        <v>22</v>
      </c>
      <c r="D2154">
        <v>9.5</v>
      </c>
      <c r="E2154" t="s">
        <v>2344</v>
      </c>
      <c r="F2154" t="s">
        <v>2344</v>
      </c>
      <c r="G2154" t="s">
        <v>2344</v>
      </c>
      <c r="H2154">
        <v>0</v>
      </c>
      <c r="I2154" t="s">
        <v>2344</v>
      </c>
      <c r="J2154" t="str">
        <f t="shared" si="133"/>
        <v>Normal Weight</v>
      </c>
      <c r="K2154" t="str">
        <f t="shared" si="136"/>
        <v>Diabetes</v>
      </c>
      <c r="L2154">
        <v>19</v>
      </c>
      <c r="M2154" t="s">
        <v>2360</v>
      </c>
      <c r="N2154">
        <v>1962</v>
      </c>
      <c r="O2154" s="8">
        <f t="shared" si="134"/>
        <v>22969</v>
      </c>
      <c r="P2154" s="10">
        <v>36445.550000000003</v>
      </c>
      <c r="Q2154" t="s">
        <v>2357</v>
      </c>
      <c r="R2154" t="s">
        <v>2357</v>
      </c>
      <c r="S2154" t="s">
        <v>2368</v>
      </c>
      <c r="T2154">
        <f t="shared" ca="1" si="135"/>
        <v>64</v>
      </c>
      <c r="U2154">
        <f>VLOOKUP($A2154,'Medical Examination'!$A:$Z,2,FALSE)</f>
        <v>22</v>
      </c>
    </row>
    <row r="2155" spans="1:21" ht="15.5" x14ac:dyDescent="0.35">
      <c r="A2155" s="2" t="s">
        <v>2155</v>
      </c>
      <c r="B2155" s="2" t="s">
        <v>5253</v>
      </c>
      <c r="C2155">
        <v>36.86</v>
      </c>
      <c r="D2155">
        <v>4.97</v>
      </c>
      <c r="E2155" t="s">
        <v>2346</v>
      </c>
      <c r="F2155" t="s">
        <v>2344</v>
      </c>
      <c r="G2155" t="s">
        <v>2344</v>
      </c>
      <c r="H2155">
        <v>0</v>
      </c>
      <c r="I2155" t="s">
        <v>2344</v>
      </c>
      <c r="J2155" t="str">
        <f t="shared" si="133"/>
        <v>Obesity</v>
      </c>
      <c r="K2155" t="str">
        <f t="shared" si="136"/>
        <v>Normal</v>
      </c>
      <c r="L2155">
        <v>9</v>
      </c>
      <c r="M2155" t="s">
        <v>2366</v>
      </c>
      <c r="N2155">
        <v>1973</v>
      </c>
      <c r="O2155" s="8">
        <f t="shared" si="134"/>
        <v>26885</v>
      </c>
      <c r="P2155" s="10">
        <v>36541.550000000003</v>
      </c>
      <c r="Q2155" t="s">
        <v>2357</v>
      </c>
      <c r="R2155" t="s">
        <v>2358</v>
      </c>
      <c r="S2155" t="s">
        <v>2368</v>
      </c>
      <c r="T2155">
        <f t="shared" ca="1" si="135"/>
        <v>53</v>
      </c>
      <c r="U2155">
        <f>VLOOKUP($A2155,'Medical Examination'!$A:$Z,2,FALSE)</f>
        <v>36.86</v>
      </c>
    </row>
    <row r="2156" spans="1:21" ht="15.5" x14ac:dyDescent="0.35">
      <c r="A2156" s="2" t="s">
        <v>2156</v>
      </c>
      <c r="B2156" s="2" t="s">
        <v>5215</v>
      </c>
      <c r="C2156">
        <v>31.254999999999999</v>
      </c>
      <c r="D2156">
        <v>5.49</v>
      </c>
      <c r="E2156" t="s">
        <v>2346</v>
      </c>
      <c r="F2156" t="s">
        <v>2344</v>
      </c>
      <c r="G2156" t="s">
        <v>2344</v>
      </c>
      <c r="H2156">
        <v>0</v>
      </c>
      <c r="I2156" t="s">
        <v>2344</v>
      </c>
      <c r="J2156" t="str">
        <f t="shared" si="133"/>
        <v>Obesity</v>
      </c>
      <c r="K2156" t="str">
        <f t="shared" si="136"/>
        <v>Normal</v>
      </c>
      <c r="L2156">
        <v>9</v>
      </c>
      <c r="M2156" t="s">
        <v>2367</v>
      </c>
      <c r="N2156">
        <v>1992</v>
      </c>
      <c r="O2156" s="8">
        <f t="shared" si="134"/>
        <v>33886</v>
      </c>
      <c r="P2156" s="10">
        <v>36572.800000000003</v>
      </c>
      <c r="Q2156" t="s">
        <v>2361</v>
      </c>
      <c r="R2156" t="s">
        <v>2357</v>
      </c>
      <c r="S2156" t="s">
        <v>2368</v>
      </c>
      <c r="T2156">
        <f t="shared" ca="1" si="135"/>
        <v>34</v>
      </c>
      <c r="U2156">
        <f>VLOOKUP($A2156,'Medical Examination'!$A:$Z,2,FALSE)</f>
        <v>31.254999999999999</v>
      </c>
    </row>
    <row r="2157" spans="1:21" ht="15.5" x14ac:dyDescent="0.35">
      <c r="A2157" s="2" t="s">
        <v>2157</v>
      </c>
      <c r="B2157" s="2" t="s">
        <v>5254</v>
      </c>
      <c r="C2157">
        <v>23.06</v>
      </c>
      <c r="D2157">
        <v>4.47</v>
      </c>
      <c r="E2157" t="s">
        <v>2344</v>
      </c>
      <c r="F2157" t="s">
        <v>2344</v>
      </c>
      <c r="G2157" t="s">
        <v>2344</v>
      </c>
      <c r="H2157">
        <v>0</v>
      </c>
      <c r="I2157" t="s">
        <v>2344</v>
      </c>
      <c r="J2157" t="str">
        <f t="shared" si="133"/>
        <v>Normal Weight</v>
      </c>
      <c r="K2157" t="str">
        <f t="shared" si="136"/>
        <v>Normal</v>
      </c>
      <c r="L2157">
        <v>29</v>
      </c>
      <c r="M2157" t="s">
        <v>2356</v>
      </c>
      <c r="N2157">
        <v>1961</v>
      </c>
      <c r="O2157" s="8">
        <f t="shared" si="134"/>
        <v>22491</v>
      </c>
      <c r="P2157" s="10">
        <v>36580.28</v>
      </c>
      <c r="Q2157" t="s">
        <v>2357</v>
      </c>
      <c r="R2157" t="s">
        <v>2357</v>
      </c>
      <c r="S2157" t="s">
        <v>2359</v>
      </c>
      <c r="T2157">
        <f t="shared" ca="1" si="135"/>
        <v>65</v>
      </c>
      <c r="U2157">
        <f>VLOOKUP($A2157,'Medical Examination'!$A:$Z,2,FALSE)</f>
        <v>23.06</v>
      </c>
    </row>
    <row r="2158" spans="1:21" ht="15.5" x14ac:dyDescent="0.35">
      <c r="A2158" s="2" t="s">
        <v>2158</v>
      </c>
      <c r="B2158" s="2" t="s">
        <v>5255</v>
      </c>
      <c r="C2158">
        <v>28.975000000000001</v>
      </c>
      <c r="D2158">
        <v>4.34</v>
      </c>
      <c r="E2158" t="s">
        <v>2346</v>
      </c>
      <c r="F2158" t="s">
        <v>2344</v>
      </c>
      <c r="G2158" t="s">
        <v>2344</v>
      </c>
      <c r="H2158">
        <v>0</v>
      </c>
      <c r="I2158" t="s">
        <v>2344</v>
      </c>
      <c r="J2158" t="str">
        <f t="shared" si="133"/>
        <v>Over weight</v>
      </c>
      <c r="K2158" t="str">
        <f t="shared" si="136"/>
        <v>Normal</v>
      </c>
      <c r="L2158">
        <v>14</v>
      </c>
      <c r="M2158" t="s">
        <v>2356</v>
      </c>
      <c r="N2158">
        <v>1970</v>
      </c>
      <c r="O2158" s="8">
        <f t="shared" si="134"/>
        <v>25763</v>
      </c>
      <c r="P2158" s="10">
        <v>36786.370000000003</v>
      </c>
      <c r="Q2158" t="s">
        <v>2361</v>
      </c>
      <c r="R2158" t="s">
        <v>2361</v>
      </c>
      <c r="S2158" t="s">
        <v>2368</v>
      </c>
      <c r="T2158">
        <f t="shared" ca="1" si="135"/>
        <v>56</v>
      </c>
      <c r="U2158">
        <f>VLOOKUP($A2158,'Medical Examination'!$A:$Z,2,FALSE)</f>
        <v>28.975000000000001</v>
      </c>
    </row>
    <row r="2159" spans="1:21" ht="15.5" x14ac:dyDescent="0.35">
      <c r="A2159" s="2" t="s">
        <v>2159</v>
      </c>
      <c r="B2159" s="2" t="s">
        <v>5256</v>
      </c>
      <c r="C2159">
        <v>33.299999999999997</v>
      </c>
      <c r="D2159">
        <v>9.49</v>
      </c>
      <c r="E2159" t="s">
        <v>2344</v>
      </c>
      <c r="F2159" t="s">
        <v>2344</v>
      </c>
      <c r="G2159" t="s">
        <v>2344</v>
      </c>
      <c r="H2159">
        <v>0</v>
      </c>
      <c r="I2159" t="s">
        <v>2344</v>
      </c>
      <c r="J2159" t="str">
        <f t="shared" si="133"/>
        <v>Obesity</v>
      </c>
      <c r="K2159" t="str">
        <f t="shared" si="136"/>
        <v>Diabetes</v>
      </c>
      <c r="L2159">
        <v>28</v>
      </c>
      <c r="M2159" t="s">
        <v>2365</v>
      </c>
      <c r="N2159">
        <v>1965</v>
      </c>
      <c r="O2159" s="8">
        <f t="shared" si="134"/>
        <v>24104</v>
      </c>
      <c r="P2159" s="10">
        <v>36795.29</v>
      </c>
      <c r="Q2159" t="s">
        <v>2357</v>
      </c>
      <c r="R2159" t="s">
        <v>2361</v>
      </c>
      <c r="S2159" t="s">
        <v>2368</v>
      </c>
      <c r="T2159">
        <f t="shared" ca="1" si="135"/>
        <v>61</v>
      </c>
      <c r="U2159">
        <f>VLOOKUP($A2159,'Medical Examination'!$A:$Z,2,FALSE)</f>
        <v>33.299999999999997</v>
      </c>
    </row>
    <row r="2160" spans="1:21" ht="15.5" x14ac:dyDescent="0.35">
      <c r="A2160" s="2" t="s">
        <v>2160</v>
      </c>
      <c r="B2160" s="2" t="s">
        <v>5258</v>
      </c>
      <c r="C2160">
        <v>33</v>
      </c>
      <c r="D2160">
        <v>10.16</v>
      </c>
      <c r="E2160" t="s">
        <v>2344</v>
      </c>
      <c r="F2160" t="s">
        <v>2344</v>
      </c>
      <c r="G2160" t="s">
        <v>2344</v>
      </c>
      <c r="H2160">
        <v>0</v>
      </c>
      <c r="I2160" t="s">
        <v>2344</v>
      </c>
      <c r="J2160" t="str">
        <f t="shared" si="133"/>
        <v>Obesity</v>
      </c>
      <c r="K2160" t="str">
        <f t="shared" si="136"/>
        <v>Diabetes</v>
      </c>
      <c r="L2160">
        <v>6</v>
      </c>
      <c r="M2160" t="s">
        <v>2367</v>
      </c>
      <c r="N2160">
        <v>1992</v>
      </c>
      <c r="O2160" s="8">
        <f t="shared" si="134"/>
        <v>33883</v>
      </c>
      <c r="P2160" s="10">
        <v>36837.47</v>
      </c>
      <c r="Q2160" t="s">
        <v>2361</v>
      </c>
      <c r="R2160" t="s">
        <v>2357</v>
      </c>
      <c r="S2160" t="s">
        <v>2368</v>
      </c>
      <c r="T2160">
        <f t="shared" ca="1" si="135"/>
        <v>34</v>
      </c>
      <c r="U2160">
        <f>VLOOKUP($A2160,'Medical Examination'!$A:$Z,2,FALSE)</f>
        <v>33</v>
      </c>
    </row>
    <row r="2161" spans="1:21" ht="15.5" x14ac:dyDescent="0.35">
      <c r="A2161" s="2" t="s">
        <v>2161</v>
      </c>
      <c r="B2161" s="2" t="s">
        <v>5259</v>
      </c>
      <c r="C2161">
        <v>31.46</v>
      </c>
      <c r="D2161">
        <v>11.19</v>
      </c>
      <c r="E2161" t="s">
        <v>2344</v>
      </c>
      <c r="F2161" t="s">
        <v>2344</v>
      </c>
      <c r="G2161" t="s">
        <v>2344</v>
      </c>
      <c r="H2161">
        <v>0</v>
      </c>
      <c r="I2161" t="s">
        <v>2344</v>
      </c>
      <c r="J2161" t="str">
        <f t="shared" si="133"/>
        <v>Obesity</v>
      </c>
      <c r="K2161" t="str">
        <f t="shared" si="136"/>
        <v>Diabetes</v>
      </c>
      <c r="L2161">
        <v>4</v>
      </c>
      <c r="M2161" t="s">
        <v>2356</v>
      </c>
      <c r="N2161">
        <v>1992</v>
      </c>
      <c r="O2161" s="8">
        <f t="shared" si="134"/>
        <v>33789</v>
      </c>
      <c r="P2161" s="10">
        <v>36837.47</v>
      </c>
      <c r="Q2161" t="s">
        <v>2357</v>
      </c>
      <c r="R2161" t="s">
        <v>2358</v>
      </c>
      <c r="S2161" t="s">
        <v>2368</v>
      </c>
      <c r="T2161">
        <f t="shared" ca="1" si="135"/>
        <v>34</v>
      </c>
      <c r="U2161">
        <f>VLOOKUP($A2161,'Medical Examination'!$A:$Z,2,FALSE)</f>
        <v>31.46</v>
      </c>
    </row>
    <row r="2162" spans="1:21" ht="15.5" x14ac:dyDescent="0.35">
      <c r="A2162" s="2" t="s">
        <v>2162</v>
      </c>
      <c r="B2162" s="2" t="s">
        <v>5260</v>
      </c>
      <c r="C2162">
        <v>29.6</v>
      </c>
      <c r="D2162">
        <v>11.03</v>
      </c>
      <c r="E2162" t="s">
        <v>2344</v>
      </c>
      <c r="F2162" t="s">
        <v>2344</v>
      </c>
      <c r="G2162" t="s">
        <v>2344</v>
      </c>
      <c r="H2162">
        <v>0</v>
      </c>
      <c r="I2162" t="s">
        <v>2344</v>
      </c>
      <c r="J2162" t="str">
        <f t="shared" si="133"/>
        <v>Over weight</v>
      </c>
      <c r="K2162" t="str">
        <f t="shared" si="136"/>
        <v>Diabetes</v>
      </c>
      <c r="L2162">
        <v>5</v>
      </c>
      <c r="M2162" t="s">
        <v>2365</v>
      </c>
      <c r="N2162">
        <v>1972</v>
      </c>
      <c r="O2162" s="8">
        <f t="shared" si="134"/>
        <v>26638</v>
      </c>
      <c r="P2162" s="10">
        <v>36889.99</v>
      </c>
      <c r="Q2162" t="s">
        <v>2361</v>
      </c>
      <c r="R2162" t="s">
        <v>2358</v>
      </c>
      <c r="S2162" t="s">
        <v>2368</v>
      </c>
      <c r="T2162">
        <f t="shared" ca="1" si="135"/>
        <v>54</v>
      </c>
      <c r="U2162">
        <f>VLOOKUP($A2162,'Medical Examination'!$A:$Z,2,FALSE)</f>
        <v>29.6</v>
      </c>
    </row>
    <row r="2163" spans="1:21" ht="15.5" x14ac:dyDescent="0.35">
      <c r="A2163" s="2" t="s">
        <v>2163</v>
      </c>
      <c r="B2163" s="2" t="s">
        <v>5261</v>
      </c>
      <c r="C2163">
        <v>22.05</v>
      </c>
      <c r="D2163">
        <v>4.43</v>
      </c>
      <c r="E2163" t="s">
        <v>2346</v>
      </c>
      <c r="F2163" t="s">
        <v>2344</v>
      </c>
      <c r="G2163" t="s">
        <v>2344</v>
      </c>
      <c r="H2163">
        <v>0</v>
      </c>
      <c r="I2163" t="s">
        <v>2344</v>
      </c>
      <c r="J2163" t="str">
        <f t="shared" si="133"/>
        <v>Normal Weight</v>
      </c>
      <c r="K2163" t="str">
        <f t="shared" si="136"/>
        <v>Normal</v>
      </c>
      <c r="L2163">
        <v>21</v>
      </c>
      <c r="M2163" t="s">
        <v>2362</v>
      </c>
      <c r="N2163">
        <v>2003</v>
      </c>
      <c r="O2163" s="8">
        <f t="shared" si="134"/>
        <v>37793</v>
      </c>
      <c r="P2163" s="10">
        <v>36898.730000000003</v>
      </c>
      <c r="Q2163" t="s">
        <v>2357</v>
      </c>
      <c r="R2163" t="s">
        <v>2361</v>
      </c>
      <c r="S2163" t="s">
        <v>2364</v>
      </c>
      <c r="T2163">
        <f t="shared" ca="1" si="135"/>
        <v>23</v>
      </c>
      <c r="U2163">
        <f>VLOOKUP($A2163,'Medical Examination'!$A:$Z,2,FALSE)</f>
        <v>22.05</v>
      </c>
    </row>
    <row r="2164" spans="1:21" ht="15.5" x14ac:dyDescent="0.35">
      <c r="A2164" s="2" t="s">
        <v>2164</v>
      </c>
      <c r="B2164" s="2" t="s">
        <v>5262</v>
      </c>
      <c r="C2164">
        <v>27.06</v>
      </c>
      <c r="D2164">
        <v>6.14</v>
      </c>
      <c r="E2164" t="s">
        <v>2344</v>
      </c>
      <c r="F2164" t="s">
        <v>2345</v>
      </c>
      <c r="G2164" t="s">
        <v>2344</v>
      </c>
      <c r="H2164">
        <v>1</v>
      </c>
      <c r="I2164" t="s">
        <v>2344</v>
      </c>
      <c r="J2164" t="str">
        <f t="shared" si="133"/>
        <v>Over weight</v>
      </c>
      <c r="K2164" t="str">
        <f t="shared" si="136"/>
        <v>Prediabetes</v>
      </c>
      <c r="L2164">
        <v>24</v>
      </c>
      <c r="M2164" t="s">
        <v>2356</v>
      </c>
      <c r="N2164">
        <v>1963</v>
      </c>
      <c r="O2164" s="8">
        <f t="shared" si="134"/>
        <v>23216</v>
      </c>
      <c r="P2164" s="10">
        <v>36910.61</v>
      </c>
      <c r="Q2164" t="s">
        <v>2357</v>
      </c>
      <c r="R2164" t="s">
        <v>2357</v>
      </c>
      <c r="S2164" t="s">
        <v>2368</v>
      </c>
      <c r="T2164">
        <f t="shared" ca="1" si="135"/>
        <v>63</v>
      </c>
      <c r="U2164">
        <f>VLOOKUP($A2164,'Medical Examination'!$A:$Z,2,FALSE)</f>
        <v>27.06</v>
      </c>
    </row>
    <row r="2165" spans="1:21" ht="15.5" x14ac:dyDescent="0.35">
      <c r="A2165" s="2" t="s">
        <v>2165</v>
      </c>
      <c r="B2165" s="2" t="s">
        <v>2571</v>
      </c>
      <c r="C2165">
        <v>20.49</v>
      </c>
      <c r="D2165">
        <v>4.87</v>
      </c>
      <c r="E2165" t="s">
        <v>2344</v>
      </c>
      <c r="F2165" t="s">
        <v>2344</v>
      </c>
      <c r="G2165" t="s">
        <v>2344</v>
      </c>
      <c r="H2165">
        <v>0</v>
      </c>
      <c r="I2165" t="s">
        <v>2344</v>
      </c>
      <c r="J2165" t="str">
        <f t="shared" si="133"/>
        <v>Normal Weight</v>
      </c>
      <c r="K2165" t="str">
        <f t="shared" si="136"/>
        <v>Normal</v>
      </c>
      <c r="L2165">
        <v>10</v>
      </c>
      <c r="M2165" t="s">
        <v>2362</v>
      </c>
      <c r="N2165">
        <v>1991</v>
      </c>
      <c r="O2165" s="8">
        <f t="shared" si="134"/>
        <v>33399</v>
      </c>
      <c r="P2165" s="10">
        <v>36911.99</v>
      </c>
      <c r="Q2165" t="s">
        <v>2357</v>
      </c>
      <c r="R2165" t="s">
        <v>2357</v>
      </c>
      <c r="S2165" t="s">
        <v>2368</v>
      </c>
      <c r="T2165">
        <f t="shared" ca="1" si="135"/>
        <v>35</v>
      </c>
      <c r="U2165">
        <f>VLOOKUP($A2165,'Medical Examination'!$A:$Z,2,FALSE)</f>
        <v>20.49</v>
      </c>
    </row>
    <row r="2166" spans="1:21" ht="15.5" x14ac:dyDescent="0.35">
      <c r="A2166" s="2" t="s">
        <v>2166</v>
      </c>
      <c r="B2166" s="2" t="s">
        <v>5264</v>
      </c>
      <c r="C2166">
        <v>28.4</v>
      </c>
      <c r="D2166">
        <v>4.3</v>
      </c>
      <c r="E2166" t="s">
        <v>2344</v>
      </c>
      <c r="F2166" t="s">
        <v>2344</v>
      </c>
      <c r="G2166" t="s">
        <v>2346</v>
      </c>
      <c r="H2166">
        <v>1</v>
      </c>
      <c r="I2166" t="s">
        <v>2344</v>
      </c>
      <c r="J2166" t="str">
        <f t="shared" si="133"/>
        <v>Over weight</v>
      </c>
      <c r="K2166" t="str">
        <f t="shared" si="136"/>
        <v>Normal</v>
      </c>
      <c r="L2166">
        <v>22</v>
      </c>
      <c r="M2166" t="s">
        <v>2367</v>
      </c>
      <c r="N2166">
        <v>1968</v>
      </c>
      <c r="O2166" s="8">
        <f t="shared" si="134"/>
        <v>25133</v>
      </c>
      <c r="P2166" s="10">
        <v>36922.61</v>
      </c>
      <c r="Q2166" t="s">
        <v>2357</v>
      </c>
      <c r="R2166" t="s">
        <v>2361</v>
      </c>
      <c r="S2166" t="s">
        <v>2368</v>
      </c>
      <c r="T2166">
        <f t="shared" ca="1" si="135"/>
        <v>58</v>
      </c>
      <c r="U2166">
        <f>VLOOKUP($A2166,'Medical Examination'!$A:$Z,2,FALSE)</f>
        <v>28.4</v>
      </c>
    </row>
    <row r="2167" spans="1:21" ht="15.5" x14ac:dyDescent="0.35">
      <c r="A2167" s="2" t="s">
        <v>2167</v>
      </c>
      <c r="B2167" s="2" t="s">
        <v>5265</v>
      </c>
      <c r="C2167">
        <v>41.91</v>
      </c>
      <c r="D2167">
        <v>6.19</v>
      </c>
      <c r="E2167" t="s">
        <v>2344</v>
      </c>
      <c r="F2167" t="s">
        <v>2344</v>
      </c>
      <c r="G2167" t="s">
        <v>2344</v>
      </c>
      <c r="H2167">
        <v>0</v>
      </c>
      <c r="I2167" t="s">
        <v>2344</v>
      </c>
      <c r="J2167" t="str">
        <f t="shared" si="133"/>
        <v>Obesity</v>
      </c>
      <c r="K2167" t="str">
        <f t="shared" si="136"/>
        <v>Prediabetes</v>
      </c>
      <c r="L2167">
        <v>13</v>
      </c>
      <c r="M2167" t="s">
        <v>2366</v>
      </c>
      <c r="N2167">
        <v>1977</v>
      </c>
      <c r="O2167" s="8">
        <f t="shared" si="134"/>
        <v>28350</v>
      </c>
      <c r="P2167" s="10">
        <v>36935.64</v>
      </c>
      <c r="Q2167" t="s">
        <v>2357</v>
      </c>
      <c r="R2167" t="s">
        <v>2361</v>
      </c>
      <c r="S2167" t="s">
        <v>2368</v>
      </c>
      <c r="T2167">
        <f t="shared" ca="1" si="135"/>
        <v>49</v>
      </c>
      <c r="U2167">
        <f>VLOOKUP($A2167,'Medical Examination'!$A:$Z,2,FALSE)</f>
        <v>41.91</v>
      </c>
    </row>
    <row r="2168" spans="1:21" ht="15.5" x14ac:dyDescent="0.35">
      <c r="A2168" s="2" t="s">
        <v>2168</v>
      </c>
      <c r="B2168" s="2" t="s">
        <v>5266</v>
      </c>
      <c r="C2168">
        <v>24.6</v>
      </c>
      <c r="D2168">
        <v>6.19</v>
      </c>
      <c r="E2168" t="s">
        <v>2344</v>
      </c>
      <c r="F2168" t="s">
        <v>2344</v>
      </c>
      <c r="G2168" t="s">
        <v>2346</v>
      </c>
      <c r="H2168">
        <v>1</v>
      </c>
      <c r="I2168" t="s">
        <v>2344</v>
      </c>
      <c r="J2168" t="str">
        <f t="shared" si="133"/>
        <v>Normal Weight</v>
      </c>
      <c r="K2168" t="str">
        <f t="shared" si="136"/>
        <v>Prediabetes</v>
      </c>
      <c r="L2168">
        <v>25</v>
      </c>
      <c r="M2168" t="s">
        <v>2366</v>
      </c>
      <c r="N2168">
        <v>1992</v>
      </c>
      <c r="O2168" s="8">
        <f t="shared" si="134"/>
        <v>33841</v>
      </c>
      <c r="P2168" s="10">
        <v>36950.26</v>
      </c>
      <c r="Q2168" t="s">
        <v>2361</v>
      </c>
      <c r="R2168" t="s">
        <v>2361</v>
      </c>
      <c r="S2168" t="s">
        <v>2359</v>
      </c>
      <c r="T2168">
        <f t="shared" ca="1" si="135"/>
        <v>34</v>
      </c>
      <c r="U2168">
        <f>VLOOKUP($A2168,'Medical Examination'!$A:$Z,2,FALSE)</f>
        <v>24.6</v>
      </c>
    </row>
    <row r="2169" spans="1:21" ht="15.5" x14ac:dyDescent="0.35">
      <c r="A2169" s="2" t="s">
        <v>2169</v>
      </c>
      <c r="B2169" s="2" t="s">
        <v>5268</v>
      </c>
      <c r="C2169">
        <v>20.9</v>
      </c>
      <c r="D2169">
        <v>5.12</v>
      </c>
      <c r="E2169" t="s">
        <v>2344</v>
      </c>
      <c r="F2169" t="s">
        <v>2344</v>
      </c>
      <c r="G2169" t="s">
        <v>2346</v>
      </c>
      <c r="H2169">
        <v>1</v>
      </c>
      <c r="I2169" t="s">
        <v>2344</v>
      </c>
      <c r="J2169" t="str">
        <f t="shared" si="133"/>
        <v>Normal Weight</v>
      </c>
      <c r="K2169" t="str">
        <f t="shared" si="136"/>
        <v>Normal</v>
      </c>
      <c r="L2169">
        <v>13</v>
      </c>
      <c r="M2169" t="s">
        <v>2363</v>
      </c>
      <c r="N2169">
        <v>1992</v>
      </c>
      <c r="O2169" s="8">
        <f t="shared" si="134"/>
        <v>33860</v>
      </c>
      <c r="P2169" s="10">
        <v>36976.449999999997</v>
      </c>
      <c r="Q2169" t="s">
        <v>2357</v>
      </c>
      <c r="R2169" t="s">
        <v>2358</v>
      </c>
      <c r="S2169" t="s">
        <v>2368</v>
      </c>
      <c r="T2169">
        <f t="shared" ca="1" si="135"/>
        <v>34</v>
      </c>
      <c r="U2169">
        <f>VLOOKUP($A2169,'Medical Examination'!$A:$Z,2,FALSE)</f>
        <v>20.9</v>
      </c>
    </row>
    <row r="2170" spans="1:21" ht="15.5" x14ac:dyDescent="0.35">
      <c r="A2170" s="2" t="s">
        <v>2170</v>
      </c>
      <c r="B2170" s="2" t="s">
        <v>5269</v>
      </c>
      <c r="C2170">
        <v>34.4</v>
      </c>
      <c r="D2170">
        <v>4.04</v>
      </c>
      <c r="E2170" t="s">
        <v>2344</v>
      </c>
      <c r="F2170" t="s">
        <v>2344</v>
      </c>
      <c r="G2170" t="s">
        <v>2344</v>
      </c>
      <c r="H2170">
        <v>0</v>
      </c>
      <c r="I2170" t="s">
        <v>2344</v>
      </c>
      <c r="J2170" t="str">
        <f t="shared" si="133"/>
        <v>Obesity</v>
      </c>
      <c r="K2170" t="str">
        <f t="shared" si="136"/>
        <v>Normal</v>
      </c>
      <c r="L2170">
        <v>1</v>
      </c>
      <c r="M2170" t="s">
        <v>2360</v>
      </c>
      <c r="N2170">
        <v>1991</v>
      </c>
      <c r="O2170" s="8">
        <f t="shared" si="134"/>
        <v>33543</v>
      </c>
      <c r="P2170" s="10">
        <v>37040.879999999997</v>
      </c>
      <c r="Q2170" t="s">
        <v>2357</v>
      </c>
      <c r="R2170" t="s">
        <v>2357</v>
      </c>
      <c r="S2170" t="s">
        <v>2368</v>
      </c>
      <c r="T2170">
        <f t="shared" ca="1" si="135"/>
        <v>35</v>
      </c>
      <c r="U2170">
        <f>VLOOKUP($A2170,'Medical Examination'!$A:$Z,2,FALSE)</f>
        <v>34.4</v>
      </c>
    </row>
    <row r="2171" spans="1:21" ht="15.5" x14ac:dyDescent="0.35">
      <c r="A2171" s="2" t="s">
        <v>2171</v>
      </c>
      <c r="B2171" s="2" t="s">
        <v>5271</v>
      </c>
      <c r="C2171">
        <v>32.56</v>
      </c>
      <c r="D2171">
        <v>5.36</v>
      </c>
      <c r="E2171" t="s">
        <v>2344</v>
      </c>
      <c r="F2171" t="s">
        <v>2344</v>
      </c>
      <c r="G2171" t="s">
        <v>2344</v>
      </c>
      <c r="H2171">
        <v>0</v>
      </c>
      <c r="I2171" t="s">
        <v>2344</v>
      </c>
      <c r="J2171" t="str">
        <f t="shared" si="133"/>
        <v>Obesity</v>
      </c>
      <c r="K2171" t="str">
        <f t="shared" si="136"/>
        <v>Normal</v>
      </c>
      <c r="L2171">
        <v>17</v>
      </c>
      <c r="M2171" t="s">
        <v>2365</v>
      </c>
      <c r="N2171">
        <v>1988</v>
      </c>
      <c r="O2171" s="8">
        <f t="shared" si="134"/>
        <v>32494</v>
      </c>
      <c r="P2171" s="10">
        <v>37076.370000000003</v>
      </c>
      <c r="Q2171" t="s">
        <v>2357</v>
      </c>
      <c r="R2171" t="s">
        <v>2361</v>
      </c>
      <c r="S2171" t="s">
        <v>2368</v>
      </c>
      <c r="T2171">
        <f t="shared" ca="1" si="135"/>
        <v>38</v>
      </c>
      <c r="U2171">
        <f>VLOOKUP($A2171,'Medical Examination'!$A:$Z,2,FALSE)</f>
        <v>32.56</v>
      </c>
    </row>
    <row r="2172" spans="1:21" ht="15.5" x14ac:dyDescent="0.35">
      <c r="A2172" s="2" t="s">
        <v>2172</v>
      </c>
      <c r="B2172" s="2" t="s">
        <v>5272</v>
      </c>
      <c r="C2172">
        <v>27.98</v>
      </c>
      <c r="D2172">
        <v>4.38</v>
      </c>
      <c r="E2172" t="s">
        <v>2344</v>
      </c>
      <c r="F2172" t="s">
        <v>2345</v>
      </c>
      <c r="G2172" t="s">
        <v>2344</v>
      </c>
      <c r="H2172">
        <v>1</v>
      </c>
      <c r="I2172" t="s">
        <v>2344</v>
      </c>
      <c r="J2172" t="str">
        <f t="shared" si="133"/>
        <v>Over weight</v>
      </c>
      <c r="K2172" t="str">
        <f t="shared" si="136"/>
        <v>Normal</v>
      </c>
      <c r="L2172">
        <v>10</v>
      </c>
      <c r="M2172" t="s">
        <v>2362</v>
      </c>
      <c r="N2172">
        <v>1989</v>
      </c>
      <c r="O2172" s="8">
        <f t="shared" si="134"/>
        <v>32669</v>
      </c>
      <c r="P2172" s="10">
        <v>37079.370000000003</v>
      </c>
      <c r="Q2172" t="s">
        <v>2357</v>
      </c>
      <c r="R2172" t="s">
        <v>2358</v>
      </c>
      <c r="S2172" t="s">
        <v>2368</v>
      </c>
      <c r="T2172">
        <f t="shared" ca="1" si="135"/>
        <v>37</v>
      </c>
      <c r="U2172">
        <f>VLOOKUP($A2172,'Medical Examination'!$A:$Z,2,FALSE)</f>
        <v>27.98</v>
      </c>
    </row>
    <row r="2173" spans="1:21" ht="15.5" x14ac:dyDescent="0.35">
      <c r="A2173" s="2" t="s">
        <v>2173</v>
      </c>
      <c r="B2173" s="2" t="s">
        <v>4718</v>
      </c>
      <c r="C2173">
        <v>26.51</v>
      </c>
      <c r="D2173">
        <v>4.58</v>
      </c>
      <c r="E2173" t="s">
        <v>2344</v>
      </c>
      <c r="F2173" t="s">
        <v>2344</v>
      </c>
      <c r="G2173" t="s">
        <v>2344</v>
      </c>
      <c r="H2173">
        <v>0</v>
      </c>
      <c r="I2173" t="s">
        <v>2344</v>
      </c>
      <c r="J2173" t="str">
        <f t="shared" si="133"/>
        <v>Over weight</v>
      </c>
      <c r="K2173" t="str">
        <f t="shared" si="136"/>
        <v>Normal</v>
      </c>
      <c r="L2173">
        <v>30</v>
      </c>
      <c r="M2173" t="s">
        <v>2367</v>
      </c>
      <c r="N2173">
        <v>1995</v>
      </c>
      <c r="O2173" s="8">
        <f t="shared" si="134"/>
        <v>35002</v>
      </c>
      <c r="P2173" s="10">
        <v>37133.9</v>
      </c>
      <c r="Q2173" t="s">
        <v>2357</v>
      </c>
      <c r="R2173" t="s">
        <v>2357</v>
      </c>
      <c r="S2173" t="s">
        <v>2359</v>
      </c>
      <c r="T2173">
        <f t="shared" ca="1" si="135"/>
        <v>31</v>
      </c>
      <c r="U2173">
        <f>VLOOKUP($A2173,'Medical Examination'!$A:$Z,2,FALSE)</f>
        <v>26.51</v>
      </c>
    </row>
    <row r="2174" spans="1:21" ht="15.5" x14ac:dyDescent="0.35">
      <c r="A2174" s="2" t="s">
        <v>2174</v>
      </c>
      <c r="B2174" s="2" t="s">
        <v>5273</v>
      </c>
      <c r="C2174">
        <v>29.734999999999999</v>
      </c>
      <c r="D2174">
        <v>11.92</v>
      </c>
      <c r="E2174" t="s">
        <v>2344</v>
      </c>
      <c r="F2174" t="s">
        <v>2344</v>
      </c>
      <c r="G2174" t="s">
        <v>2344</v>
      </c>
      <c r="H2174">
        <v>0</v>
      </c>
      <c r="I2174" t="s">
        <v>2344</v>
      </c>
      <c r="J2174" t="str">
        <f t="shared" si="133"/>
        <v>Over weight</v>
      </c>
      <c r="K2174" t="str">
        <f t="shared" si="136"/>
        <v>Diabetes</v>
      </c>
      <c r="L2174">
        <v>5</v>
      </c>
      <c r="M2174" t="s">
        <v>2363</v>
      </c>
      <c r="N2174">
        <v>2000</v>
      </c>
      <c r="O2174" s="8">
        <f t="shared" si="134"/>
        <v>36774</v>
      </c>
      <c r="P2174" s="10">
        <v>37165.160000000003</v>
      </c>
      <c r="Q2174" t="s">
        <v>2361</v>
      </c>
      <c r="R2174" t="s">
        <v>2358</v>
      </c>
      <c r="S2174" t="s">
        <v>2347</v>
      </c>
      <c r="T2174">
        <f t="shared" ca="1" si="135"/>
        <v>26</v>
      </c>
      <c r="U2174">
        <f>VLOOKUP($A2174,'Medical Examination'!$A:$Z,2,FALSE)</f>
        <v>29.734999999999999</v>
      </c>
    </row>
    <row r="2175" spans="1:21" ht="15.5" x14ac:dyDescent="0.35">
      <c r="A2175" s="2" t="s">
        <v>2175</v>
      </c>
      <c r="B2175" s="2" t="s">
        <v>4067</v>
      </c>
      <c r="C2175">
        <v>40.5</v>
      </c>
      <c r="D2175">
        <v>5.4</v>
      </c>
      <c r="E2175" t="s">
        <v>2344</v>
      </c>
      <c r="F2175" t="s">
        <v>2344</v>
      </c>
      <c r="G2175" t="s">
        <v>2346</v>
      </c>
      <c r="H2175">
        <v>1</v>
      </c>
      <c r="I2175" t="s">
        <v>2344</v>
      </c>
      <c r="J2175" t="str">
        <f t="shared" si="133"/>
        <v>Obesity</v>
      </c>
      <c r="K2175" t="str">
        <f t="shared" si="136"/>
        <v>Normal</v>
      </c>
      <c r="L2175">
        <v>17</v>
      </c>
      <c r="M2175" t="s">
        <v>2367</v>
      </c>
      <c r="N2175">
        <v>1990</v>
      </c>
      <c r="O2175" s="8">
        <f t="shared" si="134"/>
        <v>33163</v>
      </c>
      <c r="P2175" s="10">
        <v>37251.22</v>
      </c>
      <c r="Q2175" t="s">
        <v>2357</v>
      </c>
      <c r="R2175" t="s">
        <v>2357</v>
      </c>
      <c r="S2175" t="s">
        <v>2368</v>
      </c>
      <c r="T2175">
        <f t="shared" ca="1" si="135"/>
        <v>36</v>
      </c>
      <c r="U2175">
        <f>VLOOKUP($A2175,'Medical Examination'!$A:$Z,2,FALSE)</f>
        <v>40.5</v>
      </c>
    </row>
    <row r="2176" spans="1:21" ht="15.5" x14ac:dyDescent="0.35">
      <c r="A2176" s="2" t="s">
        <v>2176</v>
      </c>
      <c r="B2176" s="2" t="s">
        <v>5274</v>
      </c>
      <c r="C2176">
        <v>25.64</v>
      </c>
      <c r="D2176">
        <v>4.76</v>
      </c>
      <c r="E2176" t="s">
        <v>2344</v>
      </c>
      <c r="F2176" t="s">
        <v>2344</v>
      </c>
      <c r="G2176" t="s">
        <v>2344</v>
      </c>
      <c r="H2176">
        <v>1</v>
      </c>
      <c r="I2176" t="s">
        <v>2344</v>
      </c>
      <c r="J2176" t="str">
        <f t="shared" si="133"/>
        <v>Over weight</v>
      </c>
      <c r="K2176" t="str">
        <f t="shared" si="136"/>
        <v>Normal</v>
      </c>
      <c r="L2176">
        <v>17</v>
      </c>
      <c r="M2176" t="s">
        <v>2360</v>
      </c>
      <c r="N2176">
        <v>1985</v>
      </c>
      <c r="O2176" s="8">
        <f t="shared" si="134"/>
        <v>31368</v>
      </c>
      <c r="P2176" s="10">
        <v>37270.15</v>
      </c>
      <c r="Q2176" t="s">
        <v>2357</v>
      </c>
      <c r="R2176" t="s">
        <v>2361</v>
      </c>
      <c r="S2176" t="s">
        <v>2374</v>
      </c>
      <c r="T2176">
        <f t="shared" ca="1" si="135"/>
        <v>41</v>
      </c>
      <c r="U2176">
        <f>VLOOKUP($A2176,'Medical Examination'!$A:$Z,2,FALSE)</f>
        <v>25.64</v>
      </c>
    </row>
    <row r="2177" spans="1:21" ht="15.5" x14ac:dyDescent="0.35">
      <c r="A2177" s="2" t="s">
        <v>2177</v>
      </c>
      <c r="B2177" s="2" t="s">
        <v>2835</v>
      </c>
      <c r="C2177">
        <v>32.9</v>
      </c>
      <c r="D2177">
        <v>4.78</v>
      </c>
      <c r="E2177" t="s">
        <v>2344</v>
      </c>
      <c r="F2177" t="s">
        <v>2344</v>
      </c>
      <c r="G2177" t="s">
        <v>2346</v>
      </c>
      <c r="H2177">
        <v>1</v>
      </c>
      <c r="I2177" t="s">
        <v>2344</v>
      </c>
      <c r="J2177" t="str">
        <f t="shared" si="133"/>
        <v>Obesity</v>
      </c>
      <c r="K2177" t="str">
        <f t="shared" si="136"/>
        <v>Normal</v>
      </c>
      <c r="L2177">
        <v>9</v>
      </c>
      <c r="M2177" t="s">
        <v>2360</v>
      </c>
      <c r="N2177">
        <v>1975</v>
      </c>
      <c r="O2177" s="8">
        <f t="shared" si="134"/>
        <v>27707</v>
      </c>
      <c r="P2177" s="10">
        <v>37272.339999999997</v>
      </c>
      <c r="Q2177" t="s">
        <v>2357</v>
      </c>
      <c r="R2177" t="s">
        <v>2358</v>
      </c>
      <c r="S2177" t="s">
        <v>2368</v>
      </c>
      <c r="T2177">
        <f t="shared" ca="1" si="135"/>
        <v>51</v>
      </c>
      <c r="U2177">
        <f>VLOOKUP($A2177,'Medical Examination'!$A:$Z,2,FALSE)</f>
        <v>32.9</v>
      </c>
    </row>
    <row r="2178" spans="1:21" ht="15.5" x14ac:dyDescent="0.35">
      <c r="A2178" s="2" t="s">
        <v>2178</v>
      </c>
      <c r="B2178" s="2" t="s">
        <v>2822</v>
      </c>
      <c r="C2178">
        <v>29.8</v>
      </c>
      <c r="D2178">
        <v>4.26</v>
      </c>
      <c r="E2178" t="s">
        <v>2344</v>
      </c>
      <c r="F2178" t="s">
        <v>2344</v>
      </c>
      <c r="G2178" t="s">
        <v>2346</v>
      </c>
      <c r="H2178">
        <v>1</v>
      </c>
      <c r="I2178" t="s">
        <v>2344</v>
      </c>
      <c r="J2178" t="str">
        <f t="shared" si="133"/>
        <v>Over weight</v>
      </c>
      <c r="K2178" t="str">
        <f t="shared" si="136"/>
        <v>Normal</v>
      </c>
      <c r="L2178">
        <v>30</v>
      </c>
      <c r="M2178" t="s">
        <v>2367</v>
      </c>
      <c r="N2178">
        <v>1969</v>
      </c>
      <c r="O2178" s="8">
        <f t="shared" si="134"/>
        <v>25506</v>
      </c>
      <c r="P2178" s="10">
        <v>37277.269999999997</v>
      </c>
      <c r="Q2178" t="s">
        <v>2361</v>
      </c>
      <c r="R2178" t="s">
        <v>2358</v>
      </c>
      <c r="S2178" t="s">
        <v>2368</v>
      </c>
      <c r="T2178">
        <f t="shared" ca="1" si="135"/>
        <v>57</v>
      </c>
      <c r="U2178">
        <f>VLOOKUP($A2178,'Medical Examination'!$A:$Z,2,FALSE)</f>
        <v>29.8</v>
      </c>
    </row>
    <row r="2179" spans="1:21" ht="15.5" x14ac:dyDescent="0.35">
      <c r="A2179" s="2" t="s">
        <v>2179</v>
      </c>
      <c r="B2179" s="2" t="s">
        <v>3482</v>
      </c>
      <c r="C2179">
        <v>28.9</v>
      </c>
      <c r="D2179">
        <v>5.85</v>
      </c>
      <c r="E2179" t="s">
        <v>2344</v>
      </c>
      <c r="F2179" t="s">
        <v>2344</v>
      </c>
      <c r="G2179" t="s">
        <v>2346</v>
      </c>
      <c r="H2179">
        <v>1</v>
      </c>
      <c r="I2179" t="s">
        <v>2344</v>
      </c>
      <c r="J2179" t="str">
        <f t="shared" ref="J2179:J2242" si="137">IF(C2179&lt;18.5,"Under Weight",IF(C2179&lt;25,"Normal Weight",IF(C2179&lt;30,"Over weight","Obesity")))</f>
        <v>Over weight</v>
      </c>
      <c r="K2179" t="str">
        <f t="shared" si="136"/>
        <v>Prediabetes</v>
      </c>
      <c r="L2179">
        <v>3</v>
      </c>
      <c r="M2179" t="s">
        <v>2366</v>
      </c>
      <c r="N2179">
        <v>1979</v>
      </c>
      <c r="O2179" s="8">
        <f t="shared" ref="O2179:O2242" si="138">DATE(N2179,MONTH(1&amp;M2179),L2179)</f>
        <v>29070</v>
      </c>
      <c r="P2179" s="10">
        <v>37425.94</v>
      </c>
      <c r="Q2179" t="s">
        <v>2357</v>
      </c>
      <c r="R2179" t="s">
        <v>2361</v>
      </c>
      <c r="S2179" t="s">
        <v>2368</v>
      </c>
      <c r="T2179">
        <f t="shared" ref="T2179:T2242" ca="1" si="139">YEAR(TODAY())-YEAR(O2179)</f>
        <v>47</v>
      </c>
      <c r="U2179">
        <f>VLOOKUP($A2179,'Medical Examination'!$A:$Z,2,FALSE)</f>
        <v>28.9</v>
      </c>
    </row>
    <row r="2180" spans="1:21" ht="15.5" x14ac:dyDescent="0.35">
      <c r="A2180" s="2" t="s">
        <v>2180</v>
      </c>
      <c r="B2180" s="2" t="s">
        <v>5277</v>
      </c>
      <c r="C2180">
        <v>24.7</v>
      </c>
      <c r="D2180">
        <v>5.32</v>
      </c>
      <c r="E2180" t="s">
        <v>2344</v>
      </c>
      <c r="F2180" t="s">
        <v>2344</v>
      </c>
      <c r="G2180" t="s">
        <v>2346</v>
      </c>
      <c r="H2180">
        <v>1</v>
      </c>
      <c r="I2180" t="s">
        <v>2344</v>
      </c>
      <c r="J2180" t="str">
        <f t="shared" si="137"/>
        <v>Normal Weight</v>
      </c>
      <c r="K2180" t="str">
        <f t="shared" si="136"/>
        <v>Normal</v>
      </c>
      <c r="L2180">
        <v>27</v>
      </c>
      <c r="M2180" t="s">
        <v>2363</v>
      </c>
      <c r="N2180">
        <v>2002</v>
      </c>
      <c r="O2180" s="8">
        <f t="shared" si="138"/>
        <v>37526</v>
      </c>
      <c r="P2180" s="10">
        <v>37465.339999999997</v>
      </c>
      <c r="Q2180" t="s">
        <v>2361</v>
      </c>
      <c r="R2180" t="s">
        <v>2357</v>
      </c>
      <c r="S2180" t="s">
        <v>2364</v>
      </c>
      <c r="T2180">
        <f t="shared" ca="1" si="139"/>
        <v>24</v>
      </c>
      <c r="U2180">
        <f>VLOOKUP($A2180,'Medical Examination'!$A:$Z,2,FALSE)</f>
        <v>24.7</v>
      </c>
    </row>
    <row r="2181" spans="1:21" ht="15.5" x14ac:dyDescent="0.35">
      <c r="A2181" s="2" t="s">
        <v>2181</v>
      </c>
      <c r="B2181" s="2" t="s">
        <v>4111</v>
      </c>
      <c r="C2181">
        <v>20.6</v>
      </c>
      <c r="D2181">
        <v>5.14</v>
      </c>
      <c r="E2181" t="s">
        <v>2344</v>
      </c>
      <c r="F2181" t="s">
        <v>2344</v>
      </c>
      <c r="G2181" t="s">
        <v>2346</v>
      </c>
      <c r="H2181">
        <v>1</v>
      </c>
      <c r="I2181" t="s">
        <v>2344</v>
      </c>
      <c r="J2181" t="str">
        <f t="shared" si="137"/>
        <v>Normal Weight</v>
      </c>
      <c r="K2181" t="str">
        <f t="shared" si="136"/>
        <v>Normal</v>
      </c>
      <c r="L2181">
        <v>12</v>
      </c>
      <c r="M2181" t="s">
        <v>2367</v>
      </c>
      <c r="N2181">
        <v>2000</v>
      </c>
      <c r="O2181" s="8">
        <f t="shared" si="138"/>
        <v>36811</v>
      </c>
      <c r="P2181" s="10">
        <v>37484.449999999997</v>
      </c>
      <c r="Q2181" t="s">
        <v>2361</v>
      </c>
      <c r="R2181" t="s">
        <v>2361</v>
      </c>
      <c r="S2181" t="s">
        <v>2359</v>
      </c>
      <c r="T2181">
        <f t="shared" ca="1" si="139"/>
        <v>26</v>
      </c>
      <c r="U2181">
        <f>VLOOKUP($A2181,'Medical Examination'!$A:$Z,2,FALSE)</f>
        <v>20.6</v>
      </c>
    </row>
    <row r="2182" spans="1:21" ht="15.5" x14ac:dyDescent="0.35">
      <c r="A2182" s="2" t="s">
        <v>2182</v>
      </c>
      <c r="B2182" s="2" t="s">
        <v>5278</v>
      </c>
      <c r="C2182">
        <v>18.600000000000001</v>
      </c>
      <c r="D2182" t="s">
        <v>2346</v>
      </c>
      <c r="E2182" t="s">
        <v>2344</v>
      </c>
      <c r="F2182" t="s">
        <v>2344</v>
      </c>
      <c r="G2182" t="s">
        <v>2346</v>
      </c>
      <c r="H2182">
        <v>1</v>
      </c>
      <c r="I2182" t="s">
        <v>2344</v>
      </c>
      <c r="J2182" t="str">
        <f t="shared" si="137"/>
        <v>Normal Weight</v>
      </c>
      <c r="K2182" t="str">
        <f t="shared" si="136"/>
        <v>Diabetes</v>
      </c>
      <c r="L2182">
        <v>16</v>
      </c>
      <c r="M2182" t="s">
        <v>2360</v>
      </c>
      <c r="N2182">
        <v>1990</v>
      </c>
      <c r="O2182" s="8">
        <f t="shared" si="138"/>
        <v>33193</v>
      </c>
      <c r="P2182" s="10">
        <v>37607.53</v>
      </c>
      <c r="Q2182" t="s">
        <v>2361</v>
      </c>
      <c r="R2182" t="s">
        <v>2357</v>
      </c>
      <c r="S2182" t="s">
        <v>2370</v>
      </c>
      <c r="T2182">
        <f t="shared" ca="1" si="139"/>
        <v>36</v>
      </c>
      <c r="U2182">
        <f>VLOOKUP($A2182,'Medical Examination'!$A:$Z,2,FALSE)</f>
        <v>18.600000000000001</v>
      </c>
    </row>
    <row r="2183" spans="1:21" ht="15.5" x14ac:dyDescent="0.35">
      <c r="A2183" s="2" t="s">
        <v>2183</v>
      </c>
      <c r="B2183" s="2" t="s">
        <v>5280</v>
      </c>
      <c r="C2183">
        <v>17.8</v>
      </c>
      <c r="D2183">
        <v>4.55</v>
      </c>
      <c r="E2183" t="s">
        <v>2344</v>
      </c>
      <c r="F2183" t="s">
        <v>2344</v>
      </c>
      <c r="G2183" t="s">
        <v>2346</v>
      </c>
      <c r="H2183">
        <v>1</v>
      </c>
      <c r="I2183" t="s">
        <v>2344</v>
      </c>
      <c r="J2183" t="str">
        <f t="shared" si="137"/>
        <v>Under Weight</v>
      </c>
      <c r="K2183" t="str">
        <f t="shared" si="136"/>
        <v>Normal</v>
      </c>
      <c r="L2183">
        <v>20</v>
      </c>
      <c r="M2183" t="s">
        <v>2362</v>
      </c>
      <c r="N2183">
        <v>1982</v>
      </c>
      <c r="O2183" s="8">
        <f t="shared" si="138"/>
        <v>30122</v>
      </c>
      <c r="P2183" s="10">
        <v>37650.74</v>
      </c>
      <c r="Q2183" t="s">
        <v>2357</v>
      </c>
      <c r="R2183" t="s">
        <v>2357</v>
      </c>
      <c r="S2183" t="s">
        <v>2364</v>
      </c>
      <c r="T2183">
        <f t="shared" ca="1" si="139"/>
        <v>44</v>
      </c>
      <c r="U2183">
        <f>VLOOKUP($A2183,'Medical Examination'!$A:$Z,2,FALSE)</f>
        <v>17.8</v>
      </c>
    </row>
    <row r="2184" spans="1:21" ht="15.5" x14ac:dyDescent="0.35">
      <c r="A2184" s="2" t="s">
        <v>2184</v>
      </c>
      <c r="B2184" s="2" t="s">
        <v>3086</v>
      </c>
      <c r="C2184">
        <v>35.200000000000003</v>
      </c>
      <c r="D2184">
        <v>5.97</v>
      </c>
      <c r="E2184" t="s">
        <v>2344</v>
      </c>
      <c r="F2184" t="s">
        <v>2345</v>
      </c>
      <c r="G2184" t="s">
        <v>2344</v>
      </c>
      <c r="H2184">
        <v>1</v>
      </c>
      <c r="I2184" t="s">
        <v>2344</v>
      </c>
      <c r="J2184" t="str">
        <f t="shared" si="137"/>
        <v>Obesity</v>
      </c>
      <c r="K2184" t="str">
        <f t="shared" si="136"/>
        <v>Prediabetes</v>
      </c>
      <c r="L2184">
        <v>28</v>
      </c>
      <c r="M2184" t="s">
        <v>2367</v>
      </c>
      <c r="N2184">
        <v>1970</v>
      </c>
      <c r="O2184" s="8">
        <f t="shared" si="138"/>
        <v>25869</v>
      </c>
      <c r="P2184" s="10">
        <v>37675.06</v>
      </c>
      <c r="Q2184" t="s">
        <v>2357</v>
      </c>
      <c r="R2184" t="s">
        <v>2358</v>
      </c>
      <c r="S2184" t="s">
        <v>2368</v>
      </c>
      <c r="T2184">
        <f t="shared" ca="1" si="139"/>
        <v>56</v>
      </c>
      <c r="U2184">
        <f>VLOOKUP($A2184,'Medical Examination'!$A:$Z,2,FALSE)</f>
        <v>35.200000000000003</v>
      </c>
    </row>
    <row r="2185" spans="1:21" ht="15.5" x14ac:dyDescent="0.35">
      <c r="A2185" s="2" t="s">
        <v>2185</v>
      </c>
      <c r="B2185" s="2" t="s">
        <v>5281</v>
      </c>
      <c r="C2185">
        <v>33.770000000000003</v>
      </c>
      <c r="D2185">
        <v>4.0199999999999996</v>
      </c>
      <c r="E2185" t="s">
        <v>2344</v>
      </c>
      <c r="F2185" t="s">
        <v>2345</v>
      </c>
      <c r="G2185" t="s">
        <v>2344</v>
      </c>
      <c r="H2185">
        <v>1</v>
      </c>
      <c r="I2185" t="s">
        <v>2344</v>
      </c>
      <c r="J2185" t="str">
        <f t="shared" si="137"/>
        <v>Obesity</v>
      </c>
      <c r="K2185" t="str">
        <f t="shared" si="136"/>
        <v>Normal</v>
      </c>
      <c r="L2185">
        <v>10</v>
      </c>
      <c r="M2185" t="s">
        <v>2367</v>
      </c>
      <c r="N2185">
        <v>1988</v>
      </c>
      <c r="O2185" s="8">
        <f t="shared" si="138"/>
        <v>32426</v>
      </c>
      <c r="P2185" s="10">
        <v>37701.879999999997</v>
      </c>
      <c r="Q2185" t="s">
        <v>2357</v>
      </c>
      <c r="R2185" t="s">
        <v>2358</v>
      </c>
      <c r="S2185" t="s">
        <v>2375</v>
      </c>
      <c r="T2185">
        <f t="shared" ca="1" si="139"/>
        <v>38</v>
      </c>
      <c r="U2185">
        <f>VLOOKUP($A2185,'Medical Examination'!$A:$Z,2,FALSE)</f>
        <v>33.770000000000003</v>
      </c>
    </row>
    <row r="2186" spans="1:21" ht="15.5" x14ac:dyDescent="0.35">
      <c r="A2186" s="2" t="s">
        <v>2186</v>
      </c>
      <c r="B2186" s="2" t="s">
        <v>5283</v>
      </c>
      <c r="C2186">
        <v>30.03</v>
      </c>
      <c r="D2186">
        <v>4.04</v>
      </c>
      <c r="E2186" t="s">
        <v>2344</v>
      </c>
      <c r="F2186" t="s">
        <v>2345</v>
      </c>
      <c r="G2186" t="s">
        <v>2344</v>
      </c>
      <c r="H2186">
        <v>1</v>
      </c>
      <c r="I2186" t="s">
        <v>2344</v>
      </c>
      <c r="J2186" t="str">
        <f t="shared" si="137"/>
        <v>Obesity</v>
      </c>
      <c r="K2186" t="str">
        <f t="shared" si="136"/>
        <v>Normal</v>
      </c>
      <c r="L2186">
        <v>18</v>
      </c>
      <c r="M2186" t="s">
        <v>2363</v>
      </c>
      <c r="N2186">
        <v>1976</v>
      </c>
      <c r="O2186" s="8">
        <f t="shared" si="138"/>
        <v>28021</v>
      </c>
      <c r="P2186" s="10">
        <v>37735.199999999997</v>
      </c>
      <c r="Q2186" t="s">
        <v>2357</v>
      </c>
      <c r="R2186" t="s">
        <v>2357</v>
      </c>
      <c r="S2186" t="s">
        <v>2368</v>
      </c>
      <c r="T2186">
        <f t="shared" ca="1" si="139"/>
        <v>50</v>
      </c>
      <c r="U2186">
        <f>VLOOKUP($A2186,'Medical Examination'!$A:$Z,2,FALSE)</f>
        <v>30.03</v>
      </c>
    </row>
    <row r="2187" spans="1:21" ht="15.5" x14ac:dyDescent="0.35">
      <c r="A2187" s="2" t="s">
        <v>2187</v>
      </c>
      <c r="B2187" s="2" t="s">
        <v>3323</v>
      </c>
      <c r="C2187">
        <v>29.37</v>
      </c>
      <c r="D2187">
        <v>5.54</v>
      </c>
      <c r="E2187" t="s">
        <v>2344</v>
      </c>
      <c r="F2187" t="s">
        <v>2345</v>
      </c>
      <c r="G2187" t="s">
        <v>2344</v>
      </c>
      <c r="H2187">
        <v>1</v>
      </c>
      <c r="I2187" t="s">
        <v>2344</v>
      </c>
      <c r="J2187" t="str">
        <f t="shared" si="137"/>
        <v>Over weight</v>
      </c>
      <c r="K2187" t="str">
        <f t="shared" si="136"/>
        <v>Normal</v>
      </c>
      <c r="L2187">
        <v>15</v>
      </c>
      <c r="M2187" t="s">
        <v>2366</v>
      </c>
      <c r="N2187">
        <v>1986</v>
      </c>
      <c r="O2187" s="8">
        <f t="shared" si="138"/>
        <v>31639</v>
      </c>
      <c r="P2187" s="10">
        <v>37742.58</v>
      </c>
      <c r="Q2187" t="s">
        <v>2361</v>
      </c>
      <c r="R2187" t="s">
        <v>2361</v>
      </c>
      <c r="S2187" t="s">
        <v>2359</v>
      </c>
      <c r="T2187">
        <f t="shared" ca="1" si="139"/>
        <v>40</v>
      </c>
      <c r="U2187">
        <f>VLOOKUP($A2187,'Medical Examination'!$A:$Z,2,FALSE)</f>
        <v>29.37</v>
      </c>
    </row>
    <row r="2188" spans="1:21" ht="15.5" x14ac:dyDescent="0.35">
      <c r="A2188" s="2" t="s">
        <v>2188</v>
      </c>
      <c r="B2188" s="2" t="s">
        <v>5284</v>
      </c>
      <c r="C2188">
        <v>28.5</v>
      </c>
      <c r="D2188">
        <v>4.03</v>
      </c>
      <c r="E2188" t="s">
        <v>2344</v>
      </c>
      <c r="F2188" t="s">
        <v>2345</v>
      </c>
      <c r="G2188" t="s">
        <v>2344</v>
      </c>
      <c r="H2188">
        <v>1</v>
      </c>
      <c r="I2188" t="s">
        <v>2344</v>
      </c>
      <c r="J2188" t="str">
        <f t="shared" si="137"/>
        <v>Over weight</v>
      </c>
      <c r="K2188" t="str">
        <f t="shared" ref="K2188:K2251" si="140">IF(D2188&lt;5.7,"Normal",IF(D2188&lt;6.5,"Prediabetes","Diabetes"))</f>
        <v>Normal</v>
      </c>
      <c r="L2188">
        <v>26</v>
      </c>
      <c r="M2188" t="s">
        <v>2356</v>
      </c>
      <c r="N2188">
        <v>1983</v>
      </c>
      <c r="O2188" s="8">
        <f t="shared" si="138"/>
        <v>30523</v>
      </c>
      <c r="P2188" s="10">
        <v>37800.980000000003</v>
      </c>
      <c r="Q2188" t="s">
        <v>2357</v>
      </c>
      <c r="R2188" t="s">
        <v>2357</v>
      </c>
      <c r="S2188" t="s">
        <v>2368</v>
      </c>
      <c r="T2188">
        <f t="shared" ca="1" si="139"/>
        <v>43</v>
      </c>
      <c r="U2188">
        <f>VLOOKUP($A2188,'Medical Examination'!$A:$Z,2,FALSE)</f>
        <v>28.5</v>
      </c>
    </row>
    <row r="2189" spans="1:21" ht="15.5" x14ac:dyDescent="0.35">
      <c r="A2189" s="2" t="s">
        <v>2189</v>
      </c>
      <c r="B2189" s="2" t="s">
        <v>5285</v>
      </c>
      <c r="C2189">
        <v>23.32</v>
      </c>
      <c r="D2189">
        <v>5.62</v>
      </c>
      <c r="E2189" t="s">
        <v>2344</v>
      </c>
      <c r="F2189" t="s">
        <v>2345</v>
      </c>
      <c r="G2189" t="s">
        <v>2344</v>
      </c>
      <c r="H2189">
        <v>1</v>
      </c>
      <c r="I2189" t="s">
        <v>2344</v>
      </c>
      <c r="J2189" t="str">
        <f t="shared" si="137"/>
        <v>Normal Weight</v>
      </c>
      <c r="K2189" t="str">
        <f t="shared" si="140"/>
        <v>Normal</v>
      </c>
      <c r="L2189">
        <v>9</v>
      </c>
      <c r="M2189" t="s">
        <v>2363</v>
      </c>
      <c r="N2189">
        <v>1979</v>
      </c>
      <c r="O2189" s="8">
        <f t="shared" si="138"/>
        <v>29107</v>
      </c>
      <c r="P2189" s="10">
        <v>37829.72</v>
      </c>
      <c r="Q2189" t="s">
        <v>2361</v>
      </c>
      <c r="R2189" t="s">
        <v>2357</v>
      </c>
      <c r="S2189" t="s">
        <v>2368</v>
      </c>
      <c r="T2189">
        <f t="shared" ca="1" si="139"/>
        <v>47</v>
      </c>
      <c r="U2189">
        <f>VLOOKUP($A2189,'Medical Examination'!$A:$Z,2,FALSE)</f>
        <v>23.32</v>
      </c>
    </row>
    <row r="2190" spans="1:21" ht="15.5" x14ac:dyDescent="0.35">
      <c r="A2190" s="2" t="s">
        <v>2190</v>
      </c>
      <c r="B2190" s="2" t="s">
        <v>4334</v>
      </c>
      <c r="C2190">
        <v>26.125</v>
      </c>
      <c r="D2190">
        <v>5.27</v>
      </c>
      <c r="E2190" t="s">
        <v>2344</v>
      </c>
      <c r="F2190" t="s">
        <v>2345</v>
      </c>
      <c r="G2190" t="s">
        <v>2344</v>
      </c>
      <c r="H2190">
        <v>1</v>
      </c>
      <c r="I2190" t="s">
        <v>2344</v>
      </c>
      <c r="J2190" t="str">
        <f t="shared" si="137"/>
        <v>Over weight</v>
      </c>
      <c r="K2190" t="str">
        <f t="shared" si="140"/>
        <v>Normal</v>
      </c>
      <c r="L2190">
        <v>29</v>
      </c>
      <c r="M2190" t="s">
        <v>2356</v>
      </c>
      <c r="N2190">
        <v>1998</v>
      </c>
      <c r="O2190" s="8">
        <f t="shared" si="138"/>
        <v>36005</v>
      </c>
      <c r="P2190" s="10">
        <v>38126.25</v>
      </c>
      <c r="Q2190" t="s">
        <v>2361</v>
      </c>
      <c r="R2190" t="s">
        <v>2358</v>
      </c>
      <c r="S2190" t="s">
        <v>2359</v>
      </c>
      <c r="T2190">
        <f t="shared" ca="1" si="139"/>
        <v>28</v>
      </c>
      <c r="U2190">
        <f>VLOOKUP($A2190,'Medical Examination'!$A:$Z,2,FALSE)</f>
        <v>26.125</v>
      </c>
    </row>
    <row r="2191" spans="1:21" ht="15.5" x14ac:dyDescent="0.35">
      <c r="A2191" s="2" t="s">
        <v>2191</v>
      </c>
      <c r="B2191" s="2" t="s">
        <v>5286</v>
      </c>
      <c r="C2191">
        <v>25.46</v>
      </c>
      <c r="D2191">
        <v>5.18</v>
      </c>
      <c r="E2191" t="s">
        <v>2344</v>
      </c>
      <c r="F2191" t="s">
        <v>2345</v>
      </c>
      <c r="G2191" t="s">
        <v>2344</v>
      </c>
      <c r="H2191">
        <v>1</v>
      </c>
      <c r="I2191" t="s">
        <v>2344</v>
      </c>
      <c r="J2191" t="str">
        <f t="shared" si="137"/>
        <v>Over weight</v>
      </c>
      <c r="K2191" t="str">
        <f t="shared" si="140"/>
        <v>Normal</v>
      </c>
      <c r="L2191">
        <v>19</v>
      </c>
      <c r="M2191" t="s">
        <v>2360</v>
      </c>
      <c r="N2191">
        <v>1972</v>
      </c>
      <c r="O2191" s="8">
        <f t="shared" si="138"/>
        <v>26622</v>
      </c>
      <c r="P2191" s="10">
        <v>38189.1</v>
      </c>
      <c r="Q2191" t="s">
        <v>2357</v>
      </c>
      <c r="R2191" t="s">
        <v>2357</v>
      </c>
      <c r="S2191" t="s">
        <v>2368</v>
      </c>
      <c r="T2191">
        <f t="shared" ca="1" si="139"/>
        <v>54</v>
      </c>
      <c r="U2191">
        <f>VLOOKUP($A2191,'Medical Examination'!$A:$Z,2,FALSE)</f>
        <v>25.46</v>
      </c>
    </row>
    <row r="2192" spans="1:21" ht="15.5" x14ac:dyDescent="0.35">
      <c r="A2192" s="2" t="s">
        <v>2192</v>
      </c>
      <c r="B2192" s="2" t="s">
        <v>2819</v>
      </c>
      <c r="C2192">
        <v>23.75</v>
      </c>
      <c r="D2192">
        <v>5.27</v>
      </c>
      <c r="E2192" t="s">
        <v>2344</v>
      </c>
      <c r="F2192" t="s">
        <v>2345</v>
      </c>
      <c r="G2192" t="s">
        <v>2344</v>
      </c>
      <c r="H2192">
        <v>1</v>
      </c>
      <c r="I2192" t="s">
        <v>2344</v>
      </c>
      <c r="J2192" t="str">
        <f t="shared" si="137"/>
        <v>Normal Weight</v>
      </c>
      <c r="K2192" t="str">
        <f t="shared" si="140"/>
        <v>Normal</v>
      </c>
      <c r="L2192">
        <v>8</v>
      </c>
      <c r="M2192" t="s">
        <v>2363</v>
      </c>
      <c r="N2192">
        <v>1989</v>
      </c>
      <c r="O2192" s="8">
        <f t="shared" si="138"/>
        <v>32759</v>
      </c>
      <c r="P2192" s="10">
        <v>38237.339999999997</v>
      </c>
      <c r="Q2192" t="s">
        <v>2357</v>
      </c>
      <c r="R2192" t="s">
        <v>2358</v>
      </c>
      <c r="S2192" t="s">
        <v>2368</v>
      </c>
      <c r="T2192">
        <f t="shared" ca="1" si="139"/>
        <v>37</v>
      </c>
      <c r="U2192">
        <f>VLOOKUP($A2192,'Medical Examination'!$A:$Z,2,FALSE)</f>
        <v>23.75</v>
      </c>
    </row>
    <row r="2193" spans="1:21" ht="15.5" x14ac:dyDescent="0.35">
      <c r="A2193" s="2" t="s">
        <v>2193</v>
      </c>
      <c r="B2193" s="2" t="s">
        <v>5288</v>
      </c>
      <c r="C2193">
        <v>23.085000000000001</v>
      </c>
      <c r="D2193">
        <v>5.62</v>
      </c>
      <c r="E2193" t="s">
        <v>2344</v>
      </c>
      <c r="F2193" t="s">
        <v>2345</v>
      </c>
      <c r="G2193" t="s">
        <v>2344</v>
      </c>
      <c r="H2193">
        <v>1</v>
      </c>
      <c r="I2193" t="s">
        <v>2344</v>
      </c>
      <c r="J2193" t="str">
        <f t="shared" si="137"/>
        <v>Normal Weight</v>
      </c>
      <c r="K2193" t="str">
        <f t="shared" si="140"/>
        <v>Normal</v>
      </c>
      <c r="L2193">
        <v>16</v>
      </c>
      <c r="M2193" t="s">
        <v>2362</v>
      </c>
      <c r="N2193">
        <v>1964</v>
      </c>
      <c r="O2193" s="8">
        <f t="shared" si="138"/>
        <v>23544</v>
      </c>
      <c r="P2193" s="10">
        <v>38241.74</v>
      </c>
      <c r="Q2193" t="s">
        <v>2357</v>
      </c>
      <c r="R2193" t="s">
        <v>2358</v>
      </c>
      <c r="S2193" t="s">
        <v>2368</v>
      </c>
      <c r="T2193">
        <f t="shared" ca="1" si="139"/>
        <v>62</v>
      </c>
      <c r="U2193">
        <f>VLOOKUP($A2193,'Medical Examination'!$A:$Z,2,FALSE)</f>
        <v>23.085000000000001</v>
      </c>
    </row>
    <row r="2194" spans="1:21" ht="15.5" x14ac:dyDescent="0.35">
      <c r="A2194" s="2" t="s">
        <v>2194</v>
      </c>
      <c r="B2194" s="2" t="s">
        <v>4801</v>
      </c>
      <c r="C2194">
        <v>22.99</v>
      </c>
      <c r="D2194">
        <v>5.0599999999999996</v>
      </c>
      <c r="E2194" t="s">
        <v>2344</v>
      </c>
      <c r="F2194" t="s">
        <v>2345</v>
      </c>
      <c r="G2194" t="s">
        <v>2344</v>
      </c>
      <c r="H2194">
        <v>1</v>
      </c>
      <c r="I2194" t="s">
        <v>2344</v>
      </c>
      <c r="J2194" t="str">
        <f t="shared" si="137"/>
        <v>Normal Weight</v>
      </c>
      <c r="K2194" t="str">
        <f t="shared" si="140"/>
        <v>Normal</v>
      </c>
      <c r="L2194">
        <v>16</v>
      </c>
      <c r="M2194" t="s">
        <v>2366</v>
      </c>
      <c r="N2194">
        <v>1980</v>
      </c>
      <c r="O2194" s="8">
        <f t="shared" si="138"/>
        <v>29449</v>
      </c>
      <c r="P2194" s="10">
        <v>38245.589999999997</v>
      </c>
      <c r="Q2194" t="s">
        <v>2361</v>
      </c>
      <c r="R2194" t="s">
        <v>2357</v>
      </c>
      <c r="S2194" t="s">
        <v>2359</v>
      </c>
      <c r="T2194">
        <f t="shared" ca="1" si="139"/>
        <v>46</v>
      </c>
      <c r="U2194">
        <f>VLOOKUP($A2194,'Medical Examination'!$A:$Z,2,FALSE)</f>
        <v>22.99</v>
      </c>
    </row>
    <row r="2195" spans="1:21" ht="15.5" x14ac:dyDescent="0.35">
      <c r="A2195" s="2" t="s">
        <v>2195</v>
      </c>
      <c r="B2195" s="2" t="s">
        <v>3415</v>
      </c>
      <c r="C2195">
        <v>21.47</v>
      </c>
      <c r="D2195">
        <v>4.6900000000000004</v>
      </c>
      <c r="E2195" t="s">
        <v>2344</v>
      </c>
      <c r="F2195" t="s">
        <v>2345</v>
      </c>
      <c r="G2195" t="s">
        <v>2344</v>
      </c>
      <c r="H2195">
        <v>1</v>
      </c>
      <c r="I2195" t="s">
        <v>2344</v>
      </c>
      <c r="J2195" t="str">
        <f t="shared" si="137"/>
        <v>Normal Weight</v>
      </c>
      <c r="K2195" t="str">
        <f t="shared" si="140"/>
        <v>Normal</v>
      </c>
      <c r="L2195">
        <v>30</v>
      </c>
      <c r="M2195" t="s">
        <v>2367</v>
      </c>
      <c r="N2195">
        <v>1989</v>
      </c>
      <c r="O2195" s="8">
        <f t="shared" si="138"/>
        <v>32811</v>
      </c>
      <c r="P2195" s="10">
        <v>38282.75</v>
      </c>
      <c r="Q2195" t="s">
        <v>2361</v>
      </c>
      <c r="R2195" t="s">
        <v>2357</v>
      </c>
      <c r="S2195" t="s">
        <v>2359</v>
      </c>
      <c r="T2195">
        <f t="shared" ca="1" si="139"/>
        <v>37</v>
      </c>
      <c r="U2195">
        <f>VLOOKUP($A2195,'Medical Examination'!$A:$Z,2,FALSE)</f>
        <v>21.47</v>
      </c>
    </row>
    <row r="2196" spans="1:21" ht="15.5" x14ac:dyDescent="0.35">
      <c r="A2196" s="2" t="s">
        <v>2196</v>
      </c>
      <c r="B2196" s="2" t="s">
        <v>5290</v>
      </c>
      <c r="C2196">
        <v>15.96</v>
      </c>
      <c r="D2196">
        <v>5.44</v>
      </c>
      <c r="E2196" t="s">
        <v>2344</v>
      </c>
      <c r="F2196" t="s">
        <v>2345</v>
      </c>
      <c r="G2196" t="s">
        <v>2344</v>
      </c>
      <c r="H2196">
        <v>1</v>
      </c>
      <c r="I2196" t="s">
        <v>2344</v>
      </c>
      <c r="J2196" t="str">
        <f t="shared" si="137"/>
        <v>Under Weight</v>
      </c>
      <c r="K2196" t="str">
        <f t="shared" si="140"/>
        <v>Normal</v>
      </c>
      <c r="L2196">
        <v>12</v>
      </c>
      <c r="M2196" t="s">
        <v>2362</v>
      </c>
      <c r="N2196">
        <v>1980</v>
      </c>
      <c r="O2196" s="8">
        <f t="shared" si="138"/>
        <v>29384</v>
      </c>
      <c r="P2196" s="10">
        <v>38313.129999999997</v>
      </c>
      <c r="Q2196" t="s">
        <v>2361</v>
      </c>
      <c r="R2196" t="s">
        <v>2358</v>
      </c>
      <c r="S2196" t="s">
        <v>2368</v>
      </c>
      <c r="T2196">
        <f t="shared" ca="1" si="139"/>
        <v>46</v>
      </c>
      <c r="U2196">
        <f>VLOOKUP($A2196,'Medical Examination'!$A:$Z,2,FALSE)</f>
        <v>15.96</v>
      </c>
    </row>
    <row r="2197" spans="1:21" ht="15.5" x14ac:dyDescent="0.35">
      <c r="A2197" s="2" t="s">
        <v>2197</v>
      </c>
      <c r="B2197" s="2" t="s">
        <v>3274</v>
      </c>
      <c r="C2197">
        <v>39.5</v>
      </c>
      <c r="D2197">
        <v>5.05</v>
      </c>
      <c r="E2197" t="s">
        <v>2344</v>
      </c>
      <c r="F2197" t="s">
        <v>2345</v>
      </c>
      <c r="G2197" t="s">
        <v>2344</v>
      </c>
      <c r="H2197">
        <v>1</v>
      </c>
      <c r="I2197" t="s">
        <v>2344</v>
      </c>
      <c r="J2197" t="str">
        <f t="shared" si="137"/>
        <v>Obesity</v>
      </c>
      <c r="K2197" t="str">
        <f t="shared" si="140"/>
        <v>Normal</v>
      </c>
      <c r="L2197">
        <v>17</v>
      </c>
      <c r="M2197" t="s">
        <v>2363</v>
      </c>
      <c r="N2197">
        <v>2002</v>
      </c>
      <c r="O2197" s="8">
        <f t="shared" si="138"/>
        <v>37516</v>
      </c>
      <c r="P2197" s="10">
        <v>38344.57</v>
      </c>
      <c r="Q2197" t="s">
        <v>2361</v>
      </c>
      <c r="R2197" t="s">
        <v>2358</v>
      </c>
      <c r="S2197" t="s">
        <v>2368</v>
      </c>
      <c r="T2197">
        <f t="shared" ca="1" si="139"/>
        <v>24</v>
      </c>
      <c r="U2197">
        <f>VLOOKUP($A2197,'Medical Examination'!$A:$Z,2,FALSE)</f>
        <v>39.5</v>
      </c>
    </row>
    <row r="2198" spans="1:21" ht="15.5" x14ac:dyDescent="0.35">
      <c r="A2198" s="2" t="s">
        <v>2198</v>
      </c>
      <c r="B2198" s="2" t="s">
        <v>5291</v>
      </c>
      <c r="C2198">
        <v>33.770000000000003</v>
      </c>
      <c r="D2198" t="s">
        <v>2346</v>
      </c>
      <c r="E2198" t="s">
        <v>2344</v>
      </c>
      <c r="F2198" t="s">
        <v>2345</v>
      </c>
      <c r="G2198" t="s">
        <v>2344</v>
      </c>
      <c r="H2198">
        <v>1</v>
      </c>
      <c r="I2198" t="s">
        <v>2344</v>
      </c>
      <c r="J2198" t="str">
        <f t="shared" si="137"/>
        <v>Obesity</v>
      </c>
      <c r="K2198" t="str">
        <f t="shared" si="140"/>
        <v>Diabetes</v>
      </c>
      <c r="L2198">
        <v>22</v>
      </c>
      <c r="M2198" t="s">
        <v>2366</v>
      </c>
      <c r="N2198">
        <v>1970</v>
      </c>
      <c r="O2198" s="8">
        <f t="shared" si="138"/>
        <v>25802</v>
      </c>
      <c r="P2198" s="10">
        <v>38389.79</v>
      </c>
      <c r="Q2198" t="s">
        <v>2357</v>
      </c>
      <c r="R2198" t="s">
        <v>2358</v>
      </c>
      <c r="S2198" t="s">
        <v>2368</v>
      </c>
      <c r="T2198">
        <f t="shared" ca="1" si="139"/>
        <v>56</v>
      </c>
      <c r="U2198">
        <f>VLOOKUP($A2198,'Medical Examination'!$A:$Z,2,FALSE)</f>
        <v>33.770000000000003</v>
      </c>
    </row>
    <row r="2199" spans="1:21" ht="15.5" x14ac:dyDescent="0.35">
      <c r="A2199" s="2" t="s">
        <v>2199</v>
      </c>
      <c r="B2199" s="2" t="s">
        <v>5292</v>
      </c>
      <c r="C2199">
        <v>26.84</v>
      </c>
      <c r="D2199">
        <v>5.99</v>
      </c>
      <c r="E2199" t="s">
        <v>2346</v>
      </c>
      <c r="F2199" t="s">
        <v>2345</v>
      </c>
      <c r="G2199" t="s">
        <v>2344</v>
      </c>
      <c r="H2199">
        <v>1</v>
      </c>
      <c r="I2199" t="s">
        <v>2344</v>
      </c>
      <c r="J2199" t="str">
        <f t="shared" si="137"/>
        <v>Over weight</v>
      </c>
      <c r="K2199" t="str">
        <f t="shared" si="140"/>
        <v>Prediabetes</v>
      </c>
      <c r="L2199">
        <v>23</v>
      </c>
      <c r="M2199" t="s">
        <v>2365</v>
      </c>
      <c r="N2199">
        <v>1971</v>
      </c>
      <c r="O2199" s="8">
        <f t="shared" si="138"/>
        <v>26290</v>
      </c>
      <c r="P2199" s="10">
        <v>38405.26</v>
      </c>
      <c r="Q2199" t="s">
        <v>2357</v>
      </c>
      <c r="R2199" t="s">
        <v>2361</v>
      </c>
      <c r="S2199" t="s">
        <v>2368</v>
      </c>
      <c r="T2199">
        <f t="shared" ca="1" si="139"/>
        <v>55</v>
      </c>
      <c r="U2199">
        <f>VLOOKUP($A2199,'Medical Examination'!$A:$Z,2,FALSE)</f>
        <v>26.84</v>
      </c>
    </row>
    <row r="2200" spans="1:21" ht="15.5" x14ac:dyDescent="0.35">
      <c r="A2200" s="2" t="s">
        <v>2200</v>
      </c>
      <c r="B2200" s="2" t="s">
        <v>5293</v>
      </c>
      <c r="C2200">
        <v>35.53</v>
      </c>
      <c r="D2200">
        <v>4.3600000000000003</v>
      </c>
      <c r="E2200" t="s">
        <v>2344</v>
      </c>
      <c r="F2200" t="s">
        <v>2344</v>
      </c>
      <c r="G2200" t="s">
        <v>2346</v>
      </c>
      <c r="H2200">
        <v>1</v>
      </c>
      <c r="I2200" t="s">
        <v>2344</v>
      </c>
      <c r="J2200" t="str">
        <f t="shared" si="137"/>
        <v>Obesity</v>
      </c>
      <c r="K2200" t="str">
        <f t="shared" si="140"/>
        <v>Normal</v>
      </c>
      <c r="L2200">
        <v>21</v>
      </c>
      <c r="M2200" t="s">
        <v>2362</v>
      </c>
      <c r="N2200">
        <v>1986</v>
      </c>
      <c r="O2200" s="8">
        <f t="shared" si="138"/>
        <v>31584</v>
      </c>
      <c r="P2200" s="10">
        <v>38415.47</v>
      </c>
      <c r="Q2200" t="s">
        <v>2361</v>
      </c>
      <c r="R2200" t="s">
        <v>2357</v>
      </c>
      <c r="S2200" t="s">
        <v>2368</v>
      </c>
      <c r="T2200">
        <f t="shared" ca="1" si="139"/>
        <v>40</v>
      </c>
      <c r="U2200">
        <f>VLOOKUP($A2200,'Medical Examination'!$A:$Z,2,FALSE)</f>
        <v>35.53</v>
      </c>
    </row>
    <row r="2201" spans="1:21" ht="15.5" x14ac:dyDescent="0.35">
      <c r="A2201" s="2" t="s">
        <v>2201</v>
      </c>
      <c r="B2201" s="2" t="s">
        <v>5294</v>
      </c>
      <c r="C2201">
        <v>30.59</v>
      </c>
      <c r="D2201">
        <v>4.41</v>
      </c>
      <c r="E2201" t="s">
        <v>2344</v>
      </c>
      <c r="F2201" t="s">
        <v>2344</v>
      </c>
      <c r="G2201" t="s">
        <v>2346</v>
      </c>
      <c r="H2201">
        <v>1</v>
      </c>
      <c r="I2201" t="s">
        <v>2344</v>
      </c>
      <c r="J2201" t="str">
        <f t="shared" si="137"/>
        <v>Obesity</v>
      </c>
      <c r="K2201" t="str">
        <f t="shared" si="140"/>
        <v>Normal</v>
      </c>
      <c r="L2201">
        <v>12</v>
      </c>
      <c r="M2201" t="s">
        <v>2360</v>
      </c>
      <c r="N2201">
        <v>1999</v>
      </c>
      <c r="O2201" s="8">
        <f t="shared" si="138"/>
        <v>36476</v>
      </c>
      <c r="P2201" s="10">
        <v>38511.629999999997</v>
      </c>
      <c r="Q2201" t="s">
        <v>2357</v>
      </c>
      <c r="R2201" t="s">
        <v>2357</v>
      </c>
      <c r="S2201" t="s">
        <v>2374</v>
      </c>
      <c r="T2201">
        <f t="shared" ca="1" si="139"/>
        <v>27</v>
      </c>
      <c r="U2201">
        <f>VLOOKUP($A2201,'Medical Examination'!$A:$Z,2,FALSE)</f>
        <v>30.59</v>
      </c>
    </row>
    <row r="2202" spans="1:21" ht="15.5" x14ac:dyDescent="0.35">
      <c r="A2202" s="2" t="s">
        <v>2202</v>
      </c>
      <c r="B2202" s="2" t="s">
        <v>5296</v>
      </c>
      <c r="C2202">
        <v>30.59</v>
      </c>
      <c r="D2202">
        <v>4.17</v>
      </c>
      <c r="E2202" t="s">
        <v>2344</v>
      </c>
      <c r="F2202" t="s">
        <v>2344</v>
      </c>
      <c r="G2202" t="s">
        <v>2346</v>
      </c>
      <c r="H2202">
        <v>1</v>
      </c>
      <c r="I2202" t="s">
        <v>2344</v>
      </c>
      <c r="J2202" t="str">
        <f t="shared" si="137"/>
        <v>Obesity</v>
      </c>
      <c r="K2202" t="str">
        <f t="shared" si="140"/>
        <v>Normal</v>
      </c>
      <c r="L2202">
        <v>13</v>
      </c>
      <c r="M2202" t="s">
        <v>2356</v>
      </c>
      <c r="N2202">
        <v>1990</v>
      </c>
      <c r="O2202" s="8">
        <f t="shared" si="138"/>
        <v>33067</v>
      </c>
      <c r="P2202" s="10">
        <v>38652.089999999997</v>
      </c>
      <c r="Q2202" t="s">
        <v>2357</v>
      </c>
      <c r="R2202" t="s">
        <v>2357</v>
      </c>
      <c r="S2202" t="s">
        <v>2368</v>
      </c>
      <c r="T2202">
        <f t="shared" ca="1" si="139"/>
        <v>36</v>
      </c>
      <c r="U2202">
        <f>VLOOKUP($A2202,'Medical Examination'!$A:$Z,2,FALSE)</f>
        <v>30.59</v>
      </c>
    </row>
    <row r="2203" spans="1:21" ht="15.5" x14ac:dyDescent="0.35">
      <c r="A2203" s="2" t="s">
        <v>2203</v>
      </c>
      <c r="B2203" s="2" t="s">
        <v>5297</v>
      </c>
      <c r="C2203">
        <v>27.835000000000001</v>
      </c>
      <c r="D2203">
        <v>4.4400000000000004</v>
      </c>
      <c r="E2203" t="s">
        <v>2344</v>
      </c>
      <c r="F2203" t="s">
        <v>2344</v>
      </c>
      <c r="G2203" t="s">
        <v>2346</v>
      </c>
      <c r="H2203">
        <v>1</v>
      </c>
      <c r="I2203" t="s">
        <v>2344</v>
      </c>
      <c r="J2203" t="str">
        <f t="shared" si="137"/>
        <v>Over weight</v>
      </c>
      <c r="K2203" t="str">
        <f t="shared" si="140"/>
        <v>Normal</v>
      </c>
      <c r="L2203">
        <v>20</v>
      </c>
      <c r="M2203" t="s">
        <v>2356</v>
      </c>
      <c r="N2203">
        <v>1986</v>
      </c>
      <c r="O2203" s="8">
        <f t="shared" si="138"/>
        <v>31613</v>
      </c>
      <c r="P2203" s="10">
        <v>38709.18</v>
      </c>
      <c r="Q2203" t="s">
        <v>2361</v>
      </c>
      <c r="R2203" t="s">
        <v>2358</v>
      </c>
      <c r="S2203" t="s">
        <v>2359</v>
      </c>
      <c r="T2203">
        <f t="shared" ca="1" si="139"/>
        <v>40</v>
      </c>
      <c r="U2203">
        <f>VLOOKUP($A2203,'Medical Examination'!$A:$Z,2,FALSE)</f>
        <v>27.835000000000001</v>
      </c>
    </row>
    <row r="2204" spans="1:21" ht="15.5" x14ac:dyDescent="0.35">
      <c r="A2204" s="2" t="s">
        <v>2204</v>
      </c>
      <c r="B2204" s="2" t="s">
        <v>5298</v>
      </c>
      <c r="C2204">
        <v>40.26</v>
      </c>
      <c r="D2204">
        <v>5.52</v>
      </c>
      <c r="E2204" t="s">
        <v>2344</v>
      </c>
      <c r="F2204" t="s">
        <v>2345</v>
      </c>
      <c r="G2204" t="s">
        <v>2344</v>
      </c>
      <c r="H2204">
        <v>1</v>
      </c>
      <c r="I2204" t="s">
        <v>2344</v>
      </c>
      <c r="J2204" t="str">
        <f t="shared" si="137"/>
        <v>Obesity</v>
      </c>
      <c r="K2204" t="str">
        <f t="shared" si="140"/>
        <v>Normal</v>
      </c>
      <c r="L2204">
        <v>22</v>
      </c>
      <c r="M2204" t="s">
        <v>2360</v>
      </c>
      <c r="N2204">
        <v>1991</v>
      </c>
      <c r="O2204" s="8">
        <f t="shared" si="138"/>
        <v>33564</v>
      </c>
      <c r="P2204" s="10">
        <v>38711</v>
      </c>
      <c r="Q2204" t="s">
        <v>2361</v>
      </c>
      <c r="R2204" t="s">
        <v>2358</v>
      </c>
      <c r="S2204" t="s">
        <v>2368</v>
      </c>
      <c r="T2204">
        <f t="shared" ca="1" si="139"/>
        <v>35</v>
      </c>
      <c r="U2204">
        <f>VLOOKUP($A2204,'Medical Examination'!$A:$Z,2,FALSE)</f>
        <v>40.26</v>
      </c>
    </row>
    <row r="2205" spans="1:21" ht="15.5" x14ac:dyDescent="0.35">
      <c r="A2205" s="2" t="s">
        <v>2205</v>
      </c>
      <c r="B2205" s="2" t="s">
        <v>5299</v>
      </c>
      <c r="C2205">
        <v>39.82</v>
      </c>
      <c r="D2205">
        <v>6.01</v>
      </c>
      <c r="E2205" t="s">
        <v>2344</v>
      </c>
      <c r="F2205" t="s">
        <v>2345</v>
      </c>
      <c r="G2205" t="s">
        <v>2344</v>
      </c>
      <c r="H2205">
        <v>1</v>
      </c>
      <c r="I2205" t="s">
        <v>2344</v>
      </c>
      <c r="J2205" t="str">
        <f t="shared" si="137"/>
        <v>Obesity</v>
      </c>
      <c r="K2205" t="str">
        <f t="shared" si="140"/>
        <v>Prediabetes</v>
      </c>
      <c r="L2205">
        <v>2</v>
      </c>
      <c r="M2205" t="s">
        <v>2360</v>
      </c>
      <c r="N2205">
        <v>1991</v>
      </c>
      <c r="O2205" s="8">
        <f t="shared" si="138"/>
        <v>33544</v>
      </c>
      <c r="P2205" s="10">
        <v>38711</v>
      </c>
      <c r="Q2205" t="s">
        <v>2357</v>
      </c>
      <c r="R2205" t="s">
        <v>2357</v>
      </c>
      <c r="S2205" t="s">
        <v>2368</v>
      </c>
      <c r="T2205">
        <f t="shared" ca="1" si="139"/>
        <v>35</v>
      </c>
      <c r="U2205">
        <f>VLOOKUP($A2205,'Medical Examination'!$A:$Z,2,FALSE)</f>
        <v>39.82</v>
      </c>
    </row>
    <row r="2206" spans="1:21" ht="15.5" x14ac:dyDescent="0.35">
      <c r="A2206" s="2" t="s">
        <v>2206</v>
      </c>
      <c r="B2206" s="2" t="s">
        <v>5300</v>
      </c>
      <c r="C2206">
        <v>39.159999999999997</v>
      </c>
      <c r="D2206">
        <v>5.81</v>
      </c>
      <c r="E2206" t="s">
        <v>2344</v>
      </c>
      <c r="F2206" t="s">
        <v>2345</v>
      </c>
      <c r="G2206" t="s">
        <v>2344</v>
      </c>
      <c r="H2206">
        <v>1</v>
      </c>
      <c r="I2206" t="s">
        <v>2344</v>
      </c>
      <c r="J2206" t="str">
        <f t="shared" si="137"/>
        <v>Obesity</v>
      </c>
      <c r="K2206" t="str">
        <f t="shared" si="140"/>
        <v>Prediabetes</v>
      </c>
      <c r="L2206">
        <v>15</v>
      </c>
      <c r="M2206" t="s">
        <v>2362</v>
      </c>
      <c r="N2206">
        <v>1976</v>
      </c>
      <c r="O2206" s="8">
        <f t="shared" si="138"/>
        <v>27926</v>
      </c>
      <c r="P2206" s="10">
        <v>38740.120000000003</v>
      </c>
      <c r="Q2206" t="s">
        <v>2357</v>
      </c>
      <c r="R2206" t="s">
        <v>2357</v>
      </c>
      <c r="S2206" t="s">
        <v>2364</v>
      </c>
      <c r="T2206">
        <f t="shared" ca="1" si="139"/>
        <v>50</v>
      </c>
      <c r="U2206">
        <f>VLOOKUP($A2206,'Medical Examination'!$A:$Z,2,FALSE)</f>
        <v>39.159999999999997</v>
      </c>
    </row>
    <row r="2207" spans="1:21" ht="15.5" x14ac:dyDescent="0.35">
      <c r="A2207" s="2" t="s">
        <v>2207</v>
      </c>
      <c r="B2207" s="2" t="s">
        <v>5302</v>
      </c>
      <c r="C2207">
        <v>25.555</v>
      </c>
      <c r="D2207">
        <v>4.37</v>
      </c>
      <c r="E2207" t="s">
        <v>2344</v>
      </c>
      <c r="F2207" t="s">
        <v>2344</v>
      </c>
      <c r="G2207" t="s">
        <v>2346</v>
      </c>
      <c r="H2207">
        <v>1</v>
      </c>
      <c r="I2207" t="s">
        <v>2344</v>
      </c>
      <c r="J2207" t="str">
        <f t="shared" si="137"/>
        <v>Over weight</v>
      </c>
      <c r="K2207" t="str">
        <f t="shared" si="140"/>
        <v>Normal</v>
      </c>
      <c r="L2207">
        <v>8</v>
      </c>
      <c r="M2207" t="s">
        <v>2360</v>
      </c>
      <c r="N2207">
        <v>1991</v>
      </c>
      <c r="O2207" s="8">
        <f t="shared" si="138"/>
        <v>33550</v>
      </c>
      <c r="P2207" s="10">
        <v>38746.36</v>
      </c>
      <c r="Q2207" t="s">
        <v>2361</v>
      </c>
      <c r="R2207" t="s">
        <v>2357</v>
      </c>
      <c r="S2207" t="s">
        <v>2364</v>
      </c>
      <c r="T2207">
        <f t="shared" ca="1" si="139"/>
        <v>35</v>
      </c>
      <c r="U2207">
        <f>VLOOKUP($A2207,'Medical Examination'!$A:$Z,2,FALSE)</f>
        <v>25.555</v>
      </c>
    </row>
    <row r="2208" spans="1:21" ht="15.5" x14ac:dyDescent="0.35">
      <c r="A2208" s="2" t="s">
        <v>2208</v>
      </c>
      <c r="B2208" s="2" t="s">
        <v>5303</v>
      </c>
      <c r="C2208">
        <v>25.175000000000001</v>
      </c>
      <c r="D2208">
        <v>5.74</v>
      </c>
      <c r="E2208" t="s">
        <v>2344</v>
      </c>
      <c r="F2208" t="s">
        <v>2344</v>
      </c>
      <c r="G2208" t="s">
        <v>2346</v>
      </c>
      <c r="H2208">
        <v>1</v>
      </c>
      <c r="I2208" t="s">
        <v>2344</v>
      </c>
      <c r="J2208" t="str">
        <f t="shared" si="137"/>
        <v>Over weight</v>
      </c>
      <c r="K2208" t="str">
        <f t="shared" si="140"/>
        <v>Prediabetes</v>
      </c>
      <c r="L2208">
        <v>5</v>
      </c>
      <c r="M2208" t="s">
        <v>2365</v>
      </c>
      <c r="N2208">
        <v>2004</v>
      </c>
      <c r="O2208" s="8">
        <f t="shared" si="138"/>
        <v>38326</v>
      </c>
      <c r="P2208" s="10">
        <v>38792.69</v>
      </c>
      <c r="Q2208" t="s">
        <v>2357</v>
      </c>
      <c r="R2208" t="s">
        <v>2357</v>
      </c>
      <c r="S2208" t="s">
        <v>2359</v>
      </c>
      <c r="T2208">
        <f t="shared" ca="1" si="139"/>
        <v>22</v>
      </c>
      <c r="U2208">
        <f>VLOOKUP($A2208,'Medical Examination'!$A:$Z,2,FALSE)</f>
        <v>25.175000000000001</v>
      </c>
    </row>
    <row r="2209" spans="1:21" ht="15.5" x14ac:dyDescent="0.35">
      <c r="A2209" s="2" t="s">
        <v>2209</v>
      </c>
      <c r="B2209" s="2" t="s">
        <v>5304</v>
      </c>
      <c r="C2209">
        <v>38.28</v>
      </c>
      <c r="D2209">
        <v>5.39</v>
      </c>
      <c r="E2209" t="s">
        <v>2344</v>
      </c>
      <c r="F2209" t="s">
        <v>2345</v>
      </c>
      <c r="G2209" t="s">
        <v>2344</v>
      </c>
      <c r="H2209">
        <v>1</v>
      </c>
      <c r="I2209" t="s">
        <v>2344</v>
      </c>
      <c r="J2209" t="str">
        <f t="shared" si="137"/>
        <v>Obesity</v>
      </c>
      <c r="K2209" t="str">
        <f t="shared" si="140"/>
        <v>Normal</v>
      </c>
      <c r="L2209">
        <v>3</v>
      </c>
      <c r="M2209" t="s">
        <v>2365</v>
      </c>
      <c r="N2209">
        <v>1979</v>
      </c>
      <c r="O2209" s="8">
        <f t="shared" si="138"/>
        <v>29192</v>
      </c>
      <c r="P2209" s="10">
        <v>38836.980000000003</v>
      </c>
      <c r="Q2209" t="s">
        <v>2357</v>
      </c>
      <c r="R2209" t="s">
        <v>2361</v>
      </c>
      <c r="S2209" t="s">
        <v>2368</v>
      </c>
      <c r="T2209">
        <f t="shared" ca="1" si="139"/>
        <v>47</v>
      </c>
      <c r="U2209">
        <f>VLOOKUP($A2209,'Medical Examination'!$A:$Z,2,FALSE)</f>
        <v>38.28</v>
      </c>
    </row>
    <row r="2210" spans="1:21" ht="15.5" x14ac:dyDescent="0.35">
      <c r="A2210" s="2" t="s">
        <v>2210</v>
      </c>
      <c r="B2210" s="2" t="s">
        <v>5307</v>
      </c>
      <c r="C2210">
        <v>38.17</v>
      </c>
      <c r="D2210">
        <v>4.07</v>
      </c>
      <c r="E2210" t="s">
        <v>2344</v>
      </c>
      <c r="F2210" t="s">
        <v>2345</v>
      </c>
      <c r="G2210" t="s">
        <v>2344</v>
      </c>
      <c r="H2210">
        <v>1</v>
      </c>
      <c r="I2210" t="s">
        <v>2344</v>
      </c>
      <c r="J2210" t="str">
        <f t="shared" si="137"/>
        <v>Obesity</v>
      </c>
      <c r="K2210" t="str">
        <f t="shared" si="140"/>
        <v>Normal</v>
      </c>
      <c r="L2210">
        <v>6</v>
      </c>
      <c r="M2210" t="s">
        <v>2362</v>
      </c>
      <c r="N2210">
        <v>1964</v>
      </c>
      <c r="O2210" s="8">
        <f t="shared" si="138"/>
        <v>23534</v>
      </c>
      <c r="P2210" s="10">
        <v>38869.25</v>
      </c>
      <c r="Q2210" t="s">
        <v>2357</v>
      </c>
      <c r="R2210" t="s">
        <v>2357</v>
      </c>
      <c r="S2210" t="s">
        <v>2368</v>
      </c>
      <c r="T2210">
        <f t="shared" ca="1" si="139"/>
        <v>62</v>
      </c>
      <c r="U2210">
        <f>VLOOKUP($A2210,'Medical Examination'!$A:$Z,2,FALSE)</f>
        <v>38.17</v>
      </c>
    </row>
    <row r="2211" spans="1:21" ht="15.5" x14ac:dyDescent="0.35">
      <c r="A2211" s="2" t="s">
        <v>2211</v>
      </c>
      <c r="B2211" s="2" t="s">
        <v>5309</v>
      </c>
      <c r="C2211">
        <v>36.85</v>
      </c>
      <c r="D2211">
        <v>5.49</v>
      </c>
      <c r="E2211" t="s">
        <v>2344</v>
      </c>
      <c r="F2211" t="s">
        <v>2345</v>
      </c>
      <c r="G2211" t="s">
        <v>2344</v>
      </c>
      <c r="H2211">
        <v>1</v>
      </c>
      <c r="I2211" t="s">
        <v>2344</v>
      </c>
      <c r="J2211" t="str">
        <f t="shared" si="137"/>
        <v>Obesity</v>
      </c>
      <c r="K2211" t="str">
        <f t="shared" si="140"/>
        <v>Normal</v>
      </c>
      <c r="L2211">
        <v>30</v>
      </c>
      <c r="M2211" t="s">
        <v>2356</v>
      </c>
      <c r="N2211">
        <v>1967</v>
      </c>
      <c r="O2211" s="8">
        <f t="shared" si="138"/>
        <v>24683</v>
      </c>
      <c r="P2211" s="10">
        <v>38893.360000000001</v>
      </c>
      <c r="Q2211" t="s">
        <v>2361</v>
      </c>
      <c r="R2211" t="s">
        <v>2357</v>
      </c>
      <c r="S2211" t="s">
        <v>2368</v>
      </c>
      <c r="T2211">
        <f t="shared" ca="1" si="139"/>
        <v>59</v>
      </c>
      <c r="U2211">
        <f>VLOOKUP($A2211,'Medical Examination'!$A:$Z,2,FALSE)</f>
        <v>36.85</v>
      </c>
    </row>
    <row r="2212" spans="1:21" ht="15.5" x14ac:dyDescent="0.35">
      <c r="A2212" s="2" t="s">
        <v>2212</v>
      </c>
      <c r="B2212" s="2" t="s">
        <v>5310</v>
      </c>
      <c r="C2212">
        <v>22.61</v>
      </c>
      <c r="D2212">
        <v>5.68</v>
      </c>
      <c r="E2212" t="s">
        <v>2344</v>
      </c>
      <c r="F2212" t="s">
        <v>2344</v>
      </c>
      <c r="G2212" t="s">
        <v>2346</v>
      </c>
      <c r="H2212">
        <v>1</v>
      </c>
      <c r="I2212" t="s">
        <v>2344</v>
      </c>
      <c r="J2212" t="str">
        <f t="shared" si="137"/>
        <v>Normal Weight</v>
      </c>
      <c r="K2212" t="str">
        <f t="shared" si="140"/>
        <v>Normal</v>
      </c>
      <c r="L2212">
        <v>16</v>
      </c>
      <c r="M2212" t="s">
        <v>2362</v>
      </c>
      <c r="N2212">
        <v>1987</v>
      </c>
      <c r="O2212" s="8">
        <f t="shared" si="138"/>
        <v>31944</v>
      </c>
      <c r="P2212" s="10">
        <v>38924.04</v>
      </c>
      <c r="Q2212" t="s">
        <v>2357</v>
      </c>
      <c r="R2212" t="s">
        <v>2357</v>
      </c>
      <c r="S2212" t="s">
        <v>2368</v>
      </c>
      <c r="T2212">
        <f t="shared" ca="1" si="139"/>
        <v>39</v>
      </c>
      <c r="U2212">
        <f>VLOOKUP($A2212,'Medical Examination'!$A:$Z,2,FALSE)</f>
        <v>22.61</v>
      </c>
    </row>
    <row r="2213" spans="1:21" ht="15.5" x14ac:dyDescent="0.35">
      <c r="A2213" s="2" t="s">
        <v>2213</v>
      </c>
      <c r="B2213" s="2" t="s">
        <v>4865</v>
      </c>
      <c r="C2213">
        <v>21.754999999999999</v>
      </c>
      <c r="D2213">
        <v>6.09</v>
      </c>
      <c r="E2213" t="s">
        <v>2344</v>
      </c>
      <c r="F2213" t="s">
        <v>2344</v>
      </c>
      <c r="G2213" t="s">
        <v>2346</v>
      </c>
      <c r="H2213">
        <v>1</v>
      </c>
      <c r="I2213" t="s">
        <v>2344</v>
      </c>
      <c r="J2213" t="str">
        <f t="shared" si="137"/>
        <v>Normal Weight</v>
      </c>
      <c r="K2213" t="str">
        <f t="shared" si="140"/>
        <v>Prediabetes</v>
      </c>
      <c r="L2213">
        <v>15</v>
      </c>
      <c r="M2213" t="s">
        <v>2365</v>
      </c>
      <c r="N2213">
        <v>1976</v>
      </c>
      <c r="O2213" s="8">
        <f t="shared" si="138"/>
        <v>28109</v>
      </c>
      <c r="P2213" s="10">
        <v>38932.559999999998</v>
      </c>
      <c r="Q2213" t="s">
        <v>2357</v>
      </c>
      <c r="R2213" t="s">
        <v>2358</v>
      </c>
      <c r="S2213" t="s">
        <v>2368</v>
      </c>
      <c r="T2213">
        <f t="shared" ca="1" si="139"/>
        <v>50</v>
      </c>
      <c r="U2213">
        <f>VLOOKUP($A2213,'Medical Examination'!$A:$Z,2,FALSE)</f>
        <v>21.754999999999999</v>
      </c>
    </row>
    <row r="2214" spans="1:21" ht="15.5" x14ac:dyDescent="0.35">
      <c r="A2214" s="2" t="s">
        <v>2214</v>
      </c>
      <c r="B2214" s="2" t="s">
        <v>5311</v>
      </c>
      <c r="C2214">
        <v>20.425000000000001</v>
      </c>
      <c r="D2214">
        <v>5.53</v>
      </c>
      <c r="E2214" t="s">
        <v>2344</v>
      </c>
      <c r="F2214" t="s">
        <v>2344</v>
      </c>
      <c r="G2214" t="s">
        <v>2346</v>
      </c>
      <c r="H2214">
        <v>1</v>
      </c>
      <c r="I2214" t="s">
        <v>2344</v>
      </c>
      <c r="J2214" t="str">
        <f t="shared" si="137"/>
        <v>Normal Weight</v>
      </c>
      <c r="K2214" t="str">
        <f t="shared" si="140"/>
        <v>Normal</v>
      </c>
      <c r="L2214">
        <v>24</v>
      </c>
      <c r="M2214" t="s">
        <v>2363</v>
      </c>
      <c r="N2214">
        <v>1980</v>
      </c>
      <c r="O2214" s="8">
        <f t="shared" si="138"/>
        <v>29488</v>
      </c>
      <c r="P2214" s="10">
        <v>38947.43</v>
      </c>
      <c r="Q2214" t="s">
        <v>2357</v>
      </c>
      <c r="R2214" t="s">
        <v>2358</v>
      </c>
      <c r="S2214" t="s">
        <v>2368</v>
      </c>
      <c r="T2214">
        <f t="shared" ca="1" si="139"/>
        <v>46</v>
      </c>
      <c r="U2214">
        <f>VLOOKUP($A2214,'Medical Examination'!$A:$Z,2,FALSE)</f>
        <v>20.425000000000001</v>
      </c>
    </row>
    <row r="2215" spans="1:21" ht="15.5" x14ac:dyDescent="0.35">
      <c r="A2215" s="2" t="s">
        <v>2215</v>
      </c>
      <c r="B2215" s="2" t="s">
        <v>2600</v>
      </c>
      <c r="C2215">
        <v>31.35</v>
      </c>
      <c r="D2215">
        <v>4.28</v>
      </c>
      <c r="E2215" t="s">
        <v>2344</v>
      </c>
      <c r="F2215" t="s">
        <v>2345</v>
      </c>
      <c r="G2215" t="s">
        <v>2344</v>
      </c>
      <c r="H2215">
        <v>1</v>
      </c>
      <c r="I2215" t="s">
        <v>2344</v>
      </c>
      <c r="J2215" t="str">
        <f t="shared" si="137"/>
        <v>Obesity</v>
      </c>
      <c r="K2215" t="str">
        <f t="shared" si="140"/>
        <v>Normal</v>
      </c>
      <c r="L2215">
        <v>12</v>
      </c>
      <c r="M2215" t="s">
        <v>2367</v>
      </c>
      <c r="N2215">
        <v>1978</v>
      </c>
      <c r="O2215" s="8">
        <f t="shared" si="138"/>
        <v>28775</v>
      </c>
      <c r="P2215" s="10">
        <v>38998.550000000003</v>
      </c>
      <c r="Q2215" t="s">
        <v>2361</v>
      </c>
      <c r="R2215" t="s">
        <v>2361</v>
      </c>
      <c r="S2215" t="s">
        <v>2368</v>
      </c>
      <c r="T2215">
        <f t="shared" ca="1" si="139"/>
        <v>48</v>
      </c>
      <c r="U2215">
        <f>VLOOKUP($A2215,'Medical Examination'!$A:$Z,2,FALSE)</f>
        <v>31.35</v>
      </c>
    </row>
    <row r="2216" spans="1:21" ht="15.5" x14ac:dyDescent="0.35">
      <c r="A2216" s="2" t="s">
        <v>2216</v>
      </c>
      <c r="B2216" s="2" t="s">
        <v>5313</v>
      </c>
      <c r="C2216">
        <v>31.13</v>
      </c>
      <c r="D2216">
        <v>6.01</v>
      </c>
      <c r="E2216" t="s">
        <v>2344</v>
      </c>
      <c r="F2216" t="s">
        <v>2345</v>
      </c>
      <c r="G2216" t="s">
        <v>2344</v>
      </c>
      <c r="H2216">
        <v>1</v>
      </c>
      <c r="I2216" t="s">
        <v>2344</v>
      </c>
      <c r="J2216" t="str">
        <f t="shared" si="137"/>
        <v>Obesity</v>
      </c>
      <c r="K2216" t="str">
        <f t="shared" si="140"/>
        <v>Prediabetes</v>
      </c>
      <c r="L2216">
        <v>20</v>
      </c>
      <c r="M2216" t="s">
        <v>2363</v>
      </c>
      <c r="N2216">
        <v>1985</v>
      </c>
      <c r="O2216" s="8">
        <f t="shared" si="138"/>
        <v>31310</v>
      </c>
      <c r="P2216" s="10">
        <v>39047.29</v>
      </c>
      <c r="Q2216" t="s">
        <v>2361</v>
      </c>
      <c r="R2216" t="s">
        <v>2358</v>
      </c>
      <c r="S2216" t="s">
        <v>2378</v>
      </c>
      <c r="T2216">
        <f t="shared" ca="1" si="139"/>
        <v>41</v>
      </c>
      <c r="U2216">
        <f>VLOOKUP($A2216,'Medical Examination'!$A:$Z,2,FALSE)</f>
        <v>31.13</v>
      </c>
    </row>
    <row r="2217" spans="1:21" ht="15.5" x14ac:dyDescent="0.35">
      <c r="A2217" s="2" t="s">
        <v>2217</v>
      </c>
      <c r="B2217" s="2" t="s">
        <v>3626</v>
      </c>
      <c r="C2217">
        <v>17.48</v>
      </c>
      <c r="D2217">
        <v>4.59</v>
      </c>
      <c r="E2217" t="s">
        <v>2344</v>
      </c>
      <c r="F2217" t="s">
        <v>2344</v>
      </c>
      <c r="G2217" t="s">
        <v>2346</v>
      </c>
      <c r="H2217">
        <v>1</v>
      </c>
      <c r="I2217" t="s">
        <v>2344</v>
      </c>
      <c r="J2217" t="str">
        <f t="shared" si="137"/>
        <v>Under Weight</v>
      </c>
      <c r="K2217" t="str">
        <f t="shared" si="140"/>
        <v>Normal</v>
      </c>
      <c r="L2217">
        <v>4</v>
      </c>
      <c r="M2217" t="s">
        <v>2366</v>
      </c>
      <c r="N2217">
        <v>1982</v>
      </c>
      <c r="O2217" s="8">
        <f t="shared" si="138"/>
        <v>30167</v>
      </c>
      <c r="P2217" s="10">
        <v>39125.33</v>
      </c>
      <c r="Q2217" t="s">
        <v>2361</v>
      </c>
      <c r="R2217" t="s">
        <v>2361</v>
      </c>
      <c r="S2217" t="s">
        <v>2371</v>
      </c>
      <c r="T2217">
        <f t="shared" ca="1" si="139"/>
        <v>44</v>
      </c>
      <c r="U2217">
        <f>VLOOKUP($A2217,'Medical Examination'!$A:$Z,2,FALSE)</f>
        <v>17.48</v>
      </c>
    </row>
    <row r="2218" spans="1:21" ht="15.5" x14ac:dyDescent="0.35">
      <c r="A2218" s="2" t="s">
        <v>2218</v>
      </c>
      <c r="B2218" s="2" t="s">
        <v>2538</v>
      </c>
      <c r="C2218">
        <v>22.57</v>
      </c>
      <c r="D2218">
        <v>5.8</v>
      </c>
      <c r="E2218" t="s">
        <v>2346</v>
      </c>
      <c r="F2218" t="s">
        <v>2344</v>
      </c>
      <c r="G2218" t="s">
        <v>2344</v>
      </c>
      <c r="H2218">
        <v>1</v>
      </c>
      <c r="I2218" t="s">
        <v>2344</v>
      </c>
      <c r="J2218" t="str">
        <f t="shared" si="137"/>
        <v>Normal Weight</v>
      </c>
      <c r="K2218" t="str">
        <f t="shared" si="140"/>
        <v>Prediabetes</v>
      </c>
      <c r="L2218">
        <v>7</v>
      </c>
      <c r="M2218" t="s">
        <v>2356</v>
      </c>
      <c r="N2218">
        <v>1962</v>
      </c>
      <c r="O2218" s="8">
        <f t="shared" si="138"/>
        <v>22834</v>
      </c>
      <c r="P2218" s="10">
        <v>39221.120000000003</v>
      </c>
      <c r="Q2218" t="s">
        <v>2357</v>
      </c>
      <c r="R2218" t="s">
        <v>2361</v>
      </c>
      <c r="S2218" t="s">
        <v>2368</v>
      </c>
      <c r="T2218">
        <f t="shared" ca="1" si="139"/>
        <v>64</v>
      </c>
      <c r="U2218">
        <f>VLOOKUP($A2218,'Medical Examination'!$A:$Z,2,FALSE)</f>
        <v>22.57</v>
      </c>
    </row>
    <row r="2219" spans="1:21" ht="15.5" x14ac:dyDescent="0.35">
      <c r="A2219" s="2" t="s">
        <v>2219</v>
      </c>
      <c r="B2219" s="2" t="s">
        <v>5314</v>
      </c>
      <c r="C2219">
        <v>26.73</v>
      </c>
      <c r="D2219">
        <v>5.08</v>
      </c>
      <c r="E2219" t="s">
        <v>2344</v>
      </c>
      <c r="F2219" t="s">
        <v>2345</v>
      </c>
      <c r="G2219" t="s">
        <v>2344</v>
      </c>
      <c r="H2219">
        <v>1</v>
      </c>
      <c r="I2219" t="s">
        <v>2344</v>
      </c>
      <c r="J2219" t="str">
        <f t="shared" si="137"/>
        <v>Over weight</v>
      </c>
      <c r="K2219" t="str">
        <f t="shared" si="140"/>
        <v>Normal</v>
      </c>
      <c r="L2219">
        <v>30</v>
      </c>
      <c r="M2219" t="s">
        <v>2360</v>
      </c>
      <c r="N2219">
        <v>1992</v>
      </c>
      <c r="O2219" s="8">
        <f t="shared" si="138"/>
        <v>33938</v>
      </c>
      <c r="P2219" s="10">
        <v>39241.440000000002</v>
      </c>
      <c r="Q2219" t="s">
        <v>2361</v>
      </c>
      <c r="R2219" t="s">
        <v>2358</v>
      </c>
      <c r="S2219" t="s">
        <v>2368</v>
      </c>
      <c r="T2219">
        <f t="shared" ca="1" si="139"/>
        <v>34</v>
      </c>
      <c r="U2219">
        <f>VLOOKUP($A2219,'Medical Examination'!$A:$Z,2,FALSE)</f>
        <v>26.73</v>
      </c>
    </row>
    <row r="2220" spans="1:21" ht="15.5" x14ac:dyDescent="0.35">
      <c r="A2220" s="2" t="s">
        <v>2220</v>
      </c>
      <c r="B2220" s="2" t="s">
        <v>5315</v>
      </c>
      <c r="C2220">
        <v>20.79</v>
      </c>
      <c r="D2220">
        <v>5.84</v>
      </c>
      <c r="E2220" t="s">
        <v>2344</v>
      </c>
      <c r="F2220" t="s">
        <v>2345</v>
      </c>
      <c r="G2220" t="s">
        <v>2344</v>
      </c>
      <c r="H2220">
        <v>1</v>
      </c>
      <c r="I2220" t="s">
        <v>2344</v>
      </c>
      <c r="J2220" t="str">
        <f t="shared" si="137"/>
        <v>Normal Weight</v>
      </c>
      <c r="K2220" t="str">
        <f t="shared" si="140"/>
        <v>Prediabetes</v>
      </c>
      <c r="L2220">
        <v>16</v>
      </c>
      <c r="M2220" t="s">
        <v>2366</v>
      </c>
      <c r="N2220">
        <v>1982</v>
      </c>
      <c r="O2220" s="8">
        <f t="shared" si="138"/>
        <v>30179</v>
      </c>
      <c r="P2220" s="10">
        <v>39315.279999999999</v>
      </c>
      <c r="Q2220" t="s">
        <v>2357</v>
      </c>
      <c r="R2220" t="s">
        <v>2358</v>
      </c>
      <c r="S2220" t="s">
        <v>2368</v>
      </c>
      <c r="T2220">
        <f t="shared" ca="1" si="139"/>
        <v>44</v>
      </c>
      <c r="U2220">
        <f>VLOOKUP($A2220,'Medical Examination'!$A:$Z,2,FALSE)</f>
        <v>20.79</v>
      </c>
    </row>
    <row r="2221" spans="1:21" ht="15.5" x14ac:dyDescent="0.35">
      <c r="A2221" s="2" t="s">
        <v>2221</v>
      </c>
      <c r="B2221" s="2" t="s">
        <v>5316</v>
      </c>
      <c r="C2221">
        <v>20.149999999999999</v>
      </c>
      <c r="D2221">
        <v>4.1500000000000004</v>
      </c>
      <c r="E2221" t="s">
        <v>2344</v>
      </c>
      <c r="F2221" t="s">
        <v>2344</v>
      </c>
      <c r="G2221" t="s">
        <v>2344</v>
      </c>
      <c r="H2221">
        <v>1</v>
      </c>
      <c r="I2221" t="s">
        <v>2344</v>
      </c>
      <c r="J2221" t="str">
        <f t="shared" si="137"/>
        <v>Normal Weight</v>
      </c>
      <c r="K2221" t="str">
        <f t="shared" si="140"/>
        <v>Normal</v>
      </c>
      <c r="L2221">
        <v>5</v>
      </c>
      <c r="M2221" t="s">
        <v>2366</v>
      </c>
      <c r="N2221">
        <v>1978</v>
      </c>
      <c r="O2221" s="8">
        <f t="shared" si="138"/>
        <v>28707</v>
      </c>
      <c r="P2221" s="10">
        <v>39352.6</v>
      </c>
      <c r="Q2221" t="s">
        <v>2357</v>
      </c>
      <c r="R2221" t="s">
        <v>2358</v>
      </c>
      <c r="S2221" t="s">
        <v>2368</v>
      </c>
      <c r="T2221">
        <f t="shared" ca="1" si="139"/>
        <v>48</v>
      </c>
      <c r="U2221">
        <f>VLOOKUP($A2221,'Medical Examination'!$A:$Z,2,FALSE)</f>
        <v>20.149999999999999</v>
      </c>
    </row>
    <row r="2222" spans="1:21" ht="15.5" x14ac:dyDescent="0.35">
      <c r="A2222" s="2" t="s">
        <v>2222</v>
      </c>
      <c r="B2222" s="2" t="s">
        <v>5317</v>
      </c>
      <c r="C2222">
        <v>36.85</v>
      </c>
      <c r="D2222">
        <v>4.3600000000000003</v>
      </c>
      <c r="E2222" t="s">
        <v>2346</v>
      </c>
      <c r="F2222" t="s">
        <v>2344</v>
      </c>
      <c r="G2222" t="s">
        <v>2344</v>
      </c>
      <c r="H2222">
        <v>0</v>
      </c>
      <c r="I2222" t="s">
        <v>2344</v>
      </c>
      <c r="J2222" t="str">
        <f t="shared" si="137"/>
        <v>Obesity</v>
      </c>
      <c r="K2222" t="str">
        <f t="shared" si="140"/>
        <v>Normal</v>
      </c>
      <c r="L2222">
        <v>24</v>
      </c>
      <c r="M2222" t="s">
        <v>2362</v>
      </c>
      <c r="N2222">
        <v>1966</v>
      </c>
      <c r="O2222" s="8">
        <f t="shared" si="138"/>
        <v>24282</v>
      </c>
      <c r="P2222" s="10">
        <v>39396.86</v>
      </c>
      <c r="Q2222" t="s">
        <v>2357</v>
      </c>
      <c r="R2222" t="s">
        <v>2357</v>
      </c>
      <c r="S2222" t="s">
        <v>2368</v>
      </c>
      <c r="T2222">
        <f t="shared" ca="1" si="139"/>
        <v>60</v>
      </c>
      <c r="U2222">
        <f>VLOOKUP($A2222,'Medical Examination'!$A:$Z,2,FALSE)</f>
        <v>36.85</v>
      </c>
    </row>
    <row r="2223" spans="1:21" ht="15.5" x14ac:dyDescent="0.35">
      <c r="A2223" s="2" t="s">
        <v>2223</v>
      </c>
      <c r="B2223" s="2" t="s">
        <v>5318</v>
      </c>
      <c r="C2223">
        <v>35.53</v>
      </c>
      <c r="D2223">
        <v>4.55</v>
      </c>
      <c r="E2223" t="s">
        <v>2346</v>
      </c>
      <c r="F2223" t="s">
        <v>2344</v>
      </c>
      <c r="G2223" t="s">
        <v>2344</v>
      </c>
      <c r="H2223">
        <v>0</v>
      </c>
      <c r="I2223" t="s">
        <v>2344</v>
      </c>
      <c r="J2223" t="str">
        <f t="shared" si="137"/>
        <v>Obesity</v>
      </c>
      <c r="K2223" t="str">
        <f t="shared" si="140"/>
        <v>Normal</v>
      </c>
      <c r="L2223">
        <v>12</v>
      </c>
      <c r="M2223" t="s">
        <v>2356</v>
      </c>
      <c r="N2223">
        <v>1978</v>
      </c>
      <c r="O2223" s="8">
        <f t="shared" si="138"/>
        <v>28683</v>
      </c>
      <c r="P2223" s="10">
        <v>39556.49</v>
      </c>
      <c r="Q2223" t="s">
        <v>2361</v>
      </c>
      <c r="R2223" t="s">
        <v>2357</v>
      </c>
      <c r="S2223" t="s">
        <v>2369</v>
      </c>
      <c r="T2223">
        <f t="shared" ca="1" si="139"/>
        <v>48</v>
      </c>
      <c r="U2223">
        <f>VLOOKUP($A2223,'Medical Examination'!$A:$Z,2,FALSE)</f>
        <v>35.53</v>
      </c>
    </row>
    <row r="2224" spans="1:21" ht="15.5" x14ac:dyDescent="0.35">
      <c r="A2224" s="2" t="s">
        <v>2224</v>
      </c>
      <c r="B2224" s="2" t="s">
        <v>3223</v>
      </c>
      <c r="C2224">
        <v>31.1</v>
      </c>
      <c r="D2224">
        <v>4.37</v>
      </c>
      <c r="E2224" t="s">
        <v>2346</v>
      </c>
      <c r="F2224" t="s">
        <v>2344</v>
      </c>
      <c r="G2224" t="s">
        <v>2344</v>
      </c>
      <c r="H2224">
        <v>0</v>
      </c>
      <c r="I2224" t="s">
        <v>2344</v>
      </c>
      <c r="J2224" t="str">
        <f t="shared" si="137"/>
        <v>Obesity</v>
      </c>
      <c r="K2224" t="str">
        <f t="shared" si="140"/>
        <v>Normal</v>
      </c>
      <c r="L2224">
        <v>5</v>
      </c>
      <c r="M2224" t="s">
        <v>2356</v>
      </c>
      <c r="N2224">
        <v>1981</v>
      </c>
      <c r="O2224" s="8">
        <f t="shared" si="138"/>
        <v>29772</v>
      </c>
      <c r="P2224" s="10">
        <v>39597.410000000003</v>
      </c>
      <c r="Q2224" t="s">
        <v>2361</v>
      </c>
      <c r="R2224" t="s">
        <v>2357</v>
      </c>
      <c r="S2224" t="s">
        <v>2378</v>
      </c>
      <c r="T2224">
        <f t="shared" ca="1" si="139"/>
        <v>45</v>
      </c>
      <c r="U2224">
        <f>VLOOKUP($A2224,'Medical Examination'!$A:$Z,2,FALSE)</f>
        <v>31.1</v>
      </c>
    </row>
    <row r="2225" spans="1:21" ht="15.5" x14ac:dyDescent="0.35">
      <c r="A2225" s="2" t="s">
        <v>2225</v>
      </c>
      <c r="B2225" s="2" t="s">
        <v>5319</v>
      </c>
      <c r="C2225">
        <v>23.21</v>
      </c>
      <c r="D2225">
        <v>5.24</v>
      </c>
      <c r="E2225" t="s">
        <v>2346</v>
      </c>
      <c r="F2225" t="s">
        <v>2344</v>
      </c>
      <c r="G2225" t="s">
        <v>2344</v>
      </c>
      <c r="H2225">
        <v>0</v>
      </c>
      <c r="I2225" t="s">
        <v>2344</v>
      </c>
      <c r="J2225" t="str">
        <f t="shared" si="137"/>
        <v>Normal Weight</v>
      </c>
      <c r="K2225" t="str">
        <f t="shared" si="140"/>
        <v>Normal</v>
      </c>
      <c r="L2225">
        <v>7</v>
      </c>
      <c r="M2225" t="s">
        <v>2366</v>
      </c>
      <c r="N2225">
        <v>1995</v>
      </c>
      <c r="O2225" s="8">
        <f t="shared" si="138"/>
        <v>34918</v>
      </c>
      <c r="P2225" s="10">
        <v>39611.760000000002</v>
      </c>
      <c r="Q2225" t="s">
        <v>2361</v>
      </c>
      <c r="R2225" t="s">
        <v>2358</v>
      </c>
      <c r="S2225" t="s">
        <v>2359</v>
      </c>
      <c r="T2225">
        <f t="shared" ca="1" si="139"/>
        <v>31</v>
      </c>
      <c r="U2225">
        <f>VLOOKUP($A2225,'Medical Examination'!$A:$Z,2,FALSE)</f>
        <v>23.21</v>
      </c>
    </row>
    <row r="2226" spans="1:21" ht="15.5" x14ac:dyDescent="0.35">
      <c r="A2226" s="2" t="s">
        <v>2226</v>
      </c>
      <c r="B2226" s="2" t="s">
        <v>4869</v>
      </c>
      <c r="C2226">
        <v>18.36</v>
      </c>
      <c r="D2226">
        <v>5.96</v>
      </c>
      <c r="E2226" t="s">
        <v>2344</v>
      </c>
      <c r="F2226" t="s">
        <v>2344</v>
      </c>
      <c r="G2226" t="s">
        <v>2344</v>
      </c>
      <c r="H2226">
        <v>1</v>
      </c>
      <c r="I2226" t="s">
        <v>2344</v>
      </c>
      <c r="J2226" t="str">
        <f t="shared" si="137"/>
        <v>Under Weight</v>
      </c>
      <c r="K2226" t="str">
        <f t="shared" si="140"/>
        <v>Prediabetes</v>
      </c>
      <c r="L2226">
        <v>17</v>
      </c>
      <c r="M2226" t="s">
        <v>2365</v>
      </c>
      <c r="N2226">
        <v>1977</v>
      </c>
      <c r="O2226" s="8">
        <f t="shared" si="138"/>
        <v>28476</v>
      </c>
      <c r="P2226" s="10">
        <v>39670.44</v>
      </c>
      <c r="Q2226" t="s">
        <v>2357</v>
      </c>
      <c r="R2226" t="s">
        <v>2361</v>
      </c>
      <c r="S2226" t="s">
        <v>2364</v>
      </c>
      <c r="T2226">
        <f t="shared" ca="1" si="139"/>
        <v>49</v>
      </c>
      <c r="U2226">
        <f>VLOOKUP($A2226,'Medical Examination'!$A:$Z,2,FALSE)</f>
        <v>18.36</v>
      </c>
    </row>
    <row r="2227" spans="1:21" ht="15.5" x14ac:dyDescent="0.35">
      <c r="A2227" s="2" t="s">
        <v>2227</v>
      </c>
      <c r="B2227" s="2" t="s">
        <v>3592</v>
      </c>
      <c r="C2227">
        <v>15.92</v>
      </c>
      <c r="D2227">
        <v>4.76</v>
      </c>
      <c r="E2227" t="s">
        <v>2346</v>
      </c>
      <c r="F2227" t="s">
        <v>2344</v>
      </c>
      <c r="G2227" t="s">
        <v>2344</v>
      </c>
      <c r="H2227">
        <v>1</v>
      </c>
      <c r="I2227" t="s">
        <v>2344</v>
      </c>
      <c r="J2227" t="str">
        <f t="shared" si="137"/>
        <v>Under Weight</v>
      </c>
      <c r="K2227" t="str">
        <f t="shared" si="140"/>
        <v>Normal</v>
      </c>
      <c r="L2227">
        <v>29</v>
      </c>
      <c r="M2227" t="s">
        <v>2363</v>
      </c>
      <c r="N2227">
        <v>1968</v>
      </c>
      <c r="O2227" s="8">
        <f t="shared" si="138"/>
        <v>25110</v>
      </c>
      <c r="P2227" s="10">
        <v>39721.93</v>
      </c>
      <c r="Q2227" t="s">
        <v>2357</v>
      </c>
      <c r="R2227" t="s">
        <v>2357</v>
      </c>
      <c r="S2227" t="s">
        <v>2368</v>
      </c>
      <c r="T2227">
        <f t="shared" ca="1" si="139"/>
        <v>58</v>
      </c>
      <c r="U2227">
        <f>VLOOKUP($A2227,'Medical Examination'!$A:$Z,2,FALSE)</f>
        <v>15.92</v>
      </c>
    </row>
    <row r="2228" spans="1:21" ht="15.5" x14ac:dyDescent="0.35">
      <c r="A2228" s="2" t="s">
        <v>2228</v>
      </c>
      <c r="B2228" s="2" t="s">
        <v>4364</v>
      </c>
      <c r="C2228">
        <v>15.17</v>
      </c>
      <c r="D2228">
        <v>4.3</v>
      </c>
      <c r="E2228" t="s">
        <v>2346</v>
      </c>
      <c r="F2228" t="s">
        <v>2344</v>
      </c>
      <c r="G2228" t="s">
        <v>2346</v>
      </c>
      <c r="H2228">
        <v>1</v>
      </c>
      <c r="I2228" t="s">
        <v>2344</v>
      </c>
      <c r="J2228" t="str">
        <f t="shared" si="137"/>
        <v>Under Weight</v>
      </c>
      <c r="K2228" t="str">
        <f t="shared" si="140"/>
        <v>Normal</v>
      </c>
      <c r="L2228">
        <v>16</v>
      </c>
      <c r="M2228" t="s">
        <v>2356</v>
      </c>
      <c r="N2228">
        <v>2003</v>
      </c>
      <c r="O2228" s="8">
        <f t="shared" si="138"/>
        <v>37818</v>
      </c>
      <c r="P2228" s="10">
        <v>39722.75</v>
      </c>
      <c r="Q2228" t="s">
        <v>2361</v>
      </c>
      <c r="R2228" t="s">
        <v>2361</v>
      </c>
      <c r="S2228" t="s">
        <v>2359</v>
      </c>
      <c r="T2228">
        <f t="shared" ca="1" si="139"/>
        <v>23</v>
      </c>
      <c r="U2228">
        <f>VLOOKUP($A2228,'Medical Examination'!$A:$Z,2,FALSE)</f>
        <v>15.17</v>
      </c>
    </row>
    <row r="2229" spans="1:21" ht="15.5" x14ac:dyDescent="0.35">
      <c r="A2229" s="2" t="s">
        <v>2229</v>
      </c>
      <c r="B2229" s="2" t="s">
        <v>5321</v>
      </c>
      <c r="C2229">
        <v>16.63</v>
      </c>
      <c r="D2229">
        <v>4.5</v>
      </c>
      <c r="E2229" t="s">
        <v>2344</v>
      </c>
      <c r="F2229" t="s">
        <v>2344</v>
      </c>
      <c r="G2229" t="s">
        <v>2344</v>
      </c>
      <c r="H2229">
        <v>1</v>
      </c>
      <c r="I2229" t="s">
        <v>2344</v>
      </c>
      <c r="J2229" t="str">
        <f t="shared" si="137"/>
        <v>Under Weight</v>
      </c>
      <c r="K2229" t="str">
        <f t="shared" si="140"/>
        <v>Normal</v>
      </c>
      <c r="L2229">
        <v>12</v>
      </c>
      <c r="M2229" t="s">
        <v>2366</v>
      </c>
      <c r="N2229">
        <v>1977</v>
      </c>
      <c r="O2229" s="8">
        <f t="shared" si="138"/>
        <v>28349</v>
      </c>
      <c r="P2229" s="10">
        <v>39725.519999999997</v>
      </c>
      <c r="Q2229" t="s">
        <v>2357</v>
      </c>
      <c r="R2229" t="s">
        <v>2361</v>
      </c>
      <c r="S2229" t="s">
        <v>2364</v>
      </c>
      <c r="T2229">
        <f t="shared" ca="1" si="139"/>
        <v>49</v>
      </c>
      <c r="U2229">
        <f>VLOOKUP($A2229,'Medical Examination'!$A:$Z,2,FALSE)</f>
        <v>16.63</v>
      </c>
    </row>
    <row r="2230" spans="1:21" ht="15.5" x14ac:dyDescent="0.35">
      <c r="A2230" s="2" t="s">
        <v>2230</v>
      </c>
      <c r="B2230" s="2" t="s">
        <v>5322</v>
      </c>
      <c r="C2230">
        <v>19.39</v>
      </c>
      <c r="D2230">
        <v>5.59</v>
      </c>
      <c r="E2230" t="s">
        <v>2344</v>
      </c>
      <c r="F2230" t="s">
        <v>2344</v>
      </c>
      <c r="G2230" t="s">
        <v>2346</v>
      </c>
      <c r="H2230">
        <v>1</v>
      </c>
      <c r="I2230" t="s">
        <v>2344</v>
      </c>
      <c r="J2230" t="str">
        <f t="shared" si="137"/>
        <v>Normal Weight</v>
      </c>
      <c r="K2230" t="str">
        <f t="shared" si="140"/>
        <v>Normal</v>
      </c>
      <c r="L2230">
        <v>17</v>
      </c>
      <c r="M2230" t="s">
        <v>2365</v>
      </c>
      <c r="N2230">
        <v>1973</v>
      </c>
      <c r="O2230" s="8">
        <f t="shared" si="138"/>
        <v>27015</v>
      </c>
      <c r="P2230" s="10">
        <v>39727.61</v>
      </c>
      <c r="Q2230" t="s">
        <v>2361</v>
      </c>
      <c r="R2230" t="s">
        <v>2357</v>
      </c>
      <c r="S2230" t="s">
        <v>2368</v>
      </c>
      <c r="T2230">
        <f t="shared" ca="1" si="139"/>
        <v>53</v>
      </c>
      <c r="U2230">
        <f>VLOOKUP($A2230,'Medical Examination'!$A:$Z,2,FALSE)</f>
        <v>19.39</v>
      </c>
    </row>
    <row r="2231" spans="1:21" ht="15.5" x14ac:dyDescent="0.35">
      <c r="A2231" s="2" t="s">
        <v>2231</v>
      </c>
      <c r="B2231" s="2" t="s">
        <v>5323</v>
      </c>
      <c r="C2231">
        <v>17.34</v>
      </c>
      <c r="D2231">
        <v>6.29</v>
      </c>
      <c r="E2231" t="s">
        <v>2346</v>
      </c>
      <c r="F2231" t="s">
        <v>2344</v>
      </c>
      <c r="G2231" t="s">
        <v>2346</v>
      </c>
      <c r="H2231">
        <v>1</v>
      </c>
      <c r="I2231" t="s">
        <v>2344</v>
      </c>
      <c r="J2231" t="str">
        <f t="shared" si="137"/>
        <v>Under Weight</v>
      </c>
      <c r="K2231" t="str">
        <f t="shared" si="140"/>
        <v>Prediabetes</v>
      </c>
      <c r="L2231">
        <v>24</v>
      </c>
      <c r="M2231" t="s">
        <v>2356</v>
      </c>
      <c r="N2231">
        <v>1987</v>
      </c>
      <c r="O2231" s="8">
        <f t="shared" si="138"/>
        <v>31982</v>
      </c>
      <c r="P2231" s="10">
        <v>39774.28</v>
      </c>
      <c r="Q2231" t="s">
        <v>2361</v>
      </c>
      <c r="R2231" t="s">
        <v>2361</v>
      </c>
      <c r="S2231" t="s">
        <v>2376</v>
      </c>
      <c r="T2231">
        <f t="shared" ca="1" si="139"/>
        <v>39</v>
      </c>
      <c r="U2231">
        <f>VLOOKUP($A2231,'Medical Examination'!$A:$Z,2,FALSE)</f>
        <v>17.34</v>
      </c>
    </row>
    <row r="2232" spans="1:21" ht="15.5" x14ac:dyDescent="0.35">
      <c r="A2232" s="2" t="s">
        <v>2232</v>
      </c>
      <c r="B2232" s="2" t="s">
        <v>5324</v>
      </c>
      <c r="C2232">
        <v>17.940000000000001</v>
      </c>
      <c r="D2232">
        <v>4.1900000000000004</v>
      </c>
      <c r="E2232" t="s">
        <v>2344</v>
      </c>
      <c r="F2232" t="s">
        <v>2345</v>
      </c>
      <c r="G2232" t="s">
        <v>2344</v>
      </c>
      <c r="H2232">
        <v>1</v>
      </c>
      <c r="I2232" t="s">
        <v>2344</v>
      </c>
      <c r="J2232" t="str">
        <f t="shared" si="137"/>
        <v>Under Weight</v>
      </c>
      <c r="K2232" t="str">
        <f t="shared" si="140"/>
        <v>Normal</v>
      </c>
      <c r="L2232">
        <v>17</v>
      </c>
      <c r="M2232" t="s">
        <v>2356</v>
      </c>
      <c r="N2232">
        <v>1985</v>
      </c>
      <c r="O2232" s="8">
        <f t="shared" si="138"/>
        <v>31245</v>
      </c>
      <c r="P2232" s="10">
        <v>39836.519999999997</v>
      </c>
      <c r="Q2232" t="s">
        <v>2357</v>
      </c>
      <c r="R2232" t="s">
        <v>2361</v>
      </c>
      <c r="S2232" t="s">
        <v>2368</v>
      </c>
      <c r="T2232">
        <f t="shared" ca="1" si="139"/>
        <v>41</v>
      </c>
      <c r="U2232">
        <f>VLOOKUP($A2232,'Medical Examination'!$A:$Z,2,FALSE)</f>
        <v>17.940000000000001</v>
      </c>
    </row>
    <row r="2233" spans="1:21" ht="15.5" x14ac:dyDescent="0.35">
      <c r="A2233" s="2" t="s">
        <v>2233</v>
      </c>
      <c r="B2233" s="2" t="s">
        <v>5325</v>
      </c>
      <c r="C2233">
        <v>16.670000000000002</v>
      </c>
      <c r="D2233">
        <v>4.7</v>
      </c>
      <c r="E2233" t="s">
        <v>2346</v>
      </c>
      <c r="F2233" t="s">
        <v>2344</v>
      </c>
      <c r="G2233" t="s">
        <v>2346</v>
      </c>
      <c r="H2233">
        <v>1</v>
      </c>
      <c r="I2233" t="s">
        <v>2344</v>
      </c>
      <c r="J2233" t="str">
        <f t="shared" si="137"/>
        <v>Under Weight</v>
      </c>
      <c r="K2233" t="str">
        <f t="shared" si="140"/>
        <v>Normal</v>
      </c>
      <c r="L2233">
        <v>1</v>
      </c>
      <c r="M2233" t="s">
        <v>2362</v>
      </c>
      <c r="N2233">
        <v>1983</v>
      </c>
      <c r="O2233" s="8">
        <f t="shared" si="138"/>
        <v>30468</v>
      </c>
      <c r="P2233" s="10">
        <v>39865.699999999997</v>
      </c>
      <c r="Q2233" t="s">
        <v>2357</v>
      </c>
      <c r="R2233" t="s">
        <v>2357</v>
      </c>
      <c r="S2233" t="s">
        <v>2368</v>
      </c>
      <c r="T2233">
        <f t="shared" ca="1" si="139"/>
        <v>43</v>
      </c>
      <c r="U2233">
        <f>VLOOKUP($A2233,'Medical Examination'!$A:$Z,2,FALSE)</f>
        <v>16.670000000000002</v>
      </c>
    </row>
    <row r="2234" spans="1:21" ht="15.5" x14ac:dyDescent="0.35">
      <c r="A2234" s="2" t="s">
        <v>2234</v>
      </c>
      <c r="B2234" s="2" t="s">
        <v>5326</v>
      </c>
      <c r="C2234">
        <v>20.58</v>
      </c>
      <c r="D2234">
        <v>5.64</v>
      </c>
      <c r="E2234" t="s">
        <v>2346</v>
      </c>
      <c r="F2234" t="s">
        <v>2344</v>
      </c>
      <c r="G2234" t="s">
        <v>2344</v>
      </c>
      <c r="H2234">
        <v>0</v>
      </c>
      <c r="I2234" t="s">
        <v>2344</v>
      </c>
      <c r="J2234" t="str">
        <f t="shared" si="137"/>
        <v>Normal Weight</v>
      </c>
      <c r="K2234" t="str">
        <f t="shared" si="140"/>
        <v>Normal</v>
      </c>
      <c r="L2234">
        <v>22</v>
      </c>
      <c r="M2234" t="s">
        <v>2366</v>
      </c>
      <c r="N2234">
        <v>1985</v>
      </c>
      <c r="O2234" s="8">
        <f t="shared" si="138"/>
        <v>31281</v>
      </c>
      <c r="P2234" s="10">
        <v>39871.699999999997</v>
      </c>
      <c r="Q2234" t="s">
        <v>2361</v>
      </c>
      <c r="R2234" t="s">
        <v>2357</v>
      </c>
      <c r="S2234" t="s">
        <v>2359</v>
      </c>
      <c r="T2234">
        <f t="shared" ca="1" si="139"/>
        <v>41</v>
      </c>
      <c r="U2234">
        <f>VLOOKUP($A2234,'Medical Examination'!$A:$Z,2,FALSE)</f>
        <v>20.58</v>
      </c>
    </row>
    <row r="2235" spans="1:21" ht="15.5" x14ac:dyDescent="0.35">
      <c r="A2235" s="2" t="s">
        <v>2235</v>
      </c>
      <c r="B2235" s="2" t="s">
        <v>4028</v>
      </c>
      <c r="C2235">
        <v>16.5</v>
      </c>
      <c r="D2235">
        <v>4.1100000000000003</v>
      </c>
      <c r="E2235" t="s">
        <v>2346</v>
      </c>
      <c r="F2235" t="s">
        <v>2344</v>
      </c>
      <c r="G2235" t="s">
        <v>2344</v>
      </c>
      <c r="H2235">
        <v>0</v>
      </c>
      <c r="I2235" t="s">
        <v>2344</v>
      </c>
      <c r="J2235" t="str">
        <f t="shared" si="137"/>
        <v>Under Weight</v>
      </c>
      <c r="K2235" t="str">
        <f t="shared" si="140"/>
        <v>Normal</v>
      </c>
      <c r="L2235">
        <v>2</v>
      </c>
      <c r="M2235" t="s">
        <v>2365</v>
      </c>
      <c r="N2235">
        <v>1975</v>
      </c>
      <c r="O2235" s="8">
        <f t="shared" si="138"/>
        <v>27730</v>
      </c>
      <c r="P2235" s="10">
        <v>39963.120000000003</v>
      </c>
      <c r="Q2235" t="s">
        <v>2357</v>
      </c>
      <c r="R2235" t="s">
        <v>2357</v>
      </c>
      <c r="S2235" t="s">
        <v>2368</v>
      </c>
      <c r="T2235">
        <f t="shared" ca="1" si="139"/>
        <v>51</v>
      </c>
      <c r="U2235">
        <f>VLOOKUP($A2235,'Medical Examination'!$A:$Z,2,FALSE)</f>
        <v>16.5</v>
      </c>
    </row>
    <row r="2236" spans="1:21" ht="15.5" x14ac:dyDescent="0.35">
      <c r="A2236" s="2" t="s">
        <v>2236</v>
      </c>
      <c r="B2236" s="2" t="s">
        <v>5327</v>
      </c>
      <c r="C2236">
        <v>15.41</v>
      </c>
      <c r="D2236">
        <v>5.43</v>
      </c>
      <c r="E2236" t="s">
        <v>2346</v>
      </c>
      <c r="F2236" t="s">
        <v>2344</v>
      </c>
      <c r="G2236" t="s">
        <v>2346</v>
      </c>
      <c r="H2236">
        <v>1</v>
      </c>
      <c r="I2236" t="s">
        <v>2344</v>
      </c>
      <c r="J2236" t="str">
        <f t="shared" si="137"/>
        <v>Under Weight</v>
      </c>
      <c r="K2236" t="str">
        <f t="shared" si="140"/>
        <v>Normal</v>
      </c>
      <c r="L2236">
        <v>8</v>
      </c>
      <c r="M2236" t="s">
        <v>2366</v>
      </c>
      <c r="N2236">
        <v>1987</v>
      </c>
      <c r="O2236" s="8">
        <f t="shared" si="138"/>
        <v>31997</v>
      </c>
      <c r="P2236" s="10">
        <v>39983.43</v>
      </c>
      <c r="Q2236" t="s">
        <v>2357</v>
      </c>
      <c r="R2236" t="s">
        <v>2358</v>
      </c>
      <c r="S2236" t="s">
        <v>2364</v>
      </c>
      <c r="T2236">
        <f t="shared" ca="1" si="139"/>
        <v>39</v>
      </c>
      <c r="U2236">
        <f>VLOOKUP($A2236,'Medical Examination'!$A:$Z,2,FALSE)</f>
        <v>15.41</v>
      </c>
    </row>
    <row r="2237" spans="1:21" ht="15.5" x14ac:dyDescent="0.35">
      <c r="A2237" s="2" t="s">
        <v>2237</v>
      </c>
      <c r="B2237" s="2" t="s">
        <v>5328</v>
      </c>
      <c r="C2237">
        <v>24.59</v>
      </c>
      <c r="D2237">
        <v>4.38</v>
      </c>
      <c r="E2237" t="s">
        <v>2344</v>
      </c>
      <c r="F2237" t="s">
        <v>2344</v>
      </c>
      <c r="G2237" t="s">
        <v>2344</v>
      </c>
      <c r="H2237">
        <v>1</v>
      </c>
      <c r="I2237" t="s">
        <v>2344</v>
      </c>
      <c r="J2237" t="str">
        <f t="shared" si="137"/>
        <v>Normal Weight</v>
      </c>
      <c r="K2237" t="str">
        <f t="shared" si="140"/>
        <v>Normal</v>
      </c>
      <c r="L2237">
        <v>25</v>
      </c>
      <c r="M2237" t="s">
        <v>2365</v>
      </c>
      <c r="N2237">
        <v>1982</v>
      </c>
      <c r="O2237" s="8">
        <f t="shared" si="138"/>
        <v>30310</v>
      </c>
      <c r="P2237" s="10">
        <v>40003.33</v>
      </c>
      <c r="Q2237" t="s">
        <v>2361</v>
      </c>
      <c r="R2237" t="s">
        <v>2361</v>
      </c>
      <c r="S2237" t="s">
        <v>2364</v>
      </c>
      <c r="T2237">
        <f t="shared" ca="1" si="139"/>
        <v>44</v>
      </c>
      <c r="U2237">
        <f>VLOOKUP($A2237,'Medical Examination'!$A:$Z,2,FALSE)</f>
        <v>24.59</v>
      </c>
    </row>
    <row r="2238" spans="1:21" ht="15.5" x14ac:dyDescent="0.35">
      <c r="A2238" s="2" t="s">
        <v>2238</v>
      </c>
      <c r="B2238" s="2" t="s">
        <v>5330</v>
      </c>
      <c r="C2238">
        <v>33.33</v>
      </c>
      <c r="D2238">
        <v>9.7899999999999991</v>
      </c>
      <c r="E2238" t="s">
        <v>2344</v>
      </c>
      <c r="F2238" t="s">
        <v>2344</v>
      </c>
      <c r="G2238" t="s">
        <v>2344</v>
      </c>
      <c r="H2238">
        <v>0</v>
      </c>
      <c r="I2238" t="s">
        <v>2344</v>
      </c>
      <c r="J2238" t="str">
        <f t="shared" si="137"/>
        <v>Obesity</v>
      </c>
      <c r="K2238" t="str">
        <f t="shared" si="140"/>
        <v>Diabetes</v>
      </c>
      <c r="L2238">
        <v>20</v>
      </c>
      <c r="M2238" t="s">
        <v>2365</v>
      </c>
      <c r="N2238">
        <v>1978</v>
      </c>
      <c r="O2238" s="8">
        <f t="shared" si="138"/>
        <v>28844</v>
      </c>
      <c r="P2238" s="10">
        <v>40054.730000000003</v>
      </c>
      <c r="Q2238" t="s">
        <v>2361</v>
      </c>
      <c r="R2238" t="s">
        <v>2358</v>
      </c>
      <c r="S2238" t="s">
        <v>2368</v>
      </c>
      <c r="T2238">
        <f t="shared" ca="1" si="139"/>
        <v>48</v>
      </c>
      <c r="U2238">
        <f>VLOOKUP($A2238,'Medical Examination'!$A:$Z,2,FALSE)</f>
        <v>33.33</v>
      </c>
    </row>
    <row r="2239" spans="1:21" ht="15.5" x14ac:dyDescent="0.35">
      <c r="A2239" s="2" t="s">
        <v>2239</v>
      </c>
      <c r="B2239" s="2" t="s">
        <v>5331</v>
      </c>
      <c r="C2239">
        <v>18.5</v>
      </c>
      <c r="D2239">
        <v>11.84</v>
      </c>
      <c r="E2239" t="s">
        <v>2344</v>
      </c>
      <c r="F2239" t="s">
        <v>2344</v>
      </c>
      <c r="G2239" t="s">
        <v>2344</v>
      </c>
      <c r="H2239">
        <v>0</v>
      </c>
      <c r="I2239" t="s">
        <v>2344</v>
      </c>
      <c r="J2239" t="str">
        <f t="shared" si="137"/>
        <v>Normal Weight</v>
      </c>
      <c r="K2239" t="str">
        <f t="shared" si="140"/>
        <v>Diabetes</v>
      </c>
      <c r="L2239">
        <v>12</v>
      </c>
      <c r="M2239" t="s">
        <v>2366</v>
      </c>
      <c r="N2239">
        <v>1966</v>
      </c>
      <c r="O2239" s="8">
        <f t="shared" si="138"/>
        <v>24331</v>
      </c>
      <c r="P2239" s="10">
        <v>40069.440000000002</v>
      </c>
      <c r="Q2239" t="s">
        <v>2361</v>
      </c>
      <c r="R2239" t="s">
        <v>2358</v>
      </c>
      <c r="S2239" t="s">
        <v>2368</v>
      </c>
      <c r="T2239">
        <f t="shared" ca="1" si="139"/>
        <v>60</v>
      </c>
      <c r="U2239">
        <f>VLOOKUP($A2239,'Medical Examination'!$A:$Z,2,FALSE)</f>
        <v>18.5</v>
      </c>
    </row>
    <row r="2240" spans="1:21" ht="15.5" x14ac:dyDescent="0.35">
      <c r="A2240" s="2" t="s">
        <v>2240</v>
      </c>
      <c r="B2240" s="2" t="s">
        <v>2545</v>
      </c>
      <c r="C2240">
        <v>18.579999999999998</v>
      </c>
      <c r="D2240">
        <v>6.22</v>
      </c>
      <c r="E2240" t="s">
        <v>2344</v>
      </c>
      <c r="F2240" t="s">
        <v>2344</v>
      </c>
      <c r="G2240" t="s">
        <v>2344</v>
      </c>
      <c r="H2240">
        <v>0</v>
      </c>
      <c r="I2240" t="s">
        <v>2344</v>
      </c>
      <c r="J2240" t="str">
        <f t="shared" si="137"/>
        <v>Normal Weight</v>
      </c>
      <c r="K2240" t="str">
        <f t="shared" si="140"/>
        <v>Prediabetes</v>
      </c>
      <c r="L2240">
        <v>14</v>
      </c>
      <c r="M2240" t="s">
        <v>2367</v>
      </c>
      <c r="N2240">
        <v>1983</v>
      </c>
      <c r="O2240" s="8">
        <f t="shared" si="138"/>
        <v>30603</v>
      </c>
      <c r="P2240" s="10">
        <v>40103.89</v>
      </c>
      <c r="Q2240" t="s">
        <v>2361</v>
      </c>
      <c r="R2240" t="s">
        <v>2357</v>
      </c>
      <c r="S2240" t="s">
        <v>2368</v>
      </c>
      <c r="T2240">
        <f t="shared" ca="1" si="139"/>
        <v>43</v>
      </c>
      <c r="U2240">
        <f>VLOOKUP($A2240,'Medical Examination'!$A:$Z,2,FALSE)</f>
        <v>18.579999999999998</v>
      </c>
    </row>
    <row r="2241" spans="1:21" ht="15.5" x14ac:dyDescent="0.35">
      <c r="A2241" s="2" t="s">
        <v>2241</v>
      </c>
      <c r="B2241" s="2" t="s">
        <v>5332</v>
      </c>
      <c r="C2241">
        <v>16.64</v>
      </c>
      <c r="D2241">
        <v>10.01</v>
      </c>
      <c r="E2241" t="s">
        <v>2344</v>
      </c>
      <c r="F2241" t="s">
        <v>2344</v>
      </c>
      <c r="G2241" t="s">
        <v>2344</v>
      </c>
      <c r="H2241">
        <v>0</v>
      </c>
      <c r="I2241" t="s">
        <v>2344</v>
      </c>
      <c r="J2241" t="str">
        <f t="shared" si="137"/>
        <v>Under Weight</v>
      </c>
      <c r="K2241" t="str">
        <f t="shared" si="140"/>
        <v>Diabetes</v>
      </c>
      <c r="L2241">
        <v>21</v>
      </c>
      <c r="M2241" t="s">
        <v>2367</v>
      </c>
      <c r="N2241">
        <v>1985</v>
      </c>
      <c r="O2241" s="8">
        <f t="shared" si="138"/>
        <v>31341</v>
      </c>
      <c r="P2241" s="10">
        <v>40182.25</v>
      </c>
      <c r="Q2241" t="s">
        <v>2361</v>
      </c>
      <c r="R2241" t="s">
        <v>2357</v>
      </c>
      <c r="S2241" t="s">
        <v>2368</v>
      </c>
      <c r="T2241">
        <f t="shared" ca="1" si="139"/>
        <v>41</v>
      </c>
      <c r="U2241">
        <f>VLOOKUP($A2241,'Medical Examination'!$A:$Z,2,FALSE)</f>
        <v>16.64</v>
      </c>
    </row>
    <row r="2242" spans="1:21" ht="15.5" x14ac:dyDescent="0.35">
      <c r="A2242" s="2" t="s">
        <v>2242</v>
      </c>
      <c r="B2242" s="2" t="s">
        <v>5334</v>
      </c>
      <c r="C2242">
        <v>19.329999999999998</v>
      </c>
      <c r="D2242">
        <v>4.32</v>
      </c>
      <c r="E2242" t="s">
        <v>2344</v>
      </c>
      <c r="F2242" t="s">
        <v>2344</v>
      </c>
      <c r="G2242" t="s">
        <v>2344</v>
      </c>
      <c r="H2242">
        <v>1</v>
      </c>
      <c r="I2242" t="s">
        <v>2344</v>
      </c>
      <c r="J2242" t="str">
        <f t="shared" si="137"/>
        <v>Normal Weight</v>
      </c>
      <c r="K2242" t="str">
        <f t="shared" si="140"/>
        <v>Normal</v>
      </c>
      <c r="L2242">
        <v>18</v>
      </c>
      <c r="M2242" t="s">
        <v>2366</v>
      </c>
      <c r="N2242">
        <v>1979</v>
      </c>
      <c r="O2242" s="8">
        <f t="shared" si="138"/>
        <v>29085</v>
      </c>
      <c r="P2242" s="10">
        <v>40204.83</v>
      </c>
      <c r="Q2242" t="s">
        <v>2361</v>
      </c>
      <c r="R2242" t="s">
        <v>2358</v>
      </c>
      <c r="S2242" t="s">
        <v>2364</v>
      </c>
      <c r="T2242">
        <f t="shared" ca="1" si="139"/>
        <v>47</v>
      </c>
      <c r="U2242">
        <f>VLOOKUP($A2242,'Medical Examination'!$A:$Z,2,FALSE)</f>
        <v>19.329999999999998</v>
      </c>
    </row>
    <row r="2243" spans="1:21" ht="15.5" x14ac:dyDescent="0.35">
      <c r="A2243" s="2" t="s">
        <v>2243</v>
      </c>
      <c r="B2243" s="2" t="s">
        <v>5335</v>
      </c>
      <c r="C2243">
        <v>21.26</v>
      </c>
      <c r="D2243">
        <v>5.65</v>
      </c>
      <c r="E2243" t="s">
        <v>2346</v>
      </c>
      <c r="F2243" t="s">
        <v>2344</v>
      </c>
      <c r="G2243" t="s">
        <v>2346</v>
      </c>
      <c r="H2243">
        <v>1</v>
      </c>
      <c r="I2243" t="s">
        <v>2344</v>
      </c>
      <c r="J2243" t="str">
        <f t="shared" ref="J2243:J2306" si="141">IF(C2243&lt;18.5,"Under Weight",IF(C2243&lt;25,"Normal Weight",IF(C2243&lt;30,"Over weight","Obesity")))</f>
        <v>Normal Weight</v>
      </c>
      <c r="K2243" t="str">
        <f t="shared" si="140"/>
        <v>Normal</v>
      </c>
      <c r="L2243">
        <v>28</v>
      </c>
      <c r="M2243" t="s">
        <v>2356</v>
      </c>
      <c r="N2243">
        <v>1981</v>
      </c>
      <c r="O2243" s="8">
        <f t="shared" ref="O2243:O2306" si="142">DATE(N2243,MONTH(1&amp;M2243),L2243)</f>
        <v>29795</v>
      </c>
      <c r="P2243" s="10">
        <v>40208.559999999998</v>
      </c>
      <c r="Q2243" t="s">
        <v>2361</v>
      </c>
      <c r="R2243" t="s">
        <v>2357</v>
      </c>
      <c r="S2243" t="s">
        <v>2368</v>
      </c>
      <c r="T2243">
        <f t="shared" ref="T2243:T2306" ca="1" si="143">YEAR(TODAY())-YEAR(O2243)</f>
        <v>45</v>
      </c>
      <c r="U2243">
        <f>VLOOKUP($A2243,'Medical Examination'!$A:$Z,2,FALSE)</f>
        <v>21.26</v>
      </c>
    </row>
    <row r="2244" spans="1:21" ht="15.5" x14ac:dyDescent="0.35">
      <c r="A2244" s="2" t="s">
        <v>2244</v>
      </c>
      <c r="B2244" s="2" t="s">
        <v>3811</v>
      </c>
      <c r="C2244">
        <v>15.6</v>
      </c>
      <c r="D2244">
        <v>4.12</v>
      </c>
      <c r="E2244" t="s">
        <v>2346</v>
      </c>
      <c r="F2244" t="s">
        <v>2344</v>
      </c>
      <c r="G2244" t="s">
        <v>2344</v>
      </c>
      <c r="H2244">
        <v>1</v>
      </c>
      <c r="I2244" t="s">
        <v>2344</v>
      </c>
      <c r="J2244" t="str">
        <f t="shared" si="141"/>
        <v>Under Weight</v>
      </c>
      <c r="K2244" t="str">
        <f t="shared" si="140"/>
        <v>Normal</v>
      </c>
      <c r="L2244">
        <v>4</v>
      </c>
      <c r="M2244" t="s">
        <v>2367</v>
      </c>
      <c r="N2244">
        <v>1981</v>
      </c>
      <c r="O2244" s="8">
        <f t="shared" si="142"/>
        <v>29863</v>
      </c>
      <c r="P2244" s="10">
        <v>40273.65</v>
      </c>
      <c r="Q2244" t="s">
        <v>2361</v>
      </c>
      <c r="R2244" t="s">
        <v>2358</v>
      </c>
      <c r="S2244" t="s">
        <v>2359</v>
      </c>
      <c r="T2244">
        <f t="shared" ca="1" si="143"/>
        <v>45</v>
      </c>
      <c r="U2244">
        <f>VLOOKUP($A2244,'Medical Examination'!$A:$Z,2,FALSE)</f>
        <v>15.6</v>
      </c>
    </row>
    <row r="2245" spans="1:21" ht="15.5" x14ac:dyDescent="0.35">
      <c r="A2245" s="2" t="s">
        <v>2245</v>
      </c>
      <c r="B2245" s="2" t="s">
        <v>5336</v>
      </c>
      <c r="C2245">
        <v>24.39</v>
      </c>
      <c r="D2245">
        <v>6.24</v>
      </c>
      <c r="E2245" t="s">
        <v>2344</v>
      </c>
      <c r="F2245" t="s">
        <v>2344</v>
      </c>
      <c r="G2245" t="s">
        <v>2344</v>
      </c>
      <c r="H2245">
        <v>1</v>
      </c>
      <c r="I2245" t="s">
        <v>2344</v>
      </c>
      <c r="J2245" t="str">
        <f t="shared" si="141"/>
        <v>Normal Weight</v>
      </c>
      <c r="K2245" t="str">
        <f t="shared" si="140"/>
        <v>Prediabetes</v>
      </c>
      <c r="L2245">
        <v>27</v>
      </c>
      <c r="M2245" t="s">
        <v>2362</v>
      </c>
      <c r="N2245">
        <v>1977</v>
      </c>
      <c r="O2245" s="8">
        <f t="shared" si="142"/>
        <v>28303</v>
      </c>
      <c r="P2245" s="10">
        <v>40284.379999999997</v>
      </c>
      <c r="Q2245" t="s">
        <v>2361</v>
      </c>
      <c r="R2245" t="s">
        <v>2358</v>
      </c>
      <c r="S2245" t="s">
        <v>2364</v>
      </c>
      <c r="T2245">
        <f t="shared" ca="1" si="143"/>
        <v>49</v>
      </c>
      <c r="U2245">
        <f>VLOOKUP($A2245,'Medical Examination'!$A:$Z,2,FALSE)</f>
        <v>24.39</v>
      </c>
    </row>
    <row r="2246" spans="1:21" ht="15.5" x14ac:dyDescent="0.35">
      <c r="A2246" s="2" t="s">
        <v>2246</v>
      </c>
      <c r="B2246" s="2" t="s">
        <v>3482</v>
      </c>
      <c r="C2246">
        <v>24.75</v>
      </c>
      <c r="D2246">
        <v>4.83</v>
      </c>
      <c r="E2246" t="s">
        <v>2344</v>
      </c>
      <c r="F2246" t="s">
        <v>2344</v>
      </c>
      <c r="G2246" t="s">
        <v>2344</v>
      </c>
      <c r="H2246">
        <v>0</v>
      </c>
      <c r="I2246" t="s">
        <v>2344</v>
      </c>
      <c r="J2246" t="str">
        <f t="shared" si="141"/>
        <v>Normal Weight</v>
      </c>
      <c r="K2246" t="str">
        <f t="shared" si="140"/>
        <v>Normal</v>
      </c>
      <c r="L2246">
        <v>4</v>
      </c>
      <c r="M2246" t="s">
        <v>2363</v>
      </c>
      <c r="N2246">
        <v>1962</v>
      </c>
      <c r="O2246" s="8">
        <f t="shared" si="142"/>
        <v>22893</v>
      </c>
      <c r="P2246" s="10">
        <v>40309.93</v>
      </c>
      <c r="Q2246" t="s">
        <v>2361</v>
      </c>
      <c r="R2246" t="s">
        <v>2358</v>
      </c>
      <c r="S2246" t="s">
        <v>2368</v>
      </c>
      <c r="T2246">
        <f t="shared" ca="1" si="143"/>
        <v>64</v>
      </c>
      <c r="U2246">
        <f>VLOOKUP($A2246,'Medical Examination'!$A:$Z,2,FALSE)</f>
        <v>24.75</v>
      </c>
    </row>
    <row r="2247" spans="1:21" ht="15.5" x14ac:dyDescent="0.35">
      <c r="A2247" s="2" t="s">
        <v>2247</v>
      </c>
      <c r="B2247" s="2" t="s">
        <v>5337</v>
      </c>
      <c r="C2247">
        <v>20.88</v>
      </c>
      <c r="D2247">
        <v>7.4</v>
      </c>
      <c r="E2247" t="s">
        <v>2344</v>
      </c>
      <c r="F2247" t="s">
        <v>2344</v>
      </c>
      <c r="G2247" t="s">
        <v>2344</v>
      </c>
      <c r="H2247">
        <v>0</v>
      </c>
      <c r="I2247" t="s">
        <v>2344</v>
      </c>
      <c r="J2247" t="str">
        <f t="shared" si="141"/>
        <v>Normal Weight</v>
      </c>
      <c r="K2247" t="str">
        <f t="shared" si="140"/>
        <v>Diabetes</v>
      </c>
      <c r="L2247">
        <v>12</v>
      </c>
      <c r="M2247" t="s">
        <v>2366</v>
      </c>
      <c r="N2247">
        <v>1966</v>
      </c>
      <c r="O2247" s="8">
        <f t="shared" si="142"/>
        <v>24331</v>
      </c>
      <c r="P2247" s="10">
        <v>40373.74</v>
      </c>
      <c r="Q2247" t="s">
        <v>2361</v>
      </c>
      <c r="R2247" t="s">
        <v>2358</v>
      </c>
      <c r="S2247" t="s">
        <v>2368</v>
      </c>
      <c r="T2247">
        <f t="shared" ca="1" si="143"/>
        <v>60</v>
      </c>
      <c r="U2247">
        <f>VLOOKUP($A2247,'Medical Examination'!$A:$Z,2,FALSE)</f>
        <v>20.88</v>
      </c>
    </row>
    <row r="2248" spans="1:21" ht="15.5" x14ac:dyDescent="0.35">
      <c r="A2248" s="2" t="s">
        <v>2248</v>
      </c>
      <c r="B2248" s="2" t="s">
        <v>5338</v>
      </c>
      <c r="C2248">
        <v>20.43</v>
      </c>
      <c r="D2248">
        <v>4.54</v>
      </c>
      <c r="E2248" t="s">
        <v>2344</v>
      </c>
      <c r="F2248" t="s">
        <v>2344</v>
      </c>
      <c r="G2248" t="s">
        <v>2344</v>
      </c>
      <c r="H2248">
        <v>0</v>
      </c>
      <c r="I2248" t="s">
        <v>2344</v>
      </c>
      <c r="J2248" t="str">
        <f t="shared" si="141"/>
        <v>Normal Weight</v>
      </c>
      <c r="K2248" t="str">
        <f t="shared" si="140"/>
        <v>Normal</v>
      </c>
      <c r="L2248">
        <v>3</v>
      </c>
      <c r="M2248" t="s">
        <v>2360</v>
      </c>
      <c r="N2248">
        <v>1985</v>
      </c>
      <c r="O2248" s="8">
        <f t="shared" si="142"/>
        <v>31354</v>
      </c>
      <c r="P2248" s="10">
        <v>40419.019999999997</v>
      </c>
      <c r="Q2248" t="s">
        <v>2361</v>
      </c>
      <c r="R2248" t="s">
        <v>2357</v>
      </c>
      <c r="S2248" t="s">
        <v>2359</v>
      </c>
      <c r="T2248">
        <f t="shared" ca="1" si="143"/>
        <v>41</v>
      </c>
      <c r="U2248">
        <f>VLOOKUP($A2248,'Medical Examination'!$A:$Z,2,FALSE)</f>
        <v>20.43</v>
      </c>
    </row>
    <row r="2249" spans="1:21" ht="15.5" x14ac:dyDescent="0.35">
      <c r="A2249" s="2" t="s">
        <v>2249</v>
      </c>
      <c r="B2249" s="2" t="s">
        <v>5339</v>
      </c>
      <c r="C2249">
        <v>15.18</v>
      </c>
      <c r="D2249">
        <v>11.11</v>
      </c>
      <c r="E2249" t="s">
        <v>2344</v>
      </c>
      <c r="F2249" t="s">
        <v>2344</v>
      </c>
      <c r="G2249" t="s">
        <v>2344</v>
      </c>
      <c r="H2249">
        <v>0</v>
      </c>
      <c r="I2249" t="s">
        <v>2344</v>
      </c>
      <c r="J2249" t="str">
        <f t="shared" si="141"/>
        <v>Under Weight</v>
      </c>
      <c r="K2249" t="str">
        <f t="shared" si="140"/>
        <v>Diabetes</v>
      </c>
      <c r="L2249">
        <v>10</v>
      </c>
      <c r="M2249" t="s">
        <v>2356</v>
      </c>
      <c r="N2249">
        <v>1975</v>
      </c>
      <c r="O2249" s="8">
        <f t="shared" si="142"/>
        <v>27585</v>
      </c>
      <c r="P2249" s="10">
        <v>40590.550000000003</v>
      </c>
      <c r="Q2249" t="s">
        <v>2361</v>
      </c>
      <c r="R2249" t="s">
        <v>2358</v>
      </c>
      <c r="S2249" t="s">
        <v>2364</v>
      </c>
      <c r="T2249">
        <f t="shared" ca="1" si="143"/>
        <v>51</v>
      </c>
      <c r="U2249">
        <f>VLOOKUP($A2249,'Medical Examination'!$A:$Z,2,FALSE)</f>
        <v>15.18</v>
      </c>
    </row>
    <row r="2250" spans="1:21" ht="15.5" x14ac:dyDescent="0.35">
      <c r="A2250" s="2" t="s">
        <v>2250</v>
      </c>
      <c r="B2250" s="2" t="s">
        <v>5340</v>
      </c>
      <c r="C2250">
        <v>15.12</v>
      </c>
      <c r="D2250">
        <v>4.03</v>
      </c>
      <c r="E2250" t="s">
        <v>2346</v>
      </c>
      <c r="F2250" t="s">
        <v>2344</v>
      </c>
      <c r="G2250" t="s">
        <v>2344</v>
      </c>
      <c r="H2250">
        <v>0</v>
      </c>
      <c r="I2250" t="s">
        <v>2344</v>
      </c>
      <c r="J2250" t="str">
        <f t="shared" si="141"/>
        <v>Under Weight</v>
      </c>
      <c r="K2250" t="str">
        <f t="shared" si="140"/>
        <v>Normal</v>
      </c>
      <c r="L2250">
        <v>25</v>
      </c>
      <c r="M2250" t="s">
        <v>2363</v>
      </c>
      <c r="N2250">
        <v>1970</v>
      </c>
      <c r="O2250" s="8">
        <f t="shared" si="142"/>
        <v>25836</v>
      </c>
      <c r="P2250" s="10">
        <v>40692.910000000003</v>
      </c>
      <c r="Q2250" t="s">
        <v>2361</v>
      </c>
      <c r="R2250" t="s">
        <v>2361</v>
      </c>
      <c r="S2250" t="s">
        <v>2368</v>
      </c>
      <c r="T2250">
        <f t="shared" ca="1" si="143"/>
        <v>56</v>
      </c>
      <c r="U2250">
        <f>VLOOKUP($A2250,'Medical Examination'!$A:$Z,2,FALSE)</f>
        <v>15.12</v>
      </c>
    </row>
    <row r="2251" spans="1:21" ht="15.5" x14ac:dyDescent="0.35">
      <c r="A2251" s="2" t="s">
        <v>2251</v>
      </c>
      <c r="B2251" s="2" t="s">
        <v>5341</v>
      </c>
      <c r="C2251">
        <v>23.88</v>
      </c>
      <c r="D2251">
        <v>4.51</v>
      </c>
      <c r="E2251" t="s">
        <v>2344</v>
      </c>
      <c r="F2251" t="s">
        <v>2344</v>
      </c>
      <c r="G2251" t="s">
        <v>2344</v>
      </c>
      <c r="H2251">
        <v>1</v>
      </c>
      <c r="I2251" t="s">
        <v>2344</v>
      </c>
      <c r="J2251" t="str">
        <f t="shared" si="141"/>
        <v>Normal Weight</v>
      </c>
      <c r="K2251" t="str">
        <f t="shared" si="140"/>
        <v>Normal</v>
      </c>
      <c r="L2251">
        <v>26</v>
      </c>
      <c r="M2251" t="s">
        <v>2365</v>
      </c>
      <c r="N2251">
        <v>1976</v>
      </c>
      <c r="O2251" s="8">
        <f t="shared" si="142"/>
        <v>28120</v>
      </c>
      <c r="P2251" s="10">
        <v>40720.550000000003</v>
      </c>
      <c r="Q2251" t="s">
        <v>2361</v>
      </c>
      <c r="R2251" t="s">
        <v>2358</v>
      </c>
      <c r="S2251" t="s">
        <v>2364</v>
      </c>
      <c r="T2251">
        <f t="shared" ca="1" si="143"/>
        <v>50</v>
      </c>
      <c r="U2251">
        <f>VLOOKUP($A2251,'Medical Examination'!$A:$Z,2,FALSE)</f>
        <v>23.88</v>
      </c>
    </row>
    <row r="2252" spans="1:21" ht="15.5" x14ac:dyDescent="0.35">
      <c r="A2252" s="2" t="s">
        <v>2252</v>
      </c>
      <c r="B2252" s="2" t="s">
        <v>5342</v>
      </c>
      <c r="C2252">
        <v>16.13</v>
      </c>
      <c r="D2252">
        <v>5.56</v>
      </c>
      <c r="E2252" t="s">
        <v>2344</v>
      </c>
      <c r="F2252" t="s">
        <v>2345</v>
      </c>
      <c r="G2252" t="s">
        <v>2344</v>
      </c>
      <c r="H2252">
        <v>1</v>
      </c>
      <c r="I2252" t="s">
        <v>2344</v>
      </c>
      <c r="J2252" t="str">
        <f t="shared" si="141"/>
        <v>Under Weight</v>
      </c>
      <c r="K2252" t="str">
        <f t="shared" ref="K2252:K2315" si="144">IF(D2252&lt;5.7,"Normal",IF(D2252&lt;6.5,"Prediabetes","Diabetes"))</f>
        <v>Normal</v>
      </c>
      <c r="L2252">
        <v>10</v>
      </c>
      <c r="M2252" t="s">
        <v>2362</v>
      </c>
      <c r="N2252">
        <v>1972</v>
      </c>
      <c r="O2252" s="8">
        <f t="shared" si="142"/>
        <v>26460</v>
      </c>
      <c r="P2252" s="10">
        <v>40817.85</v>
      </c>
      <c r="Q2252" t="s">
        <v>2361</v>
      </c>
      <c r="R2252" t="s">
        <v>2358</v>
      </c>
      <c r="S2252" t="s">
        <v>2368</v>
      </c>
      <c r="T2252">
        <f t="shared" ca="1" si="143"/>
        <v>54</v>
      </c>
      <c r="U2252">
        <f>VLOOKUP($A2252,'Medical Examination'!$A:$Z,2,FALSE)</f>
        <v>16.13</v>
      </c>
    </row>
    <row r="2253" spans="1:21" ht="15.5" x14ac:dyDescent="0.35">
      <c r="A2253" s="2" t="s">
        <v>2253</v>
      </c>
      <c r="B2253" s="2" t="s">
        <v>5343</v>
      </c>
      <c r="C2253">
        <v>24.09</v>
      </c>
      <c r="D2253">
        <v>4.0999999999999996</v>
      </c>
      <c r="E2253" t="s">
        <v>2344</v>
      </c>
      <c r="F2253" t="s">
        <v>2345</v>
      </c>
      <c r="G2253" t="s">
        <v>2344</v>
      </c>
      <c r="H2253">
        <v>1</v>
      </c>
      <c r="I2253" t="s">
        <v>2344</v>
      </c>
      <c r="J2253" t="str">
        <f t="shared" si="141"/>
        <v>Normal Weight</v>
      </c>
      <c r="K2253" t="str">
        <f t="shared" si="144"/>
        <v>Normal</v>
      </c>
      <c r="L2253">
        <v>2</v>
      </c>
      <c r="M2253" t="s">
        <v>2356</v>
      </c>
      <c r="N2253">
        <v>1999</v>
      </c>
      <c r="O2253" s="8">
        <f t="shared" si="142"/>
        <v>36343</v>
      </c>
      <c r="P2253" s="10">
        <v>40904.199999999997</v>
      </c>
      <c r="Q2253" t="s">
        <v>2361</v>
      </c>
      <c r="R2253" t="s">
        <v>2361</v>
      </c>
      <c r="S2253" t="s">
        <v>2374</v>
      </c>
      <c r="T2253">
        <f t="shared" ca="1" si="143"/>
        <v>27</v>
      </c>
      <c r="U2253">
        <f>VLOOKUP($A2253,'Medical Examination'!$A:$Z,2,FALSE)</f>
        <v>24.09</v>
      </c>
    </row>
    <row r="2254" spans="1:21" ht="15.5" x14ac:dyDescent="0.35">
      <c r="A2254" s="2" t="s">
        <v>2254</v>
      </c>
      <c r="B2254" s="2" t="s">
        <v>5344</v>
      </c>
      <c r="C2254">
        <v>19.43</v>
      </c>
      <c r="D2254">
        <v>5.85</v>
      </c>
      <c r="E2254" t="s">
        <v>2344</v>
      </c>
      <c r="F2254" t="s">
        <v>2345</v>
      </c>
      <c r="G2254" t="s">
        <v>2344</v>
      </c>
      <c r="H2254">
        <v>1</v>
      </c>
      <c r="I2254" t="s">
        <v>2344</v>
      </c>
      <c r="J2254" t="str">
        <f t="shared" si="141"/>
        <v>Normal Weight</v>
      </c>
      <c r="K2254" t="str">
        <f t="shared" si="144"/>
        <v>Prediabetes</v>
      </c>
      <c r="L2254">
        <v>4</v>
      </c>
      <c r="M2254" t="s">
        <v>2366</v>
      </c>
      <c r="N2254">
        <v>1992</v>
      </c>
      <c r="O2254" s="8">
        <f t="shared" si="142"/>
        <v>33820</v>
      </c>
      <c r="P2254" s="10">
        <v>40932.43</v>
      </c>
      <c r="Q2254" t="s">
        <v>2361</v>
      </c>
      <c r="R2254" t="s">
        <v>2357</v>
      </c>
      <c r="S2254" t="s">
        <v>2359</v>
      </c>
      <c r="T2254">
        <f t="shared" ca="1" si="143"/>
        <v>34</v>
      </c>
      <c r="U2254">
        <f>VLOOKUP($A2254,'Medical Examination'!$A:$Z,2,FALSE)</f>
        <v>19.43</v>
      </c>
    </row>
    <row r="2255" spans="1:21" ht="15.5" x14ac:dyDescent="0.35">
      <c r="A2255" s="2" t="s">
        <v>2255</v>
      </c>
      <c r="B2255" s="2" t="s">
        <v>5346</v>
      </c>
      <c r="C2255">
        <v>15.22</v>
      </c>
      <c r="D2255">
        <v>4.92</v>
      </c>
      <c r="E2255" t="s">
        <v>2346</v>
      </c>
      <c r="F2255" t="s">
        <v>2344</v>
      </c>
      <c r="G2255" t="s">
        <v>2346</v>
      </c>
      <c r="H2255">
        <v>1</v>
      </c>
      <c r="I2255" t="s">
        <v>2344</v>
      </c>
      <c r="J2255" t="str">
        <f t="shared" si="141"/>
        <v>Under Weight</v>
      </c>
      <c r="K2255" t="str">
        <f t="shared" si="144"/>
        <v>Normal</v>
      </c>
      <c r="L2255">
        <v>16</v>
      </c>
      <c r="M2255" t="s">
        <v>2363</v>
      </c>
      <c r="N2255">
        <v>1979</v>
      </c>
      <c r="O2255" s="8">
        <f t="shared" si="142"/>
        <v>29114</v>
      </c>
      <c r="P2255" s="10">
        <v>40941.29</v>
      </c>
      <c r="Q2255" t="s">
        <v>2361</v>
      </c>
      <c r="R2255" t="s">
        <v>2357</v>
      </c>
      <c r="S2255" t="s">
        <v>2359</v>
      </c>
      <c r="T2255">
        <f t="shared" ca="1" si="143"/>
        <v>47</v>
      </c>
      <c r="U2255">
        <f>VLOOKUP($A2255,'Medical Examination'!$A:$Z,2,FALSE)</f>
        <v>15.22</v>
      </c>
    </row>
    <row r="2256" spans="1:21" ht="15.5" x14ac:dyDescent="0.35">
      <c r="A2256" s="2" t="s">
        <v>2256</v>
      </c>
      <c r="B2256" s="2" t="s">
        <v>5347</v>
      </c>
      <c r="C2256">
        <v>20.72</v>
      </c>
      <c r="D2256">
        <v>9.4600000000000009</v>
      </c>
      <c r="E2256" t="s">
        <v>2344</v>
      </c>
      <c r="F2256" t="s">
        <v>2344</v>
      </c>
      <c r="G2256" t="s">
        <v>2344</v>
      </c>
      <c r="H2256">
        <v>0</v>
      </c>
      <c r="I2256" t="s">
        <v>2344</v>
      </c>
      <c r="J2256" t="str">
        <f t="shared" si="141"/>
        <v>Normal Weight</v>
      </c>
      <c r="K2256" t="str">
        <f t="shared" si="144"/>
        <v>Diabetes</v>
      </c>
      <c r="L2256">
        <v>8</v>
      </c>
      <c r="M2256" t="s">
        <v>2363</v>
      </c>
      <c r="N2256">
        <v>1983</v>
      </c>
      <c r="O2256" s="8">
        <f t="shared" si="142"/>
        <v>30567</v>
      </c>
      <c r="P2256" s="10">
        <v>40961.29</v>
      </c>
      <c r="Q2256" t="s">
        <v>2361</v>
      </c>
      <c r="R2256" t="s">
        <v>2357</v>
      </c>
      <c r="S2256" t="s">
        <v>2368</v>
      </c>
      <c r="T2256">
        <f t="shared" ca="1" si="143"/>
        <v>43</v>
      </c>
      <c r="U2256">
        <f>VLOOKUP($A2256,'Medical Examination'!$A:$Z,2,FALSE)</f>
        <v>20.72</v>
      </c>
    </row>
    <row r="2257" spans="1:21" ht="15.5" x14ac:dyDescent="0.35">
      <c r="A2257" s="2" t="s">
        <v>2257</v>
      </c>
      <c r="B2257" s="2" t="s">
        <v>2545</v>
      </c>
      <c r="C2257">
        <v>35.4</v>
      </c>
      <c r="D2257">
        <v>5.94</v>
      </c>
      <c r="E2257" t="s">
        <v>2344</v>
      </c>
      <c r="F2257" t="s">
        <v>2344</v>
      </c>
      <c r="G2257" t="s">
        <v>2346</v>
      </c>
      <c r="H2257">
        <v>1</v>
      </c>
      <c r="I2257" t="s">
        <v>2344</v>
      </c>
      <c r="J2257" t="str">
        <f t="shared" si="141"/>
        <v>Obesity</v>
      </c>
      <c r="K2257" t="str">
        <f t="shared" si="144"/>
        <v>Prediabetes</v>
      </c>
      <c r="L2257">
        <v>5</v>
      </c>
      <c r="M2257" t="s">
        <v>2362</v>
      </c>
      <c r="N2257">
        <v>1974</v>
      </c>
      <c r="O2257" s="8">
        <f t="shared" si="142"/>
        <v>27185</v>
      </c>
      <c r="P2257" s="10">
        <v>40974.160000000003</v>
      </c>
      <c r="Q2257" t="s">
        <v>2361</v>
      </c>
      <c r="R2257" t="s">
        <v>2357</v>
      </c>
      <c r="S2257" t="s">
        <v>2359</v>
      </c>
      <c r="T2257">
        <f t="shared" ca="1" si="143"/>
        <v>52</v>
      </c>
      <c r="U2257">
        <f>VLOOKUP($A2257,'Medical Examination'!$A:$Z,2,FALSE)</f>
        <v>35.4</v>
      </c>
    </row>
    <row r="2258" spans="1:21" ht="15.5" x14ac:dyDescent="0.35">
      <c r="A2258" s="2" t="s">
        <v>2258</v>
      </c>
      <c r="B2258" s="2" t="s">
        <v>5348</v>
      </c>
      <c r="C2258">
        <v>34.4</v>
      </c>
      <c r="D2258">
        <v>5.7</v>
      </c>
      <c r="E2258" t="s">
        <v>2344</v>
      </c>
      <c r="F2258" t="s">
        <v>2344</v>
      </c>
      <c r="G2258" t="s">
        <v>2346</v>
      </c>
      <c r="H2258">
        <v>1</v>
      </c>
      <c r="I2258" t="s">
        <v>2344</v>
      </c>
      <c r="J2258" t="str">
        <f t="shared" si="141"/>
        <v>Obesity</v>
      </c>
      <c r="K2258" t="str">
        <f t="shared" si="144"/>
        <v>Prediabetes</v>
      </c>
      <c r="L2258">
        <v>11</v>
      </c>
      <c r="M2258" t="s">
        <v>2367</v>
      </c>
      <c r="N2258">
        <v>1979</v>
      </c>
      <c r="O2258" s="8">
        <f t="shared" si="142"/>
        <v>29139</v>
      </c>
      <c r="P2258" s="10">
        <v>41034.22</v>
      </c>
      <c r="Q2258" t="s">
        <v>2361</v>
      </c>
      <c r="R2258" t="s">
        <v>2358</v>
      </c>
      <c r="S2258" t="s">
        <v>2378</v>
      </c>
      <c r="T2258">
        <f t="shared" ca="1" si="143"/>
        <v>47</v>
      </c>
      <c r="U2258">
        <f>VLOOKUP($A2258,'Medical Examination'!$A:$Z,2,FALSE)</f>
        <v>34.4</v>
      </c>
    </row>
    <row r="2259" spans="1:21" ht="15.5" x14ac:dyDescent="0.35">
      <c r="A2259" s="2" t="s">
        <v>2259</v>
      </c>
      <c r="B2259" s="2" t="s">
        <v>5350</v>
      </c>
      <c r="C2259">
        <v>34.1</v>
      </c>
      <c r="D2259">
        <v>4.13</v>
      </c>
      <c r="E2259" t="s">
        <v>2344</v>
      </c>
      <c r="F2259" t="s">
        <v>2344</v>
      </c>
      <c r="G2259" t="s">
        <v>2346</v>
      </c>
      <c r="H2259">
        <v>1</v>
      </c>
      <c r="I2259" t="s">
        <v>2344</v>
      </c>
      <c r="J2259" t="str">
        <f t="shared" si="141"/>
        <v>Obesity</v>
      </c>
      <c r="K2259" t="str">
        <f t="shared" si="144"/>
        <v>Normal</v>
      </c>
      <c r="L2259">
        <v>12</v>
      </c>
      <c r="M2259" t="s">
        <v>2366</v>
      </c>
      <c r="N2259">
        <v>1972</v>
      </c>
      <c r="O2259" s="8">
        <f t="shared" si="142"/>
        <v>26523</v>
      </c>
      <c r="P2259" s="10">
        <v>41055.29</v>
      </c>
      <c r="Q2259" t="s">
        <v>2361</v>
      </c>
      <c r="R2259" t="s">
        <v>2357</v>
      </c>
      <c r="S2259" t="s">
        <v>2368</v>
      </c>
      <c r="T2259">
        <f t="shared" ca="1" si="143"/>
        <v>54</v>
      </c>
      <c r="U2259">
        <f>VLOOKUP($A2259,'Medical Examination'!$A:$Z,2,FALSE)</f>
        <v>34.1</v>
      </c>
    </row>
    <row r="2260" spans="1:21" ht="15.5" x14ac:dyDescent="0.35">
      <c r="A2260" s="2" t="s">
        <v>2260</v>
      </c>
      <c r="B2260" s="2" t="s">
        <v>5352</v>
      </c>
      <c r="C2260">
        <v>30.4</v>
      </c>
      <c r="D2260">
        <v>4.7699999999999996</v>
      </c>
      <c r="E2260" t="s">
        <v>2344</v>
      </c>
      <c r="F2260" t="s">
        <v>2344</v>
      </c>
      <c r="G2260" t="s">
        <v>2346</v>
      </c>
      <c r="H2260">
        <v>1</v>
      </c>
      <c r="I2260" t="s">
        <v>2344</v>
      </c>
      <c r="J2260" t="str">
        <f t="shared" si="141"/>
        <v>Obesity</v>
      </c>
      <c r="K2260" t="str">
        <f t="shared" si="144"/>
        <v>Normal</v>
      </c>
      <c r="L2260">
        <v>6</v>
      </c>
      <c r="M2260" t="s">
        <v>2363</v>
      </c>
      <c r="N2260">
        <v>1972</v>
      </c>
      <c r="O2260" s="8">
        <f t="shared" si="142"/>
        <v>26548</v>
      </c>
      <c r="P2260" s="10">
        <v>41097.160000000003</v>
      </c>
      <c r="Q2260" t="s">
        <v>2361</v>
      </c>
      <c r="R2260" t="s">
        <v>2358</v>
      </c>
      <c r="S2260" t="s">
        <v>2371</v>
      </c>
      <c r="T2260">
        <f t="shared" ca="1" si="143"/>
        <v>54</v>
      </c>
      <c r="U2260">
        <f>VLOOKUP($A2260,'Medical Examination'!$A:$Z,2,FALSE)</f>
        <v>30.4</v>
      </c>
    </row>
    <row r="2261" spans="1:21" ht="15.5" x14ac:dyDescent="0.35">
      <c r="A2261" s="2" t="s">
        <v>2261</v>
      </c>
      <c r="B2261" s="2" t="s">
        <v>5353</v>
      </c>
      <c r="C2261">
        <v>28.7</v>
      </c>
      <c r="D2261">
        <v>4.99</v>
      </c>
      <c r="E2261" t="s">
        <v>2344</v>
      </c>
      <c r="F2261" t="s">
        <v>2344</v>
      </c>
      <c r="G2261" t="s">
        <v>2346</v>
      </c>
      <c r="H2261">
        <v>1</v>
      </c>
      <c r="I2261" t="s">
        <v>2344</v>
      </c>
      <c r="J2261" t="str">
        <f t="shared" si="141"/>
        <v>Over weight</v>
      </c>
      <c r="K2261" t="str">
        <f t="shared" si="144"/>
        <v>Normal</v>
      </c>
      <c r="L2261">
        <v>8</v>
      </c>
      <c r="M2261" t="s">
        <v>2366</v>
      </c>
      <c r="N2261">
        <v>1969</v>
      </c>
      <c r="O2261" s="8">
        <f t="shared" si="142"/>
        <v>25423</v>
      </c>
      <c r="P2261" s="10">
        <v>41191.57</v>
      </c>
      <c r="Q2261" t="s">
        <v>2361</v>
      </c>
      <c r="R2261" t="s">
        <v>2357</v>
      </c>
      <c r="S2261" t="s">
        <v>2368</v>
      </c>
      <c r="T2261">
        <f t="shared" ca="1" si="143"/>
        <v>57</v>
      </c>
      <c r="U2261">
        <f>VLOOKUP($A2261,'Medical Examination'!$A:$Z,2,FALSE)</f>
        <v>28.7</v>
      </c>
    </row>
    <row r="2262" spans="1:21" ht="15.5" x14ac:dyDescent="0.35">
      <c r="A2262" s="2" t="s">
        <v>2262</v>
      </c>
      <c r="B2262" s="2" t="s">
        <v>5354</v>
      </c>
      <c r="C2262">
        <v>17.440000000000001</v>
      </c>
      <c r="D2262">
        <v>4.42</v>
      </c>
      <c r="E2262" t="s">
        <v>2346</v>
      </c>
      <c r="F2262" t="s">
        <v>2344</v>
      </c>
      <c r="G2262" t="s">
        <v>2346</v>
      </c>
      <c r="H2262">
        <v>1</v>
      </c>
      <c r="I2262" t="s">
        <v>2344</v>
      </c>
      <c r="J2262" t="str">
        <f t="shared" si="141"/>
        <v>Under Weight</v>
      </c>
      <c r="K2262" t="str">
        <f t="shared" si="144"/>
        <v>Normal</v>
      </c>
      <c r="L2262">
        <v>6</v>
      </c>
      <c r="M2262" t="s">
        <v>2362</v>
      </c>
      <c r="N2262">
        <v>1964</v>
      </c>
      <c r="O2262" s="8">
        <f t="shared" si="142"/>
        <v>23534</v>
      </c>
      <c r="P2262" s="10">
        <v>41250.39</v>
      </c>
      <c r="Q2262" t="s">
        <v>2361</v>
      </c>
      <c r="R2262" t="s">
        <v>2358</v>
      </c>
      <c r="S2262" t="s">
        <v>2368</v>
      </c>
      <c r="T2262">
        <f t="shared" ca="1" si="143"/>
        <v>62</v>
      </c>
      <c r="U2262">
        <f>VLOOKUP($A2262,'Medical Examination'!$A:$Z,2,FALSE)</f>
        <v>17.440000000000001</v>
      </c>
    </row>
    <row r="2263" spans="1:21" ht="15.5" x14ac:dyDescent="0.35">
      <c r="A2263" s="2" t="s">
        <v>2263</v>
      </c>
      <c r="B2263" s="2" t="s">
        <v>5355</v>
      </c>
      <c r="C2263">
        <v>27.6</v>
      </c>
      <c r="D2263">
        <v>4.01</v>
      </c>
      <c r="E2263" t="s">
        <v>2344</v>
      </c>
      <c r="F2263" t="s">
        <v>2344</v>
      </c>
      <c r="G2263" t="s">
        <v>2346</v>
      </c>
      <c r="H2263">
        <v>1</v>
      </c>
      <c r="I2263" t="s">
        <v>2344</v>
      </c>
      <c r="J2263" t="str">
        <f t="shared" si="141"/>
        <v>Over weight</v>
      </c>
      <c r="K2263" t="str">
        <f t="shared" si="144"/>
        <v>Normal</v>
      </c>
      <c r="L2263">
        <v>27</v>
      </c>
      <c r="M2263" t="s">
        <v>2366</v>
      </c>
      <c r="N2263">
        <v>1977</v>
      </c>
      <c r="O2263" s="8">
        <f t="shared" si="142"/>
        <v>28364</v>
      </c>
      <c r="P2263" s="10">
        <v>41271.5</v>
      </c>
      <c r="Q2263" t="s">
        <v>2361</v>
      </c>
      <c r="R2263" t="s">
        <v>2357</v>
      </c>
      <c r="S2263" t="s">
        <v>2368</v>
      </c>
      <c r="T2263">
        <f t="shared" ca="1" si="143"/>
        <v>49</v>
      </c>
      <c r="U2263">
        <f>VLOOKUP($A2263,'Medical Examination'!$A:$Z,2,FALSE)</f>
        <v>27.6</v>
      </c>
    </row>
    <row r="2264" spans="1:21" ht="15.5" x14ac:dyDescent="0.35">
      <c r="A2264" s="2" t="s">
        <v>2264</v>
      </c>
      <c r="B2264" s="2" t="s">
        <v>5356</v>
      </c>
      <c r="C2264">
        <v>20.7</v>
      </c>
      <c r="D2264">
        <v>4.49</v>
      </c>
      <c r="E2264" t="s">
        <v>2344</v>
      </c>
      <c r="F2264" t="s">
        <v>2344</v>
      </c>
      <c r="G2264" t="s">
        <v>2346</v>
      </c>
      <c r="H2264">
        <v>1</v>
      </c>
      <c r="I2264" t="s">
        <v>2344</v>
      </c>
      <c r="J2264" t="str">
        <f t="shared" si="141"/>
        <v>Normal Weight</v>
      </c>
      <c r="K2264" t="str">
        <f t="shared" si="144"/>
        <v>Normal</v>
      </c>
      <c r="L2264">
        <v>7</v>
      </c>
      <c r="M2264" t="s">
        <v>2367</v>
      </c>
      <c r="N2264">
        <v>1964</v>
      </c>
      <c r="O2264" s="8">
        <f t="shared" si="142"/>
        <v>23657</v>
      </c>
      <c r="P2264" s="10">
        <v>41331.79</v>
      </c>
      <c r="Q2264" t="s">
        <v>2361</v>
      </c>
      <c r="R2264" t="s">
        <v>2357</v>
      </c>
      <c r="S2264" t="s">
        <v>2368</v>
      </c>
      <c r="T2264">
        <f t="shared" ca="1" si="143"/>
        <v>62</v>
      </c>
      <c r="U2264">
        <f>VLOOKUP($A2264,'Medical Examination'!$A:$Z,2,FALSE)</f>
        <v>20.7</v>
      </c>
    </row>
    <row r="2265" spans="1:21" ht="15.5" x14ac:dyDescent="0.35">
      <c r="A2265" s="2" t="s">
        <v>2265</v>
      </c>
      <c r="B2265" s="2" t="s">
        <v>5358</v>
      </c>
      <c r="C2265">
        <v>20.3</v>
      </c>
      <c r="D2265">
        <v>6.37</v>
      </c>
      <c r="E2265" t="s">
        <v>2344</v>
      </c>
      <c r="F2265" t="s">
        <v>2344</v>
      </c>
      <c r="G2265" t="s">
        <v>2346</v>
      </c>
      <c r="H2265">
        <v>1</v>
      </c>
      <c r="I2265" t="s">
        <v>2344</v>
      </c>
      <c r="J2265" t="str">
        <f t="shared" si="141"/>
        <v>Normal Weight</v>
      </c>
      <c r="K2265" t="str">
        <f t="shared" si="144"/>
        <v>Prediabetes</v>
      </c>
      <c r="L2265">
        <v>16</v>
      </c>
      <c r="M2265" t="s">
        <v>2367</v>
      </c>
      <c r="N2265">
        <v>1971</v>
      </c>
      <c r="O2265" s="8">
        <f t="shared" si="142"/>
        <v>26222</v>
      </c>
      <c r="P2265" s="10">
        <v>41351.879999999997</v>
      </c>
      <c r="Q2265" t="s">
        <v>2361</v>
      </c>
      <c r="R2265" t="s">
        <v>2357</v>
      </c>
      <c r="S2265" t="s">
        <v>2368</v>
      </c>
      <c r="T2265">
        <f t="shared" ca="1" si="143"/>
        <v>55</v>
      </c>
      <c r="U2265">
        <f>VLOOKUP($A2265,'Medical Examination'!$A:$Z,2,FALSE)</f>
        <v>20.3</v>
      </c>
    </row>
    <row r="2266" spans="1:21" ht="15.5" x14ac:dyDescent="0.35">
      <c r="A2266" s="2" t="s">
        <v>2266</v>
      </c>
      <c r="B2266" s="2" t="s">
        <v>4694</v>
      </c>
      <c r="C2266">
        <v>19.8</v>
      </c>
      <c r="D2266">
        <v>5.12</v>
      </c>
      <c r="E2266" t="s">
        <v>2344</v>
      </c>
      <c r="F2266" t="s">
        <v>2344</v>
      </c>
      <c r="G2266" t="s">
        <v>2346</v>
      </c>
      <c r="H2266">
        <v>1</v>
      </c>
      <c r="I2266" t="s">
        <v>2344</v>
      </c>
      <c r="J2266" t="str">
        <f t="shared" si="141"/>
        <v>Normal Weight</v>
      </c>
      <c r="K2266" t="str">
        <f t="shared" si="144"/>
        <v>Normal</v>
      </c>
      <c r="L2266">
        <v>22</v>
      </c>
      <c r="M2266" t="s">
        <v>2365</v>
      </c>
      <c r="N2266">
        <v>1967</v>
      </c>
      <c r="O2266" s="8">
        <f t="shared" si="142"/>
        <v>24828</v>
      </c>
      <c r="P2266" s="10">
        <v>41505.15</v>
      </c>
      <c r="Q2266" t="s">
        <v>2361</v>
      </c>
      <c r="R2266" t="s">
        <v>2357</v>
      </c>
      <c r="S2266" t="s">
        <v>2368</v>
      </c>
      <c r="T2266">
        <f t="shared" ca="1" si="143"/>
        <v>59</v>
      </c>
      <c r="U2266">
        <f>VLOOKUP($A2266,'Medical Examination'!$A:$Z,2,FALSE)</f>
        <v>19.8</v>
      </c>
    </row>
    <row r="2267" spans="1:21" ht="15.5" x14ac:dyDescent="0.35">
      <c r="A2267" s="2" t="s">
        <v>2267</v>
      </c>
      <c r="B2267" s="2" t="s">
        <v>5362</v>
      </c>
      <c r="C2267">
        <v>21.87</v>
      </c>
      <c r="D2267">
        <v>8.59</v>
      </c>
      <c r="E2267" t="s">
        <v>2344</v>
      </c>
      <c r="F2267" t="s">
        <v>2344</v>
      </c>
      <c r="G2267" t="s">
        <v>2344</v>
      </c>
      <c r="H2267">
        <v>0</v>
      </c>
      <c r="I2267" t="s">
        <v>2344</v>
      </c>
      <c r="J2267" t="str">
        <f t="shared" si="141"/>
        <v>Normal Weight</v>
      </c>
      <c r="K2267" t="str">
        <f t="shared" si="144"/>
        <v>Diabetes</v>
      </c>
      <c r="L2267">
        <v>24</v>
      </c>
      <c r="M2267" t="s">
        <v>2360</v>
      </c>
      <c r="N2267">
        <v>1974</v>
      </c>
      <c r="O2267" s="8">
        <f t="shared" si="142"/>
        <v>27357</v>
      </c>
      <c r="P2267" s="10">
        <v>41636.199999999997</v>
      </c>
      <c r="Q2267" t="s">
        <v>2361</v>
      </c>
      <c r="R2267" t="s">
        <v>2361</v>
      </c>
      <c r="S2267" t="s">
        <v>2368</v>
      </c>
      <c r="T2267">
        <f t="shared" ca="1" si="143"/>
        <v>52</v>
      </c>
      <c r="U2267">
        <f>VLOOKUP($A2267,'Medical Examination'!$A:$Z,2,FALSE)</f>
        <v>21.87</v>
      </c>
    </row>
    <row r="2268" spans="1:21" ht="15.5" x14ac:dyDescent="0.35">
      <c r="A2268" s="2" t="s">
        <v>2268</v>
      </c>
      <c r="B2268" s="2" t="s">
        <v>5363</v>
      </c>
      <c r="C2268">
        <v>16.600000000000001</v>
      </c>
      <c r="D2268">
        <v>5.87</v>
      </c>
      <c r="E2268" t="s">
        <v>2344</v>
      </c>
      <c r="F2268" t="s">
        <v>2344</v>
      </c>
      <c r="G2268" t="s">
        <v>2344</v>
      </c>
      <c r="H2268">
        <v>1</v>
      </c>
      <c r="I2268" t="s">
        <v>2344</v>
      </c>
      <c r="J2268" t="str">
        <f t="shared" si="141"/>
        <v>Under Weight</v>
      </c>
      <c r="K2268" t="str">
        <f t="shared" si="144"/>
        <v>Prediabetes</v>
      </c>
      <c r="L2268">
        <v>29</v>
      </c>
      <c r="M2268" t="s">
        <v>2367</v>
      </c>
      <c r="N2268">
        <v>1976</v>
      </c>
      <c r="O2268" s="8">
        <f t="shared" si="142"/>
        <v>28062</v>
      </c>
      <c r="P2268" s="10">
        <v>41661.599999999999</v>
      </c>
      <c r="Q2268" t="s">
        <v>2361</v>
      </c>
      <c r="R2268" t="s">
        <v>2358</v>
      </c>
      <c r="S2268" t="s">
        <v>2368</v>
      </c>
      <c r="T2268">
        <f t="shared" ca="1" si="143"/>
        <v>50</v>
      </c>
      <c r="U2268">
        <f>VLOOKUP($A2268,'Medical Examination'!$A:$Z,2,FALSE)</f>
        <v>16.600000000000001</v>
      </c>
    </row>
    <row r="2269" spans="1:21" ht="15.5" x14ac:dyDescent="0.35">
      <c r="A2269" s="2" t="s">
        <v>2269</v>
      </c>
      <c r="B2269" s="2" t="s">
        <v>5364</v>
      </c>
      <c r="C2269">
        <v>21.98</v>
      </c>
      <c r="D2269">
        <v>7.03</v>
      </c>
      <c r="E2269" t="s">
        <v>2344</v>
      </c>
      <c r="F2269" t="s">
        <v>2344</v>
      </c>
      <c r="G2269" t="s">
        <v>2344</v>
      </c>
      <c r="H2269">
        <v>0</v>
      </c>
      <c r="I2269" t="s">
        <v>2344</v>
      </c>
      <c r="J2269" t="str">
        <f t="shared" si="141"/>
        <v>Normal Weight</v>
      </c>
      <c r="K2269" t="str">
        <f t="shared" si="144"/>
        <v>Diabetes</v>
      </c>
      <c r="L2269">
        <v>14</v>
      </c>
      <c r="M2269" t="s">
        <v>2360</v>
      </c>
      <c r="N2269">
        <v>1975</v>
      </c>
      <c r="O2269" s="8">
        <f t="shared" si="142"/>
        <v>27712</v>
      </c>
      <c r="P2269" s="10">
        <v>41676.080000000002</v>
      </c>
      <c r="Q2269" t="s">
        <v>2361</v>
      </c>
      <c r="R2269" t="s">
        <v>2357</v>
      </c>
      <c r="S2269" t="s">
        <v>2359</v>
      </c>
      <c r="T2269">
        <f t="shared" ca="1" si="143"/>
        <v>51</v>
      </c>
      <c r="U2269">
        <f>VLOOKUP($A2269,'Medical Examination'!$A:$Z,2,FALSE)</f>
        <v>21.98</v>
      </c>
    </row>
    <row r="2270" spans="1:21" ht="15.5" x14ac:dyDescent="0.35">
      <c r="A2270" s="2" t="s">
        <v>2270</v>
      </c>
      <c r="B2270" s="2" t="s">
        <v>2674</v>
      </c>
      <c r="C2270">
        <v>19.7</v>
      </c>
      <c r="D2270">
        <v>5.51</v>
      </c>
      <c r="E2270" t="s">
        <v>2344</v>
      </c>
      <c r="F2270" t="s">
        <v>2344</v>
      </c>
      <c r="G2270" t="s">
        <v>2344</v>
      </c>
      <c r="H2270">
        <v>1</v>
      </c>
      <c r="I2270" t="s">
        <v>2344</v>
      </c>
      <c r="J2270" t="str">
        <f t="shared" si="141"/>
        <v>Normal Weight</v>
      </c>
      <c r="K2270" t="str">
        <f t="shared" si="144"/>
        <v>Normal</v>
      </c>
      <c r="L2270">
        <v>29</v>
      </c>
      <c r="M2270" t="s">
        <v>2363</v>
      </c>
      <c r="N2270">
        <v>1975</v>
      </c>
      <c r="O2270" s="8">
        <f t="shared" si="142"/>
        <v>27666</v>
      </c>
      <c r="P2270" s="10">
        <v>41681.86</v>
      </c>
      <c r="Q2270" t="s">
        <v>2361</v>
      </c>
      <c r="R2270" t="s">
        <v>2361</v>
      </c>
      <c r="S2270" t="s">
        <v>2368</v>
      </c>
      <c r="T2270">
        <f t="shared" ca="1" si="143"/>
        <v>51</v>
      </c>
      <c r="U2270">
        <f>VLOOKUP($A2270,'Medical Examination'!$A:$Z,2,FALSE)</f>
        <v>19.7</v>
      </c>
    </row>
    <row r="2271" spans="1:21" ht="15.5" x14ac:dyDescent="0.35">
      <c r="A2271" s="2" t="s">
        <v>2271</v>
      </c>
      <c r="B2271" s="2" t="s">
        <v>3378</v>
      </c>
      <c r="C2271">
        <v>19.21</v>
      </c>
      <c r="D2271">
        <v>4.76</v>
      </c>
      <c r="E2271" t="s">
        <v>2344</v>
      </c>
      <c r="F2271" t="s">
        <v>2345</v>
      </c>
      <c r="G2271" t="s">
        <v>2344</v>
      </c>
      <c r="H2271">
        <v>1</v>
      </c>
      <c r="I2271" t="s">
        <v>2344</v>
      </c>
      <c r="J2271" t="str">
        <f t="shared" si="141"/>
        <v>Normal Weight</v>
      </c>
      <c r="K2271" t="str">
        <f t="shared" si="144"/>
        <v>Normal</v>
      </c>
      <c r="L2271">
        <v>22</v>
      </c>
      <c r="M2271" t="s">
        <v>2363</v>
      </c>
      <c r="N2271">
        <v>1962</v>
      </c>
      <c r="O2271" s="8">
        <f t="shared" si="142"/>
        <v>22911</v>
      </c>
      <c r="P2271" s="10">
        <v>41794.629999999997</v>
      </c>
      <c r="Q2271" t="s">
        <v>2361</v>
      </c>
      <c r="R2271" t="s">
        <v>2358</v>
      </c>
      <c r="S2271" t="s">
        <v>2368</v>
      </c>
      <c r="T2271">
        <f t="shared" ca="1" si="143"/>
        <v>64</v>
      </c>
      <c r="U2271">
        <f>VLOOKUP($A2271,'Medical Examination'!$A:$Z,2,FALSE)</f>
        <v>19.21</v>
      </c>
    </row>
    <row r="2272" spans="1:21" ht="15.5" x14ac:dyDescent="0.35">
      <c r="A2272" s="2" t="s">
        <v>2272</v>
      </c>
      <c r="B2272" s="2" t="s">
        <v>5365</v>
      </c>
      <c r="C2272">
        <v>19.3</v>
      </c>
      <c r="D2272">
        <v>4.7</v>
      </c>
      <c r="E2272" t="s">
        <v>2344</v>
      </c>
      <c r="F2272" t="s">
        <v>2345</v>
      </c>
      <c r="G2272" t="s">
        <v>2344</v>
      </c>
      <c r="H2272">
        <v>1</v>
      </c>
      <c r="I2272" t="s">
        <v>2344</v>
      </c>
      <c r="J2272" t="str">
        <f t="shared" si="141"/>
        <v>Normal Weight</v>
      </c>
      <c r="K2272" t="str">
        <f t="shared" si="144"/>
        <v>Normal</v>
      </c>
      <c r="L2272">
        <v>21</v>
      </c>
      <c r="M2272" t="s">
        <v>2363</v>
      </c>
      <c r="N2272">
        <v>1966</v>
      </c>
      <c r="O2272" s="8">
        <f t="shared" si="142"/>
        <v>24371</v>
      </c>
      <c r="P2272" s="10">
        <v>41886.54</v>
      </c>
      <c r="Q2272" t="s">
        <v>2361</v>
      </c>
      <c r="R2272" t="s">
        <v>2358</v>
      </c>
      <c r="S2272" t="s">
        <v>2368</v>
      </c>
      <c r="T2272">
        <f t="shared" ca="1" si="143"/>
        <v>60</v>
      </c>
      <c r="U2272">
        <f>VLOOKUP($A2272,'Medical Examination'!$A:$Z,2,FALSE)</f>
        <v>19.3</v>
      </c>
    </row>
    <row r="2273" spans="1:21" ht="15.5" x14ac:dyDescent="0.35">
      <c r="A2273" s="2" t="s">
        <v>2273</v>
      </c>
      <c r="B2273" s="2" t="s">
        <v>5367</v>
      </c>
      <c r="C2273">
        <v>16.22</v>
      </c>
      <c r="D2273">
        <v>6.21</v>
      </c>
      <c r="E2273" t="s">
        <v>2346</v>
      </c>
      <c r="F2273" t="s">
        <v>2344</v>
      </c>
      <c r="G2273" t="s">
        <v>2344</v>
      </c>
      <c r="H2273">
        <v>0</v>
      </c>
      <c r="I2273" t="s">
        <v>2344</v>
      </c>
      <c r="J2273" t="str">
        <f t="shared" si="141"/>
        <v>Under Weight</v>
      </c>
      <c r="K2273" t="str">
        <f t="shared" si="144"/>
        <v>Prediabetes</v>
      </c>
      <c r="L2273">
        <v>8</v>
      </c>
      <c r="M2273" t="s">
        <v>2362</v>
      </c>
      <c r="N2273">
        <v>1972</v>
      </c>
      <c r="O2273" s="8">
        <f t="shared" si="142"/>
        <v>26458</v>
      </c>
      <c r="P2273" s="10">
        <v>41919.1</v>
      </c>
      <c r="Q2273" t="s">
        <v>2361</v>
      </c>
      <c r="R2273" t="s">
        <v>2361</v>
      </c>
      <c r="S2273" t="s">
        <v>2371</v>
      </c>
      <c r="T2273">
        <f t="shared" ca="1" si="143"/>
        <v>54</v>
      </c>
      <c r="U2273">
        <f>VLOOKUP($A2273,'Medical Examination'!$A:$Z,2,FALSE)</f>
        <v>16.22</v>
      </c>
    </row>
    <row r="2274" spans="1:21" ht="15.5" x14ac:dyDescent="0.35">
      <c r="A2274" s="2" t="s">
        <v>2274</v>
      </c>
      <c r="B2274" s="2" t="s">
        <v>2549</v>
      </c>
      <c r="C2274">
        <v>17.12</v>
      </c>
      <c r="D2274">
        <v>4.5199999999999996</v>
      </c>
      <c r="E2274" t="s">
        <v>2344</v>
      </c>
      <c r="F2274" t="s">
        <v>2345</v>
      </c>
      <c r="G2274" t="s">
        <v>2344</v>
      </c>
      <c r="H2274">
        <v>1</v>
      </c>
      <c r="I2274" t="s">
        <v>2344</v>
      </c>
      <c r="J2274" t="str">
        <f t="shared" si="141"/>
        <v>Under Weight</v>
      </c>
      <c r="K2274" t="str">
        <f t="shared" si="144"/>
        <v>Normal</v>
      </c>
      <c r="L2274">
        <v>10</v>
      </c>
      <c r="M2274" t="s">
        <v>2360</v>
      </c>
      <c r="N2274">
        <v>1984</v>
      </c>
      <c r="O2274" s="8">
        <f t="shared" si="142"/>
        <v>30996</v>
      </c>
      <c r="P2274" s="10">
        <v>41949.24</v>
      </c>
      <c r="Q2274" t="s">
        <v>2361</v>
      </c>
      <c r="R2274" t="s">
        <v>2361</v>
      </c>
      <c r="S2274" t="s">
        <v>2359</v>
      </c>
      <c r="T2274">
        <f t="shared" ca="1" si="143"/>
        <v>42</v>
      </c>
      <c r="U2274">
        <f>VLOOKUP($A2274,'Medical Examination'!$A:$Z,2,FALSE)</f>
        <v>17.12</v>
      </c>
    </row>
    <row r="2275" spans="1:21" ht="15.5" x14ac:dyDescent="0.35">
      <c r="A2275" s="2" t="s">
        <v>2275</v>
      </c>
      <c r="B2275" s="2" t="s">
        <v>5369</v>
      </c>
      <c r="C2275">
        <v>19.07</v>
      </c>
      <c r="D2275">
        <v>5.45</v>
      </c>
      <c r="E2275" t="s">
        <v>2344</v>
      </c>
      <c r="F2275" t="s">
        <v>2344</v>
      </c>
      <c r="G2275" t="s">
        <v>2344</v>
      </c>
      <c r="H2275">
        <v>1</v>
      </c>
      <c r="I2275" t="s">
        <v>2344</v>
      </c>
      <c r="J2275" t="str">
        <f t="shared" si="141"/>
        <v>Normal Weight</v>
      </c>
      <c r="K2275" t="str">
        <f t="shared" si="144"/>
        <v>Normal</v>
      </c>
      <c r="L2275">
        <v>19</v>
      </c>
      <c r="M2275" t="s">
        <v>2365</v>
      </c>
      <c r="N2275">
        <v>1968</v>
      </c>
      <c r="O2275" s="8">
        <f t="shared" si="142"/>
        <v>25191</v>
      </c>
      <c r="P2275" s="10">
        <v>41999.519999999997</v>
      </c>
      <c r="Q2275" t="s">
        <v>2361</v>
      </c>
      <c r="R2275" t="s">
        <v>2358</v>
      </c>
      <c r="S2275" t="s">
        <v>2359</v>
      </c>
      <c r="T2275">
        <f t="shared" ca="1" si="143"/>
        <v>58</v>
      </c>
      <c r="U2275">
        <f>VLOOKUP($A2275,'Medical Examination'!$A:$Z,2,FALSE)</f>
        <v>19.07</v>
      </c>
    </row>
    <row r="2276" spans="1:21" ht="15.5" x14ac:dyDescent="0.35">
      <c r="A2276" s="2" t="s">
        <v>2276</v>
      </c>
      <c r="B2276" s="2" t="s">
        <v>5370</v>
      </c>
      <c r="C2276">
        <v>15.56</v>
      </c>
      <c r="D2276">
        <v>4.42</v>
      </c>
      <c r="E2276" t="s">
        <v>2344</v>
      </c>
      <c r="F2276" t="s">
        <v>2344</v>
      </c>
      <c r="G2276" t="s">
        <v>2344</v>
      </c>
      <c r="H2276">
        <v>0</v>
      </c>
      <c r="I2276" t="s">
        <v>2344</v>
      </c>
      <c r="J2276" t="str">
        <f t="shared" si="141"/>
        <v>Under Weight</v>
      </c>
      <c r="K2276" t="str">
        <f t="shared" si="144"/>
        <v>Normal</v>
      </c>
      <c r="L2276">
        <v>28</v>
      </c>
      <c r="M2276" t="s">
        <v>2360</v>
      </c>
      <c r="N2276">
        <v>1976</v>
      </c>
      <c r="O2276" s="8">
        <f t="shared" si="142"/>
        <v>28092</v>
      </c>
      <c r="P2276" s="10">
        <v>42111.66</v>
      </c>
      <c r="Q2276" t="s">
        <v>2361</v>
      </c>
      <c r="R2276" t="s">
        <v>2361</v>
      </c>
      <c r="S2276" t="s">
        <v>2374</v>
      </c>
      <c r="T2276">
        <f t="shared" ca="1" si="143"/>
        <v>50</v>
      </c>
      <c r="U2276">
        <f>VLOOKUP($A2276,'Medical Examination'!$A:$Z,2,FALSE)</f>
        <v>15.56</v>
      </c>
    </row>
    <row r="2277" spans="1:21" ht="15.5" x14ac:dyDescent="0.35">
      <c r="A2277" s="2" t="s">
        <v>2277</v>
      </c>
      <c r="B2277" s="2" t="s">
        <v>5371</v>
      </c>
      <c r="C2277">
        <v>22.76</v>
      </c>
      <c r="D2277">
        <v>9.44</v>
      </c>
      <c r="E2277" t="s">
        <v>2344</v>
      </c>
      <c r="F2277" t="s">
        <v>2344</v>
      </c>
      <c r="G2277" t="s">
        <v>2344</v>
      </c>
      <c r="H2277">
        <v>0</v>
      </c>
      <c r="I2277" t="s">
        <v>2344</v>
      </c>
      <c r="J2277" t="str">
        <f t="shared" si="141"/>
        <v>Normal Weight</v>
      </c>
      <c r="K2277" t="str">
        <f t="shared" si="144"/>
        <v>Diabetes</v>
      </c>
      <c r="L2277">
        <v>9</v>
      </c>
      <c r="M2277" t="s">
        <v>2365</v>
      </c>
      <c r="N2277">
        <v>1997</v>
      </c>
      <c r="O2277" s="8">
        <f t="shared" si="142"/>
        <v>35773</v>
      </c>
      <c r="P2277" s="10">
        <v>42112.24</v>
      </c>
      <c r="Q2277" t="s">
        <v>2361</v>
      </c>
      <c r="R2277" t="s">
        <v>2358</v>
      </c>
      <c r="S2277" t="s">
        <v>2359</v>
      </c>
      <c r="T2277">
        <f t="shared" ca="1" si="143"/>
        <v>29</v>
      </c>
      <c r="U2277">
        <f>VLOOKUP($A2277,'Medical Examination'!$A:$Z,2,FALSE)</f>
        <v>22.76</v>
      </c>
    </row>
    <row r="2278" spans="1:21" ht="15.5" x14ac:dyDescent="0.35">
      <c r="A2278" s="2" t="s">
        <v>2278</v>
      </c>
      <c r="B2278" s="2" t="s">
        <v>5372</v>
      </c>
      <c r="C2278">
        <v>22.79</v>
      </c>
      <c r="D2278">
        <v>6.15</v>
      </c>
      <c r="E2278" t="s">
        <v>2346</v>
      </c>
      <c r="F2278" t="s">
        <v>2344</v>
      </c>
      <c r="G2278" t="s">
        <v>2346</v>
      </c>
      <c r="H2278">
        <v>1</v>
      </c>
      <c r="I2278" t="s">
        <v>2344</v>
      </c>
      <c r="J2278" t="str">
        <f t="shared" si="141"/>
        <v>Normal Weight</v>
      </c>
      <c r="K2278" t="str">
        <f t="shared" si="144"/>
        <v>Prediabetes</v>
      </c>
      <c r="L2278">
        <v>3</v>
      </c>
      <c r="M2278" t="s">
        <v>2356</v>
      </c>
      <c r="N2278">
        <v>1979</v>
      </c>
      <c r="O2278" s="8">
        <f t="shared" si="142"/>
        <v>29039</v>
      </c>
      <c r="P2278" s="10">
        <v>42124.52</v>
      </c>
      <c r="Q2278" t="s">
        <v>2361</v>
      </c>
      <c r="R2278" t="s">
        <v>2361</v>
      </c>
      <c r="S2278" t="s">
        <v>2359</v>
      </c>
      <c r="T2278">
        <f t="shared" ca="1" si="143"/>
        <v>47</v>
      </c>
      <c r="U2278">
        <f>VLOOKUP($A2278,'Medical Examination'!$A:$Z,2,FALSE)</f>
        <v>22.79</v>
      </c>
    </row>
    <row r="2279" spans="1:21" ht="15.5" x14ac:dyDescent="0.35">
      <c r="A2279" s="2" t="s">
        <v>2279</v>
      </c>
      <c r="B2279" s="2" t="s">
        <v>5373</v>
      </c>
      <c r="C2279">
        <v>17.41</v>
      </c>
      <c r="D2279">
        <v>5.13</v>
      </c>
      <c r="E2279" t="s">
        <v>2346</v>
      </c>
      <c r="F2279" t="s">
        <v>2344</v>
      </c>
      <c r="G2279" t="s">
        <v>2344</v>
      </c>
      <c r="H2279">
        <v>0</v>
      </c>
      <c r="I2279" t="s">
        <v>2344</v>
      </c>
      <c r="J2279" t="str">
        <f t="shared" si="141"/>
        <v>Under Weight</v>
      </c>
      <c r="K2279" t="str">
        <f t="shared" si="144"/>
        <v>Normal</v>
      </c>
      <c r="L2279">
        <v>18</v>
      </c>
      <c r="M2279" t="s">
        <v>2363</v>
      </c>
      <c r="N2279">
        <v>1973</v>
      </c>
      <c r="O2279" s="8">
        <f t="shared" si="142"/>
        <v>26925</v>
      </c>
      <c r="P2279" s="10">
        <v>42188.15</v>
      </c>
      <c r="Q2279" t="s">
        <v>2361</v>
      </c>
      <c r="R2279" t="s">
        <v>2361</v>
      </c>
      <c r="S2279" t="s">
        <v>2368</v>
      </c>
      <c r="T2279">
        <f t="shared" ca="1" si="143"/>
        <v>53</v>
      </c>
      <c r="U2279">
        <f>VLOOKUP($A2279,'Medical Examination'!$A:$Z,2,FALSE)</f>
        <v>17.41</v>
      </c>
    </row>
    <row r="2280" spans="1:21" ht="15.5" x14ac:dyDescent="0.35">
      <c r="A2280" s="2" t="s">
        <v>2280</v>
      </c>
      <c r="B2280" s="2" t="s">
        <v>2758</v>
      </c>
      <c r="C2280">
        <v>19.32</v>
      </c>
      <c r="D2280">
        <v>4.96</v>
      </c>
      <c r="E2280" t="s">
        <v>2346</v>
      </c>
      <c r="F2280" t="s">
        <v>2344</v>
      </c>
      <c r="G2280" t="s">
        <v>2344</v>
      </c>
      <c r="H2280">
        <v>0</v>
      </c>
      <c r="I2280" t="s">
        <v>2344</v>
      </c>
      <c r="J2280" t="str">
        <f t="shared" si="141"/>
        <v>Normal Weight</v>
      </c>
      <c r="K2280" t="str">
        <f t="shared" si="144"/>
        <v>Normal</v>
      </c>
      <c r="L2280">
        <v>15</v>
      </c>
      <c r="M2280" t="s">
        <v>2366</v>
      </c>
      <c r="N2280">
        <v>1975</v>
      </c>
      <c r="O2280" s="8">
        <f t="shared" si="142"/>
        <v>27621</v>
      </c>
      <c r="P2280" s="10">
        <v>42211.14</v>
      </c>
      <c r="Q2280" t="s">
        <v>2361</v>
      </c>
      <c r="R2280" t="s">
        <v>2358</v>
      </c>
      <c r="S2280" t="s">
        <v>2359</v>
      </c>
      <c r="T2280">
        <f t="shared" ca="1" si="143"/>
        <v>51</v>
      </c>
      <c r="U2280">
        <f>VLOOKUP($A2280,'Medical Examination'!$A:$Z,2,FALSE)</f>
        <v>19.32</v>
      </c>
    </row>
    <row r="2281" spans="1:21" ht="15.5" x14ac:dyDescent="0.35">
      <c r="A2281" s="2" t="s">
        <v>2281</v>
      </c>
      <c r="B2281" s="2" t="s">
        <v>5375</v>
      </c>
      <c r="C2281">
        <v>18.25</v>
      </c>
      <c r="D2281">
        <v>10.95</v>
      </c>
      <c r="E2281" t="s">
        <v>2344</v>
      </c>
      <c r="F2281" t="s">
        <v>2344</v>
      </c>
      <c r="G2281" t="s">
        <v>2344</v>
      </c>
      <c r="H2281">
        <v>0</v>
      </c>
      <c r="I2281" t="s">
        <v>2344</v>
      </c>
      <c r="J2281" t="str">
        <f t="shared" si="141"/>
        <v>Under Weight</v>
      </c>
      <c r="K2281" t="str">
        <f t="shared" si="144"/>
        <v>Diabetes</v>
      </c>
      <c r="L2281">
        <v>28</v>
      </c>
      <c r="M2281" t="s">
        <v>2362</v>
      </c>
      <c r="N2281">
        <v>1967</v>
      </c>
      <c r="O2281" s="8">
        <f t="shared" si="142"/>
        <v>24651</v>
      </c>
      <c r="P2281" s="10">
        <v>42303.69</v>
      </c>
      <c r="Q2281" t="s">
        <v>2361</v>
      </c>
      <c r="R2281" t="s">
        <v>2357</v>
      </c>
      <c r="S2281" t="s">
        <v>2371</v>
      </c>
      <c r="T2281">
        <f t="shared" ca="1" si="143"/>
        <v>59</v>
      </c>
      <c r="U2281">
        <f>VLOOKUP($A2281,'Medical Examination'!$A:$Z,2,FALSE)</f>
        <v>18.25</v>
      </c>
    </row>
    <row r="2282" spans="1:21" ht="15.5" x14ac:dyDescent="0.35">
      <c r="A2282" s="2" t="s">
        <v>2282</v>
      </c>
      <c r="B2282" s="2" t="s">
        <v>5376</v>
      </c>
      <c r="C2282">
        <v>53.13</v>
      </c>
      <c r="D2282">
        <v>4.4400000000000004</v>
      </c>
      <c r="E2282" t="s">
        <v>2344</v>
      </c>
      <c r="F2282" t="s">
        <v>2345</v>
      </c>
      <c r="G2282" t="s">
        <v>2344</v>
      </c>
      <c r="H2282">
        <v>1</v>
      </c>
      <c r="I2282" t="s">
        <v>2344</v>
      </c>
      <c r="J2282" t="str">
        <f t="shared" si="141"/>
        <v>Obesity</v>
      </c>
      <c r="K2282" t="str">
        <f t="shared" si="144"/>
        <v>Normal</v>
      </c>
      <c r="L2282">
        <v>3</v>
      </c>
      <c r="M2282" t="s">
        <v>2366</v>
      </c>
      <c r="N2282">
        <v>1968</v>
      </c>
      <c r="O2282" s="8">
        <f t="shared" si="142"/>
        <v>25053</v>
      </c>
      <c r="P2282" s="10">
        <v>42478.6</v>
      </c>
      <c r="Q2282" t="s">
        <v>2361</v>
      </c>
      <c r="R2282" t="s">
        <v>2357</v>
      </c>
      <c r="S2282" t="s">
        <v>2368</v>
      </c>
      <c r="T2282">
        <f t="shared" ca="1" si="143"/>
        <v>58</v>
      </c>
      <c r="U2282">
        <f>VLOOKUP($A2282,'Medical Examination'!$A:$Z,2,FALSE)</f>
        <v>53.13</v>
      </c>
    </row>
    <row r="2283" spans="1:21" ht="15.5" x14ac:dyDescent="0.35">
      <c r="A2283" s="2" t="s">
        <v>2283</v>
      </c>
      <c r="B2283" s="2" t="s">
        <v>2492</v>
      </c>
      <c r="C2283">
        <v>20.46</v>
      </c>
      <c r="D2283">
        <v>4.0199999999999996</v>
      </c>
      <c r="E2283" t="s">
        <v>2344</v>
      </c>
      <c r="F2283" t="s">
        <v>2344</v>
      </c>
      <c r="G2283" t="s">
        <v>2344</v>
      </c>
      <c r="H2283">
        <v>0</v>
      </c>
      <c r="I2283" t="s">
        <v>2344</v>
      </c>
      <c r="J2283" t="str">
        <f t="shared" si="141"/>
        <v>Normal Weight</v>
      </c>
      <c r="K2283" t="str">
        <f t="shared" si="144"/>
        <v>Normal</v>
      </c>
      <c r="L2283">
        <v>27</v>
      </c>
      <c r="M2283" t="s">
        <v>2362</v>
      </c>
      <c r="N2283">
        <v>1967</v>
      </c>
      <c r="O2283" s="8">
        <f t="shared" si="142"/>
        <v>24650</v>
      </c>
      <c r="P2283" s="10">
        <v>42538.720000000001</v>
      </c>
      <c r="Q2283" t="s">
        <v>2361</v>
      </c>
      <c r="R2283" t="s">
        <v>2358</v>
      </c>
      <c r="S2283" t="s">
        <v>2368</v>
      </c>
      <c r="T2283">
        <f t="shared" ca="1" si="143"/>
        <v>59</v>
      </c>
      <c r="U2283">
        <f>VLOOKUP($A2283,'Medical Examination'!$A:$Z,2,FALSE)</f>
        <v>20.46</v>
      </c>
    </row>
    <row r="2284" spans="1:21" ht="15.5" x14ac:dyDescent="0.35">
      <c r="A2284" s="2" t="s">
        <v>2284</v>
      </c>
      <c r="B2284" s="2" t="s">
        <v>5378</v>
      </c>
      <c r="C2284">
        <v>43.01</v>
      </c>
      <c r="D2284">
        <v>5.44</v>
      </c>
      <c r="E2284" t="s">
        <v>2344</v>
      </c>
      <c r="F2284" t="s">
        <v>2345</v>
      </c>
      <c r="G2284" t="s">
        <v>2344</v>
      </c>
      <c r="H2284">
        <v>1</v>
      </c>
      <c r="I2284" t="s">
        <v>2344</v>
      </c>
      <c r="J2284" t="str">
        <f t="shared" si="141"/>
        <v>Obesity</v>
      </c>
      <c r="K2284" t="str">
        <f t="shared" si="144"/>
        <v>Normal</v>
      </c>
      <c r="L2284">
        <v>27</v>
      </c>
      <c r="M2284" t="s">
        <v>2365</v>
      </c>
      <c r="N2284">
        <v>1979</v>
      </c>
      <c r="O2284" s="8">
        <f t="shared" si="142"/>
        <v>29216</v>
      </c>
      <c r="P2284" s="10">
        <v>42560.43</v>
      </c>
      <c r="Q2284" t="s">
        <v>2361</v>
      </c>
      <c r="R2284" t="s">
        <v>2358</v>
      </c>
      <c r="S2284" t="s">
        <v>2359</v>
      </c>
      <c r="T2284">
        <f t="shared" ca="1" si="143"/>
        <v>47</v>
      </c>
      <c r="U2284">
        <f>VLOOKUP($A2284,'Medical Examination'!$A:$Z,2,FALSE)</f>
        <v>43.01</v>
      </c>
    </row>
    <row r="2285" spans="1:21" ht="15.5" x14ac:dyDescent="0.35">
      <c r="A2285" s="2" t="s">
        <v>2285</v>
      </c>
      <c r="B2285" s="2" t="s">
        <v>5379</v>
      </c>
      <c r="C2285">
        <v>15.01</v>
      </c>
      <c r="D2285">
        <v>4.1500000000000004</v>
      </c>
      <c r="E2285" t="s">
        <v>2344</v>
      </c>
      <c r="F2285" t="s">
        <v>2344</v>
      </c>
      <c r="G2285" t="s">
        <v>2346</v>
      </c>
      <c r="H2285">
        <v>1</v>
      </c>
      <c r="I2285" t="s">
        <v>2344</v>
      </c>
      <c r="J2285" t="str">
        <f t="shared" si="141"/>
        <v>Under Weight</v>
      </c>
      <c r="K2285" t="str">
        <f t="shared" si="144"/>
        <v>Normal</v>
      </c>
      <c r="L2285">
        <v>3</v>
      </c>
      <c r="M2285" t="s">
        <v>2360</v>
      </c>
      <c r="N2285">
        <v>1971</v>
      </c>
      <c r="O2285" s="8">
        <f t="shared" si="142"/>
        <v>26240</v>
      </c>
      <c r="P2285" s="10">
        <v>42644.2</v>
      </c>
      <c r="Q2285" t="s">
        <v>2361</v>
      </c>
      <c r="R2285" t="s">
        <v>2358</v>
      </c>
      <c r="S2285" t="s">
        <v>2368</v>
      </c>
      <c r="T2285">
        <f t="shared" ca="1" si="143"/>
        <v>55</v>
      </c>
      <c r="U2285">
        <f>VLOOKUP($A2285,'Medical Examination'!$A:$Z,2,FALSE)</f>
        <v>15.01</v>
      </c>
    </row>
    <row r="2286" spans="1:21" ht="15.5" x14ac:dyDescent="0.35">
      <c r="A2286" s="2" t="s">
        <v>2286</v>
      </c>
      <c r="B2286" s="2" t="s">
        <v>5380</v>
      </c>
      <c r="C2286">
        <v>41.14</v>
      </c>
      <c r="D2286">
        <v>6.02</v>
      </c>
      <c r="E2286" t="s">
        <v>2344</v>
      </c>
      <c r="F2286" t="s">
        <v>2345</v>
      </c>
      <c r="G2286" t="s">
        <v>2344</v>
      </c>
      <c r="H2286">
        <v>1</v>
      </c>
      <c r="I2286" t="s">
        <v>2344</v>
      </c>
      <c r="J2286" t="str">
        <f t="shared" si="141"/>
        <v>Obesity</v>
      </c>
      <c r="K2286" t="str">
        <f t="shared" si="144"/>
        <v>Prediabetes</v>
      </c>
      <c r="L2286">
        <v>21</v>
      </c>
      <c r="M2286" t="s">
        <v>2367</v>
      </c>
      <c r="N2286">
        <v>1977</v>
      </c>
      <c r="O2286" s="8">
        <f t="shared" si="142"/>
        <v>28419</v>
      </c>
      <c r="P2286" s="10">
        <v>42760.5</v>
      </c>
      <c r="Q2286" t="s">
        <v>2361</v>
      </c>
      <c r="R2286" t="s">
        <v>2357</v>
      </c>
      <c r="S2286" t="s">
        <v>2364</v>
      </c>
      <c r="T2286">
        <f t="shared" ca="1" si="143"/>
        <v>49</v>
      </c>
      <c r="U2286">
        <f>VLOOKUP($A2286,'Medical Examination'!$A:$Z,2,FALSE)</f>
        <v>41.14</v>
      </c>
    </row>
    <row r="2287" spans="1:21" ht="15.5" x14ac:dyDescent="0.35">
      <c r="A2287" s="2" t="s">
        <v>2287</v>
      </c>
      <c r="B2287" s="2" t="s">
        <v>5343</v>
      </c>
      <c r="C2287">
        <v>16.55</v>
      </c>
      <c r="D2287">
        <v>7.73</v>
      </c>
      <c r="E2287" t="s">
        <v>2344</v>
      </c>
      <c r="F2287" t="s">
        <v>2344</v>
      </c>
      <c r="G2287" t="s">
        <v>2344</v>
      </c>
      <c r="H2287">
        <v>0</v>
      </c>
      <c r="I2287" t="s">
        <v>2344</v>
      </c>
      <c r="J2287" t="str">
        <f t="shared" si="141"/>
        <v>Under Weight</v>
      </c>
      <c r="K2287" t="str">
        <f t="shared" si="144"/>
        <v>Diabetes</v>
      </c>
      <c r="L2287">
        <v>29</v>
      </c>
      <c r="M2287" t="s">
        <v>2367</v>
      </c>
      <c r="N2287">
        <v>1965</v>
      </c>
      <c r="O2287" s="8">
        <f t="shared" si="142"/>
        <v>24044</v>
      </c>
      <c r="P2287" s="10">
        <v>42764.12</v>
      </c>
      <c r="Q2287" t="s">
        <v>2361</v>
      </c>
      <c r="R2287" t="s">
        <v>2357</v>
      </c>
      <c r="S2287" t="s">
        <v>2368</v>
      </c>
      <c r="T2287">
        <f t="shared" ca="1" si="143"/>
        <v>61</v>
      </c>
      <c r="U2287">
        <f>VLOOKUP($A2287,'Medical Examination'!$A:$Z,2,FALSE)</f>
        <v>16.55</v>
      </c>
    </row>
    <row r="2288" spans="1:21" ht="15.5" x14ac:dyDescent="0.35">
      <c r="A2288" s="2" t="s">
        <v>2288</v>
      </c>
      <c r="B2288" s="2" t="s">
        <v>5382</v>
      </c>
      <c r="C2288">
        <v>37.29</v>
      </c>
      <c r="D2288">
        <v>5.03</v>
      </c>
      <c r="E2288" t="s">
        <v>2344</v>
      </c>
      <c r="F2288" t="s">
        <v>2345</v>
      </c>
      <c r="G2288" t="s">
        <v>2344</v>
      </c>
      <c r="H2288">
        <v>1</v>
      </c>
      <c r="I2288" t="s">
        <v>2344</v>
      </c>
      <c r="J2288" t="str">
        <f t="shared" si="141"/>
        <v>Obesity</v>
      </c>
      <c r="K2288" t="str">
        <f t="shared" si="144"/>
        <v>Normal</v>
      </c>
      <c r="L2288">
        <v>10</v>
      </c>
      <c r="M2288" t="s">
        <v>2363</v>
      </c>
      <c r="N2288">
        <v>1972</v>
      </c>
      <c r="O2288" s="8">
        <f t="shared" si="142"/>
        <v>26552</v>
      </c>
      <c r="P2288" s="10">
        <v>42856.84</v>
      </c>
      <c r="Q2288" t="s">
        <v>2361</v>
      </c>
      <c r="R2288" t="s">
        <v>2361</v>
      </c>
      <c r="S2288" t="s">
        <v>2368</v>
      </c>
      <c r="T2288">
        <f t="shared" ca="1" si="143"/>
        <v>54</v>
      </c>
      <c r="U2288">
        <f>VLOOKUP($A2288,'Medical Examination'!$A:$Z,2,FALSE)</f>
        <v>37.29</v>
      </c>
    </row>
    <row r="2289" spans="1:21" ht="15.5" x14ac:dyDescent="0.35">
      <c r="A2289" s="2" t="s">
        <v>2289</v>
      </c>
      <c r="B2289" s="2" t="s">
        <v>5383</v>
      </c>
      <c r="C2289">
        <v>16.739999999999998</v>
      </c>
      <c r="D2289">
        <v>4.08</v>
      </c>
      <c r="E2289" t="s">
        <v>2346</v>
      </c>
      <c r="F2289" t="s">
        <v>2344</v>
      </c>
      <c r="G2289" t="s">
        <v>2344</v>
      </c>
      <c r="H2289">
        <v>0</v>
      </c>
      <c r="I2289" t="s">
        <v>2344</v>
      </c>
      <c r="J2289" t="str">
        <f t="shared" si="141"/>
        <v>Under Weight</v>
      </c>
      <c r="K2289" t="str">
        <f t="shared" si="144"/>
        <v>Normal</v>
      </c>
      <c r="L2289">
        <v>23</v>
      </c>
      <c r="M2289" t="s">
        <v>2367</v>
      </c>
      <c r="N2289">
        <v>1975</v>
      </c>
      <c r="O2289" s="8">
        <f t="shared" si="142"/>
        <v>27690</v>
      </c>
      <c r="P2289" s="10">
        <v>42969.85</v>
      </c>
      <c r="Q2289" t="s">
        <v>2361</v>
      </c>
      <c r="R2289" t="s">
        <v>2358</v>
      </c>
      <c r="S2289" t="s">
        <v>2359</v>
      </c>
      <c r="T2289">
        <f t="shared" ca="1" si="143"/>
        <v>51</v>
      </c>
      <c r="U2289">
        <f>VLOOKUP($A2289,'Medical Examination'!$A:$Z,2,FALSE)</f>
        <v>16.739999999999998</v>
      </c>
    </row>
    <row r="2290" spans="1:21" ht="15.5" x14ac:dyDescent="0.35">
      <c r="A2290" s="2" t="s">
        <v>2290</v>
      </c>
      <c r="B2290" s="2" t="s">
        <v>5384</v>
      </c>
      <c r="C2290">
        <v>34.43</v>
      </c>
      <c r="D2290">
        <v>4.2699999999999996</v>
      </c>
      <c r="E2290" t="s">
        <v>2344</v>
      </c>
      <c r="F2290" t="s">
        <v>2345</v>
      </c>
      <c r="G2290" t="s">
        <v>2344</v>
      </c>
      <c r="H2290">
        <v>1</v>
      </c>
      <c r="I2290" t="s">
        <v>2344</v>
      </c>
      <c r="J2290" t="str">
        <f t="shared" si="141"/>
        <v>Obesity</v>
      </c>
      <c r="K2290" t="str">
        <f t="shared" si="144"/>
        <v>Normal</v>
      </c>
      <c r="L2290">
        <v>4</v>
      </c>
      <c r="M2290" t="s">
        <v>2360</v>
      </c>
      <c r="N2290">
        <v>1978</v>
      </c>
      <c r="O2290" s="8">
        <f t="shared" si="142"/>
        <v>28798</v>
      </c>
      <c r="P2290" s="10">
        <v>42983.46</v>
      </c>
      <c r="Q2290" t="s">
        <v>2361</v>
      </c>
      <c r="R2290" t="s">
        <v>2357</v>
      </c>
      <c r="S2290" t="s">
        <v>2364</v>
      </c>
      <c r="T2290">
        <f t="shared" ca="1" si="143"/>
        <v>48</v>
      </c>
      <c r="U2290">
        <f>VLOOKUP($A2290,'Medical Examination'!$A:$Z,2,FALSE)</f>
        <v>34.43</v>
      </c>
    </row>
    <row r="2291" spans="1:21" ht="15.5" x14ac:dyDescent="0.35">
      <c r="A2291" s="2" t="s">
        <v>2291</v>
      </c>
      <c r="B2291" s="2" t="s">
        <v>5385</v>
      </c>
      <c r="C2291">
        <v>34.1</v>
      </c>
      <c r="D2291">
        <v>4.07</v>
      </c>
      <c r="E2291" t="s">
        <v>2344</v>
      </c>
      <c r="F2291" t="s">
        <v>2345</v>
      </c>
      <c r="G2291" t="s">
        <v>2344</v>
      </c>
      <c r="H2291">
        <v>1</v>
      </c>
      <c r="I2291" t="s">
        <v>2344</v>
      </c>
      <c r="J2291" t="str">
        <f t="shared" si="141"/>
        <v>Obesity</v>
      </c>
      <c r="K2291" t="str">
        <f t="shared" si="144"/>
        <v>Normal</v>
      </c>
      <c r="L2291">
        <v>29</v>
      </c>
      <c r="M2291" t="s">
        <v>2360</v>
      </c>
      <c r="N2291">
        <v>1965</v>
      </c>
      <c r="O2291" s="8">
        <f t="shared" si="142"/>
        <v>24075</v>
      </c>
      <c r="P2291" s="10">
        <v>43073.760000000002</v>
      </c>
      <c r="Q2291" t="s">
        <v>2357</v>
      </c>
      <c r="R2291" t="s">
        <v>2357</v>
      </c>
      <c r="S2291" t="s">
        <v>2368</v>
      </c>
      <c r="T2291">
        <f t="shared" ca="1" si="143"/>
        <v>61</v>
      </c>
      <c r="U2291">
        <f>VLOOKUP($A2291,'Medical Examination'!$A:$Z,2,FALSE)</f>
        <v>34.1</v>
      </c>
    </row>
    <row r="2292" spans="1:21" ht="15.5" x14ac:dyDescent="0.35">
      <c r="A2292" s="2" t="s">
        <v>2292</v>
      </c>
      <c r="B2292" s="2" t="s">
        <v>2758</v>
      </c>
      <c r="C2292">
        <v>19.3</v>
      </c>
      <c r="D2292">
        <v>10.36</v>
      </c>
      <c r="E2292" t="s">
        <v>2344</v>
      </c>
      <c r="F2292" t="s">
        <v>2344</v>
      </c>
      <c r="G2292" t="s">
        <v>2344</v>
      </c>
      <c r="H2292">
        <v>0</v>
      </c>
      <c r="I2292" t="s">
        <v>2344</v>
      </c>
      <c r="J2292" t="str">
        <f t="shared" si="141"/>
        <v>Normal Weight</v>
      </c>
      <c r="K2292" t="str">
        <f t="shared" si="144"/>
        <v>Diabetes</v>
      </c>
      <c r="L2292">
        <v>3</v>
      </c>
      <c r="M2292" t="s">
        <v>2365</v>
      </c>
      <c r="N2292">
        <v>1969</v>
      </c>
      <c r="O2292" s="8">
        <f t="shared" si="142"/>
        <v>25540</v>
      </c>
      <c r="P2292" s="10">
        <v>43254.42</v>
      </c>
      <c r="Q2292" t="s">
        <v>2357</v>
      </c>
      <c r="R2292" t="s">
        <v>2357</v>
      </c>
      <c r="S2292" t="s">
        <v>2371</v>
      </c>
      <c r="T2292">
        <f t="shared" ca="1" si="143"/>
        <v>57</v>
      </c>
      <c r="U2292">
        <f>VLOOKUP($A2292,'Medical Examination'!$A:$Z,2,FALSE)</f>
        <v>19.3</v>
      </c>
    </row>
    <row r="2293" spans="1:21" ht="15.5" x14ac:dyDescent="0.35">
      <c r="A2293" s="2" t="s">
        <v>2293</v>
      </c>
      <c r="B2293" s="2" t="s">
        <v>5387</v>
      </c>
      <c r="C2293">
        <v>33.659999999999997</v>
      </c>
      <c r="D2293">
        <v>5.71</v>
      </c>
      <c r="E2293" t="s">
        <v>2344</v>
      </c>
      <c r="F2293" t="s">
        <v>2345</v>
      </c>
      <c r="G2293" t="s">
        <v>2344</v>
      </c>
      <c r="H2293">
        <v>1</v>
      </c>
      <c r="I2293" t="s">
        <v>2344</v>
      </c>
      <c r="J2293" t="str">
        <f t="shared" si="141"/>
        <v>Obesity</v>
      </c>
      <c r="K2293" t="str">
        <f t="shared" si="144"/>
        <v>Prediabetes</v>
      </c>
      <c r="L2293">
        <v>22</v>
      </c>
      <c r="M2293" t="s">
        <v>2366</v>
      </c>
      <c r="N2293">
        <v>1965</v>
      </c>
      <c r="O2293" s="8">
        <f t="shared" si="142"/>
        <v>23976</v>
      </c>
      <c r="P2293" s="10">
        <v>43578.94</v>
      </c>
      <c r="Q2293" t="s">
        <v>2357</v>
      </c>
      <c r="R2293" t="s">
        <v>2357</v>
      </c>
      <c r="S2293" t="s">
        <v>2364</v>
      </c>
      <c r="T2293">
        <f t="shared" ca="1" si="143"/>
        <v>61</v>
      </c>
      <c r="U2293">
        <f>VLOOKUP($A2293,'Medical Examination'!$A:$Z,2,FALSE)</f>
        <v>33.659999999999997</v>
      </c>
    </row>
    <row r="2294" spans="1:21" ht="15.5" x14ac:dyDescent="0.35">
      <c r="A2294" s="2" t="s">
        <v>2294</v>
      </c>
      <c r="B2294" s="2" t="s">
        <v>2580</v>
      </c>
      <c r="C2294">
        <v>33.33</v>
      </c>
      <c r="D2294">
        <v>6.08</v>
      </c>
      <c r="E2294" t="s">
        <v>2344</v>
      </c>
      <c r="F2294" t="s">
        <v>2345</v>
      </c>
      <c r="G2294" t="s">
        <v>2344</v>
      </c>
      <c r="H2294">
        <v>1</v>
      </c>
      <c r="I2294" t="s">
        <v>2344</v>
      </c>
      <c r="J2294" t="str">
        <f t="shared" si="141"/>
        <v>Obesity</v>
      </c>
      <c r="K2294" t="str">
        <f t="shared" si="144"/>
        <v>Prediabetes</v>
      </c>
      <c r="L2294">
        <v>29</v>
      </c>
      <c r="M2294" t="s">
        <v>2365</v>
      </c>
      <c r="N2294">
        <v>1986</v>
      </c>
      <c r="O2294" s="8">
        <f t="shared" si="142"/>
        <v>31775</v>
      </c>
      <c r="P2294" s="10">
        <v>43753.34</v>
      </c>
      <c r="Q2294" t="s">
        <v>2357</v>
      </c>
      <c r="R2294" t="s">
        <v>2361</v>
      </c>
      <c r="S2294" t="s">
        <v>2369</v>
      </c>
      <c r="T2294">
        <f t="shared" ca="1" si="143"/>
        <v>40</v>
      </c>
      <c r="U2294">
        <f>VLOOKUP($A2294,'Medical Examination'!$A:$Z,2,FALSE)</f>
        <v>33.33</v>
      </c>
    </row>
    <row r="2295" spans="1:21" ht="15.5" x14ac:dyDescent="0.35">
      <c r="A2295" s="2" t="s">
        <v>2295</v>
      </c>
      <c r="B2295" s="2" t="s">
        <v>5388</v>
      </c>
      <c r="C2295">
        <v>21.84</v>
      </c>
      <c r="D2295">
        <v>5.71</v>
      </c>
      <c r="E2295" t="s">
        <v>2344</v>
      </c>
      <c r="F2295" t="s">
        <v>2345</v>
      </c>
      <c r="G2295" t="s">
        <v>2344</v>
      </c>
      <c r="H2295">
        <v>1</v>
      </c>
      <c r="I2295" t="s">
        <v>2344</v>
      </c>
      <c r="J2295" t="str">
        <f t="shared" si="141"/>
        <v>Normal Weight</v>
      </c>
      <c r="K2295" t="str">
        <f t="shared" si="144"/>
        <v>Prediabetes</v>
      </c>
      <c r="L2295">
        <v>25</v>
      </c>
      <c r="M2295" t="s">
        <v>2367</v>
      </c>
      <c r="N2295">
        <v>1966</v>
      </c>
      <c r="O2295" s="8">
        <f t="shared" si="142"/>
        <v>24405</v>
      </c>
      <c r="P2295" s="10">
        <v>43813.87</v>
      </c>
      <c r="Q2295" t="s">
        <v>2357</v>
      </c>
      <c r="R2295" t="s">
        <v>2357</v>
      </c>
      <c r="S2295" t="s">
        <v>2359</v>
      </c>
      <c r="T2295">
        <f t="shared" ca="1" si="143"/>
        <v>60</v>
      </c>
      <c r="U2295">
        <f>VLOOKUP($A2295,'Medical Examination'!$A:$Z,2,FALSE)</f>
        <v>21.84</v>
      </c>
    </row>
    <row r="2296" spans="1:21" ht="15.5" x14ac:dyDescent="0.35">
      <c r="A2296" s="2" t="s">
        <v>2296</v>
      </c>
      <c r="B2296" s="2" t="s">
        <v>5389</v>
      </c>
      <c r="C2296">
        <v>16.87</v>
      </c>
      <c r="D2296">
        <v>9.1300000000000008</v>
      </c>
      <c r="E2296" t="s">
        <v>2344</v>
      </c>
      <c r="F2296" t="s">
        <v>2344</v>
      </c>
      <c r="G2296" t="s">
        <v>2344</v>
      </c>
      <c r="H2296">
        <v>0</v>
      </c>
      <c r="I2296" t="s">
        <v>2344</v>
      </c>
      <c r="J2296" t="str">
        <f t="shared" si="141"/>
        <v>Under Weight</v>
      </c>
      <c r="K2296" t="str">
        <f t="shared" si="144"/>
        <v>Diabetes</v>
      </c>
      <c r="L2296">
        <v>2</v>
      </c>
      <c r="M2296" t="s">
        <v>2356</v>
      </c>
      <c r="N2296">
        <v>1966</v>
      </c>
      <c r="O2296" s="8">
        <f t="shared" si="142"/>
        <v>24290</v>
      </c>
      <c r="P2296" s="10">
        <v>43817.45</v>
      </c>
      <c r="Q2296" t="s">
        <v>2357</v>
      </c>
      <c r="R2296" t="s">
        <v>2358</v>
      </c>
      <c r="S2296" t="s">
        <v>2364</v>
      </c>
      <c r="T2296">
        <f t="shared" ca="1" si="143"/>
        <v>60</v>
      </c>
      <c r="U2296">
        <f>VLOOKUP($A2296,'Medical Examination'!$A:$Z,2,FALSE)</f>
        <v>16.87</v>
      </c>
    </row>
    <row r="2297" spans="1:21" ht="15.5" x14ac:dyDescent="0.35">
      <c r="A2297" s="2" t="s">
        <v>2297</v>
      </c>
      <c r="B2297" s="2" t="s">
        <v>5390</v>
      </c>
      <c r="C2297">
        <v>30.14</v>
      </c>
      <c r="D2297">
        <v>5.49</v>
      </c>
      <c r="E2297" t="s">
        <v>2344</v>
      </c>
      <c r="F2297" t="s">
        <v>2345</v>
      </c>
      <c r="G2297" t="s">
        <v>2344</v>
      </c>
      <c r="H2297">
        <v>1</v>
      </c>
      <c r="I2297" t="s">
        <v>2344</v>
      </c>
      <c r="J2297" t="str">
        <f t="shared" si="141"/>
        <v>Obesity</v>
      </c>
      <c r="K2297" t="str">
        <f t="shared" si="144"/>
        <v>Normal</v>
      </c>
      <c r="L2297">
        <v>10</v>
      </c>
      <c r="M2297" t="s">
        <v>2360</v>
      </c>
      <c r="N2297">
        <v>1980</v>
      </c>
      <c r="O2297" s="8">
        <f t="shared" si="142"/>
        <v>29535</v>
      </c>
      <c r="P2297" s="10">
        <v>43896.38</v>
      </c>
      <c r="Q2297" t="s">
        <v>2357</v>
      </c>
      <c r="R2297" t="s">
        <v>2361</v>
      </c>
      <c r="S2297" t="s">
        <v>2359</v>
      </c>
      <c r="T2297">
        <f t="shared" ca="1" si="143"/>
        <v>46</v>
      </c>
      <c r="U2297">
        <f>VLOOKUP($A2297,'Medical Examination'!$A:$Z,2,FALSE)</f>
        <v>30.14</v>
      </c>
    </row>
    <row r="2298" spans="1:21" ht="15.5" x14ac:dyDescent="0.35">
      <c r="A2298" s="2" t="s">
        <v>2298</v>
      </c>
      <c r="B2298" s="2" t="s">
        <v>5391</v>
      </c>
      <c r="C2298">
        <v>23.21</v>
      </c>
      <c r="D2298">
        <v>4.37</v>
      </c>
      <c r="E2298" t="s">
        <v>2344</v>
      </c>
      <c r="F2298" t="s">
        <v>2345</v>
      </c>
      <c r="G2298" t="s">
        <v>2344</v>
      </c>
      <c r="H2298">
        <v>1</v>
      </c>
      <c r="I2298" t="s">
        <v>2344</v>
      </c>
      <c r="J2298" t="str">
        <f t="shared" si="141"/>
        <v>Normal Weight</v>
      </c>
      <c r="K2298" t="str">
        <f t="shared" si="144"/>
        <v>Normal</v>
      </c>
      <c r="L2298">
        <v>5</v>
      </c>
      <c r="M2298" t="s">
        <v>2367</v>
      </c>
      <c r="N2298">
        <v>1966</v>
      </c>
      <c r="O2298" s="8">
        <f t="shared" si="142"/>
        <v>24385</v>
      </c>
      <c r="P2298" s="10">
        <v>43921.18</v>
      </c>
      <c r="Q2298" t="s">
        <v>2357</v>
      </c>
      <c r="R2298" t="s">
        <v>2357</v>
      </c>
      <c r="S2298" t="s">
        <v>2364</v>
      </c>
      <c r="T2298">
        <f t="shared" ca="1" si="143"/>
        <v>60</v>
      </c>
      <c r="U2298">
        <f>VLOOKUP($A2298,'Medical Examination'!$A:$Z,2,FALSE)</f>
        <v>23.21</v>
      </c>
    </row>
    <row r="2299" spans="1:21" ht="15.5" x14ac:dyDescent="0.35">
      <c r="A2299" s="2" t="s">
        <v>2299</v>
      </c>
      <c r="B2299" s="2" t="s">
        <v>5394</v>
      </c>
      <c r="C2299">
        <v>17.170000000000002</v>
      </c>
      <c r="D2299">
        <v>8.4600000000000009</v>
      </c>
      <c r="E2299" t="s">
        <v>2344</v>
      </c>
      <c r="F2299" t="s">
        <v>2344</v>
      </c>
      <c r="G2299" t="s">
        <v>2344</v>
      </c>
      <c r="H2299">
        <v>0</v>
      </c>
      <c r="I2299" t="s">
        <v>2344</v>
      </c>
      <c r="J2299" t="str">
        <f t="shared" si="141"/>
        <v>Under Weight</v>
      </c>
      <c r="K2299" t="str">
        <f t="shared" si="144"/>
        <v>Diabetes</v>
      </c>
      <c r="L2299">
        <v>16</v>
      </c>
      <c r="M2299" t="s">
        <v>2356</v>
      </c>
      <c r="N2299">
        <v>1988</v>
      </c>
      <c r="O2299" s="8">
        <f t="shared" si="142"/>
        <v>32340</v>
      </c>
      <c r="P2299" s="10">
        <v>43943.88</v>
      </c>
      <c r="Q2299" t="s">
        <v>2357</v>
      </c>
      <c r="R2299" t="s">
        <v>2361</v>
      </c>
      <c r="S2299" t="s">
        <v>2364</v>
      </c>
      <c r="T2299">
        <f t="shared" ca="1" si="143"/>
        <v>38</v>
      </c>
      <c r="U2299">
        <f>VLOOKUP($A2299,'Medical Examination'!$A:$Z,2,FALSE)</f>
        <v>17.170000000000002</v>
      </c>
    </row>
    <row r="2300" spans="1:21" ht="15.5" x14ac:dyDescent="0.35">
      <c r="A2300" s="2" t="s">
        <v>2300</v>
      </c>
      <c r="B2300" s="2" t="s">
        <v>5395</v>
      </c>
      <c r="C2300">
        <v>15.61</v>
      </c>
      <c r="D2300">
        <v>5.28</v>
      </c>
      <c r="E2300" t="s">
        <v>2344</v>
      </c>
      <c r="F2300" t="s">
        <v>2344</v>
      </c>
      <c r="G2300" t="s">
        <v>2344</v>
      </c>
      <c r="H2300">
        <v>1</v>
      </c>
      <c r="I2300" t="s">
        <v>2344</v>
      </c>
      <c r="J2300" t="str">
        <f t="shared" si="141"/>
        <v>Under Weight</v>
      </c>
      <c r="K2300" t="str">
        <f t="shared" si="144"/>
        <v>Normal</v>
      </c>
      <c r="L2300">
        <v>1</v>
      </c>
      <c r="M2300" t="s">
        <v>2362</v>
      </c>
      <c r="N2300">
        <v>1975</v>
      </c>
      <c r="O2300" s="8">
        <f t="shared" si="142"/>
        <v>27546</v>
      </c>
      <c r="P2300" s="10">
        <v>44202.65</v>
      </c>
      <c r="Q2300" t="s">
        <v>2357</v>
      </c>
      <c r="R2300" t="s">
        <v>2357</v>
      </c>
      <c r="S2300" t="s">
        <v>2359</v>
      </c>
      <c r="T2300">
        <f t="shared" ca="1" si="143"/>
        <v>51</v>
      </c>
      <c r="U2300">
        <f>VLOOKUP($A2300,'Medical Examination'!$A:$Z,2,FALSE)</f>
        <v>15.61</v>
      </c>
    </row>
    <row r="2301" spans="1:21" ht="15.5" x14ac:dyDescent="0.35">
      <c r="A2301" s="2" t="s">
        <v>2301</v>
      </c>
      <c r="B2301" s="2" t="s">
        <v>5396</v>
      </c>
      <c r="C2301">
        <v>17.98</v>
      </c>
      <c r="D2301">
        <v>5.33</v>
      </c>
      <c r="E2301" t="s">
        <v>2346</v>
      </c>
      <c r="F2301" t="s">
        <v>2344</v>
      </c>
      <c r="G2301" t="s">
        <v>2346</v>
      </c>
      <c r="H2301">
        <v>1</v>
      </c>
      <c r="I2301" t="s">
        <v>2344</v>
      </c>
      <c r="J2301" t="str">
        <f t="shared" si="141"/>
        <v>Under Weight</v>
      </c>
      <c r="K2301" t="str">
        <f t="shared" si="144"/>
        <v>Normal</v>
      </c>
      <c r="L2301">
        <v>24</v>
      </c>
      <c r="M2301" t="s">
        <v>2360</v>
      </c>
      <c r="N2301">
        <v>1968</v>
      </c>
      <c r="O2301" s="8">
        <f t="shared" si="142"/>
        <v>25166</v>
      </c>
      <c r="P2301" s="10">
        <v>44260.75</v>
      </c>
      <c r="Q2301" t="s">
        <v>2357</v>
      </c>
      <c r="R2301" t="s">
        <v>2361</v>
      </c>
      <c r="S2301" t="s">
        <v>2359</v>
      </c>
      <c r="T2301">
        <f t="shared" ca="1" si="143"/>
        <v>58</v>
      </c>
      <c r="U2301">
        <f>VLOOKUP($A2301,'Medical Examination'!$A:$Z,2,FALSE)</f>
        <v>17.98</v>
      </c>
    </row>
    <row r="2302" spans="1:21" ht="15.5" x14ac:dyDescent="0.35">
      <c r="A2302" s="2" t="s">
        <v>2302</v>
      </c>
      <c r="B2302" s="2" t="s">
        <v>5397</v>
      </c>
      <c r="C2302">
        <v>21.64</v>
      </c>
      <c r="D2302">
        <v>5.5</v>
      </c>
      <c r="E2302" t="s">
        <v>2344</v>
      </c>
      <c r="F2302" t="s">
        <v>2345</v>
      </c>
      <c r="G2302" t="s">
        <v>2344</v>
      </c>
      <c r="H2302">
        <v>1</v>
      </c>
      <c r="I2302" t="s">
        <v>2344</v>
      </c>
      <c r="J2302" t="str">
        <f t="shared" si="141"/>
        <v>Normal Weight</v>
      </c>
      <c r="K2302" t="str">
        <f t="shared" si="144"/>
        <v>Normal</v>
      </c>
      <c r="L2302">
        <v>29</v>
      </c>
      <c r="M2302" t="s">
        <v>2367</v>
      </c>
      <c r="N2302">
        <v>1971</v>
      </c>
      <c r="O2302" s="8">
        <f t="shared" si="142"/>
        <v>26235</v>
      </c>
      <c r="P2302" s="10">
        <v>44400.41</v>
      </c>
      <c r="Q2302" t="s">
        <v>2357</v>
      </c>
      <c r="R2302" t="s">
        <v>2357</v>
      </c>
      <c r="S2302" t="s">
        <v>2359</v>
      </c>
      <c r="T2302">
        <f t="shared" ca="1" si="143"/>
        <v>55</v>
      </c>
      <c r="U2302">
        <f>VLOOKUP($A2302,'Medical Examination'!$A:$Z,2,FALSE)</f>
        <v>21.64</v>
      </c>
    </row>
    <row r="2303" spans="1:21" ht="15.5" x14ac:dyDescent="0.35">
      <c r="A2303" s="2" t="s">
        <v>2303</v>
      </c>
      <c r="B2303" s="2" t="s">
        <v>2913</v>
      </c>
      <c r="C2303">
        <v>16.399999999999999</v>
      </c>
      <c r="D2303">
        <v>5.4</v>
      </c>
      <c r="E2303" t="s">
        <v>2344</v>
      </c>
      <c r="F2303" t="s">
        <v>2344</v>
      </c>
      <c r="G2303" t="s">
        <v>2346</v>
      </c>
      <c r="H2303">
        <v>1</v>
      </c>
      <c r="I2303" t="s">
        <v>2344</v>
      </c>
      <c r="J2303" t="str">
        <f t="shared" si="141"/>
        <v>Under Weight</v>
      </c>
      <c r="K2303" t="str">
        <f t="shared" si="144"/>
        <v>Normal</v>
      </c>
      <c r="L2303">
        <v>14</v>
      </c>
      <c r="M2303" t="s">
        <v>2363</v>
      </c>
      <c r="N2303">
        <v>1967</v>
      </c>
      <c r="O2303" s="8">
        <f t="shared" si="142"/>
        <v>24729</v>
      </c>
      <c r="P2303" s="10">
        <v>44423.8</v>
      </c>
      <c r="Q2303" t="s">
        <v>2357</v>
      </c>
      <c r="R2303" t="s">
        <v>2358</v>
      </c>
      <c r="S2303" t="s">
        <v>2359</v>
      </c>
      <c r="T2303">
        <f t="shared" ca="1" si="143"/>
        <v>59</v>
      </c>
      <c r="U2303">
        <f>VLOOKUP($A2303,'Medical Examination'!$A:$Z,2,FALSE)</f>
        <v>16.399999999999999</v>
      </c>
    </row>
    <row r="2304" spans="1:21" ht="15.5" x14ac:dyDescent="0.35">
      <c r="A2304" s="2" t="s">
        <v>2304</v>
      </c>
      <c r="B2304" s="2" t="s">
        <v>5399</v>
      </c>
      <c r="C2304">
        <v>15.77</v>
      </c>
      <c r="D2304">
        <v>6.05</v>
      </c>
      <c r="E2304" t="s">
        <v>2346</v>
      </c>
      <c r="F2304" t="s">
        <v>2344</v>
      </c>
      <c r="G2304" t="s">
        <v>2344</v>
      </c>
      <c r="H2304">
        <v>1</v>
      </c>
      <c r="I2304" t="s">
        <v>2344</v>
      </c>
      <c r="J2304" t="str">
        <f t="shared" si="141"/>
        <v>Under Weight</v>
      </c>
      <c r="K2304" t="str">
        <f t="shared" si="144"/>
        <v>Prediabetes</v>
      </c>
      <c r="L2304">
        <v>2</v>
      </c>
      <c r="M2304" t="s">
        <v>2366</v>
      </c>
      <c r="N2304">
        <v>2000</v>
      </c>
      <c r="O2304" s="8">
        <f t="shared" si="142"/>
        <v>36740</v>
      </c>
      <c r="P2304" s="10">
        <v>44501.4</v>
      </c>
      <c r="Q2304" t="s">
        <v>2357</v>
      </c>
      <c r="R2304" t="s">
        <v>2358</v>
      </c>
      <c r="S2304" t="s">
        <v>2359</v>
      </c>
      <c r="T2304">
        <f t="shared" ca="1" si="143"/>
        <v>26</v>
      </c>
      <c r="U2304">
        <f>VLOOKUP($A2304,'Medical Examination'!$A:$Z,2,FALSE)</f>
        <v>15.77</v>
      </c>
    </row>
    <row r="2305" spans="1:21" ht="15.5" x14ac:dyDescent="0.35">
      <c r="A2305" s="2" t="s">
        <v>2305</v>
      </c>
      <c r="B2305" s="2" t="s">
        <v>5401</v>
      </c>
      <c r="C2305">
        <v>18.27</v>
      </c>
      <c r="D2305">
        <v>11.46</v>
      </c>
      <c r="E2305" t="s">
        <v>2344</v>
      </c>
      <c r="F2305" t="s">
        <v>2344</v>
      </c>
      <c r="G2305" t="s">
        <v>2344</v>
      </c>
      <c r="H2305">
        <v>0</v>
      </c>
      <c r="I2305" t="s">
        <v>2344</v>
      </c>
      <c r="J2305" t="str">
        <f t="shared" si="141"/>
        <v>Under Weight</v>
      </c>
      <c r="K2305" t="str">
        <f t="shared" si="144"/>
        <v>Diabetes</v>
      </c>
      <c r="L2305">
        <v>11</v>
      </c>
      <c r="M2305" t="s">
        <v>2367</v>
      </c>
      <c r="N2305">
        <v>1993</v>
      </c>
      <c r="O2305" s="8">
        <f t="shared" si="142"/>
        <v>34253</v>
      </c>
      <c r="P2305" s="10">
        <v>44585.46</v>
      </c>
      <c r="Q2305" t="s">
        <v>2357</v>
      </c>
      <c r="R2305" t="s">
        <v>2357</v>
      </c>
      <c r="S2305" t="s">
        <v>2368</v>
      </c>
      <c r="T2305">
        <f t="shared" ca="1" si="143"/>
        <v>33</v>
      </c>
      <c r="U2305">
        <f>VLOOKUP($A2305,'Medical Examination'!$A:$Z,2,FALSE)</f>
        <v>18.27</v>
      </c>
    </row>
    <row r="2306" spans="1:21" ht="15.5" x14ac:dyDescent="0.35">
      <c r="A2306" s="2" t="s">
        <v>2306</v>
      </c>
      <c r="B2306" s="2" t="s">
        <v>5402</v>
      </c>
      <c r="C2306">
        <v>16.489999999999998</v>
      </c>
      <c r="D2306">
        <v>8.48</v>
      </c>
      <c r="E2306" t="s">
        <v>2344</v>
      </c>
      <c r="F2306" t="s">
        <v>2344</v>
      </c>
      <c r="G2306" t="s">
        <v>2344</v>
      </c>
      <c r="H2306">
        <v>0</v>
      </c>
      <c r="I2306" t="s">
        <v>2344</v>
      </c>
      <c r="J2306" t="str">
        <f t="shared" si="141"/>
        <v>Under Weight</v>
      </c>
      <c r="K2306" t="str">
        <f t="shared" si="144"/>
        <v>Diabetes</v>
      </c>
      <c r="L2306">
        <v>13</v>
      </c>
      <c r="M2306" t="s">
        <v>2366</v>
      </c>
      <c r="N2306">
        <v>1971</v>
      </c>
      <c r="O2306" s="8">
        <f t="shared" si="142"/>
        <v>26158</v>
      </c>
      <c r="P2306" s="10">
        <v>44641.2</v>
      </c>
      <c r="Q2306" t="s">
        <v>2357</v>
      </c>
      <c r="R2306" t="s">
        <v>2358</v>
      </c>
      <c r="S2306" t="s">
        <v>2374</v>
      </c>
      <c r="T2306">
        <f t="shared" ca="1" si="143"/>
        <v>55</v>
      </c>
      <c r="U2306">
        <f>VLOOKUP($A2306,'Medical Examination'!$A:$Z,2,FALSE)</f>
        <v>16.489999999999998</v>
      </c>
    </row>
    <row r="2307" spans="1:21" ht="15.5" x14ac:dyDescent="0.35">
      <c r="A2307" s="2" t="s">
        <v>2307</v>
      </c>
      <c r="B2307" s="2" t="s">
        <v>5403</v>
      </c>
      <c r="C2307">
        <v>16.14</v>
      </c>
      <c r="D2307">
        <v>4.8600000000000003</v>
      </c>
      <c r="E2307" t="s">
        <v>2344</v>
      </c>
      <c r="F2307" t="s">
        <v>2344</v>
      </c>
      <c r="G2307" t="s">
        <v>2344</v>
      </c>
      <c r="H2307">
        <v>0</v>
      </c>
      <c r="I2307" t="s">
        <v>2344</v>
      </c>
      <c r="J2307" t="str">
        <f t="shared" ref="J2307:J2336" si="145">IF(C2307&lt;18.5,"Under Weight",IF(C2307&lt;25,"Normal Weight",IF(C2307&lt;30,"Over weight","Obesity")))</f>
        <v>Under Weight</v>
      </c>
      <c r="K2307" t="str">
        <f t="shared" si="144"/>
        <v>Normal</v>
      </c>
      <c r="L2307">
        <v>17</v>
      </c>
      <c r="M2307" t="s">
        <v>2365</v>
      </c>
      <c r="N2307">
        <v>1962</v>
      </c>
      <c r="O2307" s="8">
        <f t="shared" ref="O2307:O2336" si="146">DATE(N2307,MONTH(1&amp;M2307),L2307)</f>
        <v>22997</v>
      </c>
      <c r="P2307" s="10">
        <v>45008.959999999999</v>
      </c>
      <c r="Q2307" t="s">
        <v>2357</v>
      </c>
      <c r="R2307" t="s">
        <v>2357</v>
      </c>
      <c r="S2307" t="s">
        <v>2359</v>
      </c>
      <c r="T2307">
        <f t="shared" ref="T2307:T2336" ca="1" si="147">YEAR(TODAY())-YEAR(O2307)</f>
        <v>64</v>
      </c>
      <c r="U2307">
        <f>VLOOKUP($A2307,'Medical Examination'!$A:$Z,2,FALSE)</f>
        <v>16.14</v>
      </c>
    </row>
    <row r="2308" spans="1:21" ht="15.5" x14ac:dyDescent="0.35">
      <c r="A2308" s="2" t="s">
        <v>2308</v>
      </c>
      <c r="B2308" s="2" t="s">
        <v>5404</v>
      </c>
      <c r="C2308">
        <v>20.85</v>
      </c>
      <c r="D2308">
        <v>4.45</v>
      </c>
      <c r="E2308" t="s">
        <v>2346</v>
      </c>
      <c r="F2308" t="s">
        <v>2344</v>
      </c>
      <c r="G2308" t="s">
        <v>2344</v>
      </c>
      <c r="H2308">
        <v>1</v>
      </c>
      <c r="I2308" t="s">
        <v>2344</v>
      </c>
      <c r="J2308" t="str">
        <f t="shared" si="145"/>
        <v>Normal Weight</v>
      </c>
      <c r="K2308" t="str">
        <f t="shared" si="144"/>
        <v>Normal</v>
      </c>
      <c r="L2308">
        <v>9</v>
      </c>
      <c r="M2308" t="s">
        <v>2366</v>
      </c>
      <c r="N2308">
        <v>1974</v>
      </c>
      <c r="O2308" s="8">
        <f t="shared" si="146"/>
        <v>27250</v>
      </c>
      <c r="P2308" s="10">
        <v>45702.02</v>
      </c>
      <c r="Q2308" t="s">
        <v>2357</v>
      </c>
      <c r="R2308" t="s">
        <v>2357</v>
      </c>
      <c r="S2308" t="s">
        <v>2364</v>
      </c>
      <c r="T2308">
        <f t="shared" ca="1" si="147"/>
        <v>52</v>
      </c>
      <c r="U2308">
        <f>VLOOKUP($A2308,'Medical Examination'!$A:$Z,2,FALSE)</f>
        <v>20.85</v>
      </c>
    </row>
    <row r="2309" spans="1:21" ht="15.5" x14ac:dyDescent="0.35">
      <c r="A2309" s="2" t="s">
        <v>2309</v>
      </c>
      <c r="B2309" s="2" t="s">
        <v>5405</v>
      </c>
      <c r="C2309">
        <v>15.88</v>
      </c>
      <c r="D2309">
        <v>4.3600000000000003</v>
      </c>
      <c r="E2309" t="s">
        <v>2344</v>
      </c>
      <c r="F2309" t="s">
        <v>2344</v>
      </c>
      <c r="G2309" t="s">
        <v>2344</v>
      </c>
      <c r="H2309">
        <v>0</v>
      </c>
      <c r="I2309" t="s">
        <v>2344</v>
      </c>
      <c r="J2309" t="str">
        <f t="shared" si="145"/>
        <v>Under Weight</v>
      </c>
      <c r="K2309" t="str">
        <f t="shared" si="144"/>
        <v>Normal</v>
      </c>
      <c r="L2309">
        <v>21</v>
      </c>
      <c r="M2309" t="s">
        <v>2365</v>
      </c>
      <c r="N2309">
        <v>1960</v>
      </c>
      <c r="O2309" s="8">
        <f t="shared" si="146"/>
        <v>22271</v>
      </c>
      <c r="P2309" s="10">
        <v>45710.21</v>
      </c>
      <c r="Q2309" t="s">
        <v>2357</v>
      </c>
      <c r="R2309" t="s">
        <v>2357</v>
      </c>
      <c r="S2309" t="s">
        <v>2371</v>
      </c>
      <c r="T2309">
        <f t="shared" ca="1" si="147"/>
        <v>66</v>
      </c>
      <c r="U2309">
        <f>VLOOKUP($A2309,'Medical Examination'!$A:$Z,2,FALSE)</f>
        <v>15.88</v>
      </c>
    </row>
    <row r="2310" spans="1:21" ht="15.5" x14ac:dyDescent="0.35">
      <c r="A2310" s="2" t="s">
        <v>2310</v>
      </c>
      <c r="B2310" s="2" t="s">
        <v>4896</v>
      </c>
      <c r="C2310">
        <v>20.66</v>
      </c>
      <c r="D2310">
        <v>5.8</v>
      </c>
      <c r="E2310" t="s">
        <v>2344</v>
      </c>
      <c r="F2310" t="s">
        <v>2345</v>
      </c>
      <c r="G2310" t="s">
        <v>2344</v>
      </c>
      <c r="H2310">
        <v>1</v>
      </c>
      <c r="I2310" t="s">
        <v>2344</v>
      </c>
      <c r="J2310" t="str">
        <f t="shared" si="145"/>
        <v>Normal Weight</v>
      </c>
      <c r="K2310" t="str">
        <f t="shared" si="144"/>
        <v>Prediabetes</v>
      </c>
      <c r="L2310">
        <v>12</v>
      </c>
      <c r="M2310" t="s">
        <v>2366</v>
      </c>
      <c r="N2310">
        <v>1979</v>
      </c>
      <c r="O2310" s="8">
        <f t="shared" si="146"/>
        <v>29079</v>
      </c>
      <c r="P2310" s="10">
        <v>45863.21</v>
      </c>
      <c r="Q2310" t="s">
        <v>2357</v>
      </c>
      <c r="R2310" t="s">
        <v>2361</v>
      </c>
      <c r="S2310" t="s">
        <v>2359</v>
      </c>
      <c r="T2310">
        <f t="shared" ca="1" si="147"/>
        <v>47</v>
      </c>
      <c r="U2310">
        <f>VLOOKUP($A2310,'Medical Examination'!$A:$Z,2,FALSE)</f>
        <v>20.66</v>
      </c>
    </row>
    <row r="2311" spans="1:21" ht="15.5" x14ac:dyDescent="0.35">
      <c r="A2311" s="2" t="s">
        <v>2311</v>
      </c>
      <c r="B2311" s="2" t="s">
        <v>2674</v>
      </c>
      <c r="C2311">
        <v>20.399999999999999</v>
      </c>
      <c r="D2311">
        <v>5.27</v>
      </c>
      <c r="E2311" t="s">
        <v>2344</v>
      </c>
      <c r="F2311" t="s">
        <v>2344</v>
      </c>
      <c r="G2311" t="s">
        <v>2344</v>
      </c>
      <c r="H2311">
        <v>0</v>
      </c>
      <c r="I2311" t="s">
        <v>2344</v>
      </c>
      <c r="J2311" t="str">
        <f t="shared" si="145"/>
        <v>Normal Weight</v>
      </c>
      <c r="K2311" t="str">
        <f t="shared" si="144"/>
        <v>Normal</v>
      </c>
      <c r="L2311">
        <v>30</v>
      </c>
      <c r="M2311" t="s">
        <v>2363</v>
      </c>
      <c r="N2311">
        <v>1985</v>
      </c>
      <c r="O2311" s="8">
        <f t="shared" si="146"/>
        <v>31320</v>
      </c>
      <c r="P2311" s="10">
        <v>46113.51</v>
      </c>
      <c r="Q2311" t="s">
        <v>2357</v>
      </c>
      <c r="R2311" t="s">
        <v>2358</v>
      </c>
      <c r="S2311" t="s">
        <v>2368</v>
      </c>
      <c r="T2311">
        <f t="shared" ca="1" si="147"/>
        <v>41</v>
      </c>
      <c r="U2311">
        <f>VLOOKUP($A2311,'Medical Examination'!$A:$Z,2,FALSE)</f>
        <v>20.399999999999999</v>
      </c>
    </row>
    <row r="2312" spans="1:21" ht="15.5" x14ac:dyDescent="0.35">
      <c r="A2312" s="2" t="s">
        <v>2312</v>
      </c>
      <c r="B2312" s="2" t="s">
        <v>5406</v>
      </c>
      <c r="C2312">
        <v>25.19</v>
      </c>
      <c r="D2312">
        <v>5.64</v>
      </c>
      <c r="E2312" t="s">
        <v>2346</v>
      </c>
      <c r="F2312" t="s">
        <v>2344</v>
      </c>
      <c r="G2312" t="s">
        <v>2344</v>
      </c>
      <c r="H2312">
        <v>0</v>
      </c>
      <c r="I2312" t="s">
        <v>2344</v>
      </c>
      <c r="J2312" t="str">
        <f t="shared" si="145"/>
        <v>Over weight</v>
      </c>
      <c r="K2312" t="str">
        <f t="shared" si="144"/>
        <v>Normal</v>
      </c>
      <c r="L2312">
        <v>4</v>
      </c>
      <c r="M2312" t="s">
        <v>2365</v>
      </c>
      <c r="N2312">
        <v>1962</v>
      </c>
      <c r="O2312" s="8">
        <f t="shared" si="146"/>
        <v>22984</v>
      </c>
      <c r="P2312" s="10">
        <v>46130.53</v>
      </c>
      <c r="Q2312" t="s">
        <v>2361</v>
      </c>
      <c r="R2312" t="s">
        <v>2361</v>
      </c>
      <c r="S2312" t="s">
        <v>2364</v>
      </c>
      <c r="T2312">
        <f t="shared" ca="1" si="147"/>
        <v>64</v>
      </c>
      <c r="U2312">
        <f>VLOOKUP($A2312,'Medical Examination'!$A:$Z,2,FALSE)</f>
        <v>25.19</v>
      </c>
    </row>
    <row r="2313" spans="1:21" ht="15.5" x14ac:dyDescent="0.35">
      <c r="A2313" s="2" t="s">
        <v>2313</v>
      </c>
      <c r="B2313" s="2" t="s">
        <v>5407</v>
      </c>
      <c r="C2313">
        <v>20.54</v>
      </c>
      <c r="D2313">
        <v>4.2</v>
      </c>
      <c r="E2313" t="s">
        <v>2346</v>
      </c>
      <c r="F2313" t="s">
        <v>2344</v>
      </c>
      <c r="G2313" t="s">
        <v>2344</v>
      </c>
      <c r="H2313">
        <v>1</v>
      </c>
      <c r="I2313" t="s">
        <v>2344</v>
      </c>
      <c r="J2313" t="str">
        <f t="shared" si="145"/>
        <v>Normal Weight</v>
      </c>
      <c r="K2313" t="str">
        <f t="shared" si="144"/>
        <v>Normal</v>
      </c>
      <c r="L2313">
        <v>2</v>
      </c>
      <c r="M2313" t="s">
        <v>2365</v>
      </c>
      <c r="N2313">
        <v>1976</v>
      </c>
      <c r="O2313" s="8">
        <f t="shared" si="146"/>
        <v>28096</v>
      </c>
      <c r="P2313" s="10">
        <v>46151.12</v>
      </c>
      <c r="Q2313" t="s">
        <v>2361</v>
      </c>
      <c r="R2313" t="s">
        <v>2358</v>
      </c>
      <c r="S2313" t="s">
        <v>2359</v>
      </c>
      <c r="T2313">
        <f t="shared" ca="1" si="147"/>
        <v>50</v>
      </c>
      <c r="U2313">
        <f>VLOOKUP($A2313,'Medical Examination'!$A:$Z,2,FALSE)</f>
        <v>20.54</v>
      </c>
    </row>
    <row r="2314" spans="1:21" ht="15.5" x14ac:dyDescent="0.35">
      <c r="A2314" s="2" t="s">
        <v>2314</v>
      </c>
      <c r="B2314" s="2" t="s">
        <v>5408</v>
      </c>
      <c r="C2314">
        <v>20.13</v>
      </c>
      <c r="D2314">
        <v>5.42</v>
      </c>
      <c r="E2314" t="s">
        <v>2344</v>
      </c>
      <c r="F2314" t="s">
        <v>2344</v>
      </c>
      <c r="G2314" t="s">
        <v>2344</v>
      </c>
      <c r="H2314">
        <v>0</v>
      </c>
      <c r="I2314" t="s">
        <v>2344</v>
      </c>
      <c r="J2314" t="str">
        <f t="shared" si="145"/>
        <v>Normal Weight</v>
      </c>
      <c r="K2314" t="str">
        <f t="shared" si="144"/>
        <v>Normal</v>
      </c>
      <c r="L2314">
        <v>17</v>
      </c>
      <c r="M2314" t="s">
        <v>2366</v>
      </c>
      <c r="N2314">
        <v>1978</v>
      </c>
      <c r="O2314" s="8">
        <f t="shared" si="146"/>
        <v>28719</v>
      </c>
      <c r="P2314" s="10">
        <v>46200.99</v>
      </c>
      <c r="Q2314" t="s">
        <v>2361</v>
      </c>
      <c r="R2314" t="s">
        <v>2361</v>
      </c>
      <c r="S2314" t="s">
        <v>2359</v>
      </c>
      <c r="T2314">
        <f t="shared" ca="1" si="147"/>
        <v>48</v>
      </c>
      <c r="U2314">
        <f>VLOOKUP($A2314,'Medical Examination'!$A:$Z,2,FALSE)</f>
        <v>20.13</v>
      </c>
    </row>
    <row r="2315" spans="1:21" ht="15.5" x14ac:dyDescent="0.35">
      <c r="A2315" s="2" t="s">
        <v>2315</v>
      </c>
      <c r="B2315" s="2" t="s">
        <v>5409</v>
      </c>
      <c r="C2315">
        <v>18.93</v>
      </c>
      <c r="D2315">
        <v>6.11</v>
      </c>
      <c r="E2315" t="s">
        <v>2344</v>
      </c>
      <c r="F2315" t="s">
        <v>2344</v>
      </c>
      <c r="G2315" t="s">
        <v>2346</v>
      </c>
      <c r="H2315">
        <v>1</v>
      </c>
      <c r="I2315" t="s">
        <v>2344</v>
      </c>
      <c r="J2315" t="str">
        <f t="shared" si="145"/>
        <v>Normal Weight</v>
      </c>
      <c r="K2315" t="str">
        <f t="shared" si="144"/>
        <v>Prediabetes</v>
      </c>
      <c r="L2315">
        <v>6</v>
      </c>
      <c r="M2315" t="s">
        <v>2365</v>
      </c>
      <c r="N2315">
        <v>1971</v>
      </c>
      <c r="O2315" s="8">
        <f t="shared" si="146"/>
        <v>26273</v>
      </c>
      <c r="P2315" s="10">
        <v>46255.11</v>
      </c>
      <c r="Q2315" t="s">
        <v>2361</v>
      </c>
      <c r="R2315" t="s">
        <v>2358</v>
      </c>
      <c r="S2315" t="s">
        <v>2374</v>
      </c>
      <c r="T2315">
        <f t="shared" ca="1" si="147"/>
        <v>55</v>
      </c>
      <c r="U2315">
        <f>VLOOKUP($A2315,'Medical Examination'!$A:$Z,2,FALSE)</f>
        <v>18.93</v>
      </c>
    </row>
    <row r="2316" spans="1:21" ht="15.5" x14ac:dyDescent="0.35">
      <c r="A2316" s="2" t="s">
        <v>2316</v>
      </c>
      <c r="B2316" s="2" t="s">
        <v>3744</v>
      </c>
      <c r="C2316">
        <v>24.14</v>
      </c>
      <c r="D2316">
        <v>5.29</v>
      </c>
      <c r="E2316" t="s">
        <v>2344</v>
      </c>
      <c r="F2316" t="s">
        <v>2345</v>
      </c>
      <c r="G2316" t="s">
        <v>2344</v>
      </c>
      <c r="H2316">
        <v>1</v>
      </c>
      <c r="I2316" t="s">
        <v>2344</v>
      </c>
      <c r="J2316" t="str">
        <f t="shared" si="145"/>
        <v>Normal Weight</v>
      </c>
      <c r="K2316" t="str">
        <f t="shared" ref="K2316:K2336" si="148">IF(D2316&lt;5.7,"Normal",IF(D2316&lt;6.5,"Prediabetes","Diabetes"))</f>
        <v>Normal</v>
      </c>
      <c r="L2316">
        <v>8</v>
      </c>
      <c r="M2316" t="s">
        <v>2366</v>
      </c>
      <c r="N2316">
        <v>1961</v>
      </c>
      <c r="O2316" s="8">
        <f t="shared" si="146"/>
        <v>22501</v>
      </c>
      <c r="P2316" s="10">
        <v>46599.11</v>
      </c>
      <c r="Q2316" t="s">
        <v>2361</v>
      </c>
      <c r="R2316" t="s">
        <v>2361</v>
      </c>
      <c r="S2316" t="s">
        <v>2359</v>
      </c>
      <c r="T2316">
        <f t="shared" ca="1" si="147"/>
        <v>65</v>
      </c>
      <c r="U2316">
        <f>VLOOKUP($A2316,'Medical Examination'!$A:$Z,2,FALSE)</f>
        <v>24.14</v>
      </c>
    </row>
    <row r="2317" spans="1:21" ht="15.5" x14ac:dyDescent="0.35">
      <c r="A2317" s="2" t="s">
        <v>2317</v>
      </c>
      <c r="B2317" s="2" t="s">
        <v>2940</v>
      </c>
      <c r="C2317">
        <v>25.03</v>
      </c>
      <c r="D2317">
        <v>5.91</v>
      </c>
      <c r="E2317" t="s">
        <v>2344</v>
      </c>
      <c r="F2317" t="s">
        <v>2345</v>
      </c>
      <c r="G2317" t="s">
        <v>2344</v>
      </c>
      <c r="H2317">
        <v>1</v>
      </c>
      <c r="I2317" t="s">
        <v>2344</v>
      </c>
      <c r="J2317" t="str">
        <f t="shared" si="145"/>
        <v>Over weight</v>
      </c>
      <c r="K2317" t="str">
        <f t="shared" si="148"/>
        <v>Prediabetes</v>
      </c>
      <c r="L2317">
        <v>23</v>
      </c>
      <c r="M2317" t="s">
        <v>2362</v>
      </c>
      <c r="N2317">
        <v>1969</v>
      </c>
      <c r="O2317" s="8">
        <f t="shared" si="146"/>
        <v>25377</v>
      </c>
      <c r="P2317" s="10">
        <v>46661.440000000002</v>
      </c>
      <c r="Q2317" t="s">
        <v>2361</v>
      </c>
      <c r="R2317" t="s">
        <v>2358</v>
      </c>
      <c r="S2317" t="s">
        <v>2364</v>
      </c>
      <c r="T2317">
        <f t="shared" ca="1" si="147"/>
        <v>57</v>
      </c>
      <c r="U2317">
        <f>VLOOKUP($A2317,'Medical Examination'!$A:$Z,2,FALSE)</f>
        <v>25.03</v>
      </c>
    </row>
    <row r="2318" spans="1:21" ht="15.5" x14ac:dyDescent="0.35">
      <c r="A2318" s="2" t="s">
        <v>2318</v>
      </c>
      <c r="B2318" s="2" t="s">
        <v>5411</v>
      </c>
      <c r="C2318">
        <v>20.47</v>
      </c>
      <c r="D2318">
        <v>5.81</v>
      </c>
      <c r="E2318" t="s">
        <v>2346</v>
      </c>
      <c r="F2318" t="s">
        <v>2344</v>
      </c>
      <c r="G2318" t="s">
        <v>2344</v>
      </c>
      <c r="H2318">
        <v>1</v>
      </c>
      <c r="I2318" t="s">
        <v>2344</v>
      </c>
      <c r="J2318" t="str">
        <f t="shared" si="145"/>
        <v>Normal Weight</v>
      </c>
      <c r="K2318" t="str">
        <f t="shared" si="148"/>
        <v>Prediabetes</v>
      </c>
      <c r="L2318">
        <v>17</v>
      </c>
      <c r="M2318" t="s">
        <v>2360</v>
      </c>
      <c r="N2318">
        <v>1960</v>
      </c>
      <c r="O2318" s="8">
        <f t="shared" si="146"/>
        <v>22237</v>
      </c>
      <c r="P2318" s="10">
        <v>46718.16</v>
      </c>
      <c r="Q2318" t="s">
        <v>2361</v>
      </c>
      <c r="R2318" t="s">
        <v>2361</v>
      </c>
      <c r="S2318" t="s">
        <v>2364</v>
      </c>
      <c r="T2318">
        <f t="shared" ca="1" si="147"/>
        <v>66</v>
      </c>
      <c r="U2318">
        <f>VLOOKUP($A2318,'Medical Examination'!$A:$Z,2,FALSE)</f>
        <v>20.47</v>
      </c>
    </row>
    <row r="2319" spans="1:21" ht="15.5" x14ac:dyDescent="0.35">
      <c r="A2319" s="2" t="s">
        <v>2319</v>
      </c>
      <c r="B2319" s="2" t="s">
        <v>4804</v>
      </c>
      <c r="C2319">
        <v>18.82</v>
      </c>
      <c r="D2319">
        <v>5.51</v>
      </c>
      <c r="E2319" t="s">
        <v>2346</v>
      </c>
      <c r="F2319" t="s">
        <v>2344</v>
      </c>
      <c r="G2319" t="s">
        <v>2344</v>
      </c>
      <c r="H2319">
        <v>0</v>
      </c>
      <c r="I2319" t="s">
        <v>2344</v>
      </c>
      <c r="J2319" t="str">
        <f t="shared" si="145"/>
        <v>Normal Weight</v>
      </c>
      <c r="K2319" t="str">
        <f t="shared" si="148"/>
        <v>Normal</v>
      </c>
      <c r="L2319">
        <v>15</v>
      </c>
      <c r="M2319" t="s">
        <v>2363</v>
      </c>
      <c r="N2319">
        <v>1958</v>
      </c>
      <c r="O2319" s="8">
        <f t="shared" si="146"/>
        <v>21443</v>
      </c>
      <c r="P2319" s="10">
        <v>46889.26</v>
      </c>
      <c r="Q2319" t="s">
        <v>2357</v>
      </c>
      <c r="R2319" t="s">
        <v>2358</v>
      </c>
      <c r="S2319" t="s">
        <v>2359</v>
      </c>
      <c r="T2319">
        <f t="shared" ca="1" si="147"/>
        <v>68</v>
      </c>
      <c r="U2319">
        <f>VLOOKUP($A2319,'Medical Examination'!$A:$Z,2,FALSE)</f>
        <v>18.82</v>
      </c>
    </row>
    <row r="2320" spans="1:21" ht="15.5" x14ac:dyDescent="0.35">
      <c r="A2320" s="2" t="s">
        <v>2320</v>
      </c>
      <c r="B2320" s="2" t="s">
        <v>5412</v>
      </c>
      <c r="C2320">
        <v>17.079999999999998</v>
      </c>
      <c r="D2320">
        <v>5.73</v>
      </c>
      <c r="E2320" t="s">
        <v>2344</v>
      </c>
      <c r="F2320" t="s">
        <v>2344</v>
      </c>
      <c r="G2320" t="s">
        <v>2346</v>
      </c>
      <c r="H2320">
        <v>1</v>
      </c>
      <c r="I2320" t="s">
        <v>2344</v>
      </c>
      <c r="J2320" t="str">
        <f t="shared" si="145"/>
        <v>Under Weight</v>
      </c>
      <c r="K2320" t="str">
        <f t="shared" si="148"/>
        <v>Prediabetes</v>
      </c>
      <c r="L2320">
        <v>14</v>
      </c>
      <c r="M2320" t="s">
        <v>2356</v>
      </c>
      <c r="N2320">
        <v>1959</v>
      </c>
      <c r="O2320" s="8">
        <f t="shared" si="146"/>
        <v>21745</v>
      </c>
      <c r="P2320" s="10">
        <v>47055.53</v>
      </c>
      <c r="Q2320" t="s">
        <v>2357</v>
      </c>
      <c r="R2320" t="s">
        <v>2361</v>
      </c>
      <c r="S2320" t="s">
        <v>2359</v>
      </c>
      <c r="T2320">
        <f t="shared" ca="1" si="147"/>
        <v>67</v>
      </c>
      <c r="U2320">
        <f>VLOOKUP($A2320,'Medical Examination'!$A:$Z,2,FALSE)</f>
        <v>17.079999999999998</v>
      </c>
    </row>
    <row r="2321" spans="1:21" ht="15.5" x14ac:dyDescent="0.35">
      <c r="A2321" s="2" t="s">
        <v>2321</v>
      </c>
      <c r="B2321" s="2" t="s">
        <v>5414</v>
      </c>
      <c r="C2321">
        <v>19.21</v>
      </c>
      <c r="D2321">
        <v>5.53</v>
      </c>
      <c r="E2321" t="s">
        <v>2346</v>
      </c>
      <c r="F2321" t="s">
        <v>2344</v>
      </c>
      <c r="G2321" t="s">
        <v>2344</v>
      </c>
      <c r="H2321">
        <v>0</v>
      </c>
      <c r="I2321" t="s">
        <v>2344</v>
      </c>
      <c r="J2321" t="str">
        <f t="shared" si="145"/>
        <v>Normal Weight</v>
      </c>
      <c r="K2321" t="str">
        <f t="shared" si="148"/>
        <v>Normal</v>
      </c>
      <c r="L2321">
        <v>28</v>
      </c>
      <c r="M2321" t="s">
        <v>2365</v>
      </c>
      <c r="N2321">
        <v>1970</v>
      </c>
      <c r="O2321" s="8">
        <f t="shared" si="146"/>
        <v>25930</v>
      </c>
      <c r="P2321" s="10">
        <v>47269.85</v>
      </c>
      <c r="Q2321" t="s">
        <v>2361</v>
      </c>
      <c r="R2321" t="s">
        <v>2357</v>
      </c>
      <c r="S2321" t="s">
        <v>2359</v>
      </c>
      <c r="T2321">
        <f t="shared" ca="1" si="147"/>
        <v>56</v>
      </c>
      <c r="U2321">
        <f>VLOOKUP($A2321,'Medical Examination'!$A:$Z,2,FALSE)</f>
        <v>19.21</v>
      </c>
    </row>
    <row r="2322" spans="1:21" ht="15.5" x14ac:dyDescent="0.35">
      <c r="A2322" s="2" t="s">
        <v>2322</v>
      </c>
      <c r="B2322" s="2" t="s">
        <v>5418</v>
      </c>
      <c r="C2322">
        <v>17.86</v>
      </c>
      <c r="D2322">
        <v>5.43</v>
      </c>
      <c r="E2322" t="s">
        <v>2344</v>
      </c>
      <c r="F2322" t="s">
        <v>2344</v>
      </c>
      <c r="G2322" t="s">
        <v>2346</v>
      </c>
      <c r="H2322">
        <v>1</v>
      </c>
      <c r="I2322" t="s">
        <v>2344</v>
      </c>
      <c r="J2322" t="str">
        <f t="shared" si="145"/>
        <v>Under Weight</v>
      </c>
      <c r="K2322" t="str">
        <f t="shared" si="148"/>
        <v>Normal</v>
      </c>
      <c r="L2322">
        <v>3</v>
      </c>
      <c r="M2322" t="s">
        <v>2363</v>
      </c>
      <c r="N2322">
        <v>1958</v>
      </c>
      <c r="O2322" s="8">
        <f t="shared" si="146"/>
        <v>21431</v>
      </c>
      <c r="P2322" s="10">
        <v>47291.06</v>
      </c>
      <c r="Q2322" t="s">
        <v>2357</v>
      </c>
      <c r="R2322" t="s">
        <v>2361</v>
      </c>
      <c r="S2322" t="s">
        <v>2368</v>
      </c>
      <c r="T2322">
        <f t="shared" ca="1" si="147"/>
        <v>68</v>
      </c>
      <c r="U2322">
        <f>VLOOKUP($A2322,'Medical Examination'!$A:$Z,2,FALSE)</f>
        <v>17.86</v>
      </c>
    </row>
    <row r="2323" spans="1:21" ht="15.5" x14ac:dyDescent="0.35">
      <c r="A2323" s="2" t="s">
        <v>2323</v>
      </c>
      <c r="B2323" s="2" t="s">
        <v>5419</v>
      </c>
      <c r="C2323">
        <v>21.38</v>
      </c>
      <c r="D2323">
        <v>8.01</v>
      </c>
      <c r="E2323" t="s">
        <v>2344</v>
      </c>
      <c r="F2323" t="s">
        <v>2344</v>
      </c>
      <c r="G2323" t="s">
        <v>2344</v>
      </c>
      <c r="H2323">
        <v>0</v>
      </c>
      <c r="I2323" t="s">
        <v>2344</v>
      </c>
      <c r="J2323" t="str">
        <f t="shared" si="145"/>
        <v>Normal Weight</v>
      </c>
      <c r="K2323" t="str">
        <f t="shared" si="148"/>
        <v>Diabetes</v>
      </c>
      <c r="L2323">
        <v>4</v>
      </c>
      <c r="M2323" t="s">
        <v>2367</v>
      </c>
      <c r="N2323">
        <v>1959</v>
      </c>
      <c r="O2323" s="8">
        <f t="shared" si="146"/>
        <v>21827</v>
      </c>
      <c r="P2323" s="10">
        <v>47305.31</v>
      </c>
      <c r="Q2323" t="s">
        <v>2357</v>
      </c>
      <c r="R2323" t="s">
        <v>2361</v>
      </c>
      <c r="S2323" t="s">
        <v>2368</v>
      </c>
      <c r="T2323">
        <f t="shared" ca="1" si="147"/>
        <v>67</v>
      </c>
      <c r="U2323">
        <f>VLOOKUP($A2323,'Medical Examination'!$A:$Z,2,FALSE)</f>
        <v>21.38</v>
      </c>
    </row>
    <row r="2324" spans="1:21" ht="15.5" x14ac:dyDescent="0.35">
      <c r="A2324" s="2" t="s">
        <v>2324</v>
      </c>
      <c r="B2324" s="2" t="s">
        <v>5420</v>
      </c>
      <c r="C2324">
        <v>23.35</v>
      </c>
      <c r="D2324">
        <v>5.94</v>
      </c>
      <c r="E2324" t="s">
        <v>2344</v>
      </c>
      <c r="F2324" t="s">
        <v>2344</v>
      </c>
      <c r="G2324" t="s">
        <v>2344</v>
      </c>
      <c r="H2324">
        <v>0</v>
      </c>
      <c r="I2324" t="s">
        <v>2344</v>
      </c>
      <c r="J2324" t="str">
        <f t="shared" si="145"/>
        <v>Normal Weight</v>
      </c>
      <c r="K2324" t="str">
        <f t="shared" si="148"/>
        <v>Prediabetes</v>
      </c>
      <c r="L2324">
        <v>13</v>
      </c>
      <c r="M2324" t="s">
        <v>2362</v>
      </c>
      <c r="N2324">
        <v>1961</v>
      </c>
      <c r="O2324" s="8">
        <f t="shared" si="146"/>
        <v>22445</v>
      </c>
      <c r="P2324" s="10">
        <v>47403.88</v>
      </c>
      <c r="Q2324" t="s">
        <v>2361</v>
      </c>
      <c r="R2324" t="s">
        <v>2358</v>
      </c>
      <c r="S2324" t="s">
        <v>2368</v>
      </c>
      <c r="T2324">
        <f t="shared" ca="1" si="147"/>
        <v>65</v>
      </c>
      <c r="U2324">
        <f>VLOOKUP($A2324,'Medical Examination'!$A:$Z,2,FALSE)</f>
        <v>23.35</v>
      </c>
    </row>
    <row r="2325" spans="1:21" ht="15.5" x14ac:dyDescent="0.35">
      <c r="A2325" s="2" t="s">
        <v>2325</v>
      </c>
      <c r="B2325" s="2" t="s">
        <v>5421</v>
      </c>
      <c r="C2325">
        <v>22.24</v>
      </c>
      <c r="D2325">
        <v>5.04</v>
      </c>
      <c r="E2325" t="s">
        <v>2344</v>
      </c>
      <c r="F2325" t="s">
        <v>2344</v>
      </c>
      <c r="G2325" t="s">
        <v>2344</v>
      </c>
      <c r="H2325">
        <v>0</v>
      </c>
      <c r="I2325" t="s">
        <v>2344</v>
      </c>
      <c r="J2325" t="str">
        <f t="shared" si="145"/>
        <v>Normal Weight</v>
      </c>
      <c r="K2325" t="str">
        <f t="shared" si="148"/>
        <v>Normal</v>
      </c>
      <c r="L2325">
        <v>27</v>
      </c>
      <c r="M2325" t="s">
        <v>2363</v>
      </c>
      <c r="N2325">
        <v>1971</v>
      </c>
      <c r="O2325" s="8">
        <f t="shared" si="146"/>
        <v>26203</v>
      </c>
      <c r="P2325" s="10">
        <v>47462.89</v>
      </c>
      <c r="Q2325" t="s">
        <v>2361</v>
      </c>
      <c r="R2325" t="s">
        <v>2357</v>
      </c>
      <c r="S2325" t="s">
        <v>2359</v>
      </c>
      <c r="T2325">
        <f t="shared" ca="1" si="147"/>
        <v>55</v>
      </c>
      <c r="U2325">
        <f>VLOOKUP($A2325,'Medical Examination'!$A:$Z,2,FALSE)</f>
        <v>22.24</v>
      </c>
    </row>
    <row r="2326" spans="1:21" ht="15.5" x14ac:dyDescent="0.35">
      <c r="A2326" s="2" t="s">
        <v>2326</v>
      </c>
      <c r="B2326" s="2" t="s">
        <v>3598</v>
      </c>
      <c r="C2326">
        <v>24.76</v>
      </c>
      <c r="D2326">
        <v>4.54</v>
      </c>
      <c r="E2326" t="s">
        <v>2346</v>
      </c>
      <c r="F2326" t="s">
        <v>2344</v>
      </c>
      <c r="G2326" t="s">
        <v>2344</v>
      </c>
      <c r="H2326">
        <v>0</v>
      </c>
      <c r="I2326" t="s">
        <v>2344</v>
      </c>
      <c r="J2326" t="str">
        <f t="shared" si="145"/>
        <v>Normal Weight</v>
      </c>
      <c r="K2326" t="str">
        <f t="shared" si="148"/>
        <v>Normal</v>
      </c>
      <c r="L2326">
        <v>7</v>
      </c>
      <c r="M2326" t="s">
        <v>2360</v>
      </c>
      <c r="N2326">
        <v>1964</v>
      </c>
      <c r="O2326" s="8">
        <f t="shared" si="146"/>
        <v>23688</v>
      </c>
      <c r="P2326" s="10">
        <v>47496.49</v>
      </c>
      <c r="Q2326" t="s">
        <v>2361</v>
      </c>
      <c r="R2326" t="s">
        <v>2358</v>
      </c>
      <c r="S2326" t="s">
        <v>2364</v>
      </c>
      <c r="T2326">
        <f t="shared" ca="1" si="147"/>
        <v>62</v>
      </c>
      <c r="U2326">
        <f>VLOOKUP($A2326,'Medical Examination'!$A:$Z,2,FALSE)</f>
        <v>24.76</v>
      </c>
    </row>
    <row r="2327" spans="1:21" ht="15.5" x14ac:dyDescent="0.35">
      <c r="A2327" s="2" t="s">
        <v>2327</v>
      </c>
      <c r="B2327" s="2" t="s">
        <v>2660</v>
      </c>
      <c r="C2327">
        <v>20.100000000000001</v>
      </c>
      <c r="D2327">
        <v>5.6</v>
      </c>
      <c r="E2327" t="s">
        <v>2346</v>
      </c>
      <c r="F2327" t="s">
        <v>2344</v>
      </c>
      <c r="G2327" t="s">
        <v>2346</v>
      </c>
      <c r="H2327">
        <v>1</v>
      </c>
      <c r="I2327" t="s">
        <v>2344</v>
      </c>
      <c r="J2327" t="str">
        <f t="shared" si="145"/>
        <v>Normal Weight</v>
      </c>
      <c r="K2327" t="str">
        <f t="shared" si="148"/>
        <v>Normal</v>
      </c>
      <c r="L2327">
        <v>5</v>
      </c>
      <c r="M2327" t="s">
        <v>2366</v>
      </c>
      <c r="N2327">
        <v>1963</v>
      </c>
      <c r="O2327" s="8">
        <f t="shared" si="146"/>
        <v>23228</v>
      </c>
      <c r="P2327" s="10">
        <v>47896.79</v>
      </c>
      <c r="Q2327" t="s">
        <v>2361</v>
      </c>
      <c r="R2327" t="s">
        <v>2358</v>
      </c>
      <c r="S2327" t="s">
        <v>2374</v>
      </c>
      <c r="T2327">
        <f t="shared" ca="1" si="147"/>
        <v>63</v>
      </c>
      <c r="U2327">
        <f>VLOOKUP($A2327,'Medical Examination'!$A:$Z,2,FALSE)</f>
        <v>20.100000000000001</v>
      </c>
    </row>
    <row r="2328" spans="1:21" ht="15.5" x14ac:dyDescent="0.35">
      <c r="A2328" s="2" t="s">
        <v>2328</v>
      </c>
      <c r="B2328" s="2" t="s">
        <v>3022</v>
      </c>
      <c r="C2328">
        <v>21.77</v>
      </c>
      <c r="D2328">
        <v>10.67</v>
      </c>
      <c r="E2328" t="s">
        <v>2344</v>
      </c>
      <c r="F2328" t="s">
        <v>2344</v>
      </c>
      <c r="G2328" t="s">
        <v>2344</v>
      </c>
      <c r="H2328">
        <v>0</v>
      </c>
      <c r="I2328" t="s">
        <v>2344</v>
      </c>
      <c r="J2328" t="str">
        <f t="shared" si="145"/>
        <v>Normal Weight</v>
      </c>
      <c r="K2328" t="str">
        <f t="shared" si="148"/>
        <v>Diabetes</v>
      </c>
      <c r="L2328">
        <v>16</v>
      </c>
      <c r="M2328" t="s">
        <v>2360</v>
      </c>
      <c r="N2328">
        <v>1958</v>
      </c>
      <c r="O2328" s="8">
        <f t="shared" si="146"/>
        <v>21505</v>
      </c>
      <c r="P2328" s="10">
        <v>47928.03</v>
      </c>
      <c r="Q2328" t="s">
        <v>2357</v>
      </c>
      <c r="R2328" t="s">
        <v>2358</v>
      </c>
      <c r="S2328" t="s">
        <v>2368</v>
      </c>
      <c r="T2328">
        <f t="shared" ca="1" si="147"/>
        <v>68</v>
      </c>
      <c r="U2328">
        <f>VLOOKUP($A2328,'Medical Examination'!$A:$Z,2,FALSE)</f>
        <v>21.77</v>
      </c>
    </row>
    <row r="2329" spans="1:21" ht="15.5" x14ac:dyDescent="0.35">
      <c r="A2329" s="2" t="s">
        <v>2329</v>
      </c>
      <c r="B2329" s="2" t="s">
        <v>5423</v>
      </c>
      <c r="C2329">
        <v>17.82</v>
      </c>
      <c r="D2329">
        <v>5.26</v>
      </c>
      <c r="E2329" t="s">
        <v>2346</v>
      </c>
      <c r="F2329" t="s">
        <v>2344</v>
      </c>
      <c r="G2329" t="s">
        <v>2344</v>
      </c>
      <c r="H2329">
        <v>1</v>
      </c>
      <c r="I2329" t="s">
        <v>2344</v>
      </c>
      <c r="J2329" t="str">
        <f t="shared" si="145"/>
        <v>Under Weight</v>
      </c>
      <c r="K2329" t="str">
        <f t="shared" si="148"/>
        <v>Normal</v>
      </c>
      <c r="L2329">
        <v>27</v>
      </c>
      <c r="M2329" t="s">
        <v>2366</v>
      </c>
      <c r="N2329">
        <v>1962</v>
      </c>
      <c r="O2329" s="8">
        <f t="shared" si="146"/>
        <v>22885</v>
      </c>
      <c r="P2329" s="10">
        <v>48173.36</v>
      </c>
      <c r="Q2329" t="s">
        <v>2361</v>
      </c>
      <c r="R2329" t="s">
        <v>2358</v>
      </c>
      <c r="S2329" t="s">
        <v>2368</v>
      </c>
      <c r="T2329">
        <f t="shared" ca="1" si="147"/>
        <v>64</v>
      </c>
      <c r="U2329">
        <f>VLOOKUP($A2329,'Medical Examination'!$A:$Z,2,FALSE)</f>
        <v>17.82</v>
      </c>
    </row>
    <row r="2330" spans="1:21" ht="15.5" x14ac:dyDescent="0.35">
      <c r="A2330" s="2" t="s">
        <v>2330</v>
      </c>
      <c r="B2330" s="2" t="s">
        <v>5424</v>
      </c>
      <c r="C2330">
        <v>17.07</v>
      </c>
      <c r="D2330">
        <v>5.22</v>
      </c>
      <c r="E2330" t="s">
        <v>2344</v>
      </c>
      <c r="F2330" t="s">
        <v>2344</v>
      </c>
      <c r="G2330" t="s">
        <v>2346</v>
      </c>
      <c r="H2330">
        <v>1</v>
      </c>
      <c r="I2330" t="s">
        <v>2344</v>
      </c>
      <c r="J2330" t="str">
        <f t="shared" si="145"/>
        <v>Under Weight</v>
      </c>
      <c r="K2330" t="str">
        <f t="shared" si="148"/>
        <v>Normal</v>
      </c>
      <c r="L2330">
        <v>21</v>
      </c>
      <c r="M2330" t="s">
        <v>2365</v>
      </c>
      <c r="N2330">
        <v>1961</v>
      </c>
      <c r="O2330" s="8">
        <f t="shared" si="146"/>
        <v>22636</v>
      </c>
      <c r="P2330" s="10">
        <v>48517.56</v>
      </c>
      <c r="Q2330" t="s">
        <v>2361</v>
      </c>
      <c r="R2330" t="s">
        <v>2358</v>
      </c>
      <c r="S2330" t="s">
        <v>2374</v>
      </c>
      <c r="T2330">
        <f t="shared" ca="1" si="147"/>
        <v>65</v>
      </c>
      <c r="U2330">
        <f>VLOOKUP($A2330,'Medical Examination'!$A:$Z,2,FALSE)</f>
        <v>17.07</v>
      </c>
    </row>
    <row r="2331" spans="1:21" ht="15.5" x14ac:dyDescent="0.35">
      <c r="A2331" s="2" t="s">
        <v>2331</v>
      </c>
      <c r="B2331" s="2" t="s">
        <v>5425</v>
      </c>
      <c r="C2331">
        <v>22.24</v>
      </c>
      <c r="D2331">
        <v>4.29</v>
      </c>
      <c r="E2331" t="s">
        <v>2346</v>
      </c>
      <c r="F2331" t="s">
        <v>2344</v>
      </c>
      <c r="G2331" t="s">
        <v>2344</v>
      </c>
      <c r="H2331">
        <v>0</v>
      </c>
      <c r="I2331" t="s">
        <v>2344</v>
      </c>
      <c r="J2331" t="str">
        <f t="shared" si="145"/>
        <v>Normal Weight</v>
      </c>
      <c r="K2331" t="str">
        <f t="shared" si="148"/>
        <v>Normal</v>
      </c>
      <c r="L2331">
        <v>1</v>
      </c>
      <c r="M2331" t="s">
        <v>2365</v>
      </c>
      <c r="N2331">
        <v>1968</v>
      </c>
      <c r="O2331" s="8">
        <f t="shared" si="146"/>
        <v>25173</v>
      </c>
      <c r="P2331" s="10">
        <v>48549.18</v>
      </c>
      <c r="Q2331" t="s">
        <v>2361</v>
      </c>
      <c r="R2331" t="s">
        <v>2358</v>
      </c>
      <c r="S2331" t="s">
        <v>2371</v>
      </c>
      <c r="T2331">
        <f t="shared" ca="1" si="147"/>
        <v>58</v>
      </c>
      <c r="U2331">
        <f>VLOOKUP($A2331,'Medical Examination'!$A:$Z,2,FALSE)</f>
        <v>22.24</v>
      </c>
    </row>
    <row r="2332" spans="1:21" ht="15.5" x14ac:dyDescent="0.35">
      <c r="A2332" s="2" t="s">
        <v>2332</v>
      </c>
      <c r="B2332" s="2" t="s">
        <v>5427</v>
      </c>
      <c r="C2332">
        <v>22.34</v>
      </c>
      <c r="D2332">
        <v>5.57</v>
      </c>
      <c r="E2332" t="s">
        <v>2344</v>
      </c>
      <c r="F2332" t="s">
        <v>2344</v>
      </c>
      <c r="G2332" t="s">
        <v>2344</v>
      </c>
      <c r="H2332">
        <v>1</v>
      </c>
      <c r="I2332" t="s">
        <v>2344</v>
      </c>
      <c r="J2332" t="str">
        <f t="shared" si="145"/>
        <v>Normal Weight</v>
      </c>
      <c r="K2332" t="str">
        <f t="shared" si="148"/>
        <v>Normal</v>
      </c>
      <c r="L2332">
        <v>11</v>
      </c>
      <c r="M2332" t="s">
        <v>2367</v>
      </c>
      <c r="N2332">
        <v>1962</v>
      </c>
      <c r="O2332" s="8">
        <f t="shared" si="146"/>
        <v>22930</v>
      </c>
      <c r="P2332" s="10">
        <v>48673.56</v>
      </c>
      <c r="Q2332" t="s">
        <v>2361</v>
      </c>
      <c r="R2332" t="s">
        <v>2357</v>
      </c>
      <c r="S2332" t="s">
        <v>2359</v>
      </c>
      <c r="T2332">
        <f t="shared" ca="1" si="147"/>
        <v>64</v>
      </c>
      <c r="U2332">
        <f>VLOOKUP($A2332,'Medical Examination'!$A:$Z,2,FALSE)</f>
        <v>22.34</v>
      </c>
    </row>
    <row r="2333" spans="1:21" ht="15.5" x14ac:dyDescent="0.35">
      <c r="A2333" s="2" t="s">
        <v>2333</v>
      </c>
      <c r="B2333" s="2" t="s">
        <v>5428</v>
      </c>
      <c r="C2333">
        <v>17.7</v>
      </c>
      <c r="D2333">
        <v>6.28</v>
      </c>
      <c r="E2333" t="s">
        <v>2344</v>
      </c>
      <c r="F2333" t="s">
        <v>2344</v>
      </c>
      <c r="G2333" t="s">
        <v>2344</v>
      </c>
      <c r="H2333">
        <v>1</v>
      </c>
      <c r="I2333" t="s">
        <v>2344</v>
      </c>
      <c r="J2333" t="str">
        <f t="shared" si="145"/>
        <v>Under Weight</v>
      </c>
      <c r="K2333" t="str">
        <f t="shared" si="148"/>
        <v>Prediabetes</v>
      </c>
      <c r="L2333">
        <v>27</v>
      </c>
      <c r="M2333" t="s">
        <v>2367</v>
      </c>
      <c r="N2333">
        <v>1965</v>
      </c>
      <c r="O2333" s="8">
        <f t="shared" si="146"/>
        <v>24042</v>
      </c>
      <c r="P2333" s="10">
        <v>48675.519999999997</v>
      </c>
      <c r="Q2333" t="s">
        <v>2361</v>
      </c>
      <c r="R2333" t="s">
        <v>2357</v>
      </c>
      <c r="S2333" t="s">
        <v>2359</v>
      </c>
      <c r="T2333">
        <f t="shared" ca="1" si="147"/>
        <v>61</v>
      </c>
      <c r="U2333">
        <f>VLOOKUP($A2333,'Medical Examination'!$A:$Z,2,FALSE)</f>
        <v>17.7</v>
      </c>
    </row>
    <row r="2334" spans="1:21" ht="15.5" x14ac:dyDescent="0.35">
      <c r="A2334" s="2" t="s">
        <v>2334</v>
      </c>
      <c r="B2334" s="2" t="s">
        <v>5429</v>
      </c>
      <c r="C2334">
        <v>16.47</v>
      </c>
      <c r="D2334">
        <v>6.35</v>
      </c>
      <c r="E2334" t="s">
        <v>2344</v>
      </c>
      <c r="F2334" t="s">
        <v>2344</v>
      </c>
      <c r="G2334" t="s">
        <v>2346</v>
      </c>
      <c r="H2334">
        <v>1</v>
      </c>
      <c r="I2334" t="s">
        <v>2344</v>
      </c>
      <c r="J2334" t="str">
        <f t="shared" si="145"/>
        <v>Under Weight</v>
      </c>
      <c r="K2334" t="str">
        <f t="shared" si="148"/>
        <v>Prediabetes</v>
      </c>
      <c r="L2334">
        <v>22</v>
      </c>
      <c r="M2334" t="s">
        <v>2356</v>
      </c>
      <c r="N2334">
        <v>1959</v>
      </c>
      <c r="O2334" s="8">
        <f t="shared" si="146"/>
        <v>21753</v>
      </c>
      <c r="P2334" s="10">
        <v>48824.45</v>
      </c>
      <c r="Q2334" t="s">
        <v>2357</v>
      </c>
      <c r="R2334" t="s">
        <v>2361</v>
      </c>
      <c r="S2334" t="s">
        <v>2368</v>
      </c>
      <c r="T2334">
        <f t="shared" ca="1" si="147"/>
        <v>67</v>
      </c>
      <c r="U2334">
        <f>VLOOKUP($A2334,'Medical Examination'!$A:$Z,2,FALSE)</f>
        <v>16.47</v>
      </c>
    </row>
    <row r="2335" spans="1:21" ht="15.5" x14ac:dyDescent="0.35">
      <c r="A2335" s="2" t="s">
        <v>2335</v>
      </c>
      <c r="B2335" s="2" t="s">
        <v>5430</v>
      </c>
      <c r="C2335">
        <v>17.600000000000001</v>
      </c>
      <c r="D2335">
        <v>4.3899999999999997</v>
      </c>
      <c r="E2335" t="s">
        <v>2344</v>
      </c>
      <c r="F2335" t="s">
        <v>2344</v>
      </c>
      <c r="G2335" t="s">
        <v>2344</v>
      </c>
      <c r="H2335">
        <v>1</v>
      </c>
      <c r="I2335" t="s">
        <v>2344</v>
      </c>
      <c r="J2335" t="str">
        <f t="shared" si="145"/>
        <v>Under Weight</v>
      </c>
      <c r="K2335" t="str">
        <f t="shared" si="148"/>
        <v>Normal</v>
      </c>
      <c r="L2335">
        <v>29</v>
      </c>
      <c r="M2335" t="s">
        <v>2365</v>
      </c>
      <c r="N2335">
        <v>1978</v>
      </c>
      <c r="O2335" s="8">
        <f t="shared" si="146"/>
        <v>28853</v>
      </c>
      <c r="P2335" s="10">
        <v>48885.14</v>
      </c>
      <c r="Q2335" t="s">
        <v>2361</v>
      </c>
      <c r="R2335" t="s">
        <v>2357</v>
      </c>
      <c r="S2335" t="s">
        <v>2359</v>
      </c>
      <c r="T2335">
        <f t="shared" ca="1" si="147"/>
        <v>48</v>
      </c>
      <c r="U2335">
        <f>VLOOKUP($A2335,'Medical Examination'!$A:$Z,2,FALSE)</f>
        <v>17.600000000000001</v>
      </c>
    </row>
    <row r="2336" spans="1:21" ht="15.5" x14ac:dyDescent="0.35">
      <c r="A2336" s="2" t="s">
        <v>2336</v>
      </c>
      <c r="B2336" s="2" t="s">
        <v>5431</v>
      </c>
      <c r="C2336">
        <v>17.579999999999998</v>
      </c>
      <c r="D2336">
        <v>4.51</v>
      </c>
      <c r="E2336" t="s">
        <v>2344</v>
      </c>
      <c r="F2336" t="s">
        <v>2344</v>
      </c>
      <c r="G2336" t="s">
        <v>2344</v>
      </c>
      <c r="H2336">
        <v>1</v>
      </c>
      <c r="I2336" t="s">
        <v>2344</v>
      </c>
      <c r="J2336" t="str">
        <f t="shared" si="145"/>
        <v>Under Weight</v>
      </c>
      <c r="K2336" t="str">
        <f t="shared" si="148"/>
        <v>Normal</v>
      </c>
      <c r="L2336">
        <v>4</v>
      </c>
      <c r="M2336" t="s">
        <v>2363</v>
      </c>
      <c r="N2336">
        <v>1963</v>
      </c>
      <c r="O2336" s="8">
        <f t="shared" si="146"/>
        <v>23258</v>
      </c>
      <c r="P2336" s="10">
        <v>48970.25</v>
      </c>
      <c r="Q2336" t="s">
        <v>2361</v>
      </c>
      <c r="R2336" t="s">
        <v>2357</v>
      </c>
      <c r="S2336" t="s">
        <v>2359</v>
      </c>
      <c r="T2336">
        <f t="shared" ca="1" si="147"/>
        <v>63</v>
      </c>
      <c r="U2336">
        <f>VLOOKUP($A2336,'Medical Examination'!$A:$Z,2,FALSE)</f>
        <v>17.579999999999998</v>
      </c>
    </row>
    <row r="2337" spans="9:16" x14ac:dyDescent="0.35">
      <c r="P2337"/>
    </row>
    <row r="2338" spans="9:16" x14ac:dyDescent="0.35">
      <c r="P2338"/>
    </row>
    <row r="2339" spans="9:16" x14ac:dyDescent="0.35">
      <c r="P2339"/>
    </row>
    <row r="2340" spans="9:16" x14ac:dyDescent="0.35">
      <c r="P2340"/>
    </row>
    <row r="2341" spans="9:16" x14ac:dyDescent="0.35">
      <c r="P2341"/>
    </row>
    <row r="2342" spans="9:16" x14ac:dyDescent="0.35">
      <c r="P2342"/>
    </row>
    <row r="2343" spans="9:16" x14ac:dyDescent="0.35">
      <c r="P2343"/>
    </row>
    <row r="2344" spans="9:16" x14ac:dyDescent="0.35">
      <c r="P2344"/>
    </row>
    <row r="2345" spans="9:16" x14ac:dyDescent="0.35">
      <c r="I2345" s="8"/>
      <c r="J2345" s="10"/>
      <c r="P2345"/>
    </row>
    <row r="2346" spans="9:16" x14ac:dyDescent="0.35">
      <c r="I2346" s="8"/>
      <c r="J2346" s="10"/>
      <c r="P2346"/>
    </row>
    <row r="2347" spans="9:16" x14ac:dyDescent="0.35">
      <c r="P2347"/>
    </row>
    <row r="2348" spans="9:16" x14ac:dyDescent="0.35">
      <c r="P2348"/>
    </row>
    <row r="2349" spans="9:16" x14ac:dyDescent="0.35">
      <c r="P2349"/>
    </row>
    <row r="2350" spans="9:16" x14ac:dyDescent="0.35">
      <c r="P2350"/>
    </row>
    <row r="2351" spans="9:16" x14ac:dyDescent="0.35">
      <c r="P2351"/>
    </row>
    <row r="2352" spans="9:16" x14ac:dyDescent="0.35">
      <c r="P2352"/>
    </row>
    <row r="2353" spans="15:16" x14ac:dyDescent="0.35">
      <c r="P2353"/>
    </row>
    <row r="2354" spans="15:16" x14ac:dyDescent="0.35">
      <c r="P2354"/>
    </row>
    <row r="2355" spans="15:16" x14ac:dyDescent="0.35">
      <c r="P2355"/>
    </row>
    <row r="2356" spans="15:16" x14ac:dyDescent="0.35">
      <c r="P2356"/>
    </row>
    <row r="2357" spans="15:16" x14ac:dyDescent="0.35">
      <c r="P2357"/>
    </row>
    <row r="2358" spans="15:16" x14ac:dyDescent="0.35">
      <c r="P2358"/>
    </row>
    <row r="2359" spans="15:16" x14ac:dyDescent="0.35">
      <c r="P2359"/>
    </row>
    <row r="2360" spans="15:16" x14ac:dyDescent="0.35">
      <c r="P2360"/>
    </row>
    <row r="2363" spans="15:16" x14ac:dyDescent="0.35">
      <c r="O2363" s="10"/>
      <c r="P23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E777-BB77-4711-A81F-926B66F43AC4}">
  <dimension ref="A3:G12"/>
  <sheetViews>
    <sheetView topLeftCell="B1" workbookViewId="0">
      <selection activeCell="L4" sqref="L4"/>
    </sheetView>
  </sheetViews>
  <sheetFormatPr defaultRowHeight="14.5" x14ac:dyDescent="0.35"/>
  <cols>
    <col min="1" max="1" width="12.36328125" bestFit="1" customWidth="1"/>
    <col min="2" max="2" width="15.90625" bestFit="1" customWidth="1"/>
    <col min="3" max="3" width="29" bestFit="1" customWidth="1"/>
    <col min="4" max="4" width="15.90625" bestFit="1" customWidth="1"/>
    <col min="5" max="5" width="29" bestFit="1" customWidth="1"/>
    <col min="6" max="6" width="20.7265625" bestFit="1" customWidth="1"/>
    <col min="7" max="7" width="33.90625" bestFit="1" customWidth="1"/>
    <col min="8" max="8" width="20.7265625" bestFit="1" customWidth="1"/>
    <col min="9" max="9" width="34.90625" bestFit="1" customWidth="1"/>
    <col min="10" max="10" width="33.90625" bestFit="1" customWidth="1"/>
    <col min="11" max="11" width="24" bestFit="1" customWidth="1"/>
    <col min="12" max="12" width="34.90625" bestFit="1" customWidth="1"/>
    <col min="13" max="13" width="33.90625" bestFit="1" customWidth="1"/>
  </cols>
  <sheetData>
    <row r="3" spans="1:7" x14ac:dyDescent="0.35">
      <c r="B3" s="11" t="s">
        <v>5442</v>
      </c>
    </row>
    <row r="4" spans="1:7" x14ac:dyDescent="0.35">
      <c r="B4" t="s">
        <v>2344</v>
      </c>
      <c r="D4" t="s">
        <v>2346</v>
      </c>
      <c r="F4" t="s">
        <v>5447</v>
      </c>
      <c r="G4" t="s">
        <v>5443</v>
      </c>
    </row>
    <row r="5" spans="1:7" x14ac:dyDescent="0.35">
      <c r="A5" s="11" t="s">
        <v>5440</v>
      </c>
      <c r="B5" t="s">
        <v>5448</v>
      </c>
      <c r="C5" t="s">
        <v>5444</v>
      </c>
      <c r="D5" t="s">
        <v>5448</v>
      </c>
      <c r="E5" t="s">
        <v>5444</v>
      </c>
    </row>
    <row r="6" spans="1:7" x14ac:dyDescent="0.35">
      <c r="A6" s="12" t="s">
        <v>2344</v>
      </c>
      <c r="B6">
        <v>6.8799552572706952</v>
      </c>
      <c r="C6">
        <v>726</v>
      </c>
      <c r="D6">
        <v>5.7391688311688283</v>
      </c>
      <c r="E6">
        <v>391</v>
      </c>
      <c r="F6">
        <v>6.6778370915784642</v>
      </c>
      <c r="G6">
        <v>1117</v>
      </c>
    </row>
    <row r="7" spans="1:7" x14ac:dyDescent="0.35">
      <c r="A7" s="13" t="s">
        <v>2344</v>
      </c>
      <c r="B7">
        <v>6.8636073706590999</v>
      </c>
      <c r="C7">
        <v>564</v>
      </c>
      <c r="D7">
        <v>5.7818272425249155</v>
      </c>
      <c r="E7">
        <v>307</v>
      </c>
      <c r="F7">
        <v>6.6734112149532727</v>
      </c>
      <c r="G7">
        <v>871</v>
      </c>
    </row>
    <row r="8" spans="1:7" x14ac:dyDescent="0.35">
      <c r="A8" s="13" t="s">
        <v>2346</v>
      </c>
      <c r="B8">
        <v>6.9411405835543727</v>
      </c>
      <c r="C8">
        <v>162</v>
      </c>
      <c r="D8">
        <v>5.5863095238095264</v>
      </c>
      <c r="E8">
        <v>84</v>
      </c>
      <c r="F8">
        <v>6.6942733188720158</v>
      </c>
      <c r="G8">
        <v>246</v>
      </c>
    </row>
    <row r="9" spans="1:7" x14ac:dyDescent="0.35">
      <c r="A9" s="12" t="s">
        <v>2345</v>
      </c>
      <c r="B9">
        <v>5.1819580419580413</v>
      </c>
      <c r="C9">
        <v>144</v>
      </c>
      <c r="F9">
        <v>5.1819580419580431</v>
      </c>
      <c r="G9">
        <v>144</v>
      </c>
    </row>
    <row r="10" spans="1:7" x14ac:dyDescent="0.35">
      <c r="A10" s="13" t="s">
        <v>2344</v>
      </c>
      <c r="B10">
        <v>5.2091452991453</v>
      </c>
      <c r="C10">
        <v>118</v>
      </c>
      <c r="F10">
        <v>5.2091452991453</v>
      </c>
      <c r="G10">
        <v>118</v>
      </c>
    </row>
    <row r="11" spans="1:7" x14ac:dyDescent="0.35">
      <c r="A11" s="13" t="s">
        <v>2346</v>
      </c>
      <c r="B11">
        <v>5.0596153846153848</v>
      </c>
      <c r="C11">
        <v>26</v>
      </c>
      <c r="F11">
        <v>5.0596153846153848</v>
      </c>
      <c r="G11">
        <v>26</v>
      </c>
    </row>
    <row r="12" spans="1:7" x14ac:dyDescent="0.35">
      <c r="A12" s="12" t="s">
        <v>5441</v>
      </c>
      <c r="B12">
        <v>6.7542102537545343</v>
      </c>
      <c r="C12">
        <v>870</v>
      </c>
      <c r="D12">
        <v>5.7391688311688283</v>
      </c>
      <c r="E12">
        <v>391</v>
      </c>
      <c r="F12">
        <v>6.5854749568221074</v>
      </c>
      <c r="G12">
        <v>1261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6E2B-56AB-43A4-A707-8B7CA99FB388}">
  <dimension ref="A3:M8"/>
  <sheetViews>
    <sheetView topLeftCell="A4" workbookViewId="0">
      <selection activeCell="E22" sqref="E22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5.90625" bestFit="1" customWidth="1"/>
    <col min="4" max="4" width="30.08984375" bestFit="1" customWidth="1"/>
    <col min="5" max="5" width="29" bestFit="1" customWidth="1"/>
    <col min="6" max="6" width="14.26953125" bestFit="1" customWidth="1"/>
    <col min="7" max="7" width="15.90625" bestFit="1" customWidth="1"/>
    <col min="8" max="8" width="30.08984375" bestFit="1" customWidth="1"/>
    <col min="9" max="9" width="29" bestFit="1" customWidth="1"/>
    <col min="10" max="10" width="19.08984375" bestFit="1" customWidth="1"/>
    <col min="11" max="11" width="20.7265625" bestFit="1" customWidth="1"/>
    <col min="12" max="12" width="34.90625" bestFit="1" customWidth="1"/>
    <col min="13" max="13" width="33.90625" bestFit="1" customWidth="1"/>
    <col min="14" max="14" width="34.90625" bestFit="1" customWidth="1"/>
    <col min="15" max="15" width="24" bestFit="1" customWidth="1"/>
    <col min="16" max="16" width="33.90625" bestFit="1" customWidth="1"/>
  </cols>
  <sheetData>
    <row r="3" spans="1:13" x14ac:dyDescent="0.35">
      <c r="B3" s="11" t="s">
        <v>5442</v>
      </c>
    </row>
    <row r="4" spans="1:13" x14ac:dyDescent="0.35">
      <c r="B4" t="s">
        <v>2344</v>
      </c>
      <c r="F4" t="s">
        <v>2346</v>
      </c>
      <c r="J4" t="s">
        <v>5449</v>
      </c>
      <c r="K4" t="s">
        <v>5447</v>
      </c>
      <c r="L4" t="s">
        <v>5445</v>
      </c>
      <c r="M4" t="s">
        <v>5443</v>
      </c>
    </row>
    <row r="5" spans="1:13" x14ac:dyDescent="0.35">
      <c r="A5" s="11" t="s">
        <v>5440</v>
      </c>
      <c r="B5" t="s">
        <v>5450</v>
      </c>
      <c r="C5" t="s">
        <v>5448</v>
      </c>
      <c r="D5" t="s">
        <v>5446</v>
      </c>
      <c r="E5" t="s">
        <v>5444</v>
      </c>
      <c r="F5" t="s">
        <v>5450</v>
      </c>
      <c r="G5" t="s">
        <v>5448</v>
      </c>
      <c r="H5" t="s">
        <v>5446</v>
      </c>
      <c r="I5" t="s">
        <v>5444</v>
      </c>
    </row>
    <row r="6" spans="1:13" x14ac:dyDescent="0.35">
      <c r="A6" s="12" t="s">
        <v>2344</v>
      </c>
      <c r="B6" s="14">
        <v>1800</v>
      </c>
      <c r="C6" s="14">
        <v>6.8799552572706979</v>
      </c>
      <c r="D6" s="14">
        <v>726</v>
      </c>
      <c r="E6" s="14">
        <v>726</v>
      </c>
      <c r="F6" s="14">
        <v>391</v>
      </c>
      <c r="G6" s="14">
        <v>5.73916883116883</v>
      </c>
      <c r="H6" s="14">
        <v>391</v>
      </c>
      <c r="I6" s="14">
        <v>391</v>
      </c>
      <c r="J6" s="14">
        <v>2191</v>
      </c>
      <c r="K6" s="14">
        <v>6.6778370915784757</v>
      </c>
      <c r="L6" s="14">
        <v>1117</v>
      </c>
      <c r="M6" s="14">
        <v>1117</v>
      </c>
    </row>
    <row r="7" spans="1:13" x14ac:dyDescent="0.35">
      <c r="A7" s="12" t="s">
        <v>2345</v>
      </c>
      <c r="B7" s="14">
        <v>144</v>
      </c>
      <c r="C7" s="14">
        <v>5.1819580419580422</v>
      </c>
      <c r="D7" s="14">
        <v>144</v>
      </c>
      <c r="E7" s="14">
        <v>144</v>
      </c>
      <c r="F7" s="14"/>
      <c r="G7" s="14"/>
      <c r="H7" s="14"/>
      <c r="I7" s="14"/>
      <c r="J7" s="14">
        <v>144</v>
      </c>
      <c r="K7" s="14">
        <v>5.1819580419580422</v>
      </c>
      <c r="L7" s="14">
        <v>144</v>
      </c>
      <c r="M7" s="14">
        <v>144</v>
      </c>
    </row>
    <row r="8" spans="1:13" x14ac:dyDescent="0.35">
      <c r="A8" s="12" t="s">
        <v>5441</v>
      </c>
      <c r="B8" s="14">
        <v>1944</v>
      </c>
      <c r="C8" s="14">
        <v>6.7542102537545379</v>
      </c>
      <c r="D8" s="14">
        <v>870</v>
      </c>
      <c r="E8" s="14">
        <v>870</v>
      </c>
      <c r="F8" s="14">
        <v>391</v>
      </c>
      <c r="G8" s="14">
        <v>5.73916883116883</v>
      </c>
      <c r="H8" s="14">
        <v>391</v>
      </c>
      <c r="I8" s="14">
        <v>391</v>
      </c>
      <c r="J8" s="14">
        <v>2335</v>
      </c>
      <c r="K8" s="14">
        <v>6.5854749568221189</v>
      </c>
      <c r="L8" s="14">
        <v>1261</v>
      </c>
      <c r="M8" s="14">
        <v>1261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9DD1-1917-4CA7-B185-F3D6BC9FB6AD}">
  <dimension ref="A3:E9"/>
  <sheetViews>
    <sheetView workbookViewId="0">
      <selection activeCell="H3" sqref="H3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3" width="9.90625" bestFit="1" customWidth="1"/>
    <col min="4" max="4" width="10.81640625" bestFit="1" customWidth="1"/>
    <col min="5" max="5" width="10.7265625" bestFit="1" customWidth="1"/>
    <col min="6" max="6" width="16.6328125" bestFit="1" customWidth="1"/>
    <col min="7" max="7" width="14.54296875" bestFit="1" customWidth="1"/>
    <col min="8" max="8" width="21.54296875" bestFit="1" customWidth="1"/>
    <col min="9" max="9" width="19.36328125" bestFit="1" customWidth="1"/>
  </cols>
  <sheetData>
    <row r="3" spans="1:5" x14ac:dyDescent="0.35">
      <c r="A3" s="11" t="s">
        <v>5458</v>
      </c>
      <c r="B3" s="11" t="s">
        <v>5442</v>
      </c>
    </row>
    <row r="4" spans="1:5" x14ac:dyDescent="0.35">
      <c r="A4" s="11" t="s">
        <v>5440</v>
      </c>
      <c r="B4" t="s">
        <v>5455</v>
      </c>
      <c r="C4" t="s">
        <v>5456</v>
      </c>
      <c r="D4" t="s">
        <v>5457</v>
      </c>
      <c r="E4" t="s">
        <v>5441</v>
      </c>
    </row>
    <row r="5" spans="1:5" x14ac:dyDescent="0.35">
      <c r="A5" s="12" t="s">
        <v>5451</v>
      </c>
      <c r="B5" s="10">
        <v>11718.428741258742</v>
      </c>
      <c r="C5" s="10">
        <v>20473.459389671363</v>
      </c>
      <c r="D5" s="10">
        <v>18727.773580246911</v>
      </c>
      <c r="E5" s="10">
        <v>17284.969839816928</v>
      </c>
    </row>
    <row r="6" spans="1:5" x14ac:dyDescent="0.35">
      <c r="A6" s="12" t="s">
        <v>5452</v>
      </c>
      <c r="B6" s="10">
        <v>7265.8143457943916</v>
      </c>
      <c r="C6" s="10">
        <v>12283.886207513418</v>
      </c>
      <c r="D6" s="10">
        <v>12070.353760683762</v>
      </c>
      <c r="E6" s="10">
        <v>10483.967002457008</v>
      </c>
    </row>
    <row r="7" spans="1:5" x14ac:dyDescent="0.35">
      <c r="A7" s="12" t="s">
        <v>5453</v>
      </c>
      <c r="B7" s="10">
        <v>9369.4914285714294</v>
      </c>
      <c r="C7" s="10">
        <v>15322.33892241379</v>
      </c>
      <c r="D7" s="10">
        <v>16497.217685185187</v>
      </c>
      <c r="E7" s="10">
        <v>13662.615289421163</v>
      </c>
    </row>
    <row r="8" spans="1:5" x14ac:dyDescent="0.35">
      <c r="A8" s="12" t="s">
        <v>5454</v>
      </c>
      <c r="B8" s="10">
        <v>17912.901076923074</v>
      </c>
      <c r="C8" s="10">
        <v>26863.077560975609</v>
      </c>
      <c r="D8" s="10">
        <v>25824.313103448276</v>
      </c>
      <c r="E8" s="10">
        <v>23386.45460227273</v>
      </c>
    </row>
    <row r="9" spans="1:5" x14ac:dyDescent="0.35">
      <c r="A9" s="12" t="s">
        <v>5441</v>
      </c>
      <c r="B9" s="10">
        <v>9358.0056963613551</v>
      </c>
      <c r="C9" s="10">
        <v>15640.049935543262</v>
      </c>
      <c r="D9" s="10">
        <v>15203.577500000001</v>
      </c>
      <c r="E9" s="10">
        <v>13411.32411134904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696A-9D7D-48B3-A746-D78399B11ECF}">
  <dimension ref="A1"/>
  <sheetViews>
    <sheetView tabSelected="1" workbookViewId="0">
      <selection activeCell="I17" sqref="I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Cstoumer Names</vt:lpstr>
      <vt:lpstr>Medical Examination</vt:lpstr>
      <vt:lpstr>Hospitalisation Detailes</vt:lpstr>
      <vt:lpstr>Health care</vt:lpstr>
      <vt:lpstr>Analysis pie and donut</vt:lpstr>
      <vt:lpstr>Column and Bar chart</vt:lpstr>
      <vt:lpstr>Weight and Diabetes</vt:lpstr>
      <vt:lpstr>Age vs 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lucky</dc:creator>
  <cp:lastModifiedBy>m lucky</cp:lastModifiedBy>
  <dcterms:created xsi:type="dcterms:W3CDTF">2026-10-14T09:56:46Z</dcterms:created>
  <dcterms:modified xsi:type="dcterms:W3CDTF">2026-10-17T14:20:52Z</dcterms:modified>
</cp:coreProperties>
</file>